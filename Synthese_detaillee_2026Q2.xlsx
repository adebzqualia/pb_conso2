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CORE Stock" sheetId="2" r:id="rId2"/>
    <sheet name="CORE Flows" sheetId="3" r:id="rId3"/>
    <sheet name="NON CORE Stock" sheetId="4" r:id="rId4"/>
    <sheet name="AT Austria" sheetId="5" r:id="rId5"/>
    <sheet name="IT Italy" sheetId="6" r:id="rId6"/>
    <sheet name="ZA South Africa" sheetId="7" r:id="rId7"/>
    <sheet name="DK Denmark" sheetId="8" r:id="rId8"/>
    <sheet name="NO Norway" sheetId="9" r:id="rId9"/>
    <sheet name="SE Sweden" sheetId="10" r:id="rId10"/>
    <sheet name="Consolidation" sheetId="11" r:id="rId11"/>
    <sheet name="Flux" sheetId="12" r:id="rId12"/>
    <sheet name="Stock" sheetId="13" r:id="rId13"/>
    <sheet name="Repartition stock" sheetId="14" r:id="rId14"/>
    <sheet name="Taux" sheetId="15" r:id="rId15"/>
    <sheet name="Controles" sheetId="16" r:id="rId16"/>
    <sheet name="Mode emploi" sheetId="17" r:id="rId17"/>
    <sheet name="GraphData" sheetId="18" r:id="rId18"/>
    <sheet name="Presentation inputs" sheetId="19" r:id="rId19"/>
  </sheets>
  <definedNames>
    <definedName name="Periodes">'Taux'!$H$6:$H$6</definedName>
    <definedName name="_xlnm.Print_Area" localSheetId="4">'AT Austria'!$A$1:$AF$42</definedName>
    <definedName name="_xlnm.Print_Area" localSheetId="2">'CORE Flows'!$A$1:$AF$42</definedName>
    <definedName name="_xlnm.Print_Area" localSheetId="1">'CORE Stock'!$A$1:$AF$42</definedName>
    <definedName name="_xlnm.Print_Area" localSheetId="7">'DK Denmark'!$A$1:$AF$42</definedName>
    <definedName name="_xlnm.Print_Area" localSheetId="0">Global!$A$1:$AF$86</definedName>
    <definedName name="_xlnm.Print_Area" localSheetId="5">'IT Italy'!$A$1:$AF$42</definedName>
    <definedName name="_xlnm.Print_Area" localSheetId="16">'Mode emploi'!$B$1:$C$23</definedName>
    <definedName name="_xlnm.Print_Area" localSheetId="8">'NO Norway'!$A$1:$AF$42</definedName>
    <definedName name="_xlnm.Print_Area" localSheetId="3">'NON CORE Stock'!$A$1:$AF$42</definedName>
    <definedName name="_xlnm.Print_Area" localSheetId="9">'SE Sweden'!$A$1:$AF$42</definedName>
    <definedName name="_xlnm.Print_Area" localSheetId="6">'ZA South Africa'!$A$1:$AF$42</definedName>
    <definedName name="_xlnm.Print_Titles" localSheetId="4">'AT Austria'!$1:$1</definedName>
    <definedName name="_xlnm.Print_Titles" localSheetId="10">Consolidation!$1:$5</definedName>
    <definedName name="_xlnm.Print_Titles" localSheetId="15">Controles!$1:$5</definedName>
    <definedName name="_xlnm.Print_Titles" localSheetId="2">'CORE Flows'!$1:$1</definedName>
    <definedName name="_xlnm.Print_Titles" localSheetId="1">'CORE Stock'!$1:$1</definedName>
    <definedName name="_xlnm.Print_Titles" localSheetId="7">'DK Denmark'!$1:$1</definedName>
    <definedName name="_xlnm.Print_Titles" localSheetId="11">Flux!$1:$5</definedName>
    <definedName name="_xlnm.Print_Titles" localSheetId="0">Global!$1:$1</definedName>
    <definedName name="_xlnm.Print_Titles" localSheetId="5">'IT Italy'!$1:$1</definedName>
    <definedName name="_xlnm.Print_Titles" localSheetId="8">'NO Norway'!$1:$1</definedName>
    <definedName name="_xlnm.Print_Titles" localSheetId="3">'NON CORE Stock'!$1:$1</definedName>
    <definedName name="_xlnm.Print_Titles" localSheetId="13">'Repartition stock'!$1:$5</definedName>
    <definedName name="_xlnm.Print_Titles" localSheetId="9">'SE Sweden'!$1:$1</definedName>
    <definedName name="_xlnm.Print_Titles" localSheetId="12">Stock!$1:$5</definedName>
    <definedName name="_xlnm.Print_Titles" localSheetId="14">Taux!$1:$5</definedName>
    <definedName name="_xlnm.Print_Titles" localSheetId="6">'ZA South Africa'!$1:$1</definedName>
  </definedNames>
  <calcPr calcId="124519" fullCalcOnLoad="1"/>
</workbook>
</file>

<file path=xl/sharedStrings.xml><?xml version="1.0" encoding="utf-8"?>
<sst xmlns="http://schemas.openxmlformats.org/spreadsheetml/2006/main" count="2161" uniqueCount="495">
  <si>
    <t>Formula-linked chart data</t>
  </si>
  <si>
    <t>Taux de conversion</t>
  </si>
  <si>
    <t>Montant EUR = montant en devise locale / taux de clôture. Même convention que la synthèse fournie.</t>
  </si>
  <si>
    <t>Trimestre</t>
  </si>
  <si>
    <t>Devise</t>
  </si>
  <si>
    <t>Date des taux</t>
  </si>
  <si>
    <t>Devise locale pour 1 EUR</t>
  </si>
  <si>
    <t>Type de taux</t>
  </si>
  <si>
    <t>Source</t>
  </si>
  <si>
    <t>2026Q2</t>
  </si>
  <si>
    <t>DKK</t>
  </si>
  <si>
    <t>Clôture</t>
  </si>
  <si>
    <t>Taux.xlsx!Table des taux M!E45</t>
  </si>
  <si>
    <t>EUR</t>
  </si>
  <si>
    <t>Taux.xlsx!Table des taux M!E53</t>
  </si>
  <si>
    <t>NOK</t>
  </si>
  <si>
    <t>Taux.xlsx!Table des taux M!E122</t>
  </si>
  <si>
    <t>SEK</t>
  </si>
  <si>
    <t>Taux.xlsx!Table des taux M!E144</t>
  </si>
  <si>
    <t>ZAR</t>
  </si>
  <si>
    <t>Taux.xlsx!Table des taux M!E182</t>
  </si>
  <si>
    <t>Trimestres disponibles</t>
  </si>
  <si>
    <t>Stock par millésime issu de KPI_2</t>
  </si>
  <si>
    <t>Catégories absentes du modèle pays : n.d. Les calculs utilisent uniquement les catégories applicables.</t>
  </si>
  <si>
    <t>Code pays</t>
  </si>
  <si>
    <t>Pays</t>
  </si>
  <si>
    <t>Millésime</t>
  </si>
  <si>
    <t>Stock initial local</t>
  </si>
  <si>
    <t>Remboursé client local</t>
  </si>
  <si>
    <t>Injoignables local</t>
  </si>
  <si>
    <t>Faux positifs local</t>
  </si>
  <si>
    <t>Autorités local</t>
  </si>
  <si>
    <t>Autres sans remboursement local</t>
  </si>
  <si>
    <t>Traité calculé local</t>
  </si>
  <si>
    <t>A traiter local</t>
  </si>
  <si>
    <t>Stock identifié local</t>
  </si>
  <si>
    <t>Traité déclaré local</t>
  </si>
  <si>
    <t>A traiter déclaré local</t>
  </si>
  <si>
    <t>Taux local pour 1 EUR</t>
  </si>
  <si>
    <t>A traiter EUR</t>
  </si>
  <si>
    <t>Stock identifié EUR</t>
  </si>
  <si>
    <t>AT</t>
  </si>
  <si>
    <t>Austria</t>
  </si>
  <si>
    <t>&lt;2025</t>
  </si>
  <si>
    <t>n.d.</t>
  </si>
  <si>
    <t>AUSTRIA.xlsx!KPI_2!C11:C17</t>
  </si>
  <si>
    <t>2025</t>
  </si>
  <si>
    <t>AUSTRIA.xlsx!KPI_2!D11:D17</t>
  </si>
  <si>
    <t>2026</t>
  </si>
  <si>
    <t>AUSTRIA.xlsx!KPI_2!E11:E17</t>
  </si>
  <si>
    <t>IT</t>
  </si>
  <si>
    <t>Italy</t>
  </si>
  <si>
    <t>ITALY.xlsx!KPI_2!C11:C17</t>
  </si>
  <si>
    <t>ITALY.xlsx!KPI_2!D11:D17</t>
  </si>
  <si>
    <t>ITALY.xlsx!KPI_2!E11:E17</t>
  </si>
  <si>
    <t>ZA</t>
  </si>
  <si>
    <t>South Africa</t>
  </si>
  <si>
    <t>RCS.xlsx!KPI_2!C11:C17</t>
  </si>
  <si>
    <t>RCS.xlsx!KPI_2!D11:D17</t>
  </si>
  <si>
    <t>RCS.xlsx!KPI_2!E11:E17</t>
  </si>
  <si>
    <t>DK</t>
  </si>
  <si>
    <t>Denmark</t>
  </si>
  <si>
    <t>&lt;2024</t>
  </si>
  <si>
    <t>NORDICS.xlsx!DEN_KPI_2!C11:C25</t>
  </si>
  <si>
    <t>2024</t>
  </si>
  <si>
    <t>NORDICS.xlsx!DEN_KPI_2!D11:D25</t>
  </si>
  <si>
    <t>NORDICS.xlsx!DEN_KPI_2!E11:E25</t>
  </si>
  <si>
    <t>NORDICS.xlsx!DEN_KPI_2!F11:F25</t>
  </si>
  <si>
    <t>NO</t>
  </si>
  <si>
    <t>Norway</t>
  </si>
  <si>
    <t>NORDICS.xlsx!NOR_KPI_2!C11:C25</t>
  </si>
  <si>
    <t>NORDICS.xlsx!NOR_KPI_2!D11:D25</t>
  </si>
  <si>
    <t>NORDICS.xlsx!NOR_KPI_2!E11:E25</t>
  </si>
  <si>
    <t>NORDICS.xlsx!NOR_KPI_2!F11:F25</t>
  </si>
  <si>
    <t>SE</t>
  </si>
  <si>
    <t>Sweden</t>
  </si>
  <si>
    <t>NORDICS.xlsx!SWE_KPI_2!C11:C25</t>
  </si>
  <si>
    <t>NORDICS.xlsx!SWE_KPI_2!D11:D25</t>
  </si>
  <si>
    <t>NORDICS.xlsx!SWE_KPI_2!E11:E25</t>
  </si>
  <si>
    <t>NORDICS.xlsx!SWE_KPI_2!F11:F25</t>
  </si>
  <si>
    <t>Flux par cohorte mensuelle et date de reporting</t>
  </si>
  <si>
    <t>Une même cohorte peut apparaître dans plusieurs trimestres de reporting. Filtrer le trimestre avant d'agréger.</t>
  </si>
  <si>
    <t>Mois de cohorte</t>
  </si>
  <si>
    <t>Flux local</t>
  </si>
  <si>
    <t>Contrats entrants</t>
  </si>
  <si>
    <t>Contrats traités</t>
  </si>
  <si>
    <t>Reste local</t>
  </si>
  <si>
    <t>Contrats restants</t>
  </si>
  <si>
    <t>Flux EUR</t>
  </si>
  <si>
    <t>Traité EUR</t>
  </si>
  <si>
    <t>Efficacité montant</t>
  </si>
  <si>
    <t>Efficacité nombre</t>
  </si>
  <si>
    <t>AUSTRIA.xlsx!KPI_2!H27:H39</t>
  </si>
  <si>
    <t>AUSTRIA.xlsx!KPI_2!G27:G39</t>
  </si>
  <si>
    <t>AUSTRIA.xlsx!KPI_2!F27:F39</t>
  </si>
  <si>
    <t>AUSTRIA.xlsx!KPI_2!E27:E39</t>
  </si>
  <si>
    <t>AUSTRIA.xlsx!KPI_2!D27:D39</t>
  </si>
  <si>
    <t>AUSTRIA.xlsx!KPI_2!C27:C39</t>
  </si>
  <si>
    <t>ITALY.xlsx!KPI_2!H27:H39</t>
  </si>
  <si>
    <t>ITALY.xlsx!KPI_2!G27:G39</t>
  </si>
  <si>
    <t>ITALY.xlsx!KPI_2!F27:F39</t>
  </si>
  <si>
    <t>ITALY.xlsx!KPI_2!E27:E39</t>
  </si>
  <si>
    <t>ITALY.xlsx!KPI_2!D27:D39</t>
  </si>
  <si>
    <t>ITALY.xlsx!KPI_2!C27:C39</t>
  </si>
  <si>
    <t>RCS.xlsx!KPI_2!H27:H39</t>
  </si>
  <si>
    <t>RCS.xlsx!KPI_2!G27:G39</t>
  </si>
  <si>
    <t>RCS.xlsx!KPI_2!F27:F39</t>
  </si>
  <si>
    <t>RCS.xlsx!KPI_2!E27:E39</t>
  </si>
  <si>
    <t>RCS.xlsx!KPI_2!D27:D39</t>
  </si>
  <si>
    <t>RCS.xlsx!KPI_2!C27:C39</t>
  </si>
  <si>
    <t>NORDICS.xlsx!DEN_KPI_2!H35:H55</t>
  </si>
  <si>
    <t>NORDICS.xlsx!DEN_KPI_2!G35:G55</t>
  </si>
  <si>
    <t>NORDICS.xlsx!DEN_KPI_2!F35:F55</t>
  </si>
  <si>
    <t>NORDICS.xlsx!DEN_KPI_2!E35:E55</t>
  </si>
  <si>
    <t>NORDICS.xlsx!DEN_KPI_2!D35:D55</t>
  </si>
  <si>
    <t>NORDICS.xlsx!DEN_KPI_2!C35:C55</t>
  </si>
  <si>
    <t>NORDICS.xlsx!NOR_KPI_2!H35:H55</t>
  </si>
  <si>
    <t>NORDICS.xlsx!NOR_KPI_2!G35:G55</t>
  </si>
  <si>
    <t>NORDICS.xlsx!NOR_KPI_2!F35:F55</t>
  </si>
  <si>
    <t>NORDICS.xlsx!NOR_KPI_2!E35:E55</t>
  </si>
  <si>
    <t>NORDICS.xlsx!NOR_KPI_2!D35:D55</t>
  </si>
  <si>
    <t>NORDICS.xlsx!NOR_KPI_2!C35:C55</t>
  </si>
  <si>
    <t>NORDICS.xlsx!SWE_KPI_2!H35:H55</t>
  </si>
  <si>
    <t>NORDICS.xlsx!SWE_KPI_2!G35:G55</t>
  </si>
  <si>
    <t>NORDICS.xlsx!SWE_KPI_2!F35:F55</t>
  </si>
  <si>
    <t>NORDICS.xlsx!SWE_KPI_2!E35:E55</t>
  </si>
  <si>
    <t>NORDICS.xlsx!SWE_KPI_2!D35:D55</t>
  </si>
  <si>
    <t>NORDICS.xlsx!SWE_KPI_2!C35:C55</t>
  </si>
  <si>
    <t>Répartition du stock à traiter issue de KPI_3</t>
  </si>
  <si>
    <t>Tranches et millésimes décrivent le même stock. Ne pas additionner les deux répartitions. Libellés de tranche conservés.</t>
  </si>
  <si>
    <t>Répartition</t>
  </si>
  <si>
    <t>Catégorie source</t>
  </si>
  <si>
    <t>Contrats</t>
  </si>
  <si>
    <t>Montant local</t>
  </si>
  <si>
    <t>Montant EUR</t>
  </si>
  <si>
    <t>Tranche</t>
  </si>
  <si>
    <t>0 - 1 €</t>
  </si>
  <si>
    <t>AUSTRIA.xlsx!KPI_3!B6:D6</t>
  </si>
  <si>
    <t>1 - 10 €</t>
  </si>
  <si>
    <t>AUSTRIA.xlsx!KPI_3!B7:D7</t>
  </si>
  <si>
    <t>10 - 100 €</t>
  </si>
  <si>
    <t>AUSTRIA.xlsx!KPI_3!B8:D8</t>
  </si>
  <si>
    <t>100 - 1 000 €</t>
  </si>
  <si>
    <t>AUSTRIA.xlsx!KPI_3!B9:D9</t>
  </si>
  <si>
    <t>&gt; 1 000 €</t>
  </si>
  <si>
    <t>AUSTRIA.xlsx!KPI_3!B10:D10</t>
  </si>
  <si>
    <t>&lt;2018</t>
  </si>
  <si>
    <t>AUSTRIA.xlsx!KPI_3!B13:D13</t>
  </si>
  <si>
    <t>2018</t>
  </si>
  <si>
    <t>AUSTRIA.xlsx!KPI_3!B14:D14</t>
  </si>
  <si>
    <t>2019</t>
  </si>
  <si>
    <t>AUSTRIA.xlsx!KPI_3!B15:D15</t>
  </si>
  <si>
    <t>2020</t>
  </si>
  <si>
    <t>AUSTRIA.xlsx!KPI_3!B16:D16</t>
  </si>
  <si>
    <t>2021</t>
  </si>
  <si>
    <t>AUSTRIA.xlsx!KPI_3!B17:D17</t>
  </si>
  <si>
    <t>2022</t>
  </si>
  <si>
    <t>AUSTRIA.xlsx!KPI_3!B18:D18</t>
  </si>
  <si>
    <t>2023</t>
  </si>
  <si>
    <t>AUSTRIA.xlsx!KPI_3!B19:D19</t>
  </si>
  <si>
    <t>AUSTRIA.xlsx!KPI_3!B20:D20</t>
  </si>
  <si>
    <t>AUSTRIA.xlsx!KPI_3!B21:D21</t>
  </si>
  <si>
    <t>AUSTRIA.xlsx!KPI_3!B22:D22</t>
  </si>
  <si>
    <t>ITALY.xlsx!KPI_3!B6:D6</t>
  </si>
  <si>
    <t>ITALY.xlsx!KPI_3!B7:D7</t>
  </si>
  <si>
    <t>ITALY.xlsx!KPI_3!B8:D8</t>
  </si>
  <si>
    <t>ITALY.xlsx!KPI_3!B9:D9</t>
  </si>
  <si>
    <t>ITALY.xlsx!KPI_3!B10:D10</t>
  </si>
  <si>
    <t>ITALY.xlsx!KPI_3!B13:D13</t>
  </si>
  <si>
    <t>ITALY.xlsx!KPI_3!B14:D14</t>
  </si>
  <si>
    <t>ITALY.xlsx!KPI_3!B15:D15</t>
  </si>
  <si>
    <t>ITALY.xlsx!KPI_3!B16:D16</t>
  </si>
  <si>
    <t>ITALY.xlsx!KPI_3!B17:D17</t>
  </si>
  <si>
    <t>ITALY.xlsx!KPI_3!B18:D18</t>
  </si>
  <si>
    <t>ITALY.xlsx!KPI_3!B19:D19</t>
  </si>
  <si>
    <t>ITALY.xlsx!KPI_3!B20:D20</t>
  </si>
  <si>
    <t>ITALY.xlsx!KPI_3!B21:D21</t>
  </si>
  <si>
    <t>ITALY.xlsx!KPI_3!B22:D22</t>
  </si>
  <si>
    <t>RCS.xlsx!KPI_3!B6:D6</t>
  </si>
  <si>
    <t>RCS.xlsx!KPI_3!B7:D7</t>
  </si>
  <si>
    <t>RCS.xlsx!KPI_3!B8:D8</t>
  </si>
  <si>
    <t>RCS.xlsx!KPI_3!B9:D9</t>
  </si>
  <si>
    <t>RCS.xlsx!KPI_3!B10:D10</t>
  </si>
  <si>
    <t>&lt;2019</t>
  </si>
  <si>
    <t>RCS.xlsx!KPI_3!B13:D13</t>
  </si>
  <si>
    <t>RCS.xlsx!KPI_3!B14:D14</t>
  </si>
  <si>
    <t>RCS.xlsx!KPI_3!B15:D15</t>
  </si>
  <si>
    <t>RCS.xlsx!KPI_3!B16:D16</t>
  </si>
  <si>
    <t>RCS.xlsx!KPI_3!B17:D17</t>
  </si>
  <si>
    <t>RCS.xlsx!KPI_3!B18:D18</t>
  </si>
  <si>
    <t>RCS.xlsx!KPI_3!B19:D19</t>
  </si>
  <si>
    <t>RCS.xlsx!KPI_3!B20:D20</t>
  </si>
  <si>
    <t>RCS.xlsx!KPI_3!B21:D21</t>
  </si>
  <si>
    <t>0 - 7,5 Kr</t>
  </si>
  <si>
    <t>NORDICS.xlsx!DEN_KPI_3!B6:D6</t>
  </si>
  <si>
    <t>7,5 - 75 Kr</t>
  </si>
  <si>
    <t>NORDICS.xlsx!DEN_KPI_3!B7:D7</t>
  </si>
  <si>
    <t>75 - 747 Kr</t>
  </si>
  <si>
    <t>NORDICS.xlsx!DEN_KPI_3!B8:D8</t>
  </si>
  <si>
    <t>747 - 7474 Kr</t>
  </si>
  <si>
    <t>NORDICS.xlsx!DEN_KPI_3!B9:D9</t>
  </si>
  <si>
    <t>&gt;7474 Kr</t>
  </si>
  <si>
    <t>NORDICS.xlsx!DEN_KPI_3!B10:D10</t>
  </si>
  <si>
    <t>NORDICS.xlsx!DEN_KPI_3!B13:D13</t>
  </si>
  <si>
    <t>NORDICS.xlsx!DEN_KPI_3!B14:D14</t>
  </si>
  <si>
    <t>NORDICS.xlsx!DEN_KPI_3!B15:D15</t>
  </si>
  <si>
    <t>NORDICS.xlsx!DEN_KPI_3!B16:D16</t>
  </si>
  <si>
    <t>NORDICS.xlsx!DEN_KPI_3!B17:D17</t>
  </si>
  <si>
    <t>NORDICS.xlsx!DEN_KPI_3!B18:D18</t>
  </si>
  <si>
    <t>NORDICS.xlsx!DEN_KPI_3!B19:D19</t>
  </si>
  <si>
    <t>NORDICS.xlsx!DEN_KPI_3!B20:D20</t>
  </si>
  <si>
    <t>NORDICS.xlsx!DEN_KPI_3!B21:D21</t>
  </si>
  <si>
    <t>NORDICS.xlsx!DEN_KPI_3!B22:D22</t>
  </si>
  <si>
    <t>0 - 11,3 Kr</t>
  </si>
  <si>
    <t>NORDICS.xlsx!NOR_KPI_3!B6:D6</t>
  </si>
  <si>
    <t>11,3 - 113 Kr</t>
  </si>
  <si>
    <t>NORDICS.xlsx!NOR_KPI_3!B7:D7</t>
  </si>
  <si>
    <t>113 - 1131 Kr</t>
  </si>
  <si>
    <t>NORDICS.xlsx!NOR_KPI_3!B8:D8</t>
  </si>
  <si>
    <t>1131 - 11311 Kr</t>
  </si>
  <si>
    <t>NORDICS.xlsx!NOR_KPI_3!B9:D9</t>
  </si>
  <si>
    <t>&gt;11311 Kr</t>
  </si>
  <si>
    <t>NORDICS.xlsx!NOR_KPI_3!B10:D10</t>
  </si>
  <si>
    <t>NORDICS.xlsx!NOR_KPI_3!B13:D13</t>
  </si>
  <si>
    <t>NORDICS.xlsx!NOR_KPI_3!B14:D14</t>
  </si>
  <si>
    <t>NORDICS.xlsx!NOR_KPI_3!B15:D15</t>
  </si>
  <si>
    <t>NORDICS.xlsx!NOR_KPI_3!B16:D16</t>
  </si>
  <si>
    <t>NORDICS.xlsx!NOR_KPI_3!B17:D17</t>
  </si>
  <si>
    <t>NORDICS.xlsx!NOR_KPI_3!B18:D18</t>
  </si>
  <si>
    <t>NORDICS.xlsx!NOR_KPI_3!B19:D19</t>
  </si>
  <si>
    <t>NORDICS.xlsx!NOR_KPI_3!B20:D20</t>
  </si>
  <si>
    <t>NORDICS.xlsx!NOR_KPI_3!B21:D21</t>
  </si>
  <si>
    <t>NORDICS.xlsx!NOR_KPI_3!B22:D22</t>
  </si>
  <si>
    <t>0 - 11,1 Kr</t>
  </si>
  <si>
    <t>NORDICS.xlsx!SWE_KPI_3!B6:D6</t>
  </si>
  <si>
    <t>11,1 - 111 Kr</t>
  </si>
  <si>
    <t>NORDICS.xlsx!SWE_KPI_3!B7:D7</t>
  </si>
  <si>
    <t>111 - 1109 Kr</t>
  </si>
  <si>
    <t>NORDICS.xlsx!SWE_KPI_3!B8:D8</t>
  </si>
  <si>
    <t>1109 - 11094 Kr</t>
  </si>
  <si>
    <t>NORDICS.xlsx!SWE_KPI_3!B9:D9</t>
  </si>
  <si>
    <t>&gt;11094 Kr</t>
  </si>
  <si>
    <t>NORDICS.xlsx!SWE_KPI_3!B10:D10</t>
  </si>
  <si>
    <t>NORDICS.xlsx!SWE_KPI_3!B13:D13</t>
  </si>
  <si>
    <t>NORDICS.xlsx!SWE_KPI_3!B14:D14</t>
  </si>
  <si>
    <t>NORDICS.xlsx!SWE_KPI_3!B15:D15</t>
  </si>
  <si>
    <t>NORDICS.xlsx!SWE_KPI_3!B16:D16</t>
  </si>
  <si>
    <t>NORDICS.xlsx!SWE_KPI_3!B17:D17</t>
  </si>
  <si>
    <t>NORDICS.xlsx!SWE_KPI_3!B18:D18</t>
  </si>
  <si>
    <t>NORDICS.xlsx!SWE_KPI_3!B19:D19</t>
  </si>
  <si>
    <t>NORDICS.xlsx!SWE_KPI_3!B20:D20</t>
  </si>
  <si>
    <t>NORDICS.xlsx!SWE_KPI_3!B21:D21</t>
  </si>
  <si>
    <t>NORDICS.xlsx!SWE_KPI_3!B22:D22</t>
  </si>
  <si>
    <t>Indicateurs par trimestre de reporting et pays</t>
  </si>
  <si>
    <t>n.d. = non disponible ou non applicable. Le stock identifié exclut les CST Nordics non transmis.</t>
  </si>
  <si>
    <t>Traité local</t>
  </si>
  <si>
    <t>CST local</t>
  </si>
  <si>
    <t>Stock avec CST local</t>
  </si>
  <si>
    <t>Stock avec CST EUR</t>
  </si>
  <si>
    <t>Contrats KPI3</t>
  </si>
  <si>
    <t>Flux 6 mois EUR</t>
  </si>
  <si>
    <t>Traité 6 mois EUR</t>
  </si>
  <si>
    <t>Contrats entrants 6 mois</t>
  </si>
  <si>
    <t>Contrats traités 6 mois</t>
  </si>
  <si>
    <t>Efficacité montant 6 mois</t>
  </si>
  <si>
    <t>Efficacité nombre 6 mois</t>
  </si>
  <si>
    <t>Moyenne mensuelle EUR</t>
  </si>
  <si>
    <t>Efficacité montant M-5</t>
  </si>
  <si>
    <t>Efficacité nombre M-5</t>
  </si>
  <si>
    <t>Flux trimestre EUR</t>
  </si>
  <si>
    <t>Traité trimestre EUR</t>
  </si>
  <si>
    <t>Efficacité montant trimestre</t>
  </si>
  <si>
    <t>Contrôles et limites de la livraison</t>
  </si>
  <si>
    <t>Observations détectées lors de la génération. Relancer Python après toute correction des fichiers source.</t>
  </si>
  <si>
    <t>Niveau</t>
  </si>
  <si>
    <t>Code</t>
  </si>
  <si>
    <t>Observation</t>
  </si>
  <si>
    <t>warning</t>
  </si>
  <si>
    <t>EXCLUDED_FILE</t>
  </si>
  <si>
    <t>Run-off stock-only format: exception adapter deferred from base implementation.</t>
  </si>
  <si>
    <t>ROMANIA.xlsx</t>
  </si>
  <si>
    <t>Run-off binary workbook format: exception adapter deferred from base implementation.</t>
  </si>
  <si>
    <t>BRAZIL.xlsb</t>
  </si>
  <si>
    <t>MISSING_VALUE</t>
  </si>
  <si>
    <t>Numeric source value is missing; retained as unknown.</t>
  </si>
  <si>
    <t>AUSTRIA.xlsx!KPI_3!C13</t>
  </si>
  <si>
    <t>AUSTRIA.xlsx!KPI_3!D13</t>
  </si>
  <si>
    <t>AUSTRIA.xlsx!KPI_3!C14</t>
  </si>
  <si>
    <t>AUSTRIA.xlsx!KPI_3!D14</t>
  </si>
  <si>
    <t>RECONCILIATION</t>
  </si>
  <si>
    <t>stock_bins amount total: detailed/calculated 11992.29 versus reported 11992.</t>
  </si>
  <si>
    <t>AUSTRIA.xlsx!KPI_3!B11:D11</t>
  </si>
  <si>
    <t>KPI_3 bins / vintage total: detailed/calculated 11992 versus reported 11992.29.</t>
  </si>
  <si>
    <t>AUSTRIA.xlsx!KPI_3!B23:D23</t>
  </si>
  <si>
    <t>ITALY.xlsx!KPI_3!C13</t>
  </si>
  <si>
    <t>ITALY.xlsx!KPI_3!D13</t>
  </si>
  <si>
    <t>ITALY.xlsx!KPI_3!C14</t>
  </si>
  <si>
    <t>ITALY.xlsx!KPI_3!D14</t>
  </si>
  <si>
    <t>ITALY.xlsx!KPI_3!C15</t>
  </si>
  <si>
    <t>ITALY.xlsx!KPI_3!D15</t>
  </si>
  <si>
    <t>ITALY.xlsx!KPI_3!C16</t>
  </si>
  <si>
    <t>ITALY.xlsx!KPI_3!D16</t>
  </si>
  <si>
    <t>ITALY.xlsx!KPI_3!C17</t>
  </si>
  <si>
    <t>ITALY.xlsx!KPI_3!D17</t>
  </si>
  <si>
    <t>ITALY.xlsx!KPI_3!C18</t>
  </si>
  <si>
    <t>ITALY.xlsx!KPI_3!D18</t>
  </si>
  <si>
    <t>ITALY.xlsx!KPI_3!C19</t>
  </si>
  <si>
    <t>ITALY.xlsx!KPI_3!D19</t>
  </si>
  <si>
    <t>ITALY.xlsx!KPI_3!C20</t>
  </si>
  <si>
    <t>ITALY.xlsx!KPI_3!D20</t>
  </si>
  <si>
    <t>CURRENCY_LABEL_MISMATCH</t>
  </si>
  <si>
    <t>Amount label says EUR, but validated currency metadata is ZAR; metadata/configuration controls conversion.</t>
  </si>
  <si>
    <t>RCS.xlsx!KPI_2!A27</t>
  </si>
  <si>
    <t>BUCKET_CONCENTRATION</t>
  </si>
  <si>
    <t>All reported contracts and amounts are in the first amount band; verify that a total was not entered in place of the distribution.</t>
  </si>
  <si>
    <t>CST_REQUIRED</t>
  </si>
  <si>
    <t>Separate CST balance is not supplied in the country workbook; complete stock including CST is unavailable.</t>
  </si>
  <si>
    <t>NORDICS.xlsx</t>
  </si>
  <si>
    <t>Traçabilité des fichiers importés</t>
  </si>
  <si>
    <t>AUSTRIA.xlsx</t>
  </si>
  <si>
    <t>a0ed5a6f53c5a306bcef61b2822c81b36884320017fbdd6063bce8001e5db379</t>
  </si>
  <si>
    <t>ITALY.xlsx</t>
  </si>
  <si>
    <t>8d18cda188b08c83066dbb1d39bda82bdfa22634feef75c9cdd40ad905c66143</t>
  </si>
  <si>
    <t>RCS.xlsx</t>
  </si>
  <si>
    <t>c2016fbf566e814cd46bfc361e5d85e038f4bfaa4aae675654dc5301a754e051</t>
  </si>
  <si>
    <t>a1421e96e92ca2638e88c5beb74d6d01d084c796743287276f785c1e92d29636</t>
  </si>
  <si>
    <t>Taux.xlsx</t>
  </si>
  <si>
    <t>049ebfc31bd395029019f509efbbf30b0073c7babb5e5a714dc0e473f5fcebef</t>
  </si>
  <si>
    <t>layouts.json</t>
  </si>
  <si>
    <t>25972e94a6a43e96d055d924effc413653f621195b7d2de37bd882f777e222cf</t>
  </si>
  <si>
    <t>countries.json</t>
  </si>
  <si>
    <t>a08237e39e3d3b04072f4c31e4db2d0360a9e385c9581a444aabae00f7818452</t>
  </si>
  <si>
    <t>C:\Users\adnan\Desktop\Positive Balance Project\config\presentation.json</t>
  </si>
  <si>
    <t>4b7a23b74b056f2f71e8c786fb84d5d7bf8626037ca6ba2cfac036a69e4e6258</t>
  </si>
  <si>
    <t>Utilisation du reporting</t>
  </si>
  <si>
    <t>Période</t>
  </si>
  <si>
    <t>Choisir un trimestre en Synthese!C4. Les périodes disponibles proviennent de l'historique enregistré.</t>
  </si>
  <si>
    <t>Périmètre</t>
  </si>
  <si>
    <t>Ce classeur consolide uniquement les entités configurées et fournies. Il ne représente pas tous les pays de l'ancienne synthèse.</t>
  </si>
  <si>
    <t>Trimestre suivant</t>
  </si>
  <si>
    <t>Déposer les fichiers pays et Taux.xlsx dans QX_20XX puis relancer le programme avec le même fichier d'historique.</t>
  </si>
  <si>
    <t>Nouvelle exécution</t>
  </si>
  <si>
    <t>Le trimestre est remplacé, sans doublon. Les autres trimestres conservent leurs valeurs source et leurs propres taux.</t>
  </si>
  <si>
    <t>Tableaux Excel</t>
  </si>
  <si>
    <t>Filtrer les tables par trimestre et pays. Leur taille est reconstruite à chaque exécution. Ce ne sont pas des tableaux croisés dynamiques.</t>
  </si>
  <si>
    <t>Stock à traiter</t>
  </si>
  <si>
    <t>KPI_2 : stock initial moins les catégories traitées applicables au pays. KPI_3 fournit la répartition de ce stock.</t>
  </si>
  <si>
    <t>Stock identifié</t>
  </si>
  <si>
    <t>Stock à traiter plus les clients injoignables pour le modèle standard. Pour Nordics, stock à traiter hors CST non transmis.</t>
  </si>
  <si>
    <t>CST Nordics</t>
  </si>
  <si>
    <t>Le compte CST reçu séparément par courriel n'est pas disponible ici. Le stock total avec CST reste n.d. Aucun montant n'est inventé.</t>
  </si>
  <si>
    <t>Flux</t>
  </si>
  <si>
    <t>Six cohortes mensuelles observées à la date du reporting. Une cohorte peut être réévaluée au trimestre suivant.</t>
  </si>
  <si>
    <t>Efficacité</t>
  </si>
  <si>
    <t>Le ratio pondéré est total traité / total entrant. La cohorte M-5 correspond à l'indicateur trimestriel repris dans l'ancienne synthèse.</t>
  </si>
  <si>
    <t>Taux de change</t>
  </si>
  <si>
    <t>Montants locaux divisés par le taux de clôture (devise locale pour 1 EUR), pour les stocks comme pour les flux.</t>
  </si>
  <si>
    <t>Données absentes</t>
  </si>
  <si>
    <t>n.d. signifie non disponible ou non applicable. Les zéros numériques sont conservés. Une absence nécessaire rend le résultat indisponible.</t>
  </si>
  <si>
    <t>Source des calculs</t>
  </si>
  <si>
    <t>Les données proviennent des fichiers pays. Les fichiers source restent inchangés. Les calculs du classeur n'ont aucun lien externe.</t>
  </si>
  <si>
    <t>Formules source</t>
  </si>
  <si>
    <t>Le programme lit les résultats enregistrés par Excel. Il refuse les formules sans résultat en cache, mais ne peut pas détecter un cache ancien.</t>
  </si>
  <si>
    <t>Corrections</t>
  </si>
  <si>
    <t>Corriger les sources ou la configuration puis relancer Python. Les changements faits directement dans la sortie sont écrasés au prochain run.</t>
  </si>
  <si>
    <t>Contrôles</t>
  </si>
  <si>
    <t>Consulter Controles. Les observations d'import sont un constat à la génération, pas un contrôle automatique des modifications manuelles du classeur.</t>
  </si>
  <si>
    <t>Historique antérieur</t>
  </si>
  <si>
    <t>Il commence avec les trimestres importés. Aucune migration des anciens onglets de synthèse n'a été effectuée.</t>
  </si>
  <si>
    <t>Exceptions différées</t>
  </si>
  <si>
    <t>Roumanie, Brésil, correction Germany, chiffres UK et saisie du CST Nordics nécessitent des règles métier spécifiques ultérieures.</t>
  </si>
  <si>
    <t>Source totals and commentary</t>
  </si>
  <si>
    <t>Period</t>
  </si>
  <si>
    <t>Country</t>
  </si>
  <si>
    <t>Distribution</t>
  </si>
  <si>
    <t>Reported count</t>
  </si>
  <si>
    <t>Reported amount local</t>
  </si>
  <si>
    <t>stock_bins</t>
  </si>
  <si>
    <t>stock_vintages</t>
  </si>
  <si>
    <t>ITALY.xlsx!KPI_3!B11:D11</t>
  </si>
  <si>
    <t>ITALY.xlsx!KPI_3!B23:D23</t>
  </si>
  <si>
    <t>RCS.xlsx!KPI_3!B11:D11</t>
  </si>
  <si>
    <t>RCS.xlsx!KPI_3!B22:D22</t>
  </si>
  <si>
    <t>NORDICS.xlsx!DEN_KPI_3!B11:D11</t>
  </si>
  <si>
    <t>NORDICS.xlsx!DEN_KPI_3!B23:D23</t>
  </si>
  <si>
    <t>NORDICS.xlsx!NOR_KPI_3!B11:D11</t>
  </si>
  <si>
    <t>NORDICS.xlsx!NOR_KPI_3!B23:D23</t>
  </si>
  <si>
    <t>NORDICS.xlsx!SWE_KPI_3!B11:D11</t>
  </si>
  <si>
    <t>NORDICS.xlsx!SWE_KPI_3!B23:D23</t>
  </si>
  <si>
    <t>GLOBAL countries: Stock analysis</t>
  </si>
  <si>
    <t>Positive Balance     2026Q2     Source: country workbooks and Taux.xlsx     Internal</t>
  </si>
  <si>
    <t>Available source perimeter: 6 countries. Nordics stock excludes the separate CST account.</t>
  </si>
  <si>
    <t>GLOBAL stock matrix</t>
  </si>
  <si>
    <t>Prior identified EUR</t>
  </si>
  <si>
    <t>Current identified EUR</t>
  </si>
  <si>
    <t>Change</t>
  </si>
  <si>
    <t>Remaining EUR</t>
  </si>
  <si>
    <t>Identified &lt;2025</t>
  </si>
  <si>
    <t>Identified 2025</t>
  </si>
  <si>
    <t>Identified 2026</t>
  </si>
  <si>
    <t>Remaining &lt;2025</t>
  </si>
  <si>
    <t>Remaining 2025</t>
  </si>
  <si>
    <t>Remaining 2026</t>
  </si>
  <si>
    <t>Countries</t>
  </si>
  <si>
    <t>2026Q1</t>
  </si>
  <si>
    <t>Evolution
current / prior</t>
  </si>
  <si>
    <t>TOTAL available perimeter</t>
  </si>
  <si>
    <t>Identified stock = stock to be processed + unreachable customers where this category applies.</t>
  </si>
  <si>
    <t>The lower chart isolates stock still to be processed. Vintage buckets are calculated from KPI_2.</t>
  </si>
  <si>
    <t>2026Q1 has not been imported. The comparison is left unavailable.</t>
  </si>
  <si>
    <t>GLOBAL countries: Monthly inflow and treatment efficiency</t>
  </si>
  <si>
    <t>EUR amounts. M-5 efficiency uses the oldest cohort in each reporting snapshot. Available source perimeter: 6 countries. Nordics stock excludes the separate CST account.</t>
  </si>
  <si>
    <t>GLOBAL monthly by country</t>
  </si>
  <si>
    <t>Month</t>
  </si>
  <si>
    <t>Jan-26</t>
  </si>
  <si>
    <t>Feb-26</t>
  </si>
  <si>
    <t>Mar-26</t>
  </si>
  <si>
    <t>Apr-26</t>
  </si>
  <si>
    <t>May-26</t>
  </si>
  <si>
    <t>Jun-26</t>
  </si>
  <si>
    <t>GLOBAL oldest cohort comparison</t>
  </si>
  <si>
    <t>Prior number</t>
  </si>
  <si>
    <t>Current number</t>
  </si>
  <si>
    <t>Prior amount</t>
  </si>
  <si>
    <t>Current amount</t>
  </si>
  <si>
    <t>Monthly flow in EUR</t>
  </si>
  <si>
    <t>Monthly average</t>
  </si>
  <si>
    <t>Total available</t>
  </si>
  <si>
    <t>Efficiency in amount</t>
  </si>
  <si>
    <t>Efficiency in number</t>
  </si>
  <si>
    <t>Previous-quarter series are omitted until that snapshot is imported.</t>
  </si>
  <si>
    <t>CORE countries: Stock analysis</t>
  </si>
  <si>
    <t>Available source perimeter: 3 countries.</t>
  </si>
  <si>
    <t>core stock matrix</t>
  </si>
  <si>
    <t>CORE countries: Monthly inflow and treatment efficiency</t>
  </si>
  <si>
    <t>EUR amounts. M-5 efficiency uses the oldest cohort in each reporting snapshot. Available source perimeter: 3 countries.</t>
  </si>
  <si>
    <t>core monthly by country</t>
  </si>
  <si>
    <t>core oldest cohort comparison</t>
  </si>
  <si>
    <t>NON CORE countries: Stock analysis</t>
  </si>
  <si>
    <t>Available source perimeter: 3 countries. Nordics stock excludes the separate CST account.</t>
  </si>
  <si>
    <t>noncore stock matrix</t>
  </si>
  <si>
    <t>The vintage table excludes the separate CST accounts.</t>
  </si>
  <si>
    <t>Stock in EUR</t>
  </si>
  <si>
    <t>Total</t>
  </si>
  <si>
    <t>TOTAL available</t>
  </si>
  <si>
    <t>Waiting accounts for Nordics (CST)</t>
  </si>
  <si>
    <t>2026Q1 EUR</t>
  </si>
  <si>
    <t>2026Q2 EUR</t>
  </si>
  <si>
    <t>CST balances are received separately and are not present in the source workbooks.
Romania and Brazil are not included in this report.</t>
  </si>
  <si>
    <t>Reporting at 30 June 2026. Six monthly cohorts.</t>
  </si>
  <si>
    <t>AT monthly chart</t>
  </si>
  <si>
    <t>With client refund</t>
  </si>
  <si>
    <t>False positive balance</t>
  </si>
  <si>
    <t>To be processed</t>
  </si>
  <si>
    <t>Customer not reachable</t>
  </si>
  <si>
    <t>STOCK OF POSITIVE BALANCES
to be processed (KPI_3)</t>
  </si>
  <si>
    <t>Number of
contracts</t>
  </si>
  <si>
    <t>Total amount
EUR</t>
  </si>
  <si>
    <t>% in
number</t>
  </si>
  <si>
    <t>% in
amount</t>
  </si>
  <si>
    <t>By step of amount</t>
  </si>
  <si>
    <t>Total:</t>
  </si>
  <si>
    <t>By date of positive balance</t>
  </si>
  <si>
    <t>Some vintage details are missing. The reported total is retained.</t>
  </si>
  <si>
    <t>AT insight metrics</t>
  </si>
  <si>
    <t>Average contract</t>
  </si>
  <si>
    <t>M-5 amount</t>
  </si>
  <si>
    <t>M-5 count</t>
  </si>
  <si>
    <t>Remaining</t>
  </si>
  <si>
    <t>Identified</t>
  </si>
  <si>
    <t>Prior-quarter comparison unavailable: no 2026Q1 source snapshot has been imported.</t>
  </si>
  <si>
    <t>IT monthly chart</t>
  </si>
  <si>
    <t>IT insight metrics</t>
  </si>
  <si>
    <t>South Africa in ZAR</t>
  </si>
  <si>
    <t>ZA monthly chart</t>
  </si>
  <si>
    <t>Total amount
ZAR</t>
  </si>
  <si>
    <t>Amount bands omitted: source distribution is not informative.</t>
  </si>
  <si>
    <t>ZA insight metrics</t>
  </si>
  <si>
    <t>Denmark in DKK</t>
  </si>
  <si>
    <t>DK monthly chart</t>
  </si>
  <si>
    <t>Public authority refund</t>
  </si>
  <si>
    <t>Other processing without refund</t>
  </si>
  <si>
    <t>Total amount
DKK</t>
  </si>
  <si>
    <t>DK insight metrics</t>
  </si>
  <si>
    <t>Separate CST account not supplied. Identified stock excludes CST.</t>
  </si>
  <si>
    <t>Norway in NOK</t>
  </si>
  <si>
    <t>NO monthly chart</t>
  </si>
  <si>
    <t>Total amount
NOK</t>
  </si>
  <si>
    <t>NO insight metrics</t>
  </si>
  <si>
    <t>Sweden in SEK</t>
  </si>
  <si>
    <t>SE monthly chart</t>
  </si>
  <si>
    <t>Total amount
SEK</t>
  </si>
  <si>
    <t>SE insight metrics</t>
  </si>
  <si>
    <t>Les pages détaillées présentent le trimestre généré. Relancer Python avec --report detailed ou both pour le trimestre suivant.</t>
  </si>
  <si>
    <t>Les vues Global/Core/Non Core couvrent uniquement les pays configurés et importés.</t>
  </si>
</sst>
</file>

<file path=xl/styles.xml><?xml version="1.0" encoding="utf-8"?>
<styleSheet xmlns="http://schemas.openxmlformats.org/spreadsheetml/2006/main">
  <numFmts count="6">
    <numFmt numFmtId="164" formatCode="#,##0;(#,##0);&quot;–&quot;"/>
    <numFmt numFmtId="165" formatCode="0.0%"/>
    <numFmt numFmtId="166" formatCode="dd/mm/yyyy"/>
    <numFmt numFmtId="167" formatCode="0.00000000"/>
    <numFmt numFmtId="168" formatCode="#,##0.00;(#,##0.00);&quot;–&quot;"/>
    <numFmt numFmtId="169" formatCode="mmm-yy"/>
  </numFmts>
  <fonts count="15">
    <font>
      <sz val="11"/>
      <color theme="1"/>
      <name val="Calibri"/>
      <family val="2"/>
      <scheme val="minor"/>
    </font>
    <font>
      <sz val="23"/>
      <color rgb="FF173331"/>
      <name val="Arial"/>
      <family val="2"/>
    </font>
    <font>
      <sz val="9"/>
      <color rgb="FF526269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2"/>
      <color rgb="FF263A42"/>
      <name val="Arial"/>
      <family val="2"/>
    </font>
    <font>
      <sz val="8"/>
      <color rgb="FF526269"/>
      <name val="Arial"/>
      <family val="2"/>
    </font>
    <font>
      <b/>
      <sz val="24"/>
      <color rgb="FFFFFFFF"/>
      <name val="Arial"/>
      <family val="2"/>
    </font>
    <font>
      <b/>
      <sz val="10"/>
      <color rgb="FF00627A"/>
      <name val="Arial"/>
      <family val="2"/>
    </font>
    <font>
      <b/>
      <sz val="16"/>
      <color rgb="FF16324F"/>
      <name val="Arial"/>
      <family val="2"/>
    </font>
    <font>
      <i/>
      <sz val="10"/>
      <color rgb="FF566474"/>
      <name val="Arial"/>
      <family val="2"/>
    </font>
    <font>
      <b/>
      <sz val="10"/>
      <color rgb="FFFFFFFF"/>
      <name val="Arial"/>
      <family val="2"/>
    </font>
    <font>
      <i/>
      <sz val="10"/>
      <color theme="1"/>
      <name val="Arial"/>
      <family val="2"/>
    </font>
    <font>
      <sz val="10"/>
      <color rgb="FF993B15"/>
      <name val="Arial"/>
      <family val="2"/>
    </font>
    <font>
      <b/>
      <sz val="10"/>
      <color rgb="FF16324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77B900"/>
        <bgColor indexed="64"/>
      </patternFill>
    </fill>
    <fill>
      <patternFill patternType="solid">
        <fgColor rgb="FFEAF3F4"/>
        <bgColor indexed="64"/>
      </patternFill>
    </fill>
    <fill>
      <patternFill patternType="solid">
        <fgColor rgb="FFB7DDE8"/>
        <bgColor indexed="64"/>
      </patternFill>
    </fill>
    <fill>
      <patternFill patternType="solid">
        <fgColor rgb="FF00627A"/>
        <bgColor indexed="64"/>
      </patternFill>
    </fill>
    <fill>
      <patternFill patternType="solid">
        <fgColor rgb="FF16324F"/>
        <bgColor indexed="64"/>
      </patternFill>
    </fill>
    <fill>
      <patternFill patternType="solid">
        <fgColor rgb="FF18334F"/>
        <bgColor indexed="64"/>
      </patternFill>
    </fill>
  </fills>
  <borders count="4">
    <border>
      <left/>
      <right/>
      <top/>
      <bottom/>
      <diagonal/>
    </border>
    <border>
      <left style="thin">
        <color rgb="FF607D8B"/>
      </left>
      <right style="thin">
        <color rgb="FF607D8B"/>
      </right>
      <top style="thin">
        <color rgb="FF607D8B"/>
      </top>
      <bottom style="thin">
        <color rgb="FF607D8B"/>
      </bottom>
      <diagonal/>
    </border>
    <border>
      <left style="thin">
        <color rgb="FF8B969B"/>
      </left>
      <right style="thin">
        <color rgb="FF8B969B"/>
      </right>
      <top style="thin">
        <color rgb="FF8B969B"/>
      </top>
      <bottom style="thin">
        <color rgb="FF8B969B"/>
      </bottom>
      <diagonal/>
    </border>
    <border>
      <left/>
      <right/>
      <top/>
      <bottom style="thin">
        <color rgb="FF9DAAB6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/>
    </xf>
    <xf numFmtId="164" fontId="4" fillId="0" borderId="2" xfId="0" applyNumberFormat="1" applyFont="1" applyBorder="1" applyAlignment="1">
      <alignment horizontal="right" vertical="center"/>
    </xf>
    <xf numFmtId="165" fontId="4" fillId="0" borderId="2" xfId="0" applyNumberFormat="1" applyFont="1" applyBorder="1" applyAlignment="1">
      <alignment horizontal="right" vertical="center"/>
    </xf>
    <xf numFmtId="164" fontId="3" fillId="4" borderId="1" xfId="0" applyNumberFormat="1" applyFont="1" applyFill="1" applyBorder="1" applyAlignment="1">
      <alignment horizontal="right" vertical="center"/>
    </xf>
    <xf numFmtId="165" fontId="3" fillId="4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center"/>
    </xf>
    <xf numFmtId="0" fontId="0" fillId="5" borderId="0" xfId="0" applyFill="1"/>
    <xf numFmtId="0" fontId="7" fillId="5" borderId="0" xfId="0" applyFont="1" applyFill="1" applyAlignment="1">
      <alignment vertical="center"/>
    </xf>
    <xf numFmtId="166" fontId="8" fillId="3" borderId="1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6" borderId="0" xfId="0" applyFont="1" applyFill="1" applyAlignment="1">
      <alignment horizontal="center" vertical="center" wrapText="1"/>
    </xf>
    <xf numFmtId="167" fontId="4" fillId="0" borderId="0" xfId="0" applyNumberFormat="1" applyFont="1" applyAlignment="1">
      <alignment horizontal="right" vertical="center"/>
    </xf>
    <xf numFmtId="168" fontId="4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165" fontId="12" fillId="0" borderId="0" xfId="0" applyNumberFormat="1" applyFont="1" applyAlignment="1">
      <alignment horizontal="right" vertical="center"/>
    </xf>
    <xf numFmtId="0" fontId="13" fillId="0" borderId="0" xfId="0" applyFont="1" applyAlignment="1">
      <alignment horizontal="right" vertical="center"/>
    </xf>
    <xf numFmtId="169" fontId="4" fillId="0" borderId="0" xfId="0" applyNumberFormat="1" applyFont="1" applyAlignment="1">
      <alignment vertical="center"/>
    </xf>
    <xf numFmtId="166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 wrapText="1"/>
    </xf>
    <xf numFmtId="0" fontId="14" fillId="0" borderId="3" xfId="0" applyFont="1" applyBorder="1" applyAlignment="1">
      <alignment vertical="center"/>
    </xf>
    <xf numFmtId="0" fontId="4" fillId="0" borderId="0" xfId="0" applyFont="1" applyAlignment="1">
      <alignment vertical="top" wrapText="1"/>
    </xf>
    <xf numFmtId="0" fontId="11" fillId="7" borderId="0" xfId="0" applyFont="1" applyFill="1" applyAlignment="1">
      <alignment vertical="center" wrapText="1"/>
    </xf>
    <xf numFmtId="168" fontId="4" fillId="0" borderId="0" xfId="0" applyNumberFormat="1" applyFont="1" applyAlignment="1">
      <alignment vertical="center"/>
    </xf>
  </cellXfs>
  <cellStyles count="1">
    <cellStyle name="Normal" xfId="0" builtinId="0"/>
  </cellStyles>
  <dxfs count="3">
    <dxf>
      <font>
        <color rgb="FF993B15"/>
      </font>
    </dxf>
    <dxf>
      <font>
        <color rgb="FF993B15"/>
      </font>
      <fill>
        <patternFill>
          <bgColor rgb="FFFFF0E3"/>
        </patternFill>
      </fill>
    </dxf>
    <dxf>
      <border>
        <left style="thin">
          <color rgb="FF6C9EA8"/>
        </left>
        <right style="thin">
          <color rgb="FF6C9EA8"/>
        </right>
        <top style="thin">
          <color rgb="FF6C9EA8"/>
        </top>
        <bottom style="thin">
          <color rgb="FF6C9EA8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0" baseline="0">
                <a:latin typeface="Arial"/>
              </a:defRPr>
            </a:pPr>
            <a:r>
              <a:rPr lang="en-US" sz="1100" b="0" baseline="0">
                <a:latin typeface="Arial"/>
              </a:rPr>
              <a:t>Total identified stock in EUR: 2026Q2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&lt;2025</c:v>
          </c:tx>
          <c:spPr>
            <a:solidFill>
              <a:srgbClr val="0095B6"/>
            </a:solidFill>
            <a:ln>
              <a:noFill/>
            </a:ln>
          </c:spPr>
          <c:cat>
            <c:strRef>
              <c:f>GraphData!$A$7:$A$12</c:f>
              <c:strCache>
                <c:ptCount val="6"/>
                <c:pt idx="0">
                  <c:v>Austria</c:v>
                </c:pt>
                <c:pt idx="1">
                  <c:v>Italy</c:v>
                </c:pt>
                <c:pt idx="2">
                  <c:v>South Africa</c:v>
                </c:pt>
                <c:pt idx="3">
                  <c:v>Denmark</c:v>
                </c:pt>
                <c:pt idx="4">
                  <c:v>Norway</c:v>
                </c:pt>
                <c:pt idx="5">
                  <c:v>Sweden</c:v>
                </c:pt>
              </c:strCache>
            </c:strRef>
          </c:cat>
          <c:val>
            <c:numRef>
              <c:f>GraphData!$F$7:$F$12</c:f>
              <c:numCache>
                <c:formatCode>General</c:formatCode>
                <c:ptCount val="6"/>
                <c:pt idx="0">
                  <c:v>6177.090000000084</c:v>
                </c:pt>
                <c:pt idx="1">
                  <c:v>1852194.770000015</c:v>
                </c:pt>
                <c:pt idx="2">
                  <c:v>870959.942228234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</c:numCache>
            </c:numRef>
          </c:val>
        </c:ser>
        <c:ser>
          <c:idx val="1"/>
          <c:order val="1"/>
          <c:tx>
            <c:v>2025</c:v>
          </c:tx>
          <c:spPr>
            <a:solidFill>
              <a:srgbClr val="D9A72C"/>
            </a:solidFill>
            <a:ln>
              <a:noFill/>
            </a:ln>
          </c:spPr>
          <c:cat>
            <c:strRef>
              <c:f>GraphData!$A$7:$A$12</c:f>
              <c:strCache>
                <c:ptCount val="6"/>
                <c:pt idx="0">
                  <c:v>Austria</c:v>
                </c:pt>
                <c:pt idx="1">
                  <c:v>Italy</c:v>
                </c:pt>
                <c:pt idx="2">
                  <c:v>South Africa</c:v>
                </c:pt>
                <c:pt idx="3">
                  <c:v>Denmark</c:v>
                </c:pt>
                <c:pt idx="4">
                  <c:v>Norway</c:v>
                </c:pt>
                <c:pt idx="5">
                  <c:v>Sweden</c:v>
                </c:pt>
              </c:strCache>
            </c:strRef>
          </c:cat>
          <c:val>
            <c:numRef>
              <c:f>GraphData!$G$7:$G$12</c:f>
              <c:numCache>
                <c:formatCode>General</c:formatCode>
                <c:ptCount val="6"/>
                <c:pt idx="0">
                  <c:v>429.87999999994645</c:v>
                </c:pt>
                <c:pt idx="1">
                  <c:v>360502.4800000027</c:v>
                </c:pt>
                <c:pt idx="2">
                  <c:v>390377.8429580314</c:v>
                </c:pt>
                <c:pt idx="3">
                  <c:v>3.1149282887958525e-11</c:v>
                </c:pt>
                <c:pt idx="4">
                  <c:v>4.116792432240542e-11</c:v>
                </c:pt>
                <c:pt idx="5">
                  <c:v>0.0</c:v>
                </c:pt>
              </c:numCache>
            </c:numRef>
          </c:val>
        </c:ser>
        <c:ser>
          <c:idx val="2"/>
          <c:order val="2"/>
          <c:tx>
            <c:v>2026</c:v>
          </c:tx>
          <c:spPr>
            <a:solidFill>
              <a:srgbClr val="77B900"/>
            </a:solidFill>
            <a:ln>
              <a:noFill/>
            </a:ln>
          </c:spPr>
          <c:cat>
            <c:strRef>
              <c:f>GraphData!$A$7:$A$12</c:f>
              <c:strCache>
                <c:ptCount val="6"/>
                <c:pt idx="0">
                  <c:v>Austria</c:v>
                </c:pt>
                <c:pt idx="1">
                  <c:v>Italy</c:v>
                </c:pt>
                <c:pt idx="2">
                  <c:v>South Africa</c:v>
                </c:pt>
                <c:pt idx="3">
                  <c:v>Denmark</c:v>
                </c:pt>
                <c:pt idx="4">
                  <c:v>Norway</c:v>
                </c:pt>
                <c:pt idx="5">
                  <c:v>Sweden</c:v>
                </c:pt>
              </c:strCache>
            </c:strRef>
          </c:cat>
          <c:val>
            <c:numRef>
              <c:f>GraphData!$H$7:$H$12</c:f>
              <c:numCache>
                <c:formatCode>General</c:formatCode>
                <c:ptCount val="6"/>
                <c:pt idx="0">
                  <c:v>5385.319999999949</c:v>
                </c:pt>
                <c:pt idx="1">
                  <c:v>914448.7000000004</c:v>
                </c:pt>
                <c:pt idx="2">
                  <c:v>643743.1436407889</c:v>
                </c:pt>
                <c:pt idx="3">
                  <c:v>24388.740092077365</c:v>
                </c:pt>
                <c:pt idx="4">
                  <c:v>10807.63855577915</c:v>
                </c:pt>
                <c:pt idx="5">
                  <c:v>14140.068998832623</c:v>
                </c:pt>
              </c:numCache>
            </c:numRef>
          </c:val>
        </c:ser>
        <c:gapWidth val="85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BAC5CA"/>
            </a:solidFill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0"/>
        </c:scaling>
        <c:axPos val="l"/>
        <c:majorGridlines>
          <c:spPr>
            <a:ln w="6350">
              <a:solidFill>
                <a:srgbClr val="DDE3E5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8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CFD8DC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0" baseline="0">
                <a:latin typeface="Arial"/>
              </a:defRPr>
            </a:pPr>
            <a:r>
              <a:rPr lang="en-US" sz="1100" b="0" baseline="0">
                <a:latin typeface="Arial"/>
              </a:rPr>
              <a:t>Stock to be processed in EUR: 2026Q2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&lt;2025</c:v>
          </c:tx>
          <c:spPr>
            <a:solidFill>
              <a:srgbClr val="0095B6"/>
            </a:solidFill>
            <a:ln>
              <a:noFill/>
            </a:ln>
          </c:spPr>
          <c:cat>
            <c:strRef>
              <c:f>GraphData!$A$7:$A$12</c:f>
              <c:strCache>
                <c:ptCount val="6"/>
                <c:pt idx="0">
                  <c:v>Austria</c:v>
                </c:pt>
                <c:pt idx="1">
                  <c:v>Italy</c:v>
                </c:pt>
                <c:pt idx="2">
                  <c:v>South Africa</c:v>
                </c:pt>
                <c:pt idx="3">
                  <c:v>Denmark</c:v>
                </c:pt>
                <c:pt idx="4">
                  <c:v>Norway</c:v>
                </c:pt>
                <c:pt idx="5">
                  <c:v>Sweden</c:v>
                </c:pt>
              </c:strCache>
            </c:strRef>
          </c:cat>
          <c:val>
            <c:numRef>
              <c:f>GraphData!$I$7:$I$12</c:f>
              <c:numCache>
                <c:formatCode>General</c:formatCode>
                <c:ptCount val="6"/>
                <c:pt idx="0">
                  <c:v>6177.090000000084</c:v>
                </c:pt>
                <c:pt idx="1">
                  <c:v>1.4901161193847656e-08</c:v>
                </c:pt>
                <c:pt idx="2">
                  <c:v>631164.9624046487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</c:numCache>
            </c:numRef>
          </c:val>
        </c:ser>
        <c:ser>
          <c:idx val="1"/>
          <c:order val="1"/>
          <c:tx>
            <c:v>2025</c:v>
          </c:tx>
          <c:spPr>
            <a:solidFill>
              <a:srgbClr val="D9A72C"/>
            </a:solidFill>
            <a:ln>
              <a:noFill/>
            </a:ln>
          </c:spPr>
          <c:cat>
            <c:strRef>
              <c:f>GraphData!$A$7:$A$12</c:f>
              <c:strCache>
                <c:ptCount val="6"/>
                <c:pt idx="0">
                  <c:v>Austria</c:v>
                </c:pt>
                <c:pt idx="1">
                  <c:v>Italy</c:v>
                </c:pt>
                <c:pt idx="2">
                  <c:v>South Africa</c:v>
                </c:pt>
                <c:pt idx="3">
                  <c:v>Denmark</c:v>
                </c:pt>
                <c:pt idx="4">
                  <c:v>Norway</c:v>
                </c:pt>
                <c:pt idx="5">
                  <c:v>Sweden</c:v>
                </c:pt>
              </c:strCache>
            </c:strRef>
          </c:cat>
          <c:val>
            <c:numRef>
              <c:f>GraphData!$J$7:$J$12</c:f>
              <c:numCache>
                <c:formatCode>General</c:formatCode>
                <c:ptCount val="6"/>
                <c:pt idx="0">
                  <c:v>429.87999999994645</c:v>
                </c:pt>
                <c:pt idx="1">
                  <c:v>137167.63000000268</c:v>
                </c:pt>
                <c:pt idx="2">
                  <c:v>390377.8429580314</c:v>
                </c:pt>
                <c:pt idx="3">
                  <c:v>3.1149282887958525e-11</c:v>
                </c:pt>
                <c:pt idx="4">
                  <c:v>4.116792432240542e-11</c:v>
                </c:pt>
                <c:pt idx="5">
                  <c:v>0.0</c:v>
                </c:pt>
              </c:numCache>
            </c:numRef>
          </c:val>
        </c:ser>
        <c:ser>
          <c:idx val="2"/>
          <c:order val="2"/>
          <c:tx>
            <c:v>2026</c:v>
          </c:tx>
          <c:spPr>
            <a:solidFill>
              <a:srgbClr val="77B900"/>
            </a:solidFill>
            <a:ln>
              <a:noFill/>
            </a:ln>
          </c:spPr>
          <c:cat>
            <c:strRef>
              <c:f>GraphData!$A$7:$A$12</c:f>
              <c:strCache>
                <c:ptCount val="6"/>
                <c:pt idx="0">
                  <c:v>Austria</c:v>
                </c:pt>
                <c:pt idx="1">
                  <c:v>Italy</c:v>
                </c:pt>
                <c:pt idx="2">
                  <c:v>South Africa</c:v>
                </c:pt>
                <c:pt idx="3">
                  <c:v>Denmark</c:v>
                </c:pt>
                <c:pt idx="4">
                  <c:v>Norway</c:v>
                </c:pt>
                <c:pt idx="5">
                  <c:v>Sweden</c:v>
                </c:pt>
              </c:strCache>
            </c:strRef>
          </c:cat>
          <c:val>
            <c:numRef>
              <c:f>GraphData!$K$7:$K$12</c:f>
              <c:numCache>
                <c:formatCode>General</c:formatCode>
                <c:ptCount val="6"/>
                <c:pt idx="0">
                  <c:v>5385.319999999949</c:v>
                </c:pt>
                <c:pt idx="1">
                  <c:v>650258.6100000003</c:v>
                </c:pt>
                <c:pt idx="2">
                  <c:v>643743.1436407889</c:v>
                </c:pt>
                <c:pt idx="3">
                  <c:v>24388.740092077365</c:v>
                </c:pt>
                <c:pt idx="4">
                  <c:v>10807.63855577915</c:v>
                </c:pt>
                <c:pt idx="5">
                  <c:v>14140.068998832623</c:v>
                </c:pt>
              </c:numCache>
            </c:numRef>
          </c:val>
        </c:ser>
        <c:gapWidth val="85"/>
        <c:overlap val="100"/>
        <c:axId val="50020001"/>
        <c:axId val="50020002"/>
      </c:barChart>
      <c:catAx>
        <c:axId val="5002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BAC5CA"/>
            </a:solidFill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in val="0"/>
        </c:scaling>
        <c:axPos val="l"/>
        <c:majorGridlines>
          <c:spPr>
            <a:ln w="6350">
              <a:solidFill>
                <a:srgbClr val="DDE3E5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2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8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CFD8DC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0" baseline="0">
                <a:latin typeface="Arial"/>
              </a:defRPr>
            </a:pPr>
            <a:r>
              <a:rPr lang="en-US" sz="1100" b="0" baseline="0">
                <a:latin typeface="Arial"/>
              </a:rPr>
              <a:t>Monthly flow in EUR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Austria</c:v>
          </c:tx>
          <c:spPr>
            <a:solidFill>
              <a:srgbClr val="00627A"/>
            </a:solidFill>
            <a:ln>
              <a:noFill/>
            </a:ln>
          </c:spPr>
          <c:cat>
            <c:strRef>
              <c:f>GraphData!$A$18:$A$23</c:f>
              <c:strCache>
                <c:ptCount val="6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</c:strCache>
            </c:strRef>
          </c:cat>
          <c:val>
            <c:numRef>
              <c:f>GraphData!$B$18:$B$23</c:f>
              <c:numCache>
                <c:formatCode>General</c:formatCode>
                <c:ptCount val="6"/>
                <c:pt idx="0">
                  <c:v>4213.139999999999</c:v>
                </c:pt>
                <c:pt idx="1">
                  <c:v>6335.460000000001</c:v>
                </c:pt>
                <c:pt idx="2">
                  <c:v>25273.230000000007</c:v>
                </c:pt>
                <c:pt idx="3">
                  <c:v>4747.0199999999995</c:v>
                </c:pt>
                <c:pt idx="4">
                  <c:v>11020.09</c:v>
                </c:pt>
                <c:pt idx="5">
                  <c:v>3156.52</c:v>
                </c:pt>
              </c:numCache>
            </c:numRef>
          </c:val>
        </c:ser>
        <c:ser>
          <c:idx val="1"/>
          <c:order val="1"/>
          <c:tx>
            <c:v>Italy</c:v>
          </c:tx>
          <c:spPr>
            <a:solidFill>
              <a:srgbClr val="B75132"/>
            </a:solidFill>
            <a:ln>
              <a:noFill/>
            </a:ln>
          </c:spPr>
          <c:cat>
            <c:strRef>
              <c:f>GraphData!$A$18:$A$23</c:f>
              <c:strCache>
                <c:ptCount val="6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</c:strCache>
            </c:strRef>
          </c:cat>
          <c:val>
            <c:numRef>
              <c:f>GraphData!$C$18:$C$23</c:f>
              <c:numCache>
                <c:formatCode>General</c:formatCode>
                <c:ptCount val="6"/>
                <c:pt idx="0">
                  <c:v>946898.0699999998</c:v>
                </c:pt>
                <c:pt idx="1">
                  <c:v>951551.9400000002</c:v>
                </c:pt>
                <c:pt idx="2">
                  <c:v>1177760.6300000004</c:v>
                </c:pt>
                <c:pt idx="3">
                  <c:v>1199203.7600000002</c:v>
                </c:pt>
                <c:pt idx="4">
                  <c:v>1425617.0999999999</c:v>
                </c:pt>
                <c:pt idx="5">
                  <c:v>977488.48</c:v>
                </c:pt>
              </c:numCache>
            </c:numRef>
          </c:val>
        </c:ser>
        <c:ser>
          <c:idx val="2"/>
          <c:order val="2"/>
          <c:tx>
            <c:v>South Africa</c:v>
          </c:tx>
          <c:spPr>
            <a:solidFill>
              <a:srgbClr val="4AA3B2"/>
            </a:solidFill>
            <a:ln>
              <a:noFill/>
            </a:ln>
          </c:spPr>
          <c:cat>
            <c:strRef>
              <c:f>GraphData!$A$18:$A$23</c:f>
              <c:strCache>
                <c:ptCount val="6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</c:strCache>
            </c:strRef>
          </c:cat>
          <c:val>
            <c:numRef>
              <c:f>GraphData!$D$18:$D$23</c:f>
              <c:numCache>
                <c:formatCode>General</c:formatCode>
                <c:ptCount val="6"/>
                <c:pt idx="0">
                  <c:v>160859.28958910215</c:v>
                </c:pt>
                <c:pt idx="1">
                  <c:v>171151.71522889973</c:v>
                </c:pt>
                <c:pt idx="2">
                  <c:v>211900.11445754557</c:v>
                </c:pt>
                <c:pt idx="3">
                  <c:v>200004.47646038115</c:v>
                </c:pt>
                <c:pt idx="4">
                  <c:v>206318.82634950857</c:v>
                </c:pt>
                <c:pt idx="5">
                  <c:v>225610.21334228964</c:v>
                </c:pt>
              </c:numCache>
            </c:numRef>
          </c:val>
        </c:ser>
        <c:ser>
          <c:idx val="3"/>
          <c:order val="3"/>
          <c:tx>
            <c:v>Denmark</c:v>
          </c:tx>
          <c:spPr>
            <a:solidFill>
              <a:srgbClr val="7E245A"/>
            </a:solidFill>
            <a:ln>
              <a:noFill/>
            </a:ln>
          </c:spPr>
          <c:cat>
            <c:strRef>
              <c:f>GraphData!$A$18:$A$23</c:f>
              <c:strCache>
                <c:ptCount val="6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</c:strCache>
            </c:strRef>
          </c:cat>
          <c:val>
            <c:numRef>
              <c:f>GraphData!$E$18:$E$23</c:f>
              <c:numCache>
                <c:formatCode>General</c:formatCode>
                <c:ptCount val="6"/>
                <c:pt idx="0">
                  <c:v>17477.167727729862</c:v>
                </c:pt>
                <c:pt idx="1">
                  <c:v>34334.789798315505</c:v>
                </c:pt>
                <c:pt idx="2">
                  <c:v>14889.542156133957</c:v>
                </c:pt>
                <c:pt idx="3">
                  <c:v>15036.561334597973</c:v>
                </c:pt>
                <c:pt idx="4">
                  <c:v>21741.321922812047</c:v>
                </c:pt>
                <c:pt idx="5">
                  <c:v>11699.288059775461</c:v>
                </c:pt>
              </c:numCache>
            </c:numRef>
          </c:val>
        </c:ser>
        <c:ser>
          <c:idx val="4"/>
          <c:order val="4"/>
          <c:tx>
            <c:v>Norway</c:v>
          </c:tx>
          <c:spPr>
            <a:solidFill>
              <a:srgbClr val="549742"/>
            </a:solidFill>
            <a:ln>
              <a:noFill/>
            </a:ln>
          </c:spPr>
          <c:cat>
            <c:strRef>
              <c:f>GraphData!$A$18:$A$23</c:f>
              <c:strCache>
                <c:ptCount val="6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</c:strCache>
            </c:strRef>
          </c:cat>
          <c:val>
            <c:numRef>
              <c:f>GraphData!$F$18:$F$23</c:f>
              <c:numCache>
                <c:formatCode>General</c:formatCode>
                <c:ptCount val="6"/>
                <c:pt idx="0">
                  <c:v>9980.063542240587</c:v>
                </c:pt>
                <c:pt idx="1">
                  <c:v>6024.428043939176</c:v>
                </c:pt>
                <c:pt idx="2">
                  <c:v>21895.59059521449</c:v>
                </c:pt>
                <c:pt idx="3">
                  <c:v>5086.4277120921115</c:v>
                </c:pt>
                <c:pt idx="4">
                  <c:v>12779.2545227119</c:v>
                </c:pt>
                <c:pt idx="5">
                  <c:v>5700.042565222784</c:v>
                </c:pt>
              </c:numCache>
            </c:numRef>
          </c:val>
        </c:ser>
        <c:ser>
          <c:idx val="5"/>
          <c:order val="5"/>
          <c:tx>
            <c:v>Sweden</c:v>
          </c:tx>
          <c:spPr>
            <a:solidFill>
              <a:srgbClr val="D9A72C"/>
            </a:solidFill>
            <a:ln>
              <a:noFill/>
            </a:ln>
          </c:spPr>
          <c:cat>
            <c:strRef>
              <c:f>GraphData!$A$18:$A$23</c:f>
              <c:strCache>
                <c:ptCount val="6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</c:strCache>
            </c:strRef>
          </c:cat>
          <c:val>
            <c:numRef>
              <c:f>GraphData!$G$18:$G$23</c:f>
              <c:numCache>
                <c:formatCode>General</c:formatCode>
                <c:ptCount val="6"/>
                <c:pt idx="0">
                  <c:v>22420.14212032177</c:v>
                </c:pt>
                <c:pt idx="1">
                  <c:v>10812.55486229284</c:v>
                </c:pt>
                <c:pt idx="2">
                  <c:v>65066.57262199842</c:v>
                </c:pt>
                <c:pt idx="3">
                  <c:v>34684.351743112114</c:v>
                </c:pt>
                <c:pt idx="4">
                  <c:v>12378.13153772663</c:v>
                </c:pt>
                <c:pt idx="5">
                  <c:v>25058.2166752549</c:v>
                </c:pt>
              </c:numCache>
            </c:numRef>
          </c:val>
        </c:ser>
        <c:overlap val="100"/>
        <c:axId val="50030001"/>
        <c:axId val="50030002"/>
      </c:barChart>
      <c:catAx>
        <c:axId val="5003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BAC5CA"/>
            </a:solidFill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in val="0"/>
        </c:scaling>
        <c:axPos val="l"/>
        <c:majorGridlines>
          <c:spPr>
            <a:ln w="6350">
              <a:solidFill>
                <a:srgbClr val="DDE3E5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3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8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CFD8DC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0" baseline="0">
                <a:latin typeface="Arial"/>
              </a:defRPr>
            </a:pPr>
            <a:r>
              <a:rPr lang="en-US" sz="1100" b="0" baseline="0">
                <a:latin typeface="Arial"/>
              </a:rPr>
              <a:t>Efficiency after 6 months (M-5 cohort)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Number 2026Q2</c:v>
          </c:tx>
          <c:spPr>
            <a:solidFill>
              <a:srgbClr val="0095B6"/>
            </a:solidFill>
            <a:ln>
              <a:noFill/>
            </a:ln>
          </c:spPr>
          <c:cat>
            <c:strRef>
              <c:f>GraphData!$A$29:$A$34</c:f>
              <c:strCache>
                <c:ptCount val="6"/>
                <c:pt idx="0">
                  <c:v>Austria</c:v>
                </c:pt>
                <c:pt idx="1">
                  <c:v>Italy</c:v>
                </c:pt>
                <c:pt idx="2">
                  <c:v>South Africa</c:v>
                </c:pt>
                <c:pt idx="3">
                  <c:v>Denmark</c:v>
                </c:pt>
                <c:pt idx="4">
                  <c:v>Norway</c:v>
                </c:pt>
                <c:pt idx="5">
                  <c:v>Sweden</c:v>
                </c:pt>
              </c:strCache>
            </c:strRef>
          </c:cat>
          <c:val>
            <c:numRef>
              <c:f>GraphData!$C$29:$C$34</c:f>
              <c:numCache>
                <c:formatCode>General</c:formatCode>
                <c:ptCount val="6"/>
                <c:pt idx="0">
                  <c:v>0.7727272727272727</c:v>
                </c:pt>
                <c:pt idx="1">
                  <c:v>0.9484958979033729</c:v>
                </c:pt>
                <c:pt idx="2">
                  <c:v>0.8549981233579382</c:v>
                </c:pt>
                <c:pt idx="3">
                  <c:v>1.0</c:v>
                </c:pt>
                <c:pt idx="4">
                  <c:v>0.9924812030075187</c:v>
                </c:pt>
                <c:pt idx="5">
                  <c:v>1.0</c:v>
                </c:pt>
              </c:numCache>
            </c:numRef>
          </c:val>
        </c:ser>
        <c:axId val="50040001"/>
        <c:axId val="50040002"/>
      </c:barChart>
      <c:lineChart>
        <c:grouping val="standard"/>
        <c:ser>
          <c:idx val="1"/>
          <c:order val="1"/>
          <c:tx>
            <c:v>Amount 2026Q2</c:v>
          </c:tx>
          <c:spPr>
            <a:ln w="25400">
              <a:solidFill>
                <a:srgbClr val="C04040"/>
              </a:solidFill>
              <a:prstDash val="solid"/>
            </a:ln>
          </c:spPr>
          <c:marker>
            <c:symbol val="none"/>
          </c:marker>
          <c:cat>
            <c:strRef>
              <c:f>GraphData!$A$29:$A$34</c:f>
              <c:strCache>
                <c:ptCount val="6"/>
                <c:pt idx="0">
                  <c:v>Austria</c:v>
                </c:pt>
                <c:pt idx="1">
                  <c:v>Italy</c:v>
                </c:pt>
                <c:pt idx="2">
                  <c:v>South Africa</c:v>
                </c:pt>
                <c:pt idx="3">
                  <c:v>Denmark</c:v>
                </c:pt>
                <c:pt idx="4">
                  <c:v>Norway</c:v>
                </c:pt>
                <c:pt idx="5">
                  <c:v>Sweden</c:v>
                </c:pt>
              </c:strCache>
            </c:strRef>
          </c:cat>
          <c:val>
            <c:numRef>
              <c:f>GraphData!$E$29:$E$34</c:f>
              <c:numCache>
                <c:formatCode>General</c:formatCode>
                <c:ptCount val="6"/>
                <c:pt idx="0">
                  <c:v>0.9008720336850898</c:v>
                </c:pt>
                <c:pt idx="1">
                  <c:v>0.9843784875387906</c:v>
                </c:pt>
                <c:pt idx="2">
                  <c:v>0.6493430482328113</c:v>
                </c:pt>
                <c:pt idx="3">
                  <c:v>1.0</c:v>
                </c:pt>
                <c:pt idx="4">
                  <c:v>0.9410164877948007</c:v>
                </c:pt>
                <c:pt idx="5">
                  <c:v>0.9999999999999999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BAC5CA"/>
            </a:solidFill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  <c:max val="1.2"/>
          <c:min val="0"/>
        </c:scaling>
        <c:axPos val="l"/>
        <c:majorGridlines>
          <c:spPr>
            <a:ln>
              <a:solidFill>
                <a:srgbClr val="DDE3E5"/>
              </a:solidFill>
            </a:ln>
          </c:spPr>
        </c:majorGridlines>
        <c:numFmt formatCode="0%" sourceLinked="0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40001"/>
        <c:crosses val="autoZero"/>
        <c:crossBetween val="between"/>
        <c:majorUnit val="0.2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8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CFD8DC"/>
      </a:solidFill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0" baseline="0">
                <a:latin typeface="Arial"/>
              </a:defRPr>
            </a:pPr>
            <a:r>
              <a:rPr lang="en-US" sz="1100" b="0" baseline="0">
                <a:latin typeface="Arial"/>
              </a:rPr>
              <a:t>Total identified stock in EUR: 2026Q2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&lt;2025</c:v>
          </c:tx>
          <c:spPr>
            <a:solidFill>
              <a:srgbClr val="0095B6"/>
            </a:solidFill>
            <a:ln>
              <a:noFill/>
            </a:ln>
          </c:spPr>
          <c:cat>
            <c:strRef>
              <c:f>GraphData!$A$40:$A$42</c:f>
              <c:strCache>
                <c:ptCount val="3"/>
                <c:pt idx="0">
                  <c:v>Austria</c:v>
                </c:pt>
                <c:pt idx="1">
                  <c:v>Italy</c:v>
                </c:pt>
                <c:pt idx="2">
                  <c:v>South Africa</c:v>
                </c:pt>
              </c:strCache>
            </c:strRef>
          </c:cat>
          <c:val>
            <c:numRef>
              <c:f>GraphData!$F$40:$F$42</c:f>
              <c:numCache>
                <c:formatCode>General</c:formatCode>
                <c:ptCount val="3"/>
                <c:pt idx="0">
                  <c:v>6177.090000000084</c:v>
                </c:pt>
                <c:pt idx="1">
                  <c:v>1852194.770000015</c:v>
                </c:pt>
                <c:pt idx="2">
                  <c:v>870959.942228234</c:v>
                </c:pt>
              </c:numCache>
            </c:numRef>
          </c:val>
        </c:ser>
        <c:ser>
          <c:idx val="1"/>
          <c:order val="1"/>
          <c:tx>
            <c:v>2025</c:v>
          </c:tx>
          <c:spPr>
            <a:solidFill>
              <a:srgbClr val="D9A72C"/>
            </a:solidFill>
            <a:ln>
              <a:noFill/>
            </a:ln>
          </c:spPr>
          <c:cat>
            <c:strRef>
              <c:f>GraphData!$A$40:$A$42</c:f>
              <c:strCache>
                <c:ptCount val="3"/>
                <c:pt idx="0">
                  <c:v>Austria</c:v>
                </c:pt>
                <c:pt idx="1">
                  <c:v>Italy</c:v>
                </c:pt>
                <c:pt idx="2">
                  <c:v>South Africa</c:v>
                </c:pt>
              </c:strCache>
            </c:strRef>
          </c:cat>
          <c:val>
            <c:numRef>
              <c:f>GraphData!$G$40:$G$42</c:f>
              <c:numCache>
                <c:formatCode>General</c:formatCode>
                <c:ptCount val="3"/>
                <c:pt idx="0">
                  <c:v>429.87999999994645</c:v>
                </c:pt>
                <c:pt idx="1">
                  <c:v>360502.4800000027</c:v>
                </c:pt>
                <c:pt idx="2">
                  <c:v>390377.8429580314</c:v>
                </c:pt>
              </c:numCache>
            </c:numRef>
          </c:val>
        </c:ser>
        <c:ser>
          <c:idx val="2"/>
          <c:order val="2"/>
          <c:tx>
            <c:v>2026</c:v>
          </c:tx>
          <c:spPr>
            <a:solidFill>
              <a:srgbClr val="77B900"/>
            </a:solidFill>
            <a:ln>
              <a:noFill/>
            </a:ln>
          </c:spPr>
          <c:cat>
            <c:strRef>
              <c:f>GraphData!$A$40:$A$42</c:f>
              <c:strCache>
                <c:ptCount val="3"/>
                <c:pt idx="0">
                  <c:v>Austria</c:v>
                </c:pt>
                <c:pt idx="1">
                  <c:v>Italy</c:v>
                </c:pt>
                <c:pt idx="2">
                  <c:v>South Africa</c:v>
                </c:pt>
              </c:strCache>
            </c:strRef>
          </c:cat>
          <c:val>
            <c:numRef>
              <c:f>GraphData!$H$40:$H$42</c:f>
              <c:numCache>
                <c:formatCode>General</c:formatCode>
                <c:ptCount val="3"/>
                <c:pt idx="0">
                  <c:v>5385.319999999949</c:v>
                </c:pt>
                <c:pt idx="1">
                  <c:v>914448.7000000004</c:v>
                </c:pt>
                <c:pt idx="2">
                  <c:v>643743.1436407889</c:v>
                </c:pt>
              </c:numCache>
            </c:numRef>
          </c:val>
        </c:ser>
        <c:gapWidth val="85"/>
        <c:overlap val="100"/>
        <c:axId val="50050001"/>
        <c:axId val="50050002"/>
      </c:barChart>
      <c:catAx>
        <c:axId val="5005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BAC5CA"/>
            </a:solidFill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  <c:min val="0"/>
        </c:scaling>
        <c:axPos val="l"/>
        <c:majorGridlines>
          <c:spPr>
            <a:ln w="6350">
              <a:solidFill>
                <a:srgbClr val="DDE3E5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8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CFD8DC"/>
      </a:solidFill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0" baseline="0">
                <a:latin typeface="Arial"/>
              </a:defRPr>
            </a:pPr>
            <a:r>
              <a:rPr lang="en-US" sz="1100" b="0" baseline="0">
                <a:latin typeface="Arial"/>
              </a:rPr>
              <a:t>Stock to be processed in EUR: 2026Q2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&lt;2025</c:v>
          </c:tx>
          <c:spPr>
            <a:solidFill>
              <a:srgbClr val="0095B6"/>
            </a:solidFill>
            <a:ln>
              <a:noFill/>
            </a:ln>
          </c:spPr>
          <c:cat>
            <c:strRef>
              <c:f>GraphData!$A$40:$A$42</c:f>
              <c:strCache>
                <c:ptCount val="3"/>
                <c:pt idx="0">
                  <c:v>Austria</c:v>
                </c:pt>
                <c:pt idx="1">
                  <c:v>Italy</c:v>
                </c:pt>
                <c:pt idx="2">
                  <c:v>South Africa</c:v>
                </c:pt>
              </c:strCache>
            </c:strRef>
          </c:cat>
          <c:val>
            <c:numRef>
              <c:f>GraphData!$I$40:$I$42</c:f>
              <c:numCache>
                <c:formatCode>General</c:formatCode>
                <c:ptCount val="3"/>
                <c:pt idx="0">
                  <c:v>6177.090000000084</c:v>
                </c:pt>
                <c:pt idx="1">
                  <c:v>1.4901161193847656e-08</c:v>
                </c:pt>
                <c:pt idx="2">
                  <c:v>631164.9624046487</c:v>
                </c:pt>
              </c:numCache>
            </c:numRef>
          </c:val>
        </c:ser>
        <c:ser>
          <c:idx val="1"/>
          <c:order val="1"/>
          <c:tx>
            <c:v>2025</c:v>
          </c:tx>
          <c:spPr>
            <a:solidFill>
              <a:srgbClr val="D9A72C"/>
            </a:solidFill>
            <a:ln>
              <a:noFill/>
            </a:ln>
          </c:spPr>
          <c:cat>
            <c:strRef>
              <c:f>GraphData!$A$40:$A$42</c:f>
              <c:strCache>
                <c:ptCount val="3"/>
                <c:pt idx="0">
                  <c:v>Austria</c:v>
                </c:pt>
                <c:pt idx="1">
                  <c:v>Italy</c:v>
                </c:pt>
                <c:pt idx="2">
                  <c:v>South Africa</c:v>
                </c:pt>
              </c:strCache>
            </c:strRef>
          </c:cat>
          <c:val>
            <c:numRef>
              <c:f>GraphData!$J$40:$J$42</c:f>
              <c:numCache>
                <c:formatCode>General</c:formatCode>
                <c:ptCount val="3"/>
                <c:pt idx="0">
                  <c:v>429.87999999994645</c:v>
                </c:pt>
                <c:pt idx="1">
                  <c:v>137167.63000000268</c:v>
                </c:pt>
                <c:pt idx="2">
                  <c:v>390377.8429580314</c:v>
                </c:pt>
              </c:numCache>
            </c:numRef>
          </c:val>
        </c:ser>
        <c:ser>
          <c:idx val="2"/>
          <c:order val="2"/>
          <c:tx>
            <c:v>2026</c:v>
          </c:tx>
          <c:spPr>
            <a:solidFill>
              <a:srgbClr val="77B900"/>
            </a:solidFill>
            <a:ln>
              <a:noFill/>
            </a:ln>
          </c:spPr>
          <c:cat>
            <c:strRef>
              <c:f>GraphData!$A$40:$A$42</c:f>
              <c:strCache>
                <c:ptCount val="3"/>
                <c:pt idx="0">
                  <c:v>Austria</c:v>
                </c:pt>
                <c:pt idx="1">
                  <c:v>Italy</c:v>
                </c:pt>
                <c:pt idx="2">
                  <c:v>South Africa</c:v>
                </c:pt>
              </c:strCache>
            </c:strRef>
          </c:cat>
          <c:val>
            <c:numRef>
              <c:f>GraphData!$K$40:$K$42</c:f>
              <c:numCache>
                <c:formatCode>General</c:formatCode>
                <c:ptCount val="3"/>
                <c:pt idx="0">
                  <c:v>5385.319999999949</c:v>
                </c:pt>
                <c:pt idx="1">
                  <c:v>650258.6100000003</c:v>
                </c:pt>
                <c:pt idx="2">
                  <c:v>643743.1436407889</c:v>
                </c:pt>
              </c:numCache>
            </c:numRef>
          </c:val>
        </c:ser>
        <c:gapWidth val="85"/>
        <c:overlap val="100"/>
        <c:axId val="50060001"/>
        <c:axId val="50060002"/>
      </c:barChart>
      <c:catAx>
        <c:axId val="5006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BAC5CA"/>
            </a:solidFill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  <c:min val="0"/>
        </c:scaling>
        <c:axPos val="l"/>
        <c:majorGridlines>
          <c:spPr>
            <a:ln w="6350">
              <a:solidFill>
                <a:srgbClr val="DDE3E5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6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8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CFD8DC"/>
      </a:solidFill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0" baseline="0">
                <a:latin typeface="Arial"/>
              </a:defRPr>
            </a:pPr>
            <a:r>
              <a:rPr lang="en-US" sz="1100" b="0" baseline="0">
                <a:latin typeface="Arial"/>
              </a:rPr>
              <a:t>Monthly flow in EUR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Austria</c:v>
          </c:tx>
          <c:spPr>
            <a:solidFill>
              <a:srgbClr val="00627A"/>
            </a:solidFill>
            <a:ln>
              <a:noFill/>
            </a:ln>
          </c:spPr>
          <c:cat>
            <c:strRef>
              <c:f>GraphData!$A$48:$A$53</c:f>
              <c:strCache>
                <c:ptCount val="6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</c:strCache>
            </c:strRef>
          </c:cat>
          <c:val>
            <c:numRef>
              <c:f>GraphData!$B$48:$B$53</c:f>
              <c:numCache>
                <c:formatCode>General</c:formatCode>
                <c:ptCount val="6"/>
                <c:pt idx="0">
                  <c:v>4213.139999999999</c:v>
                </c:pt>
                <c:pt idx="1">
                  <c:v>6335.460000000001</c:v>
                </c:pt>
                <c:pt idx="2">
                  <c:v>25273.230000000007</c:v>
                </c:pt>
                <c:pt idx="3">
                  <c:v>4747.0199999999995</c:v>
                </c:pt>
                <c:pt idx="4">
                  <c:v>11020.09</c:v>
                </c:pt>
                <c:pt idx="5">
                  <c:v>3156.52</c:v>
                </c:pt>
              </c:numCache>
            </c:numRef>
          </c:val>
        </c:ser>
        <c:ser>
          <c:idx val="1"/>
          <c:order val="1"/>
          <c:tx>
            <c:v>Italy</c:v>
          </c:tx>
          <c:spPr>
            <a:solidFill>
              <a:srgbClr val="B75132"/>
            </a:solidFill>
            <a:ln>
              <a:noFill/>
            </a:ln>
          </c:spPr>
          <c:cat>
            <c:strRef>
              <c:f>GraphData!$A$48:$A$53</c:f>
              <c:strCache>
                <c:ptCount val="6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</c:strCache>
            </c:strRef>
          </c:cat>
          <c:val>
            <c:numRef>
              <c:f>GraphData!$C$48:$C$53</c:f>
              <c:numCache>
                <c:formatCode>General</c:formatCode>
                <c:ptCount val="6"/>
                <c:pt idx="0">
                  <c:v>946898.0699999998</c:v>
                </c:pt>
                <c:pt idx="1">
                  <c:v>951551.9400000002</c:v>
                </c:pt>
                <c:pt idx="2">
                  <c:v>1177760.6300000004</c:v>
                </c:pt>
                <c:pt idx="3">
                  <c:v>1199203.7600000002</c:v>
                </c:pt>
                <c:pt idx="4">
                  <c:v>1425617.0999999999</c:v>
                </c:pt>
                <c:pt idx="5">
                  <c:v>977488.48</c:v>
                </c:pt>
              </c:numCache>
            </c:numRef>
          </c:val>
        </c:ser>
        <c:ser>
          <c:idx val="2"/>
          <c:order val="2"/>
          <c:tx>
            <c:v>South Africa</c:v>
          </c:tx>
          <c:spPr>
            <a:solidFill>
              <a:srgbClr val="4AA3B2"/>
            </a:solidFill>
            <a:ln>
              <a:noFill/>
            </a:ln>
          </c:spPr>
          <c:cat>
            <c:strRef>
              <c:f>GraphData!$A$48:$A$53</c:f>
              <c:strCache>
                <c:ptCount val="6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</c:strCache>
            </c:strRef>
          </c:cat>
          <c:val>
            <c:numRef>
              <c:f>GraphData!$D$48:$D$53</c:f>
              <c:numCache>
                <c:formatCode>General</c:formatCode>
                <c:ptCount val="6"/>
                <c:pt idx="0">
                  <c:v>160859.28958910215</c:v>
                </c:pt>
                <c:pt idx="1">
                  <c:v>171151.71522889973</c:v>
                </c:pt>
                <c:pt idx="2">
                  <c:v>211900.11445754557</c:v>
                </c:pt>
                <c:pt idx="3">
                  <c:v>200004.47646038115</c:v>
                </c:pt>
                <c:pt idx="4">
                  <c:v>206318.82634950857</c:v>
                </c:pt>
                <c:pt idx="5">
                  <c:v>225610.21334228964</c:v>
                </c:pt>
              </c:numCache>
            </c:numRef>
          </c:val>
        </c:ser>
        <c:overlap val="100"/>
        <c:axId val="50070001"/>
        <c:axId val="50070002"/>
      </c:barChart>
      <c:catAx>
        <c:axId val="5007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BAC5CA"/>
            </a:solidFill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  <c:min val="0"/>
        </c:scaling>
        <c:axPos val="l"/>
        <c:majorGridlines>
          <c:spPr>
            <a:ln w="6350">
              <a:solidFill>
                <a:srgbClr val="DDE3E5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7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8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CFD8DC"/>
      </a:solidFill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0" baseline="0">
                <a:latin typeface="Arial"/>
              </a:defRPr>
            </a:pPr>
            <a:r>
              <a:rPr lang="en-US" sz="1100" b="0" baseline="0">
                <a:latin typeface="Arial"/>
              </a:rPr>
              <a:t>Efficiency after 6 months (M-5 cohort)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Number 2026Q2</c:v>
          </c:tx>
          <c:spPr>
            <a:solidFill>
              <a:srgbClr val="0095B6"/>
            </a:solidFill>
            <a:ln>
              <a:noFill/>
            </a:ln>
          </c:spPr>
          <c:cat>
            <c:strRef>
              <c:f>GraphData!$A$59:$A$61</c:f>
              <c:strCache>
                <c:ptCount val="3"/>
                <c:pt idx="0">
                  <c:v>Austria</c:v>
                </c:pt>
                <c:pt idx="1">
                  <c:v>Italy</c:v>
                </c:pt>
                <c:pt idx="2">
                  <c:v>South Africa</c:v>
                </c:pt>
              </c:strCache>
            </c:strRef>
          </c:cat>
          <c:val>
            <c:numRef>
              <c:f>GraphData!$C$59:$C$61</c:f>
              <c:numCache>
                <c:formatCode>General</c:formatCode>
                <c:ptCount val="3"/>
                <c:pt idx="0">
                  <c:v>0.7727272727272727</c:v>
                </c:pt>
                <c:pt idx="1">
                  <c:v>0.9484958979033729</c:v>
                </c:pt>
                <c:pt idx="2">
                  <c:v>0.8549981233579382</c:v>
                </c:pt>
              </c:numCache>
            </c:numRef>
          </c:val>
        </c:ser>
        <c:axId val="50080001"/>
        <c:axId val="50080002"/>
      </c:barChart>
      <c:lineChart>
        <c:grouping val="standard"/>
        <c:ser>
          <c:idx val="1"/>
          <c:order val="1"/>
          <c:tx>
            <c:v>Amount 2026Q2</c:v>
          </c:tx>
          <c:spPr>
            <a:ln w="25400">
              <a:solidFill>
                <a:srgbClr val="C04040"/>
              </a:solidFill>
              <a:prstDash val="solid"/>
            </a:ln>
          </c:spPr>
          <c:marker>
            <c:symbol val="none"/>
          </c:marker>
          <c:cat>
            <c:strRef>
              <c:f>GraphData!$A$59:$A$61</c:f>
              <c:strCache>
                <c:ptCount val="3"/>
                <c:pt idx="0">
                  <c:v>Austria</c:v>
                </c:pt>
                <c:pt idx="1">
                  <c:v>Italy</c:v>
                </c:pt>
                <c:pt idx="2">
                  <c:v>South Africa</c:v>
                </c:pt>
              </c:strCache>
            </c:strRef>
          </c:cat>
          <c:val>
            <c:numRef>
              <c:f>GraphData!$E$59:$E$61</c:f>
              <c:numCache>
                <c:formatCode>General</c:formatCode>
                <c:ptCount val="3"/>
                <c:pt idx="0">
                  <c:v>0.9008720336850898</c:v>
                </c:pt>
                <c:pt idx="1">
                  <c:v>0.9843784875387906</c:v>
                </c:pt>
                <c:pt idx="2">
                  <c:v>0.6493430482328113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BAC5CA"/>
            </a:solidFill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  <c:max val="1.2"/>
          <c:min val="0"/>
        </c:scaling>
        <c:axPos val="l"/>
        <c:majorGridlines>
          <c:spPr>
            <a:ln>
              <a:solidFill>
                <a:srgbClr val="DDE3E5"/>
              </a:solidFill>
            </a:ln>
          </c:spPr>
        </c:majorGridlines>
        <c:numFmt formatCode="0%" sourceLinked="0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80001"/>
        <c:crosses val="autoZero"/>
        <c:crossBetween val="between"/>
        <c:majorUnit val="0.2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8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CFD8DC"/>
      </a:solidFill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0" baseline="0">
                <a:latin typeface="Arial"/>
              </a:defRPr>
            </a:pPr>
            <a:r>
              <a:rPr lang="en-US" sz="1100" b="0" baseline="0">
                <a:latin typeface="Arial"/>
              </a:rPr>
              <a:t>Austria: Monthly inflow in EUR and efficiency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With client refund</c:v>
          </c:tx>
          <c:spPr>
            <a:solidFill>
              <a:srgbClr val="92C43D"/>
            </a:solidFill>
            <a:ln>
              <a:noFill/>
            </a:ln>
          </c:spPr>
          <c:cat>
            <c:strRef>
              <c:f>GraphData!$A$75:$A$80</c:f>
              <c:strCache>
                <c:ptCount val="6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</c:strCache>
            </c:strRef>
          </c:cat>
          <c:val>
            <c:numRef>
              <c:f>GraphData!$B$75:$B$80</c:f>
              <c:numCache>
                <c:formatCode>General</c:formatCode>
                <c:ptCount val="6"/>
                <c:pt idx="0">
                  <c:v>3795.4999999999986</c:v>
                </c:pt>
                <c:pt idx="1">
                  <c:v>4538.530000000001</c:v>
                </c:pt>
                <c:pt idx="2">
                  <c:v>25273.230000000007</c:v>
                </c:pt>
                <c:pt idx="3">
                  <c:v>4747.0199999999995</c:v>
                </c:pt>
                <c:pt idx="4">
                  <c:v>11005.86</c:v>
                </c:pt>
                <c:pt idx="5">
                  <c:v>0.0</c:v>
                </c:pt>
              </c:numCache>
            </c:numRef>
          </c:val>
        </c:ser>
        <c:ser>
          <c:idx val="1"/>
          <c:order val="1"/>
          <c:tx>
            <c:v>False positive balance</c:v>
          </c:tx>
          <c:spPr>
            <a:solidFill>
              <a:srgbClr val="006633"/>
            </a:solidFill>
            <a:ln>
              <a:noFill/>
            </a:ln>
          </c:spPr>
          <c:cat>
            <c:strRef>
              <c:f>GraphData!$A$75:$A$80</c:f>
              <c:strCache>
                <c:ptCount val="6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</c:strCache>
            </c:strRef>
          </c:cat>
          <c:val>
            <c:numRef>
              <c:f>GraphData!$C$75:$C$80</c:f>
              <c:numCache>
                <c:formatCode>General</c:formatCode>
                <c:ptCount val="6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</c:numCache>
            </c:numRef>
          </c:val>
        </c:ser>
        <c:ser>
          <c:idx val="2"/>
          <c:order val="2"/>
          <c:tx>
            <c:v>To be processed</c:v>
          </c:tx>
          <c:spPr>
            <a:solidFill>
              <a:srgbClr val="A6A6A6"/>
            </a:solidFill>
            <a:ln>
              <a:noFill/>
            </a:ln>
          </c:spPr>
          <c:cat>
            <c:strRef>
              <c:f>GraphData!$A$75:$A$80</c:f>
              <c:strCache>
                <c:ptCount val="6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</c:strCache>
            </c:strRef>
          </c:cat>
          <c:val>
            <c:numRef>
              <c:f>GraphData!$D$75:$D$80</c:f>
              <c:numCache>
                <c:formatCode>General</c:formatCode>
                <c:ptCount val="6"/>
                <c:pt idx="0">
                  <c:v>417.6400000000008</c:v>
                </c:pt>
                <c:pt idx="1">
                  <c:v>1796.9300000000003</c:v>
                </c:pt>
                <c:pt idx="2">
                  <c:v>0.0</c:v>
                </c:pt>
                <c:pt idx="3">
                  <c:v>0.0</c:v>
                </c:pt>
                <c:pt idx="4">
                  <c:v>14.229999999999563</c:v>
                </c:pt>
                <c:pt idx="5">
                  <c:v>3156.52</c:v>
                </c:pt>
              </c:numCache>
            </c:numRef>
          </c:val>
        </c:ser>
        <c:ser>
          <c:idx val="3"/>
          <c:order val="3"/>
          <c:tx>
            <c:v>Customer not reachable</c:v>
          </c:tx>
          <c:spPr>
            <a:solidFill>
              <a:srgbClr val="D9A72C"/>
            </a:solidFill>
            <a:ln>
              <a:noFill/>
            </a:ln>
          </c:spPr>
          <c:cat>
            <c:strRef>
              <c:f>GraphData!$A$75:$A$80</c:f>
              <c:strCache>
                <c:ptCount val="6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</c:strCache>
            </c:strRef>
          </c:cat>
          <c:val>
            <c:numRef>
              <c:f>GraphData!$E$75:$E$80</c:f>
              <c:numCache>
                <c:formatCode>General</c:formatCode>
                <c:ptCount val="6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</c:numCache>
            </c:numRef>
          </c:val>
        </c:ser>
        <c:gapWidth val="70"/>
        <c:overlap val="100"/>
        <c:axId val="50090001"/>
        <c:axId val="50090002"/>
      </c:barChart>
      <c:lineChart>
        <c:grouping val="standard"/>
        <c:ser>
          <c:idx val="4"/>
          <c:order val="4"/>
          <c:tx>
            <c:v>Efficiency in amount</c:v>
          </c:tx>
          <c:spPr>
            <a:ln w="28575">
              <a:solidFill>
                <a:srgbClr val="005B63"/>
              </a:solidFill>
            </a:ln>
          </c:spPr>
          <c:marker>
            <c:symbol val="none"/>
          </c:marker>
          <c:dLbls>
            <c:numFmt formatCode="0%" sourceLinked="0"/>
            <c:txPr>
              <a:bodyPr/>
              <a:lstStyle/>
              <a:p>
                <a:pPr>
                  <a:defRPr sz="800" baseline="0">
                    <a:solidFill>
                      <a:srgbClr val="005B63"/>
                    </a:solidFill>
                    <a:latin typeface="Arial"/>
                  </a:defRPr>
                </a:pPr>
                <a:endParaRPr lang="en-US"/>
              </a:p>
            </c:txPr>
            <c:dLblPos val="t"/>
            <c:showVal val="1"/>
          </c:dLbls>
          <c:cat>
            <c:strRef>
              <c:f>GraphData!$A$75:$A$80</c:f>
              <c:strCache>
                <c:ptCount val="6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</c:strCache>
            </c:strRef>
          </c:cat>
          <c:val>
            <c:numRef>
              <c:f>GraphData!$F$75:$F$80</c:f>
              <c:numCache>
                <c:formatCode>General</c:formatCode>
                <c:ptCount val="6"/>
                <c:pt idx="0">
                  <c:v>0.9008720336850898</c:v>
                </c:pt>
                <c:pt idx="1">
                  <c:v>0.716369450679193</c:v>
                </c:pt>
                <c:pt idx="2">
                  <c:v>1.0</c:v>
                </c:pt>
                <c:pt idx="3">
                  <c:v>1.0</c:v>
                </c:pt>
                <c:pt idx="4">
                  <c:v>0.9987087219795846</c:v>
                </c:pt>
                <c:pt idx="5">
                  <c:v>0.0</c:v>
                </c:pt>
              </c:numCache>
            </c:numRef>
          </c:val>
        </c:ser>
        <c:ser>
          <c:idx val="5"/>
          <c:order val="5"/>
          <c:tx>
            <c:v>Efficiency in number</c:v>
          </c:tx>
          <c:spPr>
            <a:ln w="28575">
              <a:solidFill>
                <a:srgbClr val="7E245A"/>
              </a:solidFill>
            </a:ln>
          </c:spPr>
          <c:marker>
            <c:symbol val="none"/>
          </c:marker>
          <c:dLbls>
            <c:numFmt formatCode="0%" sourceLinked="0"/>
            <c:txPr>
              <a:bodyPr/>
              <a:lstStyle/>
              <a:p>
                <a:pPr>
                  <a:defRPr sz="800" baseline="0">
                    <a:solidFill>
                      <a:srgbClr val="7E245A"/>
                    </a:solidFill>
                    <a:latin typeface="Arial"/>
                  </a:defRPr>
                </a:pPr>
                <a:endParaRPr lang="en-US"/>
              </a:p>
            </c:txPr>
            <c:dLblPos val="b"/>
            <c:showVal val="1"/>
          </c:dLbls>
          <c:cat>
            <c:strRef>
              <c:f>GraphData!$A$75:$A$80</c:f>
              <c:strCache>
                <c:ptCount val="6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</c:strCache>
            </c:strRef>
          </c:cat>
          <c:val>
            <c:numRef>
              <c:f>GraphData!$G$75:$G$80</c:f>
              <c:numCache>
                <c:formatCode>General</c:formatCode>
                <c:ptCount val="6"/>
                <c:pt idx="0">
                  <c:v>0.7727272727272727</c:v>
                </c:pt>
                <c:pt idx="1">
                  <c:v>0.6716417910447762</c:v>
                </c:pt>
                <c:pt idx="2">
                  <c:v>1.0</c:v>
                </c:pt>
                <c:pt idx="3">
                  <c:v>1.0</c:v>
                </c:pt>
                <c:pt idx="4">
                  <c:v>0.9666666666666667</c:v>
                </c:pt>
                <c:pt idx="5">
                  <c:v>0.0</c:v>
                </c:pt>
              </c:numCache>
            </c:numRef>
          </c:val>
        </c:ser>
        <c:marker val="1"/>
        <c:axId val="60090001"/>
        <c:axId val="60090002"/>
      </c:lineChart>
      <c:catAx>
        <c:axId val="5009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BAC5CA"/>
            </a:solidFill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  <c:min val="0"/>
        </c:scaling>
        <c:axPos val="l"/>
        <c:majorGridlines>
          <c:spPr>
            <a:ln w="6350">
              <a:solidFill>
                <a:srgbClr val="DDE3E5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90001"/>
        <c:crosses val="autoZero"/>
        <c:crossBetween val="between"/>
      </c:valAx>
      <c:valAx>
        <c:axId val="60090002"/>
        <c:scaling>
          <c:orientation val="minMax"/>
          <c:max val="1.0"/>
          <c:min val="0"/>
        </c:scaling>
        <c:axPos val="r"/>
        <c:numFmt formatCode="0%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/>
            </a:pPr>
            <a:endParaRPr lang="en-US"/>
          </a:p>
        </c:txPr>
        <c:crossAx val="60090001"/>
        <c:crosses val="max"/>
        <c:crossBetween val="between"/>
        <c:majorUnit val="0.2"/>
      </c:valAx>
      <c:catAx>
        <c:axId val="60090001"/>
        <c:scaling>
          <c:orientation val="minMax"/>
        </c:scaling>
        <c:delete val="1"/>
        <c:axPos val="b"/>
        <c:tickLblPos val="none"/>
        <c:crossAx val="60090002"/>
        <c:crosses val="autoZero"/>
        <c:auto val="1"/>
        <c:lblAlgn val="ctr"/>
        <c:lblOffset val="100"/>
      </c:cat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8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CFD8DC"/>
      </a:solidFill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0" baseline="0">
                <a:latin typeface="Arial"/>
              </a:defRPr>
            </a:pPr>
            <a:r>
              <a:rPr lang="en-US" sz="1100" b="0" baseline="0">
                <a:latin typeface="Arial"/>
              </a:rPr>
              <a:t>Italy: Monthly inflow in EUR and efficiency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With client refund</c:v>
          </c:tx>
          <c:spPr>
            <a:solidFill>
              <a:srgbClr val="92C43D"/>
            </a:solidFill>
            <a:ln>
              <a:noFill/>
            </a:ln>
          </c:spPr>
          <c:cat>
            <c:strRef>
              <c:f>GraphData!$A$92:$A$97</c:f>
              <c:strCache>
                <c:ptCount val="6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</c:strCache>
            </c:strRef>
          </c:cat>
          <c:val>
            <c:numRef>
              <c:f>GraphData!$B$92:$B$97</c:f>
              <c:numCache>
                <c:formatCode>General</c:formatCode>
                <c:ptCount val="6"/>
                <c:pt idx="0">
                  <c:v>899397.7899999998</c:v>
                </c:pt>
                <c:pt idx="1">
                  <c:v>908740.9000000001</c:v>
                </c:pt>
                <c:pt idx="2">
                  <c:v>1127452.7600000005</c:v>
                </c:pt>
                <c:pt idx="3">
                  <c:v>1134296.3900000004</c:v>
                </c:pt>
                <c:pt idx="4">
                  <c:v>1245540.6599999997</c:v>
                </c:pt>
                <c:pt idx="5">
                  <c:v>448642.78</c:v>
                </c:pt>
              </c:numCache>
            </c:numRef>
          </c:val>
        </c:ser>
        <c:ser>
          <c:idx val="1"/>
          <c:order val="1"/>
          <c:tx>
            <c:v>False positive balance</c:v>
          </c:tx>
          <c:spPr>
            <a:solidFill>
              <a:srgbClr val="006633"/>
            </a:solidFill>
            <a:ln>
              <a:noFill/>
            </a:ln>
          </c:spPr>
          <c:cat>
            <c:strRef>
              <c:f>GraphData!$A$92:$A$97</c:f>
              <c:strCache>
                <c:ptCount val="6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</c:strCache>
            </c:strRef>
          </c:cat>
          <c:val>
            <c:numRef>
              <c:f>GraphData!$C$92:$C$97</c:f>
              <c:numCache>
                <c:formatCode>General</c:formatCode>
                <c:ptCount val="6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</c:numCache>
            </c:numRef>
          </c:val>
        </c:ser>
        <c:ser>
          <c:idx val="2"/>
          <c:order val="2"/>
          <c:tx>
            <c:v>To be processed</c:v>
          </c:tx>
          <c:spPr>
            <a:solidFill>
              <a:srgbClr val="A6A6A6"/>
            </a:solidFill>
            <a:ln>
              <a:noFill/>
            </a:ln>
          </c:spPr>
          <c:cat>
            <c:strRef>
              <c:f>GraphData!$A$92:$A$97</c:f>
              <c:strCache>
                <c:ptCount val="6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</c:strCache>
            </c:strRef>
          </c:cat>
          <c:val>
            <c:numRef>
              <c:f>GraphData!$D$92:$D$97</c:f>
              <c:numCache>
                <c:formatCode>General</c:formatCode>
                <c:ptCount val="6"/>
                <c:pt idx="0">
                  <c:v>14791.980000000098</c:v>
                </c:pt>
                <c:pt idx="1">
                  <c:v>17314.70000000007</c:v>
                </c:pt>
                <c:pt idx="2">
                  <c:v>20735.889999999898</c:v>
                </c:pt>
                <c:pt idx="3">
                  <c:v>38436.84999999986</c:v>
                </c:pt>
                <c:pt idx="4">
                  <c:v>98262.6000000001</c:v>
                </c:pt>
                <c:pt idx="5">
                  <c:v>460716.58999999997</c:v>
                </c:pt>
              </c:numCache>
            </c:numRef>
          </c:val>
        </c:ser>
        <c:ser>
          <c:idx val="3"/>
          <c:order val="3"/>
          <c:tx>
            <c:v>Customer not reachable</c:v>
          </c:tx>
          <c:spPr>
            <a:solidFill>
              <a:srgbClr val="D9A72C"/>
            </a:solidFill>
            <a:ln>
              <a:noFill/>
            </a:ln>
          </c:spPr>
          <c:cat>
            <c:strRef>
              <c:f>GraphData!$A$92:$A$97</c:f>
              <c:strCache>
                <c:ptCount val="6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</c:strCache>
            </c:strRef>
          </c:cat>
          <c:val>
            <c:numRef>
              <c:f>GraphData!$E$92:$E$97</c:f>
              <c:numCache>
                <c:formatCode>General</c:formatCode>
                <c:ptCount val="6"/>
                <c:pt idx="0">
                  <c:v>32708.299999999985</c:v>
                </c:pt>
                <c:pt idx="1">
                  <c:v>25496.34</c:v>
                </c:pt>
                <c:pt idx="2">
                  <c:v>29571.980000000018</c:v>
                </c:pt>
                <c:pt idx="3">
                  <c:v>26470.519999999997</c:v>
                </c:pt>
                <c:pt idx="4">
                  <c:v>81813.84000000005</c:v>
                </c:pt>
                <c:pt idx="5">
                  <c:v>68129.10999999997</c:v>
                </c:pt>
              </c:numCache>
            </c:numRef>
          </c:val>
        </c:ser>
        <c:gapWidth val="70"/>
        <c:overlap val="100"/>
        <c:axId val="50100001"/>
        <c:axId val="50100002"/>
      </c:barChart>
      <c:lineChart>
        <c:grouping val="standard"/>
        <c:ser>
          <c:idx val="4"/>
          <c:order val="4"/>
          <c:tx>
            <c:v>Efficiency in amount</c:v>
          </c:tx>
          <c:spPr>
            <a:ln w="28575">
              <a:solidFill>
                <a:srgbClr val="005B63"/>
              </a:solidFill>
            </a:ln>
          </c:spPr>
          <c:marker>
            <c:symbol val="none"/>
          </c:marker>
          <c:dLbls>
            <c:numFmt formatCode="0%" sourceLinked="0"/>
            <c:txPr>
              <a:bodyPr/>
              <a:lstStyle/>
              <a:p>
                <a:pPr>
                  <a:defRPr sz="800" baseline="0">
                    <a:solidFill>
                      <a:srgbClr val="005B63"/>
                    </a:solidFill>
                    <a:latin typeface="Arial"/>
                  </a:defRPr>
                </a:pPr>
                <a:endParaRPr lang="en-US"/>
              </a:p>
            </c:txPr>
            <c:dLblPos val="t"/>
            <c:showVal val="1"/>
          </c:dLbls>
          <c:cat>
            <c:strRef>
              <c:f>GraphData!$A$92:$A$97</c:f>
              <c:strCache>
                <c:ptCount val="6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</c:strCache>
            </c:strRef>
          </c:cat>
          <c:val>
            <c:numRef>
              <c:f>GraphData!$F$92:$F$97</c:f>
              <c:numCache>
                <c:formatCode>General</c:formatCode>
                <c:ptCount val="6"/>
                <c:pt idx="0">
                  <c:v>0.9843784875387906</c:v>
                </c:pt>
                <c:pt idx="1">
                  <c:v>0.9818037258165854</c:v>
                </c:pt>
                <c:pt idx="2">
                  <c:v>0.9823937993240613</c:v>
                </c:pt>
                <c:pt idx="3">
                  <c:v>0.9679480241122661</c:v>
                </c:pt>
                <c:pt idx="4">
                  <c:v>0.9310736382160398</c:v>
                </c:pt>
                <c:pt idx="5">
                  <c:v>0.5286731256413375</c:v>
                </c:pt>
              </c:numCache>
            </c:numRef>
          </c:val>
        </c:ser>
        <c:ser>
          <c:idx val="5"/>
          <c:order val="5"/>
          <c:tx>
            <c:v>Efficiency in number</c:v>
          </c:tx>
          <c:spPr>
            <a:ln w="28575">
              <a:solidFill>
                <a:srgbClr val="7E245A"/>
              </a:solidFill>
            </a:ln>
          </c:spPr>
          <c:marker>
            <c:symbol val="none"/>
          </c:marker>
          <c:dLbls>
            <c:numFmt formatCode="0%" sourceLinked="0"/>
            <c:txPr>
              <a:bodyPr/>
              <a:lstStyle/>
              <a:p>
                <a:pPr>
                  <a:defRPr sz="800" baseline="0">
                    <a:solidFill>
                      <a:srgbClr val="7E245A"/>
                    </a:solidFill>
                    <a:latin typeface="Arial"/>
                  </a:defRPr>
                </a:pPr>
                <a:endParaRPr lang="en-US"/>
              </a:p>
            </c:txPr>
            <c:dLblPos val="b"/>
            <c:showVal val="1"/>
          </c:dLbls>
          <c:cat>
            <c:strRef>
              <c:f>GraphData!$A$92:$A$97</c:f>
              <c:strCache>
                <c:ptCount val="6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</c:strCache>
            </c:strRef>
          </c:cat>
          <c:val>
            <c:numRef>
              <c:f>GraphData!$G$92:$G$97</c:f>
              <c:numCache>
                <c:formatCode>General</c:formatCode>
                <c:ptCount val="6"/>
                <c:pt idx="0">
                  <c:v>0.9484958979033729</c:v>
                </c:pt>
                <c:pt idx="1">
                  <c:v>0.9019144410304892</c:v>
                </c:pt>
                <c:pt idx="2">
                  <c:v>0.9342162396873643</c:v>
                </c:pt>
                <c:pt idx="3">
                  <c:v>0.9315645399031375</c:v>
                </c:pt>
                <c:pt idx="4">
                  <c:v>0.8885657153244865</c:v>
                </c:pt>
                <c:pt idx="5">
                  <c:v>0.4947170697346795</c:v>
                </c:pt>
              </c:numCache>
            </c:numRef>
          </c:val>
        </c:ser>
        <c:marker val="1"/>
        <c:axId val="60100001"/>
        <c:axId val="60100002"/>
      </c:lineChart>
      <c:catAx>
        <c:axId val="5010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BAC5CA"/>
            </a:solidFill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  <c:min val="0"/>
        </c:scaling>
        <c:axPos val="l"/>
        <c:majorGridlines>
          <c:spPr>
            <a:ln w="6350">
              <a:solidFill>
                <a:srgbClr val="DDE3E5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100001"/>
        <c:crosses val="autoZero"/>
        <c:crossBetween val="between"/>
      </c:valAx>
      <c:valAx>
        <c:axId val="60100002"/>
        <c:scaling>
          <c:orientation val="minMax"/>
          <c:max val="1.0"/>
          <c:min val="0"/>
        </c:scaling>
        <c:axPos val="r"/>
        <c:numFmt formatCode="0%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/>
            </a:pPr>
            <a:endParaRPr lang="en-US"/>
          </a:p>
        </c:txPr>
        <c:crossAx val="60100001"/>
        <c:crosses val="max"/>
        <c:crossBetween val="between"/>
        <c:majorUnit val="0.2"/>
      </c:valAx>
      <c:catAx>
        <c:axId val="60100001"/>
        <c:scaling>
          <c:orientation val="minMax"/>
        </c:scaling>
        <c:delete val="1"/>
        <c:axPos val="b"/>
        <c:tickLblPos val="none"/>
        <c:crossAx val="60100002"/>
        <c:crosses val="autoZero"/>
        <c:auto val="1"/>
        <c:lblAlgn val="ctr"/>
        <c:lblOffset val="100"/>
      </c:cat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8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CFD8DC"/>
      </a:solidFill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0" baseline="0">
                <a:latin typeface="Arial"/>
              </a:defRPr>
            </a:pPr>
            <a:r>
              <a:rPr lang="en-US" sz="1100" b="0" baseline="0">
                <a:latin typeface="Arial"/>
              </a:rPr>
              <a:t>South Africa: Monthly inflow in ZAR and efficiency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With client refund</c:v>
          </c:tx>
          <c:spPr>
            <a:solidFill>
              <a:srgbClr val="92C43D"/>
            </a:solidFill>
            <a:ln>
              <a:noFill/>
            </a:ln>
          </c:spPr>
          <c:cat>
            <c:strRef>
              <c:f>GraphData!$A$109:$A$114</c:f>
              <c:strCache>
                <c:ptCount val="6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</c:strCache>
            </c:strRef>
          </c:cat>
          <c:val>
            <c:numRef>
              <c:f>GraphData!$B$109:$B$114</c:f>
              <c:numCache>
                <c:formatCode>General</c:formatCode>
                <c:ptCount val="6"/>
                <c:pt idx="0">
                  <c:v>1918665.8000000014</c:v>
                </c:pt>
                <c:pt idx="1">
                  <c:v>2062472.9400000027</c:v>
                </c:pt>
                <c:pt idx="2">
                  <c:v>2223180.7500000023</c:v>
                </c:pt>
                <c:pt idx="3">
                  <c:v>1934850.7600000007</c:v>
                </c:pt>
                <c:pt idx="4">
                  <c:v>1629996.219999999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v>False positive balance</c:v>
          </c:tx>
          <c:spPr>
            <a:solidFill>
              <a:srgbClr val="006633"/>
            </a:solidFill>
            <a:ln>
              <a:noFill/>
            </a:ln>
          </c:spPr>
          <c:cat>
            <c:strRef>
              <c:f>GraphData!$A$109:$A$114</c:f>
              <c:strCache>
                <c:ptCount val="6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</c:strCache>
            </c:strRef>
          </c:cat>
          <c:val>
            <c:numRef>
              <c:f>GraphData!$C$109:$C$114</c:f>
              <c:numCache>
                <c:formatCode>General</c:formatCode>
                <c:ptCount val="6"/>
                <c:pt idx="0">
                  <c:v>36987.21000000012</c:v>
                </c:pt>
                <c:pt idx="1">
                  <c:v>35180.93999999989</c:v>
                </c:pt>
                <c:pt idx="2">
                  <c:v>43750.53999999986</c:v>
                </c:pt>
                <c:pt idx="3">
                  <c:v>32265.629999999823</c:v>
                </c:pt>
                <c:pt idx="4">
                  <c:v>22796.060000000114</c:v>
                </c:pt>
                <c:pt idx="5">
                  <c:v>22298.119999999995</c:v>
                </c:pt>
              </c:numCache>
            </c:numRef>
          </c:val>
        </c:ser>
        <c:ser>
          <c:idx val="2"/>
          <c:order val="2"/>
          <c:tx>
            <c:v>To be processed</c:v>
          </c:tx>
          <c:spPr>
            <a:solidFill>
              <a:srgbClr val="A6A6A6"/>
            </a:solidFill>
            <a:ln>
              <a:noFill/>
            </a:ln>
          </c:spPr>
          <c:cat>
            <c:strRef>
              <c:f>GraphData!$A$109:$A$114</c:f>
              <c:strCache>
                <c:ptCount val="6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</c:strCache>
            </c:strRef>
          </c:cat>
          <c:val>
            <c:numRef>
              <c:f>GraphData!$D$109:$D$114</c:f>
              <c:numCache>
                <c:formatCode>General</c:formatCode>
                <c:ptCount val="6"/>
                <c:pt idx="0">
                  <c:v>1056087.8800000008</c:v>
                </c:pt>
                <c:pt idx="1">
                  <c:v>1106790.3300000085</c:v>
                </c:pt>
                <c:pt idx="2">
                  <c:v>1700438.209999993</c:v>
                </c:pt>
                <c:pt idx="3">
                  <c:v>1777533.1199999582</c:v>
                </c:pt>
                <c:pt idx="4">
                  <c:v>2210079.719999943</c:v>
                </c:pt>
                <c:pt idx="5">
                  <c:v>4201763.209999999</c:v>
                </c:pt>
              </c:numCache>
            </c:numRef>
          </c:val>
        </c:ser>
        <c:ser>
          <c:idx val="3"/>
          <c:order val="3"/>
          <c:tx>
            <c:v>Customer not reachable</c:v>
          </c:tx>
          <c:spPr>
            <a:solidFill>
              <a:srgbClr val="D9A72C"/>
            </a:solidFill>
            <a:ln>
              <a:noFill/>
            </a:ln>
          </c:spPr>
          <c:cat>
            <c:strRef>
              <c:f>GraphData!$A$109:$A$114</c:f>
              <c:strCache>
                <c:ptCount val="6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</c:strCache>
            </c:strRef>
          </c:cat>
          <c:val>
            <c:numRef>
              <c:f>GraphData!$E$109:$E$114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70"/>
        <c:overlap val="100"/>
        <c:axId val="50110001"/>
        <c:axId val="50110002"/>
      </c:barChart>
      <c:lineChart>
        <c:grouping val="standard"/>
        <c:ser>
          <c:idx val="4"/>
          <c:order val="4"/>
          <c:tx>
            <c:v>Efficiency in amount</c:v>
          </c:tx>
          <c:spPr>
            <a:ln w="28575">
              <a:solidFill>
                <a:srgbClr val="005B63"/>
              </a:solidFill>
            </a:ln>
          </c:spPr>
          <c:marker>
            <c:symbol val="none"/>
          </c:marker>
          <c:dLbls>
            <c:numFmt formatCode="0%" sourceLinked="0"/>
            <c:txPr>
              <a:bodyPr/>
              <a:lstStyle/>
              <a:p>
                <a:pPr>
                  <a:defRPr sz="800" baseline="0">
                    <a:solidFill>
                      <a:srgbClr val="005B63"/>
                    </a:solidFill>
                    <a:latin typeface="Arial"/>
                  </a:defRPr>
                </a:pPr>
                <a:endParaRPr lang="en-US"/>
              </a:p>
            </c:txPr>
            <c:dLblPos val="t"/>
            <c:showVal val="1"/>
          </c:dLbls>
          <c:cat>
            <c:strRef>
              <c:f>GraphData!$A$109:$A$114</c:f>
              <c:strCache>
                <c:ptCount val="6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</c:strCache>
            </c:strRef>
          </c:cat>
          <c:val>
            <c:numRef>
              <c:f>GraphData!$F$109:$F$114</c:f>
              <c:numCache>
                <c:formatCode>General</c:formatCode>
                <c:ptCount val="6"/>
                <c:pt idx="0">
                  <c:v>0.6493430482328113</c:v>
                </c:pt>
                <c:pt idx="1">
                  <c:v>0.6546077080867623</c:v>
                </c:pt>
                <c:pt idx="2">
                  <c:v>0.5713940408121817</c:v>
                </c:pt>
                <c:pt idx="3">
                  <c:v>0.5253138871199784</c:v>
                </c:pt>
                <c:pt idx="4">
                  <c:v>0.4278661783253558</c:v>
                </c:pt>
                <c:pt idx="5">
                  <c:v>0.005278834339273194</c:v>
                </c:pt>
              </c:numCache>
            </c:numRef>
          </c:val>
        </c:ser>
        <c:ser>
          <c:idx val="5"/>
          <c:order val="5"/>
          <c:tx>
            <c:v>Efficiency in number</c:v>
          </c:tx>
          <c:spPr>
            <a:ln w="28575">
              <a:solidFill>
                <a:srgbClr val="7E245A"/>
              </a:solidFill>
            </a:ln>
          </c:spPr>
          <c:marker>
            <c:symbol val="none"/>
          </c:marker>
          <c:dLbls>
            <c:numFmt formatCode="0%" sourceLinked="0"/>
            <c:txPr>
              <a:bodyPr/>
              <a:lstStyle/>
              <a:p>
                <a:pPr>
                  <a:defRPr sz="800" baseline="0">
                    <a:solidFill>
                      <a:srgbClr val="7E245A"/>
                    </a:solidFill>
                    <a:latin typeface="Arial"/>
                  </a:defRPr>
                </a:pPr>
                <a:endParaRPr lang="en-US"/>
              </a:p>
            </c:txPr>
            <c:dLblPos val="b"/>
            <c:showVal val="1"/>
          </c:dLbls>
          <c:cat>
            <c:strRef>
              <c:f>GraphData!$A$109:$A$114</c:f>
              <c:strCache>
                <c:ptCount val="6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</c:strCache>
            </c:strRef>
          </c:cat>
          <c:val>
            <c:numRef>
              <c:f>GraphData!$G$109:$G$114</c:f>
              <c:numCache>
                <c:formatCode>General</c:formatCode>
                <c:ptCount val="6"/>
                <c:pt idx="0">
                  <c:v>0.8549981233579382</c:v>
                </c:pt>
                <c:pt idx="1">
                  <c:v>0.8300610241443354</c:v>
                </c:pt>
                <c:pt idx="2">
                  <c:v>0.7933840267351189</c:v>
                </c:pt>
                <c:pt idx="3">
                  <c:v>0.7344372574385511</c:v>
                </c:pt>
                <c:pt idx="4">
                  <c:v>0.6066271469828242</c:v>
                </c:pt>
                <c:pt idx="5">
                  <c:v>0.3148783208693137</c:v>
                </c:pt>
              </c:numCache>
            </c:numRef>
          </c:val>
        </c:ser>
        <c:marker val="1"/>
        <c:axId val="60110001"/>
        <c:axId val="60110002"/>
      </c:lineChart>
      <c:catAx>
        <c:axId val="5011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BAC5CA"/>
            </a:solidFill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  <c:min val="0"/>
        </c:scaling>
        <c:axPos val="l"/>
        <c:majorGridlines>
          <c:spPr>
            <a:ln w="6350">
              <a:solidFill>
                <a:srgbClr val="DDE3E5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110001"/>
        <c:crosses val="autoZero"/>
        <c:crossBetween val="between"/>
      </c:valAx>
      <c:valAx>
        <c:axId val="60110002"/>
        <c:scaling>
          <c:orientation val="minMax"/>
          <c:max val="1.0"/>
          <c:min val="0"/>
        </c:scaling>
        <c:axPos val="r"/>
        <c:numFmt formatCode="0%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/>
            </a:pPr>
            <a:endParaRPr lang="en-US"/>
          </a:p>
        </c:txPr>
        <c:crossAx val="60110001"/>
        <c:crosses val="max"/>
        <c:crossBetween val="between"/>
        <c:majorUnit val="0.2"/>
      </c:valAx>
      <c:catAx>
        <c:axId val="60110001"/>
        <c:scaling>
          <c:orientation val="minMax"/>
        </c:scaling>
        <c:delete val="1"/>
        <c:axPos val="b"/>
        <c:tickLblPos val="none"/>
        <c:crossAx val="60110002"/>
        <c:crosses val="autoZero"/>
        <c:auto val="1"/>
        <c:lblAlgn val="ctr"/>
        <c:lblOffset val="100"/>
      </c:cat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8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CFD8DC"/>
      </a:solidFill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0" baseline="0">
                <a:latin typeface="Arial"/>
              </a:defRPr>
            </a:pPr>
            <a:r>
              <a:rPr lang="en-US" sz="1100" b="0" baseline="0">
                <a:latin typeface="Arial"/>
              </a:rPr>
              <a:t>Denmark: Monthly inflow in DKK and efficiency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With client refund</c:v>
          </c:tx>
          <c:spPr>
            <a:solidFill>
              <a:srgbClr val="92C43D"/>
            </a:solidFill>
            <a:ln>
              <a:noFill/>
            </a:ln>
          </c:spPr>
          <c:cat>
            <c:strRef>
              <c:f>GraphData!$A$126:$A$131</c:f>
              <c:strCache>
                <c:ptCount val="6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</c:strCache>
            </c:strRef>
          </c:cat>
          <c:val>
            <c:numRef>
              <c:f>GraphData!$B$126:$B$131</c:f>
              <c:numCache>
                <c:formatCode>General</c:formatCode>
                <c:ptCount val="6"/>
                <c:pt idx="0">
                  <c:v>119420.00000000004</c:v>
                </c:pt>
                <c:pt idx="1">
                  <c:v>99095.89999999998</c:v>
                </c:pt>
                <c:pt idx="2">
                  <c:v>93872.86999999992</c:v>
                </c:pt>
                <c:pt idx="3">
                  <c:v>78374.69000000002</c:v>
                </c:pt>
                <c:pt idx="4">
                  <c:v>28482.279999999995</c:v>
                </c:pt>
                <c:pt idx="5">
                  <c:v>12784.949999999999</c:v>
                </c:pt>
              </c:numCache>
            </c:numRef>
          </c:val>
        </c:ser>
        <c:ser>
          <c:idx val="1"/>
          <c:order val="1"/>
          <c:tx>
            <c:v>To be processed</c:v>
          </c:tx>
          <c:spPr>
            <a:solidFill>
              <a:srgbClr val="A6A6A6"/>
            </a:solidFill>
            <a:ln>
              <a:noFill/>
            </a:ln>
          </c:spPr>
          <c:cat>
            <c:strRef>
              <c:f>GraphData!$A$126:$A$131</c:f>
              <c:strCache>
                <c:ptCount val="6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</c:strCache>
            </c:strRef>
          </c:cat>
          <c:val>
            <c:numRef>
              <c:f>GraphData!$C$126:$C$131</c:f>
              <c:numCache>
                <c:formatCode>General</c:formatCode>
                <c:ptCount val="6"/>
                <c:pt idx="0">
                  <c:v>0.0</c:v>
                </c:pt>
                <c:pt idx="1">
                  <c:v>937.5000000000873</c:v>
                </c:pt>
                <c:pt idx="2">
                  <c:v>2768.7899999999936</c:v>
                </c:pt>
                <c:pt idx="3">
                  <c:v>21365.390000000043</c:v>
                </c:pt>
                <c:pt idx="4">
                  <c:v>97486.80999999998</c:v>
                </c:pt>
                <c:pt idx="5">
                  <c:v>59739.32000000008</c:v>
                </c:pt>
              </c:numCache>
            </c:numRef>
          </c:val>
        </c:ser>
        <c:ser>
          <c:idx val="2"/>
          <c:order val="2"/>
          <c:tx>
            <c:v>Public authority refund</c:v>
          </c:tx>
          <c:spPr>
            <a:solidFill>
              <a:srgbClr val="6CAED6"/>
            </a:solidFill>
            <a:ln>
              <a:noFill/>
            </a:ln>
          </c:spPr>
          <c:cat>
            <c:strRef>
              <c:f>GraphData!$A$126:$A$131</c:f>
              <c:strCache>
                <c:ptCount val="6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</c:strCache>
            </c:strRef>
          </c:cat>
          <c:val>
            <c:numRef>
              <c:f>GraphData!$D$126:$D$131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3"/>
          <c:order val="3"/>
          <c:tx>
            <c:v>Other processing without refund</c:v>
          </c:tx>
          <c:spPr>
            <a:solidFill>
              <a:srgbClr val="B4A7D6"/>
            </a:solidFill>
            <a:ln>
              <a:noFill/>
            </a:ln>
          </c:spPr>
          <c:cat>
            <c:strRef>
              <c:f>GraphData!$A$126:$A$131</c:f>
              <c:strCache>
                <c:ptCount val="6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</c:strCache>
            </c:strRef>
          </c:cat>
          <c:val>
            <c:numRef>
              <c:f>GraphData!$E$126:$E$131</c:f>
              <c:numCache>
                <c:formatCode>General</c:formatCode>
                <c:ptCount val="6"/>
                <c:pt idx="0">
                  <c:v>11216.079999999998</c:v>
                </c:pt>
                <c:pt idx="1">
                  <c:v>156607.86</c:v>
                </c:pt>
                <c:pt idx="2">
                  <c:v>14652.770000000002</c:v>
                </c:pt>
                <c:pt idx="3">
                  <c:v>12653.27</c:v>
                </c:pt>
                <c:pt idx="4">
                  <c:v>36540.14</c:v>
                </c:pt>
                <c:pt idx="5">
                  <c:v>14924.059999999998</c:v>
                </c:pt>
              </c:numCache>
            </c:numRef>
          </c:val>
        </c:ser>
        <c:gapWidth val="70"/>
        <c:overlap val="100"/>
        <c:axId val="50120001"/>
        <c:axId val="50120002"/>
      </c:barChart>
      <c:lineChart>
        <c:grouping val="standard"/>
        <c:ser>
          <c:idx val="4"/>
          <c:order val="4"/>
          <c:tx>
            <c:v>Efficiency in amount</c:v>
          </c:tx>
          <c:spPr>
            <a:ln w="28575">
              <a:solidFill>
                <a:srgbClr val="005B63"/>
              </a:solidFill>
            </a:ln>
          </c:spPr>
          <c:marker>
            <c:symbol val="none"/>
          </c:marker>
          <c:dLbls>
            <c:numFmt formatCode="0%" sourceLinked="0"/>
            <c:txPr>
              <a:bodyPr/>
              <a:lstStyle/>
              <a:p>
                <a:pPr>
                  <a:defRPr sz="800" baseline="0">
                    <a:solidFill>
                      <a:srgbClr val="005B63"/>
                    </a:solidFill>
                    <a:latin typeface="Arial"/>
                  </a:defRPr>
                </a:pPr>
                <a:endParaRPr lang="en-US"/>
              </a:p>
            </c:txPr>
            <c:dLblPos val="t"/>
            <c:showVal val="1"/>
          </c:dLbls>
          <c:cat>
            <c:strRef>
              <c:f>GraphData!$A$126:$A$131</c:f>
              <c:strCache>
                <c:ptCount val="6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</c:strCache>
            </c:strRef>
          </c:cat>
          <c:val>
            <c:numRef>
              <c:f>GraphData!$F$126:$F$131</c:f>
              <c:numCache>
                <c:formatCode>General</c:formatCode>
                <c:ptCount val="6"/>
                <c:pt idx="0">
                  <c:v>1.0</c:v>
                </c:pt>
                <c:pt idx="1">
                  <c:v>0.9963470410019025</c:v>
                </c:pt>
                <c:pt idx="2">
                  <c:v>0.9751219355721576</c:v>
                </c:pt>
                <c:pt idx="3">
                  <c:v>0.8099052123635426</c:v>
                </c:pt>
                <c:pt idx="4">
                  <c:v>0.4001152426849848</c:v>
                </c:pt>
                <c:pt idx="5">
                  <c:v>0.3168615112489852</c:v>
                </c:pt>
              </c:numCache>
            </c:numRef>
          </c:val>
        </c:ser>
        <c:ser>
          <c:idx val="5"/>
          <c:order val="5"/>
          <c:tx>
            <c:v>Efficiency in number</c:v>
          </c:tx>
          <c:spPr>
            <a:ln w="28575">
              <a:solidFill>
                <a:srgbClr val="7E245A"/>
              </a:solidFill>
            </a:ln>
          </c:spPr>
          <c:marker>
            <c:symbol val="none"/>
          </c:marker>
          <c:dLbls>
            <c:numFmt formatCode="0%" sourceLinked="0"/>
            <c:txPr>
              <a:bodyPr/>
              <a:lstStyle/>
              <a:p>
                <a:pPr>
                  <a:defRPr sz="800" baseline="0">
                    <a:solidFill>
                      <a:srgbClr val="7E245A"/>
                    </a:solidFill>
                    <a:latin typeface="Arial"/>
                  </a:defRPr>
                </a:pPr>
                <a:endParaRPr lang="en-US"/>
              </a:p>
            </c:txPr>
            <c:dLblPos val="b"/>
            <c:showVal val="1"/>
          </c:dLbls>
          <c:cat>
            <c:strRef>
              <c:f>GraphData!$A$126:$A$131</c:f>
              <c:strCache>
                <c:ptCount val="6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</c:strCache>
            </c:strRef>
          </c:cat>
          <c:val>
            <c:numRef>
              <c:f>GraphData!$G$126:$G$131</c:f>
              <c:numCache>
                <c:formatCode>General</c:formatCode>
                <c:ptCount val="6"/>
                <c:pt idx="0">
                  <c:v>1.0</c:v>
                </c:pt>
                <c:pt idx="1">
                  <c:v>0.9975</c:v>
                </c:pt>
                <c:pt idx="2">
                  <c:v>0.9865591397849462</c:v>
                </c:pt>
                <c:pt idx="3">
                  <c:v>0.6211699164345403</c:v>
                </c:pt>
                <c:pt idx="4">
                  <c:v>0.19113573407202217</c:v>
                </c:pt>
                <c:pt idx="5">
                  <c:v>0.12837837837837837</c:v>
                </c:pt>
              </c:numCache>
            </c:numRef>
          </c:val>
        </c:ser>
        <c:marker val="1"/>
        <c:axId val="60120001"/>
        <c:axId val="60120002"/>
      </c:lineChart>
      <c:catAx>
        <c:axId val="5012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BAC5CA"/>
            </a:solidFill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  <c:min val="0"/>
        </c:scaling>
        <c:axPos val="l"/>
        <c:majorGridlines>
          <c:spPr>
            <a:ln w="6350">
              <a:solidFill>
                <a:srgbClr val="DDE3E5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120001"/>
        <c:crosses val="autoZero"/>
        <c:crossBetween val="between"/>
      </c:valAx>
      <c:valAx>
        <c:axId val="60120002"/>
        <c:scaling>
          <c:orientation val="minMax"/>
          <c:max val="1.0"/>
          <c:min val="0"/>
        </c:scaling>
        <c:axPos val="r"/>
        <c:numFmt formatCode="0%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/>
            </a:pPr>
            <a:endParaRPr lang="en-US"/>
          </a:p>
        </c:txPr>
        <c:crossAx val="60120001"/>
        <c:crosses val="max"/>
        <c:crossBetween val="between"/>
        <c:majorUnit val="0.2"/>
      </c:valAx>
      <c:catAx>
        <c:axId val="60120001"/>
        <c:scaling>
          <c:orientation val="minMax"/>
        </c:scaling>
        <c:delete val="1"/>
        <c:axPos val="b"/>
        <c:tickLblPos val="none"/>
        <c:crossAx val="60120002"/>
        <c:crosses val="autoZero"/>
        <c:auto val="1"/>
        <c:lblAlgn val="ctr"/>
        <c:lblOffset val="100"/>
      </c:cat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8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CFD8DC"/>
      </a:solidFill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0" baseline="0">
                <a:latin typeface="Arial"/>
              </a:defRPr>
            </a:pPr>
            <a:r>
              <a:rPr lang="en-US" sz="1100" b="0" baseline="0">
                <a:latin typeface="Arial"/>
              </a:rPr>
              <a:t>Norway: Monthly inflow in NOK and efficiency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With client refund</c:v>
          </c:tx>
          <c:spPr>
            <a:solidFill>
              <a:srgbClr val="92C43D"/>
            </a:solidFill>
            <a:ln>
              <a:noFill/>
            </a:ln>
          </c:spPr>
          <c:cat>
            <c:strRef>
              <c:f>GraphData!$A$143:$A$148</c:f>
              <c:strCache>
                <c:ptCount val="6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</c:strCache>
            </c:strRef>
          </c:cat>
          <c:val>
            <c:numRef>
              <c:f>GraphData!$B$143:$B$148</c:f>
              <c:numCache>
                <c:formatCode>General</c:formatCode>
                <c:ptCount val="6"/>
                <c:pt idx="0">
                  <c:v>93038.16000000002</c:v>
                </c:pt>
                <c:pt idx="1">
                  <c:v>56302.53999999999</c:v>
                </c:pt>
                <c:pt idx="2">
                  <c:v>220801.79000000007</c:v>
                </c:pt>
                <c:pt idx="3">
                  <c:v>34047.29000000001</c:v>
                </c:pt>
                <c:pt idx="4">
                  <c:v>93327.59</c:v>
                </c:pt>
                <c:pt idx="5">
                  <c:v>10888.77</c:v>
                </c:pt>
              </c:numCache>
            </c:numRef>
          </c:val>
        </c:ser>
        <c:ser>
          <c:idx val="1"/>
          <c:order val="1"/>
          <c:tx>
            <c:v>To be processed</c:v>
          </c:tx>
          <c:spPr>
            <a:solidFill>
              <a:srgbClr val="A6A6A6"/>
            </a:solidFill>
            <a:ln>
              <a:noFill/>
            </a:ln>
          </c:spPr>
          <c:cat>
            <c:strRef>
              <c:f>GraphData!$A$143:$A$148</c:f>
              <c:strCache>
                <c:ptCount val="6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</c:strCache>
            </c:strRef>
          </c:cat>
          <c:val>
            <c:numRef>
              <c:f>GraphData!$C$143:$C$148</c:f>
              <c:numCache>
                <c:formatCode>General</c:formatCode>
                <c:ptCount val="6"/>
                <c:pt idx="0">
                  <c:v>6658.48000000004</c:v>
                </c:pt>
                <c:pt idx="1">
                  <c:v>0.0</c:v>
                </c:pt>
                <c:pt idx="2">
                  <c:v>17198.040000000037</c:v>
                </c:pt>
                <c:pt idx="3">
                  <c:v>18314.390000000014</c:v>
                </c:pt>
                <c:pt idx="4">
                  <c:v>28965.120000000024</c:v>
                </c:pt>
                <c:pt idx="5">
                  <c:v>51112.03000000001</c:v>
                </c:pt>
              </c:numCache>
            </c:numRef>
          </c:val>
        </c:ser>
        <c:ser>
          <c:idx val="2"/>
          <c:order val="2"/>
          <c:tx>
            <c:v>Public authority refund</c:v>
          </c:tx>
          <c:spPr>
            <a:solidFill>
              <a:srgbClr val="6CAED6"/>
            </a:solidFill>
            <a:ln>
              <a:noFill/>
            </a:ln>
          </c:spPr>
          <c:cat>
            <c:strRef>
              <c:f>GraphData!$A$143:$A$148</c:f>
              <c:strCache>
                <c:ptCount val="6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</c:strCache>
            </c:strRef>
          </c:cat>
          <c:val>
            <c:numRef>
              <c:f>GraphData!$D$143:$D$148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3"/>
          <c:order val="3"/>
          <c:tx>
            <c:v>Other processing without refund</c:v>
          </c:tx>
          <c:spPr>
            <a:solidFill>
              <a:srgbClr val="B4A7D6"/>
            </a:solidFill>
            <a:ln>
              <a:noFill/>
            </a:ln>
          </c:spPr>
          <c:cat>
            <c:strRef>
              <c:f>GraphData!$A$143:$A$148</c:f>
              <c:strCache>
                <c:ptCount val="6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</c:strCache>
            </c:strRef>
          </c:cat>
          <c:val>
            <c:numRef>
              <c:f>GraphData!$E$143:$E$148</c:f>
              <c:numCache>
                <c:formatCode>General</c:formatCode>
                <c:ptCount val="6"/>
                <c:pt idx="0">
                  <c:v>13190.500000000002</c:v>
                </c:pt>
                <c:pt idx="1">
                  <c:v>11841.360000000004</c:v>
                </c:pt>
                <c:pt idx="2">
                  <c:v>9666.990000000002</c:v>
                </c:pt>
                <c:pt idx="3">
                  <c:v>5172.250000000001</c:v>
                </c:pt>
                <c:pt idx="4">
                  <c:v>22256.82</c:v>
                </c:pt>
                <c:pt idx="5">
                  <c:v>2473.8900000000003</c:v>
                </c:pt>
              </c:numCache>
            </c:numRef>
          </c:val>
        </c:ser>
        <c:gapWidth val="70"/>
        <c:overlap val="100"/>
        <c:axId val="50130001"/>
        <c:axId val="50130002"/>
      </c:barChart>
      <c:lineChart>
        <c:grouping val="standard"/>
        <c:ser>
          <c:idx val="4"/>
          <c:order val="4"/>
          <c:tx>
            <c:v>Efficiency in amount</c:v>
          </c:tx>
          <c:spPr>
            <a:ln w="28575">
              <a:solidFill>
                <a:srgbClr val="005B63"/>
              </a:solidFill>
            </a:ln>
          </c:spPr>
          <c:marker>
            <c:symbol val="none"/>
          </c:marker>
          <c:dLbls>
            <c:numFmt formatCode="0%" sourceLinked="0"/>
            <c:txPr>
              <a:bodyPr/>
              <a:lstStyle/>
              <a:p>
                <a:pPr>
                  <a:defRPr sz="800" baseline="0">
                    <a:solidFill>
                      <a:srgbClr val="005B63"/>
                    </a:solidFill>
                    <a:latin typeface="Arial"/>
                  </a:defRPr>
                </a:pPr>
                <a:endParaRPr lang="en-US"/>
              </a:p>
            </c:txPr>
            <c:dLblPos val="t"/>
            <c:showVal val="1"/>
          </c:dLbls>
          <c:cat>
            <c:strRef>
              <c:f>GraphData!$A$143:$A$148</c:f>
              <c:strCache>
                <c:ptCount val="6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</c:strCache>
            </c:strRef>
          </c:cat>
          <c:val>
            <c:numRef>
              <c:f>GraphData!$F$143:$F$148</c:f>
              <c:numCache>
                <c:formatCode>General</c:formatCode>
                <c:ptCount val="6"/>
                <c:pt idx="0">
                  <c:v>0.9410164877948007</c:v>
                </c:pt>
                <c:pt idx="1">
                  <c:v>1.0</c:v>
                </c:pt>
                <c:pt idx="2">
                  <c:v>0.930559773812253</c:v>
                </c:pt>
                <c:pt idx="3">
                  <c:v>0.6816767079877908</c:v>
                </c:pt>
                <c:pt idx="4">
                  <c:v>0.7996180271219144</c:v>
                </c:pt>
                <c:pt idx="5">
                  <c:v>0.20725435050560145</c:v>
                </c:pt>
              </c:numCache>
            </c:numRef>
          </c:val>
        </c:ser>
        <c:ser>
          <c:idx val="5"/>
          <c:order val="5"/>
          <c:tx>
            <c:v>Efficiency in number</c:v>
          </c:tx>
          <c:spPr>
            <a:ln w="28575">
              <a:solidFill>
                <a:srgbClr val="7E245A"/>
              </a:solidFill>
            </a:ln>
          </c:spPr>
          <c:marker>
            <c:symbol val="none"/>
          </c:marker>
          <c:dLbls>
            <c:numFmt formatCode="0%" sourceLinked="0"/>
            <c:txPr>
              <a:bodyPr/>
              <a:lstStyle/>
              <a:p>
                <a:pPr>
                  <a:defRPr sz="800" baseline="0">
                    <a:solidFill>
                      <a:srgbClr val="7E245A"/>
                    </a:solidFill>
                    <a:latin typeface="Arial"/>
                  </a:defRPr>
                </a:pPr>
                <a:endParaRPr lang="en-US"/>
              </a:p>
            </c:txPr>
            <c:dLblPos val="b"/>
            <c:showVal val="1"/>
          </c:dLbls>
          <c:cat>
            <c:strRef>
              <c:f>GraphData!$A$143:$A$148</c:f>
              <c:strCache>
                <c:ptCount val="6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</c:strCache>
            </c:strRef>
          </c:cat>
          <c:val>
            <c:numRef>
              <c:f>GraphData!$G$143:$G$148</c:f>
              <c:numCache>
                <c:formatCode>General</c:formatCode>
                <c:ptCount val="6"/>
                <c:pt idx="0">
                  <c:v>0.9924812030075187</c:v>
                </c:pt>
                <c:pt idx="1">
                  <c:v>1.0</c:v>
                </c:pt>
                <c:pt idx="2">
                  <c:v>0.6437768240343348</c:v>
                </c:pt>
                <c:pt idx="3">
                  <c:v>0.30405405405405406</c:v>
                </c:pt>
                <c:pt idx="4">
                  <c:v>0.18604651162790697</c:v>
                </c:pt>
                <c:pt idx="5">
                  <c:v>0.06666666666666667</c:v>
                </c:pt>
              </c:numCache>
            </c:numRef>
          </c:val>
        </c:ser>
        <c:marker val="1"/>
        <c:axId val="60130001"/>
        <c:axId val="60130002"/>
      </c:lineChart>
      <c:catAx>
        <c:axId val="5013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BAC5CA"/>
            </a:solidFill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  <c:min val="0"/>
        </c:scaling>
        <c:axPos val="l"/>
        <c:majorGridlines>
          <c:spPr>
            <a:ln w="6350">
              <a:solidFill>
                <a:srgbClr val="DDE3E5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130001"/>
        <c:crosses val="autoZero"/>
        <c:crossBetween val="between"/>
      </c:valAx>
      <c:valAx>
        <c:axId val="60130002"/>
        <c:scaling>
          <c:orientation val="minMax"/>
          <c:max val="1.0"/>
          <c:min val="0"/>
        </c:scaling>
        <c:axPos val="r"/>
        <c:numFmt formatCode="0%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/>
            </a:pPr>
            <a:endParaRPr lang="en-US"/>
          </a:p>
        </c:txPr>
        <c:crossAx val="60130001"/>
        <c:crosses val="max"/>
        <c:crossBetween val="between"/>
        <c:majorUnit val="0.2"/>
      </c:valAx>
      <c:catAx>
        <c:axId val="60130001"/>
        <c:scaling>
          <c:orientation val="minMax"/>
        </c:scaling>
        <c:delete val="1"/>
        <c:axPos val="b"/>
        <c:tickLblPos val="none"/>
        <c:crossAx val="60130002"/>
        <c:crosses val="autoZero"/>
        <c:auto val="1"/>
        <c:lblAlgn val="ctr"/>
        <c:lblOffset val="100"/>
      </c:cat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8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CFD8DC"/>
      </a:solidFill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0" baseline="0">
                <a:latin typeface="Arial"/>
              </a:defRPr>
            </a:pPr>
            <a:r>
              <a:rPr lang="en-US" sz="1100" b="0" baseline="0">
                <a:latin typeface="Arial"/>
              </a:rPr>
              <a:t>Sweden: Monthly inflow in SEK and efficiency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With client refund</c:v>
          </c:tx>
          <c:spPr>
            <a:solidFill>
              <a:srgbClr val="92C43D"/>
            </a:solidFill>
            <a:ln>
              <a:noFill/>
            </a:ln>
          </c:spPr>
          <c:cat>
            <c:strRef>
              <c:f>GraphData!$A$160:$A$165</c:f>
              <c:strCache>
                <c:ptCount val="6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</c:strCache>
            </c:strRef>
          </c:cat>
          <c:val>
            <c:numRef>
              <c:f>GraphData!$B$160:$B$165</c:f>
              <c:numCache>
                <c:formatCode>General</c:formatCode>
                <c:ptCount val="6"/>
                <c:pt idx="0">
                  <c:v>230915.97999999995</c:v>
                </c:pt>
                <c:pt idx="1">
                  <c:v>97350.67999999998</c:v>
                </c:pt>
                <c:pt idx="2">
                  <c:v>294604.24000000017</c:v>
                </c:pt>
                <c:pt idx="3">
                  <c:v>367142.1100000003</c:v>
                </c:pt>
                <c:pt idx="4">
                  <c:v>125498.9999999999</c:v>
                </c:pt>
                <c:pt idx="5">
                  <c:v>124033.42000000004</c:v>
                </c:pt>
              </c:numCache>
            </c:numRef>
          </c:val>
        </c:ser>
        <c:ser>
          <c:idx val="1"/>
          <c:order val="1"/>
          <c:tx>
            <c:v>To be processed</c:v>
          </c:tx>
          <c:spPr>
            <a:solidFill>
              <a:srgbClr val="A6A6A6"/>
            </a:solidFill>
            <a:ln>
              <a:noFill/>
            </a:ln>
          </c:spPr>
          <c:cat>
            <c:strRef>
              <c:f>GraphData!$A$160:$A$165</c:f>
              <c:strCache>
                <c:ptCount val="6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</c:strCache>
            </c:strRef>
          </c:cat>
          <c:val>
            <c:numRef>
              <c:f>GraphData!$C$160:$C$165</c:f>
              <c:numCache>
                <c:formatCode>General</c:formatCode>
                <c:ptCount val="6"/>
                <c:pt idx="0">
                  <c:v>2.9103830456733704e-11</c:v>
                </c:pt>
                <c:pt idx="1">
                  <c:v>1.4551915228366852e-11</c:v>
                </c:pt>
                <c:pt idx="2">
                  <c:v>1916.7299999999814</c:v>
                </c:pt>
                <c:pt idx="3">
                  <c:v>4594.39999999979</c:v>
                </c:pt>
                <c:pt idx="4">
                  <c:v>6251.130000000005</c:v>
                </c:pt>
                <c:pt idx="5">
                  <c:v>143881.7999999997</c:v>
                </c:pt>
              </c:numCache>
            </c:numRef>
          </c:val>
        </c:ser>
        <c:ser>
          <c:idx val="2"/>
          <c:order val="2"/>
          <c:tx>
            <c:v>Public authority refund</c:v>
          </c:tx>
          <c:spPr>
            <a:solidFill>
              <a:srgbClr val="6CAED6"/>
            </a:solidFill>
            <a:ln>
              <a:noFill/>
            </a:ln>
          </c:spPr>
          <c:cat>
            <c:strRef>
              <c:f>GraphData!$A$160:$A$165</c:f>
              <c:strCache>
                <c:ptCount val="6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</c:strCache>
            </c:strRef>
          </c:cat>
          <c:val>
            <c:numRef>
              <c:f>GraphData!$D$160:$D$165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3"/>
          <c:order val="3"/>
          <c:tx>
            <c:v>Other processing without refund</c:v>
          </c:tx>
          <c:spPr>
            <a:solidFill>
              <a:srgbClr val="B4A7D6"/>
            </a:solidFill>
            <a:ln>
              <a:noFill/>
            </a:ln>
          </c:spPr>
          <c:cat>
            <c:strRef>
              <c:f>GraphData!$A$160:$A$165</c:f>
              <c:strCache>
                <c:ptCount val="6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</c:strCache>
            </c:strRef>
          </c:cat>
          <c:val>
            <c:numRef>
              <c:f>GraphData!$E$160:$E$165</c:f>
              <c:numCache>
                <c:formatCode>General</c:formatCode>
                <c:ptCount val="6"/>
                <c:pt idx="0">
                  <c:v>17454.949999999997</c:v>
                </c:pt>
                <c:pt idx="1">
                  <c:v>22431.089999999997</c:v>
                </c:pt>
                <c:pt idx="2">
                  <c:v>424288.25</c:v>
                </c:pt>
                <c:pt idx="3">
                  <c:v>12497.66</c:v>
                </c:pt>
                <c:pt idx="4">
                  <c:v>5375.139999999999</c:v>
                </c:pt>
                <c:pt idx="5">
                  <c:v>9680.37</c:v>
                </c:pt>
              </c:numCache>
            </c:numRef>
          </c:val>
        </c:ser>
        <c:gapWidth val="70"/>
        <c:overlap val="100"/>
        <c:axId val="50140001"/>
        <c:axId val="50140002"/>
      </c:barChart>
      <c:lineChart>
        <c:grouping val="standard"/>
        <c:ser>
          <c:idx val="4"/>
          <c:order val="4"/>
          <c:tx>
            <c:v>Efficiency in amount</c:v>
          </c:tx>
          <c:spPr>
            <a:ln w="28575">
              <a:solidFill>
                <a:srgbClr val="005B63"/>
              </a:solidFill>
            </a:ln>
          </c:spPr>
          <c:marker>
            <c:symbol val="none"/>
          </c:marker>
          <c:dLbls>
            <c:numFmt formatCode="0%" sourceLinked="0"/>
            <c:txPr>
              <a:bodyPr/>
              <a:lstStyle/>
              <a:p>
                <a:pPr>
                  <a:defRPr sz="800" baseline="0">
                    <a:solidFill>
                      <a:srgbClr val="005B63"/>
                    </a:solidFill>
                    <a:latin typeface="Arial"/>
                  </a:defRPr>
                </a:pPr>
                <a:endParaRPr lang="en-US"/>
              </a:p>
            </c:txPr>
            <c:dLblPos val="t"/>
            <c:showVal val="1"/>
          </c:dLbls>
          <c:cat>
            <c:strRef>
              <c:f>GraphData!$A$160:$A$165</c:f>
              <c:strCache>
                <c:ptCount val="6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</c:strCache>
            </c:strRef>
          </c:cat>
          <c:val>
            <c:numRef>
              <c:f>GraphData!$F$160:$F$165</c:f>
              <c:numCache>
                <c:formatCode>General</c:formatCode>
                <c:ptCount val="6"/>
                <c:pt idx="0">
                  <c:v>0.9999999999999999</c:v>
                </c:pt>
                <c:pt idx="1">
                  <c:v>0.9999999999999999</c:v>
                </c:pt>
                <c:pt idx="2">
                  <c:v>0.9973408636476654</c:v>
                </c:pt>
                <c:pt idx="3">
                  <c:v>0.9880427084348073</c:v>
                </c:pt>
                <c:pt idx="4">
                  <c:v>0.9544129976918185</c:v>
                </c:pt>
                <c:pt idx="5">
                  <c:v>0.48168557000491313</c:v>
                </c:pt>
              </c:numCache>
            </c:numRef>
          </c:val>
        </c:ser>
        <c:ser>
          <c:idx val="5"/>
          <c:order val="5"/>
          <c:tx>
            <c:v>Efficiency in number</c:v>
          </c:tx>
          <c:spPr>
            <a:ln w="28575">
              <a:solidFill>
                <a:srgbClr val="7E245A"/>
              </a:solidFill>
            </a:ln>
          </c:spPr>
          <c:marker>
            <c:symbol val="none"/>
          </c:marker>
          <c:dLbls>
            <c:numFmt formatCode="0%" sourceLinked="0"/>
            <c:txPr>
              <a:bodyPr/>
              <a:lstStyle/>
              <a:p>
                <a:pPr>
                  <a:defRPr sz="800" baseline="0">
                    <a:solidFill>
                      <a:srgbClr val="7E245A"/>
                    </a:solidFill>
                    <a:latin typeface="Arial"/>
                  </a:defRPr>
                </a:pPr>
                <a:endParaRPr lang="en-US"/>
              </a:p>
            </c:txPr>
            <c:dLblPos val="b"/>
            <c:showVal val="1"/>
          </c:dLbls>
          <c:cat>
            <c:strRef>
              <c:f>GraphData!$A$160:$A$165</c:f>
              <c:strCache>
                <c:ptCount val="6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</c:strCache>
            </c:strRef>
          </c:cat>
          <c:val>
            <c:numRef>
              <c:f>GraphData!$G$160:$G$165</c:f>
              <c:numCache>
                <c:formatCode>General</c:formatCode>
                <c:ptCount val="6"/>
                <c:pt idx="0">
                  <c:v>1.0</c:v>
                </c:pt>
                <c:pt idx="1">
                  <c:v>1.0</c:v>
                </c:pt>
                <c:pt idx="2">
                  <c:v>0.9649923896499238</c:v>
                </c:pt>
                <c:pt idx="3">
                  <c:v>0.930116472545757</c:v>
                </c:pt>
                <c:pt idx="4">
                  <c:v>0.8938223938223938</c:v>
                </c:pt>
                <c:pt idx="5">
                  <c:v>0.4220472440944882</c:v>
                </c:pt>
              </c:numCache>
            </c:numRef>
          </c:val>
        </c:ser>
        <c:marker val="1"/>
        <c:axId val="60140001"/>
        <c:axId val="60140002"/>
      </c:lineChart>
      <c:catAx>
        <c:axId val="5014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BAC5CA"/>
            </a:solidFill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140002"/>
        <c:crosses val="autoZero"/>
        <c:auto val="1"/>
        <c:lblAlgn val="ctr"/>
        <c:lblOffset val="100"/>
      </c:catAx>
      <c:valAx>
        <c:axId val="50140002"/>
        <c:scaling>
          <c:orientation val="minMax"/>
          <c:min val="0"/>
        </c:scaling>
        <c:axPos val="l"/>
        <c:majorGridlines>
          <c:spPr>
            <a:ln w="6350">
              <a:solidFill>
                <a:srgbClr val="DDE3E5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140001"/>
        <c:crosses val="autoZero"/>
        <c:crossBetween val="between"/>
      </c:valAx>
      <c:valAx>
        <c:axId val="60140002"/>
        <c:scaling>
          <c:orientation val="minMax"/>
          <c:max val="1.0"/>
          <c:min val="0"/>
        </c:scaling>
        <c:axPos val="r"/>
        <c:numFmt formatCode="0%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/>
            </a:pPr>
            <a:endParaRPr lang="en-US"/>
          </a:p>
        </c:txPr>
        <c:crossAx val="60140001"/>
        <c:crosses val="max"/>
        <c:crossBetween val="between"/>
        <c:majorUnit val="0.2"/>
      </c:valAx>
      <c:catAx>
        <c:axId val="60140001"/>
        <c:scaling>
          <c:orientation val="minMax"/>
        </c:scaling>
        <c:delete val="1"/>
        <c:axPos val="b"/>
        <c:tickLblPos val="none"/>
        <c:crossAx val="60140002"/>
        <c:crosses val="autoZero"/>
        <c:auto val="1"/>
        <c:lblAlgn val="ctr"/>
        <c:lblOffset val="100"/>
      </c:cat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8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CFD8DC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19050</xdr:colOff>
      <xdr:row>7</xdr:row>
      <xdr:rowOff>19050</xdr:rowOff>
    </xdr:from>
    <xdr:to>
      <xdr:col>31</xdr:col>
      <xdr:colOff>85725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19050</xdr:colOff>
      <xdr:row>23</xdr:row>
      <xdr:rowOff>19050</xdr:rowOff>
    </xdr:from>
    <xdr:to>
      <xdr:col>31</xdr:col>
      <xdr:colOff>85725</xdr:colOff>
      <xdr:row>37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51</xdr:row>
      <xdr:rowOff>19050</xdr:rowOff>
    </xdr:from>
    <xdr:to>
      <xdr:col>13</xdr:col>
      <xdr:colOff>171450</xdr:colOff>
      <xdr:row>65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</xdr:colOff>
      <xdr:row>67</xdr:row>
      <xdr:rowOff>19050</xdr:rowOff>
    </xdr:from>
    <xdr:to>
      <xdr:col>13</xdr:col>
      <xdr:colOff>171450</xdr:colOff>
      <xdr:row>81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19050</xdr:colOff>
      <xdr:row>7</xdr:row>
      <xdr:rowOff>19050</xdr:rowOff>
    </xdr:from>
    <xdr:to>
      <xdr:col>31</xdr:col>
      <xdr:colOff>85725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19050</xdr:colOff>
      <xdr:row>23</xdr:row>
      <xdr:rowOff>19050</xdr:rowOff>
    </xdr:from>
    <xdr:to>
      <xdr:col>31</xdr:col>
      <xdr:colOff>85725</xdr:colOff>
      <xdr:row>37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7</xdr:row>
      <xdr:rowOff>19050</xdr:rowOff>
    </xdr:from>
    <xdr:to>
      <xdr:col>13</xdr:col>
      <xdr:colOff>171450</xdr:colOff>
      <xdr:row>21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23</xdr:row>
      <xdr:rowOff>19050</xdr:rowOff>
    </xdr:from>
    <xdr:to>
      <xdr:col>13</xdr:col>
      <xdr:colOff>171450</xdr:colOff>
      <xdr:row>37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6</xdr:row>
      <xdr:rowOff>19050</xdr:rowOff>
    </xdr:from>
    <xdr:to>
      <xdr:col>16</xdr:col>
      <xdr:colOff>114300</xdr:colOff>
      <xdr:row>26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6</xdr:row>
      <xdr:rowOff>19050</xdr:rowOff>
    </xdr:from>
    <xdr:to>
      <xdr:col>16</xdr:col>
      <xdr:colOff>114300</xdr:colOff>
      <xdr:row>26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6</xdr:row>
      <xdr:rowOff>19050</xdr:rowOff>
    </xdr:from>
    <xdr:to>
      <xdr:col>16</xdr:col>
      <xdr:colOff>114300</xdr:colOff>
      <xdr:row>26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6</xdr:row>
      <xdr:rowOff>19050</xdr:rowOff>
    </xdr:from>
    <xdr:to>
      <xdr:col>16</xdr:col>
      <xdr:colOff>114300</xdr:colOff>
      <xdr:row>26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6</xdr:row>
      <xdr:rowOff>19050</xdr:rowOff>
    </xdr:from>
    <xdr:to>
      <xdr:col>16</xdr:col>
      <xdr:colOff>114300</xdr:colOff>
      <xdr:row>26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6</xdr:row>
      <xdr:rowOff>19050</xdr:rowOff>
    </xdr:from>
    <xdr:to>
      <xdr:col>16</xdr:col>
      <xdr:colOff>114300</xdr:colOff>
      <xdr:row>26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Indicateurs" displayName="Indicateurs" ref="A5:AB11" totalsRowShown="0">
  <autoFilter ref="A5:AB11"/>
  <tableColumns count="28">
    <tableColumn id="1" name="Trimestre"/>
    <tableColumn id="2" name="Code pays"/>
    <tableColumn id="3" name="Pays"/>
    <tableColumn id="4" name="Devise"/>
    <tableColumn id="5" name="Taux local pour 1 EUR"/>
    <tableColumn id="6" name="Stock initial local"/>
    <tableColumn id="7" name="Traité local"/>
    <tableColumn id="8" name="A traiter local"/>
    <tableColumn id="9" name="Injoignables local"/>
    <tableColumn id="10" name="Stock identifié local"/>
    <tableColumn id="11" name="CST local"/>
    <tableColumn id="12" name="Stock avec CST local"/>
    <tableColumn id="13" name="A traiter EUR"/>
    <tableColumn id="14" name="Stock identifié EUR"/>
    <tableColumn id="15" name="Stock avec CST EUR"/>
    <tableColumn id="16" name="Contrats KPI3"/>
    <tableColumn id="17" name="Flux 6 mois EUR"/>
    <tableColumn id="18" name="Traité 6 mois EUR"/>
    <tableColumn id="19" name="Contrats entrants 6 mois"/>
    <tableColumn id="20" name="Contrats traités 6 mois"/>
    <tableColumn id="21" name="Efficacité montant 6 mois"/>
    <tableColumn id="22" name="Efficacité nombre 6 mois"/>
    <tableColumn id="23" name="Moyenne mensuelle EUR"/>
    <tableColumn id="24" name="Efficacité montant M-5"/>
    <tableColumn id="25" name="Efficacité nombre M-5"/>
    <tableColumn id="26" name="Flux trimestre EUR"/>
    <tableColumn id="27" name="Traité trimestre EUR"/>
    <tableColumn id="28" name="Efficacité montant trimest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luxDetail" displayName="FluxDetail" ref="A5:W41" totalsRowShown="0">
  <autoFilter ref="A5:W41"/>
  <tableColumns count="23">
    <tableColumn id="1" name="Trimestre"/>
    <tableColumn id="2" name="Code pays"/>
    <tableColumn id="3" name="Pays"/>
    <tableColumn id="4" name="Devise"/>
    <tableColumn id="5" name="Mois de cohorte"/>
    <tableColumn id="6" name="Flux local"/>
    <tableColumn id="7" name="Contrats entrants"/>
    <tableColumn id="8" name="Remboursé client local"/>
    <tableColumn id="9" name="Injoignables local"/>
    <tableColumn id="10" name="Faux positifs local"/>
    <tableColumn id="11" name="Autorités local"/>
    <tableColumn id="12" name="Autres sans remboursement local"/>
    <tableColumn id="13" name="Traité calculé local"/>
    <tableColumn id="14" name="Contrats traités"/>
    <tableColumn id="15" name="Reste local"/>
    <tableColumn id="16" name="Contrats restants"/>
    <tableColumn id="17" name="Taux local pour 1 EUR"/>
    <tableColumn id="18" name="Flux EUR"/>
    <tableColumn id="19" name="Traité EUR"/>
    <tableColumn id="20" name="Efficacité montant"/>
    <tableColumn id="21" name="Efficacité nombre"/>
    <tableColumn id="22" name="Traité déclaré local"/>
    <tableColumn id="23" name="Sour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tockDetail" displayName="StockDetail" ref="A5:T26" totalsRowShown="0">
  <autoFilter ref="A5:T26"/>
  <tableColumns count="20">
    <tableColumn id="1" name="Trimestre"/>
    <tableColumn id="2" name="Code pays"/>
    <tableColumn id="3" name="Pays"/>
    <tableColumn id="4" name="Devise"/>
    <tableColumn id="5" name="Millésime"/>
    <tableColumn id="6" name="Stock initial local"/>
    <tableColumn id="7" name="Remboursé client local"/>
    <tableColumn id="8" name="Injoignables local"/>
    <tableColumn id="9" name="Faux positifs local"/>
    <tableColumn id="10" name="Autorités local"/>
    <tableColumn id="11" name="Autres sans remboursement local"/>
    <tableColumn id="12" name="Traité calculé local"/>
    <tableColumn id="13" name="A traiter local"/>
    <tableColumn id="14" name="Stock identifié local"/>
    <tableColumn id="15" name="Traité déclaré local"/>
    <tableColumn id="16" name="A traiter déclaré local"/>
    <tableColumn id="17" name="Taux local pour 1 EUR"/>
    <tableColumn id="18" name="A traiter EUR"/>
    <tableColumn id="19" name="Stock identifié EUR"/>
    <tableColumn id="20" name="Sour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tockRepartition" displayName="StockRepartition" ref="A5:K94" totalsRowShown="0">
  <autoFilter ref="A5:K94"/>
  <tableColumns count="11">
    <tableColumn id="1" name="Trimestre"/>
    <tableColumn id="2" name="Code pays"/>
    <tableColumn id="3" name="Pays"/>
    <tableColumn id="4" name="Devise"/>
    <tableColumn id="5" name="Répartition"/>
    <tableColumn id="6" name="Catégorie source"/>
    <tableColumn id="7" name="Contrats"/>
    <tableColumn id="8" name="Montant local"/>
    <tableColumn id="9" name="Taux local pour 1 EUR"/>
    <tableColumn id="10" name="Montant EUR"/>
    <tableColumn id="11" name="Sour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uxChange" displayName="TauxChange" ref="A5:F10" totalsRowShown="0">
  <autoFilter ref="A5:F10"/>
  <tableColumns count="6">
    <tableColumn id="1" name="Trimestre"/>
    <tableColumn id="2" name="Devise"/>
    <tableColumn id="3" name="Date des taux"/>
    <tableColumn id="4" name="Devise locale pour 1 EUR"/>
    <tableColumn id="5" name="Type de taux"/>
    <tableColumn id="6" name="Sourc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Observations" displayName="Observations" ref="A5:F34" totalsRowShown="0">
  <autoFilter ref="A5:F34"/>
  <tableColumns count="6">
    <tableColumn id="1" name="Trimestre"/>
    <tableColumn id="2" name="Niveau"/>
    <tableColumn id="3" name="Code"/>
    <tableColumn id="4" name="Pays"/>
    <tableColumn id="5" name="Observation"/>
    <tableColumn id="6" name="Sourc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PresentationSourceTotals" displayName="PresentationSourceTotals" ref="A5:F17" totalsRowShown="0">
  <autoFilter ref="A5:F17"/>
  <tableColumns count="6">
    <tableColumn id="1" name="Period"/>
    <tableColumn id="2" name="Country"/>
    <tableColumn id="3" name="Distribution"/>
    <tableColumn id="4" name="Reported count"/>
    <tableColumn id="5" name="Reported amount local"/>
    <tableColumn id="6" name="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77B900"/>
    <pageSetUpPr fitToPage="1"/>
  </sheetPr>
  <dimension ref="A2:AF86"/>
  <sheetViews>
    <sheetView showGridLines="0" tabSelected="1" zoomScale="80" zoomScaleNormal="80" workbookViewId="0">
      <pane topLeftCell="A1" activePane="bottomLeft" state="frozen"/>
      <selection pane="bottomLeft"/>
    </sheetView>
  </sheetViews>
  <sheetFormatPr defaultRowHeight="13.5" customHeight="1"/>
  <cols>
    <col min="1" max="1" width="3" customWidth="1"/>
    <col min="2" max="31" width="6" customWidth="1"/>
    <col min="32" max="32" width="11.28515625" customWidth="1"/>
  </cols>
  <sheetData>
    <row r="2" spans="1:32" ht="13.5" customHeight="1">
      <c r="A2" s="1"/>
      <c r="B2" s="2" t="s">
        <v>389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ht="13.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13.5" customHeight="1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13.5" customHeight="1">
      <c r="A5" s="1"/>
      <c r="B5" s="3" t="s">
        <v>391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ht="13.5" customHeight="1">
      <c r="A6" s="1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ht="13.5" customHeight="1">
      <c r="A7" s="1"/>
    </row>
    <row r="8" spans="1:32" ht="13.5" customHeight="1">
      <c r="A8" s="1"/>
      <c r="B8" s="4" t="s">
        <v>403</v>
      </c>
      <c r="C8" s="4"/>
      <c r="D8" s="4"/>
      <c r="E8" s="4"/>
      <c r="F8" s="4"/>
      <c r="G8" s="4"/>
      <c r="H8" s="4" t="s">
        <v>404</v>
      </c>
      <c r="I8" s="4"/>
      <c r="J8" s="4"/>
      <c r="K8" s="4" t="s">
        <v>9</v>
      </c>
      <c r="L8" s="4"/>
      <c r="M8" s="4"/>
      <c r="N8" s="4" t="s">
        <v>405</v>
      </c>
      <c r="O8" s="4"/>
      <c r="P8" s="4"/>
    </row>
    <row r="9" spans="1:32" ht="13.5" customHeight="1">
      <c r="A9" s="1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32" ht="13.5" customHeight="1">
      <c r="A10" s="1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32" ht="13.5" customHeight="1">
      <c r="A11" s="1"/>
      <c r="B11" s="5" t="s">
        <v>42</v>
      </c>
      <c r="C11" s="5"/>
      <c r="D11" s="5"/>
      <c r="E11" s="5"/>
      <c r="F11" s="5"/>
      <c r="G11" s="5"/>
      <c r="H11" s="6" t="str">
        <f>IF(ISNUMBER('GraphData'!B7),'GraphData'!B7,"n.d.")</f>
        <v>n.d.</v>
      </c>
      <c r="I11" s="6"/>
      <c r="J11" s="6"/>
      <c r="K11" s="6">
        <f>IF(ISNUMBER('GraphData'!C7),'GraphData'!C7,"n.d.")</f>
        <v>11992.289999999979</v>
      </c>
      <c r="L11" s="6"/>
      <c r="M11" s="6"/>
      <c r="N11" s="7" t="str">
        <f>IF(ISNUMBER('GraphData'!D7),'GraphData'!D7,"n.d.")</f>
        <v>n.d.</v>
      </c>
      <c r="O11" s="7"/>
      <c r="P11" s="7"/>
    </row>
    <row r="12" spans="1:32" ht="13.5" customHeight="1">
      <c r="A12" s="1"/>
      <c r="B12" s="5" t="s">
        <v>51</v>
      </c>
      <c r="C12" s="5"/>
      <c r="D12" s="5"/>
      <c r="E12" s="5"/>
      <c r="F12" s="5"/>
      <c r="G12" s="5"/>
      <c r="H12" s="6" t="str">
        <f>IF(ISNUMBER('GraphData'!B8),'GraphData'!B8,"n.d.")</f>
        <v>n.d.</v>
      </c>
      <c r="I12" s="6"/>
      <c r="J12" s="6"/>
      <c r="K12" s="6">
        <f>IF(ISNUMBER('GraphData'!C8),'GraphData'!C8,"n.d.")</f>
        <v>3127145.950000018</v>
      </c>
      <c r="L12" s="6"/>
      <c r="M12" s="6"/>
      <c r="N12" s="7" t="str">
        <f>IF(ISNUMBER('GraphData'!D8),'GraphData'!D8,"n.d.")</f>
        <v>n.d.</v>
      </c>
      <c r="O12" s="7"/>
      <c r="P12" s="7"/>
    </row>
    <row r="13" spans="1:32" ht="13.5" customHeight="1">
      <c r="A13" s="1"/>
      <c r="B13" s="5" t="s">
        <v>56</v>
      </c>
      <c r="C13" s="5"/>
      <c r="D13" s="5"/>
      <c r="E13" s="5"/>
      <c r="F13" s="5"/>
      <c r="G13" s="5"/>
      <c r="H13" s="6" t="str">
        <f>IF(ISNUMBER('GraphData'!B9),'GraphData'!B9,"n.d.")</f>
        <v>n.d.</v>
      </c>
      <c r="I13" s="6"/>
      <c r="J13" s="6"/>
      <c r="K13" s="6">
        <f>IF(ISNUMBER('GraphData'!C9),'GraphData'!C9,"n.d.")</f>
        <v>1905080.928827054</v>
      </c>
      <c r="L13" s="6"/>
      <c r="M13" s="6"/>
      <c r="N13" s="7" t="str">
        <f>IF(ISNUMBER('GraphData'!D9),'GraphData'!D9,"n.d.")</f>
        <v>n.d.</v>
      </c>
      <c r="O13" s="7"/>
      <c r="P13" s="7"/>
    </row>
    <row r="14" spans="1:32" ht="13.5" customHeight="1">
      <c r="A14" s="1"/>
      <c r="B14" s="5" t="s">
        <v>61</v>
      </c>
      <c r="C14" s="5"/>
      <c r="D14" s="5"/>
      <c r="E14" s="5"/>
      <c r="F14" s="5"/>
      <c r="G14" s="5"/>
      <c r="H14" s="6" t="str">
        <f>IF(ISNUMBER('GraphData'!B10),'GraphData'!B10,"n.d.")</f>
        <v>n.d.</v>
      </c>
      <c r="I14" s="6"/>
      <c r="J14" s="6"/>
      <c r="K14" s="6">
        <f>IF(ISNUMBER('GraphData'!C10),'GraphData'!C10,"n.d.")</f>
        <v>24388.740092077394</v>
      </c>
      <c r="L14" s="6"/>
      <c r="M14" s="6"/>
      <c r="N14" s="7" t="str">
        <f>IF(ISNUMBER('GraphData'!D10),'GraphData'!D10,"n.d.")</f>
        <v>n.d.</v>
      </c>
      <c r="O14" s="7"/>
      <c r="P14" s="7"/>
    </row>
    <row r="15" spans="1:32" ht="13.5" customHeight="1">
      <c r="A15" s="1"/>
      <c r="B15" s="5" t="s">
        <v>69</v>
      </c>
      <c r="C15" s="5"/>
      <c r="D15" s="5"/>
      <c r="E15" s="5"/>
      <c r="F15" s="5"/>
      <c r="G15" s="5"/>
      <c r="H15" s="6" t="str">
        <f>IF(ISNUMBER('GraphData'!B11),'GraphData'!B11,"n.d.")</f>
        <v>n.d.</v>
      </c>
      <c r="I15" s="6"/>
      <c r="J15" s="6"/>
      <c r="K15" s="6">
        <f>IF(ISNUMBER('GraphData'!C11),'GraphData'!C11,"n.d.")</f>
        <v>10807.638555779191</v>
      </c>
      <c r="L15" s="6"/>
      <c r="M15" s="6"/>
      <c r="N15" s="7" t="str">
        <f>IF(ISNUMBER('GraphData'!D11),'GraphData'!D11,"n.d.")</f>
        <v>n.d.</v>
      </c>
      <c r="O15" s="7"/>
      <c r="P15" s="7"/>
    </row>
    <row r="16" spans="1:32" ht="13.5" customHeight="1">
      <c r="A16" s="1"/>
      <c r="B16" s="5" t="s">
        <v>75</v>
      </c>
      <c r="C16" s="5"/>
      <c r="D16" s="5"/>
      <c r="E16" s="5"/>
      <c r="F16" s="5"/>
      <c r="G16" s="5"/>
      <c r="H16" s="6" t="str">
        <f>IF(ISNUMBER('GraphData'!B12),'GraphData'!B12,"n.d.")</f>
        <v>n.d.</v>
      </c>
      <c r="I16" s="6"/>
      <c r="J16" s="6"/>
      <c r="K16" s="6">
        <f>IF(ISNUMBER('GraphData'!C12),'GraphData'!C12,"n.d.")</f>
        <v>14140.068998832623</v>
      </c>
      <c r="L16" s="6"/>
      <c r="M16" s="6"/>
      <c r="N16" s="7" t="str">
        <f>IF(ISNUMBER('GraphData'!D12),'GraphData'!D12,"n.d.")</f>
        <v>n.d.</v>
      </c>
      <c r="O16" s="7"/>
      <c r="P16" s="7"/>
    </row>
    <row r="17" spans="1:16" ht="13.5" customHeight="1">
      <c r="A17" s="1"/>
      <c r="B17" s="8" t="s">
        <v>406</v>
      </c>
      <c r="C17" s="8"/>
      <c r="D17" s="8"/>
      <c r="E17" s="8"/>
      <c r="F17" s="8"/>
      <c r="G17" s="8"/>
      <c r="H17" s="8" t="str">
        <f>IF(COUNT(H11:H16)=6,SUM(H11:H16),"n.d.")</f>
        <v>n.d.</v>
      </c>
      <c r="I17" s="8"/>
      <c r="J17" s="8"/>
      <c r="K17" s="8">
        <f>IF(COUNT(K11:K16)=6,SUM(K11:K16),"n.d.")</f>
        <v>5093555.616473761</v>
      </c>
      <c r="L17" s="8"/>
      <c r="M17" s="8"/>
      <c r="N17" s="9" t="str">
        <f>IF(OR(COUNT(H17,K17)&lt;&gt;2,H17=0),"n.d.",K17/H17-1)</f>
        <v>n.d.</v>
      </c>
      <c r="O17" s="9"/>
      <c r="P17" s="9"/>
    </row>
    <row r="18" spans="1:16" ht="13.5" customHeight="1">
      <c r="A18" s="1"/>
    </row>
    <row r="19" spans="1:16" ht="13.5" customHeight="1">
      <c r="A19" s="1"/>
    </row>
    <row r="20" spans="1:16" ht="13.5" customHeight="1">
      <c r="A20" s="1"/>
    </row>
    <row r="21" spans="1:16" ht="13.5" customHeight="1">
      <c r="A21" s="1"/>
    </row>
    <row r="22" spans="1:16" ht="13.5" customHeight="1">
      <c r="A22" s="1"/>
    </row>
    <row r="23" spans="1:16" ht="13.5" customHeight="1">
      <c r="A23" s="1"/>
    </row>
    <row r="24" spans="1:16" ht="13.5" customHeight="1">
      <c r="A24" s="1"/>
      <c r="B24" s="10" t="s">
        <v>407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</row>
    <row r="25" spans="1:16" ht="13.5" customHeight="1">
      <c r="A25" s="1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spans="1:16" ht="13.5" customHeight="1">
      <c r="A26" s="1"/>
      <c r="B26" s="10" t="s">
        <v>408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spans="1:16" ht="13.5" customHeight="1">
      <c r="A27" s="1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</row>
    <row r="28" spans="1:16" ht="13.5" customHeight="1">
      <c r="A28" s="1"/>
      <c r="B28" s="10" t="s">
        <v>409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</row>
    <row r="29" spans="1:16" ht="13.5" customHeight="1">
      <c r="A29" s="1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spans="1:16" ht="13.5" customHeight="1">
      <c r="A30" s="1"/>
    </row>
    <row r="31" spans="1:16" ht="13.5" customHeight="1">
      <c r="A31" s="1"/>
    </row>
    <row r="32" spans="1:16" ht="13.5" customHeight="1">
      <c r="A32" s="1"/>
    </row>
    <row r="33" spans="1:32" ht="13.5" customHeight="1">
      <c r="A33" s="1"/>
    </row>
    <row r="34" spans="1:32" ht="13.5" customHeight="1">
      <c r="A34" s="1"/>
    </row>
    <row r="35" spans="1:32" ht="13.5" customHeight="1">
      <c r="A35" s="1"/>
    </row>
    <row r="36" spans="1:32" ht="13.5" customHeight="1">
      <c r="A36" s="1"/>
    </row>
    <row r="37" spans="1:32" ht="13.5" customHeight="1">
      <c r="A37" s="1"/>
    </row>
    <row r="38" spans="1:32" ht="13.5" customHeight="1">
      <c r="A38" s="1"/>
    </row>
    <row r="39" spans="1:32" ht="13.5" customHeight="1">
      <c r="A39" s="1"/>
    </row>
    <row r="40" spans="1:32" ht="13.5" customHeight="1">
      <c r="A40" s="1"/>
    </row>
    <row r="41" spans="1:32" ht="13.5" customHeight="1">
      <c r="A41" s="1"/>
    </row>
    <row r="42" spans="1:32" ht="13.5" customHeight="1">
      <c r="A42" s="1"/>
      <c r="B42" s="11" t="s">
        <v>390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</row>
    <row r="46" spans="1:32" ht="13.5" customHeight="1">
      <c r="A46" s="1"/>
      <c r="B46" s="2" t="s">
        <v>410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ht="13.5" customHeight="1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ht="13.5" customHeight="1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ht="13.5" customHeight="1">
      <c r="A49" s="1"/>
      <c r="B49" s="3" t="s">
        <v>411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1:32" ht="13.5" customHeight="1">
      <c r="A50" s="1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1:32" ht="13.5" customHeight="1">
      <c r="A51" s="1"/>
    </row>
    <row r="52" spans="1:32" ht="13.5" customHeight="1">
      <c r="A52" s="1"/>
      <c r="O52" s="4" t="s">
        <v>425</v>
      </c>
      <c r="P52" s="4"/>
      <c r="Q52" s="4"/>
      <c r="R52" s="4"/>
      <c r="S52" s="4"/>
      <c r="T52" s="4" t="s">
        <v>426</v>
      </c>
      <c r="U52" s="4"/>
      <c r="V52" s="4" t="s">
        <v>419</v>
      </c>
      <c r="W52" s="4"/>
      <c r="X52" s="4" t="s">
        <v>418</v>
      </c>
      <c r="Y52" s="4"/>
      <c r="Z52" s="4" t="s">
        <v>417</v>
      </c>
      <c r="AA52" s="4"/>
      <c r="AB52" s="4" t="s">
        <v>416</v>
      </c>
      <c r="AC52" s="4"/>
      <c r="AD52" s="4" t="s">
        <v>415</v>
      </c>
      <c r="AE52" s="4"/>
      <c r="AF52" s="4" t="s">
        <v>414</v>
      </c>
    </row>
    <row r="53" spans="1:32" ht="13.5" customHeight="1">
      <c r="A53" s="1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spans="1:32" ht="13.5" customHeight="1">
      <c r="A54" s="1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spans="1:32" ht="13.5" customHeight="1">
      <c r="A55" s="1"/>
      <c r="O55" s="8" t="s">
        <v>427</v>
      </c>
      <c r="P55" s="8"/>
      <c r="Q55" s="8"/>
      <c r="R55" s="8"/>
      <c r="S55" s="8"/>
      <c r="T55" s="8">
        <f>IF(COUNT(T56,T57,T58,T59,T60,T61)=6,SUM(T56,T57,T58,T59,T60,T61),"n.d.")</f>
        <v>1376029.0871615366</v>
      </c>
      <c r="U55" s="8"/>
      <c r="V55" s="8">
        <f>IF(COUNT('GraphData'!B23,'GraphData'!C23,'GraphData'!D23,'GraphData'!E23,'GraphData'!F23,'GraphData'!G23)=6,SUM('GraphData'!B23,'GraphData'!C23,'GraphData'!D23,'GraphData'!E23,'GraphData'!F23,'GraphData'!G23),"n.d.")</f>
        <v>1248712.7606425427</v>
      </c>
      <c r="W55" s="8"/>
      <c r="X55" s="8">
        <f>IF(COUNT('GraphData'!B22,'GraphData'!C22,'GraphData'!D22,'GraphData'!E22,'GraphData'!F22,'GraphData'!G22)=6,SUM('GraphData'!B22,'GraphData'!C22,'GraphData'!D22,'GraphData'!E22,'GraphData'!F22,'GraphData'!G22),"n.d.")</f>
        <v>1689854.724332759</v>
      </c>
      <c r="Y55" s="8"/>
      <c r="Z55" s="8">
        <f>IF(COUNT('GraphData'!B21,'GraphData'!C21,'GraphData'!D21,'GraphData'!E21,'GraphData'!F21,'GraphData'!G21)=6,SUM('GraphData'!B21,'GraphData'!C21,'GraphData'!D21,'GraphData'!E21,'GraphData'!F21,'GraphData'!G21),"n.d.")</f>
        <v>1458762.5972501836</v>
      </c>
      <c r="AA55" s="8"/>
      <c r="AB55" s="8">
        <f>IF(COUNT('GraphData'!B20,'GraphData'!C20,'GraphData'!D20,'GraphData'!E20,'GraphData'!F20,'GraphData'!G20)=6,SUM('GraphData'!B20,'GraphData'!C20,'GraphData'!D20,'GraphData'!E20,'GraphData'!F20,'GraphData'!G20),"n.d.")</f>
        <v>1516785.6798308927</v>
      </c>
      <c r="AC55" s="8"/>
      <c r="AD55" s="8">
        <f>IF(COUNT('GraphData'!B19,'GraphData'!C19,'GraphData'!D19,'GraphData'!E19,'GraphData'!F19,'GraphData'!G19)=6,SUM('GraphData'!B19,'GraphData'!C19,'GraphData'!D19,'GraphData'!E19,'GraphData'!F19,'GraphData'!G19),"n.d.")</f>
        <v>1180210.8879334475</v>
      </c>
      <c r="AE55" s="8"/>
      <c r="AF55" s="8">
        <f>IF(COUNT('GraphData'!B18,'GraphData'!C18,'GraphData'!D18,'GraphData'!E18,'GraphData'!F18,'GraphData'!G18)=6,SUM('GraphData'!B18,'GraphData'!C18,'GraphData'!D18,'GraphData'!E18,'GraphData'!F18,'GraphData'!G18),"n.d.")</f>
        <v>1161847.8729793942</v>
      </c>
    </row>
    <row r="56" spans="1:32" ht="13.5" customHeight="1">
      <c r="A56" s="1"/>
      <c r="O56" s="5" t="s">
        <v>42</v>
      </c>
      <c r="P56" s="5"/>
      <c r="Q56" s="5"/>
      <c r="R56" s="5"/>
      <c r="S56" s="5"/>
      <c r="T56" s="6">
        <f>IF(OR(COUNTIFS('Consolidation'!$A$6:$A$11,"2026Q2",'Consolidation'!$B$6:$B$11,"AT")&lt;&gt;1,COUNTIFS('Consolidation'!$A$6:$A$11,"2026Q2",'Consolidation'!$B$6:$B$11,"AT",'Consolidation'!$W$6:$W$11,"n.d.")&gt;0),"n.d.",SUMIFS('Consolidation'!$W$6:$W$11,'Consolidation'!$A$6:$A$11,"2026Q2",'Consolidation'!$B$6:$B$11,"AT"))</f>
        <v>9124.243333333334</v>
      </c>
      <c r="U56" s="6"/>
      <c r="V56" s="6">
        <f>IF(ISNUMBER('GraphData'!B23),'GraphData'!B23,"n.d.")</f>
        <v>3156.52</v>
      </c>
      <c r="W56" s="6"/>
      <c r="X56" s="6">
        <f>IF(ISNUMBER('GraphData'!B22),'GraphData'!B22,"n.d.")</f>
        <v>11020.09</v>
      </c>
      <c r="Y56" s="6"/>
      <c r="Z56" s="6">
        <f>IF(ISNUMBER('GraphData'!B21),'GraphData'!B21,"n.d.")</f>
        <v>4747.0199999999995</v>
      </c>
      <c r="AA56" s="6"/>
      <c r="AB56" s="6">
        <f>IF(ISNUMBER('GraphData'!B20),'GraphData'!B20,"n.d.")</f>
        <v>25273.230000000007</v>
      </c>
      <c r="AC56" s="6"/>
      <c r="AD56" s="6">
        <f>IF(ISNUMBER('GraphData'!B19),'GraphData'!B19,"n.d.")</f>
        <v>6335.460000000001</v>
      </c>
      <c r="AE56" s="6"/>
      <c r="AF56" s="6">
        <f>IF(ISNUMBER('GraphData'!B18),'GraphData'!B18,"n.d.")</f>
        <v>4213.139999999999</v>
      </c>
    </row>
    <row r="57" spans="1:32" ht="13.5" customHeight="1">
      <c r="A57" s="1"/>
      <c r="O57" s="5" t="s">
        <v>51</v>
      </c>
      <c r="P57" s="5"/>
      <c r="Q57" s="5"/>
      <c r="R57" s="5"/>
      <c r="S57" s="5"/>
      <c r="T57" s="6">
        <f>IF(OR(COUNTIFS('Consolidation'!$A$6:$A$11,"2026Q2",'Consolidation'!$B$6:$B$11,"IT")&lt;&gt;1,COUNTIFS('Consolidation'!$A$6:$A$11,"2026Q2",'Consolidation'!$B$6:$B$11,"IT",'Consolidation'!$W$6:$W$11,"n.d.")&gt;0),"n.d.",SUMIFS('Consolidation'!$W$6:$W$11,'Consolidation'!$A$6:$A$11,"2026Q2",'Consolidation'!$B$6:$B$11,"IT"))</f>
        <v>1113086.6633333333</v>
      </c>
      <c r="U57" s="6"/>
      <c r="V57" s="6">
        <f>IF(ISNUMBER('GraphData'!C23),'GraphData'!C23,"n.d.")</f>
        <v>977488.48</v>
      </c>
      <c r="W57" s="6"/>
      <c r="X57" s="6">
        <f>IF(ISNUMBER('GraphData'!C22),'GraphData'!C22,"n.d.")</f>
        <v>1425617.0999999999</v>
      </c>
      <c r="Y57" s="6"/>
      <c r="Z57" s="6">
        <f>IF(ISNUMBER('GraphData'!C21),'GraphData'!C21,"n.d.")</f>
        <v>1199203.7600000002</v>
      </c>
      <c r="AA57" s="6"/>
      <c r="AB57" s="6">
        <f>IF(ISNUMBER('GraphData'!C20),'GraphData'!C20,"n.d.")</f>
        <v>1177760.6300000004</v>
      </c>
      <c r="AC57" s="6"/>
      <c r="AD57" s="6">
        <f>IF(ISNUMBER('GraphData'!C19),'GraphData'!C19,"n.d.")</f>
        <v>951551.9400000002</v>
      </c>
      <c r="AE57" s="6"/>
      <c r="AF57" s="6">
        <f>IF(ISNUMBER('GraphData'!C18),'GraphData'!C18,"n.d.")</f>
        <v>946898.0699999998</v>
      </c>
    </row>
    <row r="58" spans="1:32" ht="13.5" customHeight="1">
      <c r="A58" s="1"/>
      <c r="O58" s="5" t="s">
        <v>56</v>
      </c>
      <c r="P58" s="5"/>
      <c r="Q58" s="5"/>
      <c r="R58" s="5"/>
      <c r="S58" s="5"/>
      <c r="T58" s="6">
        <f>IF(OR(COUNTIFS('Consolidation'!$A$6:$A$11,"2026Q2",'Consolidation'!$B$6:$B$11,"ZA")&lt;&gt;1,COUNTIFS('Consolidation'!$A$6:$A$11,"2026Q2",'Consolidation'!$B$6:$B$11,"ZA",'Consolidation'!$W$6:$W$11,"n.d.")&gt;0),"n.d.",SUMIFS('Consolidation'!$W$6:$W$11,'Consolidation'!$A$6:$A$11,"2026Q2",'Consolidation'!$B$6:$B$11,"ZA"))</f>
        <v>195974.10590462116</v>
      </c>
      <c r="U58" s="6"/>
      <c r="V58" s="6">
        <f>IF(ISNUMBER('GraphData'!D23),'GraphData'!D23,"n.d.")</f>
        <v>225610.21334228964</v>
      </c>
      <c r="W58" s="6"/>
      <c r="X58" s="6">
        <f>IF(ISNUMBER('GraphData'!D22),'GraphData'!D22,"n.d.")</f>
        <v>206318.82634950857</v>
      </c>
      <c r="Y58" s="6"/>
      <c r="Z58" s="6">
        <f>IF(ISNUMBER('GraphData'!D21),'GraphData'!D21,"n.d.")</f>
        <v>200004.47646038115</v>
      </c>
      <c r="AA58" s="6"/>
      <c r="AB58" s="6">
        <f>IF(ISNUMBER('GraphData'!D20),'GraphData'!D20,"n.d.")</f>
        <v>211900.11445754557</v>
      </c>
      <c r="AC58" s="6"/>
      <c r="AD58" s="6">
        <f>IF(ISNUMBER('GraphData'!D19),'GraphData'!D19,"n.d.")</f>
        <v>171151.71522889973</v>
      </c>
      <c r="AE58" s="6"/>
      <c r="AF58" s="6">
        <f>IF(ISNUMBER('GraphData'!D18),'GraphData'!D18,"n.d.")</f>
        <v>160859.28958910215</v>
      </c>
    </row>
    <row r="59" spans="1:32" ht="13.5" customHeight="1">
      <c r="A59" s="1"/>
      <c r="O59" s="5" t="s">
        <v>61</v>
      </c>
      <c r="P59" s="5"/>
      <c r="Q59" s="5"/>
      <c r="R59" s="5"/>
      <c r="S59" s="5"/>
      <c r="T59" s="6">
        <f>IF(OR(COUNTIFS('Consolidation'!$A$6:$A$11,"2026Q2",'Consolidation'!$B$6:$B$11,"DK")&lt;&gt;1,COUNTIFS('Consolidation'!$A$6:$A$11,"2026Q2",'Consolidation'!$B$6:$B$11,"DK",'Consolidation'!$W$6:$W$11,"n.d.")&gt;0),"n.d.",SUMIFS('Consolidation'!$W$6:$W$11,'Consolidation'!$A$6:$A$11,"2026Q2",'Consolidation'!$B$6:$B$11,"DK"))</f>
        <v>19196.445166560803</v>
      </c>
      <c r="U59" s="6"/>
      <c r="V59" s="6">
        <f>IF(ISNUMBER('GraphData'!E23),'GraphData'!E23,"n.d.")</f>
        <v>11699.288059775461</v>
      </c>
      <c r="W59" s="6"/>
      <c r="X59" s="6">
        <f>IF(ISNUMBER('GraphData'!E22),'GraphData'!E22,"n.d.")</f>
        <v>21741.321922812047</v>
      </c>
      <c r="Y59" s="6"/>
      <c r="Z59" s="6">
        <f>IF(ISNUMBER('GraphData'!E21),'GraphData'!E21,"n.d.")</f>
        <v>15036.561334597973</v>
      </c>
      <c r="AA59" s="6"/>
      <c r="AB59" s="6">
        <f>IF(ISNUMBER('GraphData'!E20),'GraphData'!E20,"n.d.")</f>
        <v>14889.542156133957</v>
      </c>
      <c r="AC59" s="6"/>
      <c r="AD59" s="6">
        <f>IF(ISNUMBER('GraphData'!E19),'GraphData'!E19,"n.d.")</f>
        <v>34334.789798315505</v>
      </c>
      <c r="AE59" s="6"/>
      <c r="AF59" s="6">
        <f>IF(ISNUMBER('GraphData'!E18),'GraphData'!E18,"n.d.")</f>
        <v>17477.167727729862</v>
      </c>
    </row>
    <row r="60" spans="1:32" ht="13.5" customHeight="1">
      <c r="A60" s="1"/>
      <c r="O60" s="5" t="s">
        <v>69</v>
      </c>
      <c r="P60" s="5"/>
      <c r="Q60" s="5"/>
      <c r="R60" s="5"/>
      <c r="S60" s="5"/>
      <c r="T60" s="6">
        <f>IF(OR(COUNTIFS('Consolidation'!$A$6:$A$11,"2026Q2",'Consolidation'!$B$6:$B$11,"NO")&lt;&gt;1,COUNTIFS('Consolidation'!$A$6:$A$11,"2026Q2",'Consolidation'!$B$6:$B$11,"NO",'Consolidation'!$W$6:$W$11,"n.d.")&gt;0),"n.d.",SUMIFS('Consolidation'!$W$6:$W$11,'Consolidation'!$A$6:$A$11,"2026Q2",'Consolidation'!$B$6:$B$11,"NO"))</f>
        <v>10244.301163570175</v>
      </c>
      <c r="U60" s="6"/>
      <c r="V60" s="6">
        <f>IF(ISNUMBER('GraphData'!F23),'GraphData'!F23,"n.d.")</f>
        <v>5700.042565222784</v>
      </c>
      <c r="W60" s="6"/>
      <c r="X60" s="6">
        <f>IF(ISNUMBER('GraphData'!F22),'GraphData'!F22,"n.d.")</f>
        <v>12779.2545227119</v>
      </c>
      <c r="Y60" s="6"/>
      <c r="Z60" s="6">
        <f>IF(ISNUMBER('GraphData'!F21),'GraphData'!F21,"n.d.")</f>
        <v>5086.4277120921115</v>
      </c>
      <c r="AA60" s="6"/>
      <c r="AB60" s="6">
        <f>IF(ISNUMBER('GraphData'!F20),'GraphData'!F20,"n.d.")</f>
        <v>21895.59059521449</v>
      </c>
      <c r="AC60" s="6"/>
      <c r="AD60" s="6">
        <f>IF(ISNUMBER('GraphData'!F19),'GraphData'!F19,"n.d.")</f>
        <v>6024.428043939176</v>
      </c>
      <c r="AE60" s="6"/>
      <c r="AF60" s="6">
        <f>IF(ISNUMBER('GraphData'!F18),'GraphData'!F18,"n.d.")</f>
        <v>9980.063542240587</v>
      </c>
    </row>
    <row r="61" spans="1:32" ht="13.5" customHeight="1">
      <c r="A61" s="1"/>
      <c r="O61" s="5" t="s">
        <v>75</v>
      </c>
      <c r="P61" s="5"/>
      <c r="Q61" s="5"/>
      <c r="R61" s="5"/>
      <c r="S61" s="5"/>
      <c r="T61" s="6">
        <f>IF(OR(COUNTIFS('Consolidation'!$A$6:$A$11,"2026Q2",'Consolidation'!$B$6:$B$11,"SE")&lt;&gt;1,COUNTIFS('Consolidation'!$A$6:$A$11,"2026Q2",'Consolidation'!$B$6:$B$11,"SE",'Consolidation'!$W$6:$W$11,"n.d.")&gt;0),"n.d.",SUMIFS('Consolidation'!$W$6:$W$11,'Consolidation'!$A$6:$A$11,"2026Q2",'Consolidation'!$B$6:$B$11,"SE"))</f>
        <v>28403.328260117778</v>
      </c>
      <c r="U61" s="6"/>
      <c r="V61" s="6">
        <f>IF(ISNUMBER('GraphData'!G23),'GraphData'!G23,"n.d.")</f>
        <v>25058.2166752549</v>
      </c>
      <c r="W61" s="6"/>
      <c r="X61" s="6">
        <f>IF(ISNUMBER('GraphData'!G22),'GraphData'!G22,"n.d.")</f>
        <v>12378.13153772663</v>
      </c>
      <c r="Y61" s="6"/>
      <c r="Z61" s="6">
        <f>IF(ISNUMBER('GraphData'!G21),'GraphData'!G21,"n.d.")</f>
        <v>34684.351743112114</v>
      </c>
      <c r="AA61" s="6"/>
      <c r="AB61" s="6">
        <f>IF(ISNUMBER('GraphData'!G20),'GraphData'!G20,"n.d.")</f>
        <v>65066.57262199842</v>
      </c>
      <c r="AC61" s="6"/>
      <c r="AD61" s="6">
        <f>IF(ISNUMBER('GraphData'!G19),'GraphData'!G19,"n.d.")</f>
        <v>10812.55486229284</v>
      </c>
      <c r="AE61" s="6"/>
      <c r="AF61" s="6">
        <f>IF(ISNUMBER('GraphData'!G18),'GraphData'!G18,"n.d.")</f>
        <v>22420.14212032177</v>
      </c>
    </row>
    <row r="62" spans="1:32" ht="13.5" customHeight="1">
      <c r="A62" s="1"/>
    </row>
    <row r="63" spans="1:32" ht="13.5" customHeight="1">
      <c r="A63" s="1"/>
    </row>
    <row r="64" spans="1:32" ht="13.5" customHeight="1">
      <c r="A64" s="1"/>
    </row>
    <row r="65" spans="1:32" ht="13.5" customHeight="1">
      <c r="A65" s="1"/>
      <c r="O65" s="4" t="s">
        <v>428</v>
      </c>
      <c r="P65" s="4"/>
      <c r="Q65" s="4"/>
      <c r="R65" s="4"/>
      <c r="S65" s="4"/>
      <c r="T65" s="4"/>
      <c r="U65" s="4"/>
      <c r="V65" s="4"/>
      <c r="W65" s="4"/>
      <c r="X65" s="4" t="s">
        <v>429</v>
      </c>
      <c r="Y65" s="4"/>
      <c r="Z65" s="4"/>
      <c r="AA65" s="4"/>
      <c r="AB65" s="4"/>
      <c r="AC65" s="4"/>
      <c r="AD65" s="4"/>
      <c r="AE65" s="4"/>
      <c r="AF65" s="4"/>
    </row>
    <row r="66" spans="1:32" ht="13.5" customHeight="1">
      <c r="A66" s="1"/>
      <c r="O66" s="4" t="s">
        <v>373</v>
      </c>
      <c r="P66" s="4"/>
      <c r="Q66" s="4"/>
      <c r="R66" s="4"/>
      <c r="S66" s="4" t="s">
        <v>404</v>
      </c>
      <c r="T66" s="4"/>
      <c r="U66" s="4" t="s">
        <v>9</v>
      </c>
      <c r="V66" s="4"/>
      <c r="W66" s="4"/>
      <c r="X66" s="4" t="s">
        <v>373</v>
      </c>
      <c r="Y66" s="4"/>
      <c r="Z66" s="4"/>
      <c r="AA66" s="4"/>
      <c r="AB66" s="4" t="s">
        <v>404</v>
      </c>
      <c r="AC66" s="4"/>
      <c r="AD66" s="4" t="s">
        <v>9</v>
      </c>
      <c r="AE66" s="4"/>
      <c r="AF66" s="4"/>
    </row>
    <row r="67" spans="1:32" ht="13.5" customHeight="1">
      <c r="A67" s="1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spans="1:32" ht="13.5" customHeight="1">
      <c r="A68" s="1"/>
      <c r="O68" s="5" t="s">
        <v>42</v>
      </c>
      <c r="P68" s="5"/>
      <c r="Q68" s="5"/>
      <c r="R68" s="5"/>
      <c r="S68" s="7" t="s">
        <v>44</v>
      </c>
      <c r="T68" s="7"/>
      <c r="U68" s="7">
        <f>'GraphData'!E29</f>
        <v>0.9008720336850898</v>
      </c>
      <c r="V68" s="7"/>
      <c r="W68" s="7"/>
      <c r="X68" s="5" t="s">
        <v>42</v>
      </c>
      <c r="Y68" s="5"/>
      <c r="Z68" s="5"/>
      <c r="AA68" s="5"/>
      <c r="AB68" s="7" t="s">
        <v>44</v>
      </c>
      <c r="AC68" s="7"/>
      <c r="AD68" s="7">
        <f>'GraphData'!C29</f>
        <v>0.7727272727272727</v>
      </c>
      <c r="AE68" s="7"/>
      <c r="AF68" s="7"/>
    </row>
    <row r="69" spans="1:32" ht="13.5" customHeight="1">
      <c r="A69" s="1"/>
      <c r="O69" s="5" t="s">
        <v>51</v>
      </c>
      <c r="P69" s="5"/>
      <c r="Q69" s="5"/>
      <c r="R69" s="5"/>
      <c r="S69" s="7" t="s">
        <v>44</v>
      </c>
      <c r="T69" s="7"/>
      <c r="U69" s="7">
        <f>'GraphData'!E30</f>
        <v>0.9843784875387906</v>
      </c>
      <c r="V69" s="7"/>
      <c r="W69" s="7"/>
      <c r="X69" s="5" t="s">
        <v>51</v>
      </c>
      <c r="Y69" s="5"/>
      <c r="Z69" s="5"/>
      <c r="AA69" s="5"/>
      <c r="AB69" s="7" t="s">
        <v>44</v>
      </c>
      <c r="AC69" s="7"/>
      <c r="AD69" s="7">
        <f>'GraphData'!C30</f>
        <v>0.9484958979033729</v>
      </c>
      <c r="AE69" s="7"/>
      <c r="AF69" s="7"/>
    </row>
    <row r="70" spans="1:32" ht="13.5" customHeight="1">
      <c r="A70" s="1"/>
      <c r="O70" s="5" t="s">
        <v>56</v>
      </c>
      <c r="P70" s="5"/>
      <c r="Q70" s="5"/>
      <c r="R70" s="5"/>
      <c r="S70" s="7" t="s">
        <v>44</v>
      </c>
      <c r="T70" s="7"/>
      <c r="U70" s="7">
        <f>'GraphData'!E31</f>
        <v>0.6493430482328113</v>
      </c>
      <c r="V70" s="7"/>
      <c r="W70" s="7"/>
      <c r="X70" s="5" t="s">
        <v>56</v>
      </c>
      <c r="Y70" s="5"/>
      <c r="Z70" s="5"/>
      <c r="AA70" s="5"/>
      <c r="AB70" s="7" t="s">
        <v>44</v>
      </c>
      <c r="AC70" s="7"/>
      <c r="AD70" s="7">
        <f>'GraphData'!C31</f>
        <v>0.8549981233579382</v>
      </c>
      <c r="AE70" s="7"/>
      <c r="AF70" s="7"/>
    </row>
    <row r="71" spans="1:32" ht="13.5" customHeight="1">
      <c r="A71" s="1"/>
      <c r="O71" s="5" t="s">
        <v>61</v>
      </c>
      <c r="P71" s="5"/>
      <c r="Q71" s="5"/>
      <c r="R71" s="5"/>
      <c r="S71" s="7" t="s">
        <v>44</v>
      </c>
      <c r="T71" s="7"/>
      <c r="U71" s="7">
        <f>'GraphData'!E32</f>
        <v>1.0</v>
      </c>
      <c r="V71" s="7"/>
      <c r="W71" s="7"/>
      <c r="X71" s="5" t="s">
        <v>61</v>
      </c>
      <c r="Y71" s="5"/>
      <c r="Z71" s="5"/>
      <c r="AA71" s="5"/>
      <c r="AB71" s="7" t="s">
        <v>44</v>
      </c>
      <c r="AC71" s="7"/>
      <c r="AD71" s="7">
        <f>'GraphData'!C32</f>
        <v>1.0</v>
      </c>
      <c r="AE71" s="7"/>
      <c r="AF71" s="7"/>
    </row>
    <row r="72" spans="1:32" ht="13.5" customHeight="1">
      <c r="A72" s="1"/>
      <c r="O72" s="5" t="s">
        <v>69</v>
      </c>
      <c r="P72" s="5"/>
      <c r="Q72" s="5"/>
      <c r="R72" s="5"/>
      <c r="S72" s="7" t="s">
        <v>44</v>
      </c>
      <c r="T72" s="7"/>
      <c r="U72" s="7">
        <f>'GraphData'!E33</f>
        <v>0.9410164877948007</v>
      </c>
      <c r="V72" s="7"/>
      <c r="W72" s="7"/>
      <c r="X72" s="5" t="s">
        <v>69</v>
      </c>
      <c r="Y72" s="5"/>
      <c r="Z72" s="5"/>
      <c r="AA72" s="5"/>
      <c r="AB72" s="7" t="s">
        <v>44</v>
      </c>
      <c r="AC72" s="7"/>
      <c r="AD72" s="7">
        <f>'GraphData'!C33</f>
        <v>0.9924812030075187</v>
      </c>
      <c r="AE72" s="7"/>
      <c r="AF72" s="7"/>
    </row>
    <row r="73" spans="1:32" ht="13.5" customHeight="1">
      <c r="A73" s="1"/>
      <c r="O73" s="5" t="s">
        <v>75</v>
      </c>
      <c r="P73" s="5"/>
      <c r="Q73" s="5"/>
      <c r="R73" s="5"/>
      <c r="S73" s="7" t="s">
        <v>44</v>
      </c>
      <c r="T73" s="7"/>
      <c r="U73" s="7">
        <f>'GraphData'!E34</f>
        <v>0.9999999999999999</v>
      </c>
      <c r="V73" s="7"/>
      <c r="W73" s="7"/>
      <c r="X73" s="5" t="s">
        <v>75</v>
      </c>
      <c r="Y73" s="5"/>
      <c r="Z73" s="5"/>
      <c r="AA73" s="5"/>
      <c r="AB73" s="7" t="s">
        <v>44</v>
      </c>
      <c r="AC73" s="7"/>
      <c r="AD73" s="7">
        <f>'GraphData'!C34</f>
        <v>1.0</v>
      </c>
      <c r="AE73" s="7"/>
      <c r="AF73" s="7"/>
    </row>
    <row r="74" spans="1:32" ht="13.5" customHeight="1">
      <c r="A74" s="1"/>
    </row>
    <row r="75" spans="1:32" ht="13.5" customHeight="1">
      <c r="A75" s="1"/>
      <c r="O75" s="3" t="s">
        <v>430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spans="1:32" ht="13.5" customHeight="1">
      <c r="A76" s="1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spans="1:32" ht="13.5" customHeight="1">
      <c r="A77" s="1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spans="1:32" ht="13.5" customHeight="1">
      <c r="A78" s="1"/>
    </row>
    <row r="79" spans="1:32" ht="13.5" customHeight="1">
      <c r="A79" s="1"/>
    </row>
    <row r="80" spans="1:32" ht="13.5" customHeight="1">
      <c r="A80" s="1"/>
    </row>
    <row r="81" spans="1:32" ht="13.5" customHeight="1">
      <c r="A81" s="1"/>
    </row>
    <row r="82" spans="1:32" ht="13.5" customHeight="1">
      <c r="A82" s="1"/>
    </row>
    <row r="83" spans="1:32" ht="13.5" customHeight="1">
      <c r="A83" s="1"/>
    </row>
    <row r="84" spans="1:32" ht="13.5" customHeight="1">
      <c r="A84" s="1"/>
    </row>
    <row r="85" spans="1:32" ht="13.5" customHeight="1">
      <c r="A85" s="1"/>
    </row>
    <row r="86" spans="1:32" ht="13.5" customHeight="1">
      <c r="A86" s="1"/>
      <c r="B86" s="11" t="s">
        <v>390</v>
      </c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</row>
  </sheetData>
  <mergeCells count="143">
    <mergeCell ref="B2:AF4"/>
    <mergeCell ref="B42:AF42"/>
    <mergeCell ref="B5:AF6"/>
    <mergeCell ref="B8:G10"/>
    <mergeCell ref="H8:J10"/>
    <mergeCell ref="K8:M10"/>
    <mergeCell ref="N8:P10"/>
    <mergeCell ref="B11:G11"/>
    <mergeCell ref="H11:J11"/>
    <mergeCell ref="K11:M11"/>
    <mergeCell ref="N11:P11"/>
    <mergeCell ref="B12:G12"/>
    <mergeCell ref="H12:J12"/>
    <mergeCell ref="K12:M12"/>
    <mergeCell ref="N12:P12"/>
    <mergeCell ref="B13:G13"/>
    <mergeCell ref="H13:J13"/>
    <mergeCell ref="K13:M13"/>
    <mergeCell ref="N13:P13"/>
    <mergeCell ref="B14:G14"/>
    <mergeCell ref="H14:J14"/>
    <mergeCell ref="K14:M14"/>
    <mergeCell ref="N14:P14"/>
    <mergeCell ref="B15:G15"/>
    <mergeCell ref="H15:J15"/>
    <mergeCell ref="K15:M15"/>
    <mergeCell ref="N15:P15"/>
    <mergeCell ref="B16:G16"/>
    <mergeCell ref="H16:J16"/>
    <mergeCell ref="K16:M16"/>
    <mergeCell ref="N16:P16"/>
    <mergeCell ref="B17:G17"/>
    <mergeCell ref="H17:J17"/>
    <mergeCell ref="K17:M17"/>
    <mergeCell ref="N17:P17"/>
    <mergeCell ref="B24:P25"/>
    <mergeCell ref="B26:P27"/>
    <mergeCell ref="B28:P29"/>
    <mergeCell ref="B46:AF48"/>
    <mergeCell ref="B86:AF86"/>
    <mergeCell ref="B49:AF50"/>
    <mergeCell ref="O52:S54"/>
    <mergeCell ref="T52:U54"/>
    <mergeCell ref="V52:W54"/>
    <mergeCell ref="X52:Y54"/>
    <mergeCell ref="Z52:AA54"/>
    <mergeCell ref="AB52:AC54"/>
    <mergeCell ref="AD52:AE54"/>
    <mergeCell ref="AF52:AF54"/>
    <mergeCell ref="O55:S55"/>
    <mergeCell ref="T55:U55"/>
    <mergeCell ref="V55:W55"/>
    <mergeCell ref="X55:Y55"/>
    <mergeCell ref="Z55:AA55"/>
    <mergeCell ref="AB55:AC55"/>
    <mergeCell ref="AD55:AE55"/>
    <mergeCell ref="O56:S56"/>
    <mergeCell ref="T56:U56"/>
    <mergeCell ref="V56:W56"/>
    <mergeCell ref="X56:Y56"/>
    <mergeCell ref="Z56:AA56"/>
    <mergeCell ref="AB56:AC56"/>
    <mergeCell ref="AD56:AE56"/>
    <mergeCell ref="O57:S57"/>
    <mergeCell ref="T57:U57"/>
    <mergeCell ref="V57:W57"/>
    <mergeCell ref="X57:Y57"/>
    <mergeCell ref="Z57:AA57"/>
    <mergeCell ref="AB57:AC57"/>
    <mergeCell ref="AD57:AE57"/>
    <mergeCell ref="O58:S58"/>
    <mergeCell ref="T58:U58"/>
    <mergeCell ref="V58:W58"/>
    <mergeCell ref="X58:Y58"/>
    <mergeCell ref="Z58:AA58"/>
    <mergeCell ref="AB58:AC58"/>
    <mergeCell ref="AD58:AE58"/>
    <mergeCell ref="O59:S59"/>
    <mergeCell ref="T59:U59"/>
    <mergeCell ref="V59:W59"/>
    <mergeCell ref="X59:Y59"/>
    <mergeCell ref="Z59:AA59"/>
    <mergeCell ref="AB59:AC59"/>
    <mergeCell ref="AD59:AE59"/>
    <mergeCell ref="O60:S60"/>
    <mergeCell ref="T60:U60"/>
    <mergeCell ref="V60:W60"/>
    <mergeCell ref="X60:Y60"/>
    <mergeCell ref="Z60:AA60"/>
    <mergeCell ref="AB60:AC60"/>
    <mergeCell ref="AD60:AE60"/>
    <mergeCell ref="O61:S61"/>
    <mergeCell ref="T61:U61"/>
    <mergeCell ref="V61:W61"/>
    <mergeCell ref="X61:Y61"/>
    <mergeCell ref="Z61:AA61"/>
    <mergeCell ref="AB61:AC61"/>
    <mergeCell ref="AD61:AE61"/>
    <mergeCell ref="O65:W65"/>
    <mergeCell ref="O66:R67"/>
    <mergeCell ref="S66:T67"/>
    <mergeCell ref="U66:W67"/>
    <mergeCell ref="O68:R68"/>
    <mergeCell ref="S68:T68"/>
    <mergeCell ref="U68:W68"/>
    <mergeCell ref="O69:R69"/>
    <mergeCell ref="S69:T69"/>
    <mergeCell ref="U69:W69"/>
    <mergeCell ref="O70:R70"/>
    <mergeCell ref="S70:T70"/>
    <mergeCell ref="U70:W70"/>
    <mergeCell ref="O71:R71"/>
    <mergeCell ref="S71:T71"/>
    <mergeCell ref="U71:W71"/>
    <mergeCell ref="O72:R72"/>
    <mergeCell ref="S72:T72"/>
    <mergeCell ref="U72:W72"/>
    <mergeCell ref="O73:R73"/>
    <mergeCell ref="S73:T73"/>
    <mergeCell ref="U73:W73"/>
    <mergeCell ref="X65:AF65"/>
    <mergeCell ref="X66:AA67"/>
    <mergeCell ref="AB66:AC67"/>
    <mergeCell ref="AD66:AF67"/>
    <mergeCell ref="X68:AA68"/>
    <mergeCell ref="AB68:AC68"/>
    <mergeCell ref="AD68:AF68"/>
    <mergeCell ref="X69:AA69"/>
    <mergeCell ref="AB69:AC69"/>
    <mergeCell ref="AD69:AF69"/>
    <mergeCell ref="X70:AA70"/>
    <mergeCell ref="AB70:AC70"/>
    <mergeCell ref="AD70:AF70"/>
    <mergeCell ref="X71:AA71"/>
    <mergeCell ref="AB71:AC71"/>
    <mergeCell ref="AD71:AF71"/>
    <mergeCell ref="X72:AA72"/>
    <mergeCell ref="AB72:AC72"/>
    <mergeCell ref="AD72:AF72"/>
    <mergeCell ref="X73:AA73"/>
    <mergeCell ref="AB73:AC73"/>
    <mergeCell ref="AD73:AF73"/>
    <mergeCell ref="O75:AF77"/>
  </mergeCells>
  <conditionalFormatting sqref="B24:P39">
    <cfRule type="notContainsBlanks" dxfId="2" priority="1">
      <formula>LEN(TRIM(B24))&gt;0</formula>
    </cfRule>
  </conditionalFormatting>
  <pageMargins left="0.15" right="0.15" top="0.2" bottom="0.2" header="0.3" footer="0.3"/>
  <pageSetup paperSize="9" fitToHeight="0" orientation="landscape"/>
  <rowBreaks count="1" manualBreakCount="1">
    <brk id="44" max="16383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77B900"/>
    <pageSetUpPr fitToPage="1"/>
  </sheetPr>
  <dimension ref="A2:AF42"/>
  <sheetViews>
    <sheetView showGridLines="0" zoomScale="80" zoomScaleNormal="80" workbookViewId="0">
      <pane topLeftCell="A1" activePane="bottomLeft" state="frozen"/>
      <selection pane="bottomLeft"/>
    </sheetView>
  </sheetViews>
  <sheetFormatPr defaultRowHeight="13.5" customHeight="1"/>
  <cols>
    <col min="1" max="1" width="3" customWidth="1"/>
    <col min="2" max="32" width="6" customWidth="1"/>
  </cols>
  <sheetData>
    <row r="2" spans="1:32" ht="13.5" customHeight="1">
      <c r="A2" s="1"/>
      <c r="B2" s="2" t="s">
        <v>431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ht="13.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13.5" customHeight="1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13.5" customHeight="1">
      <c r="A5" s="1"/>
      <c r="B5" s="3" t="s">
        <v>432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ht="13.5" customHeight="1">
      <c r="A6" s="1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ht="13.5" customHeight="1">
      <c r="A7" s="1"/>
    </row>
    <row r="8" spans="1:32" ht="13.5" customHeight="1">
      <c r="A8" s="1"/>
      <c r="B8" s="4" t="s">
        <v>403</v>
      </c>
      <c r="C8" s="4"/>
      <c r="D8" s="4"/>
      <c r="E8" s="4"/>
      <c r="F8" s="4"/>
      <c r="G8" s="4"/>
      <c r="H8" s="4" t="s">
        <v>404</v>
      </c>
      <c r="I8" s="4"/>
      <c r="J8" s="4"/>
      <c r="K8" s="4" t="s">
        <v>9</v>
      </c>
      <c r="L8" s="4"/>
      <c r="M8" s="4"/>
      <c r="N8" s="4" t="s">
        <v>405</v>
      </c>
      <c r="O8" s="4"/>
      <c r="P8" s="4"/>
    </row>
    <row r="9" spans="1:32" ht="13.5" customHeight="1">
      <c r="A9" s="1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32" ht="13.5" customHeight="1">
      <c r="A10" s="1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32" ht="13.5" customHeight="1">
      <c r="A11" s="1"/>
      <c r="B11" s="5" t="s">
        <v>42</v>
      </c>
      <c r="C11" s="5"/>
      <c r="D11" s="5"/>
      <c r="E11" s="5"/>
      <c r="F11" s="5"/>
      <c r="G11" s="5"/>
      <c r="H11" s="6" t="str">
        <f>IF(ISNUMBER('GraphData'!B40),'GraphData'!B40,"n.d.")</f>
        <v>n.d.</v>
      </c>
      <c r="I11" s="6"/>
      <c r="J11" s="6"/>
      <c r="K11" s="6">
        <f>IF(ISNUMBER('GraphData'!C40),'GraphData'!C40,"n.d.")</f>
        <v>11992.289999999979</v>
      </c>
      <c r="L11" s="6"/>
      <c r="M11" s="6"/>
      <c r="N11" s="7" t="str">
        <f>IF(ISNUMBER('GraphData'!D40),'GraphData'!D40,"n.d.")</f>
        <v>n.d.</v>
      </c>
      <c r="O11" s="7"/>
      <c r="P11" s="7"/>
    </row>
    <row r="12" spans="1:32" ht="13.5" customHeight="1">
      <c r="A12" s="1"/>
      <c r="B12" s="5" t="s">
        <v>51</v>
      </c>
      <c r="C12" s="5"/>
      <c r="D12" s="5"/>
      <c r="E12" s="5"/>
      <c r="F12" s="5"/>
      <c r="G12" s="5"/>
      <c r="H12" s="6" t="str">
        <f>IF(ISNUMBER('GraphData'!B41),'GraphData'!B41,"n.d.")</f>
        <v>n.d.</v>
      </c>
      <c r="I12" s="6"/>
      <c r="J12" s="6"/>
      <c r="K12" s="6">
        <f>IF(ISNUMBER('GraphData'!C41),'GraphData'!C41,"n.d.")</f>
        <v>3127145.950000018</v>
      </c>
      <c r="L12" s="6"/>
      <c r="M12" s="6"/>
      <c r="N12" s="7" t="str">
        <f>IF(ISNUMBER('GraphData'!D41),'GraphData'!D41,"n.d.")</f>
        <v>n.d.</v>
      </c>
      <c r="O12" s="7"/>
      <c r="P12" s="7"/>
    </row>
    <row r="13" spans="1:32" ht="13.5" customHeight="1">
      <c r="A13" s="1"/>
      <c r="B13" s="5" t="s">
        <v>56</v>
      </c>
      <c r="C13" s="5"/>
      <c r="D13" s="5"/>
      <c r="E13" s="5"/>
      <c r="F13" s="5"/>
      <c r="G13" s="5"/>
      <c r="H13" s="6" t="str">
        <f>IF(ISNUMBER('GraphData'!B42),'GraphData'!B42,"n.d.")</f>
        <v>n.d.</v>
      </c>
      <c r="I13" s="6"/>
      <c r="J13" s="6"/>
      <c r="K13" s="6">
        <f>IF(ISNUMBER('GraphData'!C42),'GraphData'!C42,"n.d.")</f>
        <v>1905080.928827054</v>
      </c>
      <c r="L13" s="6"/>
      <c r="M13" s="6"/>
      <c r="N13" s="7" t="str">
        <f>IF(ISNUMBER('GraphData'!D42),'GraphData'!D42,"n.d.")</f>
        <v>n.d.</v>
      </c>
      <c r="O13" s="7"/>
      <c r="P13" s="7"/>
    </row>
    <row r="14" spans="1:32" ht="13.5" customHeight="1">
      <c r="A14" s="1"/>
      <c r="B14" s="8" t="s">
        <v>406</v>
      </c>
      <c r="C14" s="8"/>
      <c r="D14" s="8"/>
      <c r="E14" s="8"/>
      <c r="F14" s="8"/>
      <c r="G14" s="8"/>
      <c r="H14" s="8" t="str">
        <f>IF(COUNT(H11:H13)=3,SUM(H11:H13),"n.d.")</f>
        <v>n.d.</v>
      </c>
      <c r="I14" s="8"/>
      <c r="J14" s="8"/>
      <c r="K14" s="8">
        <f>IF(COUNT(K11:K13)=3,SUM(K11:K13),"n.d.")</f>
        <v>5044219.168827072</v>
      </c>
      <c r="L14" s="8"/>
      <c r="M14" s="8"/>
      <c r="N14" s="9" t="str">
        <f>IF(OR(COUNT(H14,K14)&lt;&gt;2,H14=0),"n.d.",K14/H14-1)</f>
        <v>n.d.</v>
      </c>
      <c r="O14" s="9"/>
      <c r="P14" s="9"/>
    </row>
    <row r="15" spans="1:32" ht="13.5" customHeight="1">
      <c r="A15" s="1"/>
    </row>
    <row r="16" spans="1:32" ht="13.5" customHeight="1">
      <c r="A16" s="1"/>
    </row>
    <row r="17" spans="1:16" ht="13.5" customHeight="1">
      <c r="A17" s="1"/>
    </row>
    <row r="18" spans="1:16" ht="13.5" customHeight="1">
      <c r="A18" s="1"/>
    </row>
    <row r="19" spans="1:16" ht="13.5" customHeight="1">
      <c r="A19" s="1"/>
    </row>
    <row r="20" spans="1:16" ht="13.5" customHeight="1">
      <c r="A20" s="1"/>
    </row>
    <row r="21" spans="1:16" ht="13.5" customHeight="1">
      <c r="A21" s="1"/>
    </row>
    <row r="22" spans="1:16" ht="13.5" customHeight="1">
      <c r="A22" s="1"/>
    </row>
    <row r="23" spans="1:16" ht="13.5" customHeight="1">
      <c r="A23" s="1"/>
    </row>
    <row r="24" spans="1:16" ht="13.5" customHeight="1">
      <c r="A24" s="1"/>
      <c r="B24" s="10" t="s">
        <v>407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</row>
    <row r="25" spans="1:16" ht="13.5" customHeight="1">
      <c r="A25" s="1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spans="1:16" ht="13.5" customHeight="1">
      <c r="A26" s="1"/>
      <c r="B26" s="10" t="s">
        <v>408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spans="1:16" ht="13.5" customHeight="1">
      <c r="A27" s="1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</row>
    <row r="28" spans="1:16" ht="13.5" customHeight="1">
      <c r="A28" s="1"/>
      <c r="B28" s="10" t="s">
        <v>409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</row>
    <row r="29" spans="1:16" ht="13.5" customHeight="1">
      <c r="A29" s="1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spans="1:16" ht="13.5" customHeight="1">
      <c r="A30" s="1"/>
    </row>
    <row r="31" spans="1:16" ht="13.5" customHeight="1">
      <c r="A31" s="1"/>
    </row>
    <row r="32" spans="1:16" ht="13.5" customHeight="1">
      <c r="A32" s="1"/>
    </row>
    <row r="33" spans="1:32" ht="13.5" customHeight="1">
      <c r="A33" s="1"/>
    </row>
    <row r="34" spans="1:32" ht="13.5" customHeight="1">
      <c r="A34" s="1"/>
    </row>
    <row r="35" spans="1:32" ht="13.5" customHeight="1">
      <c r="A35" s="1"/>
    </row>
    <row r="36" spans="1:32" ht="13.5" customHeight="1">
      <c r="A36" s="1"/>
    </row>
    <row r="37" spans="1:32" ht="13.5" customHeight="1">
      <c r="A37" s="1"/>
    </row>
    <row r="38" spans="1:32" ht="13.5" customHeight="1">
      <c r="A38" s="1"/>
    </row>
    <row r="39" spans="1:32" ht="13.5" customHeight="1">
      <c r="A39" s="1"/>
    </row>
    <row r="40" spans="1:32" ht="13.5" customHeight="1">
      <c r="A40" s="1"/>
    </row>
    <row r="41" spans="1:32" ht="13.5" customHeight="1">
      <c r="A41" s="1"/>
    </row>
    <row r="42" spans="1:32" ht="13.5" customHeight="1">
      <c r="A42" s="1"/>
      <c r="B42" s="11" t="s">
        <v>390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</row>
  </sheetData>
  <mergeCells count="26">
    <mergeCell ref="B2:AF4"/>
    <mergeCell ref="B42:AF42"/>
    <mergeCell ref="B5:AF6"/>
    <mergeCell ref="B8:G10"/>
    <mergeCell ref="H8:J10"/>
    <mergeCell ref="K8:M10"/>
    <mergeCell ref="N8:P10"/>
    <mergeCell ref="B11:G11"/>
    <mergeCell ref="H11:J11"/>
    <mergeCell ref="K11:M11"/>
    <mergeCell ref="N11:P11"/>
    <mergeCell ref="B12:G12"/>
    <mergeCell ref="H12:J12"/>
    <mergeCell ref="K12:M12"/>
    <mergeCell ref="N12:P12"/>
    <mergeCell ref="B13:G13"/>
    <mergeCell ref="H13:J13"/>
    <mergeCell ref="K13:M13"/>
    <mergeCell ref="N13:P13"/>
    <mergeCell ref="B14:G14"/>
    <mergeCell ref="H14:J14"/>
    <mergeCell ref="K14:M14"/>
    <mergeCell ref="N14:P14"/>
    <mergeCell ref="B24:P25"/>
    <mergeCell ref="B26:P27"/>
    <mergeCell ref="B28:P29"/>
  </mergeCells>
  <conditionalFormatting sqref="B24:P39">
    <cfRule type="notContainsBlanks" dxfId="2" priority="1">
      <formula>LEN(TRIM(B24))&gt;0</formula>
    </cfRule>
  </conditionalFormatting>
  <pageMargins left="0.15" right="0.15" top="0.2" bottom="0.2" header="0.3" footer="0.3"/>
  <pageSetup paperSize="9"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77B900"/>
    <pageSetUpPr fitToPage="1"/>
  </sheetPr>
  <dimension ref="A2:AF42"/>
  <sheetViews>
    <sheetView showGridLines="0" zoomScale="80" zoomScaleNormal="80" workbookViewId="0">
      <pane topLeftCell="A1" activePane="bottomLeft" state="frozen"/>
      <selection pane="bottomLeft"/>
    </sheetView>
  </sheetViews>
  <sheetFormatPr defaultRowHeight="13.5" customHeight="1"/>
  <cols>
    <col min="1" max="1" width="3" customWidth="1"/>
    <col min="2" max="31" width="6" customWidth="1"/>
    <col min="32" max="32" width="11.28515625" customWidth="1"/>
  </cols>
  <sheetData>
    <row r="2" spans="1:32" ht="13.5" customHeight="1">
      <c r="A2" s="1"/>
      <c r="B2" s="2" t="s">
        <v>434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ht="13.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13.5" customHeight="1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13.5" customHeight="1">
      <c r="A5" s="1"/>
      <c r="B5" s="3" t="s">
        <v>435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ht="13.5" customHeight="1">
      <c r="A6" s="1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ht="13.5" customHeight="1">
      <c r="A7" s="1"/>
    </row>
    <row r="8" spans="1:32" ht="13.5" customHeight="1">
      <c r="A8" s="1"/>
      <c r="O8" s="4" t="s">
        <v>425</v>
      </c>
      <c r="P8" s="4"/>
      <c r="Q8" s="4"/>
      <c r="R8" s="4"/>
      <c r="S8" s="4"/>
      <c r="T8" s="4" t="s">
        <v>426</v>
      </c>
      <c r="U8" s="4"/>
      <c r="V8" s="4" t="s">
        <v>419</v>
      </c>
      <c r="W8" s="4"/>
      <c r="X8" s="4" t="s">
        <v>418</v>
      </c>
      <c r="Y8" s="4"/>
      <c r="Z8" s="4" t="s">
        <v>417</v>
      </c>
      <c r="AA8" s="4"/>
      <c r="AB8" s="4" t="s">
        <v>416</v>
      </c>
      <c r="AC8" s="4"/>
      <c r="AD8" s="4" t="s">
        <v>415</v>
      </c>
      <c r="AE8" s="4"/>
      <c r="AF8" s="4" t="s">
        <v>414</v>
      </c>
    </row>
    <row r="9" spans="1:32" ht="13.5" customHeight="1">
      <c r="A9" s="1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spans="1:32" ht="13.5" customHeight="1">
      <c r="A10" s="1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 ht="13.5" customHeight="1">
      <c r="A11" s="1"/>
      <c r="O11" s="8" t="s">
        <v>427</v>
      </c>
      <c r="P11" s="8"/>
      <c r="Q11" s="8"/>
      <c r="R11" s="8"/>
      <c r="S11" s="8"/>
      <c r="T11" s="8">
        <f>IF(COUNT(T12,T13,T14)=3,SUM(T12,T13,T14),"n.d.")</f>
        <v>1318185.0125712878</v>
      </c>
      <c r="U11" s="8"/>
      <c r="V11" s="8">
        <f>IF(COUNT('GraphData'!B53,'GraphData'!C53,'GraphData'!D53)=3,SUM('GraphData'!B53,'GraphData'!C53,'GraphData'!D53),"n.d.")</f>
        <v>1206255.2133422897</v>
      </c>
      <c r="W11" s="8"/>
      <c r="X11" s="8">
        <f>IF(COUNT('GraphData'!B52,'GraphData'!C52,'GraphData'!D52)=3,SUM('GraphData'!B52,'GraphData'!C52,'GraphData'!D52),"n.d.")</f>
        <v>1642956.0163495084</v>
      </c>
      <c r="Y11" s="8"/>
      <c r="Z11" s="8">
        <f>IF(COUNT('GraphData'!B51,'GraphData'!C51,'GraphData'!D51)=3,SUM('GraphData'!B51,'GraphData'!C51,'GraphData'!D51),"n.d.")</f>
        <v>1403955.2564603814</v>
      </c>
      <c r="AA11" s="8"/>
      <c r="AB11" s="8">
        <f>IF(COUNT('GraphData'!B50,'GraphData'!C50,'GraphData'!D50)=3,SUM('GraphData'!B50,'GraphData'!C50,'GraphData'!D50),"n.d.")</f>
        <v>1414933.974457546</v>
      </c>
      <c r="AC11" s="8"/>
      <c r="AD11" s="8">
        <f>IF(COUNT('GraphData'!B49,'GraphData'!C49,'GraphData'!D49)=3,SUM('GraphData'!B49,'GraphData'!C49,'GraphData'!D49),"n.d.")</f>
        <v>1129039.1152289</v>
      </c>
      <c r="AE11" s="8"/>
      <c r="AF11" s="8">
        <f>IF(COUNT('GraphData'!B48,'GraphData'!C48,'GraphData'!D48)=3,SUM('GraphData'!B48,'GraphData'!C48,'GraphData'!D48),"n.d.")</f>
        <v>1111970.4995891019</v>
      </c>
    </row>
    <row r="12" spans="1:32" ht="13.5" customHeight="1">
      <c r="A12" s="1"/>
      <c r="O12" s="5" t="s">
        <v>42</v>
      </c>
      <c r="P12" s="5"/>
      <c r="Q12" s="5"/>
      <c r="R12" s="5"/>
      <c r="S12" s="5"/>
      <c r="T12" s="6">
        <f>IF(OR(COUNTIFS('Consolidation'!$A$6:$A$11,"2026Q2",'Consolidation'!$B$6:$B$11,"AT")&lt;&gt;1,COUNTIFS('Consolidation'!$A$6:$A$11,"2026Q2",'Consolidation'!$B$6:$B$11,"AT",'Consolidation'!$W$6:$W$11,"n.d.")&gt;0),"n.d.",SUMIFS('Consolidation'!$W$6:$W$11,'Consolidation'!$A$6:$A$11,"2026Q2",'Consolidation'!$B$6:$B$11,"AT"))</f>
        <v>9124.243333333334</v>
      </c>
      <c r="U12" s="6"/>
      <c r="V12" s="6">
        <f>IF(ISNUMBER('GraphData'!B53),'GraphData'!B53,"n.d.")</f>
        <v>3156.52</v>
      </c>
      <c r="W12" s="6"/>
      <c r="X12" s="6">
        <f>IF(ISNUMBER('GraphData'!B52),'GraphData'!B52,"n.d.")</f>
        <v>11020.09</v>
      </c>
      <c r="Y12" s="6"/>
      <c r="Z12" s="6">
        <f>IF(ISNUMBER('GraphData'!B51),'GraphData'!B51,"n.d.")</f>
        <v>4747.0199999999995</v>
      </c>
      <c r="AA12" s="6"/>
      <c r="AB12" s="6">
        <f>IF(ISNUMBER('GraphData'!B50),'GraphData'!B50,"n.d.")</f>
        <v>25273.230000000007</v>
      </c>
      <c r="AC12" s="6"/>
      <c r="AD12" s="6">
        <f>IF(ISNUMBER('GraphData'!B49),'GraphData'!B49,"n.d.")</f>
        <v>6335.460000000001</v>
      </c>
      <c r="AE12" s="6"/>
      <c r="AF12" s="6">
        <f>IF(ISNUMBER('GraphData'!B48),'GraphData'!B48,"n.d.")</f>
        <v>4213.139999999999</v>
      </c>
    </row>
    <row r="13" spans="1:32" ht="13.5" customHeight="1">
      <c r="A13" s="1"/>
      <c r="O13" s="5" t="s">
        <v>51</v>
      </c>
      <c r="P13" s="5"/>
      <c r="Q13" s="5"/>
      <c r="R13" s="5"/>
      <c r="S13" s="5"/>
      <c r="T13" s="6">
        <f>IF(OR(COUNTIFS('Consolidation'!$A$6:$A$11,"2026Q2",'Consolidation'!$B$6:$B$11,"IT")&lt;&gt;1,COUNTIFS('Consolidation'!$A$6:$A$11,"2026Q2",'Consolidation'!$B$6:$B$11,"IT",'Consolidation'!$W$6:$W$11,"n.d.")&gt;0),"n.d.",SUMIFS('Consolidation'!$W$6:$W$11,'Consolidation'!$A$6:$A$11,"2026Q2",'Consolidation'!$B$6:$B$11,"IT"))</f>
        <v>1113086.6633333333</v>
      </c>
      <c r="U13" s="6"/>
      <c r="V13" s="6">
        <f>IF(ISNUMBER('GraphData'!C53),'GraphData'!C53,"n.d.")</f>
        <v>977488.48</v>
      </c>
      <c r="W13" s="6"/>
      <c r="X13" s="6">
        <f>IF(ISNUMBER('GraphData'!C52),'GraphData'!C52,"n.d.")</f>
        <v>1425617.0999999999</v>
      </c>
      <c r="Y13" s="6"/>
      <c r="Z13" s="6">
        <f>IF(ISNUMBER('GraphData'!C51),'GraphData'!C51,"n.d.")</f>
        <v>1199203.7600000002</v>
      </c>
      <c r="AA13" s="6"/>
      <c r="AB13" s="6">
        <f>IF(ISNUMBER('GraphData'!C50),'GraphData'!C50,"n.d.")</f>
        <v>1177760.6300000004</v>
      </c>
      <c r="AC13" s="6"/>
      <c r="AD13" s="6">
        <f>IF(ISNUMBER('GraphData'!C49),'GraphData'!C49,"n.d.")</f>
        <v>951551.9400000002</v>
      </c>
      <c r="AE13" s="6"/>
      <c r="AF13" s="6">
        <f>IF(ISNUMBER('GraphData'!C48),'GraphData'!C48,"n.d.")</f>
        <v>946898.0699999998</v>
      </c>
    </row>
    <row r="14" spans="1:32" ht="13.5" customHeight="1">
      <c r="A14" s="1"/>
      <c r="O14" s="5" t="s">
        <v>56</v>
      </c>
      <c r="P14" s="5"/>
      <c r="Q14" s="5"/>
      <c r="R14" s="5"/>
      <c r="S14" s="5"/>
      <c r="T14" s="6">
        <f>IF(OR(COUNTIFS('Consolidation'!$A$6:$A$11,"2026Q2",'Consolidation'!$B$6:$B$11,"ZA")&lt;&gt;1,COUNTIFS('Consolidation'!$A$6:$A$11,"2026Q2",'Consolidation'!$B$6:$B$11,"ZA",'Consolidation'!$W$6:$W$11,"n.d.")&gt;0),"n.d.",SUMIFS('Consolidation'!$W$6:$W$11,'Consolidation'!$A$6:$A$11,"2026Q2",'Consolidation'!$B$6:$B$11,"ZA"))</f>
        <v>195974.10590462116</v>
      </c>
      <c r="U14" s="6"/>
      <c r="V14" s="6">
        <f>IF(ISNUMBER('GraphData'!D53),'GraphData'!D53,"n.d.")</f>
        <v>225610.21334228964</v>
      </c>
      <c r="W14" s="6"/>
      <c r="X14" s="6">
        <f>IF(ISNUMBER('GraphData'!D52),'GraphData'!D52,"n.d.")</f>
        <v>206318.82634950857</v>
      </c>
      <c r="Y14" s="6"/>
      <c r="Z14" s="6">
        <f>IF(ISNUMBER('GraphData'!D51),'GraphData'!D51,"n.d.")</f>
        <v>200004.47646038115</v>
      </c>
      <c r="AA14" s="6"/>
      <c r="AB14" s="6">
        <f>IF(ISNUMBER('GraphData'!D50),'GraphData'!D50,"n.d.")</f>
        <v>211900.11445754557</v>
      </c>
      <c r="AC14" s="6"/>
      <c r="AD14" s="6">
        <f>IF(ISNUMBER('GraphData'!D49),'GraphData'!D49,"n.d.")</f>
        <v>171151.71522889973</v>
      </c>
      <c r="AE14" s="6"/>
      <c r="AF14" s="6">
        <f>IF(ISNUMBER('GraphData'!D48),'GraphData'!D48,"n.d.")</f>
        <v>160859.28958910215</v>
      </c>
    </row>
    <row r="15" spans="1:32" ht="13.5" customHeight="1">
      <c r="A15" s="1"/>
    </row>
    <row r="16" spans="1:32" ht="13.5" customHeight="1">
      <c r="A16" s="1"/>
    </row>
    <row r="17" spans="1:32" ht="13.5" customHeight="1">
      <c r="A17" s="1"/>
    </row>
    <row r="18" spans="1:32" ht="13.5" customHeight="1">
      <c r="A18" s="1"/>
    </row>
    <row r="19" spans="1:32" ht="13.5" customHeight="1">
      <c r="A19" s="1"/>
    </row>
    <row r="20" spans="1:32" ht="13.5" customHeight="1">
      <c r="A20" s="1"/>
    </row>
    <row r="21" spans="1:32" ht="13.5" customHeight="1">
      <c r="A21" s="1"/>
      <c r="O21" s="4" t="s">
        <v>428</v>
      </c>
      <c r="P21" s="4"/>
      <c r="Q21" s="4"/>
      <c r="R21" s="4"/>
      <c r="S21" s="4"/>
      <c r="T21" s="4"/>
      <c r="U21" s="4"/>
      <c r="V21" s="4"/>
      <c r="W21" s="4"/>
      <c r="X21" s="4" t="s">
        <v>429</v>
      </c>
      <c r="Y21" s="4"/>
      <c r="Z21" s="4"/>
      <c r="AA21" s="4"/>
      <c r="AB21" s="4"/>
      <c r="AC21" s="4"/>
      <c r="AD21" s="4"/>
      <c r="AE21" s="4"/>
      <c r="AF21" s="4"/>
    </row>
    <row r="22" spans="1:32" ht="13.5" customHeight="1">
      <c r="A22" s="1"/>
      <c r="O22" s="4" t="s">
        <v>373</v>
      </c>
      <c r="P22" s="4"/>
      <c r="Q22" s="4"/>
      <c r="R22" s="4"/>
      <c r="S22" s="4" t="s">
        <v>404</v>
      </c>
      <c r="T22" s="4"/>
      <c r="U22" s="4" t="s">
        <v>9</v>
      </c>
      <c r="V22" s="4"/>
      <c r="W22" s="4"/>
      <c r="X22" s="4" t="s">
        <v>373</v>
      </c>
      <c r="Y22" s="4"/>
      <c r="Z22" s="4"/>
      <c r="AA22" s="4"/>
      <c r="AB22" s="4" t="s">
        <v>404</v>
      </c>
      <c r="AC22" s="4"/>
      <c r="AD22" s="4" t="s">
        <v>9</v>
      </c>
      <c r="AE22" s="4"/>
      <c r="AF22" s="4"/>
    </row>
    <row r="23" spans="1:32" ht="13.5" customHeight="1">
      <c r="A23" s="1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spans="1:32" ht="13.5" customHeight="1">
      <c r="A24" s="1"/>
      <c r="O24" s="5" t="s">
        <v>42</v>
      </c>
      <c r="P24" s="5"/>
      <c r="Q24" s="5"/>
      <c r="R24" s="5"/>
      <c r="S24" s="7" t="s">
        <v>44</v>
      </c>
      <c r="T24" s="7"/>
      <c r="U24" s="7">
        <f>'GraphData'!E59</f>
        <v>0.9008720336850898</v>
      </c>
      <c r="V24" s="7"/>
      <c r="W24" s="7"/>
      <c r="X24" s="5" t="s">
        <v>42</v>
      </c>
      <c r="Y24" s="5"/>
      <c r="Z24" s="5"/>
      <c r="AA24" s="5"/>
      <c r="AB24" s="7" t="s">
        <v>44</v>
      </c>
      <c r="AC24" s="7"/>
      <c r="AD24" s="7">
        <f>'GraphData'!C59</f>
        <v>0.7727272727272727</v>
      </c>
      <c r="AE24" s="7"/>
      <c r="AF24" s="7"/>
    </row>
    <row r="25" spans="1:32" ht="13.5" customHeight="1">
      <c r="A25" s="1"/>
      <c r="O25" s="5" t="s">
        <v>51</v>
      </c>
      <c r="P25" s="5"/>
      <c r="Q25" s="5"/>
      <c r="R25" s="5"/>
      <c r="S25" s="7" t="s">
        <v>44</v>
      </c>
      <c r="T25" s="7"/>
      <c r="U25" s="7">
        <f>'GraphData'!E60</f>
        <v>0.9843784875387906</v>
      </c>
      <c r="V25" s="7"/>
      <c r="W25" s="7"/>
      <c r="X25" s="5" t="s">
        <v>51</v>
      </c>
      <c r="Y25" s="5"/>
      <c r="Z25" s="5"/>
      <c r="AA25" s="5"/>
      <c r="AB25" s="7" t="s">
        <v>44</v>
      </c>
      <c r="AC25" s="7"/>
      <c r="AD25" s="7">
        <f>'GraphData'!C60</f>
        <v>0.9484958979033729</v>
      </c>
      <c r="AE25" s="7"/>
      <c r="AF25" s="7"/>
    </row>
    <row r="26" spans="1:32" ht="13.5" customHeight="1">
      <c r="A26" s="1"/>
      <c r="O26" s="5" t="s">
        <v>56</v>
      </c>
      <c r="P26" s="5"/>
      <c r="Q26" s="5"/>
      <c r="R26" s="5"/>
      <c r="S26" s="7" t="s">
        <v>44</v>
      </c>
      <c r="T26" s="7"/>
      <c r="U26" s="7">
        <f>'GraphData'!E61</f>
        <v>0.6493430482328113</v>
      </c>
      <c r="V26" s="7"/>
      <c r="W26" s="7"/>
      <c r="X26" s="5" t="s">
        <v>56</v>
      </c>
      <c r="Y26" s="5"/>
      <c r="Z26" s="5"/>
      <c r="AA26" s="5"/>
      <c r="AB26" s="7" t="s">
        <v>44</v>
      </c>
      <c r="AC26" s="7"/>
      <c r="AD26" s="7">
        <f>'GraphData'!C61</f>
        <v>0.8549981233579382</v>
      </c>
      <c r="AE26" s="7"/>
      <c r="AF26" s="7"/>
    </row>
    <row r="27" spans="1:32" ht="13.5" customHeight="1">
      <c r="A27" s="1"/>
    </row>
    <row r="28" spans="1:32" ht="13.5" customHeight="1">
      <c r="A28" s="1"/>
      <c r="O28" s="3" t="s">
        <v>430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ht="13.5" customHeight="1">
      <c r="A29" s="1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ht="13.5" customHeight="1">
      <c r="A30" s="1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ht="13.5" customHeight="1">
      <c r="A31" s="1"/>
    </row>
    <row r="32" spans="1:32" ht="13.5" customHeight="1">
      <c r="A32" s="1"/>
    </row>
    <row r="33" spans="1:32" ht="13.5" customHeight="1">
      <c r="A33" s="1"/>
    </row>
    <row r="34" spans="1:32" ht="13.5" customHeight="1">
      <c r="A34" s="1"/>
    </row>
    <row r="35" spans="1:32" ht="13.5" customHeight="1">
      <c r="A35" s="1"/>
    </row>
    <row r="36" spans="1:32" ht="13.5" customHeight="1">
      <c r="A36" s="1"/>
    </row>
    <row r="37" spans="1:32" ht="13.5" customHeight="1">
      <c r="A37" s="1"/>
    </row>
    <row r="38" spans="1:32" ht="13.5" customHeight="1">
      <c r="A38" s="1"/>
    </row>
    <row r="39" spans="1:32" ht="13.5" customHeight="1">
      <c r="A39" s="1"/>
    </row>
    <row r="40" spans="1:32" ht="13.5" customHeight="1">
      <c r="A40" s="1"/>
    </row>
    <row r="41" spans="1:32" ht="13.5" customHeight="1">
      <c r="A41" s="1"/>
    </row>
    <row r="42" spans="1:32" ht="13.5" customHeight="1">
      <c r="A42" s="1"/>
      <c r="B42" s="11" t="s">
        <v>390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</row>
  </sheetData>
  <mergeCells count="66">
    <mergeCell ref="B2:AF4"/>
    <mergeCell ref="B42:AF42"/>
    <mergeCell ref="B5:AF6"/>
    <mergeCell ref="O8:S10"/>
    <mergeCell ref="T8:U10"/>
    <mergeCell ref="V8:W10"/>
    <mergeCell ref="X8:Y10"/>
    <mergeCell ref="Z8:AA10"/>
    <mergeCell ref="AB8:AC10"/>
    <mergeCell ref="AD8:AE10"/>
    <mergeCell ref="AF8:AF10"/>
    <mergeCell ref="O11:S11"/>
    <mergeCell ref="T11:U11"/>
    <mergeCell ref="V11:W11"/>
    <mergeCell ref="X11:Y11"/>
    <mergeCell ref="Z11:AA11"/>
    <mergeCell ref="AB11:AC11"/>
    <mergeCell ref="AD11:AE11"/>
    <mergeCell ref="O12:S12"/>
    <mergeCell ref="T12:U12"/>
    <mergeCell ref="V12:W12"/>
    <mergeCell ref="X12:Y12"/>
    <mergeCell ref="Z12:AA12"/>
    <mergeCell ref="AB12:AC12"/>
    <mergeCell ref="AD12:AE12"/>
    <mergeCell ref="O13:S13"/>
    <mergeCell ref="T13:U13"/>
    <mergeCell ref="V13:W13"/>
    <mergeCell ref="X13:Y13"/>
    <mergeCell ref="Z13:AA13"/>
    <mergeCell ref="AB13:AC13"/>
    <mergeCell ref="AD13:AE13"/>
    <mergeCell ref="O14:S14"/>
    <mergeCell ref="T14:U14"/>
    <mergeCell ref="V14:W14"/>
    <mergeCell ref="X14:Y14"/>
    <mergeCell ref="Z14:AA14"/>
    <mergeCell ref="AB14:AC14"/>
    <mergeCell ref="AD14:AE14"/>
    <mergeCell ref="O21:W21"/>
    <mergeCell ref="O22:R23"/>
    <mergeCell ref="S22:T23"/>
    <mergeCell ref="U22:W23"/>
    <mergeCell ref="O24:R24"/>
    <mergeCell ref="S24:T24"/>
    <mergeCell ref="U24:W24"/>
    <mergeCell ref="O25:R25"/>
    <mergeCell ref="S25:T25"/>
    <mergeCell ref="U25:W25"/>
    <mergeCell ref="O26:R26"/>
    <mergeCell ref="S26:T26"/>
    <mergeCell ref="U26:W26"/>
    <mergeCell ref="X21:AF21"/>
    <mergeCell ref="X22:AA23"/>
    <mergeCell ref="AB22:AC23"/>
    <mergeCell ref="AD22:AF23"/>
    <mergeCell ref="X24:AA24"/>
    <mergeCell ref="AB24:AC24"/>
    <mergeCell ref="AD24:AF24"/>
    <mergeCell ref="X25:AA25"/>
    <mergeCell ref="AB25:AC25"/>
    <mergeCell ref="AD25:AF25"/>
    <mergeCell ref="X26:AA26"/>
    <mergeCell ref="AB26:AC26"/>
    <mergeCell ref="AD26:AF26"/>
    <mergeCell ref="O28:AF30"/>
  </mergeCells>
  <pageMargins left="0.15" right="0.15" top="0.2" bottom="0.2" header="0.3" footer="0.3"/>
  <pageSetup paperSize="9"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77B900"/>
    <pageSetUpPr fitToPage="1"/>
  </sheetPr>
  <dimension ref="A2:AF42"/>
  <sheetViews>
    <sheetView showGridLines="0" zoomScale="80" zoomScaleNormal="80" workbookViewId="0">
      <pane topLeftCell="A1" activePane="bottomLeft" state="frozen"/>
      <selection pane="bottomLeft"/>
    </sheetView>
  </sheetViews>
  <sheetFormatPr defaultRowHeight="13.5" customHeight="1"/>
  <cols>
    <col min="1" max="1" width="3" customWidth="1"/>
    <col min="2" max="32" width="6" customWidth="1"/>
  </cols>
  <sheetData>
    <row r="2" spans="1:32" ht="13.5" customHeight="1">
      <c r="A2" s="1"/>
      <c r="B2" s="2" t="s">
        <v>438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ht="13.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13.5" customHeight="1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13.5" customHeight="1">
      <c r="A5" s="1"/>
      <c r="B5" s="3" t="s">
        <v>439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ht="13.5" customHeight="1">
      <c r="A6" s="1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ht="13.5" customHeight="1">
      <c r="A7" s="1"/>
    </row>
    <row r="8" spans="1:32" ht="13.5" customHeight="1">
      <c r="A8" s="1"/>
      <c r="B8" s="4" t="s">
        <v>403</v>
      </c>
      <c r="C8" s="4"/>
      <c r="D8" s="4"/>
      <c r="E8" s="4"/>
      <c r="F8" s="4"/>
      <c r="G8" s="4"/>
      <c r="H8" s="4" t="s">
        <v>404</v>
      </c>
      <c r="I8" s="4"/>
      <c r="J8" s="4"/>
      <c r="K8" s="4" t="s">
        <v>9</v>
      </c>
      <c r="L8" s="4"/>
      <c r="M8" s="4"/>
      <c r="N8" s="4" t="s">
        <v>405</v>
      </c>
      <c r="O8" s="4"/>
      <c r="P8" s="4"/>
      <c r="R8" s="4" t="s">
        <v>442</v>
      </c>
      <c r="S8" s="4"/>
      <c r="T8" s="4"/>
      <c r="U8" s="4"/>
      <c r="V8" s="4"/>
      <c r="W8" s="4" t="s">
        <v>443</v>
      </c>
      <c r="X8" s="4"/>
      <c r="Y8" s="4"/>
      <c r="Z8" s="4" t="s">
        <v>43</v>
      </c>
      <c r="AA8" s="4"/>
      <c r="AB8" s="4" t="s">
        <v>46</v>
      </c>
      <c r="AC8" s="4"/>
      <c r="AD8" s="4" t="s">
        <v>48</v>
      </c>
      <c r="AE8" s="4"/>
      <c r="AF8" s="4"/>
    </row>
    <row r="9" spans="1:32" ht="13.5" customHeight="1">
      <c r="A9" s="1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spans="1:32" ht="13.5" customHeight="1">
      <c r="A10" s="1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 ht="13.5" customHeight="1">
      <c r="A11" s="1"/>
      <c r="B11" s="5" t="s">
        <v>61</v>
      </c>
      <c r="C11" s="5"/>
      <c r="D11" s="5"/>
      <c r="E11" s="5"/>
      <c r="F11" s="5"/>
      <c r="G11" s="5"/>
      <c r="H11" s="6" t="str">
        <f>IF(ISNUMBER('GraphData'!B67),'GraphData'!B67,"n.d.")</f>
        <v>n.d.</v>
      </c>
      <c r="I11" s="6"/>
      <c r="J11" s="6"/>
      <c r="K11" s="6">
        <f>IF(ISNUMBER('GraphData'!C67),'GraphData'!C67,"n.d.")</f>
        <v>24388.740092077394</v>
      </c>
      <c r="L11" s="6"/>
      <c r="M11" s="6"/>
      <c r="N11" s="7" t="str">
        <f>IF(ISNUMBER('GraphData'!D67),'GraphData'!D67,"n.d.")</f>
        <v>n.d.</v>
      </c>
      <c r="O11" s="7"/>
      <c r="P11" s="7"/>
      <c r="R11" s="5" t="s">
        <v>61</v>
      </c>
      <c r="S11" s="5"/>
      <c r="T11" s="5"/>
      <c r="U11" s="5"/>
      <c r="V11" s="5"/>
      <c r="W11" s="6">
        <f>IF(ISNUMBER('GraphData'!C67),'GraphData'!C67,"n.d.")</f>
        <v>24388.740092077394</v>
      </c>
      <c r="X11" s="6"/>
      <c r="Y11" s="6"/>
      <c r="Z11" s="6">
        <f>IF(ISNUMBER('GraphData'!F67),'GraphData'!F67,"n.d.")</f>
        <v>0.0</v>
      </c>
      <c r="AA11" s="6"/>
      <c r="AB11" s="6">
        <f>IF(ISNUMBER('GraphData'!G67),'GraphData'!G67,"n.d.")</f>
        <v>3.1149282887958525e-11</v>
      </c>
      <c r="AC11" s="6"/>
      <c r="AD11" s="6">
        <f>IF(ISNUMBER('GraphData'!H67),'GraphData'!H67,"n.d.")</f>
        <v>24388.740092077365</v>
      </c>
      <c r="AE11" s="6"/>
      <c r="AF11" s="6"/>
    </row>
    <row r="12" spans="1:32" ht="13.5" customHeight="1">
      <c r="A12" s="1"/>
      <c r="B12" s="5" t="s">
        <v>69</v>
      </c>
      <c r="C12" s="5"/>
      <c r="D12" s="5"/>
      <c r="E12" s="5"/>
      <c r="F12" s="5"/>
      <c r="G12" s="5"/>
      <c r="H12" s="6" t="str">
        <f>IF(ISNUMBER('GraphData'!B68),'GraphData'!B68,"n.d.")</f>
        <v>n.d.</v>
      </c>
      <c r="I12" s="6"/>
      <c r="J12" s="6"/>
      <c r="K12" s="6">
        <f>IF(ISNUMBER('GraphData'!C68),'GraphData'!C68,"n.d.")</f>
        <v>10807.638555779191</v>
      </c>
      <c r="L12" s="6"/>
      <c r="M12" s="6"/>
      <c r="N12" s="7" t="str">
        <f>IF(ISNUMBER('GraphData'!D68),'GraphData'!D68,"n.d.")</f>
        <v>n.d.</v>
      </c>
      <c r="O12" s="7"/>
      <c r="P12" s="7"/>
      <c r="R12" s="5" t="s">
        <v>69</v>
      </c>
      <c r="S12" s="5"/>
      <c r="T12" s="5"/>
      <c r="U12" s="5"/>
      <c r="V12" s="5"/>
      <c r="W12" s="6">
        <f>IF(ISNUMBER('GraphData'!C68),'GraphData'!C68,"n.d.")</f>
        <v>10807.638555779191</v>
      </c>
      <c r="X12" s="6"/>
      <c r="Y12" s="6"/>
      <c r="Z12" s="6">
        <f>IF(ISNUMBER('GraphData'!F68),'GraphData'!F68,"n.d.")</f>
        <v>0.0</v>
      </c>
      <c r="AA12" s="6"/>
      <c r="AB12" s="6">
        <f>IF(ISNUMBER('GraphData'!G68),'GraphData'!G68,"n.d.")</f>
        <v>4.116792432240542e-11</v>
      </c>
      <c r="AC12" s="6"/>
      <c r="AD12" s="6">
        <f>IF(ISNUMBER('GraphData'!H68),'GraphData'!H68,"n.d.")</f>
        <v>10807.63855577915</v>
      </c>
      <c r="AE12" s="6"/>
      <c r="AF12" s="6"/>
    </row>
    <row r="13" spans="1:32" ht="13.5" customHeight="1">
      <c r="A13" s="1"/>
      <c r="B13" s="5" t="s">
        <v>75</v>
      </c>
      <c r="C13" s="5"/>
      <c r="D13" s="5"/>
      <c r="E13" s="5"/>
      <c r="F13" s="5"/>
      <c r="G13" s="5"/>
      <c r="H13" s="6" t="str">
        <f>IF(ISNUMBER('GraphData'!B69),'GraphData'!B69,"n.d.")</f>
        <v>n.d.</v>
      </c>
      <c r="I13" s="6"/>
      <c r="J13" s="6"/>
      <c r="K13" s="6">
        <f>IF(ISNUMBER('GraphData'!C69),'GraphData'!C69,"n.d.")</f>
        <v>14140.068998832623</v>
      </c>
      <c r="L13" s="6"/>
      <c r="M13" s="6"/>
      <c r="N13" s="7" t="str">
        <f>IF(ISNUMBER('GraphData'!D69),'GraphData'!D69,"n.d.")</f>
        <v>n.d.</v>
      </c>
      <c r="O13" s="7"/>
      <c r="P13" s="7"/>
      <c r="R13" s="5" t="s">
        <v>75</v>
      </c>
      <c r="S13" s="5"/>
      <c r="T13" s="5"/>
      <c r="U13" s="5"/>
      <c r="V13" s="5"/>
      <c r="W13" s="6">
        <f>IF(ISNUMBER('GraphData'!C69),'GraphData'!C69,"n.d.")</f>
        <v>14140.068998832623</v>
      </c>
      <c r="X13" s="6"/>
      <c r="Y13" s="6"/>
      <c r="Z13" s="6">
        <f>IF(ISNUMBER('GraphData'!F69),'GraphData'!F69,"n.d.")</f>
        <v>0.0</v>
      </c>
      <c r="AA13" s="6"/>
      <c r="AB13" s="6">
        <f>IF(ISNUMBER('GraphData'!G69),'GraphData'!G69,"n.d.")</f>
        <v>0.0</v>
      </c>
      <c r="AC13" s="6"/>
      <c r="AD13" s="6">
        <f>IF(ISNUMBER('GraphData'!H69),'GraphData'!H69,"n.d.")</f>
        <v>14140.068998832623</v>
      </c>
      <c r="AE13" s="6"/>
      <c r="AF13" s="6"/>
    </row>
    <row r="14" spans="1:32" ht="13.5" customHeight="1">
      <c r="A14" s="1"/>
      <c r="B14" s="8" t="s">
        <v>406</v>
      </c>
      <c r="C14" s="8"/>
      <c r="D14" s="8"/>
      <c r="E14" s="8"/>
      <c r="F14" s="8"/>
      <c r="G14" s="8"/>
      <c r="H14" s="8" t="str">
        <f>IF(COUNT(H11:H13)=3,SUM(H11:H13),"n.d.")</f>
        <v>n.d.</v>
      </c>
      <c r="I14" s="8"/>
      <c r="J14" s="8"/>
      <c r="K14" s="8">
        <f>IF(COUNT(K11:K13)=3,SUM(K11:K13),"n.d.")</f>
        <v>49336.44764668921</v>
      </c>
      <c r="L14" s="8"/>
      <c r="M14" s="8"/>
      <c r="N14" s="9" t="str">
        <f>IF(OR(COUNT(H14,K14)&lt;&gt;2,H14=0),"n.d.",K14/H14-1)</f>
        <v>n.d.</v>
      </c>
      <c r="O14" s="9"/>
      <c r="P14" s="9"/>
      <c r="R14" s="8" t="s">
        <v>444</v>
      </c>
      <c r="S14" s="8"/>
      <c r="T14" s="8"/>
      <c r="U14" s="8"/>
      <c r="V14" s="8"/>
      <c r="W14" s="8">
        <f>IF(COUNT(W11:W13)=3,SUM(W11:W13),"n.d.")</f>
        <v>49336.44764668921</v>
      </c>
      <c r="X14" s="8"/>
      <c r="Y14" s="8"/>
      <c r="Z14" s="8">
        <f>IF(COUNT(Z11:Z13)=3,SUM(Z11:Z13),"n.d.")</f>
        <v>0.0</v>
      </c>
      <c r="AA14" s="8"/>
      <c r="AB14" s="8">
        <f>IF(COUNT(AB11:AB13)=3,SUM(AB11:AB13),"n.d.")</f>
        <v>7.231720721036395e-11</v>
      </c>
      <c r="AC14" s="8"/>
      <c r="AD14" s="8">
        <f>IF(COUNT(AD11:AD13)=3,SUM(AD11:AD13),"n.d.")</f>
        <v>49336.447646689136</v>
      </c>
      <c r="AE14" s="8"/>
      <c r="AF14" s="8"/>
    </row>
    <row r="15" spans="1:32" ht="13.5" customHeight="1">
      <c r="A15" s="1"/>
    </row>
    <row r="16" spans="1:32" ht="13.5" customHeight="1">
      <c r="A16" s="1"/>
    </row>
    <row r="17" spans="1:32" ht="13.5" customHeight="1">
      <c r="A17" s="1"/>
    </row>
    <row r="18" spans="1:32" ht="13.5" customHeight="1">
      <c r="A18" s="1"/>
    </row>
    <row r="19" spans="1:32" ht="13.5" customHeight="1">
      <c r="A19" s="1"/>
    </row>
    <row r="20" spans="1:32" ht="13.5" customHeight="1">
      <c r="A20" s="1"/>
    </row>
    <row r="21" spans="1:32" ht="13.5" customHeight="1">
      <c r="A21" s="1"/>
      <c r="R21" s="4" t="s">
        <v>445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ht="13.5" customHeight="1">
      <c r="A22" s="1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spans="1:32" ht="13.5" customHeight="1">
      <c r="A23" s="1"/>
      <c r="R23" s="4" t="s">
        <v>373</v>
      </c>
      <c r="S23" s="4"/>
      <c r="T23" s="4"/>
      <c r="U23" s="4"/>
      <c r="V23" s="4"/>
      <c r="W23" s="4" t="s">
        <v>446</v>
      </c>
      <c r="X23" s="4"/>
      <c r="Y23" s="4"/>
      <c r="Z23" s="4"/>
      <c r="AA23" s="4" t="s">
        <v>447</v>
      </c>
      <c r="AB23" s="4"/>
      <c r="AC23" s="4"/>
      <c r="AD23" s="4"/>
      <c r="AE23" s="4" t="s">
        <v>395</v>
      </c>
      <c r="AF23" s="4"/>
    </row>
    <row r="24" spans="1:32" ht="13.5" customHeight="1">
      <c r="A24" s="1"/>
      <c r="B24" s="10" t="s">
        <v>407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spans="1:32" ht="13.5" customHeight="1">
      <c r="A25" s="1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spans="1:32" ht="13.5" customHeight="1">
      <c r="A26" s="1"/>
      <c r="B26" s="10" t="s">
        <v>441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R26" s="5" t="s">
        <v>61</v>
      </c>
      <c r="S26" s="5"/>
      <c r="T26" s="5"/>
      <c r="U26" s="5"/>
      <c r="V26" s="5"/>
      <c r="W26" s="6" t="s">
        <v>44</v>
      </c>
      <c r="X26" s="6"/>
      <c r="Y26" s="6"/>
      <c r="Z26" s="6"/>
      <c r="AA26" s="6" t="s">
        <v>44</v>
      </c>
      <c r="AB26" s="6"/>
      <c r="AC26" s="6"/>
      <c r="AD26" s="6"/>
      <c r="AE26" s="7" t="s">
        <v>44</v>
      </c>
      <c r="AF26" s="7"/>
    </row>
    <row r="27" spans="1:32" ht="13.5" customHeight="1">
      <c r="A27" s="1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R27" s="5" t="s">
        <v>69</v>
      </c>
      <c r="S27" s="5"/>
      <c r="T27" s="5"/>
      <c r="U27" s="5"/>
      <c r="V27" s="5"/>
      <c r="W27" s="6" t="s">
        <v>44</v>
      </c>
      <c r="X27" s="6"/>
      <c r="Y27" s="6"/>
      <c r="Z27" s="6"/>
      <c r="AA27" s="6" t="s">
        <v>44</v>
      </c>
      <c r="AB27" s="6"/>
      <c r="AC27" s="6"/>
      <c r="AD27" s="6"/>
      <c r="AE27" s="7" t="s">
        <v>44</v>
      </c>
      <c r="AF27" s="7"/>
    </row>
    <row r="28" spans="1:32" ht="13.5" customHeight="1">
      <c r="A28" s="1"/>
      <c r="B28" s="10" t="s">
        <v>409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R28" s="5" t="s">
        <v>75</v>
      </c>
      <c r="S28" s="5"/>
      <c r="T28" s="5"/>
      <c r="U28" s="5"/>
      <c r="V28" s="5"/>
      <c r="W28" s="6" t="s">
        <v>44</v>
      </c>
      <c r="X28" s="6"/>
      <c r="Y28" s="6"/>
      <c r="Z28" s="6"/>
      <c r="AA28" s="6" t="s">
        <v>44</v>
      </c>
      <c r="AB28" s="6"/>
      <c r="AC28" s="6"/>
      <c r="AD28" s="6"/>
      <c r="AE28" s="7" t="s">
        <v>44</v>
      </c>
      <c r="AF28" s="7"/>
    </row>
    <row r="29" spans="1:32" ht="13.5" customHeight="1">
      <c r="A29" s="1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spans="1:32" ht="13.5" customHeight="1">
      <c r="A30" s="1"/>
    </row>
    <row r="31" spans="1:32" ht="13.5" customHeight="1">
      <c r="A31" s="1"/>
      <c r="R31" s="3" t="s">
        <v>448</v>
      </c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2" ht="13.5" customHeight="1">
      <c r="A32" s="1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1:32" ht="13.5" customHeight="1">
      <c r="A33" s="1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:32" ht="13.5" customHeight="1">
      <c r="A34" s="1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1:32" ht="13.5" customHeight="1">
      <c r="A35" s="1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:32" ht="13.5" customHeight="1">
      <c r="A36" s="1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:32" ht="13.5" customHeight="1">
      <c r="A37" s="1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ht="13.5" customHeight="1">
      <c r="A38" s="1"/>
    </row>
    <row r="39" spans="1:32" ht="13.5" customHeight="1">
      <c r="A39" s="1"/>
    </row>
    <row r="40" spans="1:32" ht="13.5" customHeight="1">
      <c r="A40" s="1"/>
    </row>
    <row r="41" spans="1:32" ht="13.5" customHeight="1">
      <c r="A41" s="1"/>
    </row>
    <row r="42" spans="1:32" ht="13.5" customHeight="1">
      <c r="A42" s="1"/>
      <c r="B42" s="11" t="s">
        <v>390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</row>
  </sheetData>
  <mergeCells count="69">
    <mergeCell ref="B2:AF4"/>
    <mergeCell ref="B42:AF42"/>
    <mergeCell ref="B5:AF6"/>
    <mergeCell ref="B8:G10"/>
    <mergeCell ref="H8:J10"/>
    <mergeCell ref="K8:M10"/>
    <mergeCell ref="N8:P10"/>
    <mergeCell ref="B11:G11"/>
    <mergeCell ref="H11:J11"/>
    <mergeCell ref="K11:M11"/>
    <mergeCell ref="N11:P11"/>
    <mergeCell ref="B12:G12"/>
    <mergeCell ref="H12:J12"/>
    <mergeCell ref="K12:M12"/>
    <mergeCell ref="N12:P12"/>
    <mergeCell ref="B13:G13"/>
    <mergeCell ref="H13:J13"/>
    <mergeCell ref="K13:M13"/>
    <mergeCell ref="N13:P13"/>
    <mergeCell ref="B14:G14"/>
    <mergeCell ref="H14:J14"/>
    <mergeCell ref="K14:M14"/>
    <mergeCell ref="N14:P14"/>
    <mergeCell ref="B24:P25"/>
    <mergeCell ref="B26:P27"/>
    <mergeCell ref="B28:P29"/>
    <mergeCell ref="R8:V10"/>
    <mergeCell ref="W8:Y10"/>
    <mergeCell ref="Z8:AA10"/>
    <mergeCell ref="AB8:AC10"/>
    <mergeCell ref="AD8:AF10"/>
    <mergeCell ref="R11:V11"/>
    <mergeCell ref="W11:Y11"/>
    <mergeCell ref="Z11:AA11"/>
    <mergeCell ref="AB11:AC11"/>
    <mergeCell ref="AD11:AF11"/>
    <mergeCell ref="R12:V12"/>
    <mergeCell ref="W12:Y12"/>
    <mergeCell ref="Z12:AA12"/>
    <mergeCell ref="AB12:AC12"/>
    <mergeCell ref="AD12:AF12"/>
    <mergeCell ref="R13:V13"/>
    <mergeCell ref="W13:Y13"/>
    <mergeCell ref="Z13:AA13"/>
    <mergeCell ref="AB13:AC13"/>
    <mergeCell ref="AD13:AF13"/>
    <mergeCell ref="R14:V14"/>
    <mergeCell ref="W14:Y14"/>
    <mergeCell ref="Z14:AA14"/>
    <mergeCell ref="AB14:AC14"/>
    <mergeCell ref="AD14:AF14"/>
    <mergeCell ref="R21:AF22"/>
    <mergeCell ref="R23:V25"/>
    <mergeCell ref="W23:Z25"/>
    <mergeCell ref="AA23:AD25"/>
    <mergeCell ref="AE23:AF25"/>
    <mergeCell ref="R26:V26"/>
    <mergeCell ref="W26:Z26"/>
    <mergeCell ref="AA26:AD26"/>
    <mergeCell ref="AE26:AF26"/>
    <mergeCell ref="R27:V27"/>
    <mergeCell ref="W27:Z27"/>
    <mergeCell ref="AA27:AD27"/>
    <mergeCell ref="AE27:AF27"/>
    <mergeCell ref="R28:V28"/>
    <mergeCell ref="W28:Z28"/>
    <mergeCell ref="AA28:AD28"/>
    <mergeCell ref="AE28:AF28"/>
    <mergeCell ref="R31:AF37"/>
  </mergeCells>
  <conditionalFormatting sqref="B24:P39">
    <cfRule type="notContainsBlanks" dxfId="2" priority="1">
      <formula>LEN(TRIM(B24))&gt;0</formula>
    </cfRule>
  </conditionalFormatting>
  <pageMargins left="0.15" right="0.15" top="0.2" bottom="0.2" header="0.3" footer="0.3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627A"/>
    <pageSetUpPr fitToPage="1"/>
  </sheetPr>
  <dimension ref="A2:AF42"/>
  <sheetViews>
    <sheetView showGridLines="0" zoomScale="80" zoomScaleNormal="80" workbookViewId="0">
      <pane topLeftCell="A1" activePane="bottomLeft" state="frozen"/>
      <selection pane="bottomLeft"/>
    </sheetView>
  </sheetViews>
  <sheetFormatPr defaultRowHeight="13.5" customHeight="1"/>
  <cols>
    <col min="1" max="1" width="3" customWidth="1"/>
    <col min="2" max="32" width="6" customWidth="1"/>
  </cols>
  <sheetData>
    <row r="2" spans="1:32" ht="13.5" customHeight="1">
      <c r="A2" s="12"/>
      <c r="B2" s="13" t="s">
        <v>42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R2" s="4" t="s">
        <v>455</v>
      </c>
      <c r="S2" s="4"/>
      <c r="T2" s="4"/>
      <c r="U2" s="4"/>
      <c r="V2" s="4"/>
      <c r="W2" s="4"/>
      <c r="X2" s="14">
        <v>46203</v>
      </c>
      <c r="Y2" s="14"/>
      <c r="Z2" s="14"/>
      <c r="AA2" s="14"/>
      <c r="AB2" s="14"/>
      <c r="AC2" s="14"/>
      <c r="AD2" s="14"/>
      <c r="AE2" s="14"/>
      <c r="AF2" s="14"/>
    </row>
    <row r="3" spans="1:32" ht="13.5" customHeight="1">
      <c r="A3" s="1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R3" s="4"/>
      <c r="S3" s="4"/>
      <c r="T3" s="4"/>
      <c r="U3" s="4"/>
      <c r="V3" s="4"/>
      <c r="W3" s="4"/>
      <c r="X3" s="4" t="s">
        <v>456</v>
      </c>
      <c r="Y3" s="4"/>
      <c r="Z3" s="4" t="s">
        <v>457</v>
      </c>
      <c r="AA3" s="4"/>
      <c r="AB3" s="4"/>
      <c r="AC3" s="4" t="s">
        <v>458</v>
      </c>
      <c r="AD3" s="4"/>
      <c r="AE3" s="4" t="s">
        <v>459</v>
      </c>
      <c r="AF3" s="4"/>
    </row>
    <row r="4" spans="1:32" ht="13.5" customHeight="1">
      <c r="A4" s="12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ht="13.5" customHeight="1">
      <c r="A5" s="12"/>
      <c r="B5" s="3" t="s">
        <v>449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ht="13.5" customHeight="1">
      <c r="A6" s="1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32" ht="13.5" customHeight="1">
      <c r="A7" s="12"/>
      <c r="R7" s="4" t="s">
        <v>460</v>
      </c>
      <c r="S7" s="4"/>
      <c r="T7" s="4"/>
      <c r="U7" s="15" t="s">
        <v>136</v>
      </c>
      <c r="V7" s="15"/>
      <c r="W7" s="15"/>
      <c r="X7" s="6">
        <f>IF(OR(SUMPRODUCT(--('Repartition stock'!$A$6:$A$94="2026Q2"),--('Repartition stock'!$B$6:$B$94="AT"),--('Repartition stock'!$E$6:$E$94="Tranche"),--('Repartition stock'!$F$6:$F$94="0 - 1 €"))=0,SUMPRODUCT(--('Repartition stock'!$A$6:$A$94="2026Q2"),--('Repartition stock'!$B$6:$B$94="AT"),--('Repartition stock'!$E$6:$E$94="Tranche"),--('Repartition stock'!$F$6:$F$94="0 - 1 €"),--('Repartition stock'!$G$6:$G$94="n.d."))&gt;0),"n.d.",SUMPRODUCT(--('Repartition stock'!$A$6:$A$94="2026Q2"),--('Repartition stock'!$B$6:$B$94="AT"),--('Repartition stock'!$E$6:$E$94="Tranche"),--('Repartition stock'!$F$6:$F$94="0 - 1 €"),'Repartition stock'!$G$6:$G$94))</f>
        <v>5</v>
      </c>
      <c r="Y7" s="6"/>
      <c r="Z7" s="6">
        <f>IF(OR(SUMPRODUCT(--('Repartition stock'!$A$6:$A$94="2026Q2"),--('Repartition stock'!$B$6:$B$94="AT"),--('Repartition stock'!$E$6:$E$94="Tranche"),--('Repartition stock'!$F$6:$F$94="0 - 1 €"))=0,SUMPRODUCT(--('Repartition stock'!$A$6:$A$94="2026Q2"),--('Repartition stock'!$B$6:$B$94="AT"),--('Repartition stock'!$E$6:$E$94="Tranche"),--('Repartition stock'!$F$6:$F$94="0 - 1 €"),--('Repartition stock'!$J$6:$J$94="n.d."))&gt;0),"n.d.",SUMPRODUCT(--('Repartition stock'!$A$6:$A$94="2026Q2"),--('Repartition stock'!$B$6:$B$94="AT"),--('Repartition stock'!$E$6:$E$94="Tranche"),--('Repartition stock'!$F$6:$F$94="0 - 1 €"),'Repartition stock'!$J$6:$J$94))</f>
        <v>1.21</v>
      </c>
      <c r="AA7" s="6"/>
      <c r="AB7" s="6"/>
      <c r="AC7" s="7">
        <f>IF(OR(COUNT(X7,X12)&lt;&gt;2,X12=0),"n.d.",X7/X12)</f>
        <v>0.06756756756756757</v>
      </c>
      <c r="AD7" s="7"/>
      <c r="AE7" s="7">
        <f>IF(OR(COUNT(Z7,Z12)&lt;&gt;2,Z12=0),"n.d.",Z7/Z12)</f>
        <v>0.00010089816040139123</v>
      </c>
      <c r="AF7" s="7"/>
    </row>
    <row r="8" spans="1:32" ht="13.5" customHeight="1">
      <c r="A8" s="12"/>
      <c r="R8" s="4"/>
      <c r="S8" s="4"/>
      <c r="T8" s="4"/>
      <c r="U8" s="15" t="s">
        <v>138</v>
      </c>
      <c r="V8" s="15"/>
      <c r="W8" s="15"/>
      <c r="X8" s="6">
        <f>IF(OR(SUMPRODUCT(--('Repartition stock'!$A$6:$A$94="2026Q2"),--('Repartition stock'!$B$6:$B$94="AT"),--('Repartition stock'!$E$6:$E$94="Tranche"),--('Repartition stock'!$F$6:$F$94="1 - 10 €"))=0,SUMPRODUCT(--('Repartition stock'!$A$6:$A$94="2026Q2"),--('Repartition stock'!$B$6:$B$94="AT"),--('Repartition stock'!$E$6:$E$94="Tranche"),--('Repartition stock'!$F$6:$F$94="1 - 10 €"),--('Repartition stock'!$G$6:$G$94="n.d."))&gt;0),"n.d.",SUMPRODUCT(--('Repartition stock'!$A$6:$A$94="2026Q2"),--('Repartition stock'!$B$6:$B$94="AT"),--('Repartition stock'!$E$6:$E$94="Tranche"),--('Repartition stock'!$F$6:$F$94="1 - 10 €"),'Repartition stock'!$G$6:$G$94))</f>
        <v>19</v>
      </c>
      <c r="Y8" s="6"/>
      <c r="Z8" s="6">
        <f>IF(OR(SUMPRODUCT(--('Repartition stock'!$A$6:$A$94="2026Q2"),--('Repartition stock'!$B$6:$B$94="AT"),--('Repartition stock'!$E$6:$E$94="Tranche"),--('Repartition stock'!$F$6:$F$94="1 - 10 €"))=0,SUMPRODUCT(--('Repartition stock'!$A$6:$A$94="2026Q2"),--('Repartition stock'!$B$6:$B$94="AT"),--('Repartition stock'!$E$6:$E$94="Tranche"),--('Repartition stock'!$F$6:$F$94="1 - 10 €"),--('Repartition stock'!$J$6:$J$94="n.d."))&gt;0),"n.d.",SUMPRODUCT(--('Repartition stock'!$A$6:$A$94="2026Q2"),--('Repartition stock'!$B$6:$B$94="AT"),--('Repartition stock'!$E$6:$E$94="Tranche"),--('Repartition stock'!$F$6:$F$94="1 - 10 €"),'Repartition stock'!$J$6:$J$94))</f>
        <v>83.42</v>
      </c>
      <c r="AA8" s="6"/>
      <c r="AB8" s="6"/>
      <c r="AC8" s="7">
        <f>IF(OR(COUNT(X8,X12)&lt;&gt;2,X12=0),"n.d.",X8/X12)</f>
        <v>0.25675675675675674</v>
      </c>
      <c r="AD8" s="7"/>
      <c r="AE8" s="7">
        <f>IF(OR(COUNT(Z8,Z12)&lt;&gt;2,Z12=0),"n.d.",Z8/Z12)</f>
        <v>0.006956135984036411</v>
      </c>
      <c r="AF8" s="7"/>
    </row>
    <row r="9" spans="1:32" ht="13.5" customHeight="1">
      <c r="A9" s="12"/>
      <c r="R9" s="4"/>
      <c r="S9" s="4"/>
      <c r="T9" s="4"/>
      <c r="U9" s="15" t="s">
        <v>140</v>
      </c>
      <c r="V9" s="15"/>
      <c r="W9" s="15"/>
      <c r="X9" s="6">
        <f>IF(OR(SUMPRODUCT(--('Repartition stock'!$A$6:$A$94="2026Q2"),--('Repartition stock'!$B$6:$B$94="AT"),--('Repartition stock'!$E$6:$E$94="Tranche"),--('Repartition stock'!$F$6:$F$94="10 - 100 €"))=0,SUMPRODUCT(--('Repartition stock'!$A$6:$A$94="2026Q2"),--('Repartition stock'!$B$6:$B$94="AT"),--('Repartition stock'!$E$6:$E$94="Tranche"),--('Repartition stock'!$F$6:$F$94="10 - 100 €"),--('Repartition stock'!$G$6:$G$94="n.d."))&gt;0),"n.d.",SUMPRODUCT(--('Repartition stock'!$A$6:$A$94="2026Q2"),--('Repartition stock'!$B$6:$B$94="AT"),--('Repartition stock'!$E$6:$E$94="Tranche"),--('Repartition stock'!$F$6:$F$94="10 - 100 €"),'Repartition stock'!$G$6:$G$94))</f>
        <v>32</v>
      </c>
      <c r="Y9" s="6"/>
      <c r="Z9" s="6">
        <f>IF(OR(SUMPRODUCT(--('Repartition stock'!$A$6:$A$94="2026Q2"),--('Repartition stock'!$B$6:$B$94="AT"),--('Repartition stock'!$E$6:$E$94="Tranche"),--('Repartition stock'!$F$6:$F$94="10 - 100 €"))=0,SUMPRODUCT(--('Repartition stock'!$A$6:$A$94="2026Q2"),--('Repartition stock'!$B$6:$B$94="AT"),--('Repartition stock'!$E$6:$E$94="Tranche"),--('Repartition stock'!$F$6:$F$94="10 - 100 €"),--('Repartition stock'!$J$6:$J$94="n.d."))&gt;0),"n.d.",SUMPRODUCT(--('Repartition stock'!$A$6:$A$94="2026Q2"),--('Repartition stock'!$B$6:$B$94="AT"),--('Repartition stock'!$E$6:$E$94="Tranche"),--('Repartition stock'!$F$6:$F$94="10 - 100 €"),'Repartition stock'!$J$6:$J$94))</f>
        <v>1265.6</v>
      </c>
      <c r="AA9" s="6"/>
      <c r="AB9" s="6"/>
      <c r="AC9" s="7">
        <f>IF(OR(COUNT(X9,X12)&lt;&gt;2,X12=0),"n.d.",X9/X12)</f>
        <v>0.43243243243243246</v>
      </c>
      <c r="AD9" s="7"/>
      <c r="AE9" s="7">
        <f>IF(OR(COUNT(Z9,Z12)&lt;&gt;2,Z12=0),"n.d.",Z9/Z12)</f>
        <v>0.10553447256528986</v>
      </c>
      <c r="AF9" s="7"/>
    </row>
    <row r="10" spans="1:32" ht="13.5" customHeight="1">
      <c r="A10" s="12"/>
      <c r="R10" s="4"/>
      <c r="S10" s="4"/>
      <c r="T10" s="4"/>
      <c r="U10" s="15" t="s">
        <v>142</v>
      </c>
      <c r="V10" s="15"/>
      <c r="W10" s="15"/>
      <c r="X10" s="6">
        <f>IF(OR(SUMPRODUCT(--('Repartition stock'!$A$6:$A$94="2026Q2"),--('Repartition stock'!$B$6:$B$94="AT"),--('Repartition stock'!$E$6:$E$94="Tranche"),--('Repartition stock'!$F$6:$F$94="100 - 1 000 €"))=0,SUMPRODUCT(--('Repartition stock'!$A$6:$A$94="2026Q2"),--('Repartition stock'!$B$6:$B$94="AT"),--('Repartition stock'!$E$6:$E$94="Tranche"),--('Repartition stock'!$F$6:$F$94="100 - 1 000 €"),--('Repartition stock'!$G$6:$G$94="n.d."))&gt;0),"n.d.",SUMPRODUCT(--('Repartition stock'!$A$6:$A$94="2026Q2"),--('Repartition stock'!$B$6:$B$94="AT"),--('Repartition stock'!$E$6:$E$94="Tranche"),--('Repartition stock'!$F$6:$F$94="100 - 1 000 €"),'Repartition stock'!$G$6:$G$94))</f>
        <v>14</v>
      </c>
      <c r="Y10" s="6"/>
      <c r="Z10" s="6">
        <f>IF(OR(SUMPRODUCT(--('Repartition stock'!$A$6:$A$94="2026Q2"),--('Repartition stock'!$B$6:$B$94="AT"),--('Repartition stock'!$E$6:$E$94="Tranche"),--('Repartition stock'!$F$6:$F$94="100 - 1 000 €"))=0,SUMPRODUCT(--('Repartition stock'!$A$6:$A$94="2026Q2"),--('Repartition stock'!$B$6:$B$94="AT"),--('Repartition stock'!$E$6:$E$94="Tranche"),--('Repartition stock'!$F$6:$F$94="100 - 1 000 €"),--('Repartition stock'!$J$6:$J$94="n.d."))&gt;0),"n.d.",SUMPRODUCT(--('Repartition stock'!$A$6:$A$94="2026Q2"),--('Repartition stock'!$B$6:$B$94="AT"),--('Repartition stock'!$E$6:$E$94="Tranche"),--('Repartition stock'!$F$6:$F$94="100 - 1 000 €"),'Repartition stock'!$J$6:$J$94))</f>
        <v>3254.0</v>
      </c>
      <c r="AA10" s="6"/>
      <c r="AB10" s="6"/>
      <c r="AC10" s="7">
        <f>IF(OR(COUNT(X10,X12)&lt;&gt;2,X12=0),"n.d.",X10/X12)</f>
        <v>0.1891891891891892</v>
      </c>
      <c r="AD10" s="7"/>
      <c r="AE10" s="7">
        <f>IF(OR(COUNT(Z10,Z12)&lt;&gt;2,Z12=0),"n.d.",Z10/Z12)</f>
        <v>0.27134100326126204</v>
      </c>
      <c r="AF10" s="7"/>
    </row>
    <row r="11" spans="1:32" ht="13.5" customHeight="1">
      <c r="A11" s="12"/>
      <c r="R11" s="4"/>
      <c r="S11" s="4"/>
      <c r="T11" s="4"/>
      <c r="U11" s="15" t="s">
        <v>144</v>
      </c>
      <c r="V11" s="15"/>
      <c r="W11" s="15"/>
      <c r="X11" s="6">
        <f>IF(OR(SUMPRODUCT(--('Repartition stock'!$A$6:$A$94="2026Q2"),--('Repartition stock'!$B$6:$B$94="AT"),--('Repartition stock'!$E$6:$E$94="Tranche"),--('Repartition stock'!$F$6:$F$94="&gt; 1 000 €"))=0,SUMPRODUCT(--('Repartition stock'!$A$6:$A$94="2026Q2"),--('Repartition stock'!$B$6:$B$94="AT"),--('Repartition stock'!$E$6:$E$94="Tranche"),--('Repartition stock'!$F$6:$F$94="&gt; 1 000 €"),--('Repartition stock'!$G$6:$G$94="n.d."))&gt;0),"n.d.",SUMPRODUCT(--('Repartition stock'!$A$6:$A$94="2026Q2"),--('Repartition stock'!$B$6:$B$94="AT"),--('Repartition stock'!$E$6:$E$94="Tranche"),--('Repartition stock'!$F$6:$F$94="&gt; 1 000 €"),'Repartition stock'!$G$6:$G$94))</f>
        <v>4</v>
      </c>
      <c r="Y11" s="6"/>
      <c r="Z11" s="6">
        <f>IF(OR(SUMPRODUCT(--('Repartition stock'!$A$6:$A$94="2026Q2"),--('Repartition stock'!$B$6:$B$94="AT"),--('Repartition stock'!$E$6:$E$94="Tranche"),--('Repartition stock'!$F$6:$F$94="&gt; 1 000 €"))=0,SUMPRODUCT(--('Repartition stock'!$A$6:$A$94="2026Q2"),--('Repartition stock'!$B$6:$B$94="AT"),--('Repartition stock'!$E$6:$E$94="Tranche"),--('Repartition stock'!$F$6:$F$94="&gt; 1 000 €"),--('Repartition stock'!$J$6:$J$94="n.d."))&gt;0),"n.d.",SUMPRODUCT(--('Repartition stock'!$A$6:$A$94="2026Q2"),--('Repartition stock'!$B$6:$B$94="AT"),--('Repartition stock'!$E$6:$E$94="Tranche"),--('Repartition stock'!$F$6:$F$94="&gt; 1 000 €"),'Repartition stock'!$J$6:$J$94))</f>
        <v>7388.06</v>
      </c>
      <c r="AA11" s="6"/>
      <c r="AB11" s="6"/>
      <c r="AC11" s="7">
        <f>IF(OR(COUNT(X11,X12)&lt;&gt;2,X12=0),"n.d.",X11/X12)</f>
        <v>0.05405405405405406</v>
      </c>
      <c r="AD11" s="7"/>
      <c r="AE11" s="7">
        <f>IF(OR(COUNT(Z11,Z12)&lt;&gt;2,Z12=0),"n.d.",Z11/Z12)</f>
        <v>0.6160674900290104</v>
      </c>
      <c r="AF11" s="7"/>
    </row>
    <row r="12" spans="1:32" ht="13.5" customHeight="1">
      <c r="A12" s="12"/>
      <c r="R12" s="8" t="s">
        <v>461</v>
      </c>
      <c r="S12" s="8"/>
      <c r="T12" s="8"/>
      <c r="U12" s="8"/>
      <c r="V12" s="8"/>
      <c r="W12" s="8"/>
      <c r="X12" s="8">
        <f>IF(COUNT(X7:X11)=5,SUM(X7:X11),"n.d.")</f>
        <v>74</v>
      </c>
      <c r="Y12" s="8"/>
      <c r="Z12" s="8">
        <f>IF(COUNT(Z7:Z11)=5,SUM(Z7:Z11),"n.d.")</f>
        <v>11992.289999999999</v>
      </c>
      <c r="AA12" s="8"/>
      <c r="AB12" s="8"/>
      <c r="AC12" s="9">
        <f>IF(OR(NOT(ISNUMBER(X12)),X12=0),"n.d.",1)</f>
        <v>1.0</v>
      </c>
      <c r="AD12" s="9"/>
      <c r="AE12" s="9">
        <f>IF(OR(NOT(ISNUMBER(Z12)),Z12=0),"n.d.",1)</f>
        <v>1.0</v>
      </c>
      <c r="AF12" s="9"/>
    </row>
    <row r="13" spans="1:32" ht="13.5" customHeight="1">
      <c r="A13" s="12"/>
    </row>
    <row r="14" spans="1:32" ht="13.5" customHeight="1">
      <c r="A14" s="12"/>
      <c r="R14" s="4" t="s">
        <v>462</v>
      </c>
      <c r="S14" s="4"/>
      <c r="T14" s="4"/>
      <c r="U14" s="15" t="s">
        <v>146</v>
      </c>
      <c r="V14" s="15"/>
      <c r="W14" s="15"/>
      <c r="X14" s="6" t="str">
        <f>IF(OR(SUMPRODUCT(--('Repartition stock'!$A$6:$A$94="2026Q2"),--('Repartition stock'!$B$6:$B$94="AT"),--('Repartition stock'!$E$6:$E$94="Millésime"),--('Repartition stock'!$F$6:$F$94="&lt;2018"))=0,SUMPRODUCT(--('Repartition stock'!$A$6:$A$94="2026Q2"),--('Repartition stock'!$B$6:$B$94="AT"),--('Repartition stock'!$E$6:$E$94="Millésime"),--('Repartition stock'!$F$6:$F$94="&lt;2018"),--('Repartition stock'!$G$6:$G$94="n.d."))&gt;0),"n.d.",SUMPRODUCT(--('Repartition stock'!$A$6:$A$94="2026Q2"),--('Repartition stock'!$B$6:$B$94="AT"),--('Repartition stock'!$E$6:$E$94="Millésime"),--('Repartition stock'!$F$6:$F$94="&lt;2018"),'Repartition stock'!$G$6:$G$94))</f>
        <v>n.d.</v>
      </c>
      <c r="Y14" s="6"/>
      <c r="Z14" s="6" t="str">
        <f>IF(OR(SUMPRODUCT(--('Repartition stock'!$A$6:$A$94="2026Q2"),--('Repartition stock'!$B$6:$B$94="AT"),--('Repartition stock'!$E$6:$E$94="Millésime"),--('Repartition stock'!$F$6:$F$94="&lt;2018"))=0,SUMPRODUCT(--('Repartition stock'!$A$6:$A$94="2026Q2"),--('Repartition stock'!$B$6:$B$94="AT"),--('Repartition stock'!$E$6:$E$94="Millésime"),--('Repartition stock'!$F$6:$F$94="&lt;2018"),--('Repartition stock'!$J$6:$J$94="n.d."))&gt;0),"n.d.",SUMPRODUCT(--('Repartition stock'!$A$6:$A$94="2026Q2"),--('Repartition stock'!$B$6:$B$94="AT"),--('Repartition stock'!$E$6:$E$94="Millésime"),--('Repartition stock'!$F$6:$F$94="&lt;2018"),'Repartition stock'!$J$6:$J$94))</f>
        <v>n.d.</v>
      </c>
      <c r="AA14" s="6"/>
      <c r="AB14" s="6"/>
      <c r="AC14" s="7" t="str">
        <f>IF(OR(COUNT(X14,X24)&lt;&gt;2,X24=0),"n.d.",X14/X24)</f>
        <v>n.d.</v>
      </c>
      <c r="AD14" s="7"/>
      <c r="AE14" s="7" t="str">
        <f>IF(OR(COUNT(Z14,Z24)&lt;&gt;2,Z24=0),"n.d.",Z14/Z24)</f>
        <v>n.d.</v>
      </c>
      <c r="AF14" s="7"/>
    </row>
    <row r="15" spans="1:32" ht="13.5" customHeight="1">
      <c r="A15" s="12"/>
      <c r="R15" s="4"/>
      <c r="S15" s="4"/>
      <c r="T15" s="4"/>
      <c r="U15" s="15" t="s">
        <v>148</v>
      </c>
      <c r="V15" s="15"/>
      <c r="W15" s="15"/>
      <c r="X15" s="6" t="str">
        <f>IF(OR(SUMPRODUCT(--('Repartition stock'!$A$6:$A$94="2026Q2"),--('Repartition stock'!$B$6:$B$94="AT"),--('Repartition stock'!$E$6:$E$94="Millésime"),--('Repartition stock'!$F$6:$F$94="2018"))=0,SUMPRODUCT(--('Repartition stock'!$A$6:$A$94="2026Q2"),--('Repartition stock'!$B$6:$B$94="AT"),--('Repartition stock'!$E$6:$E$94="Millésime"),--('Repartition stock'!$F$6:$F$94="2018"),--('Repartition stock'!$G$6:$G$94="n.d."))&gt;0),"n.d.",SUMPRODUCT(--('Repartition stock'!$A$6:$A$94="2026Q2"),--('Repartition stock'!$B$6:$B$94="AT"),--('Repartition stock'!$E$6:$E$94="Millésime"),--('Repartition stock'!$F$6:$F$94="2018"),'Repartition stock'!$G$6:$G$94))</f>
        <v>n.d.</v>
      </c>
      <c r="Y15" s="6"/>
      <c r="Z15" s="6" t="str">
        <f>IF(OR(SUMPRODUCT(--('Repartition stock'!$A$6:$A$94="2026Q2"),--('Repartition stock'!$B$6:$B$94="AT"),--('Repartition stock'!$E$6:$E$94="Millésime"),--('Repartition stock'!$F$6:$F$94="2018"))=0,SUMPRODUCT(--('Repartition stock'!$A$6:$A$94="2026Q2"),--('Repartition stock'!$B$6:$B$94="AT"),--('Repartition stock'!$E$6:$E$94="Millésime"),--('Repartition stock'!$F$6:$F$94="2018"),--('Repartition stock'!$J$6:$J$94="n.d."))&gt;0),"n.d.",SUMPRODUCT(--('Repartition stock'!$A$6:$A$94="2026Q2"),--('Repartition stock'!$B$6:$B$94="AT"),--('Repartition stock'!$E$6:$E$94="Millésime"),--('Repartition stock'!$F$6:$F$94="2018"),'Repartition stock'!$J$6:$J$94))</f>
        <v>n.d.</v>
      </c>
      <c r="AA15" s="6"/>
      <c r="AB15" s="6"/>
      <c r="AC15" s="7" t="str">
        <f>IF(OR(COUNT(X15,X24)&lt;&gt;2,X24=0),"n.d.",X15/X24)</f>
        <v>n.d.</v>
      </c>
      <c r="AD15" s="7"/>
      <c r="AE15" s="7" t="str">
        <f>IF(OR(COUNT(Z15,Z24)&lt;&gt;2,Z24=0),"n.d.",Z15/Z24)</f>
        <v>n.d.</v>
      </c>
      <c r="AF15" s="7"/>
    </row>
    <row r="16" spans="1:32" ht="13.5" customHeight="1">
      <c r="A16" s="12"/>
      <c r="R16" s="4"/>
      <c r="S16" s="4"/>
      <c r="T16" s="4"/>
      <c r="U16" s="15" t="s">
        <v>150</v>
      </c>
      <c r="V16" s="15"/>
      <c r="W16" s="15"/>
      <c r="X16" s="6">
        <f>IF(OR(SUMPRODUCT(--('Repartition stock'!$A$6:$A$94="2026Q2"),--('Repartition stock'!$B$6:$B$94="AT"),--('Repartition stock'!$E$6:$E$94="Millésime"),--('Repartition stock'!$F$6:$F$94="2019"))=0,SUMPRODUCT(--('Repartition stock'!$A$6:$A$94="2026Q2"),--('Repartition stock'!$B$6:$B$94="AT"),--('Repartition stock'!$E$6:$E$94="Millésime"),--('Repartition stock'!$F$6:$F$94="2019"),--('Repartition stock'!$G$6:$G$94="n.d."))&gt;0),"n.d.",SUMPRODUCT(--('Repartition stock'!$A$6:$A$94="2026Q2"),--('Repartition stock'!$B$6:$B$94="AT"),--('Repartition stock'!$E$6:$E$94="Millésime"),--('Repartition stock'!$F$6:$F$94="2019"),'Repartition stock'!$G$6:$G$94))</f>
        <v>1</v>
      </c>
      <c r="Y16" s="6"/>
      <c r="Z16" s="6">
        <f>IF(OR(SUMPRODUCT(--('Repartition stock'!$A$6:$A$94="2026Q2"),--('Repartition stock'!$B$6:$B$94="AT"),--('Repartition stock'!$E$6:$E$94="Millésime"),--('Repartition stock'!$F$6:$F$94="2019"))=0,SUMPRODUCT(--('Repartition stock'!$A$6:$A$94="2026Q2"),--('Repartition stock'!$B$6:$B$94="AT"),--('Repartition stock'!$E$6:$E$94="Millésime"),--('Repartition stock'!$F$6:$F$94="2019"),--('Repartition stock'!$J$6:$J$94="n.d."))&gt;0),"n.d.",SUMPRODUCT(--('Repartition stock'!$A$6:$A$94="2026Q2"),--('Repartition stock'!$B$6:$B$94="AT"),--('Repartition stock'!$E$6:$E$94="Millésime"),--('Repartition stock'!$F$6:$F$94="2019"),'Repartition stock'!$J$6:$J$94))</f>
        <v>2314.9</v>
      </c>
      <c r="AA16" s="6"/>
      <c r="AB16" s="6"/>
      <c r="AC16" s="7">
        <f>IF(OR(COUNT(X16,X24)&lt;&gt;2,X24=0),"n.d.",X16/X24)</f>
        <v>0.013513513513513514</v>
      </c>
      <c r="AD16" s="7"/>
      <c r="AE16" s="7">
        <f>IF(OR(COUNT(Z16,Z24)&lt;&gt;2,Z24=0),"n.d.",Z16/Z24)</f>
        <v>0.19303235662246326</v>
      </c>
      <c r="AF16" s="7"/>
    </row>
    <row r="17" spans="1:32" ht="13.5" customHeight="1">
      <c r="A17" s="12"/>
      <c r="R17" s="4"/>
      <c r="S17" s="4"/>
      <c r="T17" s="4"/>
      <c r="U17" s="15" t="s">
        <v>152</v>
      </c>
      <c r="V17" s="15"/>
      <c r="W17" s="15"/>
      <c r="X17" s="6">
        <f>IF(OR(SUMPRODUCT(--('Repartition stock'!$A$6:$A$94="2026Q2"),--('Repartition stock'!$B$6:$B$94="AT"),--('Repartition stock'!$E$6:$E$94="Millésime"),--('Repartition stock'!$F$6:$F$94="2020"))=0,SUMPRODUCT(--('Repartition stock'!$A$6:$A$94="2026Q2"),--('Repartition stock'!$B$6:$B$94="AT"),--('Repartition stock'!$E$6:$E$94="Millésime"),--('Repartition stock'!$F$6:$F$94="2020"),--('Repartition stock'!$G$6:$G$94="n.d."))&gt;0),"n.d.",SUMPRODUCT(--('Repartition stock'!$A$6:$A$94="2026Q2"),--('Repartition stock'!$B$6:$B$94="AT"),--('Repartition stock'!$E$6:$E$94="Millésime"),--('Repartition stock'!$F$6:$F$94="2020"),'Repartition stock'!$G$6:$G$94))</f>
        <v>0</v>
      </c>
      <c r="Y17" s="6"/>
      <c r="Z17" s="6">
        <f>IF(OR(SUMPRODUCT(--('Repartition stock'!$A$6:$A$94="2026Q2"),--('Repartition stock'!$B$6:$B$94="AT"),--('Repartition stock'!$E$6:$E$94="Millésime"),--('Repartition stock'!$F$6:$F$94="2020"))=0,SUMPRODUCT(--('Repartition stock'!$A$6:$A$94="2026Q2"),--('Repartition stock'!$B$6:$B$94="AT"),--('Repartition stock'!$E$6:$E$94="Millésime"),--('Repartition stock'!$F$6:$F$94="2020"),--('Repartition stock'!$J$6:$J$94="n.d."))&gt;0),"n.d.",SUMPRODUCT(--('Repartition stock'!$A$6:$A$94="2026Q2"),--('Repartition stock'!$B$6:$B$94="AT"),--('Repartition stock'!$E$6:$E$94="Millésime"),--('Repartition stock'!$F$6:$F$94="2020"),'Repartition stock'!$J$6:$J$94))</f>
        <v>0.0</v>
      </c>
      <c r="AA17" s="6"/>
      <c r="AB17" s="6"/>
      <c r="AC17" s="7">
        <f>IF(OR(COUNT(X17,X24)&lt;&gt;2,X24=0),"n.d.",X17/X24)</f>
        <v>0.0</v>
      </c>
      <c r="AD17" s="7"/>
      <c r="AE17" s="7">
        <f>IF(OR(COUNT(Z17,Z24)&lt;&gt;2,Z24=0),"n.d.",Z17/Z24)</f>
        <v>0.0</v>
      </c>
      <c r="AF17" s="7"/>
    </row>
    <row r="18" spans="1:32" ht="13.5" customHeight="1">
      <c r="A18" s="12"/>
      <c r="R18" s="4"/>
      <c r="S18" s="4"/>
      <c r="T18" s="4"/>
      <c r="U18" s="15" t="s">
        <v>154</v>
      </c>
      <c r="V18" s="15"/>
      <c r="W18" s="15"/>
      <c r="X18" s="6">
        <f>IF(OR(SUMPRODUCT(--('Repartition stock'!$A$6:$A$94="2026Q2"),--('Repartition stock'!$B$6:$B$94="AT"),--('Repartition stock'!$E$6:$E$94="Millésime"),--('Repartition stock'!$F$6:$F$94="2021"))=0,SUMPRODUCT(--('Repartition stock'!$A$6:$A$94="2026Q2"),--('Repartition stock'!$B$6:$B$94="AT"),--('Repartition stock'!$E$6:$E$94="Millésime"),--('Repartition stock'!$F$6:$F$94="2021"),--('Repartition stock'!$G$6:$G$94="n.d."))&gt;0),"n.d.",SUMPRODUCT(--('Repartition stock'!$A$6:$A$94="2026Q2"),--('Repartition stock'!$B$6:$B$94="AT"),--('Repartition stock'!$E$6:$E$94="Millésime"),--('Repartition stock'!$F$6:$F$94="2021"),'Repartition stock'!$G$6:$G$94))</f>
        <v>1</v>
      </c>
      <c r="Y18" s="6"/>
      <c r="Z18" s="6">
        <f>IF(OR(SUMPRODUCT(--('Repartition stock'!$A$6:$A$94="2026Q2"),--('Repartition stock'!$B$6:$B$94="AT"),--('Repartition stock'!$E$6:$E$94="Millésime"),--('Repartition stock'!$F$6:$F$94="2021"))=0,SUMPRODUCT(--('Repartition stock'!$A$6:$A$94="2026Q2"),--('Repartition stock'!$B$6:$B$94="AT"),--('Repartition stock'!$E$6:$E$94="Millésime"),--('Repartition stock'!$F$6:$F$94="2021"),--('Repartition stock'!$J$6:$J$94="n.d."))&gt;0),"n.d.",SUMPRODUCT(--('Repartition stock'!$A$6:$A$94="2026Q2"),--('Repartition stock'!$B$6:$B$94="AT"),--('Repartition stock'!$E$6:$E$94="Millésime"),--('Repartition stock'!$F$6:$F$94="2021"),'Repartition stock'!$J$6:$J$94))</f>
        <v>81.01</v>
      </c>
      <c r="AA18" s="6"/>
      <c r="AB18" s="6"/>
      <c r="AC18" s="7">
        <f>IF(OR(COUNT(X18,X24)&lt;&gt;2,X24=0),"n.d.",X18/X24)</f>
        <v>0.013513513513513514</v>
      </c>
      <c r="AD18" s="7"/>
      <c r="AE18" s="7">
        <f>IF(OR(COUNT(Z18,Z24)&lt;&gt;2,Z24=0),"n.d.",Z18/Z24)</f>
        <v>0.006755173532327854</v>
      </c>
      <c r="AF18" s="7"/>
    </row>
    <row r="19" spans="1:32" ht="13.5" customHeight="1">
      <c r="A19" s="12"/>
      <c r="R19" s="4"/>
      <c r="S19" s="4"/>
      <c r="T19" s="4"/>
      <c r="U19" s="15" t="s">
        <v>156</v>
      </c>
      <c r="V19" s="15"/>
      <c r="W19" s="15"/>
      <c r="X19" s="6">
        <f>IF(OR(SUMPRODUCT(--('Repartition stock'!$A$6:$A$94="2026Q2"),--('Repartition stock'!$B$6:$B$94="AT"),--('Repartition stock'!$E$6:$E$94="Millésime"),--('Repartition stock'!$F$6:$F$94="2022"))=0,SUMPRODUCT(--('Repartition stock'!$A$6:$A$94="2026Q2"),--('Repartition stock'!$B$6:$B$94="AT"),--('Repartition stock'!$E$6:$E$94="Millésime"),--('Repartition stock'!$F$6:$F$94="2022"),--('Repartition stock'!$G$6:$G$94="n.d."))&gt;0),"n.d.",SUMPRODUCT(--('Repartition stock'!$A$6:$A$94="2026Q2"),--('Repartition stock'!$B$6:$B$94="AT"),--('Repartition stock'!$E$6:$E$94="Millésime"),--('Repartition stock'!$F$6:$F$94="2022"),'Repartition stock'!$G$6:$G$94))</f>
        <v>0</v>
      </c>
      <c r="Y19" s="6"/>
      <c r="Z19" s="6">
        <f>IF(OR(SUMPRODUCT(--('Repartition stock'!$A$6:$A$94="2026Q2"),--('Repartition stock'!$B$6:$B$94="AT"),--('Repartition stock'!$E$6:$E$94="Millésime"),--('Repartition stock'!$F$6:$F$94="2022"))=0,SUMPRODUCT(--('Repartition stock'!$A$6:$A$94="2026Q2"),--('Repartition stock'!$B$6:$B$94="AT"),--('Repartition stock'!$E$6:$E$94="Millésime"),--('Repartition stock'!$F$6:$F$94="2022"),--('Repartition stock'!$J$6:$J$94="n.d."))&gt;0),"n.d.",SUMPRODUCT(--('Repartition stock'!$A$6:$A$94="2026Q2"),--('Repartition stock'!$B$6:$B$94="AT"),--('Repartition stock'!$E$6:$E$94="Millésime"),--('Repartition stock'!$F$6:$F$94="2022"),'Repartition stock'!$J$6:$J$94))</f>
        <v>0.0</v>
      </c>
      <c r="AA19" s="6"/>
      <c r="AB19" s="6"/>
      <c r="AC19" s="7">
        <f>IF(OR(COUNT(X19,X24)&lt;&gt;2,X24=0),"n.d.",X19/X24)</f>
        <v>0.0</v>
      </c>
      <c r="AD19" s="7"/>
      <c r="AE19" s="7">
        <f>IF(OR(COUNT(Z19,Z24)&lt;&gt;2,Z24=0),"n.d.",Z19/Z24)</f>
        <v>0.0</v>
      </c>
      <c r="AF19" s="7"/>
    </row>
    <row r="20" spans="1:32" ht="13.5" customHeight="1">
      <c r="A20" s="12"/>
      <c r="R20" s="4"/>
      <c r="S20" s="4"/>
      <c r="T20" s="4"/>
      <c r="U20" s="15" t="s">
        <v>158</v>
      </c>
      <c r="V20" s="15"/>
      <c r="W20" s="15"/>
      <c r="X20" s="6">
        <f>IF(OR(SUMPRODUCT(--('Repartition stock'!$A$6:$A$94="2026Q2"),--('Repartition stock'!$B$6:$B$94="AT"),--('Repartition stock'!$E$6:$E$94="Millésime"),--('Repartition stock'!$F$6:$F$94="2023"))=0,SUMPRODUCT(--('Repartition stock'!$A$6:$A$94="2026Q2"),--('Repartition stock'!$B$6:$B$94="AT"),--('Repartition stock'!$E$6:$E$94="Millésime"),--('Repartition stock'!$F$6:$F$94="2023"),--('Repartition stock'!$G$6:$G$94="n.d."))&gt;0),"n.d.",SUMPRODUCT(--('Repartition stock'!$A$6:$A$94="2026Q2"),--('Repartition stock'!$B$6:$B$94="AT"),--('Repartition stock'!$E$6:$E$94="Millésime"),--('Repartition stock'!$F$6:$F$94="2023"),'Repartition stock'!$G$6:$G$94))</f>
        <v>1</v>
      </c>
      <c r="Y20" s="6"/>
      <c r="Z20" s="6">
        <f>IF(OR(SUMPRODUCT(--('Repartition stock'!$A$6:$A$94="2026Q2"),--('Repartition stock'!$B$6:$B$94="AT"),--('Repartition stock'!$E$6:$E$94="Millésime"),--('Repartition stock'!$F$6:$F$94="2023"))=0,SUMPRODUCT(--('Repartition stock'!$A$6:$A$94="2026Q2"),--('Repartition stock'!$B$6:$B$94="AT"),--('Repartition stock'!$E$6:$E$94="Millésime"),--('Repartition stock'!$F$6:$F$94="2023"),--('Repartition stock'!$J$6:$J$94="n.d."))&gt;0),"n.d.",SUMPRODUCT(--('Repartition stock'!$A$6:$A$94="2026Q2"),--('Repartition stock'!$B$6:$B$94="AT"),--('Repartition stock'!$E$6:$E$94="Millésime"),--('Repartition stock'!$F$6:$F$94="2023"),'Repartition stock'!$J$6:$J$94))</f>
        <v>47.06</v>
      </c>
      <c r="AA20" s="6"/>
      <c r="AB20" s="6"/>
      <c r="AC20" s="7">
        <f>IF(OR(COUNT(X20,X24)&lt;&gt;2,X24=0),"n.d.",X20/X24)</f>
        <v>0.013513513513513514</v>
      </c>
      <c r="AD20" s="7"/>
      <c r="AE20" s="7">
        <f>IF(OR(COUNT(Z20,Z24)&lt;&gt;2,Z24=0),"n.d.",Z20/Z24)</f>
        <v>0.003924187957429315</v>
      </c>
      <c r="AF20" s="7"/>
    </row>
    <row r="21" spans="1:32" ht="13.5" customHeight="1">
      <c r="A21" s="12"/>
      <c r="R21" s="4"/>
      <c r="S21" s="4"/>
      <c r="T21" s="4"/>
      <c r="U21" s="15" t="s">
        <v>64</v>
      </c>
      <c r="V21" s="15"/>
      <c r="W21" s="15"/>
      <c r="X21" s="6">
        <f>IF(OR(SUMPRODUCT(--('Repartition stock'!$A$6:$A$94="2026Q2"),--('Repartition stock'!$B$6:$B$94="AT"),--('Repartition stock'!$E$6:$E$94="Millésime"),--('Repartition stock'!$F$6:$F$94="2024"))=0,SUMPRODUCT(--('Repartition stock'!$A$6:$A$94="2026Q2"),--('Repartition stock'!$B$6:$B$94="AT"),--('Repartition stock'!$E$6:$E$94="Millésime"),--('Repartition stock'!$F$6:$F$94="2024"),--('Repartition stock'!$G$6:$G$94="n.d."))&gt;0),"n.d.",SUMPRODUCT(--('Repartition stock'!$A$6:$A$94="2026Q2"),--('Repartition stock'!$B$6:$B$94="AT"),--('Repartition stock'!$E$6:$E$94="Millésime"),--('Repartition stock'!$F$6:$F$94="2024"),'Repartition stock'!$G$6:$G$94))</f>
        <v>3</v>
      </c>
      <c r="Y21" s="6"/>
      <c r="Z21" s="6">
        <f>IF(OR(SUMPRODUCT(--('Repartition stock'!$A$6:$A$94="2026Q2"),--('Repartition stock'!$B$6:$B$94="AT"),--('Repartition stock'!$E$6:$E$94="Millésime"),--('Repartition stock'!$F$6:$F$94="2024"))=0,SUMPRODUCT(--('Repartition stock'!$A$6:$A$94="2026Q2"),--('Repartition stock'!$B$6:$B$94="AT"),--('Repartition stock'!$E$6:$E$94="Millésime"),--('Repartition stock'!$F$6:$F$94="2024"),--('Repartition stock'!$J$6:$J$94="n.d."))&gt;0),"n.d.",SUMPRODUCT(--('Repartition stock'!$A$6:$A$94="2026Q2"),--('Repartition stock'!$B$6:$B$94="AT"),--('Repartition stock'!$E$6:$E$94="Millésime"),--('Repartition stock'!$F$6:$F$94="2024"),'Repartition stock'!$J$6:$J$94))</f>
        <v>3734.12</v>
      </c>
      <c r="AA21" s="6"/>
      <c r="AB21" s="6"/>
      <c r="AC21" s="7">
        <f>IF(OR(COUNT(X21,X24)&lt;&gt;2,X24=0),"n.d.",X21/X24)</f>
        <v>0.04054054054054054</v>
      </c>
      <c r="AD21" s="7"/>
      <c r="AE21" s="7">
        <f>IF(OR(COUNT(Z21,Z24)&lt;&gt;2,Z24=0),"n.d.",Z21/Z24)</f>
        <v>0.3113767262132587</v>
      </c>
      <c r="AF21" s="7"/>
    </row>
    <row r="22" spans="1:32" ht="13.5" customHeight="1">
      <c r="A22" s="12"/>
      <c r="R22" s="4"/>
      <c r="S22" s="4"/>
      <c r="T22" s="4"/>
      <c r="U22" s="15" t="s">
        <v>46</v>
      </c>
      <c r="V22" s="15"/>
      <c r="W22" s="15"/>
      <c r="X22" s="6">
        <f>IF(OR(SUMPRODUCT(--('Repartition stock'!$A$6:$A$94="2026Q2"),--('Repartition stock'!$B$6:$B$94="AT"),--('Repartition stock'!$E$6:$E$94="Millésime"),--('Repartition stock'!$F$6:$F$94="2025"))=0,SUMPRODUCT(--('Repartition stock'!$A$6:$A$94="2026Q2"),--('Repartition stock'!$B$6:$B$94="AT"),--('Repartition stock'!$E$6:$E$94="Millésime"),--('Repartition stock'!$F$6:$F$94="2025"),--('Repartition stock'!$G$6:$G$94="n.d."))&gt;0),"n.d.",SUMPRODUCT(--('Repartition stock'!$A$6:$A$94="2026Q2"),--('Repartition stock'!$B$6:$B$94="AT"),--('Repartition stock'!$E$6:$E$94="Millésime"),--('Repartition stock'!$F$6:$F$94="2025"),'Repartition stock'!$G$6:$G$94))</f>
        <v>3</v>
      </c>
      <c r="Y22" s="6"/>
      <c r="Z22" s="6">
        <f>IF(OR(SUMPRODUCT(--('Repartition stock'!$A$6:$A$94="2026Q2"),--('Repartition stock'!$B$6:$B$94="AT"),--('Repartition stock'!$E$6:$E$94="Millésime"),--('Repartition stock'!$F$6:$F$94="2025"))=0,SUMPRODUCT(--('Repartition stock'!$A$6:$A$94="2026Q2"),--('Repartition stock'!$B$6:$B$94="AT"),--('Repartition stock'!$E$6:$E$94="Millésime"),--('Repartition stock'!$F$6:$F$94="2025"),--('Repartition stock'!$J$6:$J$94="n.d."))&gt;0),"n.d.",SUMPRODUCT(--('Repartition stock'!$A$6:$A$94="2026Q2"),--('Repartition stock'!$B$6:$B$94="AT"),--('Repartition stock'!$E$6:$E$94="Millésime"),--('Repartition stock'!$F$6:$F$94="2025"),'Repartition stock'!$J$6:$J$94))</f>
        <v>429.88</v>
      </c>
      <c r="AA22" s="6"/>
      <c r="AB22" s="6"/>
      <c r="AC22" s="7">
        <f>IF(OR(COUNT(X22,X24)&lt;&gt;2,X24=0),"n.d.",X22/X24)</f>
        <v>0.04054054054054054</v>
      </c>
      <c r="AD22" s="7"/>
      <c r="AE22" s="7">
        <f>IF(OR(COUNT(Z22,Z24)&lt;&gt;2,Z24=0),"n.d.",Z22/Z24)</f>
        <v>0.035846364622603356</v>
      </c>
      <c r="AF22" s="7"/>
    </row>
    <row r="23" spans="1:32" ht="13.5" customHeight="1">
      <c r="A23" s="12"/>
      <c r="R23" s="4"/>
      <c r="S23" s="4"/>
      <c r="T23" s="4"/>
      <c r="U23" s="15" t="s">
        <v>48</v>
      </c>
      <c r="V23" s="15"/>
      <c r="W23" s="15"/>
      <c r="X23" s="6">
        <f>IF(OR(SUMPRODUCT(--('Repartition stock'!$A$6:$A$94="2026Q2"),--('Repartition stock'!$B$6:$B$94="AT"),--('Repartition stock'!$E$6:$E$94="Millésime"),--('Repartition stock'!$F$6:$F$94="2026"))=0,SUMPRODUCT(--('Repartition stock'!$A$6:$A$94="2026Q2"),--('Repartition stock'!$B$6:$B$94="AT"),--('Repartition stock'!$E$6:$E$94="Millésime"),--('Repartition stock'!$F$6:$F$94="2026"),--('Repartition stock'!$G$6:$G$94="n.d."))&gt;0),"n.d.",SUMPRODUCT(--('Repartition stock'!$A$6:$A$94="2026Q2"),--('Repartition stock'!$B$6:$B$94="AT"),--('Repartition stock'!$E$6:$E$94="Millésime"),--('Repartition stock'!$F$6:$F$94="2026"),'Repartition stock'!$G$6:$G$94))</f>
        <v>65</v>
      </c>
      <c r="Y23" s="6"/>
      <c r="Z23" s="6">
        <f>IF(OR(SUMPRODUCT(--('Repartition stock'!$A$6:$A$94="2026Q2"),--('Repartition stock'!$B$6:$B$94="AT"),--('Repartition stock'!$E$6:$E$94="Millésime"),--('Repartition stock'!$F$6:$F$94="2026"))=0,SUMPRODUCT(--('Repartition stock'!$A$6:$A$94="2026Q2"),--('Repartition stock'!$B$6:$B$94="AT"),--('Repartition stock'!$E$6:$E$94="Millésime"),--('Repartition stock'!$F$6:$F$94="2026"),--('Repartition stock'!$J$6:$J$94="n.d."))&gt;0),"n.d.",SUMPRODUCT(--('Repartition stock'!$A$6:$A$94="2026Q2"),--('Repartition stock'!$B$6:$B$94="AT"),--('Repartition stock'!$E$6:$E$94="Millésime"),--('Repartition stock'!$F$6:$F$94="2026"),'Repartition stock'!$J$6:$J$94))</f>
        <v>5385.32</v>
      </c>
      <c r="AA23" s="6"/>
      <c r="AB23" s="6"/>
      <c r="AC23" s="7">
        <f>IF(OR(COUNT(X23,X24)&lt;&gt;2,X24=0),"n.d.",X23/X24)</f>
        <v>0.8783783783783784</v>
      </c>
      <c r="AD23" s="7"/>
      <c r="AE23" s="7">
        <f>IF(OR(COUNT(Z23,Z24)&lt;&gt;2,Z24=0),"n.d.",Z23/Z24)</f>
        <v>0.44906519105191745</v>
      </c>
      <c r="AF23" s="7"/>
    </row>
    <row r="24" spans="1:32" ht="13.5" customHeight="1">
      <c r="A24" s="12"/>
      <c r="R24" s="8" t="s">
        <v>461</v>
      </c>
      <c r="S24" s="8"/>
      <c r="T24" s="8"/>
      <c r="U24" s="8"/>
      <c r="V24" s="8"/>
      <c r="W24" s="8"/>
      <c r="X24" s="8">
        <f>'Presentation inputs'!D7</f>
        <v>74</v>
      </c>
      <c r="Y24" s="8"/>
      <c r="Z24" s="8">
        <f>IF(ISNUMBER('Presentation inputs'!E7),'Presentation inputs'!E7/(IF(OR(COUNTIFS('Consolidation'!$A$6:$A$11,"2026Q2",'Consolidation'!$B$6:$B$11,"AT")&lt;&gt;1,COUNTIFS('Consolidation'!$A$6:$A$11,"2026Q2",'Consolidation'!$B$6:$B$11,"AT",'Consolidation'!$E$6:$E$11,"n.d.")&gt;0),"n.d.",SUMIFS('Consolidation'!$E$6:$E$11,'Consolidation'!$A$6:$A$11,"2026Q2",'Consolidation'!$B$6:$B$11,"AT"))),"n.d.")</f>
        <v>11992.29</v>
      </c>
      <c r="AA24" s="8"/>
      <c r="AB24" s="8"/>
      <c r="AC24" s="9">
        <f>IF(OR(NOT(ISNUMBER(X24)),X24=0),"n.d.",1)</f>
        <v>1.0</v>
      </c>
      <c r="AD24" s="9"/>
      <c r="AE24" s="9">
        <f>IF(OR(NOT(ISNUMBER(Z24)),Z24=0),"n.d.",1)</f>
        <v>1.0</v>
      </c>
      <c r="AF24" s="9"/>
    </row>
    <row r="25" spans="1:32" ht="13.5" customHeight="1">
      <c r="A25" s="12"/>
    </row>
    <row r="26" spans="1:32" ht="13.5" customHeight="1">
      <c r="A26" s="12"/>
      <c r="R26" s="3" t="s">
        <v>463</v>
      </c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ht="13.5" customHeight="1">
      <c r="A27" s="12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ht="13.5" customHeight="1">
      <c r="A28" s="12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ht="13.5" customHeight="1">
      <c r="A29" s="12"/>
    </row>
    <row r="30" spans="1:32" ht="13.5" customHeight="1">
      <c r="A30" s="12"/>
      <c r="B30" s="10" t="str">
        <f>"Average monthly new flow: "&amp;IF(ISNUMBER('GraphData'!A86),TEXT('GraphData'!A86,"#,##0"),"n.d.")&amp;" EUR. Average balance per contract: "&amp;IF(ISNUMBER('GraphData'!B86),TEXT('GraphData'!B86,"#,##0"),"n.d.")&amp;" EUR."</f>
        <v>Average monthly new flow: 9,124 EUR. Average balance per contract: 207 EUR.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</row>
    <row r="31" spans="1:32" ht="13.5" customHeight="1">
      <c r="A31" s="12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</row>
    <row r="32" spans="1:32" ht="13.5" customHeight="1">
      <c r="A32" s="12"/>
      <c r="B32" s="10" t="str">
        <f>"Oldest cohort (M-5): "&amp;IF(ISNUMBER('GraphData'!C86),TEXT('GraphData'!C86,"0.0%"),"n.d.")&amp;" treated in amount and "&amp;IF(ISNUMBER('GraphData'!D86),TEXT('GraphData'!D86,"0.0%"),"n.d.")&amp;" in number."</f>
        <v>Oldest cohort (M-5): 90.1% treated in amount and 77.3% in number.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</row>
    <row r="33" spans="1:32" ht="13.5" customHeight="1">
      <c r="A33" s="12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</row>
    <row r="34" spans="1:32" ht="13.5" customHeight="1">
      <c r="A34" s="12"/>
      <c r="B34" s="10" t="str">
        <f>"Stock to process: "&amp;IF(ISNUMBER('GraphData'!E86),TEXT('GraphData'!E86,"#,##0"),"n.d.")&amp;" EUR. Identified stock: "&amp;IF(ISNUMBER('GraphData'!F86),TEXT('GraphData'!F86,"#,##0"),"n.d.")&amp;" EUR."</f>
        <v>Stock to process: 11,992 EUR. Identified stock: 11,992 EUR.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</row>
    <row r="35" spans="1:32" ht="13.5" customHeight="1">
      <c r="A35" s="12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</row>
    <row r="36" spans="1:32" ht="13.5" customHeight="1">
      <c r="A36" s="12"/>
      <c r="B36" s="10" t="s">
        <v>470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</row>
    <row r="37" spans="1:32" ht="13.5" customHeight="1">
      <c r="A37" s="12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</row>
    <row r="38" spans="1:32" ht="13.5" customHeight="1">
      <c r="A38" s="12"/>
    </row>
    <row r="39" spans="1:32" ht="13.5" customHeight="1">
      <c r="A39" s="12"/>
    </row>
    <row r="40" spans="1:32" ht="13.5" customHeight="1">
      <c r="A40" s="12"/>
    </row>
    <row r="41" spans="1:32" ht="13.5" customHeight="1">
      <c r="A41" s="12"/>
    </row>
    <row r="42" spans="1:32" ht="13.5" customHeight="1">
      <c r="A42" s="12"/>
      <c r="B42" s="11" t="s">
        <v>390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</row>
  </sheetData>
  <mergeCells count="101">
    <mergeCell ref="B2:M4"/>
    <mergeCell ref="B42:AF42"/>
    <mergeCell ref="B5:P6"/>
    <mergeCell ref="R2:W5"/>
    <mergeCell ref="X2:AF2"/>
    <mergeCell ref="X3:Y5"/>
    <mergeCell ref="Z3:AB5"/>
    <mergeCell ref="AC3:AD5"/>
    <mergeCell ref="AE3:AF5"/>
    <mergeCell ref="R7:T11"/>
    <mergeCell ref="U7:W7"/>
    <mergeCell ref="X7:Y7"/>
    <mergeCell ref="Z7:AB7"/>
    <mergeCell ref="AC7:AD7"/>
    <mergeCell ref="AE7:AF7"/>
    <mergeCell ref="U8:W8"/>
    <mergeCell ref="X8:Y8"/>
    <mergeCell ref="Z8:AB8"/>
    <mergeCell ref="AC8:AD8"/>
    <mergeCell ref="AE8:AF8"/>
    <mergeCell ref="U9:W9"/>
    <mergeCell ref="X9:Y9"/>
    <mergeCell ref="Z9:AB9"/>
    <mergeCell ref="AC9:AD9"/>
    <mergeCell ref="AE9:AF9"/>
    <mergeCell ref="U10:W10"/>
    <mergeCell ref="X10:Y10"/>
    <mergeCell ref="Z10:AB10"/>
    <mergeCell ref="AC10:AD10"/>
    <mergeCell ref="AE10:AF10"/>
    <mergeCell ref="U11:W11"/>
    <mergeCell ref="X11:Y11"/>
    <mergeCell ref="Z11:AB11"/>
    <mergeCell ref="AC11:AD11"/>
    <mergeCell ref="AE11:AF11"/>
    <mergeCell ref="R12:W12"/>
    <mergeCell ref="X12:Y12"/>
    <mergeCell ref="Z12:AB12"/>
    <mergeCell ref="AC12:AD12"/>
    <mergeCell ref="AE12:AF12"/>
    <mergeCell ref="R14:T23"/>
    <mergeCell ref="U14:W14"/>
    <mergeCell ref="X14:Y14"/>
    <mergeCell ref="Z14:AB14"/>
    <mergeCell ref="AC14:AD14"/>
    <mergeCell ref="AE14:AF14"/>
    <mergeCell ref="U15:W15"/>
    <mergeCell ref="X15:Y15"/>
    <mergeCell ref="Z15:AB15"/>
    <mergeCell ref="AC15:AD15"/>
    <mergeCell ref="AE15:AF15"/>
    <mergeCell ref="U16:W16"/>
    <mergeCell ref="X16:Y16"/>
    <mergeCell ref="Z16:AB16"/>
    <mergeCell ref="AC16:AD16"/>
    <mergeCell ref="AE16:AF16"/>
    <mergeCell ref="U17:W17"/>
    <mergeCell ref="X17:Y17"/>
    <mergeCell ref="Z17:AB17"/>
    <mergeCell ref="AC17:AD17"/>
    <mergeCell ref="AE17:AF17"/>
    <mergeCell ref="U18:W18"/>
    <mergeCell ref="X18:Y18"/>
    <mergeCell ref="Z18:AB18"/>
    <mergeCell ref="AC18:AD18"/>
    <mergeCell ref="AE18:AF18"/>
    <mergeCell ref="U19:W19"/>
    <mergeCell ref="X19:Y19"/>
    <mergeCell ref="Z19:AB19"/>
    <mergeCell ref="AC19:AD19"/>
    <mergeCell ref="AE19:AF19"/>
    <mergeCell ref="U20:W20"/>
    <mergeCell ref="X20:Y20"/>
    <mergeCell ref="Z20:AB20"/>
    <mergeCell ref="AC20:AD20"/>
    <mergeCell ref="AE20:AF20"/>
    <mergeCell ref="U21:W21"/>
    <mergeCell ref="X21:Y21"/>
    <mergeCell ref="Z21:AB21"/>
    <mergeCell ref="AC21:AD21"/>
    <mergeCell ref="AE21:AF21"/>
    <mergeCell ref="U22:W22"/>
    <mergeCell ref="X22:Y22"/>
    <mergeCell ref="Z22:AB22"/>
    <mergeCell ref="AC22:AD22"/>
    <mergeCell ref="AE22:AF22"/>
    <mergeCell ref="U23:W23"/>
    <mergeCell ref="X23:Y23"/>
    <mergeCell ref="Z23:AB23"/>
    <mergeCell ref="AC23:AD23"/>
    <mergeCell ref="AE23:AF23"/>
    <mergeCell ref="R24:W24"/>
    <mergeCell ref="X24:Y24"/>
    <mergeCell ref="Z24:AB24"/>
    <mergeCell ref="AC24:AD24"/>
    <mergeCell ref="AE24:AF24"/>
    <mergeCell ref="R26:AF28"/>
    <mergeCell ref="B30:AF31"/>
    <mergeCell ref="B32:AF33"/>
    <mergeCell ref="B34:AF35"/>
    <mergeCell ref="B36:AF37"/>
  </mergeCells>
  <conditionalFormatting sqref="B30:AF40">
    <cfRule type="notContainsBlanks" dxfId="2" priority="1">
      <formula>LEN(TRIM(B30))&gt;0</formula>
    </cfRule>
  </conditionalFormatting>
  <pageMargins left="0.15" right="0.15" top="0.2" bottom="0.2" header="0.3" footer="0.3"/>
  <pageSetup paperSize="9"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00627A"/>
    <pageSetUpPr fitToPage="1"/>
  </sheetPr>
  <dimension ref="A2:AF42"/>
  <sheetViews>
    <sheetView showGridLines="0" zoomScale="80" zoomScaleNormal="80" workbookViewId="0">
      <pane topLeftCell="A1" activePane="bottomLeft" state="frozen"/>
      <selection pane="bottomLeft"/>
    </sheetView>
  </sheetViews>
  <sheetFormatPr defaultRowHeight="13.5" customHeight="1"/>
  <cols>
    <col min="1" max="1" width="3" customWidth="1"/>
    <col min="2" max="32" width="6" customWidth="1"/>
  </cols>
  <sheetData>
    <row r="2" spans="1:32" ht="13.5" customHeight="1">
      <c r="A2" s="12"/>
      <c r="B2" s="13" t="s">
        <v>51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R2" s="4" t="s">
        <v>455</v>
      </c>
      <c r="S2" s="4"/>
      <c r="T2" s="4"/>
      <c r="U2" s="4"/>
      <c r="V2" s="4"/>
      <c r="W2" s="4"/>
      <c r="X2" s="14">
        <v>46203</v>
      </c>
      <c r="Y2" s="14"/>
      <c r="Z2" s="14"/>
      <c r="AA2" s="14"/>
      <c r="AB2" s="14"/>
      <c r="AC2" s="14"/>
      <c r="AD2" s="14"/>
      <c r="AE2" s="14"/>
      <c r="AF2" s="14"/>
    </row>
    <row r="3" spans="1:32" ht="13.5" customHeight="1">
      <c r="A3" s="1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R3" s="4"/>
      <c r="S3" s="4"/>
      <c r="T3" s="4"/>
      <c r="U3" s="4"/>
      <c r="V3" s="4"/>
      <c r="W3" s="4"/>
      <c r="X3" s="4" t="s">
        <v>456</v>
      </c>
      <c r="Y3" s="4"/>
      <c r="Z3" s="4" t="s">
        <v>457</v>
      </c>
      <c r="AA3" s="4"/>
      <c r="AB3" s="4"/>
      <c r="AC3" s="4" t="s">
        <v>458</v>
      </c>
      <c r="AD3" s="4"/>
      <c r="AE3" s="4" t="s">
        <v>459</v>
      </c>
      <c r="AF3" s="4"/>
    </row>
    <row r="4" spans="1:32" ht="13.5" customHeight="1">
      <c r="A4" s="12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ht="13.5" customHeight="1">
      <c r="A5" s="12"/>
      <c r="B5" s="3" t="s">
        <v>449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ht="13.5" customHeight="1">
      <c r="A6" s="1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32" ht="13.5" customHeight="1">
      <c r="A7" s="12"/>
      <c r="R7" s="4" t="s">
        <v>460</v>
      </c>
      <c r="S7" s="4"/>
      <c r="T7" s="4"/>
      <c r="U7" s="15" t="s">
        <v>136</v>
      </c>
      <c r="V7" s="15"/>
      <c r="W7" s="15"/>
      <c r="X7" s="6">
        <f>IF(OR(SUMPRODUCT(--('Repartition stock'!$A$6:$A$94="2026Q2"),--('Repartition stock'!$B$6:$B$94="IT"),--('Repartition stock'!$E$6:$E$94="Tranche"),--('Repartition stock'!$F$6:$F$94="0 - 1 €"))=0,SUMPRODUCT(--('Repartition stock'!$A$6:$A$94="2026Q2"),--('Repartition stock'!$B$6:$B$94="IT"),--('Repartition stock'!$E$6:$E$94="Tranche"),--('Repartition stock'!$F$6:$F$94="0 - 1 €"),--('Repartition stock'!$G$6:$G$94="n.d."))&gt;0),"n.d.",SUMPRODUCT(--('Repartition stock'!$A$6:$A$94="2026Q2"),--('Repartition stock'!$B$6:$B$94="IT"),--('Repartition stock'!$E$6:$E$94="Tranche"),--('Repartition stock'!$F$6:$F$94="0 - 1 €"),'Repartition stock'!$G$6:$G$94))</f>
        <v>883</v>
      </c>
      <c r="Y7" s="6"/>
      <c r="Z7" s="6">
        <f>IF(OR(SUMPRODUCT(--('Repartition stock'!$A$6:$A$94="2026Q2"),--('Repartition stock'!$B$6:$B$94="IT"),--('Repartition stock'!$E$6:$E$94="Tranche"),--('Repartition stock'!$F$6:$F$94="0 - 1 €"))=0,SUMPRODUCT(--('Repartition stock'!$A$6:$A$94="2026Q2"),--('Repartition stock'!$B$6:$B$94="IT"),--('Repartition stock'!$E$6:$E$94="Tranche"),--('Repartition stock'!$F$6:$F$94="0 - 1 €"),--('Repartition stock'!$J$6:$J$94="n.d."))&gt;0),"n.d.",SUMPRODUCT(--('Repartition stock'!$A$6:$A$94="2026Q2"),--('Repartition stock'!$B$6:$B$94="IT"),--('Repartition stock'!$E$6:$E$94="Tranche"),--('Repartition stock'!$F$6:$F$94="0 - 1 €"),'Repartition stock'!$J$6:$J$94))</f>
        <v>415.76</v>
      </c>
      <c r="AA7" s="6"/>
      <c r="AB7" s="6"/>
      <c r="AC7" s="7">
        <f>IF(OR(COUNT(X7,X12)&lt;&gt;2,X12=0),"n.d.",X7/X12)</f>
        <v>0.15781948168007148</v>
      </c>
      <c r="AD7" s="7"/>
      <c r="AE7" s="7">
        <f>IF(OR(COUNT(Z7,Z12)&lt;&gt;2,Z12=0),"n.d.",Z7/Z12)</f>
        <v>0.0005279986605475581</v>
      </c>
      <c r="AF7" s="7"/>
    </row>
    <row r="8" spans="1:32" ht="13.5" customHeight="1">
      <c r="A8" s="12"/>
      <c r="R8" s="4"/>
      <c r="S8" s="4"/>
      <c r="T8" s="4"/>
      <c r="U8" s="15" t="s">
        <v>138</v>
      </c>
      <c r="V8" s="15"/>
      <c r="W8" s="15"/>
      <c r="X8" s="6">
        <f>IF(OR(SUMPRODUCT(--('Repartition stock'!$A$6:$A$94="2026Q2"),--('Repartition stock'!$B$6:$B$94="IT"),--('Repartition stock'!$E$6:$E$94="Tranche"),--('Repartition stock'!$F$6:$F$94="1 - 10 €"))=0,SUMPRODUCT(--('Repartition stock'!$A$6:$A$94="2026Q2"),--('Repartition stock'!$B$6:$B$94="IT"),--('Repartition stock'!$E$6:$E$94="Tranche"),--('Repartition stock'!$F$6:$F$94="1 - 10 €"),--('Repartition stock'!$G$6:$G$94="n.d."))&gt;0),"n.d.",SUMPRODUCT(--('Repartition stock'!$A$6:$A$94="2026Q2"),--('Repartition stock'!$B$6:$B$94="IT"),--('Repartition stock'!$E$6:$E$94="Tranche"),--('Repartition stock'!$F$6:$F$94="1 - 10 €"),'Repartition stock'!$G$6:$G$94))</f>
        <v>2368</v>
      </c>
      <c r="Y8" s="6"/>
      <c r="Z8" s="6">
        <f>IF(OR(SUMPRODUCT(--('Repartition stock'!$A$6:$A$94="2026Q2"),--('Repartition stock'!$B$6:$B$94="IT"),--('Repartition stock'!$E$6:$E$94="Tranche"),--('Repartition stock'!$F$6:$F$94="1 - 10 €"))=0,SUMPRODUCT(--('Repartition stock'!$A$6:$A$94="2026Q2"),--('Repartition stock'!$B$6:$B$94="IT"),--('Repartition stock'!$E$6:$E$94="Tranche"),--('Repartition stock'!$F$6:$F$94="1 - 10 €"),--('Repartition stock'!$J$6:$J$94="n.d."))&gt;0),"n.d.",SUMPRODUCT(--('Repartition stock'!$A$6:$A$94="2026Q2"),--('Repartition stock'!$B$6:$B$94="IT"),--('Repartition stock'!$E$6:$E$94="Tranche"),--('Repartition stock'!$F$6:$F$94="1 - 10 €"),'Repartition stock'!$J$6:$J$94))</f>
        <v>7036.99</v>
      </c>
      <c r="AA8" s="6"/>
      <c r="AB8" s="6"/>
      <c r="AC8" s="7">
        <f>IF(OR(COUNT(X8,X12)&lt;&gt;2,X12=0),"n.d.",X8/X12)</f>
        <v>0.4232350312779267</v>
      </c>
      <c r="AD8" s="7"/>
      <c r="AE8" s="7">
        <f>IF(OR(COUNT(Z8,Z12)&lt;&gt;2,Z12=0),"n.d.",Z8/Z12)</f>
        <v>0.008936697359742545</v>
      </c>
      <c r="AF8" s="7"/>
    </row>
    <row r="9" spans="1:32" ht="13.5" customHeight="1">
      <c r="A9" s="12"/>
      <c r="R9" s="4"/>
      <c r="S9" s="4"/>
      <c r="T9" s="4"/>
      <c r="U9" s="15" t="s">
        <v>140</v>
      </c>
      <c r="V9" s="15"/>
      <c r="W9" s="15"/>
      <c r="X9" s="6">
        <f>IF(OR(SUMPRODUCT(--('Repartition stock'!$A$6:$A$94="2026Q2"),--('Repartition stock'!$B$6:$B$94="IT"),--('Repartition stock'!$E$6:$E$94="Tranche"),--('Repartition stock'!$F$6:$F$94="10 - 100 €"))=0,SUMPRODUCT(--('Repartition stock'!$A$6:$A$94="2026Q2"),--('Repartition stock'!$B$6:$B$94="IT"),--('Repartition stock'!$E$6:$E$94="Tranche"),--('Repartition stock'!$F$6:$F$94="10 - 100 €"),--('Repartition stock'!$G$6:$G$94="n.d."))&gt;0),"n.d.",SUMPRODUCT(--('Repartition stock'!$A$6:$A$94="2026Q2"),--('Repartition stock'!$B$6:$B$94="IT"),--('Repartition stock'!$E$6:$E$94="Tranche"),--('Repartition stock'!$F$6:$F$94="10 - 100 €"),'Repartition stock'!$G$6:$G$94))</f>
        <v>490</v>
      </c>
      <c r="Y9" s="6"/>
      <c r="Z9" s="6">
        <f>IF(OR(SUMPRODUCT(--('Repartition stock'!$A$6:$A$94="2026Q2"),--('Repartition stock'!$B$6:$B$94="IT"),--('Repartition stock'!$E$6:$E$94="Tranche"),--('Repartition stock'!$F$6:$F$94="10 - 100 €"))=0,SUMPRODUCT(--('Repartition stock'!$A$6:$A$94="2026Q2"),--('Repartition stock'!$B$6:$B$94="IT"),--('Repartition stock'!$E$6:$E$94="Tranche"),--('Repartition stock'!$F$6:$F$94="10 - 100 €"),--('Repartition stock'!$J$6:$J$94="n.d."))&gt;0),"n.d.",SUMPRODUCT(--('Repartition stock'!$A$6:$A$94="2026Q2"),--('Repartition stock'!$B$6:$B$94="IT"),--('Repartition stock'!$E$6:$E$94="Tranche"),--('Repartition stock'!$F$6:$F$94="10 - 100 €"),'Repartition stock'!$J$6:$J$94))</f>
        <v>22684.66</v>
      </c>
      <c r="AA9" s="6"/>
      <c r="AB9" s="6"/>
      <c r="AC9" s="7">
        <f>IF(OR(COUNT(X9,X12)&lt;&gt;2,X12=0),"n.d.",X9/X12)</f>
        <v>0.08757819481680071</v>
      </c>
      <c r="AD9" s="7"/>
      <c r="AE9" s="7">
        <f>IF(OR(COUNT(Z9,Z12)&lt;&gt;2,Z12=0),"n.d.",Z9/Z12)</f>
        <v>0.028808615775872543</v>
      </c>
      <c r="AF9" s="7"/>
    </row>
    <row r="10" spans="1:32" ht="13.5" customHeight="1">
      <c r="A10" s="12"/>
      <c r="R10" s="4"/>
      <c r="S10" s="4"/>
      <c r="T10" s="4"/>
      <c r="U10" s="15" t="s">
        <v>142</v>
      </c>
      <c r="V10" s="15"/>
      <c r="W10" s="15"/>
      <c r="X10" s="6">
        <f>IF(OR(SUMPRODUCT(--('Repartition stock'!$A$6:$A$94="2026Q2"),--('Repartition stock'!$B$6:$B$94="IT"),--('Repartition stock'!$E$6:$E$94="Tranche"),--('Repartition stock'!$F$6:$F$94="100 - 1 000 €"))=0,SUMPRODUCT(--('Repartition stock'!$A$6:$A$94="2026Q2"),--('Repartition stock'!$B$6:$B$94="IT"),--('Repartition stock'!$E$6:$E$94="Tranche"),--('Repartition stock'!$F$6:$F$94="100 - 1 000 €"),--('Repartition stock'!$G$6:$G$94="n.d."))&gt;0),"n.d.",SUMPRODUCT(--('Repartition stock'!$A$6:$A$94="2026Q2"),--('Repartition stock'!$B$6:$B$94="IT"),--('Repartition stock'!$E$6:$E$94="Tranche"),--('Repartition stock'!$F$6:$F$94="100 - 1 000 €"),'Repartition stock'!$G$6:$G$94))</f>
        <v>1755</v>
      </c>
      <c r="Y10" s="6"/>
      <c r="Z10" s="6">
        <f>IF(OR(SUMPRODUCT(--('Repartition stock'!$A$6:$A$94="2026Q2"),--('Repartition stock'!$B$6:$B$94="IT"),--('Repartition stock'!$E$6:$E$94="Tranche"),--('Repartition stock'!$F$6:$F$94="100 - 1 000 €"))=0,SUMPRODUCT(--('Repartition stock'!$A$6:$A$94="2026Q2"),--('Repartition stock'!$B$6:$B$94="IT"),--('Repartition stock'!$E$6:$E$94="Tranche"),--('Repartition stock'!$F$6:$F$94="100 - 1 000 €"),--('Repartition stock'!$J$6:$J$94="n.d."))&gt;0),"n.d.",SUMPRODUCT(--('Repartition stock'!$A$6:$A$94="2026Q2"),--('Repartition stock'!$B$6:$B$94="IT"),--('Repartition stock'!$E$6:$E$94="Tranche"),--('Repartition stock'!$F$6:$F$94="100 - 1 000 €"),'Repartition stock'!$J$6:$J$94))</f>
        <v>510950.87</v>
      </c>
      <c r="AA10" s="6"/>
      <c r="AB10" s="6"/>
      <c r="AC10" s="7">
        <f>IF(OR(COUNT(X10,X12)&lt;&gt;2,X12=0),"n.d.",X10/X12)</f>
        <v>0.3136729222520107</v>
      </c>
      <c r="AD10" s="7"/>
      <c r="AE10" s="7">
        <f>IF(OR(COUNT(Z10,Z12)&lt;&gt;2,Z12=0),"n.d.",Z10/Z12)</f>
        <v>0.6488872786357742</v>
      </c>
      <c r="AF10" s="7"/>
    </row>
    <row r="11" spans="1:32" ht="13.5" customHeight="1">
      <c r="A11" s="12"/>
      <c r="R11" s="4"/>
      <c r="S11" s="4"/>
      <c r="T11" s="4"/>
      <c r="U11" s="15" t="s">
        <v>144</v>
      </c>
      <c r="V11" s="15"/>
      <c r="W11" s="15"/>
      <c r="X11" s="6">
        <f>IF(OR(SUMPRODUCT(--('Repartition stock'!$A$6:$A$94="2026Q2"),--('Repartition stock'!$B$6:$B$94="IT"),--('Repartition stock'!$E$6:$E$94="Tranche"),--('Repartition stock'!$F$6:$F$94="&gt; 1 000 €"))=0,SUMPRODUCT(--('Repartition stock'!$A$6:$A$94="2026Q2"),--('Repartition stock'!$B$6:$B$94="IT"),--('Repartition stock'!$E$6:$E$94="Tranche"),--('Repartition stock'!$F$6:$F$94="&gt; 1 000 €"),--('Repartition stock'!$G$6:$G$94="n.d."))&gt;0),"n.d.",SUMPRODUCT(--('Repartition stock'!$A$6:$A$94="2026Q2"),--('Repartition stock'!$B$6:$B$94="IT"),--('Repartition stock'!$E$6:$E$94="Tranche"),--('Repartition stock'!$F$6:$F$94="&gt; 1 000 €"),'Repartition stock'!$G$6:$G$94))</f>
        <v>99</v>
      </c>
      <c r="Y11" s="6"/>
      <c r="Z11" s="6">
        <f>IF(OR(SUMPRODUCT(--('Repartition stock'!$A$6:$A$94="2026Q2"),--('Repartition stock'!$B$6:$B$94="IT"),--('Repartition stock'!$E$6:$E$94="Tranche"),--('Repartition stock'!$F$6:$F$94="&gt; 1 000 €"))=0,SUMPRODUCT(--('Repartition stock'!$A$6:$A$94="2026Q2"),--('Repartition stock'!$B$6:$B$94="IT"),--('Repartition stock'!$E$6:$E$94="Tranche"),--('Repartition stock'!$F$6:$F$94="&gt; 1 000 €"),--('Repartition stock'!$J$6:$J$94="n.d."))&gt;0),"n.d.",SUMPRODUCT(--('Repartition stock'!$A$6:$A$94="2026Q2"),--('Repartition stock'!$B$6:$B$94="IT"),--('Repartition stock'!$E$6:$E$94="Tranche"),--('Repartition stock'!$F$6:$F$94="&gt; 1 000 €"),'Repartition stock'!$J$6:$J$94))</f>
        <v>246337.96</v>
      </c>
      <c r="AA11" s="6"/>
      <c r="AB11" s="6"/>
      <c r="AC11" s="7">
        <f>IF(OR(COUNT(X11,X12)&lt;&gt;2,X12=0),"n.d.",X11/X12)</f>
        <v>0.01769436997319035</v>
      </c>
      <c r="AD11" s="7"/>
      <c r="AE11" s="7">
        <f>IF(OR(COUNT(Z11,Z12)&lt;&gt;2,Z12=0),"n.d.",Z11/Z12)</f>
        <v>0.31283940956806316</v>
      </c>
      <c r="AF11" s="7"/>
    </row>
    <row r="12" spans="1:32" ht="13.5" customHeight="1">
      <c r="A12" s="12"/>
      <c r="R12" s="8" t="s">
        <v>461</v>
      </c>
      <c r="S12" s="8"/>
      <c r="T12" s="8"/>
      <c r="U12" s="8"/>
      <c r="V12" s="8"/>
      <c r="W12" s="8"/>
      <c r="X12" s="8">
        <f>IF(COUNT(X7:X11)=5,SUM(X7:X11),"n.d.")</f>
        <v>5595</v>
      </c>
      <c r="Y12" s="8"/>
      <c r="Z12" s="8">
        <f>IF(COUNT(Z7:Z11)=5,SUM(Z7:Z11),"n.d.")</f>
        <v>787426.24</v>
      </c>
      <c r="AA12" s="8"/>
      <c r="AB12" s="8"/>
      <c r="AC12" s="9">
        <f>IF(OR(NOT(ISNUMBER(X12)),X12=0),"n.d.",1)</f>
        <v>1.0</v>
      </c>
      <c r="AD12" s="9"/>
      <c r="AE12" s="9">
        <f>IF(OR(NOT(ISNUMBER(Z12)),Z12=0),"n.d.",1)</f>
        <v>1.0</v>
      </c>
      <c r="AF12" s="9"/>
    </row>
    <row r="13" spans="1:32" ht="13.5" customHeight="1">
      <c r="A13" s="12"/>
    </row>
    <row r="14" spans="1:32" ht="13.5" customHeight="1">
      <c r="A14" s="12"/>
      <c r="R14" s="4" t="s">
        <v>462</v>
      </c>
      <c r="S14" s="4"/>
      <c r="T14" s="4"/>
      <c r="U14" s="15" t="s">
        <v>146</v>
      </c>
      <c r="V14" s="15"/>
      <c r="W14" s="15"/>
      <c r="X14" s="6" t="str">
        <f>IF(OR(SUMPRODUCT(--('Repartition stock'!$A$6:$A$94="2026Q2"),--('Repartition stock'!$B$6:$B$94="IT"),--('Repartition stock'!$E$6:$E$94="Millésime"),--('Repartition stock'!$F$6:$F$94="&lt;2018"))=0,SUMPRODUCT(--('Repartition stock'!$A$6:$A$94="2026Q2"),--('Repartition stock'!$B$6:$B$94="IT"),--('Repartition stock'!$E$6:$E$94="Millésime"),--('Repartition stock'!$F$6:$F$94="&lt;2018"),--('Repartition stock'!$G$6:$G$94="n.d."))&gt;0),"n.d.",SUMPRODUCT(--('Repartition stock'!$A$6:$A$94="2026Q2"),--('Repartition stock'!$B$6:$B$94="IT"),--('Repartition stock'!$E$6:$E$94="Millésime"),--('Repartition stock'!$F$6:$F$94="&lt;2018"),'Repartition stock'!$G$6:$G$94))</f>
        <v>n.d.</v>
      </c>
      <c r="Y14" s="6"/>
      <c r="Z14" s="6" t="str">
        <f>IF(OR(SUMPRODUCT(--('Repartition stock'!$A$6:$A$94="2026Q2"),--('Repartition stock'!$B$6:$B$94="IT"),--('Repartition stock'!$E$6:$E$94="Millésime"),--('Repartition stock'!$F$6:$F$94="&lt;2018"))=0,SUMPRODUCT(--('Repartition stock'!$A$6:$A$94="2026Q2"),--('Repartition stock'!$B$6:$B$94="IT"),--('Repartition stock'!$E$6:$E$94="Millésime"),--('Repartition stock'!$F$6:$F$94="&lt;2018"),--('Repartition stock'!$J$6:$J$94="n.d."))&gt;0),"n.d.",SUMPRODUCT(--('Repartition stock'!$A$6:$A$94="2026Q2"),--('Repartition stock'!$B$6:$B$94="IT"),--('Repartition stock'!$E$6:$E$94="Millésime"),--('Repartition stock'!$F$6:$F$94="&lt;2018"),'Repartition stock'!$J$6:$J$94))</f>
        <v>n.d.</v>
      </c>
      <c r="AA14" s="6"/>
      <c r="AB14" s="6"/>
      <c r="AC14" s="7" t="str">
        <f>IF(OR(COUNT(X14,X24)&lt;&gt;2,X24=0),"n.d.",X14/X24)</f>
        <v>n.d.</v>
      </c>
      <c r="AD14" s="7"/>
      <c r="AE14" s="7" t="str">
        <f>IF(OR(COUNT(Z14,Z24)&lt;&gt;2,Z24=0),"n.d.",Z14/Z24)</f>
        <v>n.d.</v>
      </c>
      <c r="AF14" s="7"/>
    </row>
    <row r="15" spans="1:32" ht="13.5" customHeight="1">
      <c r="A15" s="12"/>
      <c r="R15" s="4"/>
      <c r="S15" s="4"/>
      <c r="T15" s="4"/>
      <c r="U15" s="15" t="s">
        <v>148</v>
      </c>
      <c r="V15" s="15"/>
      <c r="W15" s="15"/>
      <c r="X15" s="6" t="str">
        <f>IF(OR(SUMPRODUCT(--('Repartition stock'!$A$6:$A$94="2026Q2"),--('Repartition stock'!$B$6:$B$94="IT"),--('Repartition stock'!$E$6:$E$94="Millésime"),--('Repartition stock'!$F$6:$F$94="2018"))=0,SUMPRODUCT(--('Repartition stock'!$A$6:$A$94="2026Q2"),--('Repartition stock'!$B$6:$B$94="IT"),--('Repartition stock'!$E$6:$E$94="Millésime"),--('Repartition stock'!$F$6:$F$94="2018"),--('Repartition stock'!$G$6:$G$94="n.d."))&gt;0),"n.d.",SUMPRODUCT(--('Repartition stock'!$A$6:$A$94="2026Q2"),--('Repartition stock'!$B$6:$B$94="IT"),--('Repartition stock'!$E$6:$E$94="Millésime"),--('Repartition stock'!$F$6:$F$94="2018"),'Repartition stock'!$G$6:$G$94))</f>
        <v>n.d.</v>
      </c>
      <c r="Y15" s="6"/>
      <c r="Z15" s="6" t="str">
        <f>IF(OR(SUMPRODUCT(--('Repartition stock'!$A$6:$A$94="2026Q2"),--('Repartition stock'!$B$6:$B$94="IT"),--('Repartition stock'!$E$6:$E$94="Millésime"),--('Repartition stock'!$F$6:$F$94="2018"))=0,SUMPRODUCT(--('Repartition stock'!$A$6:$A$94="2026Q2"),--('Repartition stock'!$B$6:$B$94="IT"),--('Repartition stock'!$E$6:$E$94="Millésime"),--('Repartition stock'!$F$6:$F$94="2018"),--('Repartition stock'!$J$6:$J$94="n.d."))&gt;0),"n.d.",SUMPRODUCT(--('Repartition stock'!$A$6:$A$94="2026Q2"),--('Repartition stock'!$B$6:$B$94="IT"),--('Repartition stock'!$E$6:$E$94="Millésime"),--('Repartition stock'!$F$6:$F$94="2018"),'Repartition stock'!$J$6:$J$94))</f>
        <v>n.d.</v>
      </c>
      <c r="AA15" s="6"/>
      <c r="AB15" s="6"/>
      <c r="AC15" s="7" t="str">
        <f>IF(OR(COUNT(X15,X24)&lt;&gt;2,X24=0),"n.d.",X15/X24)</f>
        <v>n.d.</v>
      </c>
      <c r="AD15" s="7"/>
      <c r="AE15" s="7" t="str">
        <f>IF(OR(COUNT(Z15,Z24)&lt;&gt;2,Z24=0),"n.d.",Z15/Z24)</f>
        <v>n.d.</v>
      </c>
      <c r="AF15" s="7"/>
    </row>
    <row r="16" spans="1:32" ht="13.5" customHeight="1">
      <c r="A16" s="12"/>
      <c r="R16" s="4"/>
      <c r="S16" s="4"/>
      <c r="T16" s="4"/>
      <c r="U16" s="15" t="s">
        <v>150</v>
      </c>
      <c r="V16" s="15"/>
      <c r="W16" s="15"/>
      <c r="X16" s="6" t="str">
        <f>IF(OR(SUMPRODUCT(--('Repartition stock'!$A$6:$A$94="2026Q2"),--('Repartition stock'!$B$6:$B$94="IT"),--('Repartition stock'!$E$6:$E$94="Millésime"),--('Repartition stock'!$F$6:$F$94="2019"))=0,SUMPRODUCT(--('Repartition stock'!$A$6:$A$94="2026Q2"),--('Repartition stock'!$B$6:$B$94="IT"),--('Repartition stock'!$E$6:$E$94="Millésime"),--('Repartition stock'!$F$6:$F$94="2019"),--('Repartition stock'!$G$6:$G$94="n.d."))&gt;0),"n.d.",SUMPRODUCT(--('Repartition stock'!$A$6:$A$94="2026Q2"),--('Repartition stock'!$B$6:$B$94="IT"),--('Repartition stock'!$E$6:$E$94="Millésime"),--('Repartition stock'!$F$6:$F$94="2019"),'Repartition stock'!$G$6:$G$94))</f>
        <v>n.d.</v>
      </c>
      <c r="Y16" s="6"/>
      <c r="Z16" s="6" t="str">
        <f>IF(OR(SUMPRODUCT(--('Repartition stock'!$A$6:$A$94="2026Q2"),--('Repartition stock'!$B$6:$B$94="IT"),--('Repartition stock'!$E$6:$E$94="Millésime"),--('Repartition stock'!$F$6:$F$94="2019"))=0,SUMPRODUCT(--('Repartition stock'!$A$6:$A$94="2026Q2"),--('Repartition stock'!$B$6:$B$94="IT"),--('Repartition stock'!$E$6:$E$94="Millésime"),--('Repartition stock'!$F$6:$F$94="2019"),--('Repartition stock'!$J$6:$J$94="n.d."))&gt;0),"n.d.",SUMPRODUCT(--('Repartition stock'!$A$6:$A$94="2026Q2"),--('Repartition stock'!$B$6:$B$94="IT"),--('Repartition stock'!$E$6:$E$94="Millésime"),--('Repartition stock'!$F$6:$F$94="2019"),'Repartition stock'!$J$6:$J$94))</f>
        <v>n.d.</v>
      </c>
      <c r="AA16" s="6"/>
      <c r="AB16" s="6"/>
      <c r="AC16" s="7" t="str">
        <f>IF(OR(COUNT(X16,X24)&lt;&gt;2,X24=0),"n.d.",X16/X24)</f>
        <v>n.d.</v>
      </c>
      <c r="AD16" s="7"/>
      <c r="AE16" s="7" t="str">
        <f>IF(OR(COUNT(Z16,Z24)&lt;&gt;2,Z24=0),"n.d.",Z16/Z24)</f>
        <v>n.d.</v>
      </c>
      <c r="AF16" s="7"/>
    </row>
    <row r="17" spans="1:32" ht="13.5" customHeight="1">
      <c r="A17" s="12"/>
      <c r="R17" s="4"/>
      <c r="S17" s="4"/>
      <c r="T17" s="4"/>
      <c r="U17" s="15" t="s">
        <v>152</v>
      </c>
      <c r="V17" s="15"/>
      <c r="W17" s="15"/>
      <c r="X17" s="6" t="str">
        <f>IF(OR(SUMPRODUCT(--('Repartition stock'!$A$6:$A$94="2026Q2"),--('Repartition stock'!$B$6:$B$94="IT"),--('Repartition stock'!$E$6:$E$94="Millésime"),--('Repartition stock'!$F$6:$F$94="2020"))=0,SUMPRODUCT(--('Repartition stock'!$A$6:$A$94="2026Q2"),--('Repartition stock'!$B$6:$B$94="IT"),--('Repartition stock'!$E$6:$E$94="Millésime"),--('Repartition stock'!$F$6:$F$94="2020"),--('Repartition stock'!$G$6:$G$94="n.d."))&gt;0),"n.d.",SUMPRODUCT(--('Repartition stock'!$A$6:$A$94="2026Q2"),--('Repartition stock'!$B$6:$B$94="IT"),--('Repartition stock'!$E$6:$E$94="Millésime"),--('Repartition stock'!$F$6:$F$94="2020"),'Repartition stock'!$G$6:$G$94))</f>
        <v>n.d.</v>
      </c>
      <c r="Y17" s="6"/>
      <c r="Z17" s="6" t="str">
        <f>IF(OR(SUMPRODUCT(--('Repartition stock'!$A$6:$A$94="2026Q2"),--('Repartition stock'!$B$6:$B$94="IT"),--('Repartition stock'!$E$6:$E$94="Millésime"),--('Repartition stock'!$F$6:$F$94="2020"))=0,SUMPRODUCT(--('Repartition stock'!$A$6:$A$94="2026Q2"),--('Repartition stock'!$B$6:$B$94="IT"),--('Repartition stock'!$E$6:$E$94="Millésime"),--('Repartition stock'!$F$6:$F$94="2020"),--('Repartition stock'!$J$6:$J$94="n.d."))&gt;0),"n.d.",SUMPRODUCT(--('Repartition stock'!$A$6:$A$94="2026Q2"),--('Repartition stock'!$B$6:$B$94="IT"),--('Repartition stock'!$E$6:$E$94="Millésime"),--('Repartition stock'!$F$6:$F$94="2020"),'Repartition stock'!$J$6:$J$94))</f>
        <v>n.d.</v>
      </c>
      <c r="AA17" s="6"/>
      <c r="AB17" s="6"/>
      <c r="AC17" s="7" t="str">
        <f>IF(OR(COUNT(X17,X24)&lt;&gt;2,X24=0),"n.d.",X17/X24)</f>
        <v>n.d.</v>
      </c>
      <c r="AD17" s="7"/>
      <c r="AE17" s="7" t="str">
        <f>IF(OR(COUNT(Z17,Z24)&lt;&gt;2,Z24=0),"n.d.",Z17/Z24)</f>
        <v>n.d.</v>
      </c>
      <c r="AF17" s="7"/>
    </row>
    <row r="18" spans="1:32" ht="13.5" customHeight="1">
      <c r="A18" s="12"/>
      <c r="R18" s="4"/>
      <c r="S18" s="4"/>
      <c r="T18" s="4"/>
      <c r="U18" s="15" t="s">
        <v>154</v>
      </c>
      <c r="V18" s="15"/>
      <c r="W18" s="15"/>
      <c r="X18" s="6" t="str">
        <f>IF(OR(SUMPRODUCT(--('Repartition stock'!$A$6:$A$94="2026Q2"),--('Repartition stock'!$B$6:$B$94="IT"),--('Repartition stock'!$E$6:$E$94="Millésime"),--('Repartition stock'!$F$6:$F$94="2021"))=0,SUMPRODUCT(--('Repartition stock'!$A$6:$A$94="2026Q2"),--('Repartition stock'!$B$6:$B$94="IT"),--('Repartition stock'!$E$6:$E$94="Millésime"),--('Repartition stock'!$F$6:$F$94="2021"),--('Repartition stock'!$G$6:$G$94="n.d."))&gt;0),"n.d.",SUMPRODUCT(--('Repartition stock'!$A$6:$A$94="2026Q2"),--('Repartition stock'!$B$6:$B$94="IT"),--('Repartition stock'!$E$6:$E$94="Millésime"),--('Repartition stock'!$F$6:$F$94="2021"),'Repartition stock'!$G$6:$G$94))</f>
        <v>n.d.</v>
      </c>
      <c r="Y18" s="6"/>
      <c r="Z18" s="6" t="str">
        <f>IF(OR(SUMPRODUCT(--('Repartition stock'!$A$6:$A$94="2026Q2"),--('Repartition stock'!$B$6:$B$94="IT"),--('Repartition stock'!$E$6:$E$94="Millésime"),--('Repartition stock'!$F$6:$F$94="2021"))=0,SUMPRODUCT(--('Repartition stock'!$A$6:$A$94="2026Q2"),--('Repartition stock'!$B$6:$B$94="IT"),--('Repartition stock'!$E$6:$E$94="Millésime"),--('Repartition stock'!$F$6:$F$94="2021"),--('Repartition stock'!$J$6:$J$94="n.d."))&gt;0),"n.d.",SUMPRODUCT(--('Repartition stock'!$A$6:$A$94="2026Q2"),--('Repartition stock'!$B$6:$B$94="IT"),--('Repartition stock'!$E$6:$E$94="Millésime"),--('Repartition stock'!$F$6:$F$94="2021"),'Repartition stock'!$J$6:$J$94))</f>
        <v>n.d.</v>
      </c>
      <c r="AA18" s="6"/>
      <c r="AB18" s="6"/>
      <c r="AC18" s="7" t="str">
        <f>IF(OR(COUNT(X18,X24)&lt;&gt;2,X24=0),"n.d.",X18/X24)</f>
        <v>n.d.</v>
      </c>
      <c r="AD18" s="7"/>
      <c r="AE18" s="7" t="str">
        <f>IF(OR(COUNT(Z18,Z24)&lt;&gt;2,Z24=0),"n.d.",Z18/Z24)</f>
        <v>n.d.</v>
      </c>
      <c r="AF18" s="7"/>
    </row>
    <row r="19" spans="1:32" ht="13.5" customHeight="1">
      <c r="A19" s="12"/>
      <c r="R19" s="4"/>
      <c r="S19" s="4"/>
      <c r="T19" s="4"/>
      <c r="U19" s="15" t="s">
        <v>156</v>
      </c>
      <c r="V19" s="15"/>
      <c r="W19" s="15"/>
      <c r="X19" s="6" t="str">
        <f>IF(OR(SUMPRODUCT(--('Repartition stock'!$A$6:$A$94="2026Q2"),--('Repartition stock'!$B$6:$B$94="IT"),--('Repartition stock'!$E$6:$E$94="Millésime"),--('Repartition stock'!$F$6:$F$94="2022"))=0,SUMPRODUCT(--('Repartition stock'!$A$6:$A$94="2026Q2"),--('Repartition stock'!$B$6:$B$94="IT"),--('Repartition stock'!$E$6:$E$94="Millésime"),--('Repartition stock'!$F$6:$F$94="2022"),--('Repartition stock'!$G$6:$G$94="n.d."))&gt;0),"n.d.",SUMPRODUCT(--('Repartition stock'!$A$6:$A$94="2026Q2"),--('Repartition stock'!$B$6:$B$94="IT"),--('Repartition stock'!$E$6:$E$94="Millésime"),--('Repartition stock'!$F$6:$F$94="2022"),'Repartition stock'!$G$6:$G$94))</f>
        <v>n.d.</v>
      </c>
      <c r="Y19" s="6"/>
      <c r="Z19" s="6" t="str">
        <f>IF(OR(SUMPRODUCT(--('Repartition stock'!$A$6:$A$94="2026Q2"),--('Repartition stock'!$B$6:$B$94="IT"),--('Repartition stock'!$E$6:$E$94="Millésime"),--('Repartition stock'!$F$6:$F$94="2022"))=0,SUMPRODUCT(--('Repartition stock'!$A$6:$A$94="2026Q2"),--('Repartition stock'!$B$6:$B$94="IT"),--('Repartition stock'!$E$6:$E$94="Millésime"),--('Repartition stock'!$F$6:$F$94="2022"),--('Repartition stock'!$J$6:$J$94="n.d."))&gt;0),"n.d.",SUMPRODUCT(--('Repartition stock'!$A$6:$A$94="2026Q2"),--('Repartition stock'!$B$6:$B$94="IT"),--('Repartition stock'!$E$6:$E$94="Millésime"),--('Repartition stock'!$F$6:$F$94="2022"),'Repartition stock'!$J$6:$J$94))</f>
        <v>n.d.</v>
      </c>
      <c r="AA19" s="6"/>
      <c r="AB19" s="6"/>
      <c r="AC19" s="7" t="str">
        <f>IF(OR(COUNT(X19,X24)&lt;&gt;2,X24=0),"n.d.",X19/X24)</f>
        <v>n.d.</v>
      </c>
      <c r="AD19" s="7"/>
      <c r="AE19" s="7" t="str">
        <f>IF(OR(COUNT(Z19,Z24)&lt;&gt;2,Z24=0),"n.d.",Z19/Z24)</f>
        <v>n.d.</v>
      </c>
      <c r="AF19" s="7"/>
    </row>
    <row r="20" spans="1:32" ht="13.5" customHeight="1">
      <c r="A20" s="12"/>
      <c r="R20" s="4"/>
      <c r="S20" s="4"/>
      <c r="T20" s="4"/>
      <c r="U20" s="15" t="s">
        <v>158</v>
      </c>
      <c r="V20" s="15"/>
      <c r="W20" s="15"/>
      <c r="X20" s="6" t="str">
        <f>IF(OR(SUMPRODUCT(--('Repartition stock'!$A$6:$A$94="2026Q2"),--('Repartition stock'!$B$6:$B$94="IT"),--('Repartition stock'!$E$6:$E$94="Millésime"),--('Repartition stock'!$F$6:$F$94="2023"))=0,SUMPRODUCT(--('Repartition stock'!$A$6:$A$94="2026Q2"),--('Repartition stock'!$B$6:$B$94="IT"),--('Repartition stock'!$E$6:$E$94="Millésime"),--('Repartition stock'!$F$6:$F$94="2023"),--('Repartition stock'!$G$6:$G$94="n.d."))&gt;0),"n.d.",SUMPRODUCT(--('Repartition stock'!$A$6:$A$94="2026Q2"),--('Repartition stock'!$B$6:$B$94="IT"),--('Repartition stock'!$E$6:$E$94="Millésime"),--('Repartition stock'!$F$6:$F$94="2023"),'Repartition stock'!$G$6:$G$94))</f>
        <v>n.d.</v>
      </c>
      <c r="Y20" s="6"/>
      <c r="Z20" s="6" t="str">
        <f>IF(OR(SUMPRODUCT(--('Repartition stock'!$A$6:$A$94="2026Q2"),--('Repartition stock'!$B$6:$B$94="IT"),--('Repartition stock'!$E$6:$E$94="Millésime"),--('Repartition stock'!$F$6:$F$94="2023"))=0,SUMPRODUCT(--('Repartition stock'!$A$6:$A$94="2026Q2"),--('Repartition stock'!$B$6:$B$94="IT"),--('Repartition stock'!$E$6:$E$94="Millésime"),--('Repartition stock'!$F$6:$F$94="2023"),--('Repartition stock'!$J$6:$J$94="n.d."))&gt;0),"n.d.",SUMPRODUCT(--('Repartition stock'!$A$6:$A$94="2026Q2"),--('Repartition stock'!$B$6:$B$94="IT"),--('Repartition stock'!$E$6:$E$94="Millésime"),--('Repartition stock'!$F$6:$F$94="2023"),'Repartition stock'!$J$6:$J$94))</f>
        <v>n.d.</v>
      </c>
      <c r="AA20" s="6"/>
      <c r="AB20" s="6"/>
      <c r="AC20" s="7" t="str">
        <f>IF(OR(COUNT(X20,X24)&lt;&gt;2,X24=0),"n.d.",X20/X24)</f>
        <v>n.d.</v>
      </c>
      <c r="AD20" s="7"/>
      <c r="AE20" s="7" t="str">
        <f>IF(OR(COUNT(Z20,Z24)&lt;&gt;2,Z24=0),"n.d.",Z20/Z24)</f>
        <v>n.d.</v>
      </c>
      <c r="AF20" s="7"/>
    </row>
    <row r="21" spans="1:32" ht="13.5" customHeight="1">
      <c r="A21" s="12"/>
      <c r="R21" s="4"/>
      <c r="S21" s="4"/>
      <c r="T21" s="4"/>
      <c r="U21" s="15" t="s">
        <v>64</v>
      </c>
      <c r="V21" s="15"/>
      <c r="W21" s="15"/>
      <c r="X21" s="6" t="str">
        <f>IF(OR(SUMPRODUCT(--('Repartition stock'!$A$6:$A$94="2026Q2"),--('Repartition stock'!$B$6:$B$94="IT"),--('Repartition stock'!$E$6:$E$94="Millésime"),--('Repartition stock'!$F$6:$F$94="2024"))=0,SUMPRODUCT(--('Repartition stock'!$A$6:$A$94="2026Q2"),--('Repartition stock'!$B$6:$B$94="IT"),--('Repartition stock'!$E$6:$E$94="Millésime"),--('Repartition stock'!$F$6:$F$94="2024"),--('Repartition stock'!$G$6:$G$94="n.d."))&gt;0),"n.d.",SUMPRODUCT(--('Repartition stock'!$A$6:$A$94="2026Q2"),--('Repartition stock'!$B$6:$B$94="IT"),--('Repartition stock'!$E$6:$E$94="Millésime"),--('Repartition stock'!$F$6:$F$94="2024"),'Repartition stock'!$G$6:$G$94))</f>
        <v>n.d.</v>
      </c>
      <c r="Y21" s="6"/>
      <c r="Z21" s="6" t="str">
        <f>IF(OR(SUMPRODUCT(--('Repartition stock'!$A$6:$A$94="2026Q2"),--('Repartition stock'!$B$6:$B$94="IT"),--('Repartition stock'!$E$6:$E$94="Millésime"),--('Repartition stock'!$F$6:$F$94="2024"))=0,SUMPRODUCT(--('Repartition stock'!$A$6:$A$94="2026Q2"),--('Repartition stock'!$B$6:$B$94="IT"),--('Repartition stock'!$E$6:$E$94="Millésime"),--('Repartition stock'!$F$6:$F$94="2024"),--('Repartition stock'!$J$6:$J$94="n.d."))&gt;0),"n.d.",SUMPRODUCT(--('Repartition stock'!$A$6:$A$94="2026Q2"),--('Repartition stock'!$B$6:$B$94="IT"),--('Repartition stock'!$E$6:$E$94="Millésime"),--('Repartition stock'!$F$6:$F$94="2024"),'Repartition stock'!$J$6:$J$94))</f>
        <v>n.d.</v>
      </c>
      <c r="AA21" s="6"/>
      <c r="AB21" s="6"/>
      <c r="AC21" s="7" t="str">
        <f>IF(OR(COUNT(X21,X24)&lt;&gt;2,X24=0),"n.d.",X21/X24)</f>
        <v>n.d.</v>
      </c>
      <c r="AD21" s="7"/>
      <c r="AE21" s="7" t="str">
        <f>IF(OR(COUNT(Z21,Z24)&lt;&gt;2,Z24=0),"n.d.",Z21/Z24)</f>
        <v>n.d.</v>
      </c>
      <c r="AF21" s="7"/>
    </row>
    <row r="22" spans="1:32" ht="13.5" customHeight="1">
      <c r="A22" s="12"/>
      <c r="R22" s="4"/>
      <c r="S22" s="4"/>
      <c r="T22" s="4"/>
      <c r="U22" s="15" t="s">
        <v>46</v>
      </c>
      <c r="V22" s="15"/>
      <c r="W22" s="15"/>
      <c r="X22" s="6">
        <f>IF(OR(SUMPRODUCT(--('Repartition stock'!$A$6:$A$94="2026Q2"),--('Repartition stock'!$B$6:$B$94="IT"),--('Repartition stock'!$E$6:$E$94="Millésime"),--('Repartition stock'!$F$6:$F$94="2025"))=0,SUMPRODUCT(--('Repartition stock'!$A$6:$A$94="2026Q2"),--('Repartition stock'!$B$6:$B$94="IT"),--('Repartition stock'!$E$6:$E$94="Millésime"),--('Repartition stock'!$F$6:$F$94="2025"),--('Repartition stock'!$G$6:$G$94="n.d."))&gt;0),"n.d.",SUMPRODUCT(--('Repartition stock'!$A$6:$A$94="2026Q2"),--('Repartition stock'!$B$6:$B$94="IT"),--('Repartition stock'!$E$6:$E$94="Millésime"),--('Repartition stock'!$F$6:$F$94="2025"),'Repartition stock'!$G$6:$G$94))</f>
        <v>1561</v>
      </c>
      <c r="Y22" s="6"/>
      <c r="Z22" s="6">
        <f>IF(OR(SUMPRODUCT(--('Repartition stock'!$A$6:$A$94="2026Q2"),--('Repartition stock'!$B$6:$B$94="IT"),--('Repartition stock'!$E$6:$E$94="Millésime"),--('Repartition stock'!$F$6:$F$94="2025"))=0,SUMPRODUCT(--('Repartition stock'!$A$6:$A$94="2026Q2"),--('Repartition stock'!$B$6:$B$94="IT"),--('Repartition stock'!$E$6:$E$94="Millésime"),--('Repartition stock'!$F$6:$F$94="2025"),--('Repartition stock'!$J$6:$J$94="n.d."))&gt;0),"n.d.",SUMPRODUCT(--('Repartition stock'!$A$6:$A$94="2026Q2"),--('Repartition stock'!$B$6:$B$94="IT"),--('Repartition stock'!$E$6:$E$94="Millésime"),--('Repartition stock'!$F$6:$F$94="2025"),'Repartition stock'!$J$6:$J$94))</f>
        <v>137167.63000000268</v>
      </c>
      <c r="AA22" s="6"/>
      <c r="AB22" s="6"/>
      <c r="AC22" s="7">
        <f>IF(OR(COUNT(X22,X24)&lt;&gt;2,X24=0),"n.d.",X22/X24)</f>
        <v>0.27899910634495084</v>
      </c>
      <c r="AD22" s="7"/>
      <c r="AE22" s="7">
        <f>IF(OR(COUNT(Z22,Z24)&lt;&gt;2,Z24=0),"n.d.",Z22/Z24)</f>
        <v>0.17419743340024096</v>
      </c>
      <c r="AF22" s="7"/>
    </row>
    <row r="23" spans="1:32" ht="13.5" customHeight="1">
      <c r="A23" s="12"/>
      <c r="R23" s="4"/>
      <c r="S23" s="4"/>
      <c r="T23" s="4"/>
      <c r="U23" s="15" t="s">
        <v>48</v>
      </c>
      <c r="V23" s="15"/>
      <c r="W23" s="15"/>
      <c r="X23" s="6">
        <f>IF(OR(SUMPRODUCT(--('Repartition stock'!$A$6:$A$94="2026Q2"),--('Repartition stock'!$B$6:$B$94="IT"),--('Repartition stock'!$E$6:$E$94="Millésime"),--('Repartition stock'!$F$6:$F$94="2026"))=0,SUMPRODUCT(--('Repartition stock'!$A$6:$A$94="2026Q2"),--('Repartition stock'!$B$6:$B$94="IT"),--('Repartition stock'!$E$6:$E$94="Millésime"),--('Repartition stock'!$F$6:$F$94="2026"),--('Repartition stock'!$G$6:$G$94="n.d."))&gt;0),"n.d.",SUMPRODUCT(--('Repartition stock'!$A$6:$A$94="2026Q2"),--('Repartition stock'!$B$6:$B$94="IT"),--('Repartition stock'!$E$6:$E$94="Millésime"),--('Repartition stock'!$F$6:$F$94="2026"),'Repartition stock'!$G$6:$G$94))</f>
        <v>4034</v>
      </c>
      <c r="Y23" s="6"/>
      <c r="Z23" s="6">
        <f>IF(OR(SUMPRODUCT(--('Repartition stock'!$A$6:$A$94="2026Q2"),--('Repartition stock'!$B$6:$B$94="IT"),--('Repartition stock'!$E$6:$E$94="Millésime"),--('Repartition stock'!$F$6:$F$94="2026"))=0,SUMPRODUCT(--('Repartition stock'!$A$6:$A$94="2026Q2"),--('Repartition stock'!$B$6:$B$94="IT"),--('Repartition stock'!$E$6:$E$94="Millésime"),--('Repartition stock'!$F$6:$F$94="2026"),--('Repartition stock'!$J$6:$J$94="n.d."))&gt;0),"n.d.",SUMPRODUCT(--('Repartition stock'!$A$6:$A$94="2026Q2"),--('Repartition stock'!$B$6:$B$94="IT"),--('Repartition stock'!$E$6:$E$94="Millésime"),--('Repartition stock'!$F$6:$F$94="2026"),'Repartition stock'!$J$6:$J$94))</f>
        <v>650258.6100000003</v>
      </c>
      <c r="AA23" s="6"/>
      <c r="AB23" s="6"/>
      <c r="AC23" s="7">
        <f>IF(OR(COUNT(X23,X24)&lt;&gt;2,X24=0),"n.d.",X23/X24)</f>
        <v>0.7210008936550492</v>
      </c>
      <c r="AD23" s="7"/>
      <c r="AE23" s="7">
        <f>IF(OR(COUNT(Z23,Z24)&lt;&gt;2,Z24=0),"n.d.",Z23/Z24)</f>
        <v>0.825802566599759</v>
      </c>
      <c r="AF23" s="7"/>
    </row>
    <row r="24" spans="1:32" ht="13.5" customHeight="1">
      <c r="A24" s="12"/>
      <c r="R24" s="8" t="s">
        <v>461</v>
      </c>
      <c r="S24" s="8"/>
      <c r="T24" s="8"/>
      <c r="U24" s="8"/>
      <c r="V24" s="8"/>
      <c r="W24" s="8"/>
      <c r="X24" s="8">
        <f>'Presentation inputs'!D9</f>
        <v>5595</v>
      </c>
      <c r="Y24" s="8"/>
      <c r="Z24" s="8">
        <f>IF(ISNUMBER('Presentation inputs'!E9),'Presentation inputs'!E9/(IF(OR(COUNTIFS('Consolidation'!$A$6:$A$11,"2026Q2",'Consolidation'!$B$6:$B$11,"IT")&lt;&gt;1,COUNTIFS('Consolidation'!$A$6:$A$11,"2026Q2",'Consolidation'!$B$6:$B$11,"IT",'Consolidation'!$E$6:$E$11,"n.d.")&gt;0),"n.d.",SUMIFS('Consolidation'!$E$6:$E$11,'Consolidation'!$A$6:$A$11,"2026Q2",'Consolidation'!$B$6:$B$11,"IT"))),"n.d.")</f>
        <v>787426.240000003</v>
      </c>
      <c r="AA24" s="8"/>
      <c r="AB24" s="8"/>
      <c r="AC24" s="9">
        <f>IF(OR(NOT(ISNUMBER(X24)),X24=0),"n.d.",1)</f>
        <v>1.0</v>
      </c>
      <c r="AD24" s="9"/>
      <c r="AE24" s="9">
        <f>IF(OR(NOT(ISNUMBER(Z24)),Z24=0),"n.d.",1)</f>
        <v>1.0</v>
      </c>
      <c r="AF24" s="9"/>
    </row>
    <row r="25" spans="1:32" ht="13.5" customHeight="1">
      <c r="A25" s="12"/>
    </row>
    <row r="26" spans="1:32" ht="13.5" customHeight="1">
      <c r="A26" s="12"/>
      <c r="R26" s="3" t="s">
        <v>463</v>
      </c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ht="13.5" customHeight="1">
      <c r="A27" s="12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ht="13.5" customHeight="1">
      <c r="A28" s="12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ht="13.5" customHeight="1">
      <c r="A29" s="12"/>
    </row>
    <row r="30" spans="1:32" ht="13.5" customHeight="1">
      <c r="A30" s="12"/>
      <c r="B30" s="10" t="str">
        <f>"Average monthly new flow: "&amp;IF(ISNUMBER('GraphData'!A103),TEXT('GraphData'!A103,"#,##0"),"n.d.")&amp;" EUR. Average balance per contract: "&amp;IF(ISNUMBER('GraphData'!B103),TEXT('GraphData'!B103,"#,##0"),"n.d.")&amp;" EUR."</f>
        <v>Average monthly new flow: 1,113,087 EUR. Average balance per contract: 241 EUR.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</row>
    <row r="31" spans="1:32" ht="13.5" customHeight="1">
      <c r="A31" s="12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</row>
    <row r="32" spans="1:32" ht="13.5" customHeight="1">
      <c r="A32" s="12"/>
      <c r="B32" s="10" t="str">
        <f>"Oldest cohort (M-5): "&amp;IF(ISNUMBER('GraphData'!C103),TEXT('GraphData'!C103,"0.0%"),"n.d.")&amp;" treated in amount and "&amp;IF(ISNUMBER('GraphData'!D103),TEXT('GraphData'!D103,"0.0%"),"n.d.")&amp;" in number."</f>
        <v>Oldest cohort (M-5): 98.4% treated in amount and 94.8% in number.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</row>
    <row r="33" spans="1:32" ht="13.5" customHeight="1">
      <c r="A33" s="12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</row>
    <row r="34" spans="1:32" ht="13.5" customHeight="1">
      <c r="A34" s="12"/>
      <c r="B34" s="10" t="str">
        <f>"Stock to process: "&amp;IF(ISNUMBER('GraphData'!E103),TEXT('GraphData'!E103,"#,##0"),"n.d.")&amp;" EUR. Identified stock: "&amp;IF(ISNUMBER('GraphData'!F103),TEXT('GraphData'!F103,"#,##0"),"n.d.")&amp;" EUR."</f>
        <v>Stock to process: 787,426 EUR. Identified stock: 3,127,146 EUR.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</row>
    <row r="35" spans="1:32" ht="13.5" customHeight="1">
      <c r="A35" s="12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</row>
    <row r="36" spans="1:32" ht="13.5" customHeight="1">
      <c r="A36" s="12"/>
      <c r="B36" s="10" t="s">
        <v>470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</row>
    <row r="37" spans="1:32" ht="13.5" customHeight="1">
      <c r="A37" s="12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</row>
    <row r="38" spans="1:32" ht="13.5" customHeight="1">
      <c r="A38" s="12"/>
    </row>
    <row r="39" spans="1:32" ht="13.5" customHeight="1">
      <c r="A39" s="12"/>
    </row>
    <row r="40" spans="1:32" ht="13.5" customHeight="1">
      <c r="A40" s="12"/>
    </row>
    <row r="41" spans="1:32" ht="13.5" customHeight="1">
      <c r="A41" s="12"/>
    </row>
    <row r="42" spans="1:32" ht="13.5" customHeight="1">
      <c r="A42" s="12"/>
      <c r="B42" s="11" t="s">
        <v>390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</row>
  </sheetData>
  <mergeCells count="101">
    <mergeCell ref="B2:M4"/>
    <mergeCell ref="B42:AF42"/>
    <mergeCell ref="B5:P6"/>
    <mergeCell ref="R2:W5"/>
    <mergeCell ref="X2:AF2"/>
    <mergeCell ref="X3:Y5"/>
    <mergeCell ref="Z3:AB5"/>
    <mergeCell ref="AC3:AD5"/>
    <mergeCell ref="AE3:AF5"/>
    <mergeCell ref="R7:T11"/>
    <mergeCell ref="U7:W7"/>
    <mergeCell ref="X7:Y7"/>
    <mergeCell ref="Z7:AB7"/>
    <mergeCell ref="AC7:AD7"/>
    <mergeCell ref="AE7:AF7"/>
    <mergeCell ref="U8:W8"/>
    <mergeCell ref="X8:Y8"/>
    <mergeCell ref="Z8:AB8"/>
    <mergeCell ref="AC8:AD8"/>
    <mergeCell ref="AE8:AF8"/>
    <mergeCell ref="U9:W9"/>
    <mergeCell ref="X9:Y9"/>
    <mergeCell ref="Z9:AB9"/>
    <mergeCell ref="AC9:AD9"/>
    <mergeCell ref="AE9:AF9"/>
    <mergeCell ref="U10:W10"/>
    <mergeCell ref="X10:Y10"/>
    <mergeCell ref="Z10:AB10"/>
    <mergeCell ref="AC10:AD10"/>
    <mergeCell ref="AE10:AF10"/>
    <mergeCell ref="U11:W11"/>
    <mergeCell ref="X11:Y11"/>
    <mergeCell ref="Z11:AB11"/>
    <mergeCell ref="AC11:AD11"/>
    <mergeCell ref="AE11:AF11"/>
    <mergeCell ref="R12:W12"/>
    <mergeCell ref="X12:Y12"/>
    <mergeCell ref="Z12:AB12"/>
    <mergeCell ref="AC12:AD12"/>
    <mergeCell ref="AE12:AF12"/>
    <mergeCell ref="R14:T23"/>
    <mergeCell ref="U14:W14"/>
    <mergeCell ref="X14:Y14"/>
    <mergeCell ref="Z14:AB14"/>
    <mergeCell ref="AC14:AD14"/>
    <mergeCell ref="AE14:AF14"/>
    <mergeCell ref="U15:W15"/>
    <mergeCell ref="X15:Y15"/>
    <mergeCell ref="Z15:AB15"/>
    <mergeCell ref="AC15:AD15"/>
    <mergeCell ref="AE15:AF15"/>
    <mergeCell ref="U16:W16"/>
    <mergeCell ref="X16:Y16"/>
    <mergeCell ref="Z16:AB16"/>
    <mergeCell ref="AC16:AD16"/>
    <mergeCell ref="AE16:AF16"/>
    <mergeCell ref="U17:W17"/>
    <mergeCell ref="X17:Y17"/>
    <mergeCell ref="Z17:AB17"/>
    <mergeCell ref="AC17:AD17"/>
    <mergeCell ref="AE17:AF17"/>
    <mergeCell ref="U18:W18"/>
    <mergeCell ref="X18:Y18"/>
    <mergeCell ref="Z18:AB18"/>
    <mergeCell ref="AC18:AD18"/>
    <mergeCell ref="AE18:AF18"/>
    <mergeCell ref="U19:W19"/>
    <mergeCell ref="X19:Y19"/>
    <mergeCell ref="Z19:AB19"/>
    <mergeCell ref="AC19:AD19"/>
    <mergeCell ref="AE19:AF19"/>
    <mergeCell ref="U20:W20"/>
    <mergeCell ref="X20:Y20"/>
    <mergeCell ref="Z20:AB20"/>
    <mergeCell ref="AC20:AD20"/>
    <mergeCell ref="AE20:AF20"/>
    <mergeCell ref="U21:W21"/>
    <mergeCell ref="X21:Y21"/>
    <mergeCell ref="Z21:AB21"/>
    <mergeCell ref="AC21:AD21"/>
    <mergeCell ref="AE21:AF21"/>
    <mergeCell ref="U22:W22"/>
    <mergeCell ref="X22:Y22"/>
    <mergeCell ref="Z22:AB22"/>
    <mergeCell ref="AC22:AD22"/>
    <mergeCell ref="AE22:AF22"/>
    <mergeCell ref="U23:W23"/>
    <mergeCell ref="X23:Y23"/>
    <mergeCell ref="Z23:AB23"/>
    <mergeCell ref="AC23:AD23"/>
    <mergeCell ref="AE23:AF23"/>
    <mergeCell ref="R24:W24"/>
    <mergeCell ref="X24:Y24"/>
    <mergeCell ref="Z24:AB24"/>
    <mergeCell ref="AC24:AD24"/>
    <mergeCell ref="AE24:AF24"/>
    <mergeCell ref="R26:AF28"/>
    <mergeCell ref="B30:AF31"/>
    <mergeCell ref="B32:AF33"/>
    <mergeCell ref="B34:AF35"/>
    <mergeCell ref="B36:AF37"/>
  </mergeCells>
  <conditionalFormatting sqref="B30:AF40">
    <cfRule type="notContainsBlanks" dxfId="2" priority="1">
      <formula>LEN(TRIM(B30))&gt;0</formula>
    </cfRule>
  </conditionalFormatting>
  <pageMargins left="0.15" right="0.15" top="0.2" bottom="0.2" header="0.3" footer="0.3"/>
  <pageSetup paperSize="9"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00627A"/>
    <pageSetUpPr fitToPage="1"/>
  </sheetPr>
  <dimension ref="A2:AF42"/>
  <sheetViews>
    <sheetView showGridLines="0" zoomScale="80" zoomScaleNormal="80" workbookViewId="0">
      <pane topLeftCell="A1" activePane="bottomLeft" state="frozen"/>
      <selection pane="bottomLeft"/>
    </sheetView>
  </sheetViews>
  <sheetFormatPr defaultRowHeight="13.5" customHeight="1"/>
  <cols>
    <col min="1" max="1" width="3" customWidth="1"/>
    <col min="2" max="32" width="6" customWidth="1"/>
  </cols>
  <sheetData>
    <row r="2" spans="1:32" ht="13.5" customHeight="1">
      <c r="A2" s="12"/>
      <c r="B2" s="13" t="s">
        <v>473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R2" s="4" t="s">
        <v>455</v>
      </c>
      <c r="S2" s="4"/>
      <c r="T2" s="4"/>
      <c r="U2" s="4"/>
      <c r="V2" s="4"/>
      <c r="W2" s="4"/>
      <c r="X2" s="14">
        <v>46203</v>
      </c>
      <c r="Y2" s="14"/>
      <c r="Z2" s="14"/>
      <c r="AA2" s="14"/>
      <c r="AB2" s="14"/>
      <c r="AC2" s="14"/>
      <c r="AD2" s="14"/>
      <c r="AE2" s="14"/>
      <c r="AF2" s="14"/>
    </row>
    <row r="3" spans="1:32" ht="13.5" customHeight="1">
      <c r="A3" s="1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R3" s="4"/>
      <c r="S3" s="4"/>
      <c r="T3" s="4"/>
      <c r="U3" s="4"/>
      <c r="V3" s="4"/>
      <c r="W3" s="4"/>
      <c r="X3" s="4" t="s">
        <v>456</v>
      </c>
      <c r="Y3" s="4"/>
      <c r="Z3" s="4" t="s">
        <v>475</v>
      </c>
      <c r="AA3" s="4"/>
      <c r="AB3" s="4"/>
      <c r="AC3" s="4" t="s">
        <v>458</v>
      </c>
      <c r="AD3" s="4"/>
      <c r="AE3" s="4" t="s">
        <v>459</v>
      </c>
      <c r="AF3" s="4"/>
    </row>
    <row r="4" spans="1:32" ht="13.5" customHeight="1">
      <c r="A4" s="12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ht="13.5" customHeight="1">
      <c r="A5" s="12"/>
      <c r="B5" s="3" t="s">
        <v>449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ht="13.5" customHeight="1">
      <c r="A6" s="1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32" ht="13.5" customHeight="1">
      <c r="A7" s="12"/>
      <c r="R7" s="4" t="s">
        <v>462</v>
      </c>
      <c r="S7" s="4"/>
      <c r="T7" s="4"/>
      <c r="U7" s="15" t="s">
        <v>183</v>
      </c>
      <c r="V7" s="15"/>
      <c r="W7" s="15"/>
      <c r="X7" s="6">
        <f>IF(OR(SUMPRODUCT(--('Repartition stock'!$A$6:$A$94="2026Q2"),--('Repartition stock'!$B$6:$B$94="ZA"),--('Repartition stock'!$E$6:$E$94="Millésime"),--('Repartition stock'!$F$6:$F$94="&lt;2019"))=0,SUMPRODUCT(--('Repartition stock'!$A$6:$A$94="2026Q2"),--('Repartition stock'!$B$6:$B$94="ZA"),--('Repartition stock'!$E$6:$E$94="Millésime"),--('Repartition stock'!$F$6:$F$94="&lt;2019"),--('Repartition stock'!$G$6:$G$94="n.d."))&gt;0),"n.d.",SUMPRODUCT(--('Repartition stock'!$A$6:$A$94="2026Q2"),--('Repartition stock'!$B$6:$B$94="ZA"),--('Repartition stock'!$E$6:$E$94="Millésime"),--('Repartition stock'!$F$6:$F$94="&lt;2019"),'Repartition stock'!$G$6:$G$94))</f>
        <v>199</v>
      </c>
      <c r="Y7" s="6"/>
      <c r="Z7" s="6">
        <f>IF(OR(SUMPRODUCT(--('Repartition stock'!$A$6:$A$94="2026Q2"),--('Repartition stock'!$B$6:$B$94="ZA"),--('Repartition stock'!$E$6:$E$94="Millésime"),--('Repartition stock'!$F$6:$F$94="&lt;2019"))=0,SUMPRODUCT(--('Repartition stock'!$A$6:$A$94="2026Q2"),--('Repartition stock'!$B$6:$B$94="ZA"),--('Repartition stock'!$E$6:$E$94="Millésime"),--('Repartition stock'!$F$6:$F$94="&lt;2019"),--('Repartition stock'!$H$6:$H$94="n.d."))&gt;0),"n.d.",SUMPRODUCT(--('Repartition stock'!$A$6:$A$94="2026Q2"),--('Repartition stock'!$B$6:$B$94="ZA"),--('Repartition stock'!$E$6:$E$94="Millésime"),--('Repartition stock'!$F$6:$F$94="&lt;2019"),'Repartition stock'!$H$6:$H$94))</f>
        <v>751149.81</v>
      </c>
      <c r="AA7" s="6"/>
      <c r="AB7" s="6"/>
      <c r="AC7" s="7">
        <f>IF(OR(COUNT(X7,X16)&lt;&gt;2,X16=0),"n.d.",X7/X16)</f>
        <v>0.002800765636435287</v>
      </c>
      <c r="AD7" s="7"/>
      <c r="AE7" s="7">
        <f>IF(OR(COUNT(Z7,Z16)&lt;&gt;2,Z16=0),"n.d.",Z7/Z16)</f>
        <v>0.024091635571853894</v>
      </c>
      <c r="AF7" s="7"/>
    </row>
    <row r="8" spans="1:32" ht="13.5" customHeight="1">
      <c r="A8" s="12"/>
      <c r="R8" s="4"/>
      <c r="S8" s="4"/>
      <c r="T8" s="4"/>
      <c r="U8" s="15" t="s">
        <v>150</v>
      </c>
      <c r="V8" s="15"/>
      <c r="W8" s="15"/>
      <c r="X8" s="6">
        <f>IF(OR(SUMPRODUCT(--('Repartition stock'!$A$6:$A$94="2026Q2"),--('Repartition stock'!$B$6:$B$94="ZA"),--('Repartition stock'!$E$6:$E$94="Millésime"),--('Repartition stock'!$F$6:$F$94="2019"))=0,SUMPRODUCT(--('Repartition stock'!$A$6:$A$94="2026Q2"),--('Repartition stock'!$B$6:$B$94="ZA"),--('Repartition stock'!$E$6:$E$94="Millésime"),--('Repartition stock'!$F$6:$F$94="2019"),--('Repartition stock'!$G$6:$G$94="n.d."))&gt;0),"n.d.",SUMPRODUCT(--('Repartition stock'!$A$6:$A$94="2026Q2"),--('Repartition stock'!$B$6:$B$94="ZA"),--('Repartition stock'!$E$6:$E$94="Millésime"),--('Repartition stock'!$F$6:$F$94="2019"),'Repartition stock'!$G$6:$G$94))</f>
        <v>82</v>
      </c>
      <c r="Y8" s="6"/>
      <c r="Z8" s="6">
        <f>IF(OR(SUMPRODUCT(--('Repartition stock'!$A$6:$A$94="2026Q2"),--('Repartition stock'!$B$6:$B$94="ZA"),--('Repartition stock'!$E$6:$E$94="Millésime"),--('Repartition stock'!$F$6:$F$94="2019"))=0,SUMPRODUCT(--('Repartition stock'!$A$6:$A$94="2026Q2"),--('Repartition stock'!$B$6:$B$94="ZA"),--('Repartition stock'!$E$6:$E$94="Millésime"),--('Repartition stock'!$F$6:$F$94="2019"),--('Repartition stock'!$H$6:$H$94="n.d."))&gt;0),"n.d.",SUMPRODUCT(--('Repartition stock'!$A$6:$A$94="2026Q2"),--('Repartition stock'!$B$6:$B$94="ZA"),--('Repartition stock'!$E$6:$E$94="Millésime"),--('Repartition stock'!$F$6:$F$94="2019"),'Repartition stock'!$H$6:$H$94))</f>
        <v>227540</v>
      </c>
      <c r="AA8" s="6"/>
      <c r="AB8" s="6"/>
      <c r="AC8" s="7">
        <f>IF(OR(COUNT(X8,X16)&lt;&gt;2,X16=0),"n.d.",X8/X16)</f>
        <v>0.0011540843326014749</v>
      </c>
      <c r="AD8" s="7"/>
      <c r="AE8" s="7">
        <f>IF(OR(COUNT(Z8,Z16)&lt;&gt;2,Z16=0),"n.d.",Z8/Z16)</f>
        <v>0.0072978927572645395</v>
      </c>
      <c r="AF8" s="7"/>
    </row>
    <row r="9" spans="1:32" ht="13.5" customHeight="1">
      <c r="A9" s="12"/>
      <c r="R9" s="4"/>
      <c r="S9" s="4"/>
      <c r="T9" s="4"/>
      <c r="U9" s="15" t="s">
        <v>152</v>
      </c>
      <c r="V9" s="15"/>
      <c r="W9" s="15"/>
      <c r="X9" s="6">
        <f>IF(OR(SUMPRODUCT(--('Repartition stock'!$A$6:$A$94="2026Q2"),--('Repartition stock'!$B$6:$B$94="ZA"),--('Repartition stock'!$E$6:$E$94="Millésime"),--('Repartition stock'!$F$6:$F$94="2020"))=0,SUMPRODUCT(--('Repartition stock'!$A$6:$A$94="2026Q2"),--('Repartition stock'!$B$6:$B$94="ZA"),--('Repartition stock'!$E$6:$E$94="Millésime"),--('Repartition stock'!$F$6:$F$94="2020"),--('Repartition stock'!$G$6:$G$94="n.d."))&gt;0),"n.d.",SUMPRODUCT(--('Repartition stock'!$A$6:$A$94="2026Q2"),--('Repartition stock'!$B$6:$B$94="ZA"),--('Repartition stock'!$E$6:$E$94="Millésime"),--('Repartition stock'!$F$6:$F$94="2020"),'Repartition stock'!$G$6:$G$94))</f>
        <v>577</v>
      </c>
      <c r="Y9" s="6"/>
      <c r="Z9" s="6">
        <f>IF(OR(SUMPRODUCT(--('Repartition stock'!$A$6:$A$94="2026Q2"),--('Repartition stock'!$B$6:$B$94="ZA"),--('Repartition stock'!$E$6:$E$94="Millésime"),--('Repartition stock'!$F$6:$F$94="2020"))=0,SUMPRODUCT(--('Repartition stock'!$A$6:$A$94="2026Q2"),--('Repartition stock'!$B$6:$B$94="ZA"),--('Repartition stock'!$E$6:$E$94="Millésime"),--('Repartition stock'!$F$6:$F$94="2020"),--('Repartition stock'!$H$6:$H$94="n.d."))&gt;0),"n.d.",SUMPRODUCT(--('Repartition stock'!$A$6:$A$94="2026Q2"),--('Repartition stock'!$B$6:$B$94="ZA"),--('Repartition stock'!$E$6:$E$94="Millésime"),--('Repartition stock'!$F$6:$F$94="2020"),'Repartition stock'!$H$6:$H$94))</f>
        <v>1055811.67</v>
      </c>
      <c r="AA9" s="6"/>
      <c r="AB9" s="6"/>
      <c r="AC9" s="7">
        <f>IF(OR(COUNT(X9,X16)&lt;&gt;2,X16=0),"n.d.",X9/X16)</f>
        <v>0.008120812925744526</v>
      </c>
      <c r="AD9" s="7"/>
      <c r="AE9" s="7">
        <f>IF(OR(COUNT(Z9,Z16)&lt;&gt;2,Z16=0),"n.d.",Z9/Z16)</f>
        <v>0.033863058537085246</v>
      </c>
      <c r="AF9" s="7"/>
    </row>
    <row r="10" spans="1:32" ht="13.5" customHeight="1">
      <c r="A10" s="12"/>
      <c r="R10" s="4"/>
      <c r="S10" s="4"/>
      <c r="T10" s="4"/>
      <c r="U10" s="15" t="s">
        <v>154</v>
      </c>
      <c r="V10" s="15"/>
      <c r="W10" s="15"/>
      <c r="X10" s="6">
        <f>IF(OR(SUMPRODUCT(--('Repartition stock'!$A$6:$A$94="2026Q2"),--('Repartition stock'!$B$6:$B$94="ZA"),--('Repartition stock'!$E$6:$E$94="Millésime"),--('Repartition stock'!$F$6:$F$94="2021"))=0,SUMPRODUCT(--('Repartition stock'!$A$6:$A$94="2026Q2"),--('Repartition stock'!$B$6:$B$94="ZA"),--('Repartition stock'!$E$6:$E$94="Millésime"),--('Repartition stock'!$F$6:$F$94="2021"),--('Repartition stock'!$G$6:$G$94="n.d."))&gt;0),"n.d.",SUMPRODUCT(--('Repartition stock'!$A$6:$A$94="2026Q2"),--('Repartition stock'!$B$6:$B$94="ZA"),--('Repartition stock'!$E$6:$E$94="Millésime"),--('Repartition stock'!$F$6:$F$94="2021"),'Repartition stock'!$G$6:$G$94))</f>
        <v>3490</v>
      </c>
      <c r="Y10" s="6"/>
      <c r="Z10" s="6">
        <f>IF(OR(SUMPRODUCT(--('Repartition stock'!$A$6:$A$94="2026Q2"),--('Repartition stock'!$B$6:$B$94="ZA"),--('Repartition stock'!$E$6:$E$94="Millésime"),--('Repartition stock'!$F$6:$F$94="2021"))=0,SUMPRODUCT(--('Repartition stock'!$A$6:$A$94="2026Q2"),--('Repartition stock'!$B$6:$B$94="ZA"),--('Repartition stock'!$E$6:$E$94="Millésime"),--('Repartition stock'!$F$6:$F$94="2021"),--('Repartition stock'!$H$6:$H$94="n.d."))&gt;0),"n.d.",SUMPRODUCT(--('Repartition stock'!$A$6:$A$94="2026Q2"),--('Repartition stock'!$B$6:$B$94="ZA"),--('Repartition stock'!$E$6:$E$94="Millésime"),--('Repartition stock'!$F$6:$F$94="2021"),'Repartition stock'!$H$6:$H$94))</f>
        <v>1891299.92</v>
      </c>
      <c r="AA10" s="6"/>
      <c r="AB10" s="6"/>
      <c r="AC10" s="7">
        <f>IF(OR(COUNT(X10,X16)&lt;&gt;2,X16=0),"n.d.",X10/X16)</f>
        <v>0.04911895513145302</v>
      </c>
      <c r="AD10" s="7"/>
      <c r="AE10" s="7">
        <f>IF(OR(COUNT(Z10,Z16)&lt;&gt;2,Z16=0),"n.d.",Z10/Z16)</f>
        <v>0.06065968176137383</v>
      </c>
      <c r="AF10" s="7"/>
    </row>
    <row r="11" spans="1:32" ht="13.5" customHeight="1">
      <c r="A11" s="12"/>
      <c r="R11" s="4"/>
      <c r="S11" s="4"/>
      <c r="T11" s="4"/>
      <c r="U11" s="15" t="s">
        <v>156</v>
      </c>
      <c r="V11" s="15"/>
      <c r="W11" s="15"/>
      <c r="X11" s="6">
        <f>IF(OR(SUMPRODUCT(--('Repartition stock'!$A$6:$A$94="2026Q2"),--('Repartition stock'!$B$6:$B$94="ZA"),--('Repartition stock'!$E$6:$E$94="Millésime"),--('Repartition stock'!$F$6:$F$94="2022"))=0,SUMPRODUCT(--('Repartition stock'!$A$6:$A$94="2026Q2"),--('Repartition stock'!$B$6:$B$94="ZA"),--('Repartition stock'!$E$6:$E$94="Millésime"),--('Repartition stock'!$F$6:$F$94="2022"),--('Repartition stock'!$G$6:$G$94="n.d."))&gt;0),"n.d.",SUMPRODUCT(--('Repartition stock'!$A$6:$A$94="2026Q2"),--('Repartition stock'!$B$6:$B$94="ZA"),--('Repartition stock'!$E$6:$E$94="Millésime"),--('Repartition stock'!$F$6:$F$94="2022"),'Repartition stock'!$G$6:$G$94))</f>
        <v>3177</v>
      </c>
      <c r="Y11" s="6"/>
      <c r="Z11" s="6">
        <f>IF(OR(SUMPRODUCT(--('Repartition stock'!$A$6:$A$94="2026Q2"),--('Repartition stock'!$B$6:$B$94="ZA"),--('Repartition stock'!$E$6:$E$94="Millésime"),--('Repartition stock'!$F$6:$F$94="2022"))=0,SUMPRODUCT(--('Repartition stock'!$A$6:$A$94="2026Q2"),--('Repartition stock'!$B$6:$B$94="ZA"),--('Repartition stock'!$E$6:$E$94="Millésime"),--('Repartition stock'!$F$6:$F$94="2022"),--('Repartition stock'!$H$6:$H$94="n.d."))&gt;0),"n.d.",SUMPRODUCT(--('Repartition stock'!$A$6:$A$94="2026Q2"),--('Repartition stock'!$B$6:$B$94="ZA"),--('Repartition stock'!$E$6:$E$94="Millésime"),--('Repartition stock'!$F$6:$F$94="2022"),'Repartition stock'!$H$6:$H$94))</f>
        <v>1803180.89</v>
      </c>
      <c r="AA11" s="6"/>
      <c r="AB11" s="6"/>
      <c r="AC11" s="7">
        <f>IF(OR(COUNT(X11,X16)&lt;&gt;2,X16=0),"n.d.",X11/X16)</f>
        <v>0.04471373078871812</v>
      </c>
      <c r="AD11" s="7"/>
      <c r="AE11" s="7">
        <f>IF(OR(COUNT(Z11,Z16)&lt;&gt;2,Z16=0),"n.d.",Z11/Z16)</f>
        <v>0.05783343920703536</v>
      </c>
      <c r="AF11" s="7"/>
    </row>
    <row r="12" spans="1:32" ht="13.5" customHeight="1">
      <c r="A12" s="12"/>
      <c r="R12" s="4"/>
      <c r="S12" s="4"/>
      <c r="T12" s="4"/>
      <c r="U12" s="15" t="s">
        <v>158</v>
      </c>
      <c r="V12" s="15"/>
      <c r="W12" s="15"/>
      <c r="X12" s="6">
        <f>IF(OR(SUMPRODUCT(--('Repartition stock'!$A$6:$A$94="2026Q2"),--('Repartition stock'!$B$6:$B$94="ZA"),--('Repartition stock'!$E$6:$E$94="Millésime"),--('Repartition stock'!$F$6:$F$94="2023"))=0,SUMPRODUCT(--('Repartition stock'!$A$6:$A$94="2026Q2"),--('Repartition stock'!$B$6:$B$94="ZA"),--('Repartition stock'!$E$6:$E$94="Millésime"),--('Repartition stock'!$F$6:$F$94="2023"),--('Repartition stock'!$G$6:$G$94="n.d."))&gt;0),"n.d.",SUMPRODUCT(--('Repartition stock'!$A$6:$A$94="2026Q2"),--('Repartition stock'!$B$6:$B$94="ZA"),--('Repartition stock'!$E$6:$E$94="Millésime"),--('Repartition stock'!$F$6:$F$94="2023"),'Repartition stock'!$G$6:$G$94))</f>
        <v>4518</v>
      </c>
      <c r="Y12" s="6"/>
      <c r="Z12" s="6">
        <f>IF(OR(SUMPRODUCT(--('Repartition stock'!$A$6:$A$94="2026Q2"),--('Repartition stock'!$B$6:$B$94="ZA"),--('Repartition stock'!$E$6:$E$94="Millésime"),--('Repartition stock'!$F$6:$F$94="2023"))=0,SUMPRODUCT(--('Repartition stock'!$A$6:$A$94="2026Q2"),--('Repartition stock'!$B$6:$B$94="ZA"),--('Repartition stock'!$E$6:$E$94="Millésime"),--('Repartition stock'!$F$6:$F$94="2023"),--('Repartition stock'!$H$6:$H$94="n.d."))&gt;0),"n.d.",SUMPRODUCT(--('Repartition stock'!$A$6:$A$94="2026Q2"),--('Repartition stock'!$B$6:$B$94="ZA"),--('Repartition stock'!$E$6:$E$94="Millésime"),--('Repartition stock'!$F$6:$F$94="2023"),'Repartition stock'!$H$6:$H$94))</f>
        <v>2617980.37999999</v>
      </c>
      <c r="AA12" s="6"/>
      <c r="AB12" s="6"/>
      <c r="AC12" s="7">
        <f>IF(OR(COUNT(X12,X16)&lt;&gt;2,X16=0),"n.d.",X12/X16)</f>
        <v>0.06358723188650565</v>
      </c>
      <c r="AD12" s="7"/>
      <c r="AE12" s="7">
        <f>IF(OR(COUNT(Z12,Z16)&lt;&gt;2,Z16=0),"n.d.",Z12/Z16)</f>
        <v>0.08396651161933108</v>
      </c>
      <c r="AF12" s="7"/>
    </row>
    <row r="13" spans="1:32" ht="13.5" customHeight="1">
      <c r="A13" s="12"/>
      <c r="R13" s="4"/>
      <c r="S13" s="4"/>
      <c r="T13" s="4"/>
      <c r="U13" s="15" t="s">
        <v>64</v>
      </c>
      <c r="V13" s="15"/>
      <c r="W13" s="15"/>
      <c r="X13" s="6">
        <f>IF(OR(SUMPRODUCT(--('Repartition stock'!$A$6:$A$94="2026Q2"),--('Repartition stock'!$B$6:$B$94="ZA"),--('Repartition stock'!$E$6:$E$94="Millésime"),--('Repartition stock'!$F$6:$F$94="2024"))=0,SUMPRODUCT(--('Repartition stock'!$A$6:$A$94="2026Q2"),--('Repartition stock'!$B$6:$B$94="ZA"),--('Repartition stock'!$E$6:$E$94="Millésime"),--('Repartition stock'!$F$6:$F$94="2024"),--('Repartition stock'!$G$6:$G$94="n.d."))&gt;0),"n.d.",SUMPRODUCT(--('Repartition stock'!$A$6:$A$94="2026Q2"),--('Repartition stock'!$B$6:$B$94="ZA"),--('Repartition stock'!$E$6:$E$94="Millésime"),--('Repartition stock'!$F$6:$F$94="2024"),'Repartition stock'!$G$6:$G$94))</f>
        <v>6481</v>
      </c>
      <c r="Y13" s="6"/>
      <c r="Z13" s="6">
        <f>IF(OR(SUMPRODUCT(--('Repartition stock'!$A$6:$A$94="2026Q2"),--('Repartition stock'!$B$6:$B$94="ZA"),--('Repartition stock'!$E$6:$E$94="Millésime"),--('Repartition stock'!$F$6:$F$94="2024"))=0,SUMPRODUCT(--('Repartition stock'!$A$6:$A$94="2026Q2"),--('Repartition stock'!$B$6:$B$94="ZA"),--('Repartition stock'!$E$6:$E$94="Millésime"),--('Repartition stock'!$F$6:$F$94="2024"),--('Repartition stock'!$H$6:$H$94="n.d."))&gt;0),"n.d.",SUMPRODUCT(--('Repartition stock'!$A$6:$A$94="2026Q2"),--('Repartition stock'!$B$6:$B$94="ZA"),--('Repartition stock'!$E$6:$E$94="Millésime"),--('Repartition stock'!$F$6:$F$94="2024"),'Repartition stock'!$H$6:$H$94))</f>
        <v>3470230.67</v>
      </c>
      <c r="AA13" s="6"/>
      <c r="AB13" s="6"/>
      <c r="AC13" s="7">
        <f>IF(OR(COUNT(X13,X16)&lt;&gt;2,X16=0),"n.d.",X13/X16)</f>
        <v>0.09121488487305073</v>
      </c>
      <c r="AD13" s="7"/>
      <c r="AE13" s="7">
        <f>IF(OR(COUNT(Z13,Z16)&lt;&gt;2,Z16=0),"n.d.",Z13/Z16)</f>
        <v>0.11130074392471771</v>
      </c>
      <c r="AF13" s="7"/>
    </row>
    <row r="14" spans="1:32" ht="13.5" customHeight="1">
      <c r="A14" s="12"/>
      <c r="R14" s="4"/>
      <c r="S14" s="4"/>
      <c r="T14" s="4"/>
      <c r="U14" s="15" t="s">
        <v>46</v>
      </c>
      <c r="V14" s="15"/>
      <c r="W14" s="15"/>
      <c r="X14" s="6">
        <f>IF(OR(SUMPRODUCT(--('Repartition stock'!$A$6:$A$94="2026Q2"),--('Repartition stock'!$B$6:$B$94="ZA"),--('Repartition stock'!$E$6:$E$94="Millésime"),--('Repartition stock'!$F$6:$F$94="2025"))=0,SUMPRODUCT(--('Repartition stock'!$A$6:$A$94="2026Q2"),--('Repartition stock'!$B$6:$B$94="ZA"),--('Repartition stock'!$E$6:$E$94="Millésime"),--('Repartition stock'!$F$6:$F$94="2025"),--('Repartition stock'!$G$6:$G$94="n.d."))&gt;0),"n.d.",SUMPRODUCT(--('Repartition stock'!$A$6:$A$94="2026Q2"),--('Repartition stock'!$B$6:$B$94="ZA"),--('Repartition stock'!$E$6:$E$94="Millésime"),--('Repartition stock'!$F$6:$F$94="2025"),'Repartition stock'!$G$6:$G$94))</f>
        <v>13904</v>
      </c>
      <c r="Y14" s="6"/>
      <c r="Z14" s="6">
        <f>IF(OR(SUMPRODUCT(--('Repartition stock'!$A$6:$A$94="2026Q2"),--('Repartition stock'!$B$6:$B$94="ZA"),--('Repartition stock'!$E$6:$E$94="Millésime"),--('Repartition stock'!$F$6:$F$94="2025"))=0,SUMPRODUCT(--('Repartition stock'!$A$6:$A$94="2026Q2"),--('Repartition stock'!$B$6:$B$94="ZA"),--('Repartition stock'!$E$6:$E$94="Millésime"),--('Repartition stock'!$F$6:$F$94="2025"),--('Repartition stock'!$H$6:$H$94="n.d."))&gt;0),"n.d.",SUMPRODUCT(--('Repartition stock'!$A$6:$A$94="2026Q2"),--('Repartition stock'!$B$6:$B$94="ZA"),--('Repartition stock'!$E$6:$E$94="Millésime"),--('Repartition stock'!$F$6:$F$94="2025"),'Repartition stock'!$H$6:$H$94))</f>
        <v>7308977.3999999</v>
      </c>
      <c r="AA14" s="6"/>
      <c r="AB14" s="6"/>
      <c r="AC14" s="7">
        <f>IF(OR(COUNT(X14,X16)&lt;&gt;2,X16=0),"n.d.",X14/X16)</f>
        <v>0.19568766537184035</v>
      </c>
      <c r="AD14" s="7"/>
      <c r="AE14" s="7">
        <f>IF(OR(COUNT(Z14,Z16)&lt;&gt;2,Z16=0),"n.d.",Z14/Z16)</f>
        <v>0.23442090722716655</v>
      </c>
      <c r="AF14" s="7"/>
    </row>
    <row r="15" spans="1:32" ht="13.5" customHeight="1">
      <c r="A15" s="12"/>
      <c r="R15" s="4"/>
      <c r="S15" s="4"/>
      <c r="T15" s="4"/>
      <c r="U15" s="15" t="s">
        <v>48</v>
      </c>
      <c r="V15" s="15"/>
      <c r="W15" s="15"/>
      <c r="X15" s="6">
        <f>IF(OR(SUMPRODUCT(--('Repartition stock'!$A$6:$A$94="2026Q2"),--('Repartition stock'!$B$6:$B$94="ZA"),--('Repartition stock'!$E$6:$E$94="Millésime"),--('Repartition stock'!$F$6:$F$94="2026"))=0,SUMPRODUCT(--('Repartition stock'!$A$6:$A$94="2026Q2"),--('Repartition stock'!$B$6:$B$94="ZA"),--('Repartition stock'!$E$6:$E$94="Millésime"),--('Repartition stock'!$F$6:$F$94="2026"),--('Repartition stock'!$G$6:$G$94="n.d."))&gt;0),"n.d.",SUMPRODUCT(--('Repartition stock'!$A$6:$A$94="2026Q2"),--('Repartition stock'!$B$6:$B$94="ZA"),--('Repartition stock'!$E$6:$E$94="Millésime"),--('Repartition stock'!$F$6:$F$94="2026"),'Repartition stock'!$G$6:$G$94))</f>
        <v>38624</v>
      </c>
      <c r="Y15" s="6"/>
      <c r="Z15" s="6">
        <f>IF(OR(SUMPRODUCT(--('Repartition stock'!$A$6:$A$94="2026Q2"),--('Repartition stock'!$B$6:$B$94="ZA"),--('Repartition stock'!$E$6:$E$94="Millésime"),--('Repartition stock'!$F$6:$F$94="2026"))=0,SUMPRODUCT(--('Repartition stock'!$A$6:$A$94="2026Q2"),--('Repartition stock'!$B$6:$B$94="ZA"),--('Repartition stock'!$E$6:$E$94="Millésime"),--('Repartition stock'!$F$6:$F$94="2026"),--('Repartition stock'!$H$6:$H$94="n.d."))&gt;0),"n.d.",SUMPRODUCT(--('Repartition stock'!$A$6:$A$94="2026Q2"),--('Repartition stock'!$B$6:$B$94="ZA"),--('Repartition stock'!$E$6:$E$94="Millésime"),--('Repartition stock'!$F$6:$F$94="2026"),'Repartition stock'!$H$6:$H$94))</f>
        <v>12052692.47</v>
      </c>
      <c r="AA15" s="6"/>
      <c r="AB15" s="6"/>
      <c r="AC15" s="7">
        <f>IF(OR(COUNT(X15,X16)&lt;&gt;2,X16=0),"n.d.",X15/X16)</f>
        <v>0.5436018690536508</v>
      </c>
      <c r="AD15" s="7"/>
      <c r="AE15" s="7">
        <f>IF(OR(COUNT(Z15,Z16)&lt;&gt;2,Z16=0),"n.d.",Z15/Z16)</f>
        <v>0.38656612939417184</v>
      </c>
      <c r="AF15" s="7"/>
    </row>
    <row r="16" spans="1:32" ht="13.5" customHeight="1">
      <c r="A16" s="12"/>
      <c r="R16" s="8" t="s">
        <v>461</v>
      </c>
      <c r="S16" s="8"/>
      <c r="T16" s="8"/>
      <c r="U16" s="8"/>
      <c r="V16" s="8"/>
      <c r="W16" s="8"/>
      <c r="X16" s="8">
        <f>IF(COUNT(X7:X15)=9,SUM(X7:X15),"n.d.")</f>
        <v>71052</v>
      </c>
      <c r="Y16" s="8"/>
      <c r="Z16" s="8">
        <f>IF(COUNT(Z7:Z15)=9,SUM(Z7:Z15),"n.d.")</f>
        <v>31178863.20999989</v>
      </c>
      <c r="AA16" s="8"/>
      <c r="AB16" s="8"/>
      <c r="AC16" s="9">
        <f>IF(OR(NOT(ISNUMBER(X16)),X16=0),"n.d.",1)</f>
        <v>1.0</v>
      </c>
      <c r="AD16" s="9"/>
      <c r="AE16" s="9">
        <f>IF(OR(NOT(ISNUMBER(Z16)),Z16=0),"n.d.",1)</f>
        <v>1.0</v>
      </c>
      <c r="AF16" s="9"/>
    </row>
    <row r="17" spans="1:32" ht="13.5" customHeight="1">
      <c r="A17" s="12"/>
    </row>
    <row r="18" spans="1:32" ht="13.5" customHeight="1">
      <c r="A18" s="12"/>
      <c r="R18" s="3" t="s">
        <v>476</v>
      </c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ht="13.5" customHeight="1">
      <c r="A19" s="12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ht="13.5" customHeight="1">
      <c r="A20" s="12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ht="13.5" customHeight="1">
      <c r="A21" s="12"/>
    </row>
    <row r="22" spans="1:32" ht="13.5" customHeight="1">
      <c r="A22" s="12"/>
    </row>
    <row r="23" spans="1:32" ht="13.5" customHeight="1">
      <c r="A23" s="12"/>
    </row>
    <row r="24" spans="1:32" ht="13.5" customHeight="1">
      <c r="A24" s="12"/>
    </row>
    <row r="25" spans="1:32" ht="13.5" customHeight="1">
      <c r="A25" s="12"/>
    </row>
    <row r="26" spans="1:32" ht="13.5" customHeight="1">
      <c r="A26" s="12"/>
    </row>
    <row r="27" spans="1:32" ht="13.5" customHeight="1">
      <c r="A27" s="12"/>
    </row>
    <row r="28" spans="1:32" ht="13.5" customHeight="1">
      <c r="A28" s="12"/>
    </row>
    <row r="29" spans="1:32" ht="13.5" customHeight="1">
      <c r="A29" s="12"/>
    </row>
    <row r="30" spans="1:32" ht="13.5" customHeight="1">
      <c r="A30" s="12"/>
      <c r="B30" s="10" t="str">
        <f>"Average monthly new flow: "&amp;IF(ISNUMBER('GraphData'!A120),TEXT('GraphData'!A120,"#,##0"),"n.d.")&amp;" ZAR. Average balance per contract: "&amp;IF(ISNUMBER('GraphData'!B120),TEXT('GraphData'!B120,"#,##0"),"n.d.")&amp;" ZAR."</f>
        <v>Average monthly new flow: 3,669,190 ZAR. Average balance per contract: 191 ZAR.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</row>
    <row r="31" spans="1:32" ht="13.5" customHeight="1">
      <c r="A31" s="12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</row>
    <row r="32" spans="1:32" ht="13.5" customHeight="1">
      <c r="A32" s="12"/>
      <c r="B32" s="10" t="str">
        <f>"Oldest cohort (M-5): "&amp;IF(ISNUMBER('GraphData'!C120),TEXT('GraphData'!C120,"0.0%"),"n.d.")&amp;" treated in amount and "&amp;IF(ISNUMBER('GraphData'!D120),TEXT('GraphData'!D120,"0.0%"),"n.d.")&amp;" in number."</f>
        <v>Oldest cohort (M-5): 64.9% treated in amount and 85.5% in number.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</row>
    <row r="33" spans="1:32" ht="13.5" customHeight="1">
      <c r="A33" s="12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</row>
    <row r="34" spans="1:32" ht="13.5" customHeight="1">
      <c r="A34" s="12"/>
      <c r="B34" s="10" t="str">
        <f>"Stock to process: "&amp;IF(ISNUMBER('GraphData'!E120),TEXT('GraphData'!E120,"#,##0"),"n.d.")&amp;" ZAR. Identified stock: "&amp;IF(ISNUMBER('GraphData'!F120),TEXT('GraphData'!F120,"#,##0"),"n.d.")&amp;" ZAR."</f>
        <v>Stock to process: 31,178,863 ZAR. Identified stock: 35,668,503 ZAR.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</row>
    <row r="35" spans="1:32" ht="13.5" customHeight="1">
      <c r="A35" s="12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</row>
    <row r="36" spans="1:32" ht="13.5" customHeight="1">
      <c r="A36" s="12"/>
      <c r="B36" s="10" t="s">
        <v>470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</row>
    <row r="37" spans="1:32" ht="13.5" customHeight="1">
      <c r="A37" s="12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</row>
    <row r="38" spans="1:32" ht="13.5" customHeight="1">
      <c r="A38" s="12"/>
    </row>
    <row r="39" spans="1:32" ht="13.5" customHeight="1">
      <c r="A39" s="12"/>
    </row>
    <row r="40" spans="1:32" ht="13.5" customHeight="1">
      <c r="A40" s="12"/>
    </row>
    <row r="41" spans="1:32" ht="13.5" customHeight="1">
      <c r="A41" s="12"/>
    </row>
    <row r="42" spans="1:32" ht="13.5" customHeight="1">
      <c r="A42" s="12"/>
      <c r="B42" s="11" t="s">
        <v>390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</row>
  </sheetData>
  <mergeCells count="65">
    <mergeCell ref="B2:M4"/>
    <mergeCell ref="B42:AF42"/>
    <mergeCell ref="B5:P6"/>
    <mergeCell ref="R2:W5"/>
    <mergeCell ref="X2:AF2"/>
    <mergeCell ref="X3:Y5"/>
    <mergeCell ref="Z3:AB5"/>
    <mergeCell ref="AC3:AD5"/>
    <mergeCell ref="AE3:AF5"/>
    <mergeCell ref="R7:T15"/>
    <mergeCell ref="U7:W7"/>
    <mergeCell ref="X7:Y7"/>
    <mergeCell ref="Z7:AB7"/>
    <mergeCell ref="AC7:AD7"/>
    <mergeCell ref="AE7:AF7"/>
    <mergeCell ref="U8:W8"/>
    <mergeCell ref="X8:Y8"/>
    <mergeCell ref="Z8:AB8"/>
    <mergeCell ref="AC8:AD8"/>
    <mergeCell ref="AE8:AF8"/>
    <mergeCell ref="U9:W9"/>
    <mergeCell ref="X9:Y9"/>
    <mergeCell ref="Z9:AB9"/>
    <mergeCell ref="AC9:AD9"/>
    <mergeCell ref="AE9:AF9"/>
    <mergeCell ref="U10:W10"/>
    <mergeCell ref="X10:Y10"/>
    <mergeCell ref="Z10:AB10"/>
    <mergeCell ref="AC10:AD10"/>
    <mergeCell ref="AE10:AF10"/>
    <mergeCell ref="U11:W11"/>
    <mergeCell ref="X11:Y11"/>
    <mergeCell ref="Z11:AB11"/>
    <mergeCell ref="AC11:AD11"/>
    <mergeCell ref="AE11:AF11"/>
    <mergeCell ref="U12:W12"/>
    <mergeCell ref="X12:Y12"/>
    <mergeCell ref="Z12:AB12"/>
    <mergeCell ref="AC12:AD12"/>
    <mergeCell ref="AE12:AF12"/>
    <mergeCell ref="U13:W13"/>
    <mergeCell ref="X13:Y13"/>
    <mergeCell ref="Z13:AB13"/>
    <mergeCell ref="AC13:AD13"/>
    <mergeCell ref="AE13:AF13"/>
    <mergeCell ref="U14:W14"/>
    <mergeCell ref="X14:Y14"/>
    <mergeCell ref="Z14:AB14"/>
    <mergeCell ref="AC14:AD14"/>
    <mergeCell ref="AE14:AF14"/>
    <mergeCell ref="U15:W15"/>
    <mergeCell ref="X15:Y15"/>
    <mergeCell ref="Z15:AB15"/>
    <mergeCell ref="AC15:AD15"/>
    <mergeCell ref="AE15:AF15"/>
    <mergeCell ref="R16:W16"/>
    <mergeCell ref="X16:Y16"/>
    <mergeCell ref="Z16:AB16"/>
    <mergeCell ref="AC16:AD16"/>
    <mergeCell ref="AE16:AF16"/>
    <mergeCell ref="R18:AF20"/>
    <mergeCell ref="B30:AF31"/>
    <mergeCell ref="B32:AF33"/>
    <mergeCell ref="B34:AF35"/>
    <mergeCell ref="B36:AF37"/>
  </mergeCells>
  <conditionalFormatting sqref="B30:AF40">
    <cfRule type="notContainsBlanks" dxfId="2" priority="1">
      <formula>LEN(TRIM(B30))&gt;0</formula>
    </cfRule>
  </conditionalFormatting>
  <pageMargins left="0.15" right="0.15" top="0.2" bottom="0.2" header="0.3" footer="0.3"/>
  <pageSetup paperSize="9" fitToHeight="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00627A"/>
    <pageSetUpPr fitToPage="1"/>
  </sheetPr>
  <dimension ref="A2:AF42"/>
  <sheetViews>
    <sheetView showGridLines="0" zoomScale="80" zoomScaleNormal="80" workbookViewId="0">
      <pane topLeftCell="A1" activePane="bottomLeft" state="frozen"/>
      <selection pane="bottomLeft"/>
    </sheetView>
  </sheetViews>
  <sheetFormatPr defaultRowHeight="13.5" customHeight="1"/>
  <cols>
    <col min="1" max="1" width="3" customWidth="1"/>
    <col min="2" max="32" width="6" customWidth="1"/>
  </cols>
  <sheetData>
    <row r="2" spans="1:32" ht="13.5" customHeight="1">
      <c r="A2" s="12"/>
      <c r="B2" s="13" t="s">
        <v>478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R2" s="4" t="s">
        <v>455</v>
      </c>
      <c r="S2" s="4"/>
      <c r="T2" s="4"/>
      <c r="U2" s="4"/>
      <c r="V2" s="4"/>
      <c r="W2" s="4"/>
      <c r="X2" s="14">
        <v>46203</v>
      </c>
      <c r="Y2" s="14"/>
      <c r="Z2" s="14"/>
      <c r="AA2" s="14"/>
      <c r="AB2" s="14"/>
      <c r="AC2" s="14"/>
      <c r="AD2" s="14"/>
      <c r="AE2" s="14"/>
      <c r="AF2" s="14"/>
    </row>
    <row r="3" spans="1:32" ht="13.5" customHeight="1">
      <c r="A3" s="1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R3" s="4"/>
      <c r="S3" s="4"/>
      <c r="T3" s="4"/>
      <c r="U3" s="4"/>
      <c r="V3" s="4"/>
      <c r="W3" s="4"/>
      <c r="X3" s="4" t="s">
        <v>456</v>
      </c>
      <c r="Y3" s="4"/>
      <c r="Z3" s="4" t="s">
        <v>482</v>
      </c>
      <c r="AA3" s="4"/>
      <c r="AB3" s="4"/>
      <c r="AC3" s="4" t="s">
        <v>458</v>
      </c>
      <c r="AD3" s="4"/>
      <c r="AE3" s="4" t="s">
        <v>459</v>
      </c>
      <c r="AF3" s="4"/>
    </row>
    <row r="4" spans="1:32" ht="13.5" customHeight="1">
      <c r="A4" s="12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ht="13.5" customHeight="1">
      <c r="A5" s="12"/>
      <c r="B5" s="3" t="s">
        <v>449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ht="13.5" customHeight="1">
      <c r="A6" s="1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32" ht="13.5" customHeight="1">
      <c r="A7" s="12"/>
      <c r="R7" s="4" t="s">
        <v>460</v>
      </c>
      <c r="S7" s="4"/>
      <c r="T7" s="4"/>
      <c r="U7" s="15" t="s">
        <v>193</v>
      </c>
      <c r="V7" s="15"/>
      <c r="W7" s="15"/>
      <c r="X7" s="6">
        <f>IF(OR(SUMPRODUCT(--('Repartition stock'!$A$6:$A$94="2026Q2"),--('Repartition stock'!$B$6:$B$94="DK"),--('Repartition stock'!$E$6:$E$94="Tranche"),--('Repartition stock'!$F$6:$F$94="0 - 7,5 Kr"))=0,SUMPRODUCT(--('Repartition stock'!$A$6:$A$94="2026Q2"),--('Repartition stock'!$B$6:$B$94="DK"),--('Repartition stock'!$E$6:$E$94="Tranche"),--('Repartition stock'!$F$6:$F$94="0 - 7,5 Kr"),--('Repartition stock'!$G$6:$G$94="n.d."))&gt;0),"n.d.",SUMPRODUCT(--('Repartition stock'!$A$6:$A$94="2026Q2"),--('Repartition stock'!$B$6:$B$94="DK"),--('Repartition stock'!$E$6:$E$94="Tranche"),--('Repartition stock'!$F$6:$F$94="0 - 7,5 Kr"),'Repartition stock'!$G$6:$G$94))</f>
        <v>135</v>
      </c>
      <c r="Y7" s="6"/>
      <c r="Z7" s="6">
        <f>IF(OR(SUMPRODUCT(--('Repartition stock'!$A$6:$A$94="2026Q2"),--('Repartition stock'!$B$6:$B$94="DK"),--('Repartition stock'!$E$6:$E$94="Tranche"),--('Repartition stock'!$F$6:$F$94="0 - 7,5 Kr"))=0,SUMPRODUCT(--('Repartition stock'!$A$6:$A$94="2026Q2"),--('Repartition stock'!$B$6:$B$94="DK"),--('Repartition stock'!$E$6:$E$94="Tranche"),--('Repartition stock'!$F$6:$F$94="0 - 7,5 Kr"),--('Repartition stock'!$H$6:$H$94="n.d."))&gt;0),"n.d.",SUMPRODUCT(--('Repartition stock'!$A$6:$A$94="2026Q2"),--('Repartition stock'!$B$6:$B$94="DK"),--('Repartition stock'!$E$6:$E$94="Tranche"),--('Repartition stock'!$F$6:$F$94="0 - 7,5 Kr"),'Repartition stock'!$H$6:$H$94))</f>
        <v>313.4800000000001</v>
      </c>
      <c r="AA7" s="6"/>
      <c r="AB7" s="6"/>
      <c r="AC7" s="7">
        <f>IF(OR(COUNT(X7,X12)&lt;&gt;2,X12=0),"n.d.",X7/X12)</f>
        <v>0.19508670520231214</v>
      </c>
      <c r="AD7" s="7"/>
      <c r="AE7" s="7">
        <f>IF(OR(COUNT(Z7,Z12)&lt;&gt;2,Z12=0),"n.d.",Z7/Z12)</f>
        <v>0.0017196037626562828</v>
      </c>
      <c r="AF7" s="7"/>
    </row>
    <row r="8" spans="1:32" ht="13.5" customHeight="1">
      <c r="A8" s="12"/>
      <c r="R8" s="4"/>
      <c r="S8" s="4"/>
      <c r="T8" s="4"/>
      <c r="U8" s="15" t="s">
        <v>195</v>
      </c>
      <c r="V8" s="15"/>
      <c r="W8" s="15"/>
      <c r="X8" s="6">
        <f>IF(OR(SUMPRODUCT(--('Repartition stock'!$A$6:$A$94="2026Q2"),--('Repartition stock'!$B$6:$B$94="DK"),--('Repartition stock'!$E$6:$E$94="Tranche"),--('Repartition stock'!$F$6:$F$94="7,5 - 75 Kr"))=0,SUMPRODUCT(--('Repartition stock'!$A$6:$A$94="2026Q2"),--('Repartition stock'!$B$6:$B$94="DK"),--('Repartition stock'!$E$6:$E$94="Tranche"),--('Repartition stock'!$F$6:$F$94="7,5 - 75 Kr"),--('Repartition stock'!$G$6:$G$94="n.d."))&gt;0),"n.d.",SUMPRODUCT(--('Repartition stock'!$A$6:$A$94="2026Q2"),--('Repartition stock'!$B$6:$B$94="DK"),--('Repartition stock'!$E$6:$E$94="Tranche"),--('Repartition stock'!$F$6:$F$94="7,5 - 75 Kr"),'Repartition stock'!$G$6:$G$94))</f>
        <v>205</v>
      </c>
      <c r="Y8" s="6"/>
      <c r="Z8" s="6">
        <f>IF(OR(SUMPRODUCT(--('Repartition stock'!$A$6:$A$94="2026Q2"),--('Repartition stock'!$B$6:$B$94="DK"),--('Repartition stock'!$E$6:$E$94="Tranche"),--('Repartition stock'!$F$6:$F$94="7,5 - 75 Kr"))=0,SUMPRODUCT(--('Repartition stock'!$A$6:$A$94="2026Q2"),--('Repartition stock'!$B$6:$B$94="DK"),--('Repartition stock'!$E$6:$E$94="Tranche"),--('Repartition stock'!$F$6:$F$94="7,5 - 75 Kr"),--('Repartition stock'!$H$6:$H$94="n.d."))&gt;0),"n.d.",SUMPRODUCT(--('Repartition stock'!$A$6:$A$94="2026Q2"),--('Repartition stock'!$B$6:$B$94="DK"),--('Repartition stock'!$E$6:$E$94="Tranche"),--('Repartition stock'!$F$6:$F$94="7,5 - 75 Kr"),'Repartition stock'!$H$6:$H$94))</f>
        <v>6945.040000000003</v>
      </c>
      <c r="AA8" s="6"/>
      <c r="AB8" s="6"/>
      <c r="AC8" s="7">
        <f>IF(OR(COUNT(X8,X12)&lt;&gt;2,X12=0),"n.d.",X8/X12)</f>
        <v>0.29624277456647397</v>
      </c>
      <c r="AD8" s="7"/>
      <c r="AE8" s="7">
        <f>IF(OR(COUNT(Z8,Z12)&lt;&gt;2,Z12=0),"n.d.",Z8/Z12)</f>
        <v>0.038097221244731375</v>
      </c>
      <c r="AF8" s="7"/>
    </row>
    <row r="9" spans="1:32" ht="13.5" customHeight="1">
      <c r="A9" s="12"/>
      <c r="R9" s="4"/>
      <c r="S9" s="4"/>
      <c r="T9" s="4"/>
      <c r="U9" s="15" t="s">
        <v>197</v>
      </c>
      <c r="V9" s="15"/>
      <c r="W9" s="15"/>
      <c r="X9" s="6">
        <f>IF(OR(SUMPRODUCT(--('Repartition stock'!$A$6:$A$94="2026Q2"),--('Repartition stock'!$B$6:$B$94="DK"),--('Repartition stock'!$E$6:$E$94="Tranche"),--('Repartition stock'!$F$6:$F$94="75 - 747 Kr"))=0,SUMPRODUCT(--('Repartition stock'!$A$6:$A$94="2026Q2"),--('Repartition stock'!$B$6:$B$94="DK"),--('Repartition stock'!$E$6:$E$94="Tranche"),--('Repartition stock'!$F$6:$F$94="75 - 747 Kr"),--('Repartition stock'!$G$6:$G$94="n.d."))&gt;0),"n.d.",SUMPRODUCT(--('Repartition stock'!$A$6:$A$94="2026Q2"),--('Repartition stock'!$B$6:$B$94="DK"),--('Repartition stock'!$E$6:$E$94="Tranche"),--('Repartition stock'!$F$6:$F$94="75 - 747 Kr"),'Repartition stock'!$G$6:$G$94))</f>
        <v>300</v>
      </c>
      <c r="Y9" s="6"/>
      <c r="Z9" s="6">
        <f>IF(OR(SUMPRODUCT(--('Repartition stock'!$A$6:$A$94="2026Q2"),--('Repartition stock'!$B$6:$B$94="DK"),--('Repartition stock'!$E$6:$E$94="Tranche"),--('Repartition stock'!$F$6:$F$94="75 - 747 Kr"))=0,SUMPRODUCT(--('Repartition stock'!$A$6:$A$94="2026Q2"),--('Repartition stock'!$B$6:$B$94="DK"),--('Repartition stock'!$E$6:$E$94="Tranche"),--('Repartition stock'!$F$6:$F$94="75 - 747 Kr"),--('Repartition stock'!$H$6:$H$94="n.d."))&gt;0),"n.d.",SUMPRODUCT(--('Repartition stock'!$A$6:$A$94="2026Q2"),--('Repartition stock'!$B$6:$B$94="DK"),--('Repartition stock'!$E$6:$E$94="Tranche"),--('Repartition stock'!$F$6:$F$94="75 - 747 Kr"),'Repartition stock'!$H$6:$H$94))</f>
        <v>78102.59999999999</v>
      </c>
      <c r="AA9" s="6"/>
      <c r="AB9" s="6"/>
      <c r="AC9" s="7">
        <f>IF(OR(COUNT(X9,X12)&lt;&gt;2,X12=0),"n.d.",X9/X12)</f>
        <v>0.43352601156069365</v>
      </c>
      <c r="AD9" s="7"/>
      <c r="AE9" s="7">
        <f>IF(OR(COUNT(Z9,Z12)&lt;&gt;2,Z12=0),"n.d.",Z9/Z12)</f>
        <v>0.4284341100970988</v>
      </c>
      <c r="AF9" s="7"/>
    </row>
    <row r="10" spans="1:32" ht="13.5" customHeight="1">
      <c r="A10" s="12"/>
      <c r="R10" s="4"/>
      <c r="S10" s="4"/>
      <c r="T10" s="4"/>
      <c r="U10" s="15" t="s">
        <v>199</v>
      </c>
      <c r="V10" s="15"/>
      <c r="W10" s="15"/>
      <c r="X10" s="6">
        <f>IF(OR(SUMPRODUCT(--('Repartition stock'!$A$6:$A$94="2026Q2"),--('Repartition stock'!$B$6:$B$94="DK"),--('Repartition stock'!$E$6:$E$94="Tranche"),--('Repartition stock'!$F$6:$F$94="747 - 7474 Kr"))=0,SUMPRODUCT(--('Repartition stock'!$A$6:$A$94="2026Q2"),--('Repartition stock'!$B$6:$B$94="DK"),--('Repartition stock'!$E$6:$E$94="Tranche"),--('Repartition stock'!$F$6:$F$94="747 - 7474 Kr"),--('Repartition stock'!$G$6:$G$94="n.d."))&gt;0),"n.d.",SUMPRODUCT(--('Repartition stock'!$A$6:$A$94="2026Q2"),--('Repartition stock'!$B$6:$B$94="DK"),--('Repartition stock'!$E$6:$E$94="Tranche"),--('Repartition stock'!$F$6:$F$94="747 - 7474 Kr"),'Repartition stock'!$G$6:$G$94))</f>
        <v>51</v>
      </c>
      <c r="Y10" s="6"/>
      <c r="Z10" s="6">
        <f>IF(OR(SUMPRODUCT(--('Repartition stock'!$A$6:$A$94="2026Q2"),--('Repartition stock'!$B$6:$B$94="DK"),--('Repartition stock'!$E$6:$E$94="Tranche"),--('Repartition stock'!$F$6:$F$94="747 - 7474 Kr"))=0,SUMPRODUCT(--('Repartition stock'!$A$6:$A$94="2026Q2"),--('Repartition stock'!$B$6:$B$94="DK"),--('Repartition stock'!$E$6:$E$94="Tranche"),--('Repartition stock'!$F$6:$F$94="747 - 7474 Kr"),--('Repartition stock'!$H$6:$H$94="n.d."))&gt;0),"n.d.",SUMPRODUCT(--('Repartition stock'!$A$6:$A$94="2026Q2"),--('Repartition stock'!$B$6:$B$94="DK"),--('Repartition stock'!$E$6:$E$94="Tranche"),--('Repartition stock'!$F$6:$F$94="747 - 7474 Kr"),'Repartition stock'!$H$6:$H$94))</f>
        <v>83888.11999999998</v>
      </c>
      <c r="AA10" s="6"/>
      <c r="AB10" s="6"/>
      <c r="AC10" s="7">
        <f>IF(OR(COUNT(X10,X12)&lt;&gt;2,X12=0),"n.d.",X10/X12)</f>
        <v>0.07369942196531792</v>
      </c>
      <c r="AD10" s="7"/>
      <c r="AE10" s="7">
        <f>IF(OR(COUNT(Z10,Z12)&lt;&gt;2,Z12=0),"n.d.",Z10/Z12)</f>
        <v>0.4601707502684755</v>
      </c>
      <c r="AF10" s="7"/>
    </row>
    <row r="11" spans="1:32" ht="13.5" customHeight="1">
      <c r="A11" s="12"/>
      <c r="R11" s="4"/>
      <c r="S11" s="4"/>
      <c r="T11" s="4"/>
      <c r="U11" s="15" t="s">
        <v>201</v>
      </c>
      <c r="V11" s="15"/>
      <c r="W11" s="15"/>
      <c r="X11" s="6">
        <f>IF(OR(SUMPRODUCT(--('Repartition stock'!$A$6:$A$94="2026Q2"),--('Repartition stock'!$B$6:$B$94="DK"),--('Repartition stock'!$E$6:$E$94="Tranche"),--('Repartition stock'!$F$6:$F$94="&gt;7474 Kr"))=0,SUMPRODUCT(--('Repartition stock'!$A$6:$A$94="2026Q2"),--('Repartition stock'!$B$6:$B$94="DK"),--('Repartition stock'!$E$6:$E$94="Tranche"),--('Repartition stock'!$F$6:$F$94="&gt;7474 Kr"),--('Repartition stock'!$G$6:$G$94="n.d."))&gt;0),"n.d.",SUMPRODUCT(--('Repartition stock'!$A$6:$A$94="2026Q2"),--('Repartition stock'!$B$6:$B$94="DK"),--('Repartition stock'!$E$6:$E$94="Tranche"),--('Repartition stock'!$F$6:$F$94="&gt;7474 Kr"),'Repartition stock'!$G$6:$G$94))</f>
        <v>1</v>
      </c>
      <c r="Y11" s="6"/>
      <c r="Z11" s="6">
        <f>IF(OR(SUMPRODUCT(--('Repartition stock'!$A$6:$A$94="2026Q2"),--('Repartition stock'!$B$6:$B$94="DK"),--('Repartition stock'!$E$6:$E$94="Tranche"),--('Repartition stock'!$F$6:$F$94="&gt;7474 Kr"))=0,SUMPRODUCT(--('Repartition stock'!$A$6:$A$94="2026Q2"),--('Repartition stock'!$B$6:$B$94="DK"),--('Repartition stock'!$E$6:$E$94="Tranche"),--('Repartition stock'!$F$6:$F$94="&gt;7474 Kr"),--('Repartition stock'!$H$6:$H$94="n.d."))&gt;0),"n.d.",SUMPRODUCT(--('Repartition stock'!$A$6:$A$94="2026Q2"),--('Repartition stock'!$B$6:$B$94="DK"),--('Repartition stock'!$E$6:$E$94="Tranche"),--('Repartition stock'!$F$6:$F$94="&gt;7474 Kr"),'Repartition stock'!$H$6:$H$94))</f>
        <v>13048.57</v>
      </c>
      <c r="AA11" s="6"/>
      <c r="AB11" s="6"/>
      <c r="AC11" s="7">
        <f>IF(OR(COUNT(X11,X12)&lt;&gt;2,X12=0),"n.d.",X11/X12)</f>
        <v>0.001445086705202312</v>
      </c>
      <c r="AD11" s="7"/>
      <c r="AE11" s="7">
        <f>IF(OR(COUNT(Z11,Z12)&lt;&gt;2,Z12=0),"n.d.",Z11/Z12)</f>
        <v>0.07157831462703804</v>
      </c>
      <c r="AF11" s="7"/>
    </row>
    <row r="12" spans="1:32" ht="13.5" customHeight="1">
      <c r="A12" s="12"/>
      <c r="R12" s="8" t="s">
        <v>461</v>
      </c>
      <c r="S12" s="8"/>
      <c r="T12" s="8"/>
      <c r="U12" s="8"/>
      <c r="V12" s="8"/>
      <c r="W12" s="8"/>
      <c r="X12" s="8">
        <f>IF(COUNT(X7:X11)=5,SUM(X7:X11),"n.d.")</f>
        <v>692</v>
      </c>
      <c r="Y12" s="8"/>
      <c r="Z12" s="8">
        <f>IF(COUNT(Z7:Z11)=5,SUM(Z7:Z11),"n.d.")</f>
        <v>182297.80999999997</v>
      </c>
      <c r="AA12" s="8"/>
      <c r="AB12" s="8"/>
      <c r="AC12" s="9">
        <f>IF(OR(NOT(ISNUMBER(X12)),X12=0),"n.d.",1)</f>
        <v>1.0</v>
      </c>
      <c r="AD12" s="9"/>
      <c r="AE12" s="9">
        <f>IF(OR(NOT(ISNUMBER(Z12)),Z12=0),"n.d.",1)</f>
        <v>1.0</v>
      </c>
      <c r="AF12" s="9"/>
    </row>
    <row r="13" spans="1:32" ht="13.5" customHeight="1">
      <c r="A13" s="12"/>
    </row>
    <row r="14" spans="1:32" ht="13.5" customHeight="1">
      <c r="A14" s="12"/>
      <c r="R14" s="4" t="s">
        <v>462</v>
      </c>
      <c r="S14" s="4"/>
      <c r="T14" s="4"/>
      <c r="U14" s="15" t="s">
        <v>146</v>
      </c>
      <c r="V14" s="15"/>
      <c r="W14" s="15"/>
      <c r="X14" s="6">
        <f>IF(OR(SUMPRODUCT(--('Repartition stock'!$A$6:$A$94="2026Q2"),--('Repartition stock'!$B$6:$B$94="DK"),--('Repartition stock'!$E$6:$E$94="Millésime"),--('Repartition stock'!$F$6:$F$94="&lt;2018"))=0,SUMPRODUCT(--('Repartition stock'!$A$6:$A$94="2026Q2"),--('Repartition stock'!$B$6:$B$94="DK"),--('Repartition stock'!$E$6:$E$94="Millésime"),--('Repartition stock'!$F$6:$F$94="&lt;2018"),--('Repartition stock'!$G$6:$G$94="n.d."))&gt;0),"n.d.",SUMPRODUCT(--('Repartition stock'!$A$6:$A$94="2026Q2"),--('Repartition stock'!$B$6:$B$94="DK"),--('Repartition stock'!$E$6:$E$94="Millésime"),--('Repartition stock'!$F$6:$F$94="&lt;2018"),'Repartition stock'!$G$6:$G$94))</f>
        <v>0</v>
      </c>
      <c r="Y14" s="6"/>
      <c r="Z14" s="6">
        <f>IF(OR(SUMPRODUCT(--('Repartition stock'!$A$6:$A$94="2026Q2"),--('Repartition stock'!$B$6:$B$94="DK"),--('Repartition stock'!$E$6:$E$94="Millésime"),--('Repartition stock'!$F$6:$F$94="&lt;2018"))=0,SUMPRODUCT(--('Repartition stock'!$A$6:$A$94="2026Q2"),--('Repartition stock'!$B$6:$B$94="DK"),--('Repartition stock'!$E$6:$E$94="Millésime"),--('Repartition stock'!$F$6:$F$94="&lt;2018"),--('Repartition stock'!$H$6:$H$94="n.d."))&gt;0),"n.d.",SUMPRODUCT(--('Repartition stock'!$A$6:$A$94="2026Q2"),--('Repartition stock'!$B$6:$B$94="DK"),--('Repartition stock'!$E$6:$E$94="Millésime"),--('Repartition stock'!$F$6:$F$94="&lt;2018"),'Repartition stock'!$H$6:$H$94))</f>
        <v>0</v>
      </c>
      <c r="AA14" s="6"/>
      <c r="AB14" s="6"/>
      <c r="AC14" s="7">
        <f>IF(OR(COUNT(X14,X24)&lt;&gt;2,X24=0),"n.d.",X14/X24)</f>
        <v>0.0</v>
      </c>
      <c r="AD14" s="7"/>
      <c r="AE14" s="7">
        <f>IF(OR(COUNT(Z14,Z24)&lt;&gt;2,Z24=0),"n.d.",Z14/Z24)</f>
        <v>0.0</v>
      </c>
      <c r="AF14" s="7"/>
    </row>
    <row r="15" spans="1:32" ht="13.5" customHeight="1">
      <c r="A15" s="12"/>
      <c r="R15" s="4"/>
      <c r="S15" s="4"/>
      <c r="T15" s="4"/>
      <c r="U15" s="15" t="s">
        <v>148</v>
      </c>
      <c r="V15" s="15"/>
      <c r="W15" s="15"/>
      <c r="X15" s="6">
        <f>IF(OR(SUMPRODUCT(--('Repartition stock'!$A$6:$A$94="2026Q2"),--('Repartition stock'!$B$6:$B$94="DK"),--('Repartition stock'!$E$6:$E$94="Millésime"),--('Repartition stock'!$F$6:$F$94="2018"))=0,SUMPRODUCT(--('Repartition stock'!$A$6:$A$94="2026Q2"),--('Repartition stock'!$B$6:$B$94="DK"),--('Repartition stock'!$E$6:$E$94="Millésime"),--('Repartition stock'!$F$6:$F$94="2018"),--('Repartition stock'!$G$6:$G$94="n.d."))&gt;0),"n.d.",SUMPRODUCT(--('Repartition stock'!$A$6:$A$94="2026Q2"),--('Repartition stock'!$B$6:$B$94="DK"),--('Repartition stock'!$E$6:$E$94="Millésime"),--('Repartition stock'!$F$6:$F$94="2018"),'Repartition stock'!$G$6:$G$94))</f>
        <v>0</v>
      </c>
      <c r="Y15" s="6"/>
      <c r="Z15" s="6">
        <f>IF(OR(SUMPRODUCT(--('Repartition stock'!$A$6:$A$94="2026Q2"),--('Repartition stock'!$B$6:$B$94="DK"),--('Repartition stock'!$E$6:$E$94="Millésime"),--('Repartition stock'!$F$6:$F$94="2018"))=0,SUMPRODUCT(--('Repartition stock'!$A$6:$A$94="2026Q2"),--('Repartition stock'!$B$6:$B$94="DK"),--('Repartition stock'!$E$6:$E$94="Millésime"),--('Repartition stock'!$F$6:$F$94="2018"),--('Repartition stock'!$H$6:$H$94="n.d."))&gt;0),"n.d.",SUMPRODUCT(--('Repartition stock'!$A$6:$A$94="2026Q2"),--('Repartition stock'!$B$6:$B$94="DK"),--('Repartition stock'!$E$6:$E$94="Millésime"),--('Repartition stock'!$F$6:$F$94="2018"),'Repartition stock'!$H$6:$H$94))</f>
        <v>0</v>
      </c>
      <c r="AA15" s="6"/>
      <c r="AB15" s="6"/>
      <c r="AC15" s="7">
        <f>IF(OR(COUNT(X15,X24)&lt;&gt;2,X24=0),"n.d.",X15/X24)</f>
        <v>0.0</v>
      </c>
      <c r="AD15" s="7"/>
      <c r="AE15" s="7">
        <f>IF(OR(COUNT(Z15,Z24)&lt;&gt;2,Z24=0),"n.d.",Z15/Z24)</f>
        <v>0.0</v>
      </c>
      <c r="AF15" s="7"/>
    </row>
    <row r="16" spans="1:32" ht="13.5" customHeight="1">
      <c r="A16" s="12"/>
      <c r="R16" s="4"/>
      <c r="S16" s="4"/>
      <c r="T16" s="4"/>
      <c r="U16" s="15" t="s">
        <v>150</v>
      </c>
      <c r="V16" s="15"/>
      <c r="W16" s="15"/>
      <c r="X16" s="6">
        <f>IF(OR(SUMPRODUCT(--('Repartition stock'!$A$6:$A$94="2026Q2"),--('Repartition stock'!$B$6:$B$94="DK"),--('Repartition stock'!$E$6:$E$94="Millésime"),--('Repartition stock'!$F$6:$F$94="2019"))=0,SUMPRODUCT(--('Repartition stock'!$A$6:$A$94="2026Q2"),--('Repartition stock'!$B$6:$B$94="DK"),--('Repartition stock'!$E$6:$E$94="Millésime"),--('Repartition stock'!$F$6:$F$94="2019"),--('Repartition stock'!$G$6:$G$94="n.d."))&gt;0),"n.d.",SUMPRODUCT(--('Repartition stock'!$A$6:$A$94="2026Q2"),--('Repartition stock'!$B$6:$B$94="DK"),--('Repartition stock'!$E$6:$E$94="Millésime"),--('Repartition stock'!$F$6:$F$94="2019"),'Repartition stock'!$G$6:$G$94))</f>
        <v>0</v>
      </c>
      <c r="Y16" s="6"/>
      <c r="Z16" s="6">
        <f>IF(OR(SUMPRODUCT(--('Repartition stock'!$A$6:$A$94="2026Q2"),--('Repartition stock'!$B$6:$B$94="DK"),--('Repartition stock'!$E$6:$E$94="Millésime"),--('Repartition stock'!$F$6:$F$94="2019"))=0,SUMPRODUCT(--('Repartition stock'!$A$6:$A$94="2026Q2"),--('Repartition stock'!$B$6:$B$94="DK"),--('Repartition stock'!$E$6:$E$94="Millésime"),--('Repartition stock'!$F$6:$F$94="2019"),--('Repartition stock'!$H$6:$H$94="n.d."))&gt;0),"n.d.",SUMPRODUCT(--('Repartition stock'!$A$6:$A$94="2026Q2"),--('Repartition stock'!$B$6:$B$94="DK"),--('Repartition stock'!$E$6:$E$94="Millésime"),--('Repartition stock'!$F$6:$F$94="2019"),'Repartition stock'!$H$6:$H$94))</f>
        <v>0</v>
      </c>
      <c r="AA16" s="6"/>
      <c r="AB16" s="6"/>
      <c r="AC16" s="7">
        <f>IF(OR(COUNT(X16,X24)&lt;&gt;2,X24=0),"n.d.",X16/X24)</f>
        <v>0.0</v>
      </c>
      <c r="AD16" s="7"/>
      <c r="AE16" s="7">
        <f>IF(OR(COUNT(Z16,Z24)&lt;&gt;2,Z24=0),"n.d.",Z16/Z24)</f>
        <v>0.0</v>
      </c>
      <c r="AF16" s="7"/>
    </row>
    <row r="17" spans="1:32" ht="13.5" customHeight="1">
      <c r="A17" s="12"/>
      <c r="R17" s="4"/>
      <c r="S17" s="4"/>
      <c r="T17" s="4"/>
      <c r="U17" s="15" t="s">
        <v>152</v>
      </c>
      <c r="V17" s="15"/>
      <c r="W17" s="15"/>
      <c r="X17" s="6">
        <f>IF(OR(SUMPRODUCT(--('Repartition stock'!$A$6:$A$94="2026Q2"),--('Repartition stock'!$B$6:$B$94="DK"),--('Repartition stock'!$E$6:$E$94="Millésime"),--('Repartition stock'!$F$6:$F$94="2020"))=0,SUMPRODUCT(--('Repartition stock'!$A$6:$A$94="2026Q2"),--('Repartition stock'!$B$6:$B$94="DK"),--('Repartition stock'!$E$6:$E$94="Millésime"),--('Repartition stock'!$F$6:$F$94="2020"),--('Repartition stock'!$G$6:$G$94="n.d."))&gt;0),"n.d.",SUMPRODUCT(--('Repartition stock'!$A$6:$A$94="2026Q2"),--('Repartition stock'!$B$6:$B$94="DK"),--('Repartition stock'!$E$6:$E$94="Millésime"),--('Repartition stock'!$F$6:$F$94="2020"),'Repartition stock'!$G$6:$G$94))</f>
        <v>0</v>
      </c>
      <c r="Y17" s="6"/>
      <c r="Z17" s="6">
        <f>IF(OR(SUMPRODUCT(--('Repartition stock'!$A$6:$A$94="2026Q2"),--('Repartition stock'!$B$6:$B$94="DK"),--('Repartition stock'!$E$6:$E$94="Millésime"),--('Repartition stock'!$F$6:$F$94="2020"))=0,SUMPRODUCT(--('Repartition stock'!$A$6:$A$94="2026Q2"),--('Repartition stock'!$B$6:$B$94="DK"),--('Repartition stock'!$E$6:$E$94="Millésime"),--('Repartition stock'!$F$6:$F$94="2020"),--('Repartition stock'!$H$6:$H$94="n.d."))&gt;0),"n.d.",SUMPRODUCT(--('Repartition stock'!$A$6:$A$94="2026Q2"),--('Repartition stock'!$B$6:$B$94="DK"),--('Repartition stock'!$E$6:$E$94="Millésime"),--('Repartition stock'!$F$6:$F$94="2020"),'Repartition stock'!$H$6:$H$94))</f>
        <v>0</v>
      </c>
      <c r="AA17" s="6"/>
      <c r="AB17" s="6"/>
      <c r="AC17" s="7">
        <f>IF(OR(COUNT(X17,X24)&lt;&gt;2,X24=0),"n.d.",X17/X24)</f>
        <v>0.0</v>
      </c>
      <c r="AD17" s="7"/>
      <c r="AE17" s="7">
        <f>IF(OR(COUNT(Z17,Z24)&lt;&gt;2,Z24=0),"n.d.",Z17/Z24)</f>
        <v>0.0</v>
      </c>
      <c r="AF17" s="7"/>
    </row>
    <row r="18" spans="1:32" ht="13.5" customHeight="1">
      <c r="A18" s="12"/>
      <c r="R18" s="4"/>
      <c r="S18" s="4"/>
      <c r="T18" s="4"/>
      <c r="U18" s="15" t="s">
        <v>154</v>
      </c>
      <c r="V18" s="15"/>
      <c r="W18" s="15"/>
      <c r="X18" s="6">
        <f>IF(OR(SUMPRODUCT(--('Repartition stock'!$A$6:$A$94="2026Q2"),--('Repartition stock'!$B$6:$B$94="DK"),--('Repartition stock'!$E$6:$E$94="Millésime"),--('Repartition stock'!$F$6:$F$94="2021"))=0,SUMPRODUCT(--('Repartition stock'!$A$6:$A$94="2026Q2"),--('Repartition stock'!$B$6:$B$94="DK"),--('Repartition stock'!$E$6:$E$94="Millésime"),--('Repartition stock'!$F$6:$F$94="2021"),--('Repartition stock'!$G$6:$G$94="n.d."))&gt;0),"n.d.",SUMPRODUCT(--('Repartition stock'!$A$6:$A$94="2026Q2"),--('Repartition stock'!$B$6:$B$94="DK"),--('Repartition stock'!$E$6:$E$94="Millésime"),--('Repartition stock'!$F$6:$F$94="2021"),'Repartition stock'!$G$6:$G$94))</f>
        <v>0</v>
      </c>
      <c r="Y18" s="6"/>
      <c r="Z18" s="6">
        <f>IF(OR(SUMPRODUCT(--('Repartition stock'!$A$6:$A$94="2026Q2"),--('Repartition stock'!$B$6:$B$94="DK"),--('Repartition stock'!$E$6:$E$94="Millésime"),--('Repartition stock'!$F$6:$F$94="2021"))=0,SUMPRODUCT(--('Repartition stock'!$A$6:$A$94="2026Q2"),--('Repartition stock'!$B$6:$B$94="DK"),--('Repartition stock'!$E$6:$E$94="Millésime"),--('Repartition stock'!$F$6:$F$94="2021"),--('Repartition stock'!$H$6:$H$94="n.d."))&gt;0),"n.d.",SUMPRODUCT(--('Repartition stock'!$A$6:$A$94="2026Q2"),--('Repartition stock'!$B$6:$B$94="DK"),--('Repartition stock'!$E$6:$E$94="Millésime"),--('Repartition stock'!$F$6:$F$94="2021"),'Repartition stock'!$H$6:$H$94))</f>
        <v>0</v>
      </c>
      <c r="AA18" s="6"/>
      <c r="AB18" s="6"/>
      <c r="AC18" s="7">
        <f>IF(OR(COUNT(X18,X24)&lt;&gt;2,X24=0),"n.d.",X18/X24)</f>
        <v>0.0</v>
      </c>
      <c r="AD18" s="7"/>
      <c r="AE18" s="7">
        <f>IF(OR(COUNT(Z18,Z24)&lt;&gt;2,Z24=0),"n.d.",Z18/Z24)</f>
        <v>0.0</v>
      </c>
      <c r="AF18" s="7"/>
    </row>
    <row r="19" spans="1:32" ht="13.5" customHeight="1">
      <c r="A19" s="12"/>
      <c r="R19" s="4"/>
      <c r="S19" s="4"/>
      <c r="T19" s="4"/>
      <c r="U19" s="15" t="s">
        <v>156</v>
      </c>
      <c r="V19" s="15"/>
      <c r="W19" s="15"/>
      <c r="X19" s="6">
        <f>IF(OR(SUMPRODUCT(--('Repartition stock'!$A$6:$A$94="2026Q2"),--('Repartition stock'!$B$6:$B$94="DK"),--('Repartition stock'!$E$6:$E$94="Millésime"),--('Repartition stock'!$F$6:$F$94="2022"))=0,SUMPRODUCT(--('Repartition stock'!$A$6:$A$94="2026Q2"),--('Repartition stock'!$B$6:$B$94="DK"),--('Repartition stock'!$E$6:$E$94="Millésime"),--('Repartition stock'!$F$6:$F$94="2022"),--('Repartition stock'!$G$6:$G$94="n.d."))&gt;0),"n.d.",SUMPRODUCT(--('Repartition stock'!$A$6:$A$94="2026Q2"),--('Repartition stock'!$B$6:$B$94="DK"),--('Repartition stock'!$E$6:$E$94="Millésime"),--('Repartition stock'!$F$6:$F$94="2022"),'Repartition stock'!$G$6:$G$94))</f>
        <v>0</v>
      </c>
      <c r="Y19" s="6"/>
      <c r="Z19" s="6">
        <f>IF(OR(SUMPRODUCT(--('Repartition stock'!$A$6:$A$94="2026Q2"),--('Repartition stock'!$B$6:$B$94="DK"),--('Repartition stock'!$E$6:$E$94="Millésime"),--('Repartition stock'!$F$6:$F$94="2022"))=0,SUMPRODUCT(--('Repartition stock'!$A$6:$A$94="2026Q2"),--('Repartition stock'!$B$6:$B$94="DK"),--('Repartition stock'!$E$6:$E$94="Millésime"),--('Repartition stock'!$F$6:$F$94="2022"),--('Repartition stock'!$H$6:$H$94="n.d."))&gt;0),"n.d.",SUMPRODUCT(--('Repartition stock'!$A$6:$A$94="2026Q2"),--('Repartition stock'!$B$6:$B$94="DK"),--('Repartition stock'!$E$6:$E$94="Millésime"),--('Repartition stock'!$F$6:$F$94="2022"),'Repartition stock'!$H$6:$H$94))</f>
        <v>0</v>
      </c>
      <c r="AA19" s="6"/>
      <c r="AB19" s="6"/>
      <c r="AC19" s="7">
        <f>IF(OR(COUNT(X19,X24)&lt;&gt;2,X24=0),"n.d.",X19/X24)</f>
        <v>0.0</v>
      </c>
      <c r="AD19" s="7"/>
      <c r="AE19" s="7">
        <f>IF(OR(COUNT(Z19,Z24)&lt;&gt;2,Z24=0),"n.d.",Z19/Z24)</f>
        <v>0.0</v>
      </c>
      <c r="AF19" s="7"/>
    </row>
    <row r="20" spans="1:32" ht="13.5" customHeight="1">
      <c r="A20" s="12"/>
      <c r="R20" s="4"/>
      <c r="S20" s="4"/>
      <c r="T20" s="4"/>
      <c r="U20" s="15" t="s">
        <v>158</v>
      </c>
      <c r="V20" s="15"/>
      <c r="W20" s="15"/>
      <c r="X20" s="6">
        <f>IF(OR(SUMPRODUCT(--('Repartition stock'!$A$6:$A$94="2026Q2"),--('Repartition stock'!$B$6:$B$94="DK"),--('Repartition stock'!$E$6:$E$94="Millésime"),--('Repartition stock'!$F$6:$F$94="2023"))=0,SUMPRODUCT(--('Repartition stock'!$A$6:$A$94="2026Q2"),--('Repartition stock'!$B$6:$B$94="DK"),--('Repartition stock'!$E$6:$E$94="Millésime"),--('Repartition stock'!$F$6:$F$94="2023"),--('Repartition stock'!$G$6:$G$94="n.d."))&gt;0),"n.d.",SUMPRODUCT(--('Repartition stock'!$A$6:$A$94="2026Q2"),--('Repartition stock'!$B$6:$B$94="DK"),--('Repartition stock'!$E$6:$E$94="Millésime"),--('Repartition stock'!$F$6:$F$94="2023"),'Repartition stock'!$G$6:$G$94))</f>
        <v>0</v>
      </c>
      <c r="Y20" s="6"/>
      <c r="Z20" s="6">
        <f>IF(OR(SUMPRODUCT(--('Repartition stock'!$A$6:$A$94="2026Q2"),--('Repartition stock'!$B$6:$B$94="DK"),--('Repartition stock'!$E$6:$E$94="Millésime"),--('Repartition stock'!$F$6:$F$94="2023"))=0,SUMPRODUCT(--('Repartition stock'!$A$6:$A$94="2026Q2"),--('Repartition stock'!$B$6:$B$94="DK"),--('Repartition stock'!$E$6:$E$94="Millésime"),--('Repartition stock'!$F$6:$F$94="2023"),--('Repartition stock'!$H$6:$H$94="n.d."))&gt;0),"n.d.",SUMPRODUCT(--('Repartition stock'!$A$6:$A$94="2026Q2"),--('Repartition stock'!$B$6:$B$94="DK"),--('Repartition stock'!$E$6:$E$94="Millésime"),--('Repartition stock'!$F$6:$F$94="2023"),'Repartition stock'!$H$6:$H$94))</f>
        <v>0</v>
      </c>
      <c r="AA20" s="6"/>
      <c r="AB20" s="6"/>
      <c r="AC20" s="7">
        <f>IF(OR(COUNT(X20,X24)&lt;&gt;2,X24=0),"n.d.",X20/X24)</f>
        <v>0.0</v>
      </c>
      <c r="AD20" s="7"/>
      <c r="AE20" s="7">
        <f>IF(OR(COUNT(Z20,Z24)&lt;&gt;2,Z24=0),"n.d.",Z20/Z24)</f>
        <v>0.0</v>
      </c>
      <c r="AF20" s="7"/>
    </row>
    <row r="21" spans="1:32" ht="13.5" customHeight="1">
      <c r="A21" s="12"/>
      <c r="R21" s="4"/>
      <c r="S21" s="4"/>
      <c r="T21" s="4"/>
      <c r="U21" s="15" t="s">
        <v>64</v>
      </c>
      <c r="V21" s="15"/>
      <c r="W21" s="15"/>
      <c r="X21" s="6">
        <f>IF(OR(SUMPRODUCT(--('Repartition stock'!$A$6:$A$94="2026Q2"),--('Repartition stock'!$B$6:$B$94="DK"),--('Repartition stock'!$E$6:$E$94="Millésime"),--('Repartition stock'!$F$6:$F$94="2024"))=0,SUMPRODUCT(--('Repartition stock'!$A$6:$A$94="2026Q2"),--('Repartition stock'!$B$6:$B$94="DK"),--('Repartition stock'!$E$6:$E$94="Millésime"),--('Repartition stock'!$F$6:$F$94="2024"),--('Repartition stock'!$G$6:$G$94="n.d."))&gt;0),"n.d.",SUMPRODUCT(--('Repartition stock'!$A$6:$A$94="2026Q2"),--('Repartition stock'!$B$6:$B$94="DK"),--('Repartition stock'!$E$6:$E$94="Millésime"),--('Repartition stock'!$F$6:$F$94="2024"),'Repartition stock'!$G$6:$G$94))</f>
        <v>0</v>
      </c>
      <c r="Y21" s="6"/>
      <c r="Z21" s="6">
        <f>IF(OR(SUMPRODUCT(--('Repartition stock'!$A$6:$A$94="2026Q2"),--('Repartition stock'!$B$6:$B$94="DK"),--('Repartition stock'!$E$6:$E$94="Millésime"),--('Repartition stock'!$F$6:$F$94="2024"))=0,SUMPRODUCT(--('Repartition stock'!$A$6:$A$94="2026Q2"),--('Repartition stock'!$B$6:$B$94="DK"),--('Repartition stock'!$E$6:$E$94="Millésime"),--('Repartition stock'!$F$6:$F$94="2024"),--('Repartition stock'!$H$6:$H$94="n.d."))&gt;0),"n.d.",SUMPRODUCT(--('Repartition stock'!$A$6:$A$94="2026Q2"),--('Repartition stock'!$B$6:$B$94="DK"),--('Repartition stock'!$E$6:$E$94="Millésime"),--('Repartition stock'!$F$6:$F$94="2024"),'Repartition stock'!$H$6:$H$94))</f>
        <v>0</v>
      </c>
      <c r="AA21" s="6"/>
      <c r="AB21" s="6"/>
      <c r="AC21" s="7">
        <f>IF(OR(COUNT(X21,X24)&lt;&gt;2,X24=0),"n.d.",X21/X24)</f>
        <v>0.0</v>
      </c>
      <c r="AD21" s="7"/>
      <c r="AE21" s="7">
        <f>IF(OR(COUNT(Z21,Z24)&lt;&gt;2,Z24=0),"n.d.",Z21/Z24)</f>
        <v>0.0</v>
      </c>
      <c r="AF21" s="7"/>
    </row>
    <row r="22" spans="1:32" ht="13.5" customHeight="1">
      <c r="A22" s="12"/>
      <c r="R22" s="4"/>
      <c r="S22" s="4"/>
      <c r="T22" s="4"/>
      <c r="U22" s="15" t="s">
        <v>46</v>
      </c>
      <c r="V22" s="15"/>
      <c r="W22" s="15"/>
      <c r="X22" s="6">
        <f>IF(OR(SUMPRODUCT(--('Repartition stock'!$A$6:$A$94="2026Q2"),--('Repartition stock'!$B$6:$B$94="DK"),--('Repartition stock'!$E$6:$E$94="Millésime"),--('Repartition stock'!$F$6:$F$94="2025"))=0,SUMPRODUCT(--('Repartition stock'!$A$6:$A$94="2026Q2"),--('Repartition stock'!$B$6:$B$94="DK"),--('Repartition stock'!$E$6:$E$94="Millésime"),--('Repartition stock'!$F$6:$F$94="2025"),--('Repartition stock'!$G$6:$G$94="n.d."))&gt;0),"n.d.",SUMPRODUCT(--('Repartition stock'!$A$6:$A$94="2026Q2"),--('Repartition stock'!$B$6:$B$94="DK"),--('Repartition stock'!$E$6:$E$94="Millésime"),--('Repartition stock'!$F$6:$F$94="2025"),'Repartition stock'!$G$6:$G$94))</f>
        <v>0</v>
      </c>
      <c r="Y22" s="6"/>
      <c r="Z22" s="6">
        <f>IF(OR(SUMPRODUCT(--('Repartition stock'!$A$6:$A$94="2026Q2"),--('Repartition stock'!$B$6:$B$94="DK"),--('Repartition stock'!$E$6:$E$94="Millésime"),--('Repartition stock'!$F$6:$F$94="2025"))=0,SUMPRODUCT(--('Repartition stock'!$A$6:$A$94="2026Q2"),--('Repartition stock'!$B$6:$B$94="DK"),--('Repartition stock'!$E$6:$E$94="Millésime"),--('Repartition stock'!$F$6:$F$94="2025"),--('Repartition stock'!$H$6:$H$94="n.d."))&gt;0),"n.d.",SUMPRODUCT(--('Repartition stock'!$A$6:$A$94="2026Q2"),--('Repartition stock'!$B$6:$B$94="DK"),--('Repartition stock'!$E$6:$E$94="Millésime"),--('Repartition stock'!$F$6:$F$94="2025"),'Repartition stock'!$H$6:$H$94))</f>
        <v>0</v>
      </c>
      <c r="AA22" s="6"/>
      <c r="AB22" s="6"/>
      <c r="AC22" s="7">
        <f>IF(OR(COUNT(X22,X24)&lt;&gt;2,X24=0),"n.d.",X22/X24)</f>
        <v>0.0</v>
      </c>
      <c r="AD22" s="7"/>
      <c r="AE22" s="7">
        <f>IF(OR(COUNT(Z22,Z24)&lt;&gt;2,Z24=0),"n.d.",Z22/Z24)</f>
        <v>0.0</v>
      </c>
      <c r="AF22" s="7"/>
    </row>
    <row r="23" spans="1:32" ht="13.5" customHeight="1">
      <c r="A23" s="12"/>
      <c r="R23" s="4"/>
      <c r="S23" s="4"/>
      <c r="T23" s="4"/>
      <c r="U23" s="15" t="s">
        <v>48</v>
      </c>
      <c r="V23" s="15"/>
      <c r="W23" s="15"/>
      <c r="X23" s="6">
        <f>IF(OR(SUMPRODUCT(--('Repartition stock'!$A$6:$A$94="2026Q2"),--('Repartition stock'!$B$6:$B$94="DK"),--('Repartition stock'!$E$6:$E$94="Millésime"),--('Repartition stock'!$F$6:$F$94="2026"))=0,SUMPRODUCT(--('Repartition stock'!$A$6:$A$94="2026Q2"),--('Repartition stock'!$B$6:$B$94="DK"),--('Repartition stock'!$E$6:$E$94="Millésime"),--('Repartition stock'!$F$6:$F$94="2026"),--('Repartition stock'!$G$6:$G$94="n.d."))&gt;0),"n.d.",SUMPRODUCT(--('Repartition stock'!$A$6:$A$94="2026Q2"),--('Repartition stock'!$B$6:$B$94="DK"),--('Repartition stock'!$E$6:$E$94="Millésime"),--('Repartition stock'!$F$6:$F$94="2026"),'Repartition stock'!$G$6:$G$94))</f>
        <v>692</v>
      </c>
      <c r="Y23" s="6"/>
      <c r="Z23" s="6">
        <f>IF(OR(SUMPRODUCT(--('Repartition stock'!$A$6:$A$94="2026Q2"),--('Repartition stock'!$B$6:$B$94="DK"),--('Repartition stock'!$E$6:$E$94="Millésime"),--('Repartition stock'!$F$6:$F$94="2026"))=0,SUMPRODUCT(--('Repartition stock'!$A$6:$A$94="2026Q2"),--('Repartition stock'!$B$6:$B$94="DK"),--('Repartition stock'!$E$6:$E$94="Millésime"),--('Repartition stock'!$F$6:$F$94="2026"),--('Repartition stock'!$H$6:$H$94="n.d."))&gt;0),"n.d.",SUMPRODUCT(--('Repartition stock'!$A$6:$A$94="2026Q2"),--('Repartition stock'!$B$6:$B$94="DK"),--('Repartition stock'!$E$6:$E$94="Millésime"),--('Repartition stock'!$F$6:$F$94="2026"),'Repartition stock'!$H$6:$H$94))</f>
        <v>182297.8099999999</v>
      </c>
      <c r="AA23" s="6"/>
      <c r="AB23" s="6"/>
      <c r="AC23" s="7">
        <f>IF(OR(COUNT(X23,X24)&lt;&gt;2,X24=0),"n.d.",X23/X24)</f>
        <v>1.0</v>
      </c>
      <c r="AD23" s="7"/>
      <c r="AE23" s="7">
        <f>IF(OR(COUNT(Z23,Z24)&lt;&gt;2,Z24=0),"n.d.",Z23/Z24)</f>
        <v>1.0</v>
      </c>
      <c r="AF23" s="7"/>
    </row>
    <row r="24" spans="1:32" ht="13.5" customHeight="1">
      <c r="A24" s="12"/>
      <c r="R24" s="8" t="s">
        <v>461</v>
      </c>
      <c r="S24" s="8"/>
      <c r="T24" s="8"/>
      <c r="U24" s="8"/>
      <c r="V24" s="8"/>
      <c r="W24" s="8"/>
      <c r="X24" s="8">
        <f>IF(COUNT(X14:X23)=10,SUM(X14:X23),"n.d.")</f>
        <v>692</v>
      </c>
      <c r="Y24" s="8"/>
      <c r="Z24" s="8">
        <f>IF(COUNT(Z14:Z23)=10,SUM(Z14:Z23),"n.d.")</f>
        <v>182297.8099999999</v>
      </c>
      <c r="AA24" s="8"/>
      <c r="AB24" s="8"/>
      <c r="AC24" s="9">
        <f>IF(OR(NOT(ISNUMBER(X24)),X24=0),"n.d.",1)</f>
        <v>1.0</v>
      </c>
      <c r="AD24" s="9"/>
      <c r="AE24" s="9">
        <f>IF(OR(NOT(ISNUMBER(Z24)),Z24=0),"n.d.",1)</f>
        <v>1.0</v>
      </c>
      <c r="AF24" s="9"/>
    </row>
    <row r="25" spans="1:32" ht="13.5" customHeight="1">
      <c r="A25" s="12"/>
    </row>
    <row r="26" spans="1:32" ht="13.5" customHeight="1">
      <c r="A26" s="12"/>
    </row>
    <row r="27" spans="1:32" ht="13.5" customHeight="1">
      <c r="A27" s="12"/>
    </row>
    <row r="28" spans="1:32" ht="13.5" customHeight="1">
      <c r="A28" s="12"/>
    </row>
    <row r="29" spans="1:32" ht="13.5" customHeight="1">
      <c r="A29" s="12"/>
    </row>
    <row r="30" spans="1:32" ht="13.5" customHeight="1">
      <c r="A30" s="12"/>
      <c r="B30" s="10" t="str">
        <f>"Average monthly new flow: "&amp;IF(ISNUMBER('GraphData'!A137),TEXT('GraphData'!A137,"#,##0"),"n.d.")&amp;" DKK. Average balance per contract: "&amp;IF(ISNUMBER('GraphData'!B137),TEXT('GraphData'!B137,"#,##0"),"n.d.")&amp;" DKK."</f>
        <v>Average monthly new flow: 143,487 DKK. Average balance per contract: 395 DKK.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</row>
    <row r="31" spans="1:32" ht="13.5" customHeight="1">
      <c r="A31" s="12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</row>
    <row r="32" spans="1:32" ht="13.5" customHeight="1">
      <c r="A32" s="12"/>
      <c r="B32" s="10" t="str">
        <f>"Oldest cohort (M-5): "&amp;IF(ISNUMBER('GraphData'!C137),TEXT('GraphData'!C137,"0.0%"),"n.d.")&amp;" treated in amount and "&amp;IF(ISNUMBER('GraphData'!D137),TEXT('GraphData'!D137,"0.0%"),"n.d.")&amp;" in number."</f>
        <v>Oldest cohort (M-5): 100.0% treated in amount and 100.0% in number.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</row>
    <row r="33" spans="1:32" ht="13.5" customHeight="1">
      <c r="A33" s="12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</row>
    <row r="34" spans="1:32" ht="13.5" customHeight="1">
      <c r="A34" s="12"/>
      <c r="B34" s="10" t="str">
        <f>"Stock to process: "&amp;IF(ISNUMBER('GraphData'!E137),TEXT('GraphData'!E137,"#,##0"),"n.d.")&amp;" DKK. Identified stock: "&amp;IF(ISNUMBER('GraphData'!F137),TEXT('GraphData'!F137,"#,##0"),"n.d.")&amp;" DKK."</f>
        <v>Stock to process: 182,298 DKK. Identified stock: 182,298 DKK.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</row>
    <row r="35" spans="1:32" ht="13.5" customHeight="1">
      <c r="A35" s="12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</row>
    <row r="36" spans="1:32" ht="13.5" customHeight="1">
      <c r="A36" s="12"/>
      <c r="B36" s="10" t="s">
        <v>484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</row>
    <row r="37" spans="1:32" ht="13.5" customHeight="1">
      <c r="A37" s="12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</row>
    <row r="38" spans="1:32" ht="13.5" customHeight="1">
      <c r="A38" s="12"/>
    </row>
    <row r="39" spans="1:32" ht="13.5" customHeight="1">
      <c r="A39" s="12"/>
    </row>
    <row r="40" spans="1:32" ht="13.5" customHeight="1">
      <c r="A40" s="12"/>
    </row>
    <row r="41" spans="1:32" ht="13.5" customHeight="1">
      <c r="A41" s="12"/>
    </row>
    <row r="42" spans="1:32" ht="13.5" customHeight="1">
      <c r="A42" s="12"/>
      <c r="B42" s="11" t="s">
        <v>390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</row>
  </sheetData>
  <mergeCells count="100">
    <mergeCell ref="B2:M4"/>
    <mergeCell ref="B42:AF42"/>
    <mergeCell ref="B5:P6"/>
    <mergeCell ref="R2:W5"/>
    <mergeCell ref="X2:AF2"/>
    <mergeCell ref="X3:Y5"/>
    <mergeCell ref="Z3:AB5"/>
    <mergeCell ref="AC3:AD5"/>
    <mergeCell ref="AE3:AF5"/>
    <mergeCell ref="R7:T11"/>
    <mergeCell ref="U7:W7"/>
    <mergeCell ref="X7:Y7"/>
    <mergeCell ref="Z7:AB7"/>
    <mergeCell ref="AC7:AD7"/>
    <mergeCell ref="AE7:AF7"/>
    <mergeCell ref="U8:W8"/>
    <mergeCell ref="X8:Y8"/>
    <mergeCell ref="Z8:AB8"/>
    <mergeCell ref="AC8:AD8"/>
    <mergeCell ref="AE8:AF8"/>
    <mergeCell ref="U9:W9"/>
    <mergeCell ref="X9:Y9"/>
    <mergeCell ref="Z9:AB9"/>
    <mergeCell ref="AC9:AD9"/>
    <mergeCell ref="AE9:AF9"/>
    <mergeCell ref="U10:W10"/>
    <mergeCell ref="X10:Y10"/>
    <mergeCell ref="Z10:AB10"/>
    <mergeCell ref="AC10:AD10"/>
    <mergeCell ref="AE10:AF10"/>
    <mergeCell ref="U11:W11"/>
    <mergeCell ref="X11:Y11"/>
    <mergeCell ref="Z11:AB11"/>
    <mergeCell ref="AC11:AD11"/>
    <mergeCell ref="AE11:AF11"/>
    <mergeCell ref="R12:W12"/>
    <mergeCell ref="X12:Y12"/>
    <mergeCell ref="Z12:AB12"/>
    <mergeCell ref="AC12:AD12"/>
    <mergeCell ref="AE12:AF12"/>
    <mergeCell ref="R14:T23"/>
    <mergeCell ref="U14:W14"/>
    <mergeCell ref="X14:Y14"/>
    <mergeCell ref="Z14:AB14"/>
    <mergeCell ref="AC14:AD14"/>
    <mergeCell ref="AE14:AF14"/>
    <mergeCell ref="U15:W15"/>
    <mergeCell ref="X15:Y15"/>
    <mergeCell ref="Z15:AB15"/>
    <mergeCell ref="AC15:AD15"/>
    <mergeCell ref="AE15:AF15"/>
    <mergeCell ref="U16:W16"/>
    <mergeCell ref="X16:Y16"/>
    <mergeCell ref="Z16:AB16"/>
    <mergeCell ref="AC16:AD16"/>
    <mergeCell ref="AE16:AF16"/>
    <mergeCell ref="U17:W17"/>
    <mergeCell ref="X17:Y17"/>
    <mergeCell ref="Z17:AB17"/>
    <mergeCell ref="AC17:AD17"/>
    <mergeCell ref="AE17:AF17"/>
    <mergeCell ref="U18:W18"/>
    <mergeCell ref="X18:Y18"/>
    <mergeCell ref="Z18:AB18"/>
    <mergeCell ref="AC18:AD18"/>
    <mergeCell ref="AE18:AF18"/>
    <mergeCell ref="U19:W19"/>
    <mergeCell ref="X19:Y19"/>
    <mergeCell ref="Z19:AB19"/>
    <mergeCell ref="AC19:AD19"/>
    <mergeCell ref="AE19:AF19"/>
    <mergeCell ref="U20:W20"/>
    <mergeCell ref="X20:Y20"/>
    <mergeCell ref="Z20:AB20"/>
    <mergeCell ref="AC20:AD20"/>
    <mergeCell ref="AE20:AF20"/>
    <mergeCell ref="U21:W21"/>
    <mergeCell ref="X21:Y21"/>
    <mergeCell ref="Z21:AB21"/>
    <mergeCell ref="AC21:AD21"/>
    <mergeCell ref="AE21:AF21"/>
    <mergeCell ref="U22:W22"/>
    <mergeCell ref="X22:Y22"/>
    <mergeCell ref="Z22:AB22"/>
    <mergeCell ref="AC22:AD22"/>
    <mergeCell ref="AE22:AF22"/>
    <mergeCell ref="U23:W23"/>
    <mergeCell ref="X23:Y23"/>
    <mergeCell ref="Z23:AB23"/>
    <mergeCell ref="AC23:AD23"/>
    <mergeCell ref="AE23:AF23"/>
    <mergeCell ref="R24:W24"/>
    <mergeCell ref="X24:Y24"/>
    <mergeCell ref="Z24:AB24"/>
    <mergeCell ref="AC24:AD24"/>
    <mergeCell ref="AE24:AF24"/>
    <mergeCell ref="B30:AF31"/>
    <mergeCell ref="B32:AF33"/>
    <mergeCell ref="B34:AF35"/>
    <mergeCell ref="B36:AF37"/>
  </mergeCells>
  <conditionalFormatting sqref="B30:AF40">
    <cfRule type="notContainsBlanks" dxfId="2" priority="1">
      <formula>LEN(TRIM(B30))&gt;0</formula>
    </cfRule>
  </conditionalFormatting>
  <pageMargins left="0.15" right="0.15" top="0.2" bottom="0.2" header="0.3" footer="0.3"/>
  <pageSetup paperSize="9" fitToHeight="0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00627A"/>
    <pageSetUpPr fitToPage="1"/>
  </sheetPr>
  <dimension ref="A2:AF42"/>
  <sheetViews>
    <sheetView showGridLines="0" zoomScale="80" zoomScaleNormal="80" workbookViewId="0">
      <pane topLeftCell="A1" activePane="bottomLeft" state="frozen"/>
      <selection pane="bottomLeft"/>
    </sheetView>
  </sheetViews>
  <sheetFormatPr defaultRowHeight="13.5" customHeight="1"/>
  <cols>
    <col min="1" max="1" width="3" customWidth="1"/>
    <col min="2" max="32" width="6" customWidth="1"/>
  </cols>
  <sheetData>
    <row r="2" spans="1:32" ht="13.5" customHeight="1">
      <c r="A2" s="12"/>
      <c r="B2" s="13" t="s">
        <v>485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R2" s="4" t="s">
        <v>455</v>
      </c>
      <c r="S2" s="4"/>
      <c r="T2" s="4"/>
      <c r="U2" s="4"/>
      <c r="V2" s="4"/>
      <c r="W2" s="4"/>
      <c r="X2" s="14">
        <v>46203</v>
      </c>
      <c r="Y2" s="14"/>
      <c r="Z2" s="14"/>
      <c r="AA2" s="14"/>
      <c r="AB2" s="14"/>
      <c r="AC2" s="14"/>
      <c r="AD2" s="14"/>
      <c r="AE2" s="14"/>
      <c r="AF2" s="14"/>
    </row>
    <row r="3" spans="1:32" ht="13.5" customHeight="1">
      <c r="A3" s="1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R3" s="4"/>
      <c r="S3" s="4"/>
      <c r="T3" s="4"/>
      <c r="U3" s="4"/>
      <c r="V3" s="4"/>
      <c r="W3" s="4"/>
      <c r="X3" s="4" t="s">
        <v>456</v>
      </c>
      <c r="Y3" s="4"/>
      <c r="Z3" s="4" t="s">
        <v>487</v>
      </c>
      <c r="AA3" s="4"/>
      <c r="AB3" s="4"/>
      <c r="AC3" s="4" t="s">
        <v>458</v>
      </c>
      <c r="AD3" s="4"/>
      <c r="AE3" s="4" t="s">
        <v>459</v>
      </c>
      <c r="AF3" s="4"/>
    </row>
    <row r="4" spans="1:32" ht="13.5" customHeight="1">
      <c r="A4" s="12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ht="13.5" customHeight="1">
      <c r="A5" s="12"/>
      <c r="B5" s="3" t="s">
        <v>449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ht="13.5" customHeight="1">
      <c r="A6" s="1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32" ht="13.5" customHeight="1">
      <c r="A7" s="12"/>
      <c r="R7" s="4" t="s">
        <v>460</v>
      </c>
      <c r="S7" s="4"/>
      <c r="T7" s="4"/>
      <c r="U7" s="15" t="s">
        <v>213</v>
      </c>
      <c r="V7" s="15"/>
      <c r="W7" s="15"/>
      <c r="X7" s="6">
        <f>IF(OR(SUMPRODUCT(--('Repartition stock'!$A$6:$A$94="2026Q2"),--('Repartition stock'!$B$6:$B$94="NO"),--('Repartition stock'!$E$6:$E$94="Tranche"),--('Repartition stock'!$F$6:$F$94="0 - 11,3 Kr"))=0,SUMPRODUCT(--('Repartition stock'!$A$6:$A$94="2026Q2"),--('Repartition stock'!$B$6:$B$94="NO"),--('Repartition stock'!$E$6:$E$94="Tranche"),--('Repartition stock'!$F$6:$F$94="0 - 11,3 Kr"),--('Repartition stock'!$G$6:$G$94="n.d."))&gt;0),"n.d.",SUMPRODUCT(--('Repartition stock'!$A$6:$A$94="2026Q2"),--('Repartition stock'!$B$6:$B$94="NO"),--('Repartition stock'!$E$6:$E$94="Tranche"),--('Repartition stock'!$F$6:$F$94="0 - 11,3 Kr"),'Repartition stock'!$G$6:$G$94))</f>
        <v>215</v>
      </c>
      <c r="Y7" s="6"/>
      <c r="Z7" s="6">
        <f>IF(OR(SUMPRODUCT(--('Repartition stock'!$A$6:$A$94="2026Q2"),--('Repartition stock'!$B$6:$B$94="NO"),--('Repartition stock'!$E$6:$E$94="Tranche"),--('Repartition stock'!$F$6:$F$94="0 - 11,3 Kr"))=0,SUMPRODUCT(--('Repartition stock'!$A$6:$A$94="2026Q2"),--('Repartition stock'!$B$6:$B$94="NO"),--('Repartition stock'!$E$6:$E$94="Tranche"),--('Repartition stock'!$F$6:$F$94="0 - 11,3 Kr"),--('Repartition stock'!$H$6:$H$94="n.d."))&gt;0),"n.d.",SUMPRODUCT(--('Repartition stock'!$A$6:$A$94="2026Q2"),--('Repartition stock'!$B$6:$B$94="NO"),--('Repartition stock'!$E$6:$E$94="Tranche"),--('Repartition stock'!$F$6:$F$94="0 - 11,3 Kr"),'Repartition stock'!$H$6:$H$94))</f>
        <v>900.8400000000005</v>
      </c>
      <c r="AA7" s="6"/>
      <c r="AB7" s="6"/>
      <c r="AC7" s="7">
        <f>IF(OR(COUNT(X7,X12)&lt;&gt;2,X12=0),"n.d.",X7/X12)</f>
        <v>0.46637744034707157</v>
      </c>
      <c r="AD7" s="7"/>
      <c r="AE7" s="7">
        <f>IF(OR(COUNT(Z7,Z12)&lt;&gt;2,Z12=0),"n.d.",Z7/Z12)</f>
        <v>0.007368951294605416</v>
      </c>
      <c r="AF7" s="7"/>
    </row>
    <row r="8" spans="1:32" ht="13.5" customHeight="1">
      <c r="A8" s="12"/>
      <c r="R8" s="4"/>
      <c r="S8" s="4"/>
      <c r="T8" s="4"/>
      <c r="U8" s="15" t="s">
        <v>215</v>
      </c>
      <c r="V8" s="15"/>
      <c r="W8" s="15"/>
      <c r="X8" s="6">
        <f>IF(OR(SUMPRODUCT(--('Repartition stock'!$A$6:$A$94="2026Q2"),--('Repartition stock'!$B$6:$B$94="NO"),--('Repartition stock'!$E$6:$E$94="Tranche"),--('Repartition stock'!$F$6:$F$94="11,3 - 113 Kr"))=0,SUMPRODUCT(--('Repartition stock'!$A$6:$A$94="2026Q2"),--('Repartition stock'!$B$6:$B$94="NO"),--('Repartition stock'!$E$6:$E$94="Tranche"),--('Repartition stock'!$F$6:$F$94="11,3 - 113 Kr"),--('Repartition stock'!$G$6:$G$94="n.d."))&gt;0),"n.d.",SUMPRODUCT(--('Repartition stock'!$A$6:$A$94="2026Q2"),--('Repartition stock'!$B$6:$B$94="NO"),--('Repartition stock'!$E$6:$E$94="Tranche"),--('Repartition stock'!$F$6:$F$94="11,3 - 113 Kr"),'Repartition stock'!$G$6:$G$94))</f>
        <v>118</v>
      </c>
      <c r="Y8" s="6"/>
      <c r="Z8" s="6">
        <f>IF(OR(SUMPRODUCT(--('Repartition stock'!$A$6:$A$94="2026Q2"),--('Repartition stock'!$B$6:$B$94="NO"),--('Repartition stock'!$E$6:$E$94="Tranche"),--('Repartition stock'!$F$6:$F$94="11,3 - 113 Kr"))=0,SUMPRODUCT(--('Repartition stock'!$A$6:$A$94="2026Q2"),--('Repartition stock'!$B$6:$B$94="NO"),--('Repartition stock'!$E$6:$E$94="Tranche"),--('Repartition stock'!$F$6:$F$94="11,3 - 113 Kr"),--('Repartition stock'!$H$6:$H$94="n.d."))&gt;0),"n.d.",SUMPRODUCT(--('Repartition stock'!$A$6:$A$94="2026Q2"),--('Repartition stock'!$B$6:$B$94="NO"),--('Repartition stock'!$E$6:$E$94="Tranche"),--('Repartition stock'!$F$6:$F$94="11,3 - 113 Kr"),'Repartition stock'!$H$6:$H$94))</f>
        <v>4661.589999999999</v>
      </c>
      <c r="AA8" s="6"/>
      <c r="AB8" s="6"/>
      <c r="AC8" s="7">
        <f>IF(OR(COUNT(X8,X12)&lt;&gt;2,X12=0),"n.d.",X8/X12)</f>
        <v>0.2559652928416486</v>
      </c>
      <c r="AD8" s="7"/>
      <c r="AE8" s="7">
        <f>IF(OR(COUNT(Z8,Z12)&lt;&gt;2,Z12=0),"n.d.",Z8/Z12)</f>
        <v>0.03813222066673287</v>
      </c>
      <c r="AF8" s="7"/>
    </row>
    <row r="9" spans="1:32" ht="13.5" customHeight="1">
      <c r="A9" s="12"/>
      <c r="R9" s="4"/>
      <c r="S9" s="4"/>
      <c r="T9" s="4"/>
      <c r="U9" s="15" t="s">
        <v>217</v>
      </c>
      <c r="V9" s="15"/>
      <c r="W9" s="15"/>
      <c r="X9" s="6">
        <f>IF(OR(SUMPRODUCT(--('Repartition stock'!$A$6:$A$94="2026Q2"),--('Repartition stock'!$B$6:$B$94="NO"),--('Repartition stock'!$E$6:$E$94="Tranche"),--('Repartition stock'!$F$6:$F$94="113 - 1131 Kr"))=0,SUMPRODUCT(--('Repartition stock'!$A$6:$A$94="2026Q2"),--('Repartition stock'!$B$6:$B$94="NO"),--('Repartition stock'!$E$6:$E$94="Tranche"),--('Repartition stock'!$F$6:$F$94="113 - 1131 Kr"),--('Repartition stock'!$G$6:$G$94="n.d."))&gt;0),"n.d.",SUMPRODUCT(--('Repartition stock'!$A$6:$A$94="2026Q2"),--('Repartition stock'!$B$6:$B$94="NO"),--('Repartition stock'!$E$6:$E$94="Tranche"),--('Repartition stock'!$F$6:$F$94="113 - 1131 Kr"),'Repartition stock'!$G$6:$G$94))</f>
        <v>108</v>
      </c>
      <c r="Y9" s="6"/>
      <c r="Z9" s="6">
        <f>IF(OR(SUMPRODUCT(--('Repartition stock'!$A$6:$A$94="2026Q2"),--('Repartition stock'!$B$6:$B$94="NO"),--('Repartition stock'!$E$6:$E$94="Tranche"),--('Repartition stock'!$F$6:$F$94="113 - 1131 Kr"))=0,SUMPRODUCT(--('Repartition stock'!$A$6:$A$94="2026Q2"),--('Repartition stock'!$B$6:$B$94="NO"),--('Repartition stock'!$E$6:$E$94="Tranche"),--('Repartition stock'!$F$6:$F$94="113 - 1131 Kr"),--('Repartition stock'!$H$6:$H$94="n.d."))&gt;0),"n.d.",SUMPRODUCT(--('Repartition stock'!$A$6:$A$94="2026Q2"),--('Repartition stock'!$B$6:$B$94="NO"),--('Repartition stock'!$E$6:$E$94="Tranche"),--('Repartition stock'!$F$6:$F$94="113 - 1131 Kr"),'Repartition stock'!$H$6:$H$94))</f>
        <v>46587.51</v>
      </c>
      <c r="AA9" s="6"/>
      <c r="AB9" s="6"/>
      <c r="AC9" s="7">
        <f>IF(OR(COUNT(X9,X12)&lt;&gt;2,X12=0),"n.d.",X9/X12)</f>
        <v>0.23427331887201736</v>
      </c>
      <c r="AD9" s="7"/>
      <c r="AE9" s="7">
        <f>IF(OR(COUNT(Z9,Z12)&lt;&gt;2,Z12=0),"n.d.",Z9/Z12)</f>
        <v>0.38108997394314487</v>
      </c>
      <c r="AF9" s="7"/>
    </row>
    <row r="10" spans="1:32" ht="13.5" customHeight="1">
      <c r="A10" s="12"/>
      <c r="R10" s="4"/>
      <c r="S10" s="4"/>
      <c r="T10" s="4"/>
      <c r="U10" s="15" t="s">
        <v>219</v>
      </c>
      <c r="V10" s="15"/>
      <c r="W10" s="15"/>
      <c r="X10" s="6">
        <f>IF(OR(SUMPRODUCT(--('Repartition stock'!$A$6:$A$94="2026Q2"),--('Repartition stock'!$B$6:$B$94="NO"),--('Repartition stock'!$E$6:$E$94="Tranche"),--('Repartition stock'!$F$6:$F$94="1131 - 11311 Kr"))=0,SUMPRODUCT(--('Repartition stock'!$A$6:$A$94="2026Q2"),--('Repartition stock'!$B$6:$B$94="NO"),--('Repartition stock'!$E$6:$E$94="Tranche"),--('Repartition stock'!$F$6:$F$94="1131 - 11311 Kr"),--('Repartition stock'!$G$6:$G$94="n.d."))&gt;0),"n.d.",SUMPRODUCT(--('Repartition stock'!$A$6:$A$94="2026Q2"),--('Repartition stock'!$B$6:$B$94="NO"),--('Repartition stock'!$E$6:$E$94="Tranche"),--('Repartition stock'!$F$6:$F$94="1131 - 11311 Kr"),'Repartition stock'!$G$6:$G$94))</f>
        <v>20</v>
      </c>
      <c r="Y10" s="6"/>
      <c r="Z10" s="6">
        <f>IF(OR(SUMPRODUCT(--('Repartition stock'!$A$6:$A$94="2026Q2"),--('Repartition stock'!$B$6:$B$94="NO"),--('Repartition stock'!$E$6:$E$94="Tranche"),--('Repartition stock'!$F$6:$F$94="1131 - 11311 Kr"))=0,SUMPRODUCT(--('Repartition stock'!$A$6:$A$94="2026Q2"),--('Repartition stock'!$B$6:$B$94="NO"),--('Repartition stock'!$E$6:$E$94="Tranche"),--('Repartition stock'!$F$6:$F$94="1131 - 11311 Kr"),--('Repartition stock'!$H$6:$H$94="n.d."))&gt;0),"n.d.",SUMPRODUCT(--('Repartition stock'!$A$6:$A$94="2026Q2"),--('Repartition stock'!$B$6:$B$94="NO"),--('Repartition stock'!$E$6:$E$94="Tranche"),--('Repartition stock'!$F$6:$F$94="1131 - 11311 Kr"),'Repartition stock'!$H$6:$H$94))</f>
        <v>70098.11999999998</v>
      </c>
      <c r="AA10" s="6"/>
      <c r="AB10" s="6"/>
      <c r="AC10" s="7">
        <f>IF(OR(COUNT(X10,X12)&lt;&gt;2,X12=0),"n.d.",X10/X12)</f>
        <v>0.04338394793926247</v>
      </c>
      <c r="AD10" s="7"/>
      <c r="AE10" s="7">
        <f>IF(OR(COUNT(Z10,Z12)&lt;&gt;2,Z12=0),"n.d.",Z10/Z12)</f>
        <v>0.5734088540955169</v>
      </c>
      <c r="AF10" s="7"/>
    </row>
    <row r="11" spans="1:32" ht="13.5" customHeight="1">
      <c r="A11" s="12"/>
      <c r="R11" s="4"/>
      <c r="S11" s="4"/>
      <c r="T11" s="4"/>
      <c r="U11" s="15" t="s">
        <v>221</v>
      </c>
      <c r="V11" s="15"/>
      <c r="W11" s="15"/>
      <c r="X11" s="6">
        <f>IF(OR(SUMPRODUCT(--('Repartition stock'!$A$6:$A$94="2026Q2"),--('Repartition stock'!$B$6:$B$94="NO"),--('Repartition stock'!$E$6:$E$94="Tranche"),--('Repartition stock'!$F$6:$F$94="&gt;11311 Kr"))=0,SUMPRODUCT(--('Repartition stock'!$A$6:$A$94="2026Q2"),--('Repartition stock'!$B$6:$B$94="NO"),--('Repartition stock'!$E$6:$E$94="Tranche"),--('Repartition stock'!$F$6:$F$94="&gt;11311 Kr"),--('Repartition stock'!$G$6:$G$94="n.d."))&gt;0),"n.d.",SUMPRODUCT(--('Repartition stock'!$A$6:$A$94="2026Q2"),--('Repartition stock'!$B$6:$B$94="NO"),--('Repartition stock'!$E$6:$E$94="Tranche"),--('Repartition stock'!$F$6:$F$94="&gt;11311 Kr"),'Repartition stock'!$G$6:$G$94))</f>
        <v>0</v>
      </c>
      <c r="Y11" s="6"/>
      <c r="Z11" s="6">
        <f>IF(OR(SUMPRODUCT(--('Repartition stock'!$A$6:$A$94="2026Q2"),--('Repartition stock'!$B$6:$B$94="NO"),--('Repartition stock'!$E$6:$E$94="Tranche"),--('Repartition stock'!$F$6:$F$94="&gt;11311 Kr"))=0,SUMPRODUCT(--('Repartition stock'!$A$6:$A$94="2026Q2"),--('Repartition stock'!$B$6:$B$94="NO"),--('Repartition stock'!$E$6:$E$94="Tranche"),--('Repartition stock'!$F$6:$F$94="&gt;11311 Kr"),--('Repartition stock'!$H$6:$H$94="n.d."))&gt;0),"n.d.",SUMPRODUCT(--('Repartition stock'!$A$6:$A$94="2026Q2"),--('Repartition stock'!$B$6:$B$94="NO"),--('Repartition stock'!$E$6:$E$94="Tranche"),--('Repartition stock'!$F$6:$F$94="&gt;11311 Kr"),'Repartition stock'!$H$6:$H$94))</f>
        <v>0</v>
      </c>
      <c r="AA11" s="6"/>
      <c r="AB11" s="6"/>
      <c r="AC11" s="7">
        <f>IF(OR(COUNT(X11,X12)&lt;&gt;2,X12=0),"n.d.",X11/X12)</f>
        <v>0.0</v>
      </c>
      <c r="AD11" s="7"/>
      <c r="AE11" s="7">
        <f>IF(OR(COUNT(Z11,Z12)&lt;&gt;2,Z12=0),"n.d.",Z11/Z12)</f>
        <v>0.0</v>
      </c>
      <c r="AF11" s="7"/>
    </row>
    <row r="12" spans="1:32" ht="13.5" customHeight="1">
      <c r="A12" s="12"/>
      <c r="R12" s="8" t="s">
        <v>461</v>
      </c>
      <c r="S12" s="8"/>
      <c r="T12" s="8"/>
      <c r="U12" s="8"/>
      <c r="V12" s="8"/>
      <c r="W12" s="8"/>
      <c r="X12" s="8">
        <f>IF(COUNT(X7:X11)=5,SUM(X7:X11),"n.d.")</f>
        <v>461</v>
      </c>
      <c r="Y12" s="8"/>
      <c r="Z12" s="8">
        <f>IF(COUNT(Z7:Z11)=5,SUM(Z7:Z11),"n.d.")</f>
        <v>122248.05999999998</v>
      </c>
      <c r="AA12" s="8"/>
      <c r="AB12" s="8"/>
      <c r="AC12" s="9">
        <f>IF(OR(NOT(ISNUMBER(X12)),X12=0),"n.d.",1)</f>
        <v>1.0</v>
      </c>
      <c r="AD12" s="9"/>
      <c r="AE12" s="9">
        <f>IF(OR(NOT(ISNUMBER(Z12)),Z12=0),"n.d.",1)</f>
        <v>1.0</v>
      </c>
      <c r="AF12" s="9"/>
    </row>
    <row r="13" spans="1:32" ht="13.5" customHeight="1">
      <c r="A13" s="12"/>
    </row>
    <row r="14" spans="1:32" ht="13.5" customHeight="1">
      <c r="A14" s="12"/>
      <c r="R14" s="4" t="s">
        <v>462</v>
      </c>
      <c r="S14" s="4"/>
      <c r="T14" s="4"/>
      <c r="U14" s="15" t="s">
        <v>146</v>
      </c>
      <c r="V14" s="15"/>
      <c r="W14" s="15"/>
      <c r="X14" s="6">
        <f>IF(OR(SUMPRODUCT(--('Repartition stock'!$A$6:$A$94="2026Q2"),--('Repartition stock'!$B$6:$B$94="NO"),--('Repartition stock'!$E$6:$E$94="Millésime"),--('Repartition stock'!$F$6:$F$94="&lt;2018"))=0,SUMPRODUCT(--('Repartition stock'!$A$6:$A$94="2026Q2"),--('Repartition stock'!$B$6:$B$94="NO"),--('Repartition stock'!$E$6:$E$94="Millésime"),--('Repartition stock'!$F$6:$F$94="&lt;2018"),--('Repartition stock'!$G$6:$G$94="n.d."))&gt;0),"n.d.",SUMPRODUCT(--('Repartition stock'!$A$6:$A$94="2026Q2"),--('Repartition stock'!$B$6:$B$94="NO"),--('Repartition stock'!$E$6:$E$94="Millésime"),--('Repartition stock'!$F$6:$F$94="&lt;2018"),'Repartition stock'!$G$6:$G$94))</f>
        <v>0</v>
      </c>
      <c r="Y14" s="6"/>
      <c r="Z14" s="6">
        <f>IF(OR(SUMPRODUCT(--('Repartition stock'!$A$6:$A$94="2026Q2"),--('Repartition stock'!$B$6:$B$94="NO"),--('Repartition stock'!$E$6:$E$94="Millésime"),--('Repartition stock'!$F$6:$F$94="&lt;2018"))=0,SUMPRODUCT(--('Repartition stock'!$A$6:$A$94="2026Q2"),--('Repartition stock'!$B$6:$B$94="NO"),--('Repartition stock'!$E$6:$E$94="Millésime"),--('Repartition stock'!$F$6:$F$94="&lt;2018"),--('Repartition stock'!$H$6:$H$94="n.d."))&gt;0),"n.d.",SUMPRODUCT(--('Repartition stock'!$A$6:$A$94="2026Q2"),--('Repartition stock'!$B$6:$B$94="NO"),--('Repartition stock'!$E$6:$E$94="Millésime"),--('Repartition stock'!$F$6:$F$94="&lt;2018"),'Repartition stock'!$H$6:$H$94))</f>
        <v>0</v>
      </c>
      <c r="AA14" s="6"/>
      <c r="AB14" s="6"/>
      <c r="AC14" s="7">
        <f>IF(OR(COUNT(X14,X24)&lt;&gt;2,X24=0),"n.d.",X14/X24)</f>
        <v>0.0</v>
      </c>
      <c r="AD14" s="7"/>
      <c r="AE14" s="7">
        <f>IF(OR(COUNT(Z14,Z24)&lt;&gt;2,Z24=0),"n.d.",Z14/Z24)</f>
        <v>0.0</v>
      </c>
      <c r="AF14" s="7"/>
    </row>
    <row r="15" spans="1:32" ht="13.5" customHeight="1">
      <c r="A15" s="12"/>
      <c r="R15" s="4"/>
      <c r="S15" s="4"/>
      <c r="T15" s="4"/>
      <c r="U15" s="15" t="s">
        <v>148</v>
      </c>
      <c r="V15" s="15"/>
      <c r="W15" s="15"/>
      <c r="X15" s="6">
        <f>IF(OR(SUMPRODUCT(--('Repartition stock'!$A$6:$A$94="2026Q2"),--('Repartition stock'!$B$6:$B$94="NO"),--('Repartition stock'!$E$6:$E$94="Millésime"),--('Repartition stock'!$F$6:$F$94="2018"))=0,SUMPRODUCT(--('Repartition stock'!$A$6:$A$94="2026Q2"),--('Repartition stock'!$B$6:$B$94="NO"),--('Repartition stock'!$E$6:$E$94="Millésime"),--('Repartition stock'!$F$6:$F$94="2018"),--('Repartition stock'!$G$6:$G$94="n.d."))&gt;0),"n.d.",SUMPRODUCT(--('Repartition stock'!$A$6:$A$94="2026Q2"),--('Repartition stock'!$B$6:$B$94="NO"),--('Repartition stock'!$E$6:$E$94="Millésime"),--('Repartition stock'!$F$6:$F$94="2018"),'Repartition stock'!$G$6:$G$94))</f>
        <v>0</v>
      </c>
      <c r="Y15" s="6"/>
      <c r="Z15" s="6">
        <f>IF(OR(SUMPRODUCT(--('Repartition stock'!$A$6:$A$94="2026Q2"),--('Repartition stock'!$B$6:$B$94="NO"),--('Repartition stock'!$E$6:$E$94="Millésime"),--('Repartition stock'!$F$6:$F$94="2018"))=0,SUMPRODUCT(--('Repartition stock'!$A$6:$A$94="2026Q2"),--('Repartition stock'!$B$6:$B$94="NO"),--('Repartition stock'!$E$6:$E$94="Millésime"),--('Repartition stock'!$F$6:$F$94="2018"),--('Repartition stock'!$H$6:$H$94="n.d."))&gt;0),"n.d.",SUMPRODUCT(--('Repartition stock'!$A$6:$A$94="2026Q2"),--('Repartition stock'!$B$6:$B$94="NO"),--('Repartition stock'!$E$6:$E$94="Millésime"),--('Repartition stock'!$F$6:$F$94="2018"),'Repartition stock'!$H$6:$H$94))</f>
        <v>0</v>
      </c>
      <c r="AA15" s="6"/>
      <c r="AB15" s="6"/>
      <c r="AC15" s="7">
        <f>IF(OR(COUNT(X15,X24)&lt;&gt;2,X24=0),"n.d.",X15/X24)</f>
        <v>0.0</v>
      </c>
      <c r="AD15" s="7"/>
      <c r="AE15" s="7">
        <f>IF(OR(COUNT(Z15,Z24)&lt;&gt;2,Z24=0),"n.d.",Z15/Z24)</f>
        <v>0.0</v>
      </c>
      <c r="AF15" s="7"/>
    </row>
    <row r="16" spans="1:32" ht="13.5" customHeight="1">
      <c r="A16" s="12"/>
      <c r="R16" s="4"/>
      <c r="S16" s="4"/>
      <c r="T16" s="4"/>
      <c r="U16" s="15" t="s">
        <v>150</v>
      </c>
      <c r="V16" s="15"/>
      <c r="W16" s="15"/>
      <c r="X16" s="6">
        <f>IF(OR(SUMPRODUCT(--('Repartition stock'!$A$6:$A$94="2026Q2"),--('Repartition stock'!$B$6:$B$94="NO"),--('Repartition stock'!$E$6:$E$94="Millésime"),--('Repartition stock'!$F$6:$F$94="2019"))=0,SUMPRODUCT(--('Repartition stock'!$A$6:$A$94="2026Q2"),--('Repartition stock'!$B$6:$B$94="NO"),--('Repartition stock'!$E$6:$E$94="Millésime"),--('Repartition stock'!$F$6:$F$94="2019"),--('Repartition stock'!$G$6:$G$94="n.d."))&gt;0),"n.d.",SUMPRODUCT(--('Repartition stock'!$A$6:$A$94="2026Q2"),--('Repartition stock'!$B$6:$B$94="NO"),--('Repartition stock'!$E$6:$E$94="Millésime"),--('Repartition stock'!$F$6:$F$94="2019"),'Repartition stock'!$G$6:$G$94))</f>
        <v>0</v>
      </c>
      <c r="Y16" s="6"/>
      <c r="Z16" s="6">
        <f>IF(OR(SUMPRODUCT(--('Repartition stock'!$A$6:$A$94="2026Q2"),--('Repartition stock'!$B$6:$B$94="NO"),--('Repartition stock'!$E$6:$E$94="Millésime"),--('Repartition stock'!$F$6:$F$94="2019"))=0,SUMPRODUCT(--('Repartition stock'!$A$6:$A$94="2026Q2"),--('Repartition stock'!$B$6:$B$94="NO"),--('Repartition stock'!$E$6:$E$94="Millésime"),--('Repartition stock'!$F$6:$F$94="2019"),--('Repartition stock'!$H$6:$H$94="n.d."))&gt;0),"n.d.",SUMPRODUCT(--('Repartition stock'!$A$6:$A$94="2026Q2"),--('Repartition stock'!$B$6:$B$94="NO"),--('Repartition stock'!$E$6:$E$94="Millésime"),--('Repartition stock'!$F$6:$F$94="2019"),'Repartition stock'!$H$6:$H$94))</f>
        <v>0</v>
      </c>
      <c r="AA16" s="6"/>
      <c r="AB16" s="6"/>
      <c r="AC16" s="7">
        <f>IF(OR(COUNT(X16,X24)&lt;&gt;2,X24=0),"n.d.",X16/X24)</f>
        <v>0.0</v>
      </c>
      <c r="AD16" s="7"/>
      <c r="AE16" s="7">
        <f>IF(OR(COUNT(Z16,Z24)&lt;&gt;2,Z24=0),"n.d.",Z16/Z24)</f>
        <v>0.0</v>
      </c>
      <c r="AF16" s="7"/>
    </row>
    <row r="17" spans="1:32" ht="13.5" customHeight="1">
      <c r="A17" s="12"/>
      <c r="R17" s="4"/>
      <c r="S17" s="4"/>
      <c r="T17" s="4"/>
      <c r="U17" s="15" t="s">
        <v>152</v>
      </c>
      <c r="V17" s="15"/>
      <c r="W17" s="15"/>
      <c r="X17" s="6">
        <f>IF(OR(SUMPRODUCT(--('Repartition stock'!$A$6:$A$94="2026Q2"),--('Repartition stock'!$B$6:$B$94="NO"),--('Repartition stock'!$E$6:$E$94="Millésime"),--('Repartition stock'!$F$6:$F$94="2020"))=0,SUMPRODUCT(--('Repartition stock'!$A$6:$A$94="2026Q2"),--('Repartition stock'!$B$6:$B$94="NO"),--('Repartition stock'!$E$6:$E$94="Millésime"),--('Repartition stock'!$F$6:$F$94="2020"),--('Repartition stock'!$G$6:$G$94="n.d."))&gt;0),"n.d.",SUMPRODUCT(--('Repartition stock'!$A$6:$A$94="2026Q2"),--('Repartition stock'!$B$6:$B$94="NO"),--('Repartition stock'!$E$6:$E$94="Millésime"),--('Repartition stock'!$F$6:$F$94="2020"),'Repartition stock'!$G$6:$G$94))</f>
        <v>0</v>
      </c>
      <c r="Y17" s="6"/>
      <c r="Z17" s="6">
        <f>IF(OR(SUMPRODUCT(--('Repartition stock'!$A$6:$A$94="2026Q2"),--('Repartition stock'!$B$6:$B$94="NO"),--('Repartition stock'!$E$6:$E$94="Millésime"),--('Repartition stock'!$F$6:$F$94="2020"))=0,SUMPRODUCT(--('Repartition stock'!$A$6:$A$94="2026Q2"),--('Repartition stock'!$B$6:$B$94="NO"),--('Repartition stock'!$E$6:$E$94="Millésime"),--('Repartition stock'!$F$6:$F$94="2020"),--('Repartition stock'!$H$6:$H$94="n.d."))&gt;0),"n.d.",SUMPRODUCT(--('Repartition stock'!$A$6:$A$94="2026Q2"),--('Repartition stock'!$B$6:$B$94="NO"),--('Repartition stock'!$E$6:$E$94="Millésime"),--('Repartition stock'!$F$6:$F$94="2020"),'Repartition stock'!$H$6:$H$94))</f>
        <v>0</v>
      </c>
      <c r="AA17" s="6"/>
      <c r="AB17" s="6"/>
      <c r="AC17" s="7">
        <f>IF(OR(COUNT(X17,X24)&lt;&gt;2,X24=0),"n.d.",X17/X24)</f>
        <v>0.0</v>
      </c>
      <c r="AD17" s="7"/>
      <c r="AE17" s="7">
        <f>IF(OR(COUNT(Z17,Z24)&lt;&gt;2,Z24=0),"n.d.",Z17/Z24)</f>
        <v>0.0</v>
      </c>
      <c r="AF17" s="7"/>
    </row>
    <row r="18" spans="1:32" ht="13.5" customHeight="1">
      <c r="A18" s="12"/>
      <c r="R18" s="4"/>
      <c r="S18" s="4"/>
      <c r="T18" s="4"/>
      <c r="U18" s="15" t="s">
        <v>154</v>
      </c>
      <c r="V18" s="15"/>
      <c r="W18" s="15"/>
      <c r="X18" s="6">
        <f>IF(OR(SUMPRODUCT(--('Repartition stock'!$A$6:$A$94="2026Q2"),--('Repartition stock'!$B$6:$B$94="NO"),--('Repartition stock'!$E$6:$E$94="Millésime"),--('Repartition stock'!$F$6:$F$94="2021"))=0,SUMPRODUCT(--('Repartition stock'!$A$6:$A$94="2026Q2"),--('Repartition stock'!$B$6:$B$94="NO"),--('Repartition stock'!$E$6:$E$94="Millésime"),--('Repartition stock'!$F$6:$F$94="2021"),--('Repartition stock'!$G$6:$G$94="n.d."))&gt;0),"n.d.",SUMPRODUCT(--('Repartition stock'!$A$6:$A$94="2026Q2"),--('Repartition stock'!$B$6:$B$94="NO"),--('Repartition stock'!$E$6:$E$94="Millésime"),--('Repartition stock'!$F$6:$F$94="2021"),'Repartition stock'!$G$6:$G$94))</f>
        <v>0</v>
      </c>
      <c r="Y18" s="6"/>
      <c r="Z18" s="6">
        <f>IF(OR(SUMPRODUCT(--('Repartition stock'!$A$6:$A$94="2026Q2"),--('Repartition stock'!$B$6:$B$94="NO"),--('Repartition stock'!$E$6:$E$94="Millésime"),--('Repartition stock'!$F$6:$F$94="2021"))=0,SUMPRODUCT(--('Repartition stock'!$A$6:$A$94="2026Q2"),--('Repartition stock'!$B$6:$B$94="NO"),--('Repartition stock'!$E$6:$E$94="Millésime"),--('Repartition stock'!$F$6:$F$94="2021"),--('Repartition stock'!$H$6:$H$94="n.d."))&gt;0),"n.d.",SUMPRODUCT(--('Repartition stock'!$A$6:$A$94="2026Q2"),--('Repartition stock'!$B$6:$B$94="NO"),--('Repartition stock'!$E$6:$E$94="Millésime"),--('Repartition stock'!$F$6:$F$94="2021"),'Repartition stock'!$H$6:$H$94))</f>
        <v>0</v>
      </c>
      <c r="AA18" s="6"/>
      <c r="AB18" s="6"/>
      <c r="AC18" s="7">
        <f>IF(OR(COUNT(X18,X24)&lt;&gt;2,X24=0),"n.d.",X18/X24)</f>
        <v>0.0</v>
      </c>
      <c r="AD18" s="7"/>
      <c r="AE18" s="7">
        <f>IF(OR(COUNT(Z18,Z24)&lt;&gt;2,Z24=0),"n.d.",Z18/Z24)</f>
        <v>0.0</v>
      </c>
      <c r="AF18" s="7"/>
    </row>
    <row r="19" spans="1:32" ht="13.5" customHeight="1">
      <c r="A19" s="12"/>
      <c r="R19" s="4"/>
      <c r="S19" s="4"/>
      <c r="T19" s="4"/>
      <c r="U19" s="15" t="s">
        <v>156</v>
      </c>
      <c r="V19" s="15"/>
      <c r="W19" s="15"/>
      <c r="X19" s="6">
        <f>IF(OR(SUMPRODUCT(--('Repartition stock'!$A$6:$A$94="2026Q2"),--('Repartition stock'!$B$6:$B$94="NO"),--('Repartition stock'!$E$6:$E$94="Millésime"),--('Repartition stock'!$F$6:$F$94="2022"))=0,SUMPRODUCT(--('Repartition stock'!$A$6:$A$94="2026Q2"),--('Repartition stock'!$B$6:$B$94="NO"),--('Repartition stock'!$E$6:$E$94="Millésime"),--('Repartition stock'!$F$6:$F$94="2022"),--('Repartition stock'!$G$6:$G$94="n.d."))&gt;0),"n.d.",SUMPRODUCT(--('Repartition stock'!$A$6:$A$94="2026Q2"),--('Repartition stock'!$B$6:$B$94="NO"),--('Repartition stock'!$E$6:$E$94="Millésime"),--('Repartition stock'!$F$6:$F$94="2022"),'Repartition stock'!$G$6:$G$94))</f>
        <v>0</v>
      </c>
      <c r="Y19" s="6"/>
      <c r="Z19" s="6">
        <f>IF(OR(SUMPRODUCT(--('Repartition stock'!$A$6:$A$94="2026Q2"),--('Repartition stock'!$B$6:$B$94="NO"),--('Repartition stock'!$E$6:$E$94="Millésime"),--('Repartition stock'!$F$6:$F$94="2022"))=0,SUMPRODUCT(--('Repartition stock'!$A$6:$A$94="2026Q2"),--('Repartition stock'!$B$6:$B$94="NO"),--('Repartition stock'!$E$6:$E$94="Millésime"),--('Repartition stock'!$F$6:$F$94="2022"),--('Repartition stock'!$H$6:$H$94="n.d."))&gt;0),"n.d.",SUMPRODUCT(--('Repartition stock'!$A$6:$A$94="2026Q2"),--('Repartition stock'!$B$6:$B$94="NO"),--('Repartition stock'!$E$6:$E$94="Millésime"),--('Repartition stock'!$F$6:$F$94="2022"),'Repartition stock'!$H$6:$H$94))</f>
        <v>0</v>
      </c>
      <c r="AA19" s="6"/>
      <c r="AB19" s="6"/>
      <c r="AC19" s="7">
        <f>IF(OR(COUNT(X19,X24)&lt;&gt;2,X24=0),"n.d.",X19/X24)</f>
        <v>0.0</v>
      </c>
      <c r="AD19" s="7"/>
      <c r="AE19" s="7">
        <f>IF(OR(COUNT(Z19,Z24)&lt;&gt;2,Z24=0),"n.d.",Z19/Z24)</f>
        <v>0.0</v>
      </c>
      <c r="AF19" s="7"/>
    </row>
    <row r="20" spans="1:32" ht="13.5" customHeight="1">
      <c r="A20" s="12"/>
      <c r="R20" s="4"/>
      <c r="S20" s="4"/>
      <c r="T20" s="4"/>
      <c r="U20" s="15" t="s">
        <v>158</v>
      </c>
      <c r="V20" s="15"/>
      <c r="W20" s="15"/>
      <c r="X20" s="6">
        <f>IF(OR(SUMPRODUCT(--('Repartition stock'!$A$6:$A$94="2026Q2"),--('Repartition stock'!$B$6:$B$94="NO"),--('Repartition stock'!$E$6:$E$94="Millésime"),--('Repartition stock'!$F$6:$F$94="2023"))=0,SUMPRODUCT(--('Repartition stock'!$A$6:$A$94="2026Q2"),--('Repartition stock'!$B$6:$B$94="NO"),--('Repartition stock'!$E$6:$E$94="Millésime"),--('Repartition stock'!$F$6:$F$94="2023"),--('Repartition stock'!$G$6:$G$94="n.d."))&gt;0),"n.d.",SUMPRODUCT(--('Repartition stock'!$A$6:$A$94="2026Q2"),--('Repartition stock'!$B$6:$B$94="NO"),--('Repartition stock'!$E$6:$E$94="Millésime"),--('Repartition stock'!$F$6:$F$94="2023"),'Repartition stock'!$G$6:$G$94))</f>
        <v>0</v>
      </c>
      <c r="Y20" s="6"/>
      <c r="Z20" s="6">
        <f>IF(OR(SUMPRODUCT(--('Repartition stock'!$A$6:$A$94="2026Q2"),--('Repartition stock'!$B$6:$B$94="NO"),--('Repartition stock'!$E$6:$E$94="Millésime"),--('Repartition stock'!$F$6:$F$94="2023"))=0,SUMPRODUCT(--('Repartition stock'!$A$6:$A$94="2026Q2"),--('Repartition stock'!$B$6:$B$94="NO"),--('Repartition stock'!$E$6:$E$94="Millésime"),--('Repartition stock'!$F$6:$F$94="2023"),--('Repartition stock'!$H$6:$H$94="n.d."))&gt;0),"n.d.",SUMPRODUCT(--('Repartition stock'!$A$6:$A$94="2026Q2"),--('Repartition stock'!$B$6:$B$94="NO"),--('Repartition stock'!$E$6:$E$94="Millésime"),--('Repartition stock'!$F$6:$F$94="2023"),'Repartition stock'!$H$6:$H$94))</f>
        <v>0</v>
      </c>
      <c r="AA20" s="6"/>
      <c r="AB20" s="6"/>
      <c r="AC20" s="7">
        <f>IF(OR(COUNT(X20,X24)&lt;&gt;2,X24=0),"n.d.",X20/X24)</f>
        <v>0.0</v>
      </c>
      <c r="AD20" s="7"/>
      <c r="AE20" s="7">
        <f>IF(OR(COUNT(Z20,Z24)&lt;&gt;2,Z24=0),"n.d.",Z20/Z24)</f>
        <v>0.0</v>
      </c>
      <c r="AF20" s="7"/>
    </row>
    <row r="21" spans="1:32" ht="13.5" customHeight="1">
      <c r="A21" s="12"/>
      <c r="R21" s="4"/>
      <c r="S21" s="4"/>
      <c r="T21" s="4"/>
      <c r="U21" s="15" t="s">
        <v>64</v>
      </c>
      <c r="V21" s="15"/>
      <c r="W21" s="15"/>
      <c r="X21" s="6">
        <f>IF(OR(SUMPRODUCT(--('Repartition stock'!$A$6:$A$94="2026Q2"),--('Repartition stock'!$B$6:$B$94="NO"),--('Repartition stock'!$E$6:$E$94="Millésime"),--('Repartition stock'!$F$6:$F$94="2024"))=0,SUMPRODUCT(--('Repartition stock'!$A$6:$A$94="2026Q2"),--('Repartition stock'!$B$6:$B$94="NO"),--('Repartition stock'!$E$6:$E$94="Millésime"),--('Repartition stock'!$F$6:$F$94="2024"),--('Repartition stock'!$G$6:$G$94="n.d."))&gt;0),"n.d.",SUMPRODUCT(--('Repartition stock'!$A$6:$A$94="2026Q2"),--('Repartition stock'!$B$6:$B$94="NO"),--('Repartition stock'!$E$6:$E$94="Millésime"),--('Repartition stock'!$F$6:$F$94="2024"),'Repartition stock'!$G$6:$G$94))</f>
        <v>0</v>
      </c>
      <c r="Y21" s="6"/>
      <c r="Z21" s="6">
        <f>IF(OR(SUMPRODUCT(--('Repartition stock'!$A$6:$A$94="2026Q2"),--('Repartition stock'!$B$6:$B$94="NO"),--('Repartition stock'!$E$6:$E$94="Millésime"),--('Repartition stock'!$F$6:$F$94="2024"))=0,SUMPRODUCT(--('Repartition stock'!$A$6:$A$94="2026Q2"),--('Repartition stock'!$B$6:$B$94="NO"),--('Repartition stock'!$E$6:$E$94="Millésime"),--('Repartition stock'!$F$6:$F$94="2024"),--('Repartition stock'!$H$6:$H$94="n.d."))&gt;0),"n.d.",SUMPRODUCT(--('Repartition stock'!$A$6:$A$94="2026Q2"),--('Repartition stock'!$B$6:$B$94="NO"),--('Repartition stock'!$E$6:$E$94="Millésime"),--('Repartition stock'!$F$6:$F$94="2024"),'Repartition stock'!$H$6:$H$94))</f>
        <v>0</v>
      </c>
      <c r="AA21" s="6"/>
      <c r="AB21" s="6"/>
      <c r="AC21" s="7">
        <f>IF(OR(COUNT(X21,X24)&lt;&gt;2,X24=0),"n.d.",X21/X24)</f>
        <v>0.0</v>
      </c>
      <c r="AD21" s="7"/>
      <c r="AE21" s="7">
        <f>IF(OR(COUNT(Z21,Z24)&lt;&gt;2,Z24=0),"n.d.",Z21/Z24)</f>
        <v>0.0</v>
      </c>
      <c r="AF21" s="7"/>
    </row>
    <row r="22" spans="1:32" ht="13.5" customHeight="1">
      <c r="A22" s="12"/>
      <c r="R22" s="4"/>
      <c r="S22" s="4"/>
      <c r="T22" s="4"/>
      <c r="U22" s="15" t="s">
        <v>46</v>
      </c>
      <c r="V22" s="15"/>
      <c r="W22" s="15"/>
      <c r="X22" s="6">
        <f>IF(OR(SUMPRODUCT(--('Repartition stock'!$A$6:$A$94="2026Q2"),--('Repartition stock'!$B$6:$B$94="NO"),--('Repartition stock'!$E$6:$E$94="Millésime"),--('Repartition stock'!$F$6:$F$94="2025"))=0,SUMPRODUCT(--('Repartition stock'!$A$6:$A$94="2026Q2"),--('Repartition stock'!$B$6:$B$94="NO"),--('Repartition stock'!$E$6:$E$94="Millésime"),--('Repartition stock'!$F$6:$F$94="2025"),--('Repartition stock'!$G$6:$G$94="n.d."))&gt;0),"n.d.",SUMPRODUCT(--('Repartition stock'!$A$6:$A$94="2026Q2"),--('Repartition stock'!$B$6:$B$94="NO"),--('Repartition stock'!$E$6:$E$94="Millésime"),--('Repartition stock'!$F$6:$F$94="2025"),'Repartition stock'!$G$6:$G$94))</f>
        <v>0</v>
      </c>
      <c r="Y22" s="6"/>
      <c r="Z22" s="6">
        <f>IF(OR(SUMPRODUCT(--('Repartition stock'!$A$6:$A$94="2026Q2"),--('Repartition stock'!$B$6:$B$94="NO"),--('Repartition stock'!$E$6:$E$94="Millésime"),--('Repartition stock'!$F$6:$F$94="2025"))=0,SUMPRODUCT(--('Repartition stock'!$A$6:$A$94="2026Q2"),--('Repartition stock'!$B$6:$B$94="NO"),--('Repartition stock'!$E$6:$E$94="Millésime"),--('Repartition stock'!$F$6:$F$94="2025"),--('Repartition stock'!$H$6:$H$94="n.d."))&gt;0),"n.d.",SUMPRODUCT(--('Repartition stock'!$A$6:$A$94="2026Q2"),--('Repartition stock'!$B$6:$B$94="NO"),--('Repartition stock'!$E$6:$E$94="Millésime"),--('Repartition stock'!$F$6:$F$94="2025"),'Repartition stock'!$H$6:$H$94))</f>
        <v>0</v>
      </c>
      <c r="AA22" s="6"/>
      <c r="AB22" s="6"/>
      <c r="AC22" s="7">
        <f>IF(OR(COUNT(X22,X24)&lt;&gt;2,X24=0),"n.d.",X22/X24)</f>
        <v>0.0</v>
      </c>
      <c r="AD22" s="7"/>
      <c r="AE22" s="7">
        <f>IF(OR(COUNT(Z22,Z24)&lt;&gt;2,Z24=0),"n.d.",Z22/Z24)</f>
        <v>0.0</v>
      </c>
      <c r="AF22" s="7"/>
    </row>
    <row r="23" spans="1:32" ht="13.5" customHeight="1">
      <c r="A23" s="12"/>
      <c r="R23" s="4"/>
      <c r="S23" s="4"/>
      <c r="T23" s="4"/>
      <c r="U23" s="15" t="s">
        <v>48</v>
      </c>
      <c r="V23" s="15"/>
      <c r="W23" s="15"/>
      <c r="X23" s="6">
        <f>IF(OR(SUMPRODUCT(--('Repartition stock'!$A$6:$A$94="2026Q2"),--('Repartition stock'!$B$6:$B$94="NO"),--('Repartition stock'!$E$6:$E$94="Millésime"),--('Repartition stock'!$F$6:$F$94="2026"))=0,SUMPRODUCT(--('Repartition stock'!$A$6:$A$94="2026Q2"),--('Repartition stock'!$B$6:$B$94="NO"),--('Repartition stock'!$E$6:$E$94="Millésime"),--('Repartition stock'!$F$6:$F$94="2026"),--('Repartition stock'!$G$6:$G$94="n.d."))&gt;0),"n.d.",SUMPRODUCT(--('Repartition stock'!$A$6:$A$94="2026Q2"),--('Repartition stock'!$B$6:$B$94="NO"),--('Repartition stock'!$E$6:$E$94="Millésime"),--('Repartition stock'!$F$6:$F$94="2026"),'Repartition stock'!$G$6:$G$94))</f>
        <v>461</v>
      </c>
      <c r="Y23" s="6"/>
      <c r="Z23" s="6">
        <f>IF(OR(SUMPRODUCT(--('Repartition stock'!$A$6:$A$94="2026Q2"),--('Repartition stock'!$B$6:$B$94="NO"),--('Repartition stock'!$E$6:$E$94="Millésime"),--('Repartition stock'!$F$6:$F$94="2026"))=0,SUMPRODUCT(--('Repartition stock'!$A$6:$A$94="2026Q2"),--('Repartition stock'!$B$6:$B$94="NO"),--('Repartition stock'!$E$6:$E$94="Millésime"),--('Repartition stock'!$F$6:$F$94="2026"),--('Repartition stock'!$H$6:$H$94="n.d."))&gt;0),"n.d.",SUMPRODUCT(--('Repartition stock'!$A$6:$A$94="2026Q2"),--('Repartition stock'!$B$6:$B$94="NO"),--('Repartition stock'!$E$6:$E$94="Millésime"),--('Repartition stock'!$F$6:$F$94="2026"),'Repartition stock'!$H$6:$H$94))</f>
        <v>122248.06</v>
      </c>
      <c r="AA23" s="6"/>
      <c r="AB23" s="6"/>
      <c r="AC23" s="7">
        <f>IF(OR(COUNT(X23,X24)&lt;&gt;2,X24=0),"n.d.",X23/X24)</f>
        <v>1.0</v>
      </c>
      <c r="AD23" s="7"/>
      <c r="AE23" s="7">
        <f>IF(OR(COUNT(Z23,Z24)&lt;&gt;2,Z24=0),"n.d.",Z23/Z24)</f>
        <v>1.0</v>
      </c>
      <c r="AF23" s="7"/>
    </row>
    <row r="24" spans="1:32" ht="13.5" customHeight="1">
      <c r="A24" s="12"/>
      <c r="R24" s="8" t="s">
        <v>461</v>
      </c>
      <c r="S24" s="8"/>
      <c r="T24" s="8"/>
      <c r="U24" s="8"/>
      <c r="V24" s="8"/>
      <c r="W24" s="8"/>
      <c r="X24" s="8">
        <f>IF(COUNT(X14:X23)=10,SUM(X14:X23),"n.d.")</f>
        <v>461</v>
      </c>
      <c r="Y24" s="8"/>
      <c r="Z24" s="8">
        <f>IF(COUNT(Z14:Z23)=10,SUM(Z14:Z23),"n.d.")</f>
        <v>122248.06</v>
      </c>
      <c r="AA24" s="8"/>
      <c r="AB24" s="8"/>
      <c r="AC24" s="9">
        <f>IF(OR(NOT(ISNUMBER(X24)),X24=0),"n.d.",1)</f>
        <v>1.0</v>
      </c>
      <c r="AD24" s="9"/>
      <c r="AE24" s="9">
        <f>IF(OR(NOT(ISNUMBER(Z24)),Z24=0),"n.d.",1)</f>
        <v>1.0</v>
      </c>
      <c r="AF24" s="9"/>
    </row>
    <row r="25" spans="1:32" ht="13.5" customHeight="1">
      <c r="A25" s="12"/>
    </row>
    <row r="26" spans="1:32" ht="13.5" customHeight="1">
      <c r="A26" s="12"/>
    </row>
    <row r="27" spans="1:32" ht="13.5" customHeight="1">
      <c r="A27" s="12"/>
    </row>
    <row r="28" spans="1:32" ht="13.5" customHeight="1">
      <c r="A28" s="12"/>
    </row>
    <row r="29" spans="1:32" ht="13.5" customHeight="1">
      <c r="A29" s="12"/>
    </row>
    <row r="30" spans="1:32" ht="13.5" customHeight="1">
      <c r="A30" s="12"/>
      <c r="B30" s="10" t="str">
        <f>"Average monthly new flow: "&amp;IF(ISNUMBER('GraphData'!A154),TEXT('GraphData'!A154,"#,##0"),"n.d.")&amp;" NOK. Average balance per contract: "&amp;IF(ISNUMBER('GraphData'!B154),TEXT('GraphData'!B154,"#,##0"),"n.d.")&amp;" NOK."</f>
        <v>Average monthly new flow: 115,876 NOK. Average balance per contract: 620 NOK.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</row>
    <row r="31" spans="1:32" ht="13.5" customHeight="1">
      <c r="A31" s="12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</row>
    <row r="32" spans="1:32" ht="13.5" customHeight="1">
      <c r="A32" s="12"/>
      <c r="B32" s="10" t="str">
        <f>"Oldest cohort (M-5): "&amp;IF(ISNUMBER('GraphData'!C154),TEXT('GraphData'!C154,"0.0%"),"n.d.")&amp;" treated in amount and "&amp;IF(ISNUMBER('GraphData'!D154),TEXT('GraphData'!D154,"0.0%"),"n.d.")&amp;" in number."</f>
        <v>Oldest cohort (M-5): 94.1% treated in amount and 99.2% in number.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</row>
    <row r="33" spans="1:32" ht="13.5" customHeight="1">
      <c r="A33" s="12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</row>
    <row r="34" spans="1:32" ht="13.5" customHeight="1">
      <c r="A34" s="12"/>
      <c r="B34" s="10" t="str">
        <f>"Stock to process: "&amp;IF(ISNUMBER('GraphData'!E154),TEXT('GraphData'!E154,"#,##0"),"n.d.")&amp;" NOK. Identified stock: "&amp;IF(ISNUMBER('GraphData'!F154),TEXT('GraphData'!F154,"#,##0"),"n.d.")&amp;" NOK."</f>
        <v>Stock to process: 122,248 NOK. Identified stock: 122,248 NOK.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</row>
    <row r="35" spans="1:32" ht="13.5" customHeight="1">
      <c r="A35" s="12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</row>
    <row r="36" spans="1:32" ht="13.5" customHeight="1">
      <c r="A36" s="12"/>
      <c r="B36" s="10" t="s">
        <v>484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</row>
    <row r="37" spans="1:32" ht="13.5" customHeight="1">
      <c r="A37" s="12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</row>
    <row r="38" spans="1:32" ht="13.5" customHeight="1">
      <c r="A38" s="12"/>
    </row>
    <row r="39" spans="1:32" ht="13.5" customHeight="1">
      <c r="A39" s="12"/>
    </row>
    <row r="40" spans="1:32" ht="13.5" customHeight="1">
      <c r="A40" s="12"/>
    </row>
    <row r="41" spans="1:32" ht="13.5" customHeight="1">
      <c r="A41" s="12"/>
    </row>
    <row r="42" spans="1:32" ht="13.5" customHeight="1">
      <c r="A42" s="12"/>
      <c r="B42" s="11" t="s">
        <v>390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</row>
  </sheetData>
  <mergeCells count="100">
    <mergeCell ref="B2:M4"/>
    <mergeCell ref="B42:AF42"/>
    <mergeCell ref="B5:P6"/>
    <mergeCell ref="R2:W5"/>
    <mergeCell ref="X2:AF2"/>
    <mergeCell ref="X3:Y5"/>
    <mergeCell ref="Z3:AB5"/>
    <mergeCell ref="AC3:AD5"/>
    <mergeCell ref="AE3:AF5"/>
    <mergeCell ref="R7:T11"/>
    <mergeCell ref="U7:W7"/>
    <mergeCell ref="X7:Y7"/>
    <mergeCell ref="Z7:AB7"/>
    <mergeCell ref="AC7:AD7"/>
    <mergeCell ref="AE7:AF7"/>
    <mergeCell ref="U8:W8"/>
    <mergeCell ref="X8:Y8"/>
    <mergeCell ref="Z8:AB8"/>
    <mergeCell ref="AC8:AD8"/>
    <mergeCell ref="AE8:AF8"/>
    <mergeCell ref="U9:W9"/>
    <mergeCell ref="X9:Y9"/>
    <mergeCell ref="Z9:AB9"/>
    <mergeCell ref="AC9:AD9"/>
    <mergeCell ref="AE9:AF9"/>
    <mergeCell ref="U10:W10"/>
    <mergeCell ref="X10:Y10"/>
    <mergeCell ref="Z10:AB10"/>
    <mergeCell ref="AC10:AD10"/>
    <mergeCell ref="AE10:AF10"/>
    <mergeCell ref="U11:W11"/>
    <mergeCell ref="X11:Y11"/>
    <mergeCell ref="Z11:AB11"/>
    <mergeCell ref="AC11:AD11"/>
    <mergeCell ref="AE11:AF11"/>
    <mergeCell ref="R12:W12"/>
    <mergeCell ref="X12:Y12"/>
    <mergeCell ref="Z12:AB12"/>
    <mergeCell ref="AC12:AD12"/>
    <mergeCell ref="AE12:AF12"/>
    <mergeCell ref="R14:T23"/>
    <mergeCell ref="U14:W14"/>
    <mergeCell ref="X14:Y14"/>
    <mergeCell ref="Z14:AB14"/>
    <mergeCell ref="AC14:AD14"/>
    <mergeCell ref="AE14:AF14"/>
    <mergeCell ref="U15:W15"/>
    <mergeCell ref="X15:Y15"/>
    <mergeCell ref="Z15:AB15"/>
    <mergeCell ref="AC15:AD15"/>
    <mergeCell ref="AE15:AF15"/>
    <mergeCell ref="U16:W16"/>
    <mergeCell ref="X16:Y16"/>
    <mergeCell ref="Z16:AB16"/>
    <mergeCell ref="AC16:AD16"/>
    <mergeCell ref="AE16:AF16"/>
    <mergeCell ref="U17:W17"/>
    <mergeCell ref="X17:Y17"/>
    <mergeCell ref="Z17:AB17"/>
    <mergeCell ref="AC17:AD17"/>
    <mergeCell ref="AE17:AF17"/>
    <mergeCell ref="U18:W18"/>
    <mergeCell ref="X18:Y18"/>
    <mergeCell ref="Z18:AB18"/>
    <mergeCell ref="AC18:AD18"/>
    <mergeCell ref="AE18:AF18"/>
    <mergeCell ref="U19:W19"/>
    <mergeCell ref="X19:Y19"/>
    <mergeCell ref="Z19:AB19"/>
    <mergeCell ref="AC19:AD19"/>
    <mergeCell ref="AE19:AF19"/>
    <mergeCell ref="U20:W20"/>
    <mergeCell ref="X20:Y20"/>
    <mergeCell ref="Z20:AB20"/>
    <mergeCell ref="AC20:AD20"/>
    <mergeCell ref="AE20:AF20"/>
    <mergeCell ref="U21:W21"/>
    <mergeCell ref="X21:Y21"/>
    <mergeCell ref="Z21:AB21"/>
    <mergeCell ref="AC21:AD21"/>
    <mergeCell ref="AE21:AF21"/>
    <mergeCell ref="U22:W22"/>
    <mergeCell ref="X22:Y22"/>
    <mergeCell ref="Z22:AB22"/>
    <mergeCell ref="AC22:AD22"/>
    <mergeCell ref="AE22:AF22"/>
    <mergeCell ref="U23:W23"/>
    <mergeCell ref="X23:Y23"/>
    <mergeCell ref="Z23:AB23"/>
    <mergeCell ref="AC23:AD23"/>
    <mergeCell ref="AE23:AF23"/>
    <mergeCell ref="R24:W24"/>
    <mergeCell ref="X24:Y24"/>
    <mergeCell ref="Z24:AB24"/>
    <mergeCell ref="AC24:AD24"/>
    <mergeCell ref="AE24:AF24"/>
    <mergeCell ref="B30:AF31"/>
    <mergeCell ref="B32:AF33"/>
    <mergeCell ref="B34:AF35"/>
    <mergeCell ref="B36:AF37"/>
  </mergeCells>
  <conditionalFormatting sqref="B30:AF40">
    <cfRule type="notContainsBlanks" dxfId="2" priority="1">
      <formula>LEN(TRIM(B30))&gt;0</formula>
    </cfRule>
  </conditionalFormatting>
  <pageMargins left="0.15" right="0.15" top="0.2" bottom="0.2" header="0.3" footer="0.3"/>
  <pageSetup paperSize="9" fitToHeight="0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00627A"/>
    <pageSetUpPr fitToPage="1"/>
  </sheetPr>
  <dimension ref="A2:AF42"/>
  <sheetViews>
    <sheetView showGridLines="0" zoomScale="80" zoomScaleNormal="80" workbookViewId="0">
      <pane topLeftCell="A1" activePane="bottomLeft" state="frozen"/>
      <selection pane="bottomLeft"/>
    </sheetView>
  </sheetViews>
  <sheetFormatPr defaultRowHeight="13.5" customHeight="1"/>
  <cols>
    <col min="1" max="1" width="3" customWidth="1"/>
    <col min="2" max="32" width="6" customWidth="1"/>
  </cols>
  <sheetData>
    <row r="2" spans="1:32" ht="13.5" customHeight="1">
      <c r="A2" s="12"/>
      <c r="B2" s="13" t="s">
        <v>489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R2" s="4" t="s">
        <v>455</v>
      </c>
      <c r="S2" s="4"/>
      <c r="T2" s="4"/>
      <c r="U2" s="4"/>
      <c r="V2" s="4"/>
      <c r="W2" s="4"/>
      <c r="X2" s="14">
        <v>46203</v>
      </c>
      <c r="Y2" s="14"/>
      <c r="Z2" s="14"/>
      <c r="AA2" s="14"/>
      <c r="AB2" s="14"/>
      <c r="AC2" s="14"/>
      <c r="AD2" s="14"/>
      <c r="AE2" s="14"/>
      <c r="AF2" s="14"/>
    </row>
    <row r="3" spans="1:32" ht="13.5" customHeight="1">
      <c r="A3" s="1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R3" s="4"/>
      <c r="S3" s="4"/>
      <c r="T3" s="4"/>
      <c r="U3" s="4"/>
      <c r="V3" s="4"/>
      <c r="W3" s="4"/>
      <c r="X3" s="4" t="s">
        <v>456</v>
      </c>
      <c r="Y3" s="4"/>
      <c r="Z3" s="4" t="s">
        <v>491</v>
      </c>
      <c r="AA3" s="4"/>
      <c r="AB3" s="4"/>
      <c r="AC3" s="4" t="s">
        <v>458</v>
      </c>
      <c r="AD3" s="4"/>
      <c r="AE3" s="4" t="s">
        <v>459</v>
      </c>
      <c r="AF3" s="4"/>
    </row>
    <row r="4" spans="1:32" ht="13.5" customHeight="1">
      <c r="A4" s="12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ht="13.5" customHeight="1">
      <c r="A5" s="12"/>
      <c r="B5" s="3" t="s">
        <v>449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ht="13.5" customHeight="1">
      <c r="A6" s="1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32" ht="13.5" customHeight="1">
      <c r="A7" s="12"/>
      <c r="R7" s="4" t="s">
        <v>460</v>
      </c>
      <c r="S7" s="4"/>
      <c r="T7" s="4"/>
      <c r="U7" s="15" t="s">
        <v>233</v>
      </c>
      <c r="V7" s="15"/>
      <c r="W7" s="15"/>
      <c r="X7" s="6">
        <f>IF(OR(SUMPRODUCT(--('Repartition stock'!$A$6:$A$94="2026Q2"),--('Repartition stock'!$B$6:$B$94="SE"),--('Repartition stock'!$E$6:$E$94="Tranche"),--('Repartition stock'!$F$6:$F$94="0 - 11,1 Kr"))=0,SUMPRODUCT(--('Repartition stock'!$A$6:$A$94="2026Q2"),--('Repartition stock'!$B$6:$B$94="SE"),--('Repartition stock'!$E$6:$E$94="Tranche"),--('Repartition stock'!$F$6:$F$94="0 - 11,1 Kr"),--('Repartition stock'!$G$6:$G$94="n.d."))&gt;0),"n.d.",SUMPRODUCT(--('Repartition stock'!$A$6:$A$94="2026Q2"),--('Repartition stock'!$B$6:$B$94="SE"),--('Repartition stock'!$E$6:$E$94="Tranche"),--('Repartition stock'!$F$6:$F$94="0 - 11,1 Kr"),'Repartition stock'!$G$6:$G$94))</f>
        <v>161</v>
      </c>
      <c r="Y7" s="6"/>
      <c r="Z7" s="6">
        <f>IF(OR(SUMPRODUCT(--('Repartition stock'!$A$6:$A$94="2026Q2"),--('Repartition stock'!$B$6:$B$94="SE"),--('Repartition stock'!$E$6:$E$94="Tranche"),--('Repartition stock'!$F$6:$F$94="0 - 11,1 Kr"))=0,SUMPRODUCT(--('Repartition stock'!$A$6:$A$94="2026Q2"),--('Repartition stock'!$B$6:$B$94="SE"),--('Repartition stock'!$E$6:$E$94="Tranche"),--('Repartition stock'!$F$6:$F$94="0 - 11,1 Kr"),--('Repartition stock'!$H$6:$H$94="n.d."))&gt;0),"n.d.",SUMPRODUCT(--('Repartition stock'!$A$6:$A$94="2026Q2"),--('Repartition stock'!$B$6:$B$94="SE"),--('Repartition stock'!$E$6:$E$94="Tranche"),--('Repartition stock'!$F$6:$F$94="0 - 11,1 Kr"),'Repartition stock'!$H$6:$H$94))</f>
        <v>263.21999999999997</v>
      </c>
      <c r="AA7" s="6"/>
      <c r="AB7" s="6"/>
      <c r="AC7" s="7">
        <f>IF(OR(COUNT(X7,X12)&lt;&gt;2,X12=0),"n.d.",X7/X12)</f>
        <v>0.33059548254620125</v>
      </c>
      <c r="AD7" s="7"/>
      <c r="AE7" s="7">
        <f>IF(OR(COUNT(Z7,Z12)&lt;&gt;2,Z12=0),"n.d.",Z7/Z12)</f>
        <v>0.0016803701334094639</v>
      </c>
      <c r="AF7" s="7"/>
    </row>
    <row r="8" spans="1:32" ht="13.5" customHeight="1">
      <c r="A8" s="12"/>
      <c r="R8" s="4"/>
      <c r="S8" s="4"/>
      <c r="T8" s="4"/>
      <c r="U8" s="15" t="s">
        <v>235</v>
      </c>
      <c r="V8" s="15"/>
      <c r="W8" s="15"/>
      <c r="X8" s="6">
        <f>IF(OR(SUMPRODUCT(--('Repartition stock'!$A$6:$A$94="2026Q2"),--('Repartition stock'!$B$6:$B$94="SE"),--('Repartition stock'!$E$6:$E$94="Tranche"),--('Repartition stock'!$F$6:$F$94="11,1 - 111 Kr"))=0,SUMPRODUCT(--('Repartition stock'!$A$6:$A$94="2026Q2"),--('Repartition stock'!$B$6:$B$94="SE"),--('Repartition stock'!$E$6:$E$94="Tranche"),--('Repartition stock'!$F$6:$F$94="11,1 - 111 Kr"),--('Repartition stock'!$G$6:$G$94="n.d."))&gt;0),"n.d.",SUMPRODUCT(--('Repartition stock'!$A$6:$A$94="2026Q2"),--('Repartition stock'!$B$6:$B$94="SE"),--('Repartition stock'!$E$6:$E$94="Tranche"),--('Repartition stock'!$F$6:$F$94="11,1 - 111 Kr"),'Repartition stock'!$G$6:$G$94))</f>
        <v>119</v>
      </c>
      <c r="Y8" s="6"/>
      <c r="Z8" s="6">
        <f>IF(OR(SUMPRODUCT(--('Repartition stock'!$A$6:$A$94="2026Q2"),--('Repartition stock'!$B$6:$B$94="SE"),--('Repartition stock'!$E$6:$E$94="Tranche"),--('Repartition stock'!$F$6:$F$94="11,1 - 111 Kr"))=0,SUMPRODUCT(--('Repartition stock'!$A$6:$A$94="2026Q2"),--('Repartition stock'!$B$6:$B$94="SE"),--('Repartition stock'!$E$6:$E$94="Tranche"),--('Repartition stock'!$F$6:$F$94="11,1 - 111 Kr"),--('Repartition stock'!$H$6:$H$94="n.d."))&gt;0),"n.d.",SUMPRODUCT(--('Repartition stock'!$A$6:$A$94="2026Q2"),--('Repartition stock'!$B$6:$B$94="SE"),--('Repartition stock'!$E$6:$E$94="Tranche"),--('Repartition stock'!$F$6:$F$94="11,1 - 111 Kr"),'Repartition stock'!$H$6:$H$94))</f>
        <v>6340.86</v>
      </c>
      <c r="AA8" s="6"/>
      <c r="AB8" s="6"/>
      <c r="AC8" s="7">
        <f>IF(OR(COUNT(X8,X12)&lt;&gt;2,X12=0),"n.d.",X8/X12)</f>
        <v>0.24435318275154005</v>
      </c>
      <c r="AD8" s="7"/>
      <c r="AE8" s="7">
        <f>IF(OR(COUNT(Z8,Z12)&lt;&gt;2,Z12=0),"n.d.",Z8/Z12)</f>
        <v>0.040479415561624245</v>
      </c>
      <c r="AF8" s="7"/>
    </row>
    <row r="9" spans="1:32" ht="13.5" customHeight="1">
      <c r="A9" s="12"/>
      <c r="R9" s="4"/>
      <c r="S9" s="4"/>
      <c r="T9" s="4"/>
      <c r="U9" s="15" t="s">
        <v>237</v>
      </c>
      <c r="V9" s="15"/>
      <c r="W9" s="15"/>
      <c r="X9" s="6">
        <f>IF(OR(SUMPRODUCT(--('Repartition stock'!$A$6:$A$94="2026Q2"),--('Repartition stock'!$B$6:$B$94="SE"),--('Repartition stock'!$E$6:$E$94="Tranche"),--('Repartition stock'!$F$6:$F$94="111 - 1109 Kr"))=0,SUMPRODUCT(--('Repartition stock'!$A$6:$A$94="2026Q2"),--('Repartition stock'!$B$6:$B$94="SE"),--('Repartition stock'!$E$6:$E$94="Tranche"),--('Repartition stock'!$F$6:$F$94="111 - 1109 Kr"),--('Repartition stock'!$G$6:$G$94="n.d."))&gt;0),"n.d.",SUMPRODUCT(--('Repartition stock'!$A$6:$A$94="2026Q2"),--('Repartition stock'!$B$6:$B$94="SE"),--('Repartition stock'!$E$6:$E$94="Tranche"),--('Repartition stock'!$F$6:$F$94="111 - 1109 Kr"),'Repartition stock'!$G$6:$G$94))</f>
        <v>175</v>
      </c>
      <c r="Y9" s="6"/>
      <c r="Z9" s="6">
        <f>IF(OR(SUMPRODUCT(--('Repartition stock'!$A$6:$A$94="2026Q2"),--('Repartition stock'!$B$6:$B$94="SE"),--('Repartition stock'!$E$6:$E$94="Tranche"),--('Repartition stock'!$F$6:$F$94="111 - 1109 Kr"))=0,SUMPRODUCT(--('Repartition stock'!$A$6:$A$94="2026Q2"),--('Repartition stock'!$B$6:$B$94="SE"),--('Repartition stock'!$E$6:$E$94="Tranche"),--('Repartition stock'!$F$6:$F$94="111 - 1109 Kr"),--('Repartition stock'!$H$6:$H$94="n.d."))&gt;0),"n.d.",SUMPRODUCT(--('Repartition stock'!$A$6:$A$94="2026Q2"),--('Repartition stock'!$B$6:$B$94="SE"),--('Repartition stock'!$E$6:$E$94="Tranche"),--('Repartition stock'!$F$6:$F$94="111 - 1109 Kr"),'Repartition stock'!$H$6:$H$94))</f>
        <v>65226.56999999998</v>
      </c>
      <c r="AA9" s="6"/>
      <c r="AB9" s="6"/>
      <c r="AC9" s="7">
        <f>IF(OR(COUNT(X9,X12)&lt;&gt;2,X12=0),"n.d.",X9/X12)</f>
        <v>0.3593429158110883</v>
      </c>
      <c r="AD9" s="7"/>
      <c r="AE9" s="7">
        <f>IF(OR(COUNT(Z9,Z12)&lt;&gt;2,Z12=0),"n.d.",Z9/Z12)</f>
        <v>0.416399894129404</v>
      </c>
      <c r="AF9" s="7"/>
    </row>
    <row r="10" spans="1:32" ht="13.5" customHeight="1">
      <c r="A10" s="12"/>
      <c r="R10" s="4"/>
      <c r="S10" s="4"/>
      <c r="T10" s="4"/>
      <c r="U10" s="15" t="s">
        <v>239</v>
      </c>
      <c r="V10" s="15"/>
      <c r="W10" s="15"/>
      <c r="X10" s="6">
        <f>IF(OR(SUMPRODUCT(--('Repartition stock'!$A$6:$A$94="2026Q2"),--('Repartition stock'!$B$6:$B$94="SE"),--('Repartition stock'!$E$6:$E$94="Tranche"),--('Repartition stock'!$F$6:$F$94="1109 - 11094 Kr"))=0,SUMPRODUCT(--('Repartition stock'!$A$6:$A$94="2026Q2"),--('Repartition stock'!$B$6:$B$94="SE"),--('Repartition stock'!$E$6:$E$94="Tranche"),--('Repartition stock'!$F$6:$F$94="1109 - 11094 Kr"),--('Repartition stock'!$G$6:$G$94="n.d."))&gt;0),"n.d.",SUMPRODUCT(--('Repartition stock'!$A$6:$A$94="2026Q2"),--('Repartition stock'!$B$6:$B$94="SE"),--('Repartition stock'!$E$6:$E$94="Tranche"),--('Repartition stock'!$F$6:$F$94="1109 - 11094 Kr"),'Repartition stock'!$G$6:$G$94))</f>
        <v>32</v>
      </c>
      <c r="Y10" s="6"/>
      <c r="Z10" s="6">
        <f>IF(OR(SUMPRODUCT(--('Repartition stock'!$A$6:$A$94="2026Q2"),--('Repartition stock'!$B$6:$B$94="SE"),--('Repartition stock'!$E$6:$E$94="Tranche"),--('Repartition stock'!$F$6:$F$94="1109 - 11094 Kr"))=0,SUMPRODUCT(--('Repartition stock'!$A$6:$A$94="2026Q2"),--('Repartition stock'!$B$6:$B$94="SE"),--('Repartition stock'!$E$6:$E$94="Tranche"),--('Repartition stock'!$F$6:$F$94="1109 - 11094 Kr"),--('Repartition stock'!$H$6:$H$94="n.d."))&gt;0),"n.d.",SUMPRODUCT(--('Repartition stock'!$A$6:$A$94="2026Q2"),--('Repartition stock'!$B$6:$B$94="SE"),--('Repartition stock'!$E$6:$E$94="Tranche"),--('Repartition stock'!$F$6:$F$94="1109 - 11094 Kr"),'Repartition stock'!$H$6:$H$94))</f>
        <v>84813.40999999996</v>
      </c>
      <c r="AA10" s="6"/>
      <c r="AB10" s="6"/>
      <c r="AC10" s="7">
        <f>IF(OR(COUNT(X10,X12)&lt;&gt;2,X12=0),"n.d.",X10/X12)</f>
        <v>0.06570841889117043</v>
      </c>
      <c r="AD10" s="7"/>
      <c r="AE10" s="7">
        <f>IF(OR(COUNT(Z10,Z12)&lt;&gt;2,Z12=0),"n.d.",Z10/Z12)</f>
        <v>0.5414403201755623</v>
      </c>
      <c r="AF10" s="7"/>
    </row>
    <row r="11" spans="1:32" ht="13.5" customHeight="1">
      <c r="A11" s="12"/>
      <c r="R11" s="4"/>
      <c r="S11" s="4"/>
      <c r="T11" s="4"/>
      <c r="U11" s="15" t="s">
        <v>241</v>
      </c>
      <c r="V11" s="15"/>
      <c r="W11" s="15"/>
      <c r="X11" s="6">
        <f>IF(OR(SUMPRODUCT(--('Repartition stock'!$A$6:$A$94="2026Q2"),--('Repartition stock'!$B$6:$B$94="SE"),--('Repartition stock'!$E$6:$E$94="Tranche"),--('Repartition stock'!$F$6:$F$94="&gt;11094 Kr"))=0,SUMPRODUCT(--('Repartition stock'!$A$6:$A$94="2026Q2"),--('Repartition stock'!$B$6:$B$94="SE"),--('Repartition stock'!$E$6:$E$94="Tranche"),--('Repartition stock'!$F$6:$F$94="&gt;11094 Kr"),--('Repartition stock'!$G$6:$G$94="n.d."))&gt;0),"n.d.",SUMPRODUCT(--('Repartition stock'!$A$6:$A$94="2026Q2"),--('Repartition stock'!$B$6:$B$94="SE"),--('Repartition stock'!$E$6:$E$94="Tranche"),--('Repartition stock'!$F$6:$F$94="&gt;11094 Kr"),'Repartition stock'!$G$6:$G$94))</f>
        <v>0</v>
      </c>
      <c r="Y11" s="6"/>
      <c r="Z11" s="6">
        <f>IF(OR(SUMPRODUCT(--('Repartition stock'!$A$6:$A$94="2026Q2"),--('Repartition stock'!$B$6:$B$94="SE"),--('Repartition stock'!$E$6:$E$94="Tranche"),--('Repartition stock'!$F$6:$F$94="&gt;11094 Kr"))=0,SUMPRODUCT(--('Repartition stock'!$A$6:$A$94="2026Q2"),--('Repartition stock'!$B$6:$B$94="SE"),--('Repartition stock'!$E$6:$E$94="Tranche"),--('Repartition stock'!$F$6:$F$94="&gt;11094 Kr"),--('Repartition stock'!$H$6:$H$94="n.d."))&gt;0),"n.d.",SUMPRODUCT(--('Repartition stock'!$A$6:$A$94="2026Q2"),--('Repartition stock'!$B$6:$B$94="SE"),--('Repartition stock'!$E$6:$E$94="Tranche"),--('Repartition stock'!$F$6:$F$94="&gt;11094 Kr"),'Repartition stock'!$H$6:$H$94))</f>
        <v>0</v>
      </c>
      <c r="AA11" s="6"/>
      <c r="AB11" s="6"/>
      <c r="AC11" s="7">
        <f>IF(OR(COUNT(X11,X12)&lt;&gt;2,X12=0),"n.d.",X11/X12)</f>
        <v>0.0</v>
      </c>
      <c r="AD11" s="7"/>
      <c r="AE11" s="7">
        <f>IF(OR(COUNT(Z11,Z12)&lt;&gt;2,Z12=0),"n.d.",Z11/Z12)</f>
        <v>0.0</v>
      </c>
      <c r="AF11" s="7"/>
    </row>
    <row r="12" spans="1:32" ht="13.5" customHeight="1">
      <c r="A12" s="12"/>
      <c r="R12" s="8" t="s">
        <v>461</v>
      </c>
      <c r="S12" s="8"/>
      <c r="T12" s="8"/>
      <c r="U12" s="8"/>
      <c r="V12" s="8"/>
      <c r="W12" s="8"/>
      <c r="X12" s="8">
        <f>IF(COUNT(X7:X11)=5,SUM(X7:X11),"n.d.")</f>
        <v>487</v>
      </c>
      <c r="Y12" s="8"/>
      <c r="Z12" s="8">
        <f>IF(COUNT(Z7:Z11)=5,SUM(Z7:Z11),"n.d.")</f>
        <v>156644.05999999994</v>
      </c>
      <c r="AA12" s="8"/>
      <c r="AB12" s="8"/>
      <c r="AC12" s="9">
        <f>IF(OR(NOT(ISNUMBER(X12)),X12=0),"n.d.",1)</f>
        <v>1.0</v>
      </c>
      <c r="AD12" s="9"/>
      <c r="AE12" s="9">
        <f>IF(OR(NOT(ISNUMBER(Z12)),Z12=0),"n.d.",1)</f>
        <v>1.0</v>
      </c>
      <c r="AF12" s="9"/>
    </row>
    <row r="13" spans="1:32" ht="13.5" customHeight="1">
      <c r="A13" s="12"/>
    </row>
    <row r="14" spans="1:32" ht="13.5" customHeight="1">
      <c r="A14" s="12"/>
      <c r="R14" s="4" t="s">
        <v>462</v>
      </c>
      <c r="S14" s="4"/>
      <c r="T14" s="4"/>
      <c r="U14" s="15" t="s">
        <v>146</v>
      </c>
      <c r="V14" s="15"/>
      <c r="W14" s="15"/>
      <c r="X14" s="6">
        <f>IF(OR(SUMPRODUCT(--('Repartition stock'!$A$6:$A$94="2026Q2"),--('Repartition stock'!$B$6:$B$94="SE"),--('Repartition stock'!$E$6:$E$94="Millésime"),--('Repartition stock'!$F$6:$F$94="&lt;2018"))=0,SUMPRODUCT(--('Repartition stock'!$A$6:$A$94="2026Q2"),--('Repartition stock'!$B$6:$B$94="SE"),--('Repartition stock'!$E$6:$E$94="Millésime"),--('Repartition stock'!$F$6:$F$94="&lt;2018"),--('Repartition stock'!$G$6:$G$94="n.d."))&gt;0),"n.d.",SUMPRODUCT(--('Repartition stock'!$A$6:$A$94="2026Q2"),--('Repartition stock'!$B$6:$B$94="SE"),--('Repartition stock'!$E$6:$E$94="Millésime"),--('Repartition stock'!$F$6:$F$94="&lt;2018"),'Repartition stock'!$G$6:$G$94))</f>
        <v>0</v>
      </c>
      <c r="Y14" s="6"/>
      <c r="Z14" s="6">
        <f>IF(OR(SUMPRODUCT(--('Repartition stock'!$A$6:$A$94="2026Q2"),--('Repartition stock'!$B$6:$B$94="SE"),--('Repartition stock'!$E$6:$E$94="Millésime"),--('Repartition stock'!$F$6:$F$94="&lt;2018"))=0,SUMPRODUCT(--('Repartition stock'!$A$6:$A$94="2026Q2"),--('Repartition stock'!$B$6:$B$94="SE"),--('Repartition stock'!$E$6:$E$94="Millésime"),--('Repartition stock'!$F$6:$F$94="&lt;2018"),--('Repartition stock'!$H$6:$H$94="n.d."))&gt;0),"n.d.",SUMPRODUCT(--('Repartition stock'!$A$6:$A$94="2026Q2"),--('Repartition stock'!$B$6:$B$94="SE"),--('Repartition stock'!$E$6:$E$94="Millésime"),--('Repartition stock'!$F$6:$F$94="&lt;2018"),'Repartition stock'!$H$6:$H$94))</f>
        <v>0</v>
      </c>
      <c r="AA14" s="6"/>
      <c r="AB14" s="6"/>
      <c r="AC14" s="7">
        <f>IF(OR(COUNT(X14,X24)&lt;&gt;2,X24=0),"n.d.",X14/X24)</f>
        <v>0.0</v>
      </c>
      <c r="AD14" s="7"/>
      <c r="AE14" s="7">
        <f>IF(OR(COUNT(Z14,Z24)&lt;&gt;2,Z24=0),"n.d.",Z14/Z24)</f>
        <v>0.0</v>
      </c>
      <c r="AF14" s="7"/>
    </row>
    <row r="15" spans="1:32" ht="13.5" customHeight="1">
      <c r="A15" s="12"/>
      <c r="R15" s="4"/>
      <c r="S15" s="4"/>
      <c r="T15" s="4"/>
      <c r="U15" s="15" t="s">
        <v>148</v>
      </c>
      <c r="V15" s="15"/>
      <c r="W15" s="15"/>
      <c r="X15" s="6">
        <f>IF(OR(SUMPRODUCT(--('Repartition stock'!$A$6:$A$94="2026Q2"),--('Repartition stock'!$B$6:$B$94="SE"),--('Repartition stock'!$E$6:$E$94="Millésime"),--('Repartition stock'!$F$6:$F$94="2018"))=0,SUMPRODUCT(--('Repartition stock'!$A$6:$A$94="2026Q2"),--('Repartition stock'!$B$6:$B$94="SE"),--('Repartition stock'!$E$6:$E$94="Millésime"),--('Repartition stock'!$F$6:$F$94="2018"),--('Repartition stock'!$G$6:$G$94="n.d."))&gt;0),"n.d.",SUMPRODUCT(--('Repartition stock'!$A$6:$A$94="2026Q2"),--('Repartition stock'!$B$6:$B$94="SE"),--('Repartition stock'!$E$6:$E$94="Millésime"),--('Repartition stock'!$F$6:$F$94="2018"),'Repartition stock'!$G$6:$G$94))</f>
        <v>0</v>
      </c>
      <c r="Y15" s="6"/>
      <c r="Z15" s="6">
        <f>IF(OR(SUMPRODUCT(--('Repartition stock'!$A$6:$A$94="2026Q2"),--('Repartition stock'!$B$6:$B$94="SE"),--('Repartition stock'!$E$6:$E$94="Millésime"),--('Repartition stock'!$F$6:$F$94="2018"))=0,SUMPRODUCT(--('Repartition stock'!$A$6:$A$94="2026Q2"),--('Repartition stock'!$B$6:$B$94="SE"),--('Repartition stock'!$E$6:$E$94="Millésime"),--('Repartition stock'!$F$6:$F$94="2018"),--('Repartition stock'!$H$6:$H$94="n.d."))&gt;0),"n.d.",SUMPRODUCT(--('Repartition stock'!$A$6:$A$94="2026Q2"),--('Repartition stock'!$B$6:$B$94="SE"),--('Repartition stock'!$E$6:$E$94="Millésime"),--('Repartition stock'!$F$6:$F$94="2018"),'Repartition stock'!$H$6:$H$94))</f>
        <v>0</v>
      </c>
      <c r="AA15" s="6"/>
      <c r="AB15" s="6"/>
      <c r="AC15" s="7">
        <f>IF(OR(COUNT(X15,X24)&lt;&gt;2,X24=0),"n.d.",X15/X24)</f>
        <v>0.0</v>
      </c>
      <c r="AD15" s="7"/>
      <c r="AE15" s="7">
        <f>IF(OR(COUNT(Z15,Z24)&lt;&gt;2,Z24=0),"n.d.",Z15/Z24)</f>
        <v>0.0</v>
      </c>
      <c r="AF15" s="7"/>
    </row>
    <row r="16" spans="1:32" ht="13.5" customHeight="1">
      <c r="A16" s="12"/>
      <c r="R16" s="4"/>
      <c r="S16" s="4"/>
      <c r="T16" s="4"/>
      <c r="U16" s="15" t="s">
        <v>150</v>
      </c>
      <c r="V16" s="15"/>
      <c r="W16" s="15"/>
      <c r="X16" s="6">
        <f>IF(OR(SUMPRODUCT(--('Repartition stock'!$A$6:$A$94="2026Q2"),--('Repartition stock'!$B$6:$B$94="SE"),--('Repartition stock'!$E$6:$E$94="Millésime"),--('Repartition stock'!$F$6:$F$94="2019"))=0,SUMPRODUCT(--('Repartition stock'!$A$6:$A$94="2026Q2"),--('Repartition stock'!$B$6:$B$94="SE"),--('Repartition stock'!$E$6:$E$94="Millésime"),--('Repartition stock'!$F$6:$F$94="2019"),--('Repartition stock'!$G$6:$G$94="n.d."))&gt;0),"n.d.",SUMPRODUCT(--('Repartition stock'!$A$6:$A$94="2026Q2"),--('Repartition stock'!$B$6:$B$94="SE"),--('Repartition stock'!$E$6:$E$94="Millésime"),--('Repartition stock'!$F$6:$F$94="2019"),'Repartition stock'!$G$6:$G$94))</f>
        <v>0</v>
      </c>
      <c r="Y16" s="6"/>
      <c r="Z16" s="6">
        <f>IF(OR(SUMPRODUCT(--('Repartition stock'!$A$6:$A$94="2026Q2"),--('Repartition stock'!$B$6:$B$94="SE"),--('Repartition stock'!$E$6:$E$94="Millésime"),--('Repartition stock'!$F$6:$F$94="2019"))=0,SUMPRODUCT(--('Repartition stock'!$A$6:$A$94="2026Q2"),--('Repartition stock'!$B$6:$B$94="SE"),--('Repartition stock'!$E$6:$E$94="Millésime"),--('Repartition stock'!$F$6:$F$94="2019"),--('Repartition stock'!$H$6:$H$94="n.d."))&gt;0),"n.d.",SUMPRODUCT(--('Repartition stock'!$A$6:$A$94="2026Q2"),--('Repartition stock'!$B$6:$B$94="SE"),--('Repartition stock'!$E$6:$E$94="Millésime"),--('Repartition stock'!$F$6:$F$94="2019"),'Repartition stock'!$H$6:$H$94))</f>
        <v>0</v>
      </c>
      <c r="AA16" s="6"/>
      <c r="AB16" s="6"/>
      <c r="AC16" s="7">
        <f>IF(OR(COUNT(X16,X24)&lt;&gt;2,X24=0),"n.d.",X16/X24)</f>
        <v>0.0</v>
      </c>
      <c r="AD16" s="7"/>
      <c r="AE16" s="7">
        <f>IF(OR(COUNT(Z16,Z24)&lt;&gt;2,Z24=0),"n.d.",Z16/Z24)</f>
        <v>0.0</v>
      </c>
      <c r="AF16" s="7"/>
    </row>
    <row r="17" spans="1:32" ht="13.5" customHeight="1">
      <c r="A17" s="12"/>
      <c r="R17" s="4"/>
      <c r="S17" s="4"/>
      <c r="T17" s="4"/>
      <c r="U17" s="15" t="s">
        <v>152</v>
      </c>
      <c r="V17" s="15"/>
      <c r="W17" s="15"/>
      <c r="X17" s="6">
        <f>IF(OR(SUMPRODUCT(--('Repartition stock'!$A$6:$A$94="2026Q2"),--('Repartition stock'!$B$6:$B$94="SE"),--('Repartition stock'!$E$6:$E$94="Millésime"),--('Repartition stock'!$F$6:$F$94="2020"))=0,SUMPRODUCT(--('Repartition stock'!$A$6:$A$94="2026Q2"),--('Repartition stock'!$B$6:$B$94="SE"),--('Repartition stock'!$E$6:$E$94="Millésime"),--('Repartition stock'!$F$6:$F$94="2020"),--('Repartition stock'!$G$6:$G$94="n.d."))&gt;0),"n.d.",SUMPRODUCT(--('Repartition stock'!$A$6:$A$94="2026Q2"),--('Repartition stock'!$B$6:$B$94="SE"),--('Repartition stock'!$E$6:$E$94="Millésime"),--('Repartition stock'!$F$6:$F$94="2020"),'Repartition stock'!$G$6:$G$94))</f>
        <v>0</v>
      </c>
      <c r="Y17" s="6"/>
      <c r="Z17" s="6">
        <f>IF(OR(SUMPRODUCT(--('Repartition stock'!$A$6:$A$94="2026Q2"),--('Repartition stock'!$B$6:$B$94="SE"),--('Repartition stock'!$E$6:$E$94="Millésime"),--('Repartition stock'!$F$6:$F$94="2020"))=0,SUMPRODUCT(--('Repartition stock'!$A$6:$A$94="2026Q2"),--('Repartition stock'!$B$6:$B$94="SE"),--('Repartition stock'!$E$6:$E$94="Millésime"),--('Repartition stock'!$F$6:$F$94="2020"),--('Repartition stock'!$H$6:$H$94="n.d."))&gt;0),"n.d.",SUMPRODUCT(--('Repartition stock'!$A$6:$A$94="2026Q2"),--('Repartition stock'!$B$6:$B$94="SE"),--('Repartition stock'!$E$6:$E$94="Millésime"),--('Repartition stock'!$F$6:$F$94="2020"),'Repartition stock'!$H$6:$H$94))</f>
        <v>0</v>
      </c>
      <c r="AA17" s="6"/>
      <c r="AB17" s="6"/>
      <c r="AC17" s="7">
        <f>IF(OR(COUNT(X17,X24)&lt;&gt;2,X24=0),"n.d.",X17/X24)</f>
        <v>0.0</v>
      </c>
      <c r="AD17" s="7"/>
      <c r="AE17" s="7">
        <f>IF(OR(COUNT(Z17,Z24)&lt;&gt;2,Z24=0),"n.d.",Z17/Z24)</f>
        <v>0.0</v>
      </c>
      <c r="AF17" s="7"/>
    </row>
    <row r="18" spans="1:32" ht="13.5" customHeight="1">
      <c r="A18" s="12"/>
      <c r="R18" s="4"/>
      <c r="S18" s="4"/>
      <c r="T18" s="4"/>
      <c r="U18" s="15" t="s">
        <v>154</v>
      </c>
      <c r="V18" s="15"/>
      <c r="W18" s="15"/>
      <c r="X18" s="6">
        <f>IF(OR(SUMPRODUCT(--('Repartition stock'!$A$6:$A$94="2026Q2"),--('Repartition stock'!$B$6:$B$94="SE"),--('Repartition stock'!$E$6:$E$94="Millésime"),--('Repartition stock'!$F$6:$F$94="2021"))=0,SUMPRODUCT(--('Repartition stock'!$A$6:$A$94="2026Q2"),--('Repartition stock'!$B$6:$B$94="SE"),--('Repartition stock'!$E$6:$E$94="Millésime"),--('Repartition stock'!$F$6:$F$94="2021"),--('Repartition stock'!$G$6:$G$94="n.d."))&gt;0),"n.d.",SUMPRODUCT(--('Repartition stock'!$A$6:$A$94="2026Q2"),--('Repartition stock'!$B$6:$B$94="SE"),--('Repartition stock'!$E$6:$E$94="Millésime"),--('Repartition stock'!$F$6:$F$94="2021"),'Repartition stock'!$G$6:$G$94))</f>
        <v>0</v>
      </c>
      <c r="Y18" s="6"/>
      <c r="Z18" s="6">
        <f>IF(OR(SUMPRODUCT(--('Repartition stock'!$A$6:$A$94="2026Q2"),--('Repartition stock'!$B$6:$B$94="SE"),--('Repartition stock'!$E$6:$E$94="Millésime"),--('Repartition stock'!$F$6:$F$94="2021"))=0,SUMPRODUCT(--('Repartition stock'!$A$6:$A$94="2026Q2"),--('Repartition stock'!$B$6:$B$94="SE"),--('Repartition stock'!$E$6:$E$94="Millésime"),--('Repartition stock'!$F$6:$F$94="2021"),--('Repartition stock'!$H$6:$H$94="n.d."))&gt;0),"n.d.",SUMPRODUCT(--('Repartition stock'!$A$6:$A$94="2026Q2"),--('Repartition stock'!$B$6:$B$94="SE"),--('Repartition stock'!$E$6:$E$94="Millésime"),--('Repartition stock'!$F$6:$F$94="2021"),'Repartition stock'!$H$6:$H$94))</f>
        <v>0</v>
      </c>
      <c r="AA18" s="6"/>
      <c r="AB18" s="6"/>
      <c r="AC18" s="7">
        <f>IF(OR(COUNT(X18,X24)&lt;&gt;2,X24=0),"n.d.",X18/X24)</f>
        <v>0.0</v>
      </c>
      <c r="AD18" s="7"/>
      <c r="AE18" s="7">
        <f>IF(OR(COUNT(Z18,Z24)&lt;&gt;2,Z24=0),"n.d.",Z18/Z24)</f>
        <v>0.0</v>
      </c>
      <c r="AF18" s="7"/>
    </row>
    <row r="19" spans="1:32" ht="13.5" customHeight="1">
      <c r="A19" s="12"/>
      <c r="R19" s="4"/>
      <c r="S19" s="4"/>
      <c r="T19" s="4"/>
      <c r="U19" s="15" t="s">
        <v>156</v>
      </c>
      <c r="V19" s="15"/>
      <c r="W19" s="15"/>
      <c r="X19" s="6">
        <f>IF(OR(SUMPRODUCT(--('Repartition stock'!$A$6:$A$94="2026Q2"),--('Repartition stock'!$B$6:$B$94="SE"),--('Repartition stock'!$E$6:$E$94="Millésime"),--('Repartition stock'!$F$6:$F$94="2022"))=0,SUMPRODUCT(--('Repartition stock'!$A$6:$A$94="2026Q2"),--('Repartition stock'!$B$6:$B$94="SE"),--('Repartition stock'!$E$6:$E$94="Millésime"),--('Repartition stock'!$F$6:$F$94="2022"),--('Repartition stock'!$G$6:$G$94="n.d."))&gt;0),"n.d.",SUMPRODUCT(--('Repartition stock'!$A$6:$A$94="2026Q2"),--('Repartition stock'!$B$6:$B$94="SE"),--('Repartition stock'!$E$6:$E$94="Millésime"),--('Repartition stock'!$F$6:$F$94="2022"),'Repartition stock'!$G$6:$G$94))</f>
        <v>0</v>
      </c>
      <c r="Y19" s="6"/>
      <c r="Z19" s="6">
        <f>IF(OR(SUMPRODUCT(--('Repartition stock'!$A$6:$A$94="2026Q2"),--('Repartition stock'!$B$6:$B$94="SE"),--('Repartition stock'!$E$6:$E$94="Millésime"),--('Repartition stock'!$F$6:$F$94="2022"))=0,SUMPRODUCT(--('Repartition stock'!$A$6:$A$94="2026Q2"),--('Repartition stock'!$B$6:$B$94="SE"),--('Repartition stock'!$E$6:$E$94="Millésime"),--('Repartition stock'!$F$6:$F$94="2022"),--('Repartition stock'!$H$6:$H$94="n.d."))&gt;0),"n.d.",SUMPRODUCT(--('Repartition stock'!$A$6:$A$94="2026Q2"),--('Repartition stock'!$B$6:$B$94="SE"),--('Repartition stock'!$E$6:$E$94="Millésime"),--('Repartition stock'!$F$6:$F$94="2022"),'Repartition stock'!$H$6:$H$94))</f>
        <v>0</v>
      </c>
      <c r="AA19" s="6"/>
      <c r="AB19" s="6"/>
      <c r="AC19" s="7">
        <f>IF(OR(COUNT(X19,X24)&lt;&gt;2,X24=0),"n.d.",X19/X24)</f>
        <v>0.0</v>
      </c>
      <c r="AD19" s="7"/>
      <c r="AE19" s="7">
        <f>IF(OR(COUNT(Z19,Z24)&lt;&gt;2,Z24=0),"n.d.",Z19/Z24)</f>
        <v>0.0</v>
      </c>
      <c r="AF19" s="7"/>
    </row>
    <row r="20" spans="1:32" ht="13.5" customHeight="1">
      <c r="A20" s="12"/>
      <c r="R20" s="4"/>
      <c r="S20" s="4"/>
      <c r="T20" s="4"/>
      <c r="U20" s="15" t="s">
        <v>158</v>
      </c>
      <c r="V20" s="15"/>
      <c r="W20" s="15"/>
      <c r="X20" s="6">
        <f>IF(OR(SUMPRODUCT(--('Repartition stock'!$A$6:$A$94="2026Q2"),--('Repartition stock'!$B$6:$B$94="SE"),--('Repartition stock'!$E$6:$E$94="Millésime"),--('Repartition stock'!$F$6:$F$94="2023"))=0,SUMPRODUCT(--('Repartition stock'!$A$6:$A$94="2026Q2"),--('Repartition stock'!$B$6:$B$94="SE"),--('Repartition stock'!$E$6:$E$94="Millésime"),--('Repartition stock'!$F$6:$F$94="2023"),--('Repartition stock'!$G$6:$G$94="n.d."))&gt;0),"n.d.",SUMPRODUCT(--('Repartition stock'!$A$6:$A$94="2026Q2"),--('Repartition stock'!$B$6:$B$94="SE"),--('Repartition stock'!$E$6:$E$94="Millésime"),--('Repartition stock'!$F$6:$F$94="2023"),'Repartition stock'!$G$6:$G$94))</f>
        <v>0</v>
      </c>
      <c r="Y20" s="6"/>
      <c r="Z20" s="6">
        <f>IF(OR(SUMPRODUCT(--('Repartition stock'!$A$6:$A$94="2026Q2"),--('Repartition stock'!$B$6:$B$94="SE"),--('Repartition stock'!$E$6:$E$94="Millésime"),--('Repartition stock'!$F$6:$F$94="2023"))=0,SUMPRODUCT(--('Repartition stock'!$A$6:$A$94="2026Q2"),--('Repartition stock'!$B$6:$B$94="SE"),--('Repartition stock'!$E$6:$E$94="Millésime"),--('Repartition stock'!$F$6:$F$94="2023"),--('Repartition stock'!$H$6:$H$94="n.d."))&gt;0),"n.d.",SUMPRODUCT(--('Repartition stock'!$A$6:$A$94="2026Q2"),--('Repartition stock'!$B$6:$B$94="SE"),--('Repartition stock'!$E$6:$E$94="Millésime"),--('Repartition stock'!$F$6:$F$94="2023"),'Repartition stock'!$H$6:$H$94))</f>
        <v>0</v>
      </c>
      <c r="AA20" s="6"/>
      <c r="AB20" s="6"/>
      <c r="AC20" s="7">
        <f>IF(OR(COUNT(X20,X24)&lt;&gt;2,X24=0),"n.d.",X20/X24)</f>
        <v>0.0</v>
      </c>
      <c r="AD20" s="7"/>
      <c r="AE20" s="7">
        <f>IF(OR(COUNT(Z20,Z24)&lt;&gt;2,Z24=0),"n.d.",Z20/Z24)</f>
        <v>0.0</v>
      </c>
      <c r="AF20" s="7"/>
    </row>
    <row r="21" spans="1:32" ht="13.5" customHeight="1">
      <c r="A21" s="12"/>
      <c r="R21" s="4"/>
      <c r="S21" s="4"/>
      <c r="T21" s="4"/>
      <c r="U21" s="15" t="s">
        <v>64</v>
      </c>
      <c r="V21" s="15"/>
      <c r="W21" s="15"/>
      <c r="X21" s="6">
        <f>IF(OR(SUMPRODUCT(--('Repartition stock'!$A$6:$A$94="2026Q2"),--('Repartition stock'!$B$6:$B$94="SE"),--('Repartition stock'!$E$6:$E$94="Millésime"),--('Repartition stock'!$F$6:$F$94="2024"))=0,SUMPRODUCT(--('Repartition stock'!$A$6:$A$94="2026Q2"),--('Repartition stock'!$B$6:$B$94="SE"),--('Repartition stock'!$E$6:$E$94="Millésime"),--('Repartition stock'!$F$6:$F$94="2024"),--('Repartition stock'!$G$6:$G$94="n.d."))&gt;0),"n.d.",SUMPRODUCT(--('Repartition stock'!$A$6:$A$94="2026Q2"),--('Repartition stock'!$B$6:$B$94="SE"),--('Repartition stock'!$E$6:$E$94="Millésime"),--('Repartition stock'!$F$6:$F$94="2024"),'Repartition stock'!$G$6:$G$94))</f>
        <v>0</v>
      </c>
      <c r="Y21" s="6"/>
      <c r="Z21" s="6">
        <f>IF(OR(SUMPRODUCT(--('Repartition stock'!$A$6:$A$94="2026Q2"),--('Repartition stock'!$B$6:$B$94="SE"),--('Repartition stock'!$E$6:$E$94="Millésime"),--('Repartition stock'!$F$6:$F$94="2024"))=0,SUMPRODUCT(--('Repartition stock'!$A$6:$A$94="2026Q2"),--('Repartition stock'!$B$6:$B$94="SE"),--('Repartition stock'!$E$6:$E$94="Millésime"),--('Repartition stock'!$F$6:$F$94="2024"),--('Repartition stock'!$H$6:$H$94="n.d."))&gt;0),"n.d.",SUMPRODUCT(--('Repartition stock'!$A$6:$A$94="2026Q2"),--('Repartition stock'!$B$6:$B$94="SE"),--('Repartition stock'!$E$6:$E$94="Millésime"),--('Repartition stock'!$F$6:$F$94="2024"),'Repartition stock'!$H$6:$H$94))</f>
        <v>0</v>
      </c>
      <c r="AA21" s="6"/>
      <c r="AB21" s="6"/>
      <c r="AC21" s="7">
        <f>IF(OR(COUNT(X21,X24)&lt;&gt;2,X24=0),"n.d.",X21/X24)</f>
        <v>0.0</v>
      </c>
      <c r="AD21" s="7"/>
      <c r="AE21" s="7">
        <f>IF(OR(COUNT(Z21,Z24)&lt;&gt;2,Z24=0),"n.d.",Z21/Z24)</f>
        <v>0.0</v>
      </c>
      <c r="AF21" s="7"/>
    </row>
    <row r="22" spans="1:32" ht="13.5" customHeight="1">
      <c r="A22" s="12"/>
      <c r="R22" s="4"/>
      <c r="S22" s="4"/>
      <c r="T22" s="4"/>
      <c r="U22" s="15" t="s">
        <v>46</v>
      </c>
      <c r="V22" s="15"/>
      <c r="W22" s="15"/>
      <c r="X22" s="6">
        <f>IF(OR(SUMPRODUCT(--('Repartition stock'!$A$6:$A$94="2026Q2"),--('Repartition stock'!$B$6:$B$94="SE"),--('Repartition stock'!$E$6:$E$94="Millésime"),--('Repartition stock'!$F$6:$F$94="2025"))=0,SUMPRODUCT(--('Repartition stock'!$A$6:$A$94="2026Q2"),--('Repartition stock'!$B$6:$B$94="SE"),--('Repartition stock'!$E$6:$E$94="Millésime"),--('Repartition stock'!$F$6:$F$94="2025"),--('Repartition stock'!$G$6:$G$94="n.d."))&gt;0),"n.d.",SUMPRODUCT(--('Repartition stock'!$A$6:$A$94="2026Q2"),--('Repartition stock'!$B$6:$B$94="SE"),--('Repartition stock'!$E$6:$E$94="Millésime"),--('Repartition stock'!$F$6:$F$94="2025"),'Repartition stock'!$G$6:$G$94))</f>
        <v>0</v>
      </c>
      <c r="Y22" s="6"/>
      <c r="Z22" s="6">
        <f>IF(OR(SUMPRODUCT(--('Repartition stock'!$A$6:$A$94="2026Q2"),--('Repartition stock'!$B$6:$B$94="SE"),--('Repartition stock'!$E$6:$E$94="Millésime"),--('Repartition stock'!$F$6:$F$94="2025"))=0,SUMPRODUCT(--('Repartition stock'!$A$6:$A$94="2026Q2"),--('Repartition stock'!$B$6:$B$94="SE"),--('Repartition stock'!$E$6:$E$94="Millésime"),--('Repartition stock'!$F$6:$F$94="2025"),--('Repartition stock'!$H$6:$H$94="n.d."))&gt;0),"n.d.",SUMPRODUCT(--('Repartition stock'!$A$6:$A$94="2026Q2"),--('Repartition stock'!$B$6:$B$94="SE"),--('Repartition stock'!$E$6:$E$94="Millésime"),--('Repartition stock'!$F$6:$F$94="2025"),'Repartition stock'!$H$6:$H$94))</f>
        <v>0</v>
      </c>
      <c r="AA22" s="6"/>
      <c r="AB22" s="6"/>
      <c r="AC22" s="7">
        <f>IF(OR(COUNT(X22,X24)&lt;&gt;2,X24=0),"n.d.",X22/X24)</f>
        <v>0.0</v>
      </c>
      <c r="AD22" s="7"/>
      <c r="AE22" s="7">
        <f>IF(OR(COUNT(Z22,Z24)&lt;&gt;2,Z24=0),"n.d.",Z22/Z24)</f>
        <v>0.0</v>
      </c>
      <c r="AF22" s="7"/>
    </row>
    <row r="23" spans="1:32" ht="13.5" customHeight="1">
      <c r="A23" s="12"/>
      <c r="R23" s="4"/>
      <c r="S23" s="4"/>
      <c r="T23" s="4"/>
      <c r="U23" s="15" t="s">
        <v>48</v>
      </c>
      <c r="V23" s="15"/>
      <c r="W23" s="15"/>
      <c r="X23" s="6">
        <f>IF(OR(SUMPRODUCT(--('Repartition stock'!$A$6:$A$94="2026Q2"),--('Repartition stock'!$B$6:$B$94="SE"),--('Repartition stock'!$E$6:$E$94="Millésime"),--('Repartition stock'!$F$6:$F$94="2026"))=0,SUMPRODUCT(--('Repartition stock'!$A$6:$A$94="2026Q2"),--('Repartition stock'!$B$6:$B$94="SE"),--('Repartition stock'!$E$6:$E$94="Millésime"),--('Repartition stock'!$F$6:$F$94="2026"),--('Repartition stock'!$G$6:$G$94="n.d."))&gt;0),"n.d.",SUMPRODUCT(--('Repartition stock'!$A$6:$A$94="2026Q2"),--('Repartition stock'!$B$6:$B$94="SE"),--('Repartition stock'!$E$6:$E$94="Millésime"),--('Repartition stock'!$F$6:$F$94="2026"),'Repartition stock'!$G$6:$G$94))</f>
        <v>487</v>
      </c>
      <c r="Y23" s="6"/>
      <c r="Z23" s="6">
        <f>IF(OR(SUMPRODUCT(--('Repartition stock'!$A$6:$A$94="2026Q2"),--('Repartition stock'!$B$6:$B$94="SE"),--('Repartition stock'!$E$6:$E$94="Millésime"),--('Repartition stock'!$F$6:$F$94="2026"))=0,SUMPRODUCT(--('Repartition stock'!$A$6:$A$94="2026Q2"),--('Repartition stock'!$B$6:$B$94="SE"),--('Repartition stock'!$E$6:$E$94="Millésime"),--('Repartition stock'!$F$6:$F$94="2026"),--('Repartition stock'!$H$6:$H$94="n.d."))&gt;0),"n.d.",SUMPRODUCT(--('Repartition stock'!$A$6:$A$94="2026Q2"),--('Repartition stock'!$B$6:$B$94="SE"),--('Repartition stock'!$E$6:$E$94="Millésime"),--('Repartition stock'!$F$6:$F$94="2026"),'Repartition stock'!$H$6:$H$94))</f>
        <v>156644.06000000014</v>
      </c>
      <c r="AA23" s="6"/>
      <c r="AB23" s="6"/>
      <c r="AC23" s="7">
        <f>IF(OR(COUNT(X23,X24)&lt;&gt;2,X24=0),"n.d.",X23/X24)</f>
        <v>1.0</v>
      </c>
      <c r="AD23" s="7"/>
      <c r="AE23" s="7">
        <f>IF(OR(COUNT(Z23,Z24)&lt;&gt;2,Z24=0),"n.d.",Z23/Z24)</f>
        <v>1.0</v>
      </c>
      <c r="AF23" s="7"/>
    </row>
    <row r="24" spans="1:32" ht="13.5" customHeight="1">
      <c r="A24" s="12"/>
      <c r="R24" s="8" t="s">
        <v>461</v>
      </c>
      <c r="S24" s="8"/>
      <c r="T24" s="8"/>
      <c r="U24" s="8"/>
      <c r="V24" s="8"/>
      <c r="W24" s="8"/>
      <c r="X24" s="8">
        <f>IF(COUNT(X14:X23)=10,SUM(X14:X23),"n.d.")</f>
        <v>487</v>
      </c>
      <c r="Y24" s="8"/>
      <c r="Z24" s="8">
        <f>IF(COUNT(Z14:Z23)=10,SUM(Z14:Z23),"n.d.")</f>
        <v>156644.06000000014</v>
      </c>
      <c r="AA24" s="8"/>
      <c r="AB24" s="8"/>
      <c r="AC24" s="9">
        <f>IF(OR(NOT(ISNUMBER(X24)),X24=0),"n.d.",1)</f>
        <v>1.0</v>
      </c>
      <c r="AD24" s="9"/>
      <c r="AE24" s="9">
        <f>IF(OR(NOT(ISNUMBER(Z24)),Z24=0),"n.d.",1)</f>
        <v>1.0</v>
      </c>
      <c r="AF24" s="9"/>
    </row>
    <row r="25" spans="1:32" ht="13.5" customHeight="1">
      <c r="A25" s="12"/>
    </row>
    <row r="26" spans="1:32" ht="13.5" customHeight="1">
      <c r="A26" s="12"/>
    </row>
    <row r="27" spans="1:32" ht="13.5" customHeight="1">
      <c r="A27" s="12"/>
    </row>
    <row r="28" spans="1:32" ht="13.5" customHeight="1">
      <c r="A28" s="12"/>
    </row>
    <row r="29" spans="1:32" ht="13.5" customHeight="1">
      <c r="A29" s="12"/>
    </row>
    <row r="30" spans="1:32" ht="13.5" customHeight="1">
      <c r="A30" s="12"/>
      <c r="B30" s="10" t="str">
        <f>"Average monthly new flow: "&amp;IF(ISNUMBER('GraphData'!A171),TEXT('GraphData'!A171,"#,##0"),"n.d.")&amp;" SEK. Average balance per contract: "&amp;IF(ISNUMBER('GraphData'!B171),TEXT('GraphData'!B171,"#,##0"),"n.d.")&amp;" SEK."</f>
        <v>Average monthly new flow: 314,653 SEK. Average balance per contract: 539 SEK.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</row>
    <row r="31" spans="1:32" ht="13.5" customHeight="1">
      <c r="A31" s="12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</row>
    <row r="32" spans="1:32" ht="13.5" customHeight="1">
      <c r="A32" s="12"/>
      <c r="B32" s="10" t="str">
        <f>"Oldest cohort (M-5): "&amp;IF(ISNUMBER('GraphData'!C171),TEXT('GraphData'!C171,"0.0%"),"n.d.")&amp;" treated in amount and "&amp;IF(ISNUMBER('GraphData'!D171),TEXT('GraphData'!D171,"0.0%"),"n.d.")&amp;" in number."</f>
        <v>Oldest cohort (M-5): 100.0% treated in amount and 100.0% in number.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</row>
    <row r="33" spans="1:32" ht="13.5" customHeight="1">
      <c r="A33" s="12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</row>
    <row r="34" spans="1:32" ht="13.5" customHeight="1">
      <c r="A34" s="12"/>
      <c r="B34" s="10" t="str">
        <f>"Stock to process: "&amp;IF(ISNUMBER('GraphData'!E171),TEXT('GraphData'!E171,"#,##0"),"n.d.")&amp;" SEK. Identified stock: "&amp;IF(ISNUMBER('GraphData'!F171),TEXT('GraphData'!F171,"#,##0"),"n.d.")&amp;" SEK."</f>
        <v>Stock to process: 156,644 SEK. Identified stock: 156,644 SEK.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</row>
    <row r="35" spans="1:32" ht="13.5" customHeight="1">
      <c r="A35" s="12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</row>
    <row r="36" spans="1:32" ht="13.5" customHeight="1">
      <c r="A36" s="12"/>
      <c r="B36" s="10" t="s">
        <v>484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</row>
    <row r="37" spans="1:32" ht="13.5" customHeight="1">
      <c r="A37" s="12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</row>
    <row r="38" spans="1:32" ht="13.5" customHeight="1">
      <c r="A38" s="12"/>
    </row>
    <row r="39" spans="1:32" ht="13.5" customHeight="1">
      <c r="A39" s="12"/>
    </row>
    <row r="40" spans="1:32" ht="13.5" customHeight="1">
      <c r="A40" s="12"/>
    </row>
    <row r="41" spans="1:32" ht="13.5" customHeight="1">
      <c r="A41" s="12"/>
    </row>
    <row r="42" spans="1:32" ht="13.5" customHeight="1">
      <c r="A42" s="12"/>
      <c r="B42" s="11" t="s">
        <v>390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</row>
  </sheetData>
  <mergeCells count="100">
    <mergeCell ref="B2:M4"/>
    <mergeCell ref="B42:AF42"/>
    <mergeCell ref="B5:P6"/>
    <mergeCell ref="R2:W5"/>
    <mergeCell ref="X2:AF2"/>
    <mergeCell ref="X3:Y5"/>
    <mergeCell ref="Z3:AB5"/>
    <mergeCell ref="AC3:AD5"/>
    <mergeCell ref="AE3:AF5"/>
    <mergeCell ref="R7:T11"/>
    <mergeCell ref="U7:W7"/>
    <mergeCell ref="X7:Y7"/>
    <mergeCell ref="Z7:AB7"/>
    <mergeCell ref="AC7:AD7"/>
    <mergeCell ref="AE7:AF7"/>
    <mergeCell ref="U8:W8"/>
    <mergeCell ref="X8:Y8"/>
    <mergeCell ref="Z8:AB8"/>
    <mergeCell ref="AC8:AD8"/>
    <mergeCell ref="AE8:AF8"/>
    <mergeCell ref="U9:W9"/>
    <mergeCell ref="X9:Y9"/>
    <mergeCell ref="Z9:AB9"/>
    <mergeCell ref="AC9:AD9"/>
    <mergeCell ref="AE9:AF9"/>
    <mergeCell ref="U10:W10"/>
    <mergeCell ref="X10:Y10"/>
    <mergeCell ref="Z10:AB10"/>
    <mergeCell ref="AC10:AD10"/>
    <mergeCell ref="AE10:AF10"/>
    <mergeCell ref="U11:W11"/>
    <mergeCell ref="X11:Y11"/>
    <mergeCell ref="Z11:AB11"/>
    <mergeCell ref="AC11:AD11"/>
    <mergeCell ref="AE11:AF11"/>
    <mergeCell ref="R12:W12"/>
    <mergeCell ref="X12:Y12"/>
    <mergeCell ref="Z12:AB12"/>
    <mergeCell ref="AC12:AD12"/>
    <mergeCell ref="AE12:AF12"/>
    <mergeCell ref="R14:T23"/>
    <mergeCell ref="U14:W14"/>
    <mergeCell ref="X14:Y14"/>
    <mergeCell ref="Z14:AB14"/>
    <mergeCell ref="AC14:AD14"/>
    <mergeCell ref="AE14:AF14"/>
    <mergeCell ref="U15:W15"/>
    <mergeCell ref="X15:Y15"/>
    <mergeCell ref="Z15:AB15"/>
    <mergeCell ref="AC15:AD15"/>
    <mergeCell ref="AE15:AF15"/>
    <mergeCell ref="U16:W16"/>
    <mergeCell ref="X16:Y16"/>
    <mergeCell ref="Z16:AB16"/>
    <mergeCell ref="AC16:AD16"/>
    <mergeCell ref="AE16:AF16"/>
    <mergeCell ref="U17:W17"/>
    <mergeCell ref="X17:Y17"/>
    <mergeCell ref="Z17:AB17"/>
    <mergeCell ref="AC17:AD17"/>
    <mergeCell ref="AE17:AF17"/>
    <mergeCell ref="U18:W18"/>
    <mergeCell ref="X18:Y18"/>
    <mergeCell ref="Z18:AB18"/>
    <mergeCell ref="AC18:AD18"/>
    <mergeCell ref="AE18:AF18"/>
    <mergeCell ref="U19:W19"/>
    <mergeCell ref="X19:Y19"/>
    <mergeCell ref="Z19:AB19"/>
    <mergeCell ref="AC19:AD19"/>
    <mergeCell ref="AE19:AF19"/>
    <mergeCell ref="U20:W20"/>
    <mergeCell ref="X20:Y20"/>
    <mergeCell ref="Z20:AB20"/>
    <mergeCell ref="AC20:AD20"/>
    <mergeCell ref="AE20:AF20"/>
    <mergeCell ref="U21:W21"/>
    <mergeCell ref="X21:Y21"/>
    <mergeCell ref="Z21:AB21"/>
    <mergeCell ref="AC21:AD21"/>
    <mergeCell ref="AE21:AF21"/>
    <mergeCell ref="U22:W22"/>
    <mergeCell ref="X22:Y22"/>
    <mergeCell ref="Z22:AB22"/>
    <mergeCell ref="AC22:AD22"/>
    <mergeCell ref="AE22:AF22"/>
    <mergeCell ref="U23:W23"/>
    <mergeCell ref="X23:Y23"/>
    <mergeCell ref="Z23:AB23"/>
    <mergeCell ref="AC23:AD23"/>
    <mergeCell ref="AE23:AF23"/>
    <mergeCell ref="R24:W24"/>
    <mergeCell ref="X24:Y24"/>
    <mergeCell ref="Z24:AB24"/>
    <mergeCell ref="AC24:AD24"/>
    <mergeCell ref="AE24:AF24"/>
    <mergeCell ref="B30:AF31"/>
    <mergeCell ref="B32:AF33"/>
    <mergeCell ref="B34:AF35"/>
    <mergeCell ref="B36:AF37"/>
  </mergeCells>
  <conditionalFormatting sqref="B30:AF40">
    <cfRule type="notContainsBlanks" dxfId="2" priority="1">
      <formula>LEN(TRIM(B30))&gt;0</formula>
    </cfRule>
  </conditionalFormatting>
  <pageMargins left="0.15" right="0.15" top="0.2" bottom="0.2" header="0.3" footer="0.3"/>
  <pageSetup paperSize="9" fitToHeight="0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2:AB11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9" customHeight="1"/>
  <cols>
    <col min="1" max="1" width="15.7109375" style="16" customWidth="1"/>
    <col min="2" max="2" width="12.7109375" style="16" customWidth="1"/>
    <col min="3" max="3" width="22.7109375" style="16" customWidth="1"/>
    <col min="4" max="4" width="12.7109375" style="16" customWidth="1"/>
    <col min="5" max="28" width="23.7109375" style="16" customWidth="1"/>
  </cols>
  <sheetData>
    <row r="2" spans="1:28" ht="19" customHeight="1">
      <c r="A2" s="17" t="s">
        <v>253</v>
      </c>
    </row>
    <row r="3" spans="1:28" ht="19" customHeight="1">
      <c r="A3" s="18" t="s">
        <v>254</v>
      </c>
    </row>
    <row r="5" spans="1:28" ht="42" customHeight="1">
      <c r="A5" s="19" t="s">
        <v>3</v>
      </c>
      <c r="B5" s="19" t="s">
        <v>24</v>
      </c>
      <c r="C5" s="19" t="s">
        <v>25</v>
      </c>
      <c r="D5" s="19" t="s">
        <v>4</v>
      </c>
      <c r="E5" s="19" t="s">
        <v>38</v>
      </c>
      <c r="F5" s="19" t="s">
        <v>27</v>
      </c>
      <c r="G5" s="19" t="s">
        <v>255</v>
      </c>
      <c r="H5" s="19" t="s">
        <v>34</v>
      </c>
      <c r="I5" s="19" t="s">
        <v>29</v>
      </c>
      <c r="J5" s="19" t="s">
        <v>35</v>
      </c>
      <c r="K5" s="19" t="s">
        <v>256</v>
      </c>
      <c r="L5" s="19" t="s">
        <v>257</v>
      </c>
      <c r="M5" s="19" t="s">
        <v>39</v>
      </c>
      <c r="N5" s="19" t="s">
        <v>40</v>
      </c>
      <c r="O5" s="19" t="s">
        <v>258</v>
      </c>
      <c r="P5" s="19" t="s">
        <v>259</v>
      </c>
      <c r="Q5" s="19" t="s">
        <v>260</v>
      </c>
      <c r="R5" s="19" t="s">
        <v>261</v>
      </c>
      <c r="S5" s="19" t="s">
        <v>262</v>
      </c>
      <c r="T5" s="19" t="s">
        <v>263</v>
      </c>
      <c r="U5" s="19" t="s">
        <v>264</v>
      </c>
      <c r="V5" s="19" t="s">
        <v>265</v>
      </c>
      <c r="W5" s="19" t="s">
        <v>266</v>
      </c>
      <c r="X5" s="19" t="s">
        <v>267</v>
      </c>
      <c r="Y5" s="19" t="s">
        <v>268</v>
      </c>
      <c r="Z5" s="19" t="s">
        <v>269</v>
      </c>
      <c r="AA5" s="19" t="s">
        <v>270</v>
      </c>
      <c r="AB5" s="19" t="s">
        <v>271</v>
      </c>
    </row>
    <row r="6" spans="1:28" ht="19" customHeight="1">
      <c r="A6" s="16" t="s">
        <v>9</v>
      </c>
      <c r="B6" s="16" t="s">
        <v>41</v>
      </c>
      <c r="C6" s="16" t="s">
        <v>42</v>
      </c>
      <c r="D6" s="16" t="s">
        <v>13</v>
      </c>
      <c r="E6" s="20">
        <f>SUMIFS('Taux'!$D$6:$D$10,'Taux'!$A$6:$A$10,A6,'Taux'!$B$6:$B$10,D6)</f>
        <v>1</v>
      </c>
      <c r="F6" s="21">
        <f>IF(OR(COUNTIFS('Stock'!$A$6:$A$26,$A6,'Stock'!$B$6:$B$26,$B6)=0,COUNTIFS('Stock'!$A$6:$A$26,$A6,'Stock'!$B$6:$B$26,$B6,'Stock'!$F$6:$F$26,"n.d.")&gt;0),"n.d.",SUMIFS('Stock'!$F$6:$F$26,'Stock'!$A$6:$A$26,$A6,'Stock'!$B$6:$B$26,$B6))</f>
        <v>1391628.0878690481</v>
      </c>
      <c r="G6" s="21">
        <f>IF(OR(COUNTIFS('Stock'!$A$6:$A$26,$A6,'Stock'!$B$6:$B$26,$B6)=0,COUNTIFS('Stock'!$A$6:$A$26,$A6,'Stock'!$B$6:$B$26,$B6,'Stock'!$L$6:$L$26,"n.d.")&gt;0),"n.d.",SUMIFS('Stock'!$L$6:$L$26,'Stock'!$A$6:$A$26,$A6,'Stock'!$B$6:$B$26,$B6))</f>
        <v>1379635.797869048</v>
      </c>
      <c r="H6" s="21">
        <f>IF(OR(COUNTIFS('Stock'!$A$6:$A$26,$A6,'Stock'!$B$6:$B$26,$B6)=0,COUNTIFS('Stock'!$A$6:$A$26,$A6,'Stock'!$B$6:$B$26,$B6,'Stock'!$M$6:$M$26,"n.d.")&gt;0),"n.d.",SUMIFS('Stock'!$M$6:$M$26,'Stock'!$A$6:$A$26,$A6,'Stock'!$B$6:$B$26,$B6))</f>
        <v>11992.290000000037</v>
      </c>
      <c r="I6" s="21">
        <f>IF(OR(COUNTIFS('Stock'!$A$6:$A$26,$A6,'Stock'!$B$6:$B$26,$B6)=0,COUNTIFS('Stock'!$A$6:$A$26,$A6,'Stock'!$B$6:$B$26,$B6,'Stock'!$H$6:$H$26,"n.d.")&gt;0),"n.d.",SUMIFS('Stock'!$H$6:$H$26,'Stock'!$A$6:$A$26,$A6,'Stock'!$B$6:$B$26,$B6))</f>
        <v>0</v>
      </c>
      <c r="J6" s="21">
        <f>IF(OR(COUNTIFS('Stock'!$A$6:$A$26,$A6,'Stock'!$B$6:$B$26,$B6)=0,COUNTIFS('Stock'!$A$6:$A$26,$A6,'Stock'!$B$6:$B$26,$B6,'Stock'!$N$6:$N$26,"n.d.")&gt;0),"n.d.",SUMIFS('Stock'!$N$6:$N$26,'Stock'!$A$6:$A$26,$A6,'Stock'!$B$6:$B$26,$B6))</f>
        <v>11992.290000000037</v>
      </c>
      <c r="K6" s="21">
        <v>0</v>
      </c>
      <c r="L6" s="21">
        <f>IF(COUNT(J6,K6)=2,J6+K6,"n.d.")</f>
        <v>11992.290000000037</v>
      </c>
      <c r="M6" s="21">
        <f>IF(OR(COUNTIFS('Stock'!$A$6:$A$26,$A6,'Stock'!$B$6:$B$26,$B6)=0,COUNTIFS('Stock'!$A$6:$A$26,$A6,'Stock'!$B$6:$B$26,$B6,'Stock'!$R$6:$R$26,"n.d.")&gt;0),"n.d.",SUMIFS('Stock'!$R$6:$R$26,'Stock'!$A$6:$A$26,$A6,'Stock'!$B$6:$B$26,$B6))</f>
        <v>11992.290000000037</v>
      </c>
      <c r="N6" s="21">
        <f>IF(OR(COUNTIFS('Stock'!$A$6:$A$26,$A6,'Stock'!$B$6:$B$26,$B6)=0,COUNTIFS('Stock'!$A$6:$A$26,$A6,'Stock'!$B$6:$B$26,$B6,'Stock'!$S$6:$S$26,"n.d.")&gt;0),"n.d.",SUMIFS('Stock'!$S$6:$S$26,'Stock'!$A$6:$A$26,$A6,'Stock'!$B$6:$B$26,$B6))</f>
        <v>11992.290000000037</v>
      </c>
      <c r="O6" s="21">
        <f>IF(COUNT(L6,E6)=2,L6/E6,"n.d.")</f>
        <v>11992.290000000037</v>
      </c>
      <c r="P6" s="22">
        <f>IF(OR(COUNTIFS('Repartition stock'!$A$6:$A$94,$A6,'Repartition stock'!$B$6:$B$94,$B6,'Repartition stock'!$E$6:$E$94,"Tranche")=0,COUNTIFS('Repartition stock'!$A$6:$A$94,$A6,'Repartition stock'!$B$6:$B$94,$B6,'Repartition stock'!$E$6:$E$94,"Tranche",'Repartition stock'!$G$6:$G$94,"n.d.")&gt;0),"n.d.",SUMIFS('Repartition stock'!$G$6:$G$94,'Repartition stock'!$A$6:$A$94,$A6,'Repartition stock'!$B$6:$B$94,$B6,'Repartition stock'!$E$6:$E$94,"Tranche"))</f>
        <v>74</v>
      </c>
      <c r="Q6" s="21">
        <f>IF(OR(COUNTIFS('Flux'!$A$6:$A$41,$A6,'Flux'!$B$6:$B$41,$B6)=0,COUNTIFS('Flux'!$A$6:$A$41,$A6,'Flux'!$B$6:$B$41,$B6,'Flux'!$R$6:$R$41,"n.d.")&gt;0),"n.d.",SUMIFS('Flux'!$R$6:$R$41,'Flux'!$A$6:$A$41,$A6,'Flux'!$B$6:$B$41,$B6))</f>
        <v>54745.46000000001</v>
      </c>
      <c r="R6" s="21">
        <f>IF(OR(COUNTIFS('Flux'!$A$6:$A$41,$A6,'Flux'!$B$6:$B$41,$B6)=0,COUNTIFS('Flux'!$A$6:$A$41,$A6,'Flux'!$B$6:$B$41,$B6,'Flux'!$S$6:$S$41,"n.d.")&gt;0),"n.d.",SUMIFS('Flux'!$S$6:$S$41,'Flux'!$A$6:$A$41,$A6,'Flux'!$B$6:$B$41,$B6))</f>
        <v>49360.14000000001</v>
      </c>
      <c r="S6" s="22">
        <f>IF(OR(COUNTIFS('Flux'!$A$6:$A$41,$A6,'Flux'!$B$6:$B$41,$B6)=0,COUNTIFS('Flux'!$A$6:$A$41,$A6,'Flux'!$B$6:$B$41,$B6,'Flux'!$G$6:$G$41,"n.d.")&gt;0),"n.d.",SUMIFS('Flux'!$G$6:$G$41,'Flux'!$A$6:$A$41,$A6,'Flux'!$B$6:$B$41,$B6))</f>
        <v>264</v>
      </c>
      <c r="T6" s="22">
        <f>IF(OR(COUNTIFS('Flux'!$A$6:$A$41,$A6,'Flux'!$B$6:$B$41,$B6)=0,COUNTIFS('Flux'!$A$6:$A$41,$A6,'Flux'!$B$6:$B$41,$B6,'Flux'!$N$6:$N$41,"n.d.")&gt;0),"n.d.",SUMIFS('Flux'!$N$6:$N$41,'Flux'!$A$6:$A$41,$A6,'Flux'!$B$6:$B$41,$B6))</f>
        <v>199</v>
      </c>
      <c r="U6" s="23">
        <f>IF(OR(COUNT(R6,Q6)&lt;&gt;2,Q6=0),"n.d.",R6/Q6)</f>
        <v>0.901629833779824</v>
      </c>
      <c r="V6" s="23">
        <f>IF(OR(COUNT(T6,S6)&lt;&gt;2,S6=0),"n.d.",T6/S6)</f>
        <v>0.7537878787878788</v>
      </c>
      <c r="W6" s="21">
        <f>IF(COUNT(Q6)=1,Q6/6,"n.d.")</f>
        <v>9124.243333333334</v>
      </c>
      <c r="X6" s="23">
        <f>IF(OR(COUNTIFS('Flux'!$A$6:$A$41,$A6,'Flux'!$B$6:$B$41,$B6,'Flux'!$E$6:$E$41,DATE(2026,1,1))=0,COUNTIFS('Flux'!$A$6:$A$41,$A6,'Flux'!$B$6:$B$41,$B6,'Flux'!$E$6:$E$41,DATE(2026,1,1),'Flux'!$T$6:$T$41,"n.d.")&gt;0),"n.d.",SUMIFS('Flux'!$T$6:$T$41,'Flux'!$A$6:$A$41,$A6,'Flux'!$B$6:$B$41,$B6,'Flux'!$E$6:$E$41,DATE(2026,1,1)))</f>
        <v>0.9008720336850898</v>
      </c>
      <c r="Y6" s="23">
        <f>IF(OR(COUNTIFS('Flux'!$A$6:$A$41,$A6,'Flux'!$B$6:$B$41,$B6,'Flux'!$E$6:$E$41,DATE(2026,1,1))=0,COUNTIFS('Flux'!$A$6:$A$41,$A6,'Flux'!$B$6:$B$41,$B6,'Flux'!$E$6:$E$41,DATE(2026,1,1),'Flux'!$U$6:$U$41,"n.d.")&gt;0),"n.d.",SUMIFS('Flux'!$U$6:$U$41,'Flux'!$A$6:$A$41,$A6,'Flux'!$B$6:$B$41,$B6,'Flux'!$E$6:$E$41,DATE(2026,1,1)))</f>
        <v>0.7727272727272727</v>
      </c>
      <c r="Z6" s="21">
        <f>IF(OR(COUNTIFS('Flux'!$A$6:$A$41,$A6,'Flux'!$B$6:$B$41,$B6,'Flux'!$E$6:$E$41,"&gt;="&amp;DATE(2026,4,1))=0,COUNTIFS('Flux'!$A$6:$A$41,$A6,'Flux'!$B$6:$B$41,$B6,'Flux'!$E$6:$E$41,"&gt;="&amp;DATE(2026,4,1),'Flux'!$R$6:$R$41,"n.d.")&gt;0),"n.d.",SUMIFS('Flux'!$R$6:$R$41,'Flux'!$A$6:$A$41,$A6,'Flux'!$B$6:$B$41,$B6,'Flux'!$E$6:$E$41,"&gt;="&amp;DATE(2026,4,1)))</f>
        <v>18923.63</v>
      </c>
      <c r="AA6" s="21">
        <f>IF(OR(COUNTIFS('Flux'!$A$6:$A$41,$A6,'Flux'!$B$6:$B$41,$B6,'Flux'!$E$6:$E$41,"&gt;="&amp;DATE(2026,4,1))=0,COUNTIFS('Flux'!$A$6:$A$41,$A6,'Flux'!$B$6:$B$41,$B6,'Flux'!$E$6:$E$41,"&gt;="&amp;DATE(2026,4,1),'Flux'!$S$6:$S$41,"n.d.")&gt;0),"n.d.",SUMIFS('Flux'!$S$6:$S$41,'Flux'!$A$6:$A$41,$A6,'Flux'!$B$6:$B$41,$B6,'Flux'!$E$6:$E$41,"&gt;="&amp;DATE(2026,4,1)))</f>
        <v>15752.880000000001</v>
      </c>
      <c r="AB6" s="23">
        <f>IF(OR(COUNT(Z6,AA6)&lt;&gt;2,Z6=0),"n.d.",AA6/Z6)</f>
        <v>0.8324449378898234</v>
      </c>
    </row>
    <row r="7" spans="1:28" ht="19" customHeight="1">
      <c r="A7" s="16" t="s">
        <v>9</v>
      </c>
      <c r="B7" s="16" t="s">
        <v>50</v>
      </c>
      <c r="C7" s="16" t="s">
        <v>51</v>
      </c>
      <c r="D7" s="16" t="s">
        <v>13</v>
      </c>
      <c r="E7" s="20">
        <f>SUMIFS('Taux'!$D$6:$D$10,'Taux'!$A$6:$A$10,A7,'Taux'!$B$6:$B$10,D7)</f>
        <v>1</v>
      </c>
      <c r="F7" s="21">
        <f>IF(OR(COUNTIFS('Stock'!$A$6:$A$26,$A7,'Stock'!$B$6:$B$26,$B7)=0,COUNTIFS('Stock'!$A$6:$A$26,$A7,'Stock'!$B$6:$B$26,$B7,'Stock'!$F$6:$F$26,"n.d.")&gt;0),"n.d.",SUMIFS('Stock'!$F$6:$F$26,'Stock'!$A$6:$A$26,$A7,'Stock'!$B$6:$B$26,$B7))</f>
        <v>136213170.65</v>
      </c>
      <c r="G7" s="21">
        <f>IF(OR(COUNTIFS('Stock'!$A$6:$A$26,$A7,'Stock'!$B$6:$B$26,$B7)=0,COUNTIFS('Stock'!$A$6:$A$26,$A7,'Stock'!$B$6:$B$26,$B7,'Stock'!$L$6:$L$26,"n.d.")&gt;0),"n.d.",SUMIFS('Stock'!$L$6:$L$26,'Stock'!$A$6:$A$26,$A7,'Stock'!$B$6:$B$26,$B7))</f>
        <v>135425744.41</v>
      </c>
      <c r="H7" s="21">
        <f>IF(OR(COUNTIFS('Stock'!$A$6:$A$26,$A7,'Stock'!$B$6:$B$26,$B7)=0,COUNTIFS('Stock'!$A$6:$A$26,$A7,'Stock'!$B$6:$B$26,$B7,'Stock'!$M$6:$M$26,"n.d.")&gt;0),"n.d.",SUMIFS('Stock'!$M$6:$M$26,'Stock'!$A$6:$A$26,$A7,'Stock'!$B$6:$B$26,$B7))</f>
        <v>787426.2400000095</v>
      </c>
      <c r="I7" s="21">
        <f>IF(OR(COUNTIFS('Stock'!$A$6:$A$26,$A7,'Stock'!$B$6:$B$26,$B7)=0,COUNTIFS('Stock'!$A$6:$A$26,$A7,'Stock'!$B$6:$B$26,$B7,'Stock'!$H$6:$H$26,"n.d.")&gt;0),"n.d.",SUMIFS('Stock'!$H$6:$H$26,'Stock'!$A$6:$A$26,$A7,'Stock'!$B$6:$B$26,$B7))</f>
        <v>2339719.71</v>
      </c>
      <c r="J7" s="21">
        <f>IF(OR(COUNTIFS('Stock'!$A$6:$A$26,$A7,'Stock'!$B$6:$B$26,$B7)=0,COUNTIFS('Stock'!$A$6:$A$26,$A7,'Stock'!$B$6:$B$26,$B7,'Stock'!$N$6:$N$26,"n.d.")&gt;0),"n.d.",SUMIFS('Stock'!$N$6:$N$26,'Stock'!$A$6:$A$26,$A7,'Stock'!$B$6:$B$26,$B7))</f>
        <v>3127145.9500000095</v>
      </c>
      <c r="K7" s="21">
        <v>0</v>
      </c>
      <c r="L7" s="21">
        <f>IF(COUNT(J7,K7)=2,J7+K7,"n.d.")</f>
        <v>3127145.9500000095</v>
      </c>
      <c r="M7" s="21">
        <f>IF(OR(COUNTIFS('Stock'!$A$6:$A$26,$A7,'Stock'!$B$6:$B$26,$B7)=0,COUNTIFS('Stock'!$A$6:$A$26,$A7,'Stock'!$B$6:$B$26,$B7,'Stock'!$R$6:$R$26,"n.d.")&gt;0),"n.d.",SUMIFS('Stock'!$R$6:$R$26,'Stock'!$A$6:$A$26,$A7,'Stock'!$B$6:$B$26,$B7))</f>
        <v>787426.2400000095</v>
      </c>
      <c r="N7" s="21">
        <f>IF(OR(COUNTIFS('Stock'!$A$6:$A$26,$A7,'Stock'!$B$6:$B$26,$B7)=0,COUNTIFS('Stock'!$A$6:$A$26,$A7,'Stock'!$B$6:$B$26,$B7,'Stock'!$S$6:$S$26,"n.d.")&gt;0),"n.d.",SUMIFS('Stock'!$S$6:$S$26,'Stock'!$A$6:$A$26,$A7,'Stock'!$B$6:$B$26,$B7))</f>
        <v>3127145.9500000095</v>
      </c>
      <c r="O7" s="21">
        <f>IF(COUNT(L7,E7)=2,L7/E7,"n.d.")</f>
        <v>3127145.9500000095</v>
      </c>
      <c r="P7" s="22">
        <f>IF(OR(COUNTIFS('Repartition stock'!$A$6:$A$94,$A7,'Repartition stock'!$B$6:$B$94,$B7,'Repartition stock'!$E$6:$E$94,"Tranche")=0,COUNTIFS('Repartition stock'!$A$6:$A$94,$A7,'Repartition stock'!$B$6:$B$94,$B7,'Repartition stock'!$E$6:$E$94,"Tranche",'Repartition stock'!$G$6:$G$94,"n.d.")&gt;0),"n.d.",SUMIFS('Repartition stock'!$G$6:$G$94,'Repartition stock'!$A$6:$A$94,$A7,'Repartition stock'!$B$6:$B$94,$B7,'Repartition stock'!$E$6:$E$94,"Tranche"))</f>
        <v>5595</v>
      </c>
      <c r="Q7" s="21">
        <f>IF(OR(COUNTIFS('Flux'!$A$6:$A$41,$A7,'Flux'!$B$6:$B$41,$B7)=0,COUNTIFS('Flux'!$A$6:$A$41,$A7,'Flux'!$B$6:$B$41,$B7,'Flux'!$R$6:$R$41,"n.d.")&gt;0),"n.d.",SUMIFS('Flux'!$R$6:$R$41,'Flux'!$A$6:$A$41,$A7,'Flux'!$B$6:$B$41,$B7))</f>
        <v>6678519.98</v>
      </c>
      <c r="R7" s="21">
        <f>IF(OR(COUNTIFS('Flux'!$A$6:$A$41,$A7,'Flux'!$B$6:$B$41,$B7)=0,COUNTIFS('Flux'!$A$6:$A$41,$A7,'Flux'!$B$6:$B$41,$B7,'Flux'!$S$6:$S$41,"n.d.")&gt;0),"n.d.",SUMIFS('Flux'!$S$6:$S$41,'Flux'!$A$6:$A$41,$A7,'Flux'!$B$6:$B$41,$B7))</f>
        <v>6028261.37</v>
      </c>
      <c r="S7" s="22">
        <f>IF(OR(COUNTIFS('Flux'!$A$6:$A$41,$A7,'Flux'!$B$6:$B$41,$B7)=0,COUNTIFS('Flux'!$A$6:$A$41,$A7,'Flux'!$B$6:$B$41,$B7,'Flux'!$G$6:$G$41,"n.d.")&gt;0),"n.d.",SUMIFS('Flux'!$G$6:$G$41,'Flux'!$A$6:$A$41,$A7,'Flux'!$B$6:$B$41,$B7))</f>
        <v>27734</v>
      </c>
      <c r="T7" s="22">
        <f>IF(OR(COUNTIFS('Flux'!$A$6:$A$41,$A7,'Flux'!$B$6:$B$41,$B7)=0,COUNTIFS('Flux'!$A$6:$A$41,$A7,'Flux'!$B$6:$B$41,$B7,'Flux'!$N$6:$N$41,"n.d.")&gt;0),"n.d.",SUMIFS('Flux'!$N$6:$N$41,'Flux'!$A$6:$A$41,$A7,'Flux'!$B$6:$B$41,$B7))</f>
        <v>23700</v>
      </c>
      <c r="U7" s="23">
        <f>IF(OR(COUNT(R7,Q7)&lt;&gt;2,Q7=0),"n.d.",R7/Q7)</f>
        <v>0.9026343243791568</v>
      </c>
      <c r="V7" s="23">
        <f>IF(OR(COUNT(T7,S7)&lt;&gt;2,S7=0),"n.d.",T7/S7)</f>
        <v>0.8545467657027476</v>
      </c>
      <c r="W7" s="21">
        <f>IF(COUNT(Q7)=1,Q7/6,"n.d.")</f>
        <v>1113086.6633333333</v>
      </c>
      <c r="X7" s="23">
        <f>IF(OR(COUNTIFS('Flux'!$A$6:$A$41,$A7,'Flux'!$B$6:$B$41,$B7,'Flux'!$E$6:$E$41,DATE(2026,1,1))=0,COUNTIFS('Flux'!$A$6:$A$41,$A7,'Flux'!$B$6:$B$41,$B7,'Flux'!$E$6:$E$41,DATE(2026,1,1),'Flux'!$T$6:$T$41,"n.d.")&gt;0),"n.d.",SUMIFS('Flux'!$T$6:$T$41,'Flux'!$A$6:$A$41,$A7,'Flux'!$B$6:$B$41,$B7,'Flux'!$E$6:$E$41,DATE(2026,1,1)))</f>
        <v>0.9843784875387906</v>
      </c>
      <c r="Y7" s="23">
        <f>IF(OR(COUNTIFS('Flux'!$A$6:$A$41,$A7,'Flux'!$B$6:$B$41,$B7,'Flux'!$E$6:$E$41,DATE(2026,1,1))=0,COUNTIFS('Flux'!$A$6:$A$41,$A7,'Flux'!$B$6:$B$41,$B7,'Flux'!$E$6:$E$41,DATE(2026,1,1),'Flux'!$U$6:$U$41,"n.d.")&gt;0),"n.d.",SUMIFS('Flux'!$U$6:$U$41,'Flux'!$A$6:$A$41,$A7,'Flux'!$B$6:$B$41,$B7,'Flux'!$E$6:$E$41,DATE(2026,1,1)))</f>
        <v>0.9484958979033729</v>
      </c>
      <c r="Z7" s="21">
        <f>IF(OR(COUNTIFS('Flux'!$A$6:$A$41,$A7,'Flux'!$B$6:$B$41,$B7,'Flux'!$E$6:$E$41,"&gt;="&amp;DATE(2026,4,1))=0,COUNTIFS('Flux'!$A$6:$A$41,$A7,'Flux'!$B$6:$B$41,$B7,'Flux'!$E$6:$E$41,"&gt;="&amp;DATE(2026,4,1),'Flux'!$R$6:$R$41,"n.d.")&gt;0),"n.d.",SUMIFS('Flux'!$R$6:$R$41,'Flux'!$A$6:$A$41,$A7,'Flux'!$B$6:$B$41,$B7,'Flux'!$E$6:$E$41,"&gt;="&amp;DATE(2026,4,1)))</f>
        <v>3602309.34</v>
      </c>
      <c r="AA7" s="21">
        <f>IF(OR(COUNTIFS('Flux'!$A$6:$A$41,$A7,'Flux'!$B$6:$B$41,$B7,'Flux'!$E$6:$E$41,"&gt;="&amp;DATE(2026,4,1))=0,COUNTIFS('Flux'!$A$6:$A$41,$A7,'Flux'!$B$6:$B$41,$B7,'Flux'!$E$6:$E$41,"&gt;="&amp;DATE(2026,4,1),'Flux'!$S$6:$S$41,"n.d.")&gt;0),"n.d.",SUMIFS('Flux'!$S$6:$S$41,'Flux'!$A$6:$A$41,$A7,'Flux'!$B$6:$B$41,$B7,'Flux'!$E$6:$E$41,"&gt;="&amp;DATE(2026,4,1)))</f>
        <v>3004893.3000000003</v>
      </c>
      <c r="AB7" s="23">
        <f>IF(OR(COUNT(Z7,AA7)&lt;&gt;2,Z7=0),"n.d.",AA7/Z7)</f>
        <v>0.8341574852091965</v>
      </c>
    </row>
    <row r="8" spans="1:28" ht="19" customHeight="1">
      <c r="A8" s="16" t="s">
        <v>9</v>
      </c>
      <c r="B8" s="16" t="s">
        <v>55</v>
      </c>
      <c r="C8" s="16" t="s">
        <v>56</v>
      </c>
      <c r="D8" s="16" t="s">
        <v>19</v>
      </c>
      <c r="E8" s="20">
        <f>SUMIFS('Taux'!$D$6:$D$10,'Taux'!$A$6:$A$10,A8,'Taux'!$B$6:$B$10,D8)</f>
        <v>18.72282849</v>
      </c>
      <c r="F8" s="21">
        <f>IF(OR(COUNTIFS('Stock'!$A$6:$A$26,$A8,'Stock'!$B$6:$B$26,$B8)=0,COUNTIFS('Stock'!$A$6:$A$26,$A8,'Stock'!$B$6:$B$26,$B8,'Stock'!$F$6:$F$26,"n.d.")&gt;0),"n.d.",SUMIFS('Stock'!$F$6:$F$26,'Stock'!$A$6:$A$26,$A8,'Stock'!$B$6:$B$26,$B8))</f>
        <v>80670819.1299992</v>
      </c>
      <c r="G8" s="21">
        <f>IF(OR(COUNTIFS('Stock'!$A$6:$A$26,$A8,'Stock'!$B$6:$B$26,$B8)=0,COUNTIFS('Stock'!$A$6:$A$26,$A8,'Stock'!$B$6:$B$26,$B8,'Stock'!$L$6:$L$26,"n.d.")&gt;0),"n.d.",SUMIFS('Stock'!$L$6:$L$26,'Stock'!$A$6:$A$26,$A8,'Stock'!$B$6:$B$26,$B8))</f>
        <v>49491955.920000374</v>
      </c>
      <c r="H8" s="21">
        <f>IF(OR(COUNTIFS('Stock'!$A$6:$A$26,$A8,'Stock'!$B$6:$B$26,$B8)=0,COUNTIFS('Stock'!$A$6:$A$26,$A8,'Stock'!$B$6:$B$26,$B8,'Stock'!$M$6:$M$26,"n.d.")&gt;0),"n.d.",SUMIFS('Stock'!$M$6:$M$26,'Stock'!$A$6:$A$26,$A8,'Stock'!$B$6:$B$26,$B8))</f>
        <v>31178863.20999883</v>
      </c>
      <c r="I8" s="21">
        <f>IF(OR(COUNTIFS('Stock'!$A$6:$A$26,$A8,'Stock'!$B$6:$B$26,$B8)=0,COUNTIFS('Stock'!$A$6:$A$26,$A8,'Stock'!$B$6:$B$26,$B8,'Stock'!$H$6:$H$26,"n.d.")&gt;0),"n.d.",SUMIFS('Stock'!$H$6:$H$26,'Stock'!$A$6:$A$26,$A8,'Stock'!$B$6:$B$26,$B8))</f>
        <v>4489640.28</v>
      </c>
      <c r="J8" s="21">
        <f>IF(OR(COUNTIFS('Stock'!$A$6:$A$26,$A8,'Stock'!$B$6:$B$26,$B8)=0,COUNTIFS('Stock'!$A$6:$A$26,$A8,'Stock'!$B$6:$B$26,$B8,'Stock'!$N$6:$N$26,"n.d.")&gt;0),"n.d.",SUMIFS('Stock'!$N$6:$N$26,'Stock'!$A$6:$A$26,$A8,'Stock'!$B$6:$B$26,$B8))</f>
        <v>35668503.48999883</v>
      </c>
      <c r="K8" s="21">
        <v>0</v>
      </c>
      <c r="L8" s="21">
        <f>IF(COUNT(J8,K8)=2,J8+K8,"n.d.")</f>
        <v>35668503.48999883</v>
      </c>
      <c r="M8" s="21">
        <f>IF(OR(COUNTIFS('Stock'!$A$6:$A$26,$A8,'Stock'!$B$6:$B$26,$B8)=0,COUNTIFS('Stock'!$A$6:$A$26,$A8,'Stock'!$B$6:$B$26,$B8,'Stock'!$R$6:$R$26,"n.d.")&gt;0),"n.d.",SUMIFS('Stock'!$R$6:$R$26,'Stock'!$A$6:$A$26,$A8,'Stock'!$B$6:$B$26,$B8))</f>
        <v>1665285.9490034685</v>
      </c>
      <c r="N8" s="21">
        <f>IF(OR(COUNTIFS('Stock'!$A$6:$A$26,$A8,'Stock'!$B$6:$B$26,$B8)=0,COUNTIFS('Stock'!$A$6:$A$26,$A8,'Stock'!$B$6:$B$26,$B8,'Stock'!$S$6:$S$26,"n.d.")&gt;0),"n.d.",SUMIFS('Stock'!$S$6:$S$26,'Stock'!$A$6:$A$26,$A8,'Stock'!$B$6:$B$26,$B8))</f>
        <v>1905080.928827054</v>
      </c>
      <c r="O8" s="21">
        <f>IF(COUNT(L8,E8)=2,L8/E8,"n.d.")</f>
        <v>1905080.928827054</v>
      </c>
      <c r="P8" s="22">
        <f>IF(OR(COUNTIFS('Repartition stock'!$A$6:$A$94,$A8,'Repartition stock'!$B$6:$B$94,$B8,'Repartition stock'!$E$6:$E$94,"Tranche")=0,COUNTIFS('Repartition stock'!$A$6:$A$94,$A8,'Repartition stock'!$B$6:$B$94,$B8,'Repartition stock'!$E$6:$E$94,"Tranche",'Repartition stock'!$G$6:$G$94,"n.d.")&gt;0),"n.d.",SUMIFS('Repartition stock'!$G$6:$G$94,'Repartition stock'!$A$6:$A$94,$A8,'Repartition stock'!$B$6:$B$94,$B8,'Repartition stock'!$E$6:$E$94,"Tranche"))</f>
        <v>71052</v>
      </c>
      <c r="Q8" s="21">
        <f>IF(OR(COUNTIFS('Flux'!$A$6:$A$41,$A8,'Flux'!$B$6:$B$41,$B8)=0,COUNTIFS('Flux'!$A$6:$A$41,$A8,'Flux'!$B$6:$B$41,$B8,'Flux'!$R$6:$R$41,"n.d.")&gt;0),"n.d.",SUMIFS('Flux'!$R$6:$R$41,'Flux'!$A$6:$A$41,$A8,'Flux'!$B$6:$B$41,$B8))</f>
        <v>1175844.635427727</v>
      </c>
      <c r="R8" s="21">
        <f>IF(OR(COUNTIFS('Flux'!$A$6:$A$41,$A8,'Flux'!$B$6:$B$41,$B8)=0,COUNTIFS('Flux'!$A$6:$A$41,$A8,'Flux'!$B$6:$B$41,$B8,'Flux'!$S$6:$S$41,"n.d.")&gt;0),"n.d.",SUMIFS('Flux'!$S$6:$S$41,'Flux'!$A$6:$A$41,$A8,'Flux'!$B$6:$B$41,$B8))</f>
        <v>532101.4917869392</v>
      </c>
      <c r="S8" s="22">
        <f>IF(OR(COUNTIFS('Flux'!$A$6:$A$41,$A8,'Flux'!$B$6:$B$41,$B8)=0,COUNTIFS('Flux'!$A$6:$A$41,$A8,'Flux'!$B$6:$B$41,$B8,'Flux'!$G$6:$G$41,"n.d.")&gt;0),"n.d.",SUMIFS('Flux'!$G$6:$G$41,'Flux'!$A$6:$A$41,$A8,'Flux'!$B$6:$B$41,$B8))</f>
        <v>114974</v>
      </c>
      <c r="T8" s="22">
        <f>IF(OR(COUNTIFS('Flux'!$A$6:$A$41,$A8,'Flux'!$B$6:$B$41,$B8)=0,COUNTIFS('Flux'!$A$6:$A$41,$A8,'Flux'!$B$6:$B$41,$B8,'Flux'!$N$6:$N$41,"n.d.")&gt;0),"n.d.",SUMIFS('Flux'!$N$6:$N$41,'Flux'!$A$6:$A$41,$A8,'Flux'!$B$6:$B$41,$B8))</f>
        <v>76350</v>
      </c>
      <c r="U8" s="23">
        <f>IF(OR(COUNT(R8,Q8)&lt;&gt;2,Q8=0),"n.d.",R8/Q8)</f>
        <v>0.45252703950414436</v>
      </c>
      <c r="V8" s="23">
        <f>IF(OR(COUNT(T8,S8)&lt;&gt;2,S8=0),"n.d.",T8/S8)</f>
        <v>0.6640631795014525</v>
      </c>
      <c r="W8" s="21">
        <f>IF(COUNT(Q8)=1,Q8/6,"n.d.")</f>
        <v>195974.10590462116</v>
      </c>
      <c r="X8" s="23">
        <f>IF(OR(COUNTIFS('Flux'!$A$6:$A$41,$A8,'Flux'!$B$6:$B$41,$B8,'Flux'!$E$6:$E$41,DATE(2026,1,1))=0,COUNTIFS('Flux'!$A$6:$A$41,$A8,'Flux'!$B$6:$B$41,$B8,'Flux'!$E$6:$E$41,DATE(2026,1,1),'Flux'!$T$6:$T$41,"n.d.")&gt;0),"n.d.",SUMIFS('Flux'!$T$6:$T$41,'Flux'!$A$6:$A$41,$A8,'Flux'!$B$6:$B$41,$B8,'Flux'!$E$6:$E$41,DATE(2026,1,1)))</f>
        <v>0.6493430482328113</v>
      </c>
      <c r="Y8" s="23">
        <f>IF(OR(COUNTIFS('Flux'!$A$6:$A$41,$A8,'Flux'!$B$6:$B$41,$B8,'Flux'!$E$6:$E$41,DATE(2026,1,1))=0,COUNTIFS('Flux'!$A$6:$A$41,$A8,'Flux'!$B$6:$B$41,$B8,'Flux'!$E$6:$E$41,DATE(2026,1,1),'Flux'!$U$6:$U$41,"n.d.")&gt;0),"n.d.",SUMIFS('Flux'!$U$6:$U$41,'Flux'!$A$6:$A$41,$A8,'Flux'!$B$6:$B$41,$B8,'Flux'!$E$6:$E$41,DATE(2026,1,1)))</f>
        <v>0.8549981233579382</v>
      </c>
      <c r="Z8" s="21">
        <f>IF(OR(COUNTIFS('Flux'!$A$6:$A$41,$A8,'Flux'!$B$6:$B$41,$B8,'Flux'!$E$6:$E$41,"&gt;="&amp;DATE(2026,4,1))=0,COUNTIFS('Flux'!$A$6:$A$41,$A8,'Flux'!$B$6:$B$41,$B8,'Flux'!$E$6:$E$41,"&gt;="&amp;DATE(2026,4,1),'Flux'!$R$6:$R$41,"n.d.")&gt;0),"n.d.",SUMIFS('Flux'!$R$6:$R$41,'Flux'!$A$6:$A$41,$A8,'Flux'!$B$6:$B$41,$B8,'Flux'!$E$6:$E$41,"&gt;="&amp;DATE(2026,4,1)))</f>
        <v>631933.5161521793</v>
      </c>
      <c r="AA8" s="21">
        <f>IF(OR(COUNTIFS('Flux'!$A$6:$A$41,$A8,'Flux'!$B$6:$B$41,$B8,'Flux'!$E$6:$E$41,"&gt;="&amp;DATE(2026,4,1))=0,COUNTIFS('Flux'!$A$6:$A$41,$A8,'Flux'!$B$6:$B$41,$B8,'Flux'!$E$6:$E$41,"&gt;="&amp;DATE(2026,4,1),'Flux'!$S$6:$S$41,"n.d.")&gt;0),"n.d.",SUMIFS('Flux'!$S$6:$S$41,'Flux'!$A$6:$A$41,$A8,'Flux'!$B$6:$B$41,$B8,'Flux'!$E$6:$E$41,"&gt;="&amp;DATE(2026,4,1)))</f>
        <v>194532.935659018</v>
      </c>
      <c r="AB8" s="23">
        <f>IF(OR(COUNT(Z8,AA8)&lt;&gt;2,Z8=0),"n.d.",AA8/Z8)</f>
        <v>0.3078376612203165</v>
      </c>
    </row>
    <row r="9" spans="1:28" ht="19" customHeight="1">
      <c r="A9" s="16" t="s">
        <v>9</v>
      </c>
      <c r="B9" s="16" t="s">
        <v>60</v>
      </c>
      <c r="C9" s="16" t="s">
        <v>61</v>
      </c>
      <c r="D9" s="16" t="s">
        <v>10</v>
      </c>
      <c r="E9" s="20">
        <f>SUMIFS('Taux'!$D$6:$D$10,'Taux'!$A$6:$A$10,A9,'Taux'!$B$6:$B$10,D9)</f>
        <v>7.47467107</v>
      </c>
      <c r="F9" s="21">
        <f>IF(OR(COUNTIFS('Stock'!$A$6:$A$26,$A9,'Stock'!$B$6:$B$26,$B9)=0,COUNTIFS('Stock'!$A$6:$A$26,$A9,'Stock'!$B$6:$B$26,$B9,'Stock'!$F$6:$F$26,"n.d.")&gt;0),"n.d.",SUMIFS('Stock'!$F$6:$F$26,'Stock'!$A$6:$A$26,$A9,'Stock'!$B$6:$B$26,$B9))</f>
        <v>1842553.28</v>
      </c>
      <c r="G9" s="21">
        <f>IF(OR(COUNTIFS('Stock'!$A$6:$A$26,$A9,'Stock'!$B$6:$B$26,$B9)=0,COUNTIFS('Stock'!$A$6:$A$26,$A9,'Stock'!$B$6:$B$26,$B9,'Stock'!$L$6:$L$26,"n.d.")&gt;0),"n.d.",SUMIFS('Stock'!$L$6:$L$26,'Stock'!$A$6:$A$26,$A9,'Stock'!$B$6:$B$26,$B9))</f>
        <v>1660255.47</v>
      </c>
      <c r="H9" s="21">
        <f>IF(OR(COUNTIFS('Stock'!$A$6:$A$26,$A9,'Stock'!$B$6:$B$26,$B9)=0,COUNTIFS('Stock'!$A$6:$A$26,$A9,'Stock'!$B$6:$B$26,$B9,'Stock'!$M$6:$M$26,"n.d.")&gt;0),"n.d.",SUMIFS('Stock'!$M$6:$M$26,'Stock'!$A$6:$A$26,$A9,'Stock'!$B$6:$B$26,$B9))</f>
        <v>182297.81000000006</v>
      </c>
      <c r="I9" s="24" t="s">
        <v>44</v>
      </c>
      <c r="J9" s="21">
        <f>IF(OR(COUNTIFS('Stock'!$A$6:$A$26,$A9,'Stock'!$B$6:$B$26,$B9)=0,COUNTIFS('Stock'!$A$6:$A$26,$A9,'Stock'!$B$6:$B$26,$B9,'Stock'!$N$6:$N$26,"n.d.")&gt;0),"n.d.",SUMIFS('Stock'!$N$6:$N$26,'Stock'!$A$6:$A$26,$A9,'Stock'!$B$6:$B$26,$B9))</f>
        <v>182297.81000000006</v>
      </c>
      <c r="K9" s="24" t="s">
        <v>44</v>
      </c>
      <c r="L9" s="21" t="str">
        <f>IF(COUNT(J9,K9)=2,J9+K9,"n.d.")</f>
        <v>n.d.</v>
      </c>
      <c r="M9" s="21">
        <f>IF(OR(COUNTIFS('Stock'!$A$6:$A$26,$A9,'Stock'!$B$6:$B$26,$B9)=0,COUNTIFS('Stock'!$A$6:$A$26,$A9,'Stock'!$B$6:$B$26,$B9,'Stock'!$R$6:$R$26,"n.d.")&gt;0),"n.d.",SUMIFS('Stock'!$R$6:$R$26,'Stock'!$A$6:$A$26,$A9,'Stock'!$B$6:$B$26,$B9))</f>
        <v>24388.740092077394</v>
      </c>
      <c r="N9" s="21">
        <f>IF(OR(COUNTIFS('Stock'!$A$6:$A$26,$A9,'Stock'!$B$6:$B$26,$B9)=0,COUNTIFS('Stock'!$A$6:$A$26,$A9,'Stock'!$B$6:$B$26,$B9,'Stock'!$S$6:$S$26,"n.d.")&gt;0),"n.d.",SUMIFS('Stock'!$S$6:$S$26,'Stock'!$A$6:$A$26,$A9,'Stock'!$B$6:$B$26,$B9))</f>
        <v>24388.740092077394</v>
      </c>
      <c r="O9" s="21" t="str">
        <f>IF(COUNT(L9,E9)=2,L9/E9,"n.d.")</f>
        <v>n.d.</v>
      </c>
      <c r="P9" s="22">
        <f>IF(OR(COUNTIFS('Repartition stock'!$A$6:$A$94,$A9,'Repartition stock'!$B$6:$B$94,$B9,'Repartition stock'!$E$6:$E$94,"Tranche")=0,COUNTIFS('Repartition stock'!$A$6:$A$94,$A9,'Repartition stock'!$B$6:$B$94,$B9,'Repartition stock'!$E$6:$E$94,"Tranche",'Repartition stock'!$G$6:$G$94,"n.d.")&gt;0),"n.d.",SUMIFS('Repartition stock'!$G$6:$G$94,'Repartition stock'!$A$6:$A$94,$A9,'Repartition stock'!$B$6:$B$94,$B9,'Repartition stock'!$E$6:$E$94,"Tranche"))</f>
        <v>692</v>
      </c>
      <c r="Q9" s="21">
        <f>IF(OR(COUNTIFS('Flux'!$A$6:$A$41,$A9,'Flux'!$B$6:$B$41,$B9)=0,COUNTIFS('Flux'!$A$6:$A$41,$A9,'Flux'!$B$6:$B$41,$B9,'Flux'!$R$6:$R$41,"n.d.")&gt;0),"n.d.",SUMIFS('Flux'!$R$6:$R$41,'Flux'!$A$6:$A$41,$A9,'Flux'!$B$6:$B$41,$B9))</f>
        <v>115178.67099936481</v>
      </c>
      <c r="R9" s="21">
        <f>IF(OR(COUNTIFS('Flux'!$A$6:$A$41,$A9,'Flux'!$B$6:$B$41,$B9)=0,COUNTIFS('Flux'!$A$6:$A$41,$A9,'Flux'!$B$6:$B$41,$B9,'Flux'!$S$6:$S$41,"n.d.")&gt;0),"n.d.",SUMIFS('Flux'!$S$6:$S$41,'Flux'!$A$6:$A$41,$A9,'Flux'!$B$6:$B$41,$B9))</f>
        <v>90789.93090728739</v>
      </c>
      <c r="S9" s="22">
        <f>IF(OR(COUNTIFS('Flux'!$A$6:$A$41,$A9,'Flux'!$B$6:$B$41,$B9)=0,COUNTIFS('Flux'!$A$6:$A$41,$A9,'Flux'!$B$6:$B$41,$B9,'Flux'!$G$6:$G$41,"n.d.")&gt;0),"n.d.",SUMIFS('Flux'!$G$6:$G$41,'Flux'!$A$6:$A$41,$A9,'Flux'!$B$6:$B$41,$B9))</f>
        <v>2182</v>
      </c>
      <c r="T9" s="22">
        <f>IF(OR(COUNTIFS('Flux'!$A$6:$A$41,$A9,'Flux'!$B$6:$B$41,$B9)=0,COUNTIFS('Flux'!$A$6:$A$41,$A9,'Flux'!$B$6:$B$41,$B9,'Flux'!$N$6:$N$41,"n.d.")&gt;0),"n.d.",SUMIFS('Flux'!$N$6:$N$41,'Flux'!$A$6:$A$41,$A9,'Flux'!$B$6:$B$41,$B9))</f>
        <v>1490</v>
      </c>
      <c r="U9" s="23">
        <f>IF(OR(COUNT(R9,Q9)&lt;&gt;2,Q9=0),"n.d.",R9/Q9)</f>
        <v>0.7882529822538764</v>
      </c>
      <c r="V9" s="23">
        <f>IF(OR(COUNT(T9,S9)&lt;&gt;2,S9=0),"n.d.",T9/S9)</f>
        <v>0.6828597616865261</v>
      </c>
      <c r="W9" s="21">
        <f>IF(COUNT(Q9)=1,Q9/6,"n.d.")</f>
        <v>19196.445166560803</v>
      </c>
      <c r="X9" s="23">
        <f>IF(OR(COUNTIFS('Flux'!$A$6:$A$41,$A9,'Flux'!$B$6:$B$41,$B9,'Flux'!$E$6:$E$41,DATE(2026,1,1))=0,COUNTIFS('Flux'!$A$6:$A$41,$A9,'Flux'!$B$6:$B$41,$B9,'Flux'!$E$6:$E$41,DATE(2026,1,1),'Flux'!$T$6:$T$41,"n.d.")&gt;0),"n.d.",SUMIFS('Flux'!$T$6:$T$41,'Flux'!$A$6:$A$41,$A9,'Flux'!$B$6:$B$41,$B9,'Flux'!$E$6:$E$41,DATE(2026,1,1)))</f>
        <v>1.0</v>
      </c>
      <c r="Y9" s="23">
        <f>IF(OR(COUNTIFS('Flux'!$A$6:$A$41,$A9,'Flux'!$B$6:$B$41,$B9,'Flux'!$E$6:$E$41,DATE(2026,1,1))=0,COUNTIFS('Flux'!$A$6:$A$41,$A9,'Flux'!$B$6:$B$41,$B9,'Flux'!$E$6:$E$41,DATE(2026,1,1),'Flux'!$U$6:$U$41,"n.d.")&gt;0),"n.d.",SUMIFS('Flux'!$U$6:$U$41,'Flux'!$A$6:$A$41,$A9,'Flux'!$B$6:$B$41,$B9,'Flux'!$E$6:$E$41,DATE(2026,1,1)))</f>
        <v>1.0</v>
      </c>
      <c r="Z9" s="21">
        <f>IF(OR(COUNTIFS('Flux'!$A$6:$A$41,$A9,'Flux'!$B$6:$B$41,$B9,'Flux'!$E$6:$E$41,"&gt;="&amp;DATE(2026,4,1))=0,COUNTIFS('Flux'!$A$6:$A$41,$A9,'Flux'!$B$6:$B$41,$B9,'Flux'!$E$6:$E$41,"&gt;="&amp;DATE(2026,4,1),'Flux'!$R$6:$R$41,"n.d.")&gt;0),"n.d.",SUMIFS('Flux'!$R$6:$R$41,'Flux'!$A$6:$A$41,$A9,'Flux'!$B$6:$B$41,$B9,'Flux'!$E$6:$E$41,"&gt;="&amp;DATE(2026,4,1)))</f>
        <v>48477.171317185486</v>
      </c>
      <c r="AA9" s="21">
        <f>IF(OR(COUNTIFS('Flux'!$A$6:$A$41,$A9,'Flux'!$B$6:$B$41,$B9,'Flux'!$E$6:$E$41,"&gt;="&amp;DATE(2026,4,1))=0,COUNTIFS('Flux'!$A$6:$A$41,$A9,'Flux'!$B$6:$B$41,$B9,'Flux'!$E$6:$E$41,"&gt;="&amp;DATE(2026,4,1),'Flux'!$S$6:$S$41,"n.d.")&gt;0),"n.d.",SUMIFS('Flux'!$S$6:$S$41,'Flux'!$A$6:$A$41,$A9,'Flux'!$B$6:$B$41,$B9,'Flux'!$E$6:$E$41,"&gt;="&amp;DATE(2026,4,1)))</f>
        <v>24584.277793510988</v>
      </c>
      <c r="AB9" s="23">
        <f>IF(OR(COUNT(Z9,AA9)&lt;&gt;2,Z9=0),"n.d.",AA9/Z9)</f>
        <v>0.5071310294211762</v>
      </c>
    </row>
    <row r="10" spans="1:28" ht="19" customHeight="1">
      <c r="A10" s="16" t="s">
        <v>9</v>
      </c>
      <c r="B10" s="16" t="s">
        <v>68</v>
      </c>
      <c r="C10" s="16" t="s">
        <v>69</v>
      </c>
      <c r="D10" s="16" t="s">
        <v>15</v>
      </c>
      <c r="E10" s="20">
        <f>SUMIFS('Taux'!$D$6:$D$10,'Taux'!$A$6:$A$10,A10,'Taux'!$B$6:$B$10,D10)</f>
        <v>11.311264655</v>
      </c>
      <c r="F10" s="21">
        <f>IF(OR(COUNTIFS('Stock'!$A$6:$A$26,$A10,'Stock'!$B$6:$B$26,$B10)=0,COUNTIFS('Stock'!$A$6:$A$26,$A10,'Stock'!$B$6:$B$26,$B10,'Stock'!$F$6:$F$26,"n.d.")&gt;0),"n.d.",SUMIFS('Stock'!$F$6:$F$26,'Stock'!$A$6:$A$26,$A10,'Stock'!$B$6:$B$26,$B10))</f>
        <v>1922879.37</v>
      </c>
      <c r="G10" s="21">
        <f>IF(OR(COUNTIFS('Stock'!$A$6:$A$26,$A10,'Stock'!$B$6:$B$26,$B10)=0,COUNTIFS('Stock'!$A$6:$A$26,$A10,'Stock'!$B$6:$B$26,$B10,'Stock'!$L$6:$L$26,"n.d.")&gt;0),"n.d.",SUMIFS('Stock'!$L$6:$L$26,'Stock'!$A$6:$A$26,$A10,'Stock'!$B$6:$B$26,$B10))</f>
        <v>1800631.3099999996</v>
      </c>
      <c r="H10" s="21">
        <f>IF(OR(COUNTIFS('Stock'!$A$6:$A$26,$A10,'Stock'!$B$6:$B$26,$B10)=0,COUNTIFS('Stock'!$A$6:$A$26,$A10,'Stock'!$B$6:$B$26,$B10,'Stock'!$M$6:$M$26,"n.d.")&gt;0),"n.d.",SUMIFS('Stock'!$M$6:$M$26,'Stock'!$A$6:$A$26,$A10,'Stock'!$B$6:$B$26,$B10))</f>
        <v>122248.06000000052</v>
      </c>
      <c r="I10" s="24" t="s">
        <v>44</v>
      </c>
      <c r="J10" s="21">
        <f>IF(OR(COUNTIFS('Stock'!$A$6:$A$26,$A10,'Stock'!$B$6:$B$26,$B10)=0,COUNTIFS('Stock'!$A$6:$A$26,$A10,'Stock'!$B$6:$B$26,$B10,'Stock'!$N$6:$N$26,"n.d.")&gt;0),"n.d.",SUMIFS('Stock'!$N$6:$N$26,'Stock'!$A$6:$A$26,$A10,'Stock'!$B$6:$B$26,$B10))</f>
        <v>122248.06000000052</v>
      </c>
      <c r="K10" s="24" t="s">
        <v>44</v>
      </c>
      <c r="L10" s="21" t="str">
        <f>IF(COUNT(J10,K10)=2,J10+K10,"n.d.")</f>
        <v>n.d.</v>
      </c>
      <c r="M10" s="21">
        <f>IF(OR(COUNTIFS('Stock'!$A$6:$A$26,$A10,'Stock'!$B$6:$B$26,$B10)=0,COUNTIFS('Stock'!$A$6:$A$26,$A10,'Stock'!$B$6:$B$26,$B10,'Stock'!$R$6:$R$26,"n.d.")&gt;0),"n.d.",SUMIFS('Stock'!$R$6:$R$26,'Stock'!$A$6:$A$26,$A10,'Stock'!$B$6:$B$26,$B10))</f>
        <v>10807.6385557792</v>
      </c>
      <c r="N10" s="21">
        <f>IF(OR(COUNTIFS('Stock'!$A$6:$A$26,$A10,'Stock'!$B$6:$B$26,$B10)=0,COUNTIFS('Stock'!$A$6:$A$26,$A10,'Stock'!$B$6:$B$26,$B10,'Stock'!$S$6:$S$26,"n.d.")&gt;0),"n.d.",SUMIFS('Stock'!$S$6:$S$26,'Stock'!$A$6:$A$26,$A10,'Stock'!$B$6:$B$26,$B10))</f>
        <v>10807.6385557792</v>
      </c>
      <c r="O10" s="21" t="str">
        <f>IF(COUNT(L10,E10)=2,L10/E10,"n.d.")</f>
        <v>n.d.</v>
      </c>
      <c r="P10" s="22">
        <f>IF(OR(COUNTIFS('Repartition stock'!$A$6:$A$94,$A10,'Repartition stock'!$B$6:$B$94,$B10,'Repartition stock'!$E$6:$E$94,"Tranche")=0,COUNTIFS('Repartition stock'!$A$6:$A$94,$A10,'Repartition stock'!$B$6:$B$94,$B10,'Repartition stock'!$E$6:$E$94,"Tranche",'Repartition stock'!$G$6:$G$94,"n.d.")&gt;0),"n.d.",SUMIFS('Repartition stock'!$G$6:$G$94,'Repartition stock'!$A$6:$A$94,$A10,'Repartition stock'!$B$6:$B$94,$B10,'Repartition stock'!$E$6:$E$94,"Tranche"))</f>
        <v>461</v>
      </c>
      <c r="Q10" s="21">
        <f>IF(OR(COUNTIFS('Flux'!$A$6:$A$41,$A10,'Flux'!$B$6:$B$41,$B10)=0,COUNTIFS('Flux'!$A$6:$A$41,$A10,'Flux'!$B$6:$B$41,$B10,'Flux'!$R$6:$R$41,"n.d.")&gt;0),"n.d.",SUMIFS('Flux'!$R$6:$R$41,'Flux'!$A$6:$A$41,$A10,'Flux'!$B$6:$B$41,$B10))</f>
        <v>61465.806981421054</v>
      </c>
      <c r="R10" s="21">
        <f>IF(OR(COUNTIFS('Flux'!$A$6:$A$41,$A10,'Flux'!$B$6:$B$41,$B10)=0,COUNTIFS('Flux'!$A$6:$A$41,$A10,'Flux'!$B$6:$B$41,$B10,'Flux'!$S$6:$S$41,"n.d.")&gt;0),"n.d.",SUMIFS('Flux'!$S$6:$S$41,'Flux'!$A$6:$A$41,$A10,'Flux'!$B$6:$B$41,$B10))</f>
        <v>50658.16842564188</v>
      </c>
      <c r="S10" s="22">
        <f>IF(OR(COUNTIFS('Flux'!$A$6:$A$41,$A10,'Flux'!$B$6:$B$41,$B10)=0,COUNTIFS('Flux'!$A$6:$A$41,$A10,'Flux'!$B$6:$B$41,$B10,'Flux'!$G$6:$G$41,"n.d.")&gt;0),"n.d.",SUMIFS('Flux'!$G$6:$G$41,'Flux'!$A$6:$A$41,$A10,'Flux'!$B$6:$B$41,$B10))</f>
        <v>1122</v>
      </c>
      <c r="T10" s="22">
        <f>IF(OR(COUNTIFS('Flux'!$A$6:$A$41,$A10,'Flux'!$B$6:$B$41,$B10)=0,COUNTIFS('Flux'!$A$6:$A$41,$A10,'Flux'!$B$6:$B$41,$B10,'Flux'!$N$6:$N$41,"n.d.")&gt;0),"n.d.",SUMIFS('Flux'!$N$6:$N$41,'Flux'!$A$6:$A$41,$A10,'Flux'!$B$6:$B$41,$B10))</f>
        <v>661</v>
      </c>
      <c r="U10" s="23">
        <f>IF(OR(COUNT(R10,Q10)&lt;&gt;2,Q10=0),"n.d.",R10/Q10)</f>
        <v>0.8241682801131052</v>
      </c>
      <c r="V10" s="23">
        <f>IF(OR(COUNT(T10,S10)&lt;&gt;2,S10=0),"n.d.",T10/S10)</f>
        <v>0.589126559714795</v>
      </c>
      <c r="W10" s="21">
        <f>IF(COUNT(Q10)=1,Q10/6,"n.d.")</f>
        <v>10244.301163570175</v>
      </c>
      <c r="X10" s="23">
        <f>IF(OR(COUNTIFS('Flux'!$A$6:$A$41,$A10,'Flux'!$B$6:$B$41,$B10,'Flux'!$E$6:$E$41,DATE(2026,1,1))=0,COUNTIFS('Flux'!$A$6:$A$41,$A10,'Flux'!$B$6:$B$41,$B10,'Flux'!$E$6:$E$41,DATE(2026,1,1),'Flux'!$T$6:$T$41,"n.d.")&gt;0),"n.d.",SUMIFS('Flux'!$T$6:$T$41,'Flux'!$A$6:$A$41,$A10,'Flux'!$B$6:$B$41,$B10,'Flux'!$E$6:$E$41,DATE(2026,1,1)))</f>
        <v>0.9410164877948007</v>
      </c>
      <c r="Y10" s="23">
        <f>IF(OR(COUNTIFS('Flux'!$A$6:$A$41,$A10,'Flux'!$B$6:$B$41,$B10,'Flux'!$E$6:$E$41,DATE(2026,1,1))=0,COUNTIFS('Flux'!$A$6:$A$41,$A10,'Flux'!$B$6:$B$41,$B10,'Flux'!$E$6:$E$41,DATE(2026,1,1),'Flux'!$U$6:$U$41,"n.d.")&gt;0),"n.d.",SUMIFS('Flux'!$U$6:$U$41,'Flux'!$A$6:$A$41,$A10,'Flux'!$B$6:$B$41,$B10,'Flux'!$E$6:$E$41,DATE(2026,1,1)))</f>
        <v>0.9924812030075187</v>
      </c>
      <c r="Z10" s="21">
        <f>IF(OR(COUNTIFS('Flux'!$A$6:$A$41,$A10,'Flux'!$B$6:$B$41,$B10,'Flux'!$E$6:$E$41,"&gt;="&amp;DATE(2026,4,1))=0,COUNTIFS('Flux'!$A$6:$A$41,$A10,'Flux'!$B$6:$B$41,$B10,'Flux'!$E$6:$E$41,"&gt;="&amp;DATE(2026,4,1),'Flux'!$R$6:$R$41,"n.d.")&gt;0),"n.d.",SUMIFS('Flux'!$R$6:$R$41,'Flux'!$A$6:$A$41,$A10,'Flux'!$B$6:$B$41,$B10,'Flux'!$E$6:$E$41,"&gt;="&amp;DATE(2026,4,1)))</f>
        <v>23565.724800026797</v>
      </c>
      <c r="AA10" s="21">
        <f>IF(OR(COUNTIFS('Flux'!$A$6:$A$41,$A10,'Flux'!$B$6:$B$41,$B10,'Flux'!$E$6:$E$41,"&gt;="&amp;DATE(2026,4,1))=0,COUNTIFS('Flux'!$A$6:$A$41,$A10,'Flux'!$B$6:$B$41,$B10,'Flux'!$E$6:$E$41,"&gt;="&amp;DATE(2026,4,1),'Flux'!$S$6:$S$41,"n.d.")&gt;0),"n.d.",SUMIFS('Flux'!$S$6:$S$41,'Flux'!$A$6:$A$41,$A10,'Flux'!$B$6:$B$41,$B10,'Flux'!$E$6:$E$41,"&gt;="&amp;DATE(2026,4,1)))</f>
        <v>14867.180207446045</v>
      </c>
      <c r="AB10" s="23">
        <f>IF(OR(COUNT(Z10,AA10)&lt;&gt;2,Z10=0),"n.d.",AA10/Z10)</f>
        <v>0.6308815168472619</v>
      </c>
    </row>
    <row r="11" spans="1:28" ht="19" customHeight="1">
      <c r="A11" s="16" t="s">
        <v>9</v>
      </c>
      <c r="B11" s="16" t="s">
        <v>74</v>
      </c>
      <c r="C11" s="16" t="s">
        <v>75</v>
      </c>
      <c r="D11" s="16" t="s">
        <v>17</v>
      </c>
      <c r="E11" s="20">
        <f>SUMIFS('Taux'!$D$6:$D$10,'Taux'!$A$6:$A$10,A11,'Taux'!$B$6:$B$10,D11)</f>
        <v>11.078026565</v>
      </c>
      <c r="F11" s="21">
        <f>IF(OR(COUNTIFS('Stock'!$A$6:$A$26,$A11,'Stock'!$B$6:$B$26,$B11)=0,COUNTIFS('Stock'!$A$6:$A$26,$A11,'Stock'!$B$6:$B$26,$B11,'Stock'!$F$6:$F$26,"n.d.")&gt;0),"n.d.",SUMIFS('Stock'!$F$6:$F$26,'Stock'!$A$6:$A$26,$A11,'Stock'!$B$6:$B$26,$B11))</f>
        <v>3486087.81</v>
      </c>
      <c r="G11" s="21">
        <f>IF(OR(COUNTIFS('Stock'!$A$6:$A$26,$A11,'Stock'!$B$6:$B$26,$B11)=0,COUNTIFS('Stock'!$A$6:$A$26,$A11,'Stock'!$B$6:$B$26,$B11,'Stock'!$L$6:$L$26,"n.d.")&gt;0),"n.d.",SUMIFS('Stock'!$L$6:$L$26,'Stock'!$A$6:$A$26,$A11,'Stock'!$B$6:$B$26,$B11))</f>
        <v>3329443.749999999</v>
      </c>
      <c r="H11" s="21">
        <f>IF(OR(COUNTIFS('Stock'!$A$6:$A$26,$A11,'Stock'!$B$6:$B$26,$B11)=0,COUNTIFS('Stock'!$A$6:$A$26,$A11,'Stock'!$B$6:$B$26,$B11,'Stock'!$M$6:$M$26,"n.d.")&gt;0),"n.d.",SUMIFS('Stock'!$M$6:$M$26,'Stock'!$A$6:$A$26,$A11,'Stock'!$B$6:$B$26,$B11))</f>
        <v>156644.060000001</v>
      </c>
      <c r="I11" s="24" t="s">
        <v>44</v>
      </c>
      <c r="J11" s="21">
        <f>IF(OR(COUNTIFS('Stock'!$A$6:$A$26,$A11,'Stock'!$B$6:$B$26,$B11)=0,COUNTIFS('Stock'!$A$6:$A$26,$A11,'Stock'!$B$6:$B$26,$B11,'Stock'!$N$6:$N$26,"n.d.")&gt;0),"n.d.",SUMIFS('Stock'!$N$6:$N$26,'Stock'!$A$6:$A$26,$A11,'Stock'!$B$6:$B$26,$B11))</f>
        <v>156644.060000001</v>
      </c>
      <c r="K11" s="24" t="s">
        <v>44</v>
      </c>
      <c r="L11" s="21" t="str">
        <f>IF(COUNT(J11,K11)=2,J11+K11,"n.d.")</f>
        <v>n.d.</v>
      </c>
      <c r="M11" s="21">
        <f>IF(OR(COUNTIFS('Stock'!$A$6:$A$26,$A11,'Stock'!$B$6:$B$26,$B11)=0,COUNTIFS('Stock'!$A$6:$A$26,$A11,'Stock'!$B$6:$B$26,$B11,'Stock'!$R$6:$R$26,"n.d.")&gt;0),"n.d.",SUMIFS('Stock'!$R$6:$R$26,'Stock'!$A$6:$A$26,$A11,'Stock'!$B$6:$B$26,$B11))</f>
        <v>14140.068998832645</v>
      </c>
      <c r="N11" s="21">
        <f>IF(OR(COUNTIFS('Stock'!$A$6:$A$26,$A11,'Stock'!$B$6:$B$26,$B11)=0,COUNTIFS('Stock'!$A$6:$A$26,$A11,'Stock'!$B$6:$B$26,$B11,'Stock'!$S$6:$S$26,"n.d.")&gt;0),"n.d.",SUMIFS('Stock'!$S$6:$S$26,'Stock'!$A$6:$A$26,$A11,'Stock'!$B$6:$B$26,$B11))</f>
        <v>14140.068998832645</v>
      </c>
      <c r="O11" s="21" t="str">
        <f>IF(COUNT(L11,E11)=2,L11/E11,"n.d.")</f>
        <v>n.d.</v>
      </c>
      <c r="P11" s="22">
        <f>IF(OR(COUNTIFS('Repartition stock'!$A$6:$A$94,$A11,'Repartition stock'!$B$6:$B$94,$B11,'Repartition stock'!$E$6:$E$94,"Tranche")=0,COUNTIFS('Repartition stock'!$A$6:$A$94,$A11,'Repartition stock'!$B$6:$B$94,$B11,'Repartition stock'!$E$6:$E$94,"Tranche",'Repartition stock'!$G$6:$G$94,"n.d.")&gt;0),"n.d.",SUMIFS('Repartition stock'!$G$6:$G$94,'Repartition stock'!$A$6:$A$94,$A11,'Repartition stock'!$B$6:$B$94,$B11,'Repartition stock'!$E$6:$E$94,"Tranche"))</f>
        <v>487</v>
      </c>
      <c r="Q11" s="21">
        <f>IF(OR(COUNTIFS('Flux'!$A$6:$A$41,$A11,'Flux'!$B$6:$B$41,$B11)=0,COUNTIFS('Flux'!$A$6:$A$41,$A11,'Flux'!$B$6:$B$41,$B11,'Flux'!$R$6:$R$41,"n.d.")&gt;0),"n.d.",SUMIFS('Flux'!$R$6:$R$41,'Flux'!$A$6:$A$41,$A11,'Flux'!$B$6:$B$41,$B11))</f>
        <v>170419.96956070667</v>
      </c>
      <c r="R11" s="21">
        <f>IF(OR(COUNTIFS('Flux'!$A$6:$A$41,$A11,'Flux'!$B$6:$B$41,$B11)=0,COUNTIFS('Flux'!$A$6:$A$41,$A11,'Flux'!$B$6:$B$41,$B11,'Flux'!$S$6:$S$41,"n.d.")&gt;0),"n.d.",SUMIFS('Flux'!$S$6:$S$41,'Flux'!$A$6:$A$41,$A11,'Flux'!$B$6:$B$41,$B11))</f>
        <v>156279.90056187415</v>
      </c>
      <c r="S11" s="22">
        <f>IF(OR(COUNTIFS('Flux'!$A$6:$A$41,$A11,'Flux'!$B$6:$B$41,$B11)=0,COUNTIFS('Flux'!$A$6:$A$41,$A11,'Flux'!$B$6:$B$41,$B11,'Flux'!$G$6:$G$41,"n.d.")&gt;0),"n.d.",SUMIFS('Flux'!$G$6:$G$41,'Flux'!$A$6:$A$41,$A11,'Flux'!$B$6:$B$41,$B11))</f>
        <v>3501</v>
      </c>
      <c r="T11" s="22">
        <f>IF(OR(COUNTIFS('Flux'!$A$6:$A$41,$A11,'Flux'!$B$6:$B$41,$B11)=0,COUNTIFS('Flux'!$A$6:$A$41,$A11,'Flux'!$B$6:$B$41,$B11,'Flux'!$N$6:$N$41,"n.d.")&gt;0),"n.d.",SUMIFS('Flux'!$N$6:$N$41,'Flux'!$A$6:$A$41,$A11,'Flux'!$B$6:$B$41,$B11))</f>
        <v>3014</v>
      </c>
      <c r="U11" s="23">
        <f>IF(OR(COUNT(R11,Q11)&lt;&gt;2,Q11=0),"n.d.",R11/Q11)</f>
        <v>0.9170280980845056</v>
      </c>
      <c r="V11" s="23">
        <f>IF(OR(COUNT(T11,S11)&lt;&gt;2,S11=0),"n.d.",T11/S11)</f>
        <v>0.8608968866038275</v>
      </c>
      <c r="W11" s="21">
        <f>IF(COUNT(Q11)=1,Q11/6,"n.d.")</f>
        <v>28403.328260117778</v>
      </c>
      <c r="X11" s="23">
        <f>IF(OR(COUNTIFS('Flux'!$A$6:$A$41,$A11,'Flux'!$B$6:$B$41,$B11,'Flux'!$E$6:$E$41,DATE(2026,1,1))=0,COUNTIFS('Flux'!$A$6:$A$41,$A11,'Flux'!$B$6:$B$41,$B11,'Flux'!$E$6:$E$41,DATE(2026,1,1),'Flux'!$T$6:$T$41,"n.d.")&gt;0),"n.d.",SUMIFS('Flux'!$T$6:$T$41,'Flux'!$A$6:$A$41,$A11,'Flux'!$B$6:$B$41,$B11,'Flux'!$E$6:$E$41,DATE(2026,1,1)))</f>
        <v>0.9999999999999999</v>
      </c>
      <c r="Y11" s="23">
        <f>IF(OR(COUNTIFS('Flux'!$A$6:$A$41,$A11,'Flux'!$B$6:$B$41,$B11,'Flux'!$E$6:$E$41,DATE(2026,1,1))=0,COUNTIFS('Flux'!$A$6:$A$41,$A11,'Flux'!$B$6:$B$41,$B11,'Flux'!$E$6:$E$41,DATE(2026,1,1),'Flux'!$U$6:$U$41,"n.d.")&gt;0),"n.d.",SUMIFS('Flux'!$U$6:$U$41,'Flux'!$A$6:$A$41,$A11,'Flux'!$B$6:$B$41,$B11,'Flux'!$E$6:$E$41,DATE(2026,1,1)))</f>
        <v>1.0</v>
      </c>
      <c r="Z11" s="21">
        <f>IF(OR(COUNTIFS('Flux'!$A$6:$A$41,$A11,'Flux'!$B$6:$B$41,$B11,'Flux'!$E$6:$E$41,"&gt;="&amp;DATE(2026,4,1))=0,COUNTIFS('Flux'!$A$6:$A$41,$A11,'Flux'!$B$6:$B$41,$B11,'Flux'!$E$6:$E$41,"&gt;="&amp;DATE(2026,4,1),'Flux'!$R$6:$R$41,"n.d.")&gt;0),"n.d.",SUMIFS('Flux'!$R$6:$R$41,'Flux'!$A$6:$A$41,$A11,'Flux'!$B$6:$B$41,$B11,'Flux'!$E$6:$E$41,"&gt;="&amp;DATE(2026,4,1)))</f>
        <v>72120.69995609364</v>
      </c>
      <c r="AA11" s="21">
        <f>IF(OR(COUNTIFS('Flux'!$A$6:$A$41,$A11,'Flux'!$B$6:$B$41,$B11,'Flux'!$E$6:$E$41,"&gt;="&amp;DATE(2026,4,1))=0,COUNTIFS('Flux'!$A$6:$A$41,$A11,'Flux'!$B$6:$B$41,$B11,'Flux'!$E$6:$E$41,"&gt;="&amp;DATE(2026,4,1),'Flux'!$S$6:$S$41,"n.d.")&gt;0),"n.d.",SUMIFS('Flux'!$S$6:$S$41,'Flux'!$A$6:$A$41,$A11,'Flux'!$B$6:$B$41,$B11,'Flux'!$E$6:$E$41,"&gt;="&amp;DATE(2026,4,1)))</f>
        <v>58153.65184584211</v>
      </c>
      <c r="AB11" s="23">
        <f>IF(OR(COUNT(Z11,AA11)&lt;&gt;2,Z11=0),"n.d.",AA11/Z11)</f>
        <v>0.806337873609733</v>
      </c>
    </row>
  </sheetData>
  <conditionalFormatting sqref="A6:AB11">
    <cfRule type="containsText" dxfId="0" priority="1" operator="containsText" text="n.d.">
      <formula>NOT(ISERROR(SEARCH("n.d.",A6)))</formula>
    </cfRule>
  </conditionalFormatting>
  <pageMargins left="0.3" right="0.3" top="0.4" bottom="0.4" header="0.3" footer="0.3"/>
  <pageSetup paperSize="9" fitToHeight="0" orientation="landscape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2:AB41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9" customHeight="1"/>
  <cols>
    <col min="1" max="1" width="15.7109375" style="16" customWidth="1"/>
    <col min="2" max="2" width="12.7109375" style="16" customWidth="1"/>
    <col min="3" max="3" width="22.7109375" style="16" customWidth="1"/>
    <col min="4" max="4" width="12.7109375" style="16" customWidth="1"/>
    <col min="5" max="5" width="20.7109375" style="16" customWidth="1"/>
    <col min="6" max="22" width="21.7109375" style="16" customWidth="1"/>
    <col min="23" max="23" width="58.7109375" style="16" customWidth="1"/>
    <col min="24" max="28" width="18.7109375" style="16" customWidth="1"/>
  </cols>
  <sheetData>
    <row r="2" spans="1:23" ht="19" customHeight="1">
      <c r="A2" s="17" t="s">
        <v>80</v>
      </c>
    </row>
    <row r="3" spans="1:23" ht="19" customHeight="1">
      <c r="A3" s="18" t="s">
        <v>81</v>
      </c>
    </row>
    <row r="5" spans="1:23" ht="42" customHeight="1">
      <c r="A5" s="19" t="s">
        <v>3</v>
      </c>
      <c r="B5" s="19" t="s">
        <v>24</v>
      </c>
      <c r="C5" s="19" t="s">
        <v>25</v>
      </c>
      <c r="D5" s="19" t="s">
        <v>4</v>
      </c>
      <c r="E5" s="19" t="s">
        <v>82</v>
      </c>
      <c r="F5" s="19" t="s">
        <v>83</v>
      </c>
      <c r="G5" s="19" t="s">
        <v>84</v>
      </c>
      <c r="H5" s="19" t="s">
        <v>28</v>
      </c>
      <c r="I5" s="19" t="s">
        <v>29</v>
      </c>
      <c r="J5" s="19" t="s">
        <v>30</v>
      </c>
      <c r="K5" s="19" t="s">
        <v>31</v>
      </c>
      <c r="L5" s="19" t="s">
        <v>32</v>
      </c>
      <c r="M5" s="19" t="s">
        <v>33</v>
      </c>
      <c r="N5" s="19" t="s">
        <v>85</v>
      </c>
      <c r="O5" s="19" t="s">
        <v>86</v>
      </c>
      <c r="P5" s="19" t="s">
        <v>87</v>
      </c>
      <c r="Q5" s="19" t="s">
        <v>38</v>
      </c>
      <c r="R5" s="19" t="s">
        <v>88</v>
      </c>
      <c r="S5" s="19" t="s">
        <v>89</v>
      </c>
      <c r="T5" s="19" t="s">
        <v>90</v>
      </c>
      <c r="U5" s="19" t="s">
        <v>91</v>
      </c>
      <c r="V5" s="19" t="s">
        <v>36</v>
      </c>
      <c r="W5" s="19" t="s">
        <v>8</v>
      </c>
    </row>
    <row r="6" spans="1:23" ht="19" customHeight="1">
      <c r="A6" s="16" t="s">
        <v>9</v>
      </c>
      <c r="B6" s="16" t="s">
        <v>41</v>
      </c>
      <c r="C6" s="16" t="s">
        <v>42</v>
      </c>
      <c r="D6" s="16" t="s">
        <v>13</v>
      </c>
      <c r="E6" s="25">
        <v>46023</v>
      </c>
      <c r="F6" s="21">
        <v>4213.139999999999</v>
      </c>
      <c r="G6" s="22">
        <v>66</v>
      </c>
      <c r="H6" s="21">
        <v>3795.499999999999</v>
      </c>
      <c r="I6" s="21">
        <v>0</v>
      </c>
      <c r="J6" s="21">
        <v>0</v>
      </c>
      <c r="K6" s="24" t="s">
        <v>44</v>
      </c>
      <c r="L6" s="24" t="s">
        <v>44</v>
      </c>
      <c r="M6" s="21">
        <f>IF(COUNT(H6,I6,J6)=3,SUM(H6,I6,J6),"n.d.")</f>
        <v>3795.4999999999986</v>
      </c>
      <c r="N6" s="22">
        <v>51</v>
      </c>
      <c r="O6" s="21">
        <f>IF(COUNT(F6,M6)=2,F6-M6,"n.d.")</f>
        <v>417.6400000000008</v>
      </c>
      <c r="P6" s="22">
        <f>IF(COUNT(G6,N6)=2,G6-N6,"n.d.")</f>
        <v>15</v>
      </c>
      <c r="Q6" s="20">
        <f>SUMIFS('Taux'!$D$6:$D$10,'Taux'!$A$6:$A$10,A6,'Taux'!$B$6:$B$10,D6)</f>
        <v>1</v>
      </c>
      <c r="R6" s="21">
        <f>IF(COUNT(F6,Q6)=2,F6/Q6,"n.d.")</f>
        <v>4213.139999999999</v>
      </c>
      <c r="S6" s="21">
        <f>IF(COUNT(M6,Q6)=2,M6/Q6,"n.d.")</f>
        <v>3795.4999999999986</v>
      </c>
      <c r="T6" s="23">
        <f>IF(OR(COUNT(F6,M6)&lt;&gt;2,F6=0),"n.d.",M6/F6)</f>
        <v>0.9008720336850898</v>
      </c>
      <c r="U6" s="23">
        <f>IF(OR(COUNT(G6,N6)&lt;&gt;2,G6=0),"n.d.",N6/G6)</f>
        <v>0.7727272727272727</v>
      </c>
      <c r="V6" s="21">
        <v>3795.499999999999</v>
      </c>
      <c r="W6" s="16" t="s">
        <v>92</v>
      </c>
    </row>
    <row r="7" spans="1:23" ht="19" customHeight="1">
      <c r="A7" s="16" t="s">
        <v>9</v>
      </c>
      <c r="B7" s="16" t="s">
        <v>41</v>
      </c>
      <c r="C7" s="16" t="s">
        <v>42</v>
      </c>
      <c r="D7" s="16" t="s">
        <v>13</v>
      </c>
      <c r="E7" s="25">
        <v>46054</v>
      </c>
      <c r="F7" s="21">
        <v>6335.460000000001</v>
      </c>
      <c r="G7" s="22">
        <v>67</v>
      </c>
      <c r="H7" s="21">
        <v>4538.530000000001</v>
      </c>
      <c r="I7" s="21">
        <v>0</v>
      </c>
      <c r="J7" s="21">
        <v>0</v>
      </c>
      <c r="K7" s="24" t="s">
        <v>44</v>
      </c>
      <c r="L7" s="24" t="s">
        <v>44</v>
      </c>
      <c r="M7" s="21">
        <f>IF(COUNT(H7,I7,J7)=3,SUM(H7,I7,J7),"n.d.")</f>
        <v>4538.530000000001</v>
      </c>
      <c r="N7" s="22">
        <v>45</v>
      </c>
      <c r="O7" s="21">
        <f>IF(COUNT(F7,M7)=2,F7-M7,"n.d.")</f>
        <v>1796.9300000000003</v>
      </c>
      <c r="P7" s="22">
        <f>IF(COUNT(G7,N7)=2,G7-N7,"n.d.")</f>
        <v>22</v>
      </c>
      <c r="Q7" s="20">
        <f>SUMIFS('Taux'!$D$6:$D$10,'Taux'!$A$6:$A$10,A7,'Taux'!$B$6:$B$10,D7)</f>
        <v>1</v>
      </c>
      <c r="R7" s="21">
        <f>IF(COUNT(F7,Q7)=2,F7/Q7,"n.d.")</f>
        <v>6335.460000000001</v>
      </c>
      <c r="S7" s="21">
        <f>IF(COUNT(M7,Q7)=2,M7/Q7,"n.d.")</f>
        <v>4538.530000000001</v>
      </c>
      <c r="T7" s="23">
        <f>IF(OR(COUNT(F7,M7)&lt;&gt;2,F7=0),"n.d.",M7/F7)</f>
        <v>0.716369450679193</v>
      </c>
      <c r="U7" s="23">
        <f>IF(OR(COUNT(G7,N7)&lt;&gt;2,G7=0),"n.d.",N7/G7)</f>
        <v>0.6716417910447762</v>
      </c>
      <c r="V7" s="21">
        <v>4538.530000000001</v>
      </c>
      <c r="W7" s="16" t="s">
        <v>93</v>
      </c>
    </row>
    <row r="8" spans="1:23" ht="19" customHeight="1">
      <c r="A8" s="16" t="s">
        <v>9</v>
      </c>
      <c r="B8" s="16" t="s">
        <v>41</v>
      </c>
      <c r="C8" s="16" t="s">
        <v>42</v>
      </c>
      <c r="D8" s="16" t="s">
        <v>13</v>
      </c>
      <c r="E8" s="25">
        <v>46082</v>
      </c>
      <c r="F8" s="21">
        <v>25273.23000000001</v>
      </c>
      <c r="G8" s="22">
        <v>32</v>
      </c>
      <c r="H8" s="21">
        <v>25273.23000000001</v>
      </c>
      <c r="I8" s="21">
        <v>0</v>
      </c>
      <c r="J8" s="21">
        <v>0</v>
      </c>
      <c r="K8" s="24" t="s">
        <v>44</v>
      </c>
      <c r="L8" s="24" t="s">
        <v>44</v>
      </c>
      <c r="M8" s="21">
        <f>IF(COUNT(H8,I8,J8)=3,SUM(H8,I8,J8),"n.d.")</f>
        <v>25273.230000000007</v>
      </c>
      <c r="N8" s="22">
        <v>32</v>
      </c>
      <c r="O8" s="21">
        <f>IF(COUNT(F8,M8)=2,F8-M8,"n.d.")</f>
        <v>0.0</v>
      </c>
      <c r="P8" s="22">
        <f>IF(COUNT(G8,N8)=2,G8-N8,"n.d.")</f>
        <v>0</v>
      </c>
      <c r="Q8" s="20">
        <f>SUMIFS('Taux'!$D$6:$D$10,'Taux'!$A$6:$A$10,A8,'Taux'!$B$6:$B$10,D8)</f>
        <v>1</v>
      </c>
      <c r="R8" s="21">
        <f>IF(COUNT(F8,Q8)=2,F8/Q8,"n.d.")</f>
        <v>25273.230000000007</v>
      </c>
      <c r="S8" s="21">
        <f>IF(COUNT(M8,Q8)=2,M8/Q8,"n.d.")</f>
        <v>25273.230000000007</v>
      </c>
      <c r="T8" s="23">
        <f>IF(OR(COUNT(F8,M8)&lt;&gt;2,F8=0),"n.d.",M8/F8)</f>
        <v>1.0</v>
      </c>
      <c r="U8" s="23">
        <f>IF(OR(COUNT(G8,N8)&lt;&gt;2,G8=0),"n.d.",N8/G8)</f>
        <v>1.0</v>
      </c>
      <c r="V8" s="21">
        <v>25273.23000000001</v>
      </c>
      <c r="W8" s="16" t="s">
        <v>94</v>
      </c>
    </row>
    <row r="9" spans="1:23" ht="19" customHeight="1">
      <c r="A9" s="16" t="s">
        <v>9</v>
      </c>
      <c r="B9" s="16" t="s">
        <v>41</v>
      </c>
      <c r="C9" s="16" t="s">
        <v>42</v>
      </c>
      <c r="D9" s="16" t="s">
        <v>13</v>
      </c>
      <c r="E9" s="25">
        <v>46113</v>
      </c>
      <c r="F9" s="21">
        <v>4747.02</v>
      </c>
      <c r="G9" s="22">
        <v>42</v>
      </c>
      <c r="H9" s="21">
        <v>4747.02</v>
      </c>
      <c r="I9" s="21">
        <v>0</v>
      </c>
      <c r="J9" s="21">
        <v>0</v>
      </c>
      <c r="K9" s="24" t="s">
        <v>44</v>
      </c>
      <c r="L9" s="24" t="s">
        <v>44</v>
      </c>
      <c r="M9" s="21">
        <f>IF(COUNT(H9,I9,J9)=3,SUM(H9,I9,J9),"n.d.")</f>
        <v>4747.0199999999995</v>
      </c>
      <c r="N9" s="22">
        <v>42</v>
      </c>
      <c r="O9" s="21">
        <f>IF(COUNT(F9,M9)=2,F9-M9,"n.d.")</f>
        <v>0.0</v>
      </c>
      <c r="P9" s="22">
        <f>IF(COUNT(G9,N9)=2,G9-N9,"n.d.")</f>
        <v>0</v>
      </c>
      <c r="Q9" s="20">
        <f>SUMIFS('Taux'!$D$6:$D$10,'Taux'!$A$6:$A$10,A9,'Taux'!$B$6:$B$10,D9)</f>
        <v>1</v>
      </c>
      <c r="R9" s="21">
        <f>IF(COUNT(F9,Q9)=2,F9/Q9,"n.d.")</f>
        <v>4747.0199999999995</v>
      </c>
      <c r="S9" s="21">
        <f>IF(COUNT(M9,Q9)=2,M9/Q9,"n.d.")</f>
        <v>4747.0199999999995</v>
      </c>
      <c r="T9" s="23">
        <f>IF(OR(COUNT(F9,M9)&lt;&gt;2,F9=0),"n.d.",M9/F9)</f>
        <v>1.0</v>
      </c>
      <c r="U9" s="23">
        <f>IF(OR(COUNT(G9,N9)&lt;&gt;2,G9=0),"n.d.",N9/G9)</f>
        <v>1.0</v>
      </c>
      <c r="V9" s="21">
        <v>4747.02</v>
      </c>
      <c r="W9" s="16" t="s">
        <v>95</v>
      </c>
    </row>
    <row r="10" spans="1:23" ht="19" customHeight="1">
      <c r="A10" s="16" t="s">
        <v>9</v>
      </c>
      <c r="B10" s="16" t="s">
        <v>41</v>
      </c>
      <c r="C10" s="16" t="s">
        <v>42</v>
      </c>
      <c r="D10" s="16" t="s">
        <v>13</v>
      </c>
      <c r="E10" s="25">
        <v>46143</v>
      </c>
      <c r="F10" s="21">
        <v>11020.09</v>
      </c>
      <c r="G10" s="22">
        <v>30</v>
      </c>
      <c r="H10" s="21">
        <v>11005.86</v>
      </c>
      <c r="I10" s="21">
        <v>0</v>
      </c>
      <c r="J10" s="21">
        <v>0</v>
      </c>
      <c r="K10" s="24" t="s">
        <v>44</v>
      </c>
      <c r="L10" s="24" t="s">
        <v>44</v>
      </c>
      <c r="M10" s="21">
        <f>IF(COUNT(H10,I10,J10)=3,SUM(H10,I10,J10),"n.d.")</f>
        <v>11005.86</v>
      </c>
      <c r="N10" s="22">
        <v>29</v>
      </c>
      <c r="O10" s="21">
        <f>IF(COUNT(F10,M10)=2,F10-M10,"n.d.")</f>
        <v>14.229999999999563</v>
      </c>
      <c r="P10" s="22">
        <f>IF(COUNT(G10,N10)=2,G10-N10,"n.d.")</f>
        <v>1</v>
      </c>
      <c r="Q10" s="20">
        <f>SUMIFS('Taux'!$D$6:$D$10,'Taux'!$A$6:$A$10,A10,'Taux'!$B$6:$B$10,D10)</f>
        <v>1</v>
      </c>
      <c r="R10" s="21">
        <f>IF(COUNT(F10,Q10)=2,F10/Q10,"n.d.")</f>
        <v>11020.09</v>
      </c>
      <c r="S10" s="21">
        <f>IF(COUNT(M10,Q10)=2,M10/Q10,"n.d.")</f>
        <v>11005.86</v>
      </c>
      <c r="T10" s="23">
        <f>IF(OR(COUNT(F10,M10)&lt;&gt;2,F10=0),"n.d.",M10/F10)</f>
        <v>0.9987087219795846</v>
      </c>
      <c r="U10" s="23">
        <f>IF(OR(COUNT(G10,N10)&lt;&gt;2,G10=0),"n.d.",N10/G10)</f>
        <v>0.9666666666666667</v>
      </c>
      <c r="V10" s="21">
        <v>11005.86</v>
      </c>
      <c r="W10" s="16" t="s">
        <v>96</v>
      </c>
    </row>
    <row r="11" spans="1:23" ht="19" customHeight="1">
      <c r="A11" s="16" t="s">
        <v>9</v>
      </c>
      <c r="B11" s="16" t="s">
        <v>41</v>
      </c>
      <c r="C11" s="16" t="s">
        <v>42</v>
      </c>
      <c r="D11" s="16" t="s">
        <v>13</v>
      </c>
      <c r="E11" s="25">
        <v>46174</v>
      </c>
      <c r="F11" s="21">
        <v>3156.52</v>
      </c>
      <c r="G11" s="22">
        <v>27</v>
      </c>
      <c r="H11" s="21">
        <v>0</v>
      </c>
      <c r="I11" s="21">
        <v>0</v>
      </c>
      <c r="J11" s="21">
        <v>0</v>
      </c>
      <c r="K11" s="24" t="s">
        <v>44</v>
      </c>
      <c r="L11" s="24" t="s">
        <v>44</v>
      </c>
      <c r="M11" s="21">
        <f>IF(COUNT(H11,I11,J11)=3,SUM(H11,I11,J11),"n.d.")</f>
        <v>0</v>
      </c>
      <c r="N11" s="22">
        <v>0</v>
      </c>
      <c r="O11" s="21">
        <f>IF(COUNT(F11,M11)=2,F11-M11,"n.d.")</f>
        <v>3156.52</v>
      </c>
      <c r="P11" s="22">
        <f>IF(COUNT(G11,N11)=2,G11-N11,"n.d.")</f>
        <v>27</v>
      </c>
      <c r="Q11" s="20">
        <f>SUMIFS('Taux'!$D$6:$D$10,'Taux'!$A$6:$A$10,A11,'Taux'!$B$6:$B$10,D11)</f>
        <v>1</v>
      </c>
      <c r="R11" s="21">
        <f>IF(COUNT(F11,Q11)=2,F11/Q11,"n.d.")</f>
        <v>3156.52</v>
      </c>
      <c r="S11" s="21">
        <f>IF(COUNT(M11,Q11)=2,M11/Q11,"n.d.")</f>
        <v>0.0</v>
      </c>
      <c r="T11" s="23">
        <f>IF(OR(COUNT(F11,M11)&lt;&gt;2,F11=0),"n.d.",M11/F11)</f>
        <v>0.0</v>
      </c>
      <c r="U11" s="23">
        <f>IF(OR(COUNT(G11,N11)&lt;&gt;2,G11=0),"n.d.",N11/G11)</f>
        <v>0.0</v>
      </c>
      <c r="V11" s="21">
        <v>0</v>
      </c>
      <c r="W11" s="16" t="s">
        <v>97</v>
      </c>
    </row>
    <row r="12" spans="1:23" ht="19" customHeight="1">
      <c r="A12" s="16" t="s">
        <v>9</v>
      </c>
      <c r="B12" s="16" t="s">
        <v>50</v>
      </c>
      <c r="C12" s="16" t="s">
        <v>51</v>
      </c>
      <c r="D12" s="16" t="s">
        <v>13</v>
      </c>
      <c r="E12" s="25">
        <v>46023</v>
      </c>
      <c r="F12" s="21">
        <v>946898.0699999998</v>
      </c>
      <c r="G12" s="22">
        <v>4388</v>
      </c>
      <c r="H12" s="21">
        <v>899397.7899999998</v>
      </c>
      <c r="I12" s="21">
        <v>32708.29999999998</v>
      </c>
      <c r="J12" s="21">
        <v>0</v>
      </c>
      <c r="K12" s="24" t="s">
        <v>44</v>
      </c>
      <c r="L12" s="24" t="s">
        <v>44</v>
      </c>
      <c r="M12" s="21">
        <f>IF(COUNT(H12,I12,J12)=3,SUM(H12,I12,J12),"n.d.")</f>
        <v>932106.0899999997</v>
      </c>
      <c r="N12" s="22">
        <v>4162</v>
      </c>
      <c r="O12" s="21">
        <f>IF(COUNT(F12,M12)=2,F12-M12,"n.d.")</f>
        <v>14791.980000000098</v>
      </c>
      <c r="P12" s="22">
        <f>IF(COUNT(G12,N12)=2,G12-N12,"n.d.")</f>
        <v>226</v>
      </c>
      <c r="Q12" s="20">
        <f>SUMIFS('Taux'!$D$6:$D$10,'Taux'!$A$6:$A$10,A12,'Taux'!$B$6:$B$10,D12)</f>
        <v>1</v>
      </c>
      <c r="R12" s="21">
        <f>IF(COUNT(F12,Q12)=2,F12/Q12,"n.d.")</f>
        <v>946898.0699999998</v>
      </c>
      <c r="S12" s="21">
        <f>IF(COUNT(M12,Q12)=2,M12/Q12,"n.d.")</f>
        <v>932106.0899999997</v>
      </c>
      <c r="T12" s="23">
        <f>IF(OR(COUNT(F12,M12)&lt;&gt;2,F12=0),"n.d.",M12/F12)</f>
        <v>0.9843784875387906</v>
      </c>
      <c r="U12" s="23">
        <f>IF(OR(COUNT(G12,N12)&lt;&gt;2,G12=0),"n.d.",N12/G12)</f>
        <v>0.9484958979033729</v>
      </c>
      <c r="V12" s="21">
        <v>932106.0899999997</v>
      </c>
      <c r="W12" s="16" t="s">
        <v>98</v>
      </c>
    </row>
    <row r="13" spans="1:23" ht="19" customHeight="1">
      <c r="A13" s="16" t="s">
        <v>9</v>
      </c>
      <c r="B13" s="16" t="s">
        <v>50</v>
      </c>
      <c r="C13" s="16" t="s">
        <v>51</v>
      </c>
      <c r="D13" s="16" t="s">
        <v>13</v>
      </c>
      <c r="E13" s="25">
        <v>46054</v>
      </c>
      <c r="F13" s="21">
        <v>951551.9400000002</v>
      </c>
      <c r="G13" s="22">
        <v>4231</v>
      </c>
      <c r="H13" s="21">
        <v>908740.9000000001</v>
      </c>
      <c r="I13" s="21">
        <v>25496.34</v>
      </c>
      <c r="J13" s="21">
        <v>0</v>
      </c>
      <c r="K13" s="24" t="s">
        <v>44</v>
      </c>
      <c r="L13" s="24" t="s">
        <v>44</v>
      </c>
      <c r="M13" s="21">
        <f>IF(COUNT(H13,I13,J13)=3,SUM(H13,I13,J13),"n.d.")</f>
        <v>934237.2400000001</v>
      </c>
      <c r="N13" s="22">
        <v>3816</v>
      </c>
      <c r="O13" s="21">
        <f>IF(COUNT(F13,M13)=2,F13-M13,"n.d.")</f>
        <v>17314.70000000007</v>
      </c>
      <c r="P13" s="22">
        <f>IF(COUNT(G13,N13)=2,G13-N13,"n.d.")</f>
        <v>415</v>
      </c>
      <c r="Q13" s="20">
        <f>SUMIFS('Taux'!$D$6:$D$10,'Taux'!$A$6:$A$10,A13,'Taux'!$B$6:$B$10,D13)</f>
        <v>1</v>
      </c>
      <c r="R13" s="21">
        <f>IF(COUNT(F13,Q13)=2,F13/Q13,"n.d.")</f>
        <v>951551.9400000002</v>
      </c>
      <c r="S13" s="21">
        <f>IF(COUNT(M13,Q13)=2,M13/Q13,"n.d.")</f>
        <v>934237.2400000001</v>
      </c>
      <c r="T13" s="23">
        <f>IF(OR(COUNT(F13,M13)&lt;&gt;2,F13=0),"n.d.",M13/F13)</f>
        <v>0.9818037258165854</v>
      </c>
      <c r="U13" s="23">
        <f>IF(OR(COUNT(G13,N13)&lt;&gt;2,G13=0),"n.d.",N13/G13)</f>
        <v>0.9019144410304892</v>
      </c>
      <c r="V13" s="21">
        <v>934237.2400000001</v>
      </c>
      <c r="W13" s="16" t="s">
        <v>99</v>
      </c>
    </row>
    <row r="14" spans="1:23" ht="19" customHeight="1">
      <c r="A14" s="16" t="s">
        <v>9</v>
      </c>
      <c r="B14" s="16" t="s">
        <v>50</v>
      </c>
      <c r="C14" s="16" t="s">
        <v>51</v>
      </c>
      <c r="D14" s="16" t="s">
        <v>13</v>
      </c>
      <c r="E14" s="25">
        <v>46082</v>
      </c>
      <c r="F14" s="21">
        <v>1177760.63</v>
      </c>
      <c r="G14" s="22">
        <v>4606</v>
      </c>
      <c r="H14" s="21">
        <v>1127452.76</v>
      </c>
      <c r="I14" s="21">
        <v>29571.98000000002</v>
      </c>
      <c r="J14" s="21">
        <v>0</v>
      </c>
      <c r="K14" s="24" t="s">
        <v>44</v>
      </c>
      <c r="L14" s="24" t="s">
        <v>44</v>
      </c>
      <c r="M14" s="21">
        <f>IF(COUNT(H14,I14,J14)=3,SUM(H14,I14,J14),"n.d.")</f>
        <v>1157024.7400000005</v>
      </c>
      <c r="N14" s="22">
        <v>4303</v>
      </c>
      <c r="O14" s="21">
        <f>IF(COUNT(F14,M14)=2,F14-M14,"n.d.")</f>
        <v>20735.889999999898</v>
      </c>
      <c r="P14" s="22">
        <f>IF(COUNT(G14,N14)=2,G14-N14,"n.d.")</f>
        <v>303</v>
      </c>
      <c r="Q14" s="20">
        <f>SUMIFS('Taux'!$D$6:$D$10,'Taux'!$A$6:$A$10,A14,'Taux'!$B$6:$B$10,D14)</f>
        <v>1</v>
      </c>
      <c r="R14" s="21">
        <f>IF(COUNT(F14,Q14)=2,F14/Q14,"n.d.")</f>
        <v>1177760.6300000004</v>
      </c>
      <c r="S14" s="21">
        <f>IF(COUNT(M14,Q14)=2,M14/Q14,"n.d.")</f>
        <v>1157024.7400000005</v>
      </c>
      <c r="T14" s="23">
        <f>IF(OR(COUNT(F14,M14)&lt;&gt;2,F14=0),"n.d.",M14/F14)</f>
        <v>0.9823937993240613</v>
      </c>
      <c r="U14" s="23">
        <f>IF(OR(COUNT(G14,N14)&lt;&gt;2,G14=0),"n.d.",N14/G14)</f>
        <v>0.9342162396873643</v>
      </c>
      <c r="V14" s="21">
        <v>1157024.74</v>
      </c>
      <c r="W14" s="16" t="s">
        <v>100</v>
      </c>
    </row>
    <row r="15" spans="1:23" ht="19" customHeight="1">
      <c r="A15" s="16" t="s">
        <v>9</v>
      </c>
      <c r="B15" s="16" t="s">
        <v>50</v>
      </c>
      <c r="C15" s="16" t="s">
        <v>51</v>
      </c>
      <c r="D15" s="16" t="s">
        <v>13</v>
      </c>
      <c r="E15" s="25">
        <v>46113</v>
      </c>
      <c r="F15" s="21">
        <v>1199203.76</v>
      </c>
      <c r="G15" s="22">
        <v>4749</v>
      </c>
      <c r="H15" s="21">
        <v>1134296.39</v>
      </c>
      <c r="I15" s="21">
        <v>26470.52</v>
      </c>
      <c r="J15" s="21">
        <v>0</v>
      </c>
      <c r="K15" s="24" t="s">
        <v>44</v>
      </c>
      <c r="L15" s="24" t="s">
        <v>44</v>
      </c>
      <c r="M15" s="21">
        <f>IF(COUNT(H15,I15,J15)=3,SUM(H15,I15,J15),"n.d.")</f>
        <v>1160766.9100000004</v>
      </c>
      <c r="N15" s="22">
        <v>4424</v>
      </c>
      <c r="O15" s="21">
        <f>IF(COUNT(F15,M15)=2,F15-M15,"n.d.")</f>
        <v>38436.84999999986</v>
      </c>
      <c r="P15" s="22">
        <f>IF(COUNT(G15,N15)=2,G15-N15,"n.d.")</f>
        <v>325</v>
      </c>
      <c r="Q15" s="20">
        <f>SUMIFS('Taux'!$D$6:$D$10,'Taux'!$A$6:$A$10,A15,'Taux'!$B$6:$B$10,D15)</f>
        <v>1</v>
      </c>
      <c r="R15" s="21">
        <f>IF(COUNT(F15,Q15)=2,F15/Q15,"n.d.")</f>
        <v>1199203.7600000002</v>
      </c>
      <c r="S15" s="21">
        <f>IF(COUNT(M15,Q15)=2,M15/Q15,"n.d.")</f>
        <v>1160766.9100000004</v>
      </c>
      <c r="T15" s="23">
        <f>IF(OR(COUNT(F15,M15)&lt;&gt;2,F15=0),"n.d.",M15/F15)</f>
        <v>0.9679480241122661</v>
      </c>
      <c r="U15" s="23">
        <f>IF(OR(COUNT(G15,N15)&lt;&gt;2,G15=0),"n.d.",N15/G15)</f>
        <v>0.9315645399031375</v>
      </c>
      <c r="V15" s="21">
        <v>1160766.91</v>
      </c>
      <c r="W15" s="16" t="s">
        <v>101</v>
      </c>
    </row>
    <row r="16" spans="1:23" ht="19" customHeight="1">
      <c r="A16" s="16" t="s">
        <v>9</v>
      </c>
      <c r="B16" s="16" t="s">
        <v>50</v>
      </c>
      <c r="C16" s="16" t="s">
        <v>51</v>
      </c>
      <c r="D16" s="16" t="s">
        <v>13</v>
      </c>
      <c r="E16" s="25">
        <v>46143</v>
      </c>
      <c r="F16" s="21">
        <v>1425617.1</v>
      </c>
      <c r="G16" s="22">
        <v>5501</v>
      </c>
      <c r="H16" s="21">
        <v>1245540.66</v>
      </c>
      <c r="I16" s="21">
        <v>81813.84000000005</v>
      </c>
      <c r="J16" s="21">
        <v>0</v>
      </c>
      <c r="K16" s="24" t="s">
        <v>44</v>
      </c>
      <c r="L16" s="24" t="s">
        <v>44</v>
      </c>
      <c r="M16" s="21">
        <f>IF(COUNT(H16,I16,J16)=3,SUM(H16,I16,J16),"n.d.")</f>
        <v>1327354.4999999998</v>
      </c>
      <c r="N16" s="22">
        <v>4888</v>
      </c>
      <c r="O16" s="21">
        <f>IF(COUNT(F16,M16)=2,F16-M16,"n.d.")</f>
        <v>98262.6000000001</v>
      </c>
      <c r="P16" s="22">
        <f>IF(COUNT(G16,N16)=2,G16-N16,"n.d.")</f>
        <v>613</v>
      </c>
      <c r="Q16" s="20">
        <f>SUMIFS('Taux'!$D$6:$D$10,'Taux'!$A$6:$A$10,A16,'Taux'!$B$6:$B$10,D16)</f>
        <v>1</v>
      </c>
      <c r="R16" s="21">
        <f>IF(COUNT(F16,Q16)=2,F16/Q16,"n.d.")</f>
        <v>1425617.0999999999</v>
      </c>
      <c r="S16" s="21">
        <f>IF(COUNT(M16,Q16)=2,M16/Q16,"n.d.")</f>
        <v>1327354.4999999998</v>
      </c>
      <c r="T16" s="23">
        <f>IF(OR(COUNT(F16,M16)&lt;&gt;2,F16=0),"n.d.",M16/F16)</f>
        <v>0.9310736382160398</v>
      </c>
      <c r="U16" s="23">
        <f>IF(OR(COUNT(G16,N16)&lt;&gt;2,G16=0),"n.d.",N16/G16)</f>
        <v>0.8885657153244865</v>
      </c>
      <c r="V16" s="21">
        <v>1327354.5</v>
      </c>
      <c r="W16" s="16" t="s">
        <v>102</v>
      </c>
    </row>
    <row r="17" spans="1:23" ht="19" customHeight="1">
      <c r="A17" s="16" t="s">
        <v>9</v>
      </c>
      <c r="B17" s="16" t="s">
        <v>50</v>
      </c>
      <c r="C17" s="16" t="s">
        <v>51</v>
      </c>
      <c r="D17" s="16" t="s">
        <v>13</v>
      </c>
      <c r="E17" s="25">
        <v>46174</v>
      </c>
      <c r="F17" s="21">
        <v>977488.48</v>
      </c>
      <c r="G17" s="22">
        <v>4259</v>
      </c>
      <c r="H17" s="21">
        <v>448642.78</v>
      </c>
      <c r="I17" s="21">
        <v>68129.10999999997</v>
      </c>
      <c r="J17" s="21">
        <v>0</v>
      </c>
      <c r="K17" s="24" t="s">
        <v>44</v>
      </c>
      <c r="L17" s="24" t="s">
        <v>44</v>
      </c>
      <c r="M17" s="21">
        <f>IF(COUNT(H17,I17,J17)=3,SUM(H17,I17,J17),"n.d.")</f>
        <v>516771.89</v>
      </c>
      <c r="N17" s="22">
        <v>2107</v>
      </c>
      <c r="O17" s="21">
        <f>IF(COUNT(F17,M17)=2,F17-M17,"n.d.")</f>
        <v>460716.58999999997</v>
      </c>
      <c r="P17" s="22">
        <f>IF(COUNT(G17,N17)=2,G17-N17,"n.d.")</f>
        <v>2152</v>
      </c>
      <c r="Q17" s="20">
        <f>SUMIFS('Taux'!$D$6:$D$10,'Taux'!$A$6:$A$10,A17,'Taux'!$B$6:$B$10,D17)</f>
        <v>1</v>
      </c>
      <c r="R17" s="21">
        <f>IF(COUNT(F17,Q17)=2,F17/Q17,"n.d.")</f>
        <v>977488.48</v>
      </c>
      <c r="S17" s="21">
        <f>IF(COUNT(M17,Q17)=2,M17/Q17,"n.d.")</f>
        <v>516771.89</v>
      </c>
      <c r="T17" s="23">
        <f>IF(OR(COUNT(F17,M17)&lt;&gt;2,F17=0),"n.d.",M17/F17)</f>
        <v>0.5286731256413375</v>
      </c>
      <c r="U17" s="23">
        <f>IF(OR(COUNT(G17,N17)&lt;&gt;2,G17=0),"n.d.",N17/G17)</f>
        <v>0.4947170697346795</v>
      </c>
      <c r="V17" s="21">
        <v>516771.89</v>
      </c>
      <c r="W17" s="16" t="s">
        <v>103</v>
      </c>
    </row>
    <row r="18" spans="1:23" ht="19" customHeight="1">
      <c r="A18" s="16" t="s">
        <v>9</v>
      </c>
      <c r="B18" s="16" t="s">
        <v>55</v>
      </c>
      <c r="C18" s="16" t="s">
        <v>56</v>
      </c>
      <c r="D18" s="16" t="s">
        <v>19</v>
      </c>
      <c r="E18" s="25">
        <v>46023</v>
      </c>
      <c r="F18" s="21">
        <v>3011740.890000002</v>
      </c>
      <c r="G18" s="22">
        <v>15986</v>
      </c>
      <c r="H18" s="21">
        <v>1918665.800000001</v>
      </c>
      <c r="I18" s="21">
        <v>0</v>
      </c>
      <c r="J18" s="21">
        <v>36987.21000000012</v>
      </c>
      <c r="K18" s="24" t="s">
        <v>44</v>
      </c>
      <c r="L18" s="24" t="s">
        <v>44</v>
      </c>
      <c r="M18" s="21">
        <f>IF(COUNT(H18,I18,J18)=3,SUM(H18,I18,J18),"n.d.")</f>
        <v>1955653.0100000016</v>
      </c>
      <c r="N18" s="22">
        <v>13668</v>
      </c>
      <c r="O18" s="21">
        <f>IF(COUNT(F18,M18)=2,F18-M18,"n.d.")</f>
        <v>1056087.8800000008</v>
      </c>
      <c r="P18" s="22">
        <f>IF(COUNT(G18,N18)=2,G18-N18,"n.d.")</f>
        <v>2318</v>
      </c>
      <c r="Q18" s="20">
        <f>SUMIFS('Taux'!$D$6:$D$10,'Taux'!$A$6:$A$10,A18,'Taux'!$B$6:$B$10,D18)</f>
        <v>18.72282849</v>
      </c>
      <c r="R18" s="21">
        <f>IF(COUNT(F18,Q18)=2,F18/Q18,"n.d.")</f>
        <v>160859.28958910215</v>
      </c>
      <c r="S18" s="21">
        <f>IF(COUNT(M18,Q18)=2,M18/Q18,"n.d.")</f>
        <v>104452.86143835212</v>
      </c>
      <c r="T18" s="23">
        <f>IF(OR(COUNT(F18,M18)&lt;&gt;2,F18=0),"n.d.",M18/F18)</f>
        <v>0.6493430482328113</v>
      </c>
      <c r="U18" s="23">
        <f>IF(OR(COUNT(G18,N18)&lt;&gt;2,G18=0),"n.d.",N18/G18)</f>
        <v>0.8549981233579382</v>
      </c>
      <c r="V18" s="21">
        <v>1955653.010000002</v>
      </c>
      <c r="W18" s="16" t="s">
        <v>104</v>
      </c>
    </row>
    <row r="19" spans="1:23" ht="19" customHeight="1">
      <c r="A19" s="16" t="s">
        <v>9</v>
      </c>
      <c r="B19" s="16" t="s">
        <v>55</v>
      </c>
      <c r="C19" s="16" t="s">
        <v>56</v>
      </c>
      <c r="D19" s="16" t="s">
        <v>19</v>
      </c>
      <c r="E19" s="25">
        <v>46054</v>
      </c>
      <c r="F19" s="21">
        <v>3204444.210000011</v>
      </c>
      <c r="G19" s="22">
        <v>15076</v>
      </c>
      <c r="H19" s="21">
        <v>2062472.940000003</v>
      </c>
      <c r="I19" s="21">
        <v>0</v>
      </c>
      <c r="J19" s="21">
        <v>35180.93999999989</v>
      </c>
      <c r="K19" s="24" t="s">
        <v>44</v>
      </c>
      <c r="L19" s="24" t="s">
        <v>44</v>
      </c>
      <c r="M19" s="21">
        <f>IF(COUNT(H19,I19,J19)=3,SUM(H19,I19,J19),"n.d.")</f>
        <v>2097653.8800000027</v>
      </c>
      <c r="N19" s="22">
        <v>12514</v>
      </c>
      <c r="O19" s="21">
        <f>IF(COUNT(F19,M19)=2,F19-M19,"n.d.")</f>
        <v>1106790.3300000085</v>
      </c>
      <c r="P19" s="22">
        <f>IF(COUNT(G19,N19)=2,G19-N19,"n.d.")</f>
        <v>2562</v>
      </c>
      <c r="Q19" s="20">
        <f>SUMIFS('Taux'!$D$6:$D$10,'Taux'!$A$6:$A$10,A19,'Taux'!$B$6:$B$10,D19)</f>
        <v>18.72282849</v>
      </c>
      <c r="R19" s="21">
        <f>IF(COUNT(F19,Q19)=2,F19/Q19,"n.d.")</f>
        <v>171151.71522889973</v>
      </c>
      <c r="S19" s="21">
        <f>IF(COUNT(M19,Q19)=2,M19/Q19,"n.d.")</f>
        <v>112037.23204110826</v>
      </c>
      <c r="T19" s="23">
        <f>IF(OR(COUNT(F19,M19)&lt;&gt;2,F19=0),"n.d.",M19/F19)</f>
        <v>0.6546077080867623</v>
      </c>
      <c r="U19" s="23">
        <f>IF(OR(COUNT(G19,N19)&lt;&gt;2,G19=0),"n.d.",N19/G19)</f>
        <v>0.8300610241443354</v>
      </c>
      <c r="V19" s="21">
        <v>2097653.880000003</v>
      </c>
      <c r="W19" s="16" t="s">
        <v>105</v>
      </c>
    </row>
    <row r="20" spans="1:23" ht="19" customHeight="1">
      <c r="A20" s="16" t="s">
        <v>9</v>
      </c>
      <c r="B20" s="16" t="s">
        <v>55</v>
      </c>
      <c r="C20" s="16" t="s">
        <v>56</v>
      </c>
      <c r="D20" s="16" t="s">
        <v>19</v>
      </c>
      <c r="E20" s="25">
        <v>46082</v>
      </c>
      <c r="F20" s="21">
        <v>3967369.499999995</v>
      </c>
      <c r="G20" s="22">
        <v>20647</v>
      </c>
      <c r="H20" s="21">
        <v>2223180.750000002</v>
      </c>
      <c r="I20" s="21">
        <v>0</v>
      </c>
      <c r="J20" s="21">
        <v>43750.53999999986</v>
      </c>
      <c r="K20" s="24" t="s">
        <v>44</v>
      </c>
      <c r="L20" s="24" t="s">
        <v>44</v>
      </c>
      <c r="M20" s="21">
        <f>IF(COUNT(H20,I20,J20)=3,SUM(H20,I20,J20),"n.d.")</f>
        <v>2266931.2900000024</v>
      </c>
      <c r="N20" s="22">
        <v>16381</v>
      </c>
      <c r="O20" s="21">
        <f>IF(COUNT(F20,M20)=2,F20-M20,"n.d.")</f>
        <v>1700438.209999993</v>
      </c>
      <c r="P20" s="22">
        <f>IF(COUNT(G20,N20)=2,G20-N20,"n.d.")</f>
        <v>4266</v>
      </c>
      <c r="Q20" s="20">
        <f>SUMIFS('Taux'!$D$6:$D$10,'Taux'!$A$6:$A$10,A20,'Taux'!$B$6:$B$10,D20)</f>
        <v>18.72282849</v>
      </c>
      <c r="R20" s="21">
        <f>IF(COUNT(F20,Q20)=2,F20/Q20,"n.d.")</f>
        <v>211900.11445754557</v>
      </c>
      <c r="S20" s="21">
        <f>IF(COUNT(M20,Q20)=2,M20/Q20,"n.d.")</f>
        <v>121078.46264846077</v>
      </c>
      <c r="T20" s="23">
        <f>IF(OR(COUNT(F20,M20)&lt;&gt;2,F20=0),"n.d.",M20/F20)</f>
        <v>0.5713940408121817</v>
      </c>
      <c r="U20" s="23">
        <f>IF(OR(COUNT(G20,N20)&lt;&gt;2,G20=0),"n.d.",N20/G20)</f>
        <v>0.7933840267351189</v>
      </c>
      <c r="V20" s="21">
        <v>2266931.290000002</v>
      </c>
      <c r="W20" s="16" t="s">
        <v>106</v>
      </c>
    </row>
    <row r="21" spans="1:23" ht="19" customHeight="1">
      <c r="A21" s="16" t="s">
        <v>9</v>
      </c>
      <c r="B21" s="16" t="s">
        <v>55</v>
      </c>
      <c r="C21" s="16" t="s">
        <v>56</v>
      </c>
      <c r="D21" s="16" t="s">
        <v>19</v>
      </c>
      <c r="E21" s="25">
        <v>46113</v>
      </c>
      <c r="F21" s="21">
        <v>3744649.509999959</v>
      </c>
      <c r="G21" s="22">
        <v>19325</v>
      </c>
      <c r="H21" s="21">
        <v>1934850.760000001</v>
      </c>
      <c r="I21" s="21">
        <v>0</v>
      </c>
      <c r="J21" s="21">
        <v>32265.62999999982</v>
      </c>
      <c r="K21" s="24" t="s">
        <v>44</v>
      </c>
      <c r="L21" s="24" t="s">
        <v>44</v>
      </c>
      <c r="M21" s="21">
        <f>IF(COUNT(H21,I21,J21)=3,SUM(H21,I21,J21),"n.d.")</f>
        <v>1967116.3900000006</v>
      </c>
      <c r="N21" s="22">
        <v>14193</v>
      </c>
      <c r="O21" s="21">
        <f>IF(COUNT(F21,M21)=2,F21-M21,"n.d.")</f>
        <v>1777533.1199999582</v>
      </c>
      <c r="P21" s="22">
        <f>IF(COUNT(G21,N21)=2,G21-N21,"n.d.")</f>
        <v>5132</v>
      </c>
      <c r="Q21" s="20">
        <f>SUMIFS('Taux'!$D$6:$D$10,'Taux'!$A$6:$A$10,A21,'Taux'!$B$6:$B$10,D21)</f>
        <v>18.72282849</v>
      </c>
      <c r="R21" s="21">
        <f>IF(COUNT(F21,Q21)=2,F21/Q21,"n.d.")</f>
        <v>200004.47646038115</v>
      </c>
      <c r="S21" s="21">
        <f>IF(COUNT(M21,Q21)=2,M21/Q21,"n.d.")</f>
        <v>105065.12897079904</v>
      </c>
      <c r="T21" s="23">
        <f>IF(OR(COUNT(F21,M21)&lt;&gt;2,F21=0),"n.d.",M21/F21)</f>
        <v>0.5253138871199784</v>
      </c>
      <c r="U21" s="23">
        <f>IF(OR(COUNT(G21,N21)&lt;&gt;2,G21=0),"n.d.",N21/G21)</f>
        <v>0.7344372574385511</v>
      </c>
      <c r="V21" s="21">
        <v>1967116.390000001</v>
      </c>
      <c r="W21" s="16" t="s">
        <v>107</v>
      </c>
    </row>
    <row r="22" spans="1:23" ht="19" customHeight="1">
      <c r="A22" s="16" t="s">
        <v>9</v>
      </c>
      <c r="B22" s="16" t="s">
        <v>55</v>
      </c>
      <c r="C22" s="16" t="s">
        <v>56</v>
      </c>
      <c r="D22" s="16" t="s">
        <v>19</v>
      </c>
      <c r="E22" s="25">
        <v>46143</v>
      </c>
      <c r="F22" s="21">
        <v>3862871.999999942</v>
      </c>
      <c r="G22" s="22">
        <v>19737</v>
      </c>
      <c r="H22" s="21">
        <v>1629996.219999999</v>
      </c>
      <c r="I22" s="21">
        <v>0</v>
      </c>
      <c r="J22" s="21">
        <v>22796.06000000011</v>
      </c>
      <c r="K22" s="24" t="s">
        <v>44</v>
      </c>
      <c r="L22" s="24" t="s">
        <v>44</v>
      </c>
      <c r="M22" s="21">
        <f>IF(COUNT(H22,I22,J22)=3,SUM(H22,I22,J22),"n.d.")</f>
        <v>1652792.279999999</v>
      </c>
      <c r="N22" s="22">
        <v>11973</v>
      </c>
      <c r="O22" s="21">
        <f>IF(COUNT(F22,M22)=2,F22-M22,"n.d.")</f>
        <v>2210079.719999943</v>
      </c>
      <c r="P22" s="22">
        <f>IF(COUNT(G22,N22)=2,G22-N22,"n.d.")</f>
        <v>7764</v>
      </c>
      <c r="Q22" s="20">
        <f>SUMIFS('Taux'!$D$6:$D$10,'Taux'!$A$6:$A$10,A22,'Taux'!$B$6:$B$10,D22)</f>
        <v>18.72282849</v>
      </c>
      <c r="R22" s="21">
        <f>IF(COUNT(F22,Q22)=2,F22/Q22,"n.d.")</f>
        <v>206318.82634950857</v>
      </c>
      <c r="S22" s="21">
        <f>IF(COUNT(M22,Q22)=2,M22/Q22,"n.d.")</f>
        <v>88276.84774673695</v>
      </c>
      <c r="T22" s="23">
        <f>IF(OR(COUNT(F22,M22)&lt;&gt;2,F22=0),"n.d.",M22/F22)</f>
        <v>0.4278661783253558</v>
      </c>
      <c r="U22" s="23">
        <f>IF(OR(COUNT(G22,N22)&lt;&gt;2,G22=0),"n.d.",N22/G22)</f>
        <v>0.6066271469828242</v>
      </c>
      <c r="V22" s="21">
        <v>1652792.279999999</v>
      </c>
      <c r="W22" s="16" t="s">
        <v>108</v>
      </c>
    </row>
    <row r="23" spans="1:23" ht="19" customHeight="1">
      <c r="A23" s="16" t="s">
        <v>9</v>
      </c>
      <c r="B23" s="16" t="s">
        <v>55</v>
      </c>
      <c r="C23" s="16" t="s">
        <v>56</v>
      </c>
      <c r="D23" s="16" t="s">
        <v>19</v>
      </c>
      <c r="E23" s="25">
        <v>46174</v>
      </c>
      <c r="F23" s="21">
        <v>4224061.329999999</v>
      </c>
      <c r="G23" s="22">
        <v>24203</v>
      </c>
      <c r="H23" s="21">
        <v>0</v>
      </c>
      <c r="I23" s="21">
        <v>0</v>
      </c>
      <c r="J23" s="21">
        <v>22298.12</v>
      </c>
      <c r="K23" s="24" t="s">
        <v>44</v>
      </c>
      <c r="L23" s="24" t="s">
        <v>44</v>
      </c>
      <c r="M23" s="21">
        <f>IF(COUNT(H23,I23,J23)=3,SUM(H23,I23,J23),"n.d.")</f>
        <v>22298.119999999995</v>
      </c>
      <c r="N23" s="22">
        <v>7621</v>
      </c>
      <c r="O23" s="21">
        <f>IF(COUNT(F23,M23)=2,F23-M23,"n.d.")</f>
        <v>4201763.209999999</v>
      </c>
      <c r="P23" s="22">
        <f>IF(COUNT(G23,N23)=2,G23-N23,"n.d.")</f>
        <v>16582</v>
      </c>
      <c r="Q23" s="20">
        <f>SUMIFS('Taux'!$D$6:$D$10,'Taux'!$A$6:$A$10,A23,'Taux'!$B$6:$B$10,D23)</f>
        <v>18.72282849</v>
      </c>
      <c r="R23" s="21">
        <f>IF(COUNT(F23,Q23)=2,F23/Q23,"n.d.")</f>
        <v>225610.21334228964</v>
      </c>
      <c r="S23" s="21">
        <f>IF(COUNT(M23,Q23)=2,M23/Q23,"n.d.")</f>
        <v>1190.95894148203</v>
      </c>
      <c r="T23" s="23">
        <f>IF(OR(COUNT(F23,M23)&lt;&gt;2,F23=0),"n.d.",M23/F23)</f>
        <v>0.005278834339273194</v>
      </c>
      <c r="U23" s="23">
        <f>IF(OR(COUNT(G23,N23)&lt;&gt;2,G23=0),"n.d.",N23/G23)</f>
        <v>0.3148783208693137</v>
      </c>
      <c r="V23" s="21">
        <v>22298.12</v>
      </c>
      <c r="W23" s="16" t="s">
        <v>109</v>
      </c>
    </row>
    <row r="24" spans="1:23" ht="19" customHeight="1">
      <c r="A24" s="16" t="s">
        <v>9</v>
      </c>
      <c r="B24" s="16" t="s">
        <v>60</v>
      </c>
      <c r="C24" s="16" t="s">
        <v>61</v>
      </c>
      <c r="D24" s="16" t="s">
        <v>10</v>
      </c>
      <c r="E24" s="25">
        <v>46023</v>
      </c>
      <c r="F24" s="21">
        <v>130636.08</v>
      </c>
      <c r="G24" s="22">
        <v>394</v>
      </c>
      <c r="H24" s="21">
        <v>119420</v>
      </c>
      <c r="I24" s="24" t="s">
        <v>44</v>
      </c>
      <c r="J24" s="24" t="s">
        <v>44</v>
      </c>
      <c r="K24" s="21">
        <v>0</v>
      </c>
      <c r="L24" s="21">
        <v>11216.08</v>
      </c>
      <c r="M24" s="21">
        <f>IF(COUNT(H24,K24,L24)=3,SUM(H24,K24,L24),"n.d.")</f>
        <v>130636.08000000005</v>
      </c>
      <c r="N24" s="22">
        <v>394</v>
      </c>
      <c r="O24" s="21">
        <f>IF(COUNT(F24,M24)=2,F24-M24,"n.d.")</f>
        <v>0.0</v>
      </c>
      <c r="P24" s="22">
        <f>IF(COUNT(G24,N24)=2,G24-N24,"n.d.")</f>
        <v>0</v>
      </c>
      <c r="Q24" s="20">
        <f>SUMIFS('Taux'!$D$6:$D$10,'Taux'!$A$6:$A$10,A24,'Taux'!$B$6:$B$10,D24)</f>
        <v>7.47467107</v>
      </c>
      <c r="R24" s="21">
        <f>IF(COUNT(F24,Q24)=2,F24/Q24,"n.d.")</f>
        <v>17477.167727729862</v>
      </c>
      <c r="S24" s="21">
        <f>IF(COUNT(M24,Q24)=2,M24/Q24,"n.d.")</f>
        <v>17477.167727729862</v>
      </c>
      <c r="T24" s="23">
        <f>IF(OR(COUNT(F24,M24)&lt;&gt;2,F24=0),"n.d.",M24/F24)</f>
        <v>1.0</v>
      </c>
      <c r="U24" s="23">
        <f>IF(OR(COUNT(G24,N24)&lt;&gt;2,G24=0),"n.d.",N24/G24)</f>
        <v>1.0</v>
      </c>
      <c r="V24" s="21">
        <v>130636.08</v>
      </c>
      <c r="W24" s="16" t="s">
        <v>110</v>
      </c>
    </row>
    <row r="25" spans="1:23" ht="19" customHeight="1">
      <c r="A25" s="16" t="s">
        <v>9</v>
      </c>
      <c r="B25" s="16" t="s">
        <v>60</v>
      </c>
      <c r="C25" s="16" t="s">
        <v>61</v>
      </c>
      <c r="D25" s="16" t="s">
        <v>10</v>
      </c>
      <c r="E25" s="25">
        <v>46054</v>
      </c>
      <c r="F25" s="21">
        <v>256641.26</v>
      </c>
      <c r="G25" s="22">
        <v>400</v>
      </c>
      <c r="H25" s="21">
        <v>99095.89999999998</v>
      </c>
      <c r="I25" s="24" t="s">
        <v>44</v>
      </c>
      <c r="J25" s="24" t="s">
        <v>44</v>
      </c>
      <c r="K25" s="21">
        <v>0</v>
      </c>
      <c r="L25" s="21">
        <v>156607.86</v>
      </c>
      <c r="M25" s="21">
        <f>IF(COUNT(H25,K25,L25)=3,SUM(H25,K25,L25),"n.d.")</f>
        <v>255703.75999999995</v>
      </c>
      <c r="N25" s="22">
        <v>399</v>
      </c>
      <c r="O25" s="21">
        <f>IF(COUNT(F25,M25)=2,F25-M25,"n.d.")</f>
        <v>937.5000000000873</v>
      </c>
      <c r="P25" s="22">
        <f>IF(COUNT(G25,N25)=2,G25-N25,"n.d.")</f>
        <v>1</v>
      </c>
      <c r="Q25" s="20">
        <f>SUMIFS('Taux'!$D$6:$D$10,'Taux'!$A$6:$A$10,A25,'Taux'!$B$6:$B$10,D25)</f>
        <v>7.47467107</v>
      </c>
      <c r="R25" s="21">
        <f>IF(COUNT(F25,Q25)=2,F25/Q25,"n.d.")</f>
        <v>34334.789798315505</v>
      </c>
      <c r="S25" s="21">
        <f>IF(COUNT(M25,Q25)=2,M25/Q25,"n.d.")</f>
        <v>34209.36621897396</v>
      </c>
      <c r="T25" s="23">
        <f>IF(OR(COUNT(F25,M25)&lt;&gt;2,F25=0),"n.d.",M25/F25)</f>
        <v>0.9963470410019025</v>
      </c>
      <c r="U25" s="23">
        <f>IF(OR(COUNT(G25,N25)&lt;&gt;2,G25=0),"n.d.",N25/G25)</f>
        <v>0.9975</v>
      </c>
      <c r="V25" s="21">
        <v>255703.76</v>
      </c>
      <c r="W25" s="16" t="s">
        <v>111</v>
      </c>
    </row>
    <row r="26" spans="1:23" ht="19" customHeight="1">
      <c r="A26" s="16" t="s">
        <v>9</v>
      </c>
      <c r="B26" s="16" t="s">
        <v>60</v>
      </c>
      <c r="C26" s="16" t="s">
        <v>61</v>
      </c>
      <c r="D26" s="16" t="s">
        <v>10</v>
      </c>
      <c r="E26" s="25">
        <v>46082</v>
      </c>
      <c r="F26" s="21">
        <v>111294.4299999999</v>
      </c>
      <c r="G26" s="22">
        <v>372</v>
      </c>
      <c r="H26" s="21">
        <v>93872.86999999992</v>
      </c>
      <c r="I26" s="24" t="s">
        <v>44</v>
      </c>
      <c r="J26" s="24" t="s">
        <v>44</v>
      </c>
      <c r="K26" s="21">
        <v>0</v>
      </c>
      <c r="L26" s="21">
        <v>14652.77</v>
      </c>
      <c r="M26" s="21">
        <f>IF(COUNT(H26,K26,L26)=3,SUM(H26,K26,L26),"n.d.")</f>
        <v>108525.63999999993</v>
      </c>
      <c r="N26" s="22">
        <v>367</v>
      </c>
      <c r="O26" s="21">
        <f>IF(COUNT(F26,M26)=2,F26-M26,"n.d.")</f>
        <v>2768.7899999999936</v>
      </c>
      <c r="P26" s="22">
        <f>IF(COUNT(G26,N26)=2,G26-N26,"n.d.")</f>
        <v>5</v>
      </c>
      <c r="Q26" s="20">
        <f>SUMIFS('Taux'!$D$6:$D$10,'Taux'!$A$6:$A$10,A26,'Taux'!$B$6:$B$10,D26)</f>
        <v>7.47467107</v>
      </c>
      <c r="R26" s="21">
        <f>IF(COUNT(F26,Q26)=2,F26/Q26,"n.d.")</f>
        <v>14889.542156133957</v>
      </c>
      <c r="S26" s="21">
        <f>IF(COUNT(M26,Q26)=2,M26/Q26,"n.d.")</f>
        <v>14519.119167072582</v>
      </c>
      <c r="T26" s="23">
        <f>IF(OR(COUNT(F26,M26)&lt;&gt;2,F26=0),"n.d.",M26/F26)</f>
        <v>0.9751219355721576</v>
      </c>
      <c r="U26" s="23">
        <f>IF(OR(COUNT(G26,N26)&lt;&gt;2,G26=0),"n.d.",N26/G26)</f>
        <v>0.9865591397849462</v>
      </c>
      <c r="V26" s="21">
        <v>108525.6399999999</v>
      </c>
      <c r="W26" s="16" t="s">
        <v>112</v>
      </c>
    </row>
    <row r="27" spans="1:23" ht="19" customHeight="1">
      <c r="A27" s="16" t="s">
        <v>9</v>
      </c>
      <c r="B27" s="16" t="s">
        <v>60</v>
      </c>
      <c r="C27" s="16" t="s">
        <v>61</v>
      </c>
      <c r="D27" s="16" t="s">
        <v>10</v>
      </c>
      <c r="E27" s="25">
        <v>46113</v>
      </c>
      <c r="F27" s="21">
        <v>112393.3500000001</v>
      </c>
      <c r="G27" s="22">
        <v>359</v>
      </c>
      <c r="H27" s="21">
        <v>78374.69000000002</v>
      </c>
      <c r="I27" s="24" t="s">
        <v>44</v>
      </c>
      <c r="J27" s="24" t="s">
        <v>44</v>
      </c>
      <c r="K27" s="21">
        <v>0</v>
      </c>
      <c r="L27" s="21">
        <v>12653.27</v>
      </c>
      <c r="M27" s="21">
        <f>IF(COUNT(H27,K27,L27)=3,SUM(H27,K27,L27),"n.d.")</f>
        <v>91027.96000000002</v>
      </c>
      <c r="N27" s="22">
        <v>223</v>
      </c>
      <c r="O27" s="21">
        <f>IF(COUNT(F27,M27)=2,F27-M27,"n.d.")</f>
        <v>21365.390000000043</v>
      </c>
      <c r="P27" s="22">
        <f>IF(COUNT(G27,N27)=2,G27-N27,"n.d.")</f>
        <v>136</v>
      </c>
      <c r="Q27" s="20">
        <f>SUMIFS('Taux'!$D$6:$D$10,'Taux'!$A$6:$A$10,A27,'Taux'!$B$6:$B$10,D27)</f>
        <v>7.47467107</v>
      </c>
      <c r="R27" s="21">
        <f>IF(COUNT(F27,Q27)=2,F27/Q27,"n.d.")</f>
        <v>15036.561334597973</v>
      </c>
      <c r="S27" s="21">
        <f>IF(COUNT(M27,Q27)=2,M27/Q27,"n.d.")</f>
        <v>12178.189400915006</v>
      </c>
      <c r="T27" s="23">
        <f>IF(OR(COUNT(F27,M27)&lt;&gt;2,F27=0),"n.d.",M27/F27)</f>
        <v>0.8099052123635426</v>
      </c>
      <c r="U27" s="23">
        <f>IF(OR(COUNT(G27,N27)&lt;&gt;2,G27=0),"n.d.",N27/G27)</f>
        <v>0.6211699164345403</v>
      </c>
      <c r="V27" s="21">
        <v>91027.96000000002</v>
      </c>
      <c r="W27" s="16" t="s">
        <v>113</v>
      </c>
    </row>
    <row r="28" spans="1:23" ht="19" customHeight="1">
      <c r="A28" s="16" t="s">
        <v>9</v>
      </c>
      <c r="B28" s="16" t="s">
        <v>60</v>
      </c>
      <c r="C28" s="16" t="s">
        <v>61</v>
      </c>
      <c r="D28" s="16" t="s">
        <v>10</v>
      </c>
      <c r="E28" s="25">
        <v>46143</v>
      </c>
      <c r="F28" s="21">
        <v>162509.23</v>
      </c>
      <c r="G28" s="22">
        <v>361</v>
      </c>
      <c r="H28" s="21">
        <v>28482.28</v>
      </c>
      <c r="I28" s="24" t="s">
        <v>44</v>
      </c>
      <c r="J28" s="24" t="s">
        <v>44</v>
      </c>
      <c r="K28" s="21">
        <v>0</v>
      </c>
      <c r="L28" s="21">
        <v>36540.14</v>
      </c>
      <c r="M28" s="21">
        <f>IF(COUNT(H28,K28,L28)=3,SUM(H28,K28,L28),"n.d.")</f>
        <v>65022.42</v>
      </c>
      <c r="N28" s="22">
        <v>69</v>
      </c>
      <c r="O28" s="21">
        <f>IF(COUNT(F28,M28)=2,F28-M28,"n.d.")</f>
        <v>97486.80999999998</v>
      </c>
      <c r="P28" s="22">
        <f>IF(COUNT(G28,N28)=2,G28-N28,"n.d.")</f>
        <v>292</v>
      </c>
      <c r="Q28" s="20">
        <f>SUMIFS('Taux'!$D$6:$D$10,'Taux'!$A$6:$A$10,A28,'Taux'!$B$6:$B$10,D28)</f>
        <v>7.47467107</v>
      </c>
      <c r="R28" s="21">
        <f>IF(COUNT(F28,Q28)=2,F28/Q28,"n.d.")</f>
        <v>21741.321922812047</v>
      </c>
      <c r="S28" s="21">
        <f>IF(COUNT(M28,Q28)=2,M28/Q28,"n.d.")</f>
        <v>8699.034297438322</v>
      </c>
      <c r="T28" s="23">
        <f>IF(OR(COUNT(F28,M28)&lt;&gt;2,F28=0),"n.d.",M28/F28)</f>
        <v>0.4001152426849848</v>
      </c>
      <c r="U28" s="23">
        <f>IF(OR(COUNT(G28,N28)&lt;&gt;2,G28=0),"n.d.",N28/G28)</f>
        <v>0.19113573407202217</v>
      </c>
      <c r="V28" s="21">
        <v>65022.42</v>
      </c>
      <c r="W28" s="16" t="s">
        <v>114</v>
      </c>
    </row>
    <row r="29" spans="1:23" ht="19" customHeight="1">
      <c r="A29" s="16" t="s">
        <v>9</v>
      </c>
      <c r="B29" s="16" t="s">
        <v>60</v>
      </c>
      <c r="C29" s="16" t="s">
        <v>61</v>
      </c>
      <c r="D29" s="16" t="s">
        <v>10</v>
      </c>
      <c r="E29" s="25">
        <v>46174</v>
      </c>
      <c r="F29" s="21">
        <v>87448.33000000007</v>
      </c>
      <c r="G29" s="22">
        <v>296</v>
      </c>
      <c r="H29" s="21">
        <v>12784.95</v>
      </c>
      <c r="I29" s="24" t="s">
        <v>44</v>
      </c>
      <c r="J29" s="24" t="s">
        <v>44</v>
      </c>
      <c r="K29" s="21">
        <v>0</v>
      </c>
      <c r="L29" s="21">
        <v>14924.06</v>
      </c>
      <c r="M29" s="21">
        <f>IF(COUNT(H29,K29,L29)=3,SUM(H29,K29,L29),"n.d.")</f>
        <v>27709.009999999995</v>
      </c>
      <c r="N29" s="22">
        <v>38</v>
      </c>
      <c r="O29" s="21">
        <f>IF(COUNT(F29,M29)=2,F29-M29,"n.d.")</f>
        <v>59739.32000000008</v>
      </c>
      <c r="P29" s="22">
        <f>IF(COUNT(G29,N29)=2,G29-N29,"n.d.")</f>
        <v>258</v>
      </c>
      <c r="Q29" s="20">
        <f>SUMIFS('Taux'!$D$6:$D$10,'Taux'!$A$6:$A$10,A29,'Taux'!$B$6:$B$10,D29)</f>
        <v>7.47467107</v>
      </c>
      <c r="R29" s="21">
        <f>IF(COUNT(F29,Q29)=2,F29/Q29,"n.d.")</f>
        <v>11699.288059775461</v>
      </c>
      <c r="S29" s="21">
        <f>IF(COUNT(M29,Q29)=2,M29/Q29,"n.d.")</f>
        <v>3707.054095157661</v>
      </c>
      <c r="T29" s="23">
        <f>IF(OR(COUNT(F29,M29)&lt;&gt;2,F29=0),"n.d.",M29/F29)</f>
        <v>0.3168615112489852</v>
      </c>
      <c r="U29" s="23">
        <f>IF(OR(COUNT(G29,N29)&lt;&gt;2,G29=0),"n.d.",N29/G29)</f>
        <v>0.12837837837837837</v>
      </c>
      <c r="V29" s="21">
        <v>27709.00999999999</v>
      </c>
      <c r="W29" s="16" t="s">
        <v>115</v>
      </c>
    </row>
    <row r="30" spans="1:23" ht="19" customHeight="1">
      <c r="A30" s="16" t="s">
        <v>9</v>
      </c>
      <c r="B30" s="16" t="s">
        <v>68</v>
      </c>
      <c r="C30" s="16" t="s">
        <v>69</v>
      </c>
      <c r="D30" s="16" t="s">
        <v>15</v>
      </c>
      <c r="E30" s="25">
        <v>46023</v>
      </c>
      <c r="F30" s="21">
        <v>112887.1400000001</v>
      </c>
      <c r="G30" s="22">
        <v>266</v>
      </c>
      <c r="H30" s="21">
        <v>93038.16000000002</v>
      </c>
      <c r="I30" s="24" t="s">
        <v>44</v>
      </c>
      <c r="J30" s="24" t="s">
        <v>44</v>
      </c>
      <c r="K30" s="21">
        <v>0</v>
      </c>
      <c r="L30" s="21">
        <v>13190.5</v>
      </c>
      <c r="M30" s="21">
        <f>IF(COUNT(H30,K30,L30)=3,SUM(H30,K30,L30),"n.d.")</f>
        <v>106228.66000000002</v>
      </c>
      <c r="N30" s="22">
        <v>264</v>
      </c>
      <c r="O30" s="21">
        <f>IF(COUNT(F30,M30)=2,F30-M30,"n.d.")</f>
        <v>6658.48000000004</v>
      </c>
      <c r="P30" s="22">
        <f>IF(COUNT(G30,N30)=2,G30-N30,"n.d.")</f>
        <v>2</v>
      </c>
      <c r="Q30" s="20">
        <f>SUMIFS('Taux'!$D$6:$D$10,'Taux'!$A$6:$A$10,A30,'Taux'!$B$6:$B$10,D30)</f>
        <v>11.311264655</v>
      </c>
      <c r="R30" s="21">
        <f>IF(COUNT(F30,Q30)=2,F30/Q30,"n.d.")</f>
        <v>9980.063542240587</v>
      </c>
      <c r="S30" s="21">
        <f>IF(COUNT(M30,Q30)=2,M30/Q30,"n.d.")</f>
        <v>9391.404342488175</v>
      </c>
      <c r="T30" s="23">
        <f>IF(OR(COUNT(F30,M30)&lt;&gt;2,F30=0),"n.d.",M30/F30)</f>
        <v>0.9410164877948007</v>
      </c>
      <c r="U30" s="23">
        <f>IF(OR(COUNT(G30,N30)&lt;&gt;2,G30=0),"n.d.",N30/G30)</f>
        <v>0.9924812030075187</v>
      </c>
      <c r="V30" s="21">
        <v>106228.66</v>
      </c>
      <c r="W30" s="16" t="s">
        <v>116</v>
      </c>
    </row>
    <row r="31" spans="1:23" ht="19" customHeight="1">
      <c r="A31" s="16" t="s">
        <v>9</v>
      </c>
      <c r="B31" s="16" t="s">
        <v>68</v>
      </c>
      <c r="C31" s="16" t="s">
        <v>69</v>
      </c>
      <c r="D31" s="16" t="s">
        <v>15</v>
      </c>
      <c r="E31" s="25">
        <v>46054</v>
      </c>
      <c r="F31" s="21">
        <v>68143.89999999999</v>
      </c>
      <c r="G31" s="22">
        <v>166</v>
      </c>
      <c r="H31" s="21">
        <v>56302.53999999999</v>
      </c>
      <c r="I31" s="24" t="s">
        <v>44</v>
      </c>
      <c r="J31" s="24" t="s">
        <v>44</v>
      </c>
      <c r="K31" s="21">
        <v>0</v>
      </c>
      <c r="L31" s="21">
        <v>11841.36</v>
      </c>
      <c r="M31" s="21">
        <f>IF(COUNT(H31,K31,L31)=3,SUM(H31,K31,L31),"n.d.")</f>
        <v>68143.9</v>
      </c>
      <c r="N31" s="22">
        <v>166</v>
      </c>
      <c r="O31" s="21">
        <f>IF(COUNT(F31,M31)=2,F31-M31,"n.d.")</f>
        <v>0.0</v>
      </c>
      <c r="P31" s="22">
        <f>IF(COUNT(G31,N31)=2,G31-N31,"n.d.")</f>
        <v>0</v>
      </c>
      <c r="Q31" s="20">
        <f>SUMIFS('Taux'!$D$6:$D$10,'Taux'!$A$6:$A$10,A31,'Taux'!$B$6:$B$10,D31)</f>
        <v>11.311264655</v>
      </c>
      <c r="R31" s="21">
        <f>IF(COUNT(F31,Q31)=2,F31/Q31,"n.d.")</f>
        <v>6024.428043939176</v>
      </c>
      <c r="S31" s="21">
        <f>IF(COUNT(M31,Q31)=2,M31/Q31,"n.d.")</f>
        <v>6024.428043939176</v>
      </c>
      <c r="T31" s="23">
        <f>IF(OR(COUNT(F31,M31)&lt;&gt;2,F31=0),"n.d.",M31/F31)</f>
        <v>1.0</v>
      </c>
      <c r="U31" s="23">
        <f>IF(OR(COUNT(G31,N31)&lt;&gt;2,G31=0),"n.d.",N31/G31)</f>
        <v>1.0</v>
      </c>
      <c r="V31" s="21">
        <v>68143.89999999999</v>
      </c>
      <c r="W31" s="16" t="s">
        <v>117</v>
      </c>
    </row>
    <row r="32" spans="1:23" ht="19" customHeight="1">
      <c r="A32" s="16" t="s">
        <v>9</v>
      </c>
      <c r="B32" s="16" t="s">
        <v>68</v>
      </c>
      <c r="C32" s="16" t="s">
        <v>69</v>
      </c>
      <c r="D32" s="16" t="s">
        <v>15</v>
      </c>
      <c r="E32" s="25">
        <v>46082</v>
      </c>
      <c r="F32" s="21">
        <v>247666.8200000001</v>
      </c>
      <c r="G32" s="22">
        <v>233</v>
      </c>
      <c r="H32" s="21">
        <v>220801.7900000001</v>
      </c>
      <c r="I32" s="24" t="s">
        <v>44</v>
      </c>
      <c r="J32" s="24" t="s">
        <v>44</v>
      </c>
      <c r="K32" s="21">
        <v>0</v>
      </c>
      <c r="L32" s="21">
        <v>9666.990000000002</v>
      </c>
      <c r="M32" s="21">
        <f>IF(COUNT(H32,K32,L32)=3,SUM(H32,K32,L32),"n.d.")</f>
        <v>230468.78000000006</v>
      </c>
      <c r="N32" s="22">
        <v>150</v>
      </c>
      <c r="O32" s="21">
        <f>IF(COUNT(F32,M32)=2,F32-M32,"n.d.")</f>
        <v>17198.040000000037</v>
      </c>
      <c r="P32" s="22">
        <f>IF(COUNT(G32,N32)=2,G32-N32,"n.d.")</f>
        <v>83</v>
      </c>
      <c r="Q32" s="20">
        <f>SUMIFS('Taux'!$D$6:$D$10,'Taux'!$A$6:$A$10,A32,'Taux'!$B$6:$B$10,D32)</f>
        <v>11.311264655</v>
      </c>
      <c r="R32" s="21">
        <f>IF(COUNT(F32,Q32)=2,F32/Q32,"n.d.")</f>
        <v>21895.59059521449</v>
      </c>
      <c r="S32" s="21">
        <f>IF(COUNT(M32,Q32)=2,M32/Q32,"n.d.")</f>
        <v>20375.15583176849</v>
      </c>
      <c r="T32" s="23">
        <f>IF(OR(COUNT(F32,M32)&lt;&gt;2,F32=0),"n.d.",M32/F32)</f>
        <v>0.930559773812253</v>
      </c>
      <c r="U32" s="23">
        <f>IF(OR(COUNT(G32,N32)&lt;&gt;2,G32=0),"n.d.",N32/G32)</f>
        <v>0.6437768240343348</v>
      </c>
      <c r="V32" s="21">
        <v>230468.7800000001</v>
      </c>
      <c r="W32" s="16" t="s">
        <v>118</v>
      </c>
    </row>
    <row r="33" spans="1:23" ht="19" customHeight="1">
      <c r="A33" s="16" t="s">
        <v>9</v>
      </c>
      <c r="B33" s="16" t="s">
        <v>68</v>
      </c>
      <c r="C33" s="16" t="s">
        <v>69</v>
      </c>
      <c r="D33" s="16" t="s">
        <v>15</v>
      </c>
      <c r="E33" s="25">
        <v>46113</v>
      </c>
      <c r="F33" s="21">
        <v>57533.93000000002</v>
      </c>
      <c r="G33" s="22">
        <v>148</v>
      </c>
      <c r="H33" s="21">
        <v>34047.29000000001</v>
      </c>
      <c r="I33" s="24" t="s">
        <v>44</v>
      </c>
      <c r="J33" s="24" t="s">
        <v>44</v>
      </c>
      <c r="K33" s="21">
        <v>0</v>
      </c>
      <c r="L33" s="21">
        <v>5172.250000000001</v>
      </c>
      <c r="M33" s="21">
        <f>IF(COUNT(H33,K33,L33)=3,SUM(H33,K33,L33),"n.d.")</f>
        <v>39219.54000000001</v>
      </c>
      <c r="N33" s="22">
        <v>45</v>
      </c>
      <c r="O33" s="21">
        <f>IF(COUNT(F33,M33)=2,F33-M33,"n.d.")</f>
        <v>18314.390000000014</v>
      </c>
      <c r="P33" s="22">
        <f>IF(COUNT(G33,N33)=2,G33-N33,"n.d.")</f>
        <v>103</v>
      </c>
      <c r="Q33" s="20">
        <f>SUMIFS('Taux'!$D$6:$D$10,'Taux'!$A$6:$A$10,A33,'Taux'!$B$6:$B$10,D33)</f>
        <v>11.311264655</v>
      </c>
      <c r="R33" s="21">
        <f>IF(COUNT(F33,Q33)=2,F33/Q33,"n.d.")</f>
        <v>5086.4277120921115</v>
      </c>
      <c r="S33" s="21">
        <f>IF(COUNT(M33,Q33)=2,M33/Q33,"n.d.")</f>
        <v>3467.299298196821</v>
      </c>
      <c r="T33" s="23">
        <f>IF(OR(COUNT(F33,M33)&lt;&gt;2,F33=0),"n.d.",M33/F33)</f>
        <v>0.6816767079877908</v>
      </c>
      <c r="U33" s="23">
        <f>IF(OR(COUNT(G33,N33)&lt;&gt;2,G33=0),"n.d.",N33/G33)</f>
        <v>0.30405405405405406</v>
      </c>
      <c r="V33" s="21">
        <v>39219.54000000001</v>
      </c>
      <c r="W33" s="16" t="s">
        <v>119</v>
      </c>
    </row>
    <row r="34" spans="1:23" ht="19" customHeight="1">
      <c r="A34" s="16" t="s">
        <v>9</v>
      </c>
      <c r="B34" s="16" t="s">
        <v>68</v>
      </c>
      <c r="C34" s="16" t="s">
        <v>69</v>
      </c>
      <c r="D34" s="16" t="s">
        <v>15</v>
      </c>
      <c r="E34" s="25">
        <v>46143</v>
      </c>
      <c r="F34" s="21">
        <v>144549.53</v>
      </c>
      <c r="G34" s="22">
        <v>129</v>
      </c>
      <c r="H34" s="21">
        <v>93327.59</v>
      </c>
      <c r="I34" s="24" t="s">
        <v>44</v>
      </c>
      <c r="J34" s="24" t="s">
        <v>44</v>
      </c>
      <c r="K34" s="21">
        <v>0</v>
      </c>
      <c r="L34" s="21">
        <v>22256.82</v>
      </c>
      <c r="M34" s="21">
        <f>IF(COUNT(H34,K34,L34)=3,SUM(H34,K34,L34),"n.d.")</f>
        <v>115584.41</v>
      </c>
      <c r="N34" s="22">
        <v>24</v>
      </c>
      <c r="O34" s="21">
        <f>IF(COUNT(F34,M34)=2,F34-M34,"n.d.")</f>
        <v>28965.120000000024</v>
      </c>
      <c r="P34" s="22">
        <f>IF(COUNT(G34,N34)=2,G34-N34,"n.d.")</f>
        <v>105</v>
      </c>
      <c r="Q34" s="20">
        <f>SUMIFS('Taux'!$D$6:$D$10,'Taux'!$A$6:$A$10,A34,'Taux'!$B$6:$B$10,D34)</f>
        <v>11.311264655</v>
      </c>
      <c r="R34" s="21">
        <f>IF(COUNT(F34,Q34)=2,F34/Q34,"n.d.")</f>
        <v>12779.2545227119</v>
      </c>
      <c r="S34" s="21">
        <f>IF(COUNT(M34,Q34)=2,M34/Q34,"n.d.")</f>
        <v>10218.522289539693</v>
      </c>
      <c r="T34" s="23">
        <f>IF(OR(COUNT(F34,M34)&lt;&gt;2,F34=0),"n.d.",M34/F34)</f>
        <v>0.7996180271219144</v>
      </c>
      <c r="U34" s="23">
        <f>IF(OR(COUNT(G34,N34)&lt;&gt;2,G34=0),"n.d.",N34/G34)</f>
        <v>0.18604651162790697</v>
      </c>
      <c r="V34" s="21">
        <v>115584.41</v>
      </c>
      <c r="W34" s="16" t="s">
        <v>120</v>
      </c>
    </row>
    <row r="35" spans="1:23" ht="19" customHeight="1">
      <c r="A35" s="16" t="s">
        <v>9</v>
      </c>
      <c r="B35" s="16" t="s">
        <v>68</v>
      </c>
      <c r="C35" s="16" t="s">
        <v>69</v>
      </c>
      <c r="D35" s="16" t="s">
        <v>15</v>
      </c>
      <c r="E35" s="25">
        <v>46174</v>
      </c>
      <c r="F35" s="21">
        <v>64474.69000000002</v>
      </c>
      <c r="G35" s="22">
        <v>180</v>
      </c>
      <c r="H35" s="21">
        <v>10888.77</v>
      </c>
      <c r="I35" s="24" t="s">
        <v>44</v>
      </c>
      <c r="J35" s="24" t="s">
        <v>44</v>
      </c>
      <c r="K35" s="21">
        <v>0</v>
      </c>
      <c r="L35" s="21">
        <v>2473.89</v>
      </c>
      <c r="M35" s="21">
        <f>IF(COUNT(H35,K35,L35)=3,SUM(H35,K35,L35),"n.d.")</f>
        <v>13362.66</v>
      </c>
      <c r="N35" s="22">
        <v>12</v>
      </c>
      <c r="O35" s="21">
        <f>IF(COUNT(F35,M35)=2,F35-M35,"n.d.")</f>
        <v>51112.03000000001</v>
      </c>
      <c r="P35" s="22">
        <f>IF(COUNT(G35,N35)=2,G35-N35,"n.d.")</f>
        <v>168</v>
      </c>
      <c r="Q35" s="20">
        <f>SUMIFS('Taux'!$D$6:$D$10,'Taux'!$A$6:$A$10,A35,'Taux'!$B$6:$B$10,D35)</f>
        <v>11.311264655</v>
      </c>
      <c r="R35" s="21">
        <f>IF(COUNT(F35,Q35)=2,F35/Q35,"n.d.")</f>
        <v>5700.042565222784</v>
      </c>
      <c r="S35" s="21">
        <f>IF(COUNT(M35,Q35)=2,M35/Q35,"n.d.")</f>
        <v>1181.3586197095306</v>
      </c>
      <c r="T35" s="23">
        <f>IF(OR(COUNT(F35,M35)&lt;&gt;2,F35=0),"n.d.",M35/F35)</f>
        <v>0.20725435050560145</v>
      </c>
      <c r="U35" s="23">
        <f>IF(OR(COUNT(G35,N35)&lt;&gt;2,G35=0),"n.d.",N35/G35)</f>
        <v>0.06666666666666667</v>
      </c>
      <c r="V35" s="21">
        <v>13362.66</v>
      </c>
      <c r="W35" s="16" t="s">
        <v>121</v>
      </c>
    </row>
    <row r="36" spans="1:23" ht="19" customHeight="1">
      <c r="A36" s="16" t="s">
        <v>9</v>
      </c>
      <c r="B36" s="16" t="s">
        <v>74</v>
      </c>
      <c r="C36" s="16" t="s">
        <v>75</v>
      </c>
      <c r="D36" s="16" t="s">
        <v>17</v>
      </c>
      <c r="E36" s="25">
        <v>46023</v>
      </c>
      <c r="F36" s="21">
        <v>248370.93</v>
      </c>
      <c r="G36" s="22">
        <v>544</v>
      </c>
      <c r="H36" s="21">
        <v>230915.98</v>
      </c>
      <c r="I36" s="24" t="s">
        <v>44</v>
      </c>
      <c r="J36" s="24" t="s">
        <v>44</v>
      </c>
      <c r="K36" s="21">
        <v>0</v>
      </c>
      <c r="L36" s="21">
        <v>17454.95</v>
      </c>
      <c r="M36" s="21">
        <f>IF(COUNT(H36,K36,L36)=3,SUM(H36,K36,L36),"n.d.")</f>
        <v>248370.92999999993</v>
      </c>
      <c r="N36" s="22">
        <v>544</v>
      </c>
      <c r="O36" s="21">
        <f>IF(COUNT(F36,M36)=2,F36-M36,"n.d.")</f>
        <v>2.9103830456733704e-11</v>
      </c>
      <c r="P36" s="22">
        <f>IF(COUNT(G36,N36)=2,G36-N36,"n.d.")</f>
        <v>0</v>
      </c>
      <c r="Q36" s="20">
        <f>SUMIFS('Taux'!$D$6:$D$10,'Taux'!$A$6:$A$10,A36,'Taux'!$B$6:$B$10,D36)</f>
        <v>11.078026565</v>
      </c>
      <c r="R36" s="21">
        <f>IF(COUNT(F36,Q36)=2,F36/Q36,"n.d.")</f>
        <v>22420.14212032177</v>
      </c>
      <c r="S36" s="21">
        <f>IF(COUNT(M36,Q36)=2,M36/Q36,"n.d.")</f>
        <v>22420.142120321765</v>
      </c>
      <c r="T36" s="23">
        <f>IF(OR(COUNT(F36,M36)&lt;&gt;2,F36=0),"n.d.",M36/F36)</f>
        <v>0.9999999999999999</v>
      </c>
      <c r="U36" s="23">
        <f>IF(OR(COUNT(G36,N36)&lt;&gt;2,G36=0),"n.d.",N36/G36)</f>
        <v>1.0</v>
      </c>
      <c r="V36" s="21">
        <v>248370.9299999999</v>
      </c>
      <c r="W36" s="16" t="s">
        <v>122</v>
      </c>
    </row>
    <row r="37" spans="1:23" ht="19" customHeight="1">
      <c r="A37" s="16" t="s">
        <v>9</v>
      </c>
      <c r="B37" s="16" t="s">
        <v>74</v>
      </c>
      <c r="C37" s="16" t="s">
        <v>75</v>
      </c>
      <c r="D37" s="16" t="s">
        <v>17</v>
      </c>
      <c r="E37" s="25">
        <v>46054</v>
      </c>
      <c r="F37" s="21">
        <v>119781.77</v>
      </c>
      <c r="G37" s="22">
        <v>546</v>
      </c>
      <c r="H37" s="21">
        <v>97350.67999999998</v>
      </c>
      <c r="I37" s="24" t="s">
        <v>44</v>
      </c>
      <c r="J37" s="24" t="s">
        <v>44</v>
      </c>
      <c r="K37" s="21">
        <v>0</v>
      </c>
      <c r="L37" s="21">
        <v>22431.09</v>
      </c>
      <c r="M37" s="21">
        <f>IF(COUNT(H37,K37,L37)=3,SUM(H37,K37,L37),"n.d.")</f>
        <v>119781.76999999997</v>
      </c>
      <c r="N37" s="22">
        <v>546</v>
      </c>
      <c r="O37" s="21">
        <f>IF(COUNT(F37,M37)=2,F37-M37,"n.d.")</f>
        <v>1.4551915228366852e-11</v>
      </c>
      <c r="P37" s="22">
        <f>IF(COUNT(G37,N37)=2,G37-N37,"n.d.")</f>
        <v>0</v>
      </c>
      <c r="Q37" s="20">
        <f>SUMIFS('Taux'!$D$6:$D$10,'Taux'!$A$6:$A$10,A37,'Taux'!$B$6:$B$10,D37)</f>
        <v>11.078026565</v>
      </c>
      <c r="R37" s="21">
        <f>IF(COUNT(F37,Q37)=2,F37/Q37,"n.d.")</f>
        <v>10812.55486229284</v>
      </c>
      <c r="S37" s="21">
        <f>IF(COUNT(M37,Q37)=2,M37/Q37,"n.d.")</f>
        <v>10812.554862292838</v>
      </c>
      <c r="T37" s="23">
        <f>IF(OR(COUNT(F37,M37)&lt;&gt;2,F37=0),"n.d.",M37/F37)</f>
        <v>0.9999999999999999</v>
      </c>
      <c r="U37" s="23">
        <f>IF(OR(COUNT(G37,N37)&lt;&gt;2,G37=0),"n.d.",N37/G37)</f>
        <v>1.0</v>
      </c>
      <c r="V37" s="21">
        <v>119781.77</v>
      </c>
      <c r="W37" s="16" t="s">
        <v>123</v>
      </c>
    </row>
    <row r="38" spans="1:23" ht="19" customHeight="1">
      <c r="A38" s="16" t="s">
        <v>9</v>
      </c>
      <c r="B38" s="16" t="s">
        <v>74</v>
      </c>
      <c r="C38" s="16" t="s">
        <v>75</v>
      </c>
      <c r="D38" s="16" t="s">
        <v>17</v>
      </c>
      <c r="E38" s="25">
        <v>46082</v>
      </c>
      <c r="F38" s="21">
        <v>720809.2200000002</v>
      </c>
      <c r="G38" s="22">
        <v>657</v>
      </c>
      <c r="H38" s="21">
        <v>294604.2400000002</v>
      </c>
      <c r="I38" s="24" t="s">
        <v>44</v>
      </c>
      <c r="J38" s="24" t="s">
        <v>44</v>
      </c>
      <c r="K38" s="21">
        <v>0</v>
      </c>
      <c r="L38" s="21">
        <v>424288.25</v>
      </c>
      <c r="M38" s="21">
        <f>IF(COUNT(H38,K38,L38)=3,SUM(H38,K38,L38),"n.d.")</f>
        <v>718892.4900000002</v>
      </c>
      <c r="N38" s="22">
        <v>634</v>
      </c>
      <c r="O38" s="21">
        <f>IF(COUNT(F38,M38)=2,F38-M38,"n.d.")</f>
        <v>1916.7299999999814</v>
      </c>
      <c r="P38" s="22">
        <f>IF(COUNT(G38,N38)=2,G38-N38,"n.d.")</f>
        <v>23</v>
      </c>
      <c r="Q38" s="20">
        <f>SUMIFS('Taux'!$D$6:$D$10,'Taux'!$A$6:$A$10,A38,'Taux'!$B$6:$B$10,D38)</f>
        <v>11.078026565</v>
      </c>
      <c r="R38" s="21">
        <f>IF(COUNT(F38,Q38)=2,F38/Q38,"n.d.")</f>
        <v>65066.57262199842</v>
      </c>
      <c r="S38" s="21">
        <f>IF(COUNT(M38,Q38)=2,M38/Q38,"n.d.")</f>
        <v>64893.551733417444</v>
      </c>
      <c r="T38" s="23">
        <f>IF(OR(COUNT(F38,M38)&lt;&gt;2,F38=0),"n.d.",M38/F38)</f>
        <v>0.9973408636476654</v>
      </c>
      <c r="U38" s="23">
        <f>IF(OR(COUNT(G38,N38)&lt;&gt;2,G38=0),"n.d.",N38/G38)</f>
        <v>0.9649923896499238</v>
      </c>
      <c r="V38" s="21">
        <v>718892.4900000002</v>
      </c>
      <c r="W38" s="16" t="s">
        <v>124</v>
      </c>
    </row>
    <row r="39" spans="1:23" ht="19" customHeight="1">
      <c r="A39" s="16" t="s">
        <v>9</v>
      </c>
      <c r="B39" s="16" t="s">
        <v>74</v>
      </c>
      <c r="C39" s="16" t="s">
        <v>75</v>
      </c>
      <c r="D39" s="16" t="s">
        <v>17</v>
      </c>
      <c r="E39" s="25">
        <v>46113</v>
      </c>
      <c r="F39" s="21">
        <v>384234.17</v>
      </c>
      <c r="G39" s="22">
        <v>601</v>
      </c>
      <c r="H39" s="21">
        <v>367142.1100000003</v>
      </c>
      <c r="I39" s="24" t="s">
        <v>44</v>
      </c>
      <c r="J39" s="24" t="s">
        <v>44</v>
      </c>
      <c r="K39" s="21">
        <v>0</v>
      </c>
      <c r="L39" s="21">
        <v>12497.66</v>
      </c>
      <c r="M39" s="21">
        <f>IF(COUNT(H39,K39,L39)=3,SUM(H39,K39,L39),"n.d.")</f>
        <v>379639.77000000025</v>
      </c>
      <c r="N39" s="22">
        <v>559</v>
      </c>
      <c r="O39" s="21">
        <f>IF(COUNT(F39,M39)=2,F39-M39,"n.d.")</f>
        <v>4594.39999999979</v>
      </c>
      <c r="P39" s="22">
        <f>IF(COUNT(G39,N39)=2,G39-N39,"n.d.")</f>
        <v>42</v>
      </c>
      <c r="Q39" s="20">
        <f>SUMIFS('Taux'!$D$6:$D$10,'Taux'!$A$6:$A$10,A39,'Taux'!$B$6:$B$10,D39)</f>
        <v>11.078026565</v>
      </c>
      <c r="R39" s="21">
        <f>IF(COUNT(F39,Q39)=2,F39/Q39,"n.d.")</f>
        <v>34684.351743112114</v>
      </c>
      <c r="S39" s="21">
        <f>IF(COUNT(M39,Q39)=2,M39/Q39,"n.d.")</f>
        <v>34269.62083657002</v>
      </c>
      <c r="T39" s="23">
        <f>IF(OR(COUNT(F39,M39)&lt;&gt;2,F39=0),"n.d.",M39/F39)</f>
        <v>0.9880427084348073</v>
      </c>
      <c r="U39" s="23">
        <f>IF(OR(COUNT(G39,N39)&lt;&gt;2,G39=0),"n.d.",N39/G39)</f>
        <v>0.930116472545757</v>
      </c>
      <c r="V39" s="21">
        <v>379639.7700000003</v>
      </c>
      <c r="W39" s="16" t="s">
        <v>125</v>
      </c>
    </row>
    <row r="40" spans="1:23" ht="19" customHeight="1">
      <c r="A40" s="16" t="s">
        <v>9</v>
      </c>
      <c r="B40" s="16" t="s">
        <v>74</v>
      </c>
      <c r="C40" s="16" t="s">
        <v>75</v>
      </c>
      <c r="D40" s="16" t="s">
        <v>17</v>
      </c>
      <c r="E40" s="25">
        <v>46143</v>
      </c>
      <c r="F40" s="21">
        <v>137125.2699999999</v>
      </c>
      <c r="G40" s="22">
        <v>518</v>
      </c>
      <c r="H40" s="21">
        <v>125498.9999999999</v>
      </c>
      <c r="I40" s="24" t="s">
        <v>44</v>
      </c>
      <c r="J40" s="24" t="s">
        <v>44</v>
      </c>
      <c r="K40" s="21">
        <v>0</v>
      </c>
      <c r="L40" s="21">
        <v>5375.139999999999</v>
      </c>
      <c r="M40" s="21">
        <f>IF(COUNT(H40,K40,L40)=3,SUM(H40,K40,L40),"n.d.")</f>
        <v>130874.1399999999</v>
      </c>
      <c r="N40" s="22">
        <v>463</v>
      </c>
      <c r="O40" s="21">
        <f>IF(COUNT(F40,M40)=2,F40-M40,"n.d.")</f>
        <v>6251.130000000005</v>
      </c>
      <c r="P40" s="22">
        <f>IF(COUNT(G40,N40)=2,G40-N40,"n.d.")</f>
        <v>55</v>
      </c>
      <c r="Q40" s="20">
        <f>SUMIFS('Taux'!$D$6:$D$10,'Taux'!$A$6:$A$10,A40,'Taux'!$B$6:$B$10,D40)</f>
        <v>11.078026565</v>
      </c>
      <c r="R40" s="21">
        <f>IF(COUNT(F40,Q40)=2,F40/Q40,"n.d.")</f>
        <v>12378.13153772663</v>
      </c>
      <c r="S40" s="21">
        <f>IF(COUNT(M40,Q40)=2,M40/Q40,"n.d.")</f>
        <v>11813.849626745312</v>
      </c>
      <c r="T40" s="23">
        <f>IF(OR(COUNT(F40,M40)&lt;&gt;2,F40=0),"n.d.",M40/F40)</f>
        <v>0.9544129976918185</v>
      </c>
      <c r="U40" s="23">
        <f>IF(OR(COUNT(G40,N40)&lt;&gt;2,G40=0),"n.d.",N40/G40)</f>
        <v>0.8938223938223938</v>
      </c>
      <c r="V40" s="21">
        <v>130874.1399999999</v>
      </c>
      <c r="W40" s="16" t="s">
        <v>126</v>
      </c>
    </row>
    <row r="41" spans="1:23" ht="19" customHeight="1">
      <c r="A41" s="16" t="s">
        <v>9</v>
      </c>
      <c r="B41" s="16" t="s">
        <v>74</v>
      </c>
      <c r="C41" s="16" t="s">
        <v>75</v>
      </c>
      <c r="D41" s="16" t="s">
        <v>17</v>
      </c>
      <c r="E41" s="25">
        <v>46174</v>
      </c>
      <c r="F41" s="21">
        <v>277595.5899999997</v>
      </c>
      <c r="G41" s="22">
        <v>635</v>
      </c>
      <c r="H41" s="21">
        <v>124033.42</v>
      </c>
      <c r="I41" s="24" t="s">
        <v>44</v>
      </c>
      <c r="J41" s="24" t="s">
        <v>44</v>
      </c>
      <c r="K41" s="21">
        <v>0</v>
      </c>
      <c r="L41" s="21">
        <v>9680.370000000001</v>
      </c>
      <c r="M41" s="21">
        <f>IF(COUNT(H41,K41,L41)=3,SUM(H41,K41,L41),"n.d.")</f>
        <v>133713.79000000004</v>
      </c>
      <c r="N41" s="22">
        <v>268</v>
      </c>
      <c r="O41" s="21">
        <f>IF(COUNT(F41,M41)=2,F41-M41,"n.d.")</f>
        <v>143881.7999999997</v>
      </c>
      <c r="P41" s="22">
        <f>IF(COUNT(G41,N41)=2,G41-N41,"n.d.")</f>
        <v>367</v>
      </c>
      <c r="Q41" s="20">
        <f>SUMIFS('Taux'!$D$6:$D$10,'Taux'!$A$6:$A$10,A41,'Taux'!$B$6:$B$10,D41)</f>
        <v>11.078026565</v>
      </c>
      <c r="R41" s="21">
        <f>IF(COUNT(F41,Q41)=2,F41/Q41,"n.d.")</f>
        <v>25058.2166752549</v>
      </c>
      <c r="S41" s="21">
        <f>IF(COUNT(M41,Q41)=2,M41/Q41,"n.d.")</f>
        <v>12070.181382526775</v>
      </c>
      <c r="T41" s="23">
        <f>IF(OR(COUNT(F41,M41)&lt;&gt;2,F41=0),"n.d.",M41/F41)</f>
        <v>0.48168557000491313</v>
      </c>
      <c r="U41" s="23">
        <f>IF(OR(COUNT(G41,N41)&lt;&gt;2,G41=0),"n.d.",N41/G41)</f>
        <v>0.4220472440944882</v>
      </c>
      <c r="V41" s="21">
        <v>133713.79</v>
      </c>
      <c r="W41" s="16" t="s">
        <v>127</v>
      </c>
    </row>
  </sheetData>
  <conditionalFormatting sqref="A6:W41">
    <cfRule type="containsText" dxfId="0" priority="1" operator="containsText" text="n.d.">
      <formula>NOT(ISERROR(SEARCH("n.d.",A6)))</formula>
    </cfRule>
  </conditionalFormatting>
  <pageMargins left="0.3" right="0.3" top="0.4" bottom="0.4" header="0.3" footer="0.3"/>
  <pageSetup paperSize="9" fitToHeight="0" orientation="landscape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dimension ref="A2:AB26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9" customHeight="1"/>
  <cols>
    <col min="1" max="1" width="15.7109375" style="16" customWidth="1"/>
    <col min="2" max="2" width="12.7109375" style="16" customWidth="1"/>
    <col min="3" max="3" width="22.7109375" style="16" customWidth="1"/>
    <col min="4" max="4" width="12.7109375" style="16" customWidth="1"/>
    <col min="5" max="5" width="16.7109375" style="16" customWidth="1"/>
    <col min="6" max="19" width="21.7109375" style="16" customWidth="1"/>
    <col min="20" max="20" width="58.7109375" style="16" customWidth="1"/>
    <col min="21" max="28" width="18.7109375" style="16" customWidth="1"/>
  </cols>
  <sheetData>
    <row r="2" spans="1:20" ht="19" customHeight="1">
      <c r="A2" s="17" t="s">
        <v>22</v>
      </c>
    </row>
    <row r="3" spans="1:20" ht="19" customHeight="1">
      <c r="A3" s="18" t="s">
        <v>23</v>
      </c>
    </row>
    <row r="5" spans="1:20" ht="42" customHeight="1">
      <c r="A5" s="19" t="s">
        <v>3</v>
      </c>
      <c r="B5" s="19" t="s">
        <v>24</v>
      </c>
      <c r="C5" s="19" t="s">
        <v>25</v>
      </c>
      <c r="D5" s="19" t="s">
        <v>4</v>
      </c>
      <c r="E5" s="19" t="s">
        <v>26</v>
      </c>
      <c r="F5" s="19" t="s">
        <v>27</v>
      </c>
      <c r="G5" s="19" t="s">
        <v>28</v>
      </c>
      <c r="H5" s="19" t="s">
        <v>29</v>
      </c>
      <c r="I5" s="19" t="s">
        <v>30</v>
      </c>
      <c r="J5" s="19" t="s">
        <v>31</v>
      </c>
      <c r="K5" s="19" t="s">
        <v>32</v>
      </c>
      <c r="L5" s="19" t="s">
        <v>33</v>
      </c>
      <c r="M5" s="19" t="s">
        <v>34</v>
      </c>
      <c r="N5" s="19" t="s">
        <v>35</v>
      </c>
      <c r="O5" s="19" t="s">
        <v>36</v>
      </c>
      <c r="P5" s="19" t="s">
        <v>37</v>
      </c>
      <c r="Q5" s="19" t="s">
        <v>38</v>
      </c>
      <c r="R5" s="19" t="s">
        <v>39</v>
      </c>
      <c r="S5" s="19" t="s">
        <v>40</v>
      </c>
      <c r="T5" s="19" t="s">
        <v>8</v>
      </c>
    </row>
    <row r="6" spans="1:20" ht="19" customHeight="1">
      <c r="A6" s="16" t="s">
        <v>9</v>
      </c>
      <c r="B6" s="16" t="s">
        <v>41</v>
      </c>
      <c r="C6" s="16" t="s">
        <v>42</v>
      </c>
      <c r="D6" s="16" t="s">
        <v>13</v>
      </c>
      <c r="E6" s="16" t="s">
        <v>43</v>
      </c>
      <c r="F6" s="21">
        <v>1091685.037869048</v>
      </c>
      <c r="G6" s="21">
        <v>1034853.737869048</v>
      </c>
      <c r="H6" s="21">
        <v>0</v>
      </c>
      <c r="I6" s="21">
        <v>50654.21000000002</v>
      </c>
      <c r="J6" s="24" t="s">
        <v>44</v>
      </c>
      <c r="K6" s="24" t="s">
        <v>44</v>
      </c>
      <c r="L6" s="21">
        <f>IF(COUNT(G6,H6,I6)=3,SUM(G6,H6,I6),"n.d.")</f>
        <v>1085507.9478690478</v>
      </c>
      <c r="M6" s="21">
        <f>IF(COUNT(F6,L6)=2,F6-L6,"n.d.")</f>
        <v>6177.090000000084</v>
      </c>
      <c r="N6" s="21">
        <f>IF(COUNT(M6,H6)=2,M6+H6,"n.d.")</f>
        <v>6177.090000000084</v>
      </c>
      <c r="O6" s="21">
        <v>1085507.947869048</v>
      </c>
      <c r="P6" s="21">
        <v>6177.090000000084</v>
      </c>
      <c r="Q6" s="20">
        <f>SUMIFS('Taux'!$D$6:$D$10,'Taux'!$A$6:$A$10,A6,'Taux'!$B$6:$B$10,D6)</f>
        <v>1</v>
      </c>
      <c r="R6" s="21">
        <f>IF(COUNT(M6,Q6)=2,M6/Q6,"n.d.")</f>
        <v>6177.090000000084</v>
      </c>
      <c r="S6" s="21">
        <f>IF(COUNT(N6,Q6)=2,N6/Q6,"n.d.")</f>
        <v>6177.090000000084</v>
      </c>
      <c r="T6" s="16" t="s">
        <v>45</v>
      </c>
    </row>
    <row r="7" spans="1:20" ht="19" customHeight="1">
      <c r="A7" s="16" t="s">
        <v>9</v>
      </c>
      <c r="B7" s="16" t="s">
        <v>41</v>
      </c>
      <c r="C7" s="16" t="s">
        <v>42</v>
      </c>
      <c r="D7" s="16" t="s">
        <v>13</v>
      </c>
      <c r="E7" s="16" t="s">
        <v>46</v>
      </c>
      <c r="F7" s="21">
        <v>245197.5900000002</v>
      </c>
      <c r="G7" s="21">
        <v>244204.3300000002</v>
      </c>
      <c r="H7" s="21">
        <v>0</v>
      </c>
      <c r="I7" s="21">
        <v>563.38</v>
      </c>
      <c r="J7" s="24" t="s">
        <v>44</v>
      </c>
      <c r="K7" s="24" t="s">
        <v>44</v>
      </c>
      <c r="L7" s="21">
        <f>IF(COUNT(G7,H7,I7)=3,SUM(G7,H7,I7),"n.d.")</f>
        <v>244767.71000000025</v>
      </c>
      <c r="M7" s="21">
        <f>IF(COUNT(F7,L7)=2,F7-L7,"n.d.")</f>
        <v>429.87999999994645</v>
      </c>
      <c r="N7" s="21">
        <f>IF(COUNT(M7,H7)=2,M7+H7,"n.d.")</f>
        <v>429.87999999994645</v>
      </c>
      <c r="O7" s="21">
        <v>244767.7100000003</v>
      </c>
      <c r="P7" s="21">
        <v>429.8799999999464</v>
      </c>
      <c r="Q7" s="20">
        <f>SUMIFS('Taux'!$D$6:$D$10,'Taux'!$A$6:$A$10,A7,'Taux'!$B$6:$B$10,D7)</f>
        <v>1</v>
      </c>
      <c r="R7" s="21">
        <f>IF(COUNT(M7,Q7)=2,M7/Q7,"n.d.")</f>
        <v>429.87999999994645</v>
      </c>
      <c r="S7" s="21">
        <f>IF(COUNT(N7,Q7)=2,N7/Q7,"n.d.")</f>
        <v>429.87999999994645</v>
      </c>
      <c r="T7" s="16" t="s">
        <v>47</v>
      </c>
    </row>
    <row r="8" spans="1:20" ht="19" customHeight="1">
      <c r="A8" s="16" t="s">
        <v>9</v>
      </c>
      <c r="B8" s="16" t="s">
        <v>41</v>
      </c>
      <c r="C8" s="16" t="s">
        <v>42</v>
      </c>
      <c r="D8" s="16" t="s">
        <v>13</v>
      </c>
      <c r="E8" s="16" t="s">
        <v>48</v>
      </c>
      <c r="F8" s="21">
        <v>54745.46</v>
      </c>
      <c r="G8" s="21">
        <v>49360.14000000005</v>
      </c>
      <c r="H8" s="21">
        <v>0</v>
      </c>
      <c r="I8" s="21">
        <v>0</v>
      </c>
      <c r="J8" s="24" t="s">
        <v>44</v>
      </c>
      <c r="K8" s="24" t="s">
        <v>44</v>
      </c>
      <c r="L8" s="21">
        <f>IF(COUNT(G8,H8,I8)=3,SUM(G8,H8,I8),"n.d.")</f>
        <v>49360.14000000005</v>
      </c>
      <c r="M8" s="21">
        <f>IF(COUNT(F8,L8)=2,F8-L8,"n.d.")</f>
        <v>5385.319999999949</v>
      </c>
      <c r="N8" s="21">
        <f>IF(COUNT(M8,H8)=2,M8+H8,"n.d.")</f>
        <v>5385.319999999949</v>
      </c>
      <c r="O8" s="21">
        <v>49360.14000000005</v>
      </c>
      <c r="P8" s="21">
        <v>5385.319999999949</v>
      </c>
      <c r="Q8" s="20">
        <f>SUMIFS('Taux'!$D$6:$D$10,'Taux'!$A$6:$A$10,A8,'Taux'!$B$6:$B$10,D8)</f>
        <v>1</v>
      </c>
      <c r="R8" s="21">
        <f>IF(COUNT(M8,Q8)=2,M8/Q8,"n.d.")</f>
        <v>5385.319999999949</v>
      </c>
      <c r="S8" s="21">
        <f>IF(COUNT(N8,Q8)=2,N8/Q8,"n.d.")</f>
        <v>5385.319999999949</v>
      </c>
      <c r="T8" s="16" t="s">
        <v>49</v>
      </c>
    </row>
    <row r="9" spans="1:20" ht="19" customHeight="1">
      <c r="A9" s="16" t="s">
        <v>9</v>
      </c>
      <c r="B9" s="16" t="s">
        <v>50</v>
      </c>
      <c r="C9" s="16" t="s">
        <v>51</v>
      </c>
      <c r="D9" s="16" t="s">
        <v>13</v>
      </c>
      <c r="E9" s="16" t="s">
        <v>43</v>
      </c>
      <c r="F9" s="21">
        <v>116775257.34</v>
      </c>
      <c r="G9" s="21">
        <v>114923062.57</v>
      </c>
      <c r="H9" s="21">
        <v>1852194.77</v>
      </c>
      <c r="I9" s="21">
        <v>0</v>
      </c>
      <c r="J9" s="24" t="s">
        <v>44</v>
      </c>
      <c r="K9" s="24" t="s">
        <v>44</v>
      </c>
      <c r="L9" s="21">
        <f>IF(COUNT(G9,H9,I9)=3,SUM(G9,H9,I9),"n.d.")</f>
        <v>116775257.33999999</v>
      </c>
      <c r="M9" s="21">
        <f>IF(COUNT(F9,L9)=2,F9-L9,"n.d.")</f>
        <v>1.4901161193847656e-08</v>
      </c>
      <c r="N9" s="21">
        <f>IF(COUNT(M9,H9)=2,M9+H9,"n.d.")</f>
        <v>1852194.770000015</v>
      </c>
      <c r="O9" s="21">
        <v>116775257.34</v>
      </c>
      <c r="P9" s="21">
        <v>0</v>
      </c>
      <c r="Q9" s="20">
        <f>SUMIFS('Taux'!$D$6:$D$10,'Taux'!$A$6:$A$10,A9,'Taux'!$B$6:$B$10,D9)</f>
        <v>1</v>
      </c>
      <c r="R9" s="21">
        <f>IF(COUNT(M9,Q9)=2,M9/Q9,"n.d.")</f>
        <v>1.4901161193847656e-08</v>
      </c>
      <c r="S9" s="21">
        <f>IF(COUNT(N9,Q9)=2,N9/Q9,"n.d.")</f>
        <v>1852194.770000015</v>
      </c>
      <c r="T9" s="16" t="s">
        <v>52</v>
      </c>
    </row>
    <row r="10" spans="1:20" ht="19" customHeight="1">
      <c r="A10" s="16" t="s">
        <v>9</v>
      </c>
      <c r="B10" s="16" t="s">
        <v>50</v>
      </c>
      <c r="C10" s="16" t="s">
        <v>51</v>
      </c>
      <c r="D10" s="16" t="s">
        <v>13</v>
      </c>
      <c r="E10" s="16" t="s">
        <v>46</v>
      </c>
      <c r="F10" s="21">
        <v>12759393.33</v>
      </c>
      <c r="G10" s="21">
        <v>12398890.85</v>
      </c>
      <c r="H10" s="21">
        <v>223334.85</v>
      </c>
      <c r="I10" s="21">
        <v>0</v>
      </c>
      <c r="J10" s="24" t="s">
        <v>44</v>
      </c>
      <c r="K10" s="24" t="s">
        <v>44</v>
      </c>
      <c r="L10" s="21">
        <f>IF(COUNT(G10,H10,I10)=3,SUM(G10,H10,I10),"n.d.")</f>
        <v>12622225.699999997</v>
      </c>
      <c r="M10" s="21">
        <f>IF(COUNT(F10,L10)=2,F10-L10,"n.d.")</f>
        <v>137167.63000000268</v>
      </c>
      <c r="N10" s="21">
        <f>IF(COUNT(M10,H10)=2,M10+H10,"n.d.")</f>
        <v>360502.4800000027</v>
      </c>
      <c r="O10" s="21">
        <v>12622225.7</v>
      </c>
      <c r="P10" s="21">
        <v>137167.6300000027</v>
      </c>
      <c r="Q10" s="20">
        <f>SUMIFS('Taux'!$D$6:$D$10,'Taux'!$A$6:$A$10,A10,'Taux'!$B$6:$B$10,D10)</f>
        <v>1</v>
      </c>
      <c r="R10" s="21">
        <f>IF(COUNT(M10,Q10)=2,M10/Q10,"n.d.")</f>
        <v>137167.63000000268</v>
      </c>
      <c r="S10" s="21">
        <f>IF(COUNT(N10,Q10)=2,N10/Q10,"n.d.")</f>
        <v>360502.4800000027</v>
      </c>
      <c r="T10" s="16" t="s">
        <v>53</v>
      </c>
    </row>
    <row r="11" spans="1:20" ht="19" customHeight="1">
      <c r="A11" s="16" t="s">
        <v>9</v>
      </c>
      <c r="B11" s="16" t="s">
        <v>50</v>
      </c>
      <c r="C11" s="16" t="s">
        <v>51</v>
      </c>
      <c r="D11" s="16" t="s">
        <v>13</v>
      </c>
      <c r="E11" s="16" t="s">
        <v>48</v>
      </c>
      <c r="F11" s="21">
        <v>6678519.98</v>
      </c>
      <c r="G11" s="21">
        <v>5764071.28</v>
      </c>
      <c r="H11" s="21">
        <v>264190.09</v>
      </c>
      <c r="I11" s="21">
        <v>0</v>
      </c>
      <c r="J11" s="24" t="s">
        <v>44</v>
      </c>
      <c r="K11" s="24" t="s">
        <v>44</v>
      </c>
      <c r="L11" s="21">
        <f>IF(COUNT(G11,H11,I11)=3,SUM(G11,H11,I11),"n.d.")</f>
        <v>6028261.37</v>
      </c>
      <c r="M11" s="21">
        <f>IF(COUNT(F11,L11)=2,F11-L11,"n.d.")</f>
        <v>650258.6100000003</v>
      </c>
      <c r="N11" s="21">
        <f>IF(COUNT(M11,H11)=2,M11+H11,"n.d.")</f>
        <v>914448.7000000004</v>
      </c>
      <c r="O11" s="21">
        <v>6028261.37</v>
      </c>
      <c r="P11" s="21">
        <v>650258.6100000003</v>
      </c>
      <c r="Q11" s="20">
        <f>SUMIFS('Taux'!$D$6:$D$10,'Taux'!$A$6:$A$10,A11,'Taux'!$B$6:$B$10,D11)</f>
        <v>1</v>
      </c>
      <c r="R11" s="21">
        <f>IF(COUNT(M11,Q11)=2,M11/Q11,"n.d.")</f>
        <v>650258.6100000003</v>
      </c>
      <c r="S11" s="21">
        <f>IF(COUNT(N11,Q11)=2,N11/Q11,"n.d.")</f>
        <v>914448.7000000004</v>
      </c>
      <c r="T11" s="16" t="s">
        <v>54</v>
      </c>
    </row>
    <row r="12" spans="1:20" ht="19" customHeight="1">
      <c r="A12" s="16" t="s">
        <v>9</v>
      </c>
      <c r="B12" s="16" t="s">
        <v>55</v>
      </c>
      <c r="C12" s="16" t="s">
        <v>56</v>
      </c>
      <c r="D12" s="16" t="s">
        <v>19</v>
      </c>
      <c r="E12" s="16" t="s">
        <v>43</v>
      </c>
      <c r="F12" s="21">
        <v>28354693.2399995</v>
      </c>
      <c r="G12" s="21">
        <v>11342512.68</v>
      </c>
      <c r="H12" s="21">
        <v>4489640.28</v>
      </c>
      <c r="I12" s="21">
        <v>705346.939999964</v>
      </c>
      <c r="J12" s="24" t="s">
        <v>44</v>
      </c>
      <c r="K12" s="24" t="s">
        <v>44</v>
      </c>
      <c r="L12" s="21">
        <f>IF(COUNT(G12,H12,I12)=3,SUM(G12,H12,I12),"n.d.")</f>
        <v>16537499.899999963</v>
      </c>
      <c r="M12" s="21">
        <f>IF(COUNT(F12,L12)=2,F12-L12,"n.d.")</f>
        <v>11817193.339999536</v>
      </c>
      <c r="N12" s="21">
        <f>IF(COUNT(M12,H12)=2,M12+H12,"n.d.")</f>
        <v>16306833.619999535</v>
      </c>
      <c r="O12" s="21">
        <v>16537499.89999996</v>
      </c>
      <c r="P12" s="21">
        <v>11817193.33999953</v>
      </c>
      <c r="Q12" s="20">
        <f>SUMIFS('Taux'!$D$6:$D$10,'Taux'!$A$6:$A$10,A12,'Taux'!$B$6:$B$10,D12)</f>
        <v>18.72282849</v>
      </c>
      <c r="R12" s="21">
        <f>IF(COUNT(M12,Q12)=2,M12/Q12,"n.d.")</f>
        <v>631164.9624046487</v>
      </c>
      <c r="S12" s="21">
        <f>IF(COUNT(N12,Q12)=2,N12/Q12,"n.d.")</f>
        <v>870959.942228234</v>
      </c>
      <c r="T12" s="16" t="s">
        <v>57</v>
      </c>
    </row>
    <row r="13" spans="1:20" ht="19" customHeight="1">
      <c r="A13" s="16" t="s">
        <v>9</v>
      </c>
      <c r="B13" s="16" t="s">
        <v>55</v>
      </c>
      <c r="C13" s="16" t="s">
        <v>56</v>
      </c>
      <c r="D13" s="16" t="s">
        <v>19</v>
      </c>
      <c r="E13" s="16" t="s">
        <v>46</v>
      </c>
      <c r="F13" s="21">
        <v>30300988.4499998</v>
      </c>
      <c r="G13" s="21">
        <v>22612303.8800004</v>
      </c>
      <c r="H13" s="21">
        <v>0</v>
      </c>
      <c r="I13" s="21">
        <v>379707.170000025</v>
      </c>
      <c r="J13" s="24" t="s">
        <v>44</v>
      </c>
      <c r="K13" s="24" t="s">
        <v>44</v>
      </c>
      <c r="L13" s="21">
        <f>IF(COUNT(G13,H13,I13)=3,SUM(G13,H13,I13),"n.d.")</f>
        <v>22992011.050000425</v>
      </c>
      <c r="M13" s="21">
        <f>IF(COUNT(F13,L13)=2,F13-L13,"n.d.")</f>
        <v>7308977.399999376</v>
      </c>
      <c r="N13" s="21">
        <f>IF(COUNT(M13,H13)=2,M13+H13,"n.d.")</f>
        <v>7308977.399999376</v>
      </c>
      <c r="O13" s="21">
        <v>22992011.05000043</v>
      </c>
      <c r="P13" s="21">
        <v>7308977.399999376</v>
      </c>
      <c r="Q13" s="20">
        <f>SUMIFS('Taux'!$D$6:$D$10,'Taux'!$A$6:$A$10,A13,'Taux'!$B$6:$B$10,D13)</f>
        <v>18.72282849</v>
      </c>
      <c r="R13" s="21">
        <f>IF(COUNT(M13,Q13)=2,M13/Q13,"n.d.")</f>
        <v>390377.8429580314</v>
      </c>
      <c r="S13" s="21">
        <f>IF(COUNT(N13,Q13)=2,N13/Q13,"n.d.")</f>
        <v>390377.8429580314</v>
      </c>
      <c r="T13" s="16" t="s">
        <v>58</v>
      </c>
    </row>
    <row r="14" spans="1:20" ht="19" customHeight="1">
      <c r="A14" s="16" t="s">
        <v>9</v>
      </c>
      <c r="B14" s="16" t="s">
        <v>55</v>
      </c>
      <c r="C14" s="16" t="s">
        <v>56</v>
      </c>
      <c r="D14" s="16" t="s">
        <v>19</v>
      </c>
      <c r="E14" s="16" t="s">
        <v>48</v>
      </c>
      <c r="F14" s="21">
        <v>22015137.43999991</v>
      </c>
      <c r="G14" s="21">
        <v>9769166.46999998</v>
      </c>
      <c r="H14" s="21">
        <v>0</v>
      </c>
      <c r="I14" s="21">
        <v>193278.500000003</v>
      </c>
      <c r="J14" s="24" t="s">
        <v>44</v>
      </c>
      <c r="K14" s="24" t="s">
        <v>44</v>
      </c>
      <c r="L14" s="21">
        <f>IF(COUNT(G14,H14,I14)=3,SUM(G14,H14,I14),"n.d.")</f>
        <v>9962444.969999984</v>
      </c>
      <c r="M14" s="21">
        <f>IF(COUNT(F14,L14)=2,F14-L14,"n.d.")</f>
        <v>12052692.469999924</v>
      </c>
      <c r="N14" s="21">
        <f>IF(COUNT(M14,H14)=2,M14+H14,"n.d.")</f>
        <v>12052692.469999924</v>
      </c>
      <c r="O14" s="21">
        <v>9962444.969999984</v>
      </c>
      <c r="P14" s="21">
        <v>12052692.46999992</v>
      </c>
      <c r="Q14" s="20">
        <f>SUMIFS('Taux'!$D$6:$D$10,'Taux'!$A$6:$A$10,A14,'Taux'!$B$6:$B$10,D14)</f>
        <v>18.72282849</v>
      </c>
      <c r="R14" s="21">
        <f>IF(COUNT(M14,Q14)=2,M14/Q14,"n.d.")</f>
        <v>643743.1436407889</v>
      </c>
      <c r="S14" s="21">
        <f>IF(COUNT(N14,Q14)=2,N14/Q14,"n.d.")</f>
        <v>643743.1436407889</v>
      </c>
      <c r="T14" s="16" t="s">
        <v>59</v>
      </c>
    </row>
    <row r="15" spans="1:20" ht="19" customHeight="1">
      <c r="A15" s="16" t="s">
        <v>9</v>
      </c>
      <c r="B15" s="16" t="s">
        <v>60</v>
      </c>
      <c r="C15" s="16" t="s">
        <v>61</v>
      </c>
      <c r="D15" s="16" t="s">
        <v>10</v>
      </c>
      <c r="E15" s="16" t="s">
        <v>62</v>
      </c>
      <c r="F15" s="21">
        <v>1360.75</v>
      </c>
      <c r="G15" s="21">
        <v>1100.43</v>
      </c>
      <c r="H15" s="24" t="s">
        <v>44</v>
      </c>
      <c r="I15" s="24" t="s">
        <v>44</v>
      </c>
      <c r="J15" s="21">
        <v>0</v>
      </c>
      <c r="K15" s="21">
        <v>260.32</v>
      </c>
      <c r="L15" s="21">
        <f>IF(COUNT(G15,J15,K15)=3,SUM(G15,J15,K15),"n.d.")</f>
        <v>1360.75</v>
      </c>
      <c r="M15" s="21">
        <f>IF(COUNT(F15,L15)=2,F15-L15,"n.d.")</f>
        <v>0.0</v>
      </c>
      <c r="N15" s="21">
        <f>IF(COUNT(M15)=1,M15,"n.d.")</f>
        <v>0.0</v>
      </c>
      <c r="O15" s="21">
        <v>1360.75</v>
      </c>
      <c r="P15" s="21">
        <v>0</v>
      </c>
      <c r="Q15" s="20">
        <f>SUMIFS('Taux'!$D$6:$D$10,'Taux'!$A$6:$A$10,A15,'Taux'!$B$6:$B$10,D15)</f>
        <v>7.47467107</v>
      </c>
      <c r="R15" s="21">
        <f>IF(COUNT(M15,Q15)=2,M15/Q15,"n.d.")</f>
        <v>0.0</v>
      </c>
      <c r="S15" s="21">
        <f>IF(COUNT(N15,Q15)=2,N15/Q15,"n.d.")</f>
        <v>0.0</v>
      </c>
      <c r="T15" s="16" t="s">
        <v>63</v>
      </c>
    </row>
    <row r="16" spans="1:20" ht="19" customHeight="1">
      <c r="A16" s="16" t="s">
        <v>9</v>
      </c>
      <c r="B16" s="16" t="s">
        <v>60</v>
      </c>
      <c r="C16" s="16" t="s">
        <v>61</v>
      </c>
      <c r="D16" s="16" t="s">
        <v>10</v>
      </c>
      <c r="E16" s="16" t="s">
        <v>64</v>
      </c>
      <c r="F16" s="21">
        <v>707.71</v>
      </c>
      <c r="G16" s="21">
        <v>707.71</v>
      </c>
      <c r="H16" s="24" t="s">
        <v>44</v>
      </c>
      <c r="I16" s="24" t="s">
        <v>44</v>
      </c>
      <c r="J16" s="21">
        <v>0</v>
      </c>
      <c r="K16" s="21">
        <v>0</v>
      </c>
      <c r="L16" s="21">
        <f>IF(COUNT(G16,J16,K16)=3,SUM(G16,J16,K16),"n.d.")</f>
        <v>707.71</v>
      </c>
      <c r="M16" s="21">
        <f>IF(COUNT(F16,L16)=2,F16-L16,"n.d.")</f>
        <v>0.0</v>
      </c>
      <c r="N16" s="21">
        <f>IF(COUNT(M16)=1,M16,"n.d.")</f>
        <v>0.0</v>
      </c>
      <c r="O16" s="21">
        <v>707.71</v>
      </c>
      <c r="P16" s="21">
        <v>0</v>
      </c>
      <c r="Q16" s="20">
        <f>SUMIFS('Taux'!$D$6:$D$10,'Taux'!$A$6:$A$10,A16,'Taux'!$B$6:$B$10,D16)</f>
        <v>7.47467107</v>
      </c>
      <c r="R16" s="21">
        <f>IF(COUNT(M16,Q16)=2,M16/Q16,"n.d.")</f>
        <v>0.0</v>
      </c>
      <c r="S16" s="21">
        <f>IF(COUNT(N16,Q16)=2,N16/Q16,"n.d.")</f>
        <v>0.0</v>
      </c>
      <c r="T16" s="16" t="s">
        <v>65</v>
      </c>
    </row>
    <row r="17" spans="1:20" ht="19" customHeight="1">
      <c r="A17" s="16" t="s">
        <v>9</v>
      </c>
      <c r="B17" s="16" t="s">
        <v>60</v>
      </c>
      <c r="C17" s="16" t="s">
        <v>61</v>
      </c>
      <c r="D17" s="16" t="s">
        <v>10</v>
      </c>
      <c r="E17" s="16" t="s">
        <v>46</v>
      </c>
      <c r="F17" s="21">
        <v>979562.14</v>
      </c>
      <c r="G17" s="21">
        <v>916209.2199999997</v>
      </c>
      <c r="H17" s="24" t="s">
        <v>44</v>
      </c>
      <c r="I17" s="24" t="s">
        <v>44</v>
      </c>
      <c r="J17" s="21">
        <v>0</v>
      </c>
      <c r="K17" s="21">
        <v>63352.92000000001</v>
      </c>
      <c r="L17" s="21">
        <f>IF(COUNT(G17,J17,K17)=3,SUM(G17,J17,K17),"n.d.")</f>
        <v>979562.1399999998</v>
      </c>
      <c r="M17" s="21">
        <f>IF(COUNT(F17,L17)=2,F17-L17,"n.d.")</f>
        <v>2.3283064365386963e-10</v>
      </c>
      <c r="N17" s="21">
        <f>IF(COUNT(M17)=1,M17,"n.d.")</f>
        <v>2.3283064365386963e-10</v>
      </c>
      <c r="O17" s="21">
        <v>979562.1399999998</v>
      </c>
      <c r="P17" s="21">
        <v>0</v>
      </c>
      <c r="Q17" s="20">
        <f>SUMIFS('Taux'!$D$6:$D$10,'Taux'!$A$6:$A$10,A17,'Taux'!$B$6:$B$10,D17)</f>
        <v>7.47467107</v>
      </c>
      <c r="R17" s="21">
        <f>IF(COUNT(M17,Q17)=2,M17/Q17,"n.d.")</f>
        <v>3.1149282887958525e-11</v>
      </c>
      <c r="S17" s="21">
        <f>IF(COUNT(N17,Q17)=2,N17/Q17,"n.d.")</f>
        <v>3.1149282887958525e-11</v>
      </c>
      <c r="T17" s="16" t="s">
        <v>66</v>
      </c>
    </row>
    <row r="18" spans="1:20" ht="19" customHeight="1">
      <c r="A18" s="16" t="s">
        <v>9</v>
      </c>
      <c r="B18" s="16" t="s">
        <v>60</v>
      </c>
      <c r="C18" s="16" t="s">
        <v>61</v>
      </c>
      <c r="D18" s="16" t="s">
        <v>10</v>
      </c>
      <c r="E18" s="16" t="s">
        <v>48</v>
      </c>
      <c r="F18" s="21">
        <v>860922.6800000001</v>
      </c>
      <c r="G18" s="21">
        <v>432030.6900000002</v>
      </c>
      <c r="H18" s="24" t="s">
        <v>44</v>
      </c>
      <c r="I18" s="24" t="s">
        <v>44</v>
      </c>
      <c r="J18" s="21">
        <v>0</v>
      </c>
      <c r="K18" s="21">
        <v>246594.18</v>
      </c>
      <c r="L18" s="21">
        <f>IF(COUNT(G18,J18,K18)=3,SUM(G18,J18,K18),"n.d.")</f>
        <v>678624.8700000002</v>
      </c>
      <c r="M18" s="21">
        <f>IF(COUNT(F18,L18)=2,F18-L18,"n.d.")</f>
        <v>182297.80999999982</v>
      </c>
      <c r="N18" s="21">
        <f>IF(COUNT(M18)=1,M18,"n.d.")</f>
        <v>182297.80999999982</v>
      </c>
      <c r="O18" s="21">
        <v>678624.8700000002</v>
      </c>
      <c r="P18" s="21">
        <v>182297.8099999998</v>
      </c>
      <c r="Q18" s="20">
        <f>SUMIFS('Taux'!$D$6:$D$10,'Taux'!$A$6:$A$10,A18,'Taux'!$B$6:$B$10,D18)</f>
        <v>7.47467107</v>
      </c>
      <c r="R18" s="21">
        <f>IF(COUNT(M18,Q18)=2,M18/Q18,"n.d.")</f>
        <v>24388.740092077365</v>
      </c>
      <c r="S18" s="21">
        <f>IF(COUNT(N18,Q18)=2,N18/Q18,"n.d.")</f>
        <v>24388.740092077365</v>
      </c>
      <c r="T18" s="16" t="s">
        <v>67</v>
      </c>
    </row>
    <row r="19" spans="1:20" ht="19" customHeight="1">
      <c r="A19" s="16" t="s">
        <v>9</v>
      </c>
      <c r="B19" s="16" t="s">
        <v>68</v>
      </c>
      <c r="C19" s="16" t="s">
        <v>69</v>
      </c>
      <c r="D19" s="16" t="s">
        <v>15</v>
      </c>
      <c r="E19" s="16" t="s">
        <v>62</v>
      </c>
      <c r="F19" s="21">
        <v>0</v>
      </c>
      <c r="G19" s="21">
        <v>0</v>
      </c>
      <c r="H19" s="24" t="s">
        <v>44</v>
      </c>
      <c r="I19" s="24" t="s">
        <v>44</v>
      </c>
      <c r="J19" s="21">
        <v>0</v>
      </c>
      <c r="K19" s="21">
        <v>0</v>
      </c>
      <c r="L19" s="21">
        <f>IF(COUNT(G19,J19,K19)=3,SUM(G19,J19,K19),"n.d.")</f>
        <v>0</v>
      </c>
      <c r="M19" s="21">
        <f>IF(COUNT(F19,L19)=2,F19-L19,"n.d.")</f>
        <v>0</v>
      </c>
      <c r="N19" s="21">
        <f>IF(COUNT(M19)=1,M19,"n.d.")</f>
        <v>0</v>
      </c>
      <c r="O19" s="21">
        <v>0</v>
      </c>
      <c r="P19" s="21">
        <v>0</v>
      </c>
      <c r="Q19" s="20">
        <f>SUMIFS('Taux'!$D$6:$D$10,'Taux'!$A$6:$A$10,A19,'Taux'!$B$6:$B$10,D19)</f>
        <v>11.311264655</v>
      </c>
      <c r="R19" s="21">
        <f>IF(COUNT(M19,Q19)=2,M19/Q19,"n.d.")</f>
        <v>0.0</v>
      </c>
      <c r="S19" s="21">
        <f>IF(COUNT(N19,Q19)=2,N19/Q19,"n.d.")</f>
        <v>0.0</v>
      </c>
      <c r="T19" s="16" t="s">
        <v>70</v>
      </c>
    </row>
    <row r="20" spans="1:20" ht="19" customHeight="1">
      <c r="A20" s="16" t="s">
        <v>9</v>
      </c>
      <c r="B20" s="16" t="s">
        <v>68</v>
      </c>
      <c r="C20" s="16" t="s">
        <v>69</v>
      </c>
      <c r="D20" s="16" t="s">
        <v>15</v>
      </c>
      <c r="E20" s="16" t="s">
        <v>64</v>
      </c>
      <c r="F20" s="21">
        <v>19392.95</v>
      </c>
      <c r="G20" s="21">
        <v>18849.71</v>
      </c>
      <c r="H20" s="24" t="s">
        <v>44</v>
      </c>
      <c r="I20" s="24" t="s">
        <v>44</v>
      </c>
      <c r="J20" s="21">
        <v>0</v>
      </c>
      <c r="K20" s="21">
        <v>543.24</v>
      </c>
      <c r="L20" s="21">
        <f>IF(COUNT(G20,J20,K20)=3,SUM(G20,J20,K20),"n.d.")</f>
        <v>19392.95</v>
      </c>
      <c r="M20" s="21">
        <f>IF(COUNT(F20,L20)=2,F20-L20,"n.d.")</f>
        <v>0.0</v>
      </c>
      <c r="N20" s="21">
        <f>IF(COUNT(M20)=1,M20,"n.d.")</f>
        <v>0.0</v>
      </c>
      <c r="O20" s="21">
        <v>19392.95</v>
      </c>
      <c r="P20" s="21">
        <v>0</v>
      </c>
      <c r="Q20" s="20">
        <f>SUMIFS('Taux'!$D$6:$D$10,'Taux'!$A$6:$A$10,A20,'Taux'!$B$6:$B$10,D20)</f>
        <v>11.311264655</v>
      </c>
      <c r="R20" s="21">
        <f>IF(COUNT(M20,Q20)=2,M20/Q20,"n.d.")</f>
        <v>0.0</v>
      </c>
      <c r="S20" s="21">
        <f>IF(COUNT(N20,Q20)=2,N20/Q20,"n.d.")</f>
        <v>0.0</v>
      </c>
      <c r="T20" s="16" t="s">
        <v>71</v>
      </c>
    </row>
    <row r="21" spans="1:20" ht="19" customHeight="1">
      <c r="A21" s="16" t="s">
        <v>9</v>
      </c>
      <c r="B21" s="16" t="s">
        <v>68</v>
      </c>
      <c r="C21" s="16" t="s">
        <v>69</v>
      </c>
      <c r="D21" s="16" t="s">
        <v>15</v>
      </c>
      <c r="E21" s="16" t="s">
        <v>46</v>
      </c>
      <c r="F21" s="21">
        <v>1208230.41</v>
      </c>
      <c r="G21" s="21">
        <v>422096.93</v>
      </c>
      <c r="H21" s="24" t="s">
        <v>44</v>
      </c>
      <c r="I21" s="24" t="s">
        <v>44</v>
      </c>
      <c r="J21" s="21">
        <v>0</v>
      </c>
      <c r="K21" s="21">
        <v>786133.4799999997</v>
      </c>
      <c r="L21" s="21">
        <f>IF(COUNT(G21,J21,K21)=3,SUM(G21,J21,K21),"n.d.")</f>
        <v>1208230.4099999997</v>
      </c>
      <c r="M21" s="21">
        <f>IF(COUNT(F21,L21)=2,F21-L21,"n.d.")</f>
        <v>4.656612873077393e-10</v>
      </c>
      <c r="N21" s="21">
        <f>IF(COUNT(M21)=1,M21,"n.d.")</f>
        <v>4.656612873077393e-10</v>
      </c>
      <c r="O21" s="21">
        <v>1208230.41</v>
      </c>
      <c r="P21" s="21">
        <v>0</v>
      </c>
      <c r="Q21" s="20">
        <f>SUMIFS('Taux'!$D$6:$D$10,'Taux'!$A$6:$A$10,A21,'Taux'!$B$6:$B$10,D21)</f>
        <v>11.311264655</v>
      </c>
      <c r="R21" s="21">
        <f>IF(COUNT(M21,Q21)=2,M21/Q21,"n.d.")</f>
        <v>4.116792432240542e-11</v>
      </c>
      <c r="S21" s="21">
        <f>IF(COUNT(N21,Q21)=2,N21/Q21,"n.d.")</f>
        <v>4.116792432240542e-11</v>
      </c>
      <c r="T21" s="16" t="s">
        <v>72</v>
      </c>
    </row>
    <row r="22" spans="1:20" ht="19" customHeight="1">
      <c r="A22" s="16" t="s">
        <v>9</v>
      </c>
      <c r="B22" s="16" t="s">
        <v>68</v>
      </c>
      <c r="C22" s="16" t="s">
        <v>69</v>
      </c>
      <c r="D22" s="16" t="s">
        <v>15</v>
      </c>
      <c r="E22" s="16" t="s">
        <v>48</v>
      </c>
      <c r="F22" s="21">
        <v>695256.0099999999</v>
      </c>
      <c r="G22" s="21">
        <v>508406.14</v>
      </c>
      <c r="H22" s="24" t="s">
        <v>44</v>
      </c>
      <c r="I22" s="24" t="s">
        <v>44</v>
      </c>
      <c r="J22" s="21">
        <v>0</v>
      </c>
      <c r="K22" s="21">
        <v>64601.81</v>
      </c>
      <c r="L22" s="21">
        <f>IF(COUNT(G22,J22,K22)=3,SUM(G22,J22,K22),"n.d.")</f>
        <v>573007.95</v>
      </c>
      <c r="M22" s="21">
        <f>IF(COUNT(F22,L22)=2,F22-L22,"n.d.")</f>
        <v>122248.05999999994</v>
      </c>
      <c r="N22" s="21">
        <f>IF(COUNT(M22)=1,M22,"n.d.")</f>
        <v>122248.05999999994</v>
      </c>
      <c r="O22" s="21">
        <v>573007.95</v>
      </c>
      <c r="P22" s="21">
        <v>122248.0599999999</v>
      </c>
      <c r="Q22" s="20">
        <f>SUMIFS('Taux'!$D$6:$D$10,'Taux'!$A$6:$A$10,A22,'Taux'!$B$6:$B$10,D22)</f>
        <v>11.311264655</v>
      </c>
      <c r="R22" s="21">
        <f>IF(COUNT(M22,Q22)=2,M22/Q22,"n.d.")</f>
        <v>10807.63855577915</v>
      </c>
      <c r="S22" s="21">
        <f>IF(COUNT(N22,Q22)=2,N22/Q22,"n.d.")</f>
        <v>10807.63855577915</v>
      </c>
      <c r="T22" s="16" t="s">
        <v>73</v>
      </c>
    </row>
    <row r="23" spans="1:20" ht="19" customHeight="1">
      <c r="A23" s="16" t="s">
        <v>9</v>
      </c>
      <c r="B23" s="16" t="s">
        <v>74</v>
      </c>
      <c r="C23" s="16" t="s">
        <v>75</v>
      </c>
      <c r="D23" s="16" t="s">
        <v>17</v>
      </c>
      <c r="E23" s="16" t="s">
        <v>62</v>
      </c>
      <c r="F23" s="21">
        <v>0</v>
      </c>
      <c r="G23" s="21">
        <v>0</v>
      </c>
      <c r="H23" s="24" t="s">
        <v>44</v>
      </c>
      <c r="I23" s="24" t="s">
        <v>44</v>
      </c>
      <c r="J23" s="21">
        <v>0</v>
      </c>
      <c r="K23" s="21">
        <v>0</v>
      </c>
      <c r="L23" s="21">
        <f>IF(COUNT(G23,J23,K23)=3,SUM(G23,J23,K23),"n.d.")</f>
        <v>0</v>
      </c>
      <c r="M23" s="21">
        <f>IF(COUNT(F23,L23)=2,F23-L23,"n.d.")</f>
        <v>0</v>
      </c>
      <c r="N23" s="21">
        <f>IF(COUNT(M23)=1,M23,"n.d.")</f>
        <v>0</v>
      </c>
      <c r="O23" s="21">
        <v>0</v>
      </c>
      <c r="P23" s="21">
        <v>0</v>
      </c>
      <c r="Q23" s="20">
        <f>SUMIFS('Taux'!$D$6:$D$10,'Taux'!$A$6:$A$10,A23,'Taux'!$B$6:$B$10,D23)</f>
        <v>11.078026565</v>
      </c>
      <c r="R23" s="21">
        <f>IF(COUNT(M23,Q23)=2,M23/Q23,"n.d.")</f>
        <v>0.0</v>
      </c>
      <c r="S23" s="21">
        <f>IF(COUNT(N23,Q23)=2,N23/Q23,"n.d.")</f>
        <v>0.0</v>
      </c>
      <c r="T23" s="16" t="s">
        <v>76</v>
      </c>
    </row>
    <row r="24" spans="1:20" ht="19" customHeight="1">
      <c r="A24" s="16" t="s">
        <v>9</v>
      </c>
      <c r="B24" s="16" t="s">
        <v>74</v>
      </c>
      <c r="C24" s="16" t="s">
        <v>75</v>
      </c>
      <c r="D24" s="16" t="s">
        <v>17</v>
      </c>
      <c r="E24" s="16" t="s">
        <v>64</v>
      </c>
      <c r="F24" s="21">
        <v>0</v>
      </c>
      <c r="G24" s="21">
        <v>0</v>
      </c>
      <c r="H24" s="24" t="s">
        <v>44</v>
      </c>
      <c r="I24" s="24" t="s">
        <v>44</v>
      </c>
      <c r="J24" s="21">
        <v>0</v>
      </c>
      <c r="K24" s="21">
        <v>0</v>
      </c>
      <c r="L24" s="21">
        <f>IF(COUNT(G24,J24,K24)=3,SUM(G24,J24,K24),"n.d.")</f>
        <v>0</v>
      </c>
      <c r="M24" s="21">
        <f>IF(COUNT(F24,L24)=2,F24-L24,"n.d.")</f>
        <v>0</v>
      </c>
      <c r="N24" s="21">
        <f>IF(COUNT(M24)=1,M24,"n.d.")</f>
        <v>0</v>
      </c>
      <c r="O24" s="21">
        <v>0</v>
      </c>
      <c r="P24" s="21">
        <v>0</v>
      </c>
      <c r="Q24" s="20">
        <f>SUMIFS('Taux'!$D$6:$D$10,'Taux'!$A$6:$A$10,A24,'Taux'!$B$6:$B$10,D24)</f>
        <v>11.078026565</v>
      </c>
      <c r="R24" s="21">
        <f>IF(COUNT(M24,Q24)=2,M24/Q24,"n.d.")</f>
        <v>0.0</v>
      </c>
      <c r="S24" s="21">
        <f>IF(COUNT(N24,Q24)=2,N24/Q24,"n.d.")</f>
        <v>0.0</v>
      </c>
      <c r="T24" s="16" t="s">
        <v>77</v>
      </c>
    </row>
    <row r="25" spans="1:20" ht="19" customHeight="1">
      <c r="A25" s="16" t="s">
        <v>9</v>
      </c>
      <c r="B25" s="16" t="s">
        <v>74</v>
      </c>
      <c r="C25" s="16" t="s">
        <v>75</v>
      </c>
      <c r="D25" s="16" t="s">
        <v>17</v>
      </c>
      <c r="E25" s="16" t="s">
        <v>46</v>
      </c>
      <c r="F25" s="21">
        <v>1598170.86</v>
      </c>
      <c r="G25" s="21">
        <v>1480274.83</v>
      </c>
      <c r="H25" s="24" t="s">
        <v>44</v>
      </c>
      <c r="I25" s="24" t="s">
        <v>44</v>
      </c>
      <c r="J25" s="21">
        <v>0</v>
      </c>
      <c r="K25" s="21">
        <v>117896.0300000001</v>
      </c>
      <c r="L25" s="21">
        <f>IF(COUNT(G25,J25,K25)=3,SUM(G25,J25,K25),"n.d.")</f>
        <v>1598170.86</v>
      </c>
      <c r="M25" s="21">
        <f>IF(COUNT(F25,L25)=2,F25-L25,"n.d.")</f>
        <v>0.0</v>
      </c>
      <c r="N25" s="21">
        <f>IF(COUNT(M25)=1,M25,"n.d.")</f>
        <v>0.0</v>
      </c>
      <c r="O25" s="21">
        <v>1598170.86</v>
      </c>
      <c r="P25" s="21">
        <v>0</v>
      </c>
      <c r="Q25" s="20">
        <f>SUMIFS('Taux'!$D$6:$D$10,'Taux'!$A$6:$A$10,A25,'Taux'!$B$6:$B$10,D25)</f>
        <v>11.078026565</v>
      </c>
      <c r="R25" s="21">
        <f>IF(COUNT(M25,Q25)=2,M25/Q25,"n.d.")</f>
        <v>0.0</v>
      </c>
      <c r="S25" s="21">
        <f>IF(COUNT(N25,Q25)=2,N25/Q25,"n.d.")</f>
        <v>0.0</v>
      </c>
      <c r="T25" s="16" t="s">
        <v>78</v>
      </c>
    </row>
    <row r="26" spans="1:20" ht="19" customHeight="1">
      <c r="A26" s="16" t="s">
        <v>9</v>
      </c>
      <c r="B26" s="16" t="s">
        <v>74</v>
      </c>
      <c r="C26" s="16" t="s">
        <v>75</v>
      </c>
      <c r="D26" s="16" t="s">
        <v>17</v>
      </c>
      <c r="E26" s="16" t="s">
        <v>48</v>
      </c>
      <c r="F26" s="21">
        <v>1887916.95</v>
      </c>
      <c r="G26" s="21">
        <v>1239545.429999999</v>
      </c>
      <c r="H26" s="24" t="s">
        <v>44</v>
      </c>
      <c r="I26" s="24" t="s">
        <v>44</v>
      </c>
      <c r="J26" s="21">
        <v>0</v>
      </c>
      <c r="K26" s="21">
        <v>491727.46</v>
      </c>
      <c r="L26" s="21">
        <f>IF(COUNT(G26,J26,K26)=3,SUM(G26,J26,K26),"n.d.")</f>
        <v>1731272.8899999992</v>
      </c>
      <c r="M26" s="21">
        <f>IF(COUNT(F26,L26)=2,F26-L26,"n.d.")</f>
        <v>156644.06000000075</v>
      </c>
      <c r="N26" s="21">
        <f>IF(COUNT(M26)=1,M26,"n.d.")</f>
        <v>156644.06000000075</v>
      </c>
      <c r="O26" s="21">
        <v>1731272.889999999</v>
      </c>
      <c r="P26" s="21">
        <v>156644.0600000008</v>
      </c>
      <c r="Q26" s="20">
        <f>SUMIFS('Taux'!$D$6:$D$10,'Taux'!$A$6:$A$10,A26,'Taux'!$B$6:$B$10,D26)</f>
        <v>11.078026565</v>
      </c>
      <c r="R26" s="21">
        <f>IF(COUNT(M26,Q26)=2,M26/Q26,"n.d.")</f>
        <v>14140.068998832623</v>
      </c>
      <c r="S26" s="21">
        <f>IF(COUNT(N26,Q26)=2,N26/Q26,"n.d.")</f>
        <v>14140.068998832623</v>
      </c>
      <c r="T26" s="16" t="s">
        <v>79</v>
      </c>
    </row>
  </sheetData>
  <conditionalFormatting sqref="A6:T26">
    <cfRule type="containsText" dxfId="0" priority="1" operator="containsText" text="n.d.">
      <formula>NOT(ISERROR(SEARCH("n.d.",A6)))</formula>
    </cfRule>
  </conditionalFormatting>
  <pageMargins left="0.3" right="0.3" top="0.4" bottom="0.4" header="0.3" footer="0.3"/>
  <pageSetup paperSize="9" fitToHeight="0" orientation="landscape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2:AB94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9" customHeight="1"/>
  <cols>
    <col min="1" max="1" width="15.7109375" style="16" customWidth="1"/>
    <col min="2" max="2" width="12.7109375" style="16" customWidth="1"/>
    <col min="3" max="3" width="22.7109375" style="16" customWidth="1"/>
    <col min="4" max="4" width="12.7109375" style="16" customWidth="1"/>
    <col min="5" max="5" width="18.7109375" style="16" customWidth="1"/>
    <col min="6" max="6" width="25.7109375" style="16" customWidth="1"/>
    <col min="7" max="7" width="18.7109375" style="16" customWidth="1"/>
    <col min="8" max="8" width="21.7109375" style="16" customWidth="1"/>
    <col min="9" max="9" width="24.7109375" style="16" customWidth="1"/>
    <col min="10" max="10" width="21.7109375" style="16" customWidth="1"/>
    <col min="11" max="11" width="58.7109375" style="16" customWidth="1"/>
    <col min="12" max="28" width="18.7109375" style="16" customWidth="1"/>
  </cols>
  <sheetData>
    <row r="2" spans="1:11" ht="19" customHeight="1">
      <c r="A2" s="17" t="s">
        <v>128</v>
      </c>
    </row>
    <row r="3" spans="1:11" ht="19" customHeight="1">
      <c r="A3" s="18" t="s">
        <v>129</v>
      </c>
    </row>
    <row r="5" spans="1:11" ht="42" customHeight="1">
      <c r="A5" s="19" t="s">
        <v>3</v>
      </c>
      <c r="B5" s="19" t="s">
        <v>24</v>
      </c>
      <c r="C5" s="19" t="s">
        <v>25</v>
      </c>
      <c r="D5" s="19" t="s">
        <v>4</v>
      </c>
      <c r="E5" s="19" t="s">
        <v>130</v>
      </c>
      <c r="F5" s="19" t="s">
        <v>131</v>
      </c>
      <c r="G5" s="19" t="s">
        <v>132</v>
      </c>
      <c r="H5" s="19" t="s">
        <v>133</v>
      </c>
      <c r="I5" s="19" t="s">
        <v>38</v>
      </c>
      <c r="J5" s="19" t="s">
        <v>134</v>
      </c>
      <c r="K5" s="19" t="s">
        <v>8</v>
      </c>
    </row>
    <row r="6" spans="1:11" ht="19" customHeight="1">
      <c r="A6" s="16" t="s">
        <v>9</v>
      </c>
      <c r="B6" s="16" t="s">
        <v>41</v>
      </c>
      <c r="C6" s="16" t="s">
        <v>42</v>
      </c>
      <c r="D6" s="16" t="s">
        <v>13</v>
      </c>
      <c r="E6" s="16" t="s">
        <v>135</v>
      </c>
      <c r="F6" s="16" t="s">
        <v>136</v>
      </c>
      <c r="G6" s="22">
        <v>5</v>
      </c>
      <c r="H6" s="21">
        <v>1.21</v>
      </c>
      <c r="I6" s="20">
        <f>SUMIFS('Taux'!$D$6:$D$10,'Taux'!$A$6:$A$10,A6,'Taux'!$B$6:$B$10,D6)</f>
        <v>1</v>
      </c>
      <c r="J6" s="21">
        <f>IF(COUNT(H6,I6)=2,H6/I6,"n.d.")</f>
        <v>1.21</v>
      </c>
      <c r="K6" s="16" t="s">
        <v>137</v>
      </c>
    </row>
    <row r="7" spans="1:11" ht="19" customHeight="1">
      <c r="A7" s="16" t="s">
        <v>9</v>
      </c>
      <c r="B7" s="16" t="s">
        <v>41</v>
      </c>
      <c r="C7" s="16" t="s">
        <v>42</v>
      </c>
      <c r="D7" s="16" t="s">
        <v>13</v>
      </c>
      <c r="E7" s="16" t="s">
        <v>135</v>
      </c>
      <c r="F7" s="16" t="s">
        <v>138</v>
      </c>
      <c r="G7" s="22">
        <v>19</v>
      </c>
      <c r="H7" s="21">
        <v>83.42</v>
      </c>
      <c r="I7" s="20">
        <f>SUMIFS('Taux'!$D$6:$D$10,'Taux'!$A$6:$A$10,A7,'Taux'!$B$6:$B$10,D7)</f>
        <v>1</v>
      </c>
      <c r="J7" s="21">
        <f>IF(COUNT(H7,I7)=2,H7/I7,"n.d.")</f>
        <v>83.42</v>
      </c>
      <c r="K7" s="16" t="s">
        <v>139</v>
      </c>
    </row>
    <row r="8" spans="1:11" ht="19" customHeight="1">
      <c r="A8" s="16" t="s">
        <v>9</v>
      </c>
      <c r="B8" s="16" t="s">
        <v>41</v>
      </c>
      <c r="C8" s="16" t="s">
        <v>42</v>
      </c>
      <c r="D8" s="16" t="s">
        <v>13</v>
      </c>
      <c r="E8" s="16" t="s">
        <v>135</v>
      </c>
      <c r="F8" s="16" t="s">
        <v>140</v>
      </c>
      <c r="G8" s="22">
        <v>32</v>
      </c>
      <c r="H8" s="21">
        <v>1265.6</v>
      </c>
      <c r="I8" s="20">
        <f>SUMIFS('Taux'!$D$6:$D$10,'Taux'!$A$6:$A$10,A8,'Taux'!$B$6:$B$10,D8)</f>
        <v>1</v>
      </c>
      <c r="J8" s="21">
        <f>IF(COUNT(H8,I8)=2,H8/I8,"n.d.")</f>
        <v>1265.6</v>
      </c>
      <c r="K8" s="16" t="s">
        <v>141</v>
      </c>
    </row>
    <row r="9" spans="1:11" ht="19" customHeight="1">
      <c r="A9" s="16" t="s">
        <v>9</v>
      </c>
      <c r="B9" s="16" t="s">
        <v>41</v>
      </c>
      <c r="C9" s="16" t="s">
        <v>42</v>
      </c>
      <c r="D9" s="16" t="s">
        <v>13</v>
      </c>
      <c r="E9" s="16" t="s">
        <v>135</v>
      </c>
      <c r="F9" s="16" t="s">
        <v>142</v>
      </c>
      <c r="G9" s="22">
        <v>14</v>
      </c>
      <c r="H9" s="21">
        <v>3254</v>
      </c>
      <c r="I9" s="20">
        <f>SUMIFS('Taux'!$D$6:$D$10,'Taux'!$A$6:$A$10,A9,'Taux'!$B$6:$B$10,D9)</f>
        <v>1</v>
      </c>
      <c r="J9" s="21">
        <f>IF(COUNT(H9,I9)=2,H9/I9,"n.d.")</f>
        <v>3254.0</v>
      </c>
      <c r="K9" s="16" t="s">
        <v>143</v>
      </c>
    </row>
    <row r="10" spans="1:11" ht="19" customHeight="1">
      <c r="A10" s="16" t="s">
        <v>9</v>
      </c>
      <c r="B10" s="16" t="s">
        <v>41</v>
      </c>
      <c r="C10" s="16" t="s">
        <v>42</v>
      </c>
      <c r="D10" s="16" t="s">
        <v>13</v>
      </c>
      <c r="E10" s="16" t="s">
        <v>135</v>
      </c>
      <c r="F10" s="16" t="s">
        <v>144</v>
      </c>
      <c r="G10" s="22">
        <v>4</v>
      </c>
      <c r="H10" s="21">
        <v>7388.06</v>
      </c>
      <c r="I10" s="20">
        <f>SUMIFS('Taux'!$D$6:$D$10,'Taux'!$A$6:$A$10,A10,'Taux'!$B$6:$B$10,D10)</f>
        <v>1</v>
      </c>
      <c r="J10" s="21">
        <f>IF(COUNT(H10,I10)=2,H10/I10,"n.d.")</f>
        <v>7388.06</v>
      </c>
      <c r="K10" s="16" t="s">
        <v>145</v>
      </c>
    </row>
    <row r="11" spans="1:11" ht="19" customHeight="1">
      <c r="A11" s="16" t="s">
        <v>9</v>
      </c>
      <c r="B11" s="16" t="s">
        <v>41</v>
      </c>
      <c r="C11" s="16" t="s">
        <v>42</v>
      </c>
      <c r="D11" s="16" t="s">
        <v>13</v>
      </c>
      <c r="E11" s="16" t="s">
        <v>26</v>
      </c>
      <c r="F11" s="16" t="s">
        <v>146</v>
      </c>
      <c r="G11" s="24" t="s">
        <v>44</v>
      </c>
      <c r="H11" s="24" t="s">
        <v>44</v>
      </c>
      <c r="I11" s="20">
        <f>SUMIFS('Taux'!$D$6:$D$10,'Taux'!$A$6:$A$10,A11,'Taux'!$B$6:$B$10,D11)</f>
        <v>1</v>
      </c>
      <c r="J11" s="21" t="str">
        <f>IF(COUNT(H11,I11)=2,H11/I11,"n.d.")</f>
        <v>n.d.</v>
      </c>
      <c r="K11" s="16" t="s">
        <v>147</v>
      </c>
    </row>
    <row r="12" spans="1:11" ht="19" customHeight="1">
      <c r="A12" s="16" t="s">
        <v>9</v>
      </c>
      <c r="B12" s="16" t="s">
        <v>41</v>
      </c>
      <c r="C12" s="16" t="s">
        <v>42</v>
      </c>
      <c r="D12" s="16" t="s">
        <v>13</v>
      </c>
      <c r="E12" s="16" t="s">
        <v>26</v>
      </c>
      <c r="F12" s="16" t="s">
        <v>148</v>
      </c>
      <c r="G12" s="24" t="s">
        <v>44</v>
      </c>
      <c r="H12" s="24" t="s">
        <v>44</v>
      </c>
      <c r="I12" s="20">
        <f>SUMIFS('Taux'!$D$6:$D$10,'Taux'!$A$6:$A$10,A12,'Taux'!$B$6:$B$10,D12)</f>
        <v>1</v>
      </c>
      <c r="J12" s="21" t="str">
        <f>IF(COUNT(H12,I12)=2,H12/I12,"n.d.")</f>
        <v>n.d.</v>
      </c>
      <c r="K12" s="16" t="s">
        <v>149</v>
      </c>
    </row>
    <row r="13" spans="1:11" ht="19" customHeight="1">
      <c r="A13" s="16" t="s">
        <v>9</v>
      </c>
      <c r="B13" s="16" t="s">
        <v>41</v>
      </c>
      <c r="C13" s="16" t="s">
        <v>42</v>
      </c>
      <c r="D13" s="16" t="s">
        <v>13</v>
      </c>
      <c r="E13" s="16" t="s">
        <v>26</v>
      </c>
      <c r="F13" s="16" t="s">
        <v>150</v>
      </c>
      <c r="G13" s="22">
        <v>1</v>
      </c>
      <c r="H13" s="21">
        <v>2314.9</v>
      </c>
      <c r="I13" s="20">
        <f>SUMIFS('Taux'!$D$6:$D$10,'Taux'!$A$6:$A$10,A13,'Taux'!$B$6:$B$10,D13)</f>
        <v>1</v>
      </c>
      <c r="J13" s="21">
        <f>IF(COUNT(H13,I13)=2,H13/I13,"n.d.")</f>
        <v>2314.9</v>
      </c>
      <c r="K13" s="16" t="s">
        <v>151</v>
      </c>
    </row>
    <row r="14" spans="1:11" ht="19" customHeight="1">
      <c r="A14" s="16" t="s">
        <v>9</v>
      </c>
      <c r="B14" s="16" t="s">
        <v>41</v>
      </c>
      <c r="C14" s="16" t="s">
        <v>42</v>
      </c>
      <c r="D14" s="16" t="s">
        <v>13</v>
      </c>
      <c r="E14" s="16" t="s">
        <v>26</v>
      </c>
      <c r="F14" s="16" t="s">
        <v>152</v>
      </c>
      <c r="G14" s="22">
        <v>0</v>
      </c>
      <c r="H14" s="21">
        <v>0</v>
      </c>
      <c r="I14" s="20">
        <f>SUMIFS('Taux'!$D$6:$D$10,'Taux'!$A$6:$A$10,A14,'Taux'!$B$6:$B$10,D14)</f>
        <v>1</v>
      </c>
      <c r="J14" s="21">
        <f>IF(COUNT(H14,I14)=2,H14/I14,"n.d.")</f>
        <v>0.0</v>
      </c>
      <c r="K14" s="16" t="s">
        <v>153</v>
      </c>
    </row>
    <row r="15" spans="1:11" ht="19" customHeight="1">
      <c r="A15" s="16" t="s">
        <v>9</v>
      </c>
      <c r="B15" s="16" t="s">
        <v>41</v>
      </c>
      <c r="C15" s="16" t="s">
        <v>42</v>
      </c>
      <c r="D15" s="16" t="s">
        <v>13</v>
      </c>
      <c r="E15" s="16" t="s">
        <v>26</v>
      </c>
      <c r="F15" s="16" t="s">
        <v>154</v>
      </c>
      <c r="G15" s="22">
        <v>1</v>
      </c>
      <c r="H15" s="21">
        <v>81.01000000000001</v>
      </c>
      <c r="I15" s="20">
        <f>SUMIFS('Taux'!$D$6:$D$10,'Taux'!$A$6:$A$10,A15,'Taux'!$B$6:$B$10,D15)</f>
        <v>1</v>
      </c>
      <c r="J15" s="21">
        <f>IF(COUNT(H15,I15)=2,H15/I15,"n.d.")</f>
        <v>81.01</v>
      </c>
      <c r="K15" s="16" t="s">
        <v>155</v>
      </c>
    </row>
    <row r="16" spans="1:11" ht="19" customHeight="1">
      <c r="A16" s="16" t="s">
        <v>9</v>
      </c>
      <c r="B16" s="16" t="s">
        <v>41</v>
      </c>
      <c r="C16" s="16" t="s">
        <v>42</v>
      </c>
      <c r="D16" s="16" t="s">
        <v>13</v>
      </c>
      <c r="E16" s="16" t="s">
        <v>26</v>
      </c>
      <c r="F16" s="16" t="s">
        <v>156</v>
      </c>
      <c r="G16" s="22">
        <v>0</v>
      </c>
      <c r="H16" s="21">
        <v>0</v>
      </c>
      <c r="I16" s="20">
        <f>SUMIFS('Taux'!$D$6:$D$10,'Taux'!$A$6:$A$10,A16,'Taux'!$B$6:$B$10,D16)</f>
        <v>1</v>
      </c>
      <c r="J16" s="21">
        <f>IF(COUNT(H16,I16)=2,H16/I16,"n.d.")</f>
        <v>0.0</v>
      </c>
      <c r="K16" s="16" t="s">
        <v>157</v>
      </c>
    </row>
    <row r="17" spans="1:11" ht="19" customHeight="1">
      <c r="A17" s="16" t="s">
        <v>9</v>
      </c>
      <c r="B17" s="16" t="s">
        <v>41</v>
      </c>
      <c r="C17" s="16" t="s">
        <v>42</v>
      </c>
      <c r="D17" s="16" t="s">
        <v>13</v>
      </c>
      <c r="E17" s="16" t="s">
        <v>26</v>
      </c>
      <c r="F17" s="16" t="s">
        <v>158</v>
      </c>
      <c r="G17" s="22">
        <v>1</v>
      </c>
      <c r="H17" s="21">
        <v>47.06</v>
      </c>
      <c r="I17" s="20">
        <f>SUMIFS('Taux'!$D$6:$D$10,'Taux'!$A$6:$A$10,A17,'Taux'!$B$6:$B$10,D17)</f>
        <v>1</v>
      </c>
      <c r="J17" s="21">
        <f>IF(COUNT(H17,I17)=2,H17/I17,"n.d.")</f>
        <v>47.06</v>
      </c>
      <c r="K17" s="16" t="s">
        <v>159</v>
      </c>
    </row>
    <row r="18" spans="1:11" ht="19" customHeight="1">
      <c r="A18" s="16" t="s">
        <v>9</v>
      </c>
      <c r="B18" s="16" t="s">
        <v>41</v>
      </c>
      <c r="C18" s="16" t="s">
        <v>42</v>
      </c>
      <c r="D18" s="16" t="s">
        <v>13</v>
      </c>
      <c r="E18" s="16" t="s">
        <v>26</v>
      </c>
      <c r="F18" s="16" t="s">
        <v>64</v>
      </c>
      <c r="G18" s="22">
        <v>3</v>
      </c>
      <c r="H18" s="21">
        <v>3734.12</v>
      </c>
      <c r="I18" s="20">
        <f>SUMIFS('Taux'!$D$6:$D$10,'Taux'!$A$6:$A$10,A18,'Taux'!$B$6:$B$10,D18)</f>
        <v>1</v>
      </c>
      <c r="J18" s="21">
        <f>IF(COUNT(H18,I18)=2,H18/I18,"n.d.")</f>
        <v>3734.12</v>
      </c>
      <c r="K18" s="16" t="s">
        <v>160</v>
      </c>
    </row>
    <row r="19" spans="1:11" ht="19" customHeight="1">
      <c r="A19" s="16" t="s">
        <v>9</v>
      </c>
      <c r="B19" s="16" t="s">
        <v>41</v>
      </c>
      <c r="C19" s="16" t="s">
        <v>42</v>
      </c>
      <c r="D19" s="16" t="s">
        <v>13</v>
      </c>
      <c r="E19" s="16" t="s">
        <v>26</v>
      </c>
      <c r="F19" s="16" t="s">
        <v>46</v>
      </c>
      <c r="G19" s="22">
        <v>3</v>
      </c>
      <c r="H19" s="21">
        <v>429.88</v>
      </c>
      <c r="I19" s="20">
        <f>SUMIFS('Taux'!$D$6:$D$10,'Taux'!$A$6:$A$10,A19,'Taux'!$B$6:$B$10,D19)</f>
        <v>1</v>
      </c>
      <c r="J19" s="21">
        <f>IF(COUNT(H19,I19)=2,H19/I19,"n.d.")</f>
        <v>429.88</v>
      </c>
      <c r="K19" s="16" t="s">
        <v>161</v>
      </c>
    </row>
    <row r="20" spans="1:11" ht="19" customHeight="1">
      <c r="A20" s="16" t="s">
        <v>9</v>
      </c>
      <c r="B20" s="16" t="s">
        <v>41</v>
      </c>
      <c r="C20" s="16" t="s">
        <v>42</v>
      </c>
      <c r="D20" s="16" t="s">
        <v>13</v>
      </c>
      <c r="E20" s="16" t="s">
        <v>26</v>
      </c>
      <c r="F20" s="16" t="s">
        <v>48</v>
      </c>
      <c r="G20" s="22">
        <v>65</v>
      </c>
      <c r="H20" s="21">
        <v>5385.32</v>
      </c>
      <c r="I20" s="20">
        <f>SUMIFS('Taux'!$D$6:$D$10,'Taux'!$A$6:$A$10,A20,'Taux'!$B$6:$B$10,D20)</f>
        <v>1</v>
      </c>
      <c r="J20" s="21">
        <f>IF(COUNT(H20,I20)=2,H20/I20,"n.d.")</f>
        <v>5385.32</v>
      </c>
      <c r="K20" s="16" t="s">
        <v>162</v>
      </c>
    </row>
    <row r="21" spans="1:11" ht="19" customHeight="1">
      <c r="A21" s="16" t="s">
        <v>9</v>
      </c>
      <c r="B21" s="16" t="s">
        <v>50</v>
      </c>
      <c r="C21" s="16" t="s">
        <v>51</v>
      </c>
      <c r="D21" s="16" t="s">
        <v>13</v>
      </c>
      <c r="E21" s="16" t="s">
        <v>135</v>
      </c>
      <c r="F21" s="16" t="s">
        <v>136</v>
      </c>
      <c r="G21" s="22">
        <v>883</v>
      </c>
      <c r="H21" s="21">
        <v>415.76</v>
      </c>
      <c r="I21" s="20">
        <f>SUMIFS('Taux'!$D$6:$D$10,'Taux'!$A$6:$A$10,A21,'Taux'!$B$6:$B$10,D21)</f>
        <v>1</v>
      </c>
      <c r="J21" s="21">
        <f>IF(COUNT(H21,I21)=2,H21/I21,"n.d.")</f>
        <v>415.76</v>
      </c>
      <c r="K21" s="16" t="s">
        <v>163</v>
      </c>
    </row>
    <row r="22" spans="1:11" ht="19" customHeight="1">
      <c r="A22" s="16" t="s">
        <v>9</v>
      </c>
      <c r="B22" s="16" t="s">
        <v>50</v>
      </c>
      <c r="C22" s="16" t="s">
        <v>51</v>
      </c>
      <c r="D22" s="16" t="s">
        <v>13</v>
      </c>
      <c r="E22" s="16" t="s">
        <v>135</v>
      </c>
      <c r="F22" s="16" t="s">
        <v>138</v>
      </c>
      <c r="G22" s="22">
        <v>2368</v>
      </c>
      <c r="H22" s="21">
        <v>7036.99</v>
      </c>
      <c r="I22" s="20">
        <f>SUMIFS('Taux'!$D$6:$D$10,'Taux'!$A$6:$A$10,A22,'Taux'!$B$6:$B$10,D22)</f>
        <v>1</v>
      </c>
      <c r="J22" s="21">
        <f>IF(COUNT(H22,I22)=2,H22/I22,"n.d.")</f>
        <v>7036.99</v>
      </c>
      <c r="K22" s="16" t="s">
        <v>164</v>
      </c>
    </row>
    <row r="23" spans="1:11" ht="19" customHeight="1">
      <c r="A23" s="16" t="s">
        <v>9</v>
      </c>
      <c r="B23" s="16" t="s">
        <v>50</v>
      </c>
      <c r="C23" s="16" t="s">
        <v>51</v>
      </c>
      <c r="D23" s="16" t="s">
        <v>13</v>
      </c>
      <c r="E23" s="16" t="s">
        <v>135</v>
      </c>
      <c r="F23" s="16" t="s">
        <v>140</v>
      </c>
      <c r="G23" s="22">
        <v>490</v>
      </c>
      <c r="H23" s="21">
        <v>22684.66</v>
      </c>
      <c r="I23" s="20">
        <f>SUMIFS('Taux'!$D$6:$D$10,'Taux'!$A$6:$A$10,A23,'Taux'!$B$6:$B$10,D23)</f>
        <v>1</v>
      </c>
      <c r="J23" s="21">
        <f>IF(COUNT(H23,I23)=2,H23/I23,"n.d.")</f>
        <v>22684.66</v>
      </c>
      <c r="K23" s="16" t="s">
        <v>165</v>
      </c>
    </row>
    <row r="24" spans="1:11" ht="19" customHeight="1">
      <c r="A24" s="16" t="s">
        <v>9</v>
      </c>
      <c r="B24" s="16" t="s">
        <v>50</v>
      </c>
      <c r="C24" s="16" t="s">
        <v>51</v>
      </c>
      <c r="D24" s="16" t="s">
        <v>13</v>
      </c>
      <c r="E24" s="16" t="s">
        <v>135</v>
      </c>
      <c r="F24" s="16" t="s">
        <v>142</v>
      </c>
      <c r="G24" s="22">
        <v>1755</v>
      </c>
      <c r="H24" s="21">
        <v>510950.87</v>
      </c>
      <c r="I24" s="20">
        <f>SUMIFS('Taux'!$D$6:$D$10,'Taux'!$A$6:$A$10,A24,'Taux'!$B$6:$B$10,D24)</f>
        <v>1</v>
      </c>
      <c r="J24" s="21">
        <f>IF(COUNT(H24,I24)=2,H24/I24,"n.d.")</f>
        <v>510950.87</v>
      </c>
      <c r="K24" s="16" t="s">
        <v>166</v>
      </c>
    </row>
    <row r="25" spans="1:11" ht="19" customHeight="1">
      <c r="A25" s="16" t="s">
        <v>9</v>
      </c>
      <c r="B25" s="16" t="s">
        <v>50</v>
      </c>
      <c r="C25" s="16" t="s">
        <v>51</v>
      </c>
      <c r="D25" s="16" t="s">
        <v>13</v>
      </c>
      <c r="E25" s="16" t="s">
        <v>135</v>
      </c>
      <c r="F25" s="16" t="s">
        <v>144</v>
      </c>
      <c r="G25" s="22">
        <v>99</v>
      </c>
      <c r="H25" s="21">
        <v>246337.96</v>
      </c>
      <c r="I25" s="20">
        <f>SUMIFS('Taux'!$D$6:$D$10,'Taux'!$A$6:$A$10,A25,'Taux'!$B$6:$B$10,D25)</f>
        <v>1</v>
      </c>
      <c r="J25" s="21">
        <f>IF(COUNT(H25,I25)=2,H25/I25,"n.d.")</f>
        <v>246337.96</v>
      </c>
      <c r="K25" s="16" t="s">
        <v>167</v>
      </c>
    </row>
    <row r="26" spans="1:11" ht="19" customHeight="1">
      <c r="A26" s="16" t="s">
        <v>9</v>
      </c>
      <c r="B26" s="16" t="s">
        <v>50</v>
      </c>
      <c r="C26" s="16" t="s">
        <v>51</v>
      </c>
      <c r="D26" s="16" t="s">
        <v>13</v>
      </c>
      <c r="E26" s="16" t="s">
        <v>26</v>
      </c>
      <c r="F26" s="16" t="s">
        <v>146</v>
      </c>
      <c r="G26" s="24" t="s">
        <v>44</v>
      </c>
      <c r="H26" s="24" t="s">
        <v>44</v>
      </c>
      <c r="I26" s="20">
        <f>SUMIFS('Taux'!$D$6:$D$10,'Taux'!$A$6:$A$10,A26,'Taux'!$B$6:$B$10,D26)</f>
        <v>1</v>
      </c>
      <c r="J26" s="21" t="str">
        <f>IF(COUNT(H26,I26)=2,H26/I26,"n.d.")</f>
        <v>n.d.</v>
      </c>
      <c r="K26" s="16" t="s">
        <v>168</v>
      </c>
    </row>
    <row r="27" spans="1:11" ht="19" customHeight="1">
      <c r="A27" s="16" t="s">
        <v>9</v>
      </c>
      <c r="B27" s="16" t="s">
        <v>50</v>
      </c>
      <c r="C27" s="16" t="s">
        <v>51</v>
      </c>
      <c r="D27" s="16" t="s">
        <v>13</v>
      </c>
      <c r="E27" s="16" t="s">
        <v>26</v>
      </c>
      <c r="F27" s="16" t="s">
        <v>148</v>
      </c>
      <c r="G27" s="24" t="s">
        <v>44</v>
      </c>
      <c r="H27" s="24" t="s">
        <v>44</v>
      </c>
      <c r="I27" s="20">
        <f>SUMIFS('Taux'!$D$6:$D$10,'Taux'!$A$6:$A$10,A27,'Taux'!$B$6:$B$10,D27)</f>
        <v>1</v>
      </c>
      <c r="J27" s="21" t="str">
        <f>IF(COUNT(H27,I27)=2,H27/I27,"n.d.")</f>
        <v>n.d.</v>
      </c>
      <c r="K27" s="16" t="s">
        <v>169</v>
      </c>
    </row>
    <row r="28" spans="1:11" ht="19" customHeight="1">
      <c r="A28" s="16" t="s">
        <v>9</v>
      </c>
      <c r="B28" s="16" t="s">
        <v>50</v>
      </c>
      <c r="C28" s="16" t="s">
        <v>51</v>
      </c>
      <c r="D28" s="16" t="s">
        <v>13</v>
      </c>
      <c r="E28" s="16" t="s">
        <v>26</v>
      </c>
      <c r="F28" s="16" t="s">
        <v>150</v>
      </c>
      <c r="G28" s="24" t="s">
        <v>44</v>
      </c>
      <c r="H28" s="24" t="s">
        <v>44</v>
      </c>
      <c r="I28" s="20">
        <f>SUMIFS('Taux'!$D$6:$D$10,'Taux'!$A$6:$A$10,A28,'Taux'!$B$6:$B$10,D28)</f>
        <v>1</v>
      </c>
      <c r="J28" s="21" t="str">
        <f>IF(COUNT(H28,I28)=2,H28/I28,"n.d.")</f>
        <v>n.d.</v>
      </c>
      <c r="K28" s="16" t="s">
        <v>170</v>
      </c>
    </row>
    <row r="29" spans="1:11" ht="19" customHeight="1">
      <c r="A29" s="16" t="s">
        <v>9</v>
      </c>
      <c r="B29" s="16" t="s">
        <v>50</v>
      </c>
      <c r="C29" s="16" t="s">
        <v>51</v>
      </c>
      <c r="D29" s="16" t="s">
        <v>13</v>
      </c>
      <c r="E29" s="16" t="s">
        <v>26</v>
      </c>
      <c r="F29" s="16" t="s">
        <v>152</v>
      </c>
      <c r="G29" s="24" t="s">
        <v>44</v>
      </c>
      <c r="H29" s="24" t="s">
        <v>44</v>
      </c>
      <c r="I29" s="20">
        <f>SUMIFS('Taux'!$D$6:$D$10,'Taux'!$A$6:$A$10,A29,'Taux'!$B$6:$B$10,D29)</f>
        <v>1</v>
      </c>
      <c r="J29" s="21" t="str">
        <f>IF(COUNT(H29,I29)=2,H29/I29,"n.d.")</f>
        <v>n.d.</v>
      </c>
      <c r="K29" s="16" t="s">
        <v>171</v>
      </c>
    </row>
    <row r="30" spans="1:11" ht="19" customHeight="1">
      <c r="A30" s="16" t="s">
        <v>9</v>
      </c>
      <c r="B30" s="16" t="s">
        <v>50</v>
      </c>
      <c r="C30" s="16" t="s">
        <v>51</v>
      </c>
      <c r="D30" s="16" t="s">
        <v>13</v>
      </c>
      <c r="E30" s="16" t="s">
        <v>26</v>
      </c>
      <c r="F30" s="16" t="s">
        <v>154</v>
      </c>
      <c r="G30" s="24" t="s">
        <v>44</v>
      </c>
      <c r="H30" s="24" t="s">
        <v>44</v>
      </c>
      <c r="I30" s="20">
        <f>SUMIFS('Taux'!$D$6:$D$10,'Taux'!$A$6:$A$10,A30,'Taux'!$B$6:$B$10,D30)</f>
        <v>1</v>
      </c>
      <c r="J30" s="21" t="str">
        <f>IF(COUNT(H30,I30)=2,H30/I30,"n.d.")</f>
        <v>n.d.</v>
      </c>
      <c r="K30" s="16" t="s">
        <v>172</v>
      </c>
    </row>
    <row r="31" spans="1:11" ht="19" customHeight="1">
      <c r="A31" s="16" t="s">
        <v>9</v>
      </c>
      <c r="B31" s="16" t="s">
        <v>50</v>
      </c>
      <c r="C31" s="16" t="s">
        <v>51</v>
      </c>
      <c r="D31" s="16" t="s">
        <v>13</v>
      </c>
      <c r="E31" s="16" t="s">
        <v>26</v>
      </c>
      <c r="F31" s="16" t="s">
        <v>156</v>
      </c>
      <c r="G31" s="24" t="s">
        <v>44</v>
      </c>
      <c r="H31" s="24" t="s">
        <v>44</v>
      </c>
      <c r="I31" s="20">
        <f>SUMIFS('Taux'!$D$6:$D$10,'Taux'!$A$6:$A$10,A31,'Taux'!$B$6:$B$10,D31)</f>
        <v>1</v>
      </c>
      <c r="J31" s="21" t="str">
        <f>IF(COUNT(H31,I31)=2,H31/I31,"n.d.")</f>
        <v>n.d.</v>
      </c>
      <c r="K31" s="16" t="s">
        <v>173</v>
      </c>
    </row>
    <row r="32" spans="1:11" ht="19" customHeight="1">
      <c r="A32" s="16" t="s">
        <v>9</v>
      </c>
      <c r="B32" s="16" t="s">
        <v>50</v>
      </c>
      <c r="C32" s="16" t="s">
        <v>51</v>
      </c>
      <c r="D32" s="16" t="s">
        <v>13</v>
      </c>
      <c r="E32" s="16" t="s">
        <v>26</v>
      </c>
      <c r="F32" s="16" t="s">
        <v>158</v>
      </c>
      <c r="G32" s="24" t="s">
        <v>44</v>
      </c>
      <c r="H32" s="24" t="s">
        <v>44</v>
      </c>
      <c r="I32" s="20">
        <f>SUMIFS('Taux'!$D$6:$D$10,'Taux'!$A$6:$A$10,A32,'Taux'!$B$6:$B$10,D32)</f>
        <v>1</v>
      </c>
      <c r="J32" s="21" t="str">
        <f>IF(COUNT(H32,I32)=2,H32/I32,"n.d.")</f>
        <v>n.d.</v>
      </c>
      <c r="K32" s="16" t="s">
        <v>174</v>
      </c>
    </row>
    <row r="33" spans="1:11" ht="19" customHeight="1">
      <c r="A33" s="16" t="s">
        <v>9</v>
      </c>
      <c r="B33" s="16" t="s">
        <v>50</v>
      </c>
      <c r="C33" s="16" t="s">
        <v>51</v>
      </c>
      <c r="D33" s="16" t="s">
        <v>13</v>
      </c>
      <c r="E33" s="16" t="s">
        <v>26</v>
      </c>
      <c r="F33" s="16" t="s">
        <v>64</v>
      </c>
      <c r="G33" s="24" t="s">
        <v>44</v>
      </c>
      <c r="H33" s="24" t="s">
        <v>44</v>
      </c>
      <c r="I33" s="20">
        <f>SUMIFS('Taux'!$D$6:$D$10,'Taux'!$A$6:$A$10,A33,'Taux'!$B$6:$B$10,D33)</f>
        <v>1</v>
      </c>
      <c r="J33" s="21" t="str">
        <f>IF(COUNT(H33,I33)=2,H33/I33,"n.d.")</f>
        <v>n.d.</v>
      </c>
      <c r="K33" s="16" t="s">
        <v>175</v>
      </c>
    </row>
    <row r="34" spans="1:11" ht="19" customHeight="1">
      <c r="A34" s="16" t="s">
        <v>9</v>
      </c>
      <c r="B34" s="16" t="s">
        <v>50</v>
      </c>
      <c r="C34" s="16" t="s">
        <v>51</v>
      </c>
      <c r="D34" s="16" t="s">
        <v>13</v>
      </c>
      <c r="E34" s="16" t="s">
        <v>26</v>
      </c>
      <c r="F34" s="16" t="s">
        <v>46</v>
      </c>
      <c r="G34" s="22">
        <v>1561</v>
      </c>
      <c r="H34" s="21">
        <v>137167.6300000027</v>
      </c>
      <c r="I34" s="20">
        <f>SUMIFS('Taux'!$D$6:$D$10,'Taux'!$A$6:$A$10,A34,'Taux'!$B$6:$B$10,D34)</f>
        <v>1</v>
      </c>
      <c r="J34" s="21">
        <f>IF(COUNT(H34,I34)=2,H34/I34,"n.d.")</f>
        <v>137167.63000000268</v>
      </c>
      <c r="K34" s="16" t="s">
        <v>176</v>
      </c>
    </row>
    <row r="35" spans="1:11" ht="19" customHeight="1">
      <c r="A35" s="16" t="s">
        <v>9</v>
      </c>
      <c r="B35" s="16" t="s">
        <v>50</v>
      </c>
      <c r="C35" s="16" t="s">
        <v>51</v>
      </c>
      <c r="D35" s="16" t="s">
        <v>13</v>
      </c>
      <c r="E35" s="16" t="s">
        <v>26</v>
      </c>
      <c r="F35" s="16" t="s">
        <v>48</v>
      </c>
      <c r="G35" s="22">
        <v>4034</v>
      </c>
      <c r="H35" s="21">
        <v>650258.6100000003</v>
      </c>
      <c r="I35" s="20">
        <f>SUMIFS('Taux'!$D$6:$D$10,'Taux'!$A$6:$A$10,A35,'Taux'!$B$6:$B$10,D35)</f>
        <v>1</v>
      </c>
      <c r="J35" s="21">
        <f>IF(COUNT(H35,I35)=2,H35/I35,"n.d.")</f>
        <v>650258.6100000003</v>
      </c>
      <c r="K35" s="16" t="s">
        <v>177</v>
      </c>
    </row>
    <row r="36" spans="1:11" ht="19" customHeight="1">
      <c r="A36" s="16" t="s">
        <v>9</v>
      </c>
      <c r="B36" s="16" t="s">
        <v>55</v>
      </c>
      <c r="C36" s="16" t="s">
        <v>56</v>
      </c>
      <c r="D36" s="16" t="s">
        <v>19</v>
      </c>
      <c r="E36" s="16" t="s">
        <v>135</v>
      </c>
      <c r="F36" s="16" t="s">
        <v>136</v>
      </c>
      <c r="G36" s="22">
        <v>71052</v>
      </c>
      <c r="H36" s="21">
        <v>31178863.20999995</v>
      </c>
      <c r="I36" s="20">
        <f>SUMIFS('Taux'!$D$6:$D$10,'Taux'!$A$6:$A$10,A36,'Taux'!$B$6:$B$10,D36)</f>
        <v>18.72282849</v>
      </c>
      <c r="J36" s="21">
        <f>IF(COUNT(H36,I36)=2,H36/I36,"n.d.")</f>
        <v>1665285.949003528</v>
      </c>
      <c r="K36" s="16" t="s">
        <v>178</v>
      </c>
    </row>
    <row r="37" spans="1:11" ht="19" customHeight="1">
      <c r="A37" s="16" t="s">
        <v>9</v>
      </c>
      <c r="B37" s="16" t="s">
        <v>55</v>
      </c>
      <c r="C37" s="16" t="s">
        <v>56</v>
      </c>
      <c r="D37" s="16" t="s">
        <v>19</v>
      </c>
      <c r="E37" s="16" t="s">
        <v>135</v>
      </c>
      <c r="F37" s="16" t="s">
        <v>138</v>
      </c>
      <c r="G37" s="22">
        <v>0</v>
      </c>
      <c r="H37" s="21">
        <v>0</v>
      </c>
      <c r="I37" s="20">
        <f>SUMIFS('Taux'!$D$6:$D$10,'Taux'!$A$6:$A$10,A37,'Taux'!$B$6:$B$10,D37)</f>
        <v>18.72282849</v>
      </c>
      <c r="J37" s="21">
        <f>IF(COUNT(H37,I37)=2,H37/I37,"n.d.")</f>
        <v>0.0</v>
      </c>
      <c r="K37" s="16" t="s">
        <v>179</v>
      </c>
    </row>
    <row r="38" spans="1:11" ht="19" customHeight="1">
      <c r="A38" s="16" t="s">
        <v>9</v>
      </c>
      <c r="B38" s="16" t="s">
        <v>55</v>
      </c>
      <c r="C38" s="16" t="s">
        <v>56</v>
      </c>
      <c r="D38" s="16" t="s">
        <v>19</v>
      </c>
      <c r="E38" s="16" t="s">
        <v>135</v>
      </c>
      <c r="F38" s="16" t="s">
        <v>140</v>
      </c>
      <c r="G38" s="22">
        <v>0</v>
      </c>
      <c r="H38" s="21">
        <v>0</v>
      </c>
      <c r="I38" s="20">
        <f>SUMIFS('Taux'!$D$6:$D$10,'Taux'!$A$6:$A$10,A38,'Taux'!$B$6:$B$10,D38)</f>
        <v>18.72282849</v>
      </c>
      <c r="J38" s="21">
        <f>IF(COUNT(H38,I38)=2,H38/I38,"n.d.")</f>
        <v>0.0</v>
      </c>
      <c r="K38" s="16" t="s">
        <v>180</v>
      </c>
    </row>
    <row r="39" spans="1:11" ht="19" customHeight="1">
      <c r="A39" s="16" t="s">
        <v>9</v>
      </c>
      <c r="B39" s="16" t="s">
        <v>55</v>
      </c>
      <c r="C39" s="16" t="s">
        <v>56</v>
      </c>
      <c r="D39" s="16" t="s">
        <v>19</v>
      </c>
      <c r="E39" s="16" t="s">
        <v>135</v>
      </c>
      <c r="F39" s="16" t="s">
        <v>142</v>
      </c>
      <c r="G39" s="22">
        <v>0</v>
      </c>
      <c r="H39" s="21">
        <v>0</v>
      </c>
      <c r="I39" s="20">
        <f>SUMIFS('Taux'!$D$6:$D$10,'Taux'!$A$6:$A$10,A39,'Taux'!$B$6:$B$10,D39)</f>
        <v>18.72282849</v>
      </c>
      <c r="J39" s="21">
        <f>IF(COUNT(H39,I39)=2,H39/I39,"n.d.")</f>
        <v>0.0</v>
      </c>
      <c r="K39" s="16" t="s">
        <v>181</v>
      </c>
    </row>
    <row r="40" spans="1:11" ht="19" customHeight="1">
      <c r="A40" s="16" t="s">
        <v>9</v>
      </c>
      <c r="B40" s="16" t="s">
        <v>55</v>
      </c>
      <c r="C40" s="16" t="s">
        <v>56</v>
      </c>
      <c r="D40" s="16" t="s">
        <v>19</v>
      </c>
      <c r="E40" s="16" t="s">
        <v>135</v>
      </c>
      <c r="F40" s="16" t="s">
        <v>144</v>
      </c>
      <c r="G40" s="22">
        <v>0</v>
      </c>
      <c r="H40" s="21">
        <v>0</v>
      </c>
      <c r="I40" s="20">
        <f>SUMIFS('Taux'!$D$6:$D$10,'Taux'!$A$6:$A$10,A40,'Taux'!$B$6:$B$10,D40)</f>
        <v>18.72282849</v>
      </c>
      <c r="J40" s="21">
        <f>IF(COUNT(H40,I40)=2,H40/I40,"n.d.")</f>
        <v>0.0</v>
      </c>
      <c r="K40" s="16" t="s">
        <v>182</v>
      </c>
    </row>
    <row r="41" spans="1:11" ht="19" customHeight="1">
      <c r="A41" s="16" t="s">
        <v>9</v>
      </c>
      <c r="B41" s="16" t="s">
        <v>55</v>
      </c>
      <c r="C41" s="16" t="s">
        <v>56</v>
      </c>
      <c r="D41" s="16" t="s">
        <v>19</v>
      </c>
      <c r="E41" s="16" t="s">
        <v>26</v>
      </c>
      <c r="F41" s="16" t="s">
        <v>183</v>
      </c>
      <c r="G41" s="22">
        <v>199</v>
      </c>
      <c r="H41" s="21">
        <v>751149.8100000001</v>
      </c>
      <c r="I41" s="20">
        <f>SUMIFS('Taux'!$D$6:$D$10,'Taux'!$A$6:$A$10,A41,'Taux'!$B$6:$B$10,D41)</f>
        <v>18.72282849</v>
      </c>
      <c r="J41" s="21">
        <f>IF(COUNT(H41,I41)=2,H41/I41,"n.d.")</f>
        <v>40119.4622063218</v>
      </c>
      <c r="K41" s="16" t="s">
        <v>184</v>
      </c>
    </row>
    <row r="42" spans="1:11" ht="19" customHeight="1">
      <c r="A42" s="16" t="s">
        <v>9</v>
      </c>
      <c r="B42" s="16" t="s">
        <v>55</v>
      </c>
      <c r="C42" s="16" t="s">
        <v>56</v>
      </c>
      <c r="D42" s="16" t="s">
        <v>19</v>
      </c>
      <c r="E42" s="16" t="s">
        <v>26</v>
      </c>
      <c r="F42" s="16" t="s">
        <v>150</v>
      </c>
      <c r="G42" s="22">
        <v>82</v>
      </c>
      <c r="H42" s="21">
        <v>227540</v>
      </c>
      <c r="I42" s="20">
        <f>SUMIFS('Taux'!$D$6:$D$10,'Taux'!$A$6:$A$10,A42,'Taux'!$B$6:$B$10,D42)</f>
        <v>18.72282849</v>
      </c>
      <c r="J42" s="21">
        <f>IF(COUNT(H42,I42)=2,H42/I42,"n.d.")</f>
        <v>12153.078266007231</v>
      </c>
      <c r="K42" s="16" t="s">
        <v>185</v>
      </c>
    </row>
    <row r="43" spans="1:11" ht="19" customHeight="1">
      <c r="A43" s="16" t="s">
        <v>9</v>
      </c>
      <c r="B43" s="16" t="s">
        <v>55</v>
      </c>
      <c r="C43" s="16" t="s">
        <v>56</v>
      </c>
      <c r="D43" s="16" t="s">
        <v>19</v>
      </c>
      <c r="E43" s="16" t="s">
        <v>26</v>
      </c>
      <c r="F43" s="16" t="s">
        <v>152</v>
      </c>
      <c r="G43" s="22">
        <v>577</v>
      </c>
      <c r="H43" s="21">
        <v>1055811.67</v>
      </c>
      <c r="I43" s="20">
        <f>SUMIFS('Taux'!$D$6:$D$10,'Taux'!$A$6:$A$10,A43,'Taux'!$B$6:$B$10,D43)</f>
        <v>18.72282849</v>
      </c>
      <c r="J43" s="21">
        <f>IF(COUNT(H43,I43)=2,H43/I43,"n.d.")</f>
        <v>56391.67557209193</v>
      </c>
      <c r="K43" s="16" t="s">
        <v>186</v>
      </c>
    </row>
    <row r="44" spans="1:11" ht="19" customHeight="1">
      <c r="A44" s="16" t="s">
        <v>9</v>
      </c>
      <c r="B44" s="16" t="s">
        <v>55</v>
      </c>
      <c r="C44" s="16" t="s">
        <v>56</v>
      </c>
      <c r="D44" s="16" t="s">
        <v>19</v>
      </c>
      <c r="E44" s="16" t="s">
        <v>26</v>
      </c>
      <c r="F44" s="16" t="s">
        <v>154</v>
      </c>
      <c r="G44" s="22">
        <v>3490</v>
      </c>
      <c r="H44" s="21">
        <v>1891299.92</v>
      </c>
      <c r="I44" s="20">
        <f>SUMIFS('Taux'!$D$6:$D$10,'Taux'!$A$6:$A$10,A44,'Taux'!$B$6:$B$10,D44)</f>
        <v>18.72282849</v>
      </c>
      <c r="J44" s="21">
        <f>IF(COUNT(H44,I44)=2,H44/I44,"n.d.")</f>
        <v>101015.71570824125</v>
      </c>
      <c r="K44" s="16" t="s">
        <v>187</v>
      </c>
    </row>
    <row r="45" spans="1:11" ht="19" customHeight="1">
      <c r="A45" s="16" t="s">
        <v>9</v>
      </c>
      <c r="B45" s="16" t="s">
        <v>55</v>
      </c>
      <c r="C45" s="16" t="s">
        <v>56</v>
      </c>
      <c r="D45" s="16" t="s">
        <v>19</v>
      </c>
      <c r="E45" s="16" t="s">
        <v>26</v>
      </c>
      <c r="F45" s="16" t="s">
        <v>156</v>
      </c>
      <c r="G45" s="22">
        <v>3177</v>
      </c>
      <c r="H45" s="21">
        <v>1803180.89</v>
      </c>
      <c r="I45" s="20">
        <f>SUMIFS('Taux'!$D$6:$D$10,'Taux'!$A$6:$A$10,A45,'Taux'!$B$6:$B$10,D45)</f>
        <v>18.72282849</v>
      </c>
      <c r="J45" s="21">
        <f>IF(COUNT(H45,I45)=2,H45/I45,"n.d.")</f>
        <v>96309.21369402556</v>
      </c>
      <c r="K45" s="16" t="s">
        <v>188</v>
      </c>
    </row>
    <row r="46" spans="1:11" ht="19" customHeight="1">
      <c r="A46" s="16" t="s">
        <v>9</v>
      </c>
      <c r="B46" s="16" t="s">
        <v>55</v>
      </c>
      <c r="C46" s="16" t="s">
        <v>56</v>
      </c>
      <c r="D46" s="16" t="s">
        <v>19</v>
      </c>
      <c r="E46" s="16" t="s">
        <v>26</v>
      </c>
      <c r="F46" s="16" t="s">
        <v>158</v>
      </c>
      <c r="G46" s="22">
        <v>4518</v>
      </c>
      <c r="H46" s="21">
        <v>2617980.37999999</v>
      </c>
      <c r="I46" s="20">
        <f>SUMIFS('Taux'!$D$6:$D$10,'Taux'!$A$6:$A$10,A46,'Taux'!$B$6:$B$10,D46)</f>
        <v>18.72282849</v>
      </c>
      <c r="J46" s="21">
        <f>IF(COUNT(H46,I46)=2,H46/I46,"n.d.")</f>
        <v>139828.2519865133</v>
      </c>
      <c r="K46" s="16" t="s">
        <v>189</v>
      </c>
    </row>
    <row r="47" spans="1:11" ht="19" customHeight="1">
      <c r="A47" s="16" t="s">
        <v>9</v>
      </c>
      <c r="B47" s="16" t="s">
        <v>55</v>
      </c>
      <c r="C47" s="16" t="s">
        <v>56</v>
      </c>
      <c r="D47" s="16" t="s">
        <v>19</v>
      </c>
      <c r="E47" s="16" t="s">
        <v>26</v>
      </c>
      <c r="F47" s="16" t="s">
        <v>64</v>
      </c>
      <c r="G47" s="22">
        <v>6481</v>
      </c>
      <c r="H47" s="21">
        <v>3470230.67</v>
      </c>
      <c r="I47" s="20">
        <f>SUMIFS('Taux'!$D$6:$D$10,'Taux'!$A$6:$A$10,A47,'Taux'!$B$6:$B$10,D47)</f>
        <v>18.72282849</v>
      </c>
      <c r="J47" s="21">
        <f>IF(COUNT(H47,I47)=2,H47/I47,"n.d.")</f>
        <v>185347.56497147187</v>
      </c>
      <c r="K47" s="16" t="s">
        <v>190</v>
      </c>
    </row>
    <row r="48" spans="1:11" ht="19" customHeight="1">
      <c r="A48" s="16" t="s">
        <v>9</v>
      </c>
      <c r="B48" s="16" t="s">
        <v>55</v>
      </c>
      <c r="C48" s="16" t="s">
        <v>56</v>
      </c>
      <c r="D48" s="16" t="s">
        <v>19</v>
      </c>
      <c r="E48" s="16" t="s">
        <v>26</v>
      </c>
      <c r="F48" s="16" t="s">
        <v>46</v>
      </c>
      <c r="G48" s="22">
        <v>13904</v>
      </c>
      <c r="H48" s="21">
        <v>7308977.3999999</v>
      </c>
      <c r="I48" s="20">
        <f>SUMIFS('Taux'!$D$6:$D$10,'Taux'!$A$6:$A$10,A48,'Taux'!$B$6:$B$10,D48)</f>
        <v>18.72282849</v>
      </c>
      <c r="J48" s="21">
        <f>IF(COUNT(H48,I48)=2,H48/I48,"n.d.")</f>
        <v>390377.84295805934</v>
      </c>
      <c r="K48" s="16" t="s">
        <v>191</v>
      </c>
    </row>
    <row r="49" spans="1:11" ht="19" customHeight="1">
      <c r="A49" s="16" t="s">
        <v>9</v>
      </c>
      <c r="B49" s="16" t="s">
        <v>55</v>
      </c>
      <c r="C49" s="16" t="s">
        <v>56</v>
      </c>
      <c r="D49" s="16" t="s">
        <v>19</v>
      </c>
      <c r="E49" s="16" t="s">
        <v>26</v>
      </c>
      <c r="F49" s="16" t="s">
        <v>48</v>
      </c>
      <c r="G49" s="22">
        <v>38624</v>
      </c>
      <c r="H49" s="21">
        <v>12052692.47</v>
      </c>
      <c r="I49" s="20">
        <f>SUMIFS('Taux'!$D$6:$D$10,'Taux'!$A$6:$A$10,A49,'Taux'!$B$6:$B$10,D49)</f>
        <v>18.72282849</v>
      </c>
      <c r="J49" s="21">
        <f>IF(COUNT(H49,I49)=2,H49/I49,"n.d.")</f>
        <v>643743.1436407929</v>
      </c>
      <c r="K49" s="16" t="s">
        <v>192</v>
      </c>
    </row>
    <row r="50" spans="1:11" ht="19" customHeight="1">
      <c r="A50" s="16" t="s">
        <v>9</v>
      </c>
      <c r="B50" s="16" t="s">
        <v>60</v>
      </c>
      <c r="C50" s="16" t="s">
        <v>61</v>
      </c>
      <c r="D50" s="16" t="s">
        <v>10</v>
      </c>
      <c r="E50" s="16" t="s">
        <v>135</v>
      </c>
      <c r="F50" s="16" t="s">
        <v>193</v>
      </c>
      <c r="G50" s="22">
        <v>135</v>
      </c>
      <c r="H50" s="21">
        <v>313.4800000000001</v>
      </c>
      <c r="I50" s="20">
        <f>SUMIFS('Taux'!$D$6:$D$10,'Taux'!$A$6:$A$10,A50,'Taux'!$B$6:$B$10,D50)</f>
        <v>7.47467107</v>
      </c>
      <c r="J50" s="21">
        <f>IF(COUNT(H50,I50)=2,H50/I50,"n.d.")</f>
        <v>41.938969228782405</v>
      </c>
      <c r="K50" s="16" t="s">
        <v>194</v>
      </c>
    </row>
    <row r="51" spans="1:11" ht="19" customHeight="1">
      <c r="A51" s="16" t="s">
        <v>9</v>
      </c>
      <c r="B51" s="16" t="s">
        <v>60</v>
      </c>
      <c r="C51" s="16" t="s">
        <v>61</v>
      </c>
      <c r="D51" s="16" t="s">
        <v>10</v>
      </c>
      <c r="E51" s="16" t="s">
        <v>135</v>
      </c>
      <c r="F51" s="16" t="s">
        <v>195</v>
      </c>
      <c r="G51" s="22">
        <v>205</v>
      </c>
      <c r="H51" s="21">
        <v>6945.040000000003</v>
      </c>
      <c r="I51" s="20">
        <f>SUMIFS('Taux'!$D$6:$D$10,'Taux'!$A$6:$A$10,A51,'Taux'!$B$6:$B$10,D51)</f>
        <v>7.47467107</v>
      </c>
      <c r="J51" s="21">
        <f>IF(COUNT(H51,I51)=2,H51/I51,"n.d.")</f>
        <v>929.1432271681224</v>
      </c>
      <c r="K51" s="16" t="s">
        <v>196</v>
      </c>
    </row>
    <row r="52" spans="1:11" ht="19" customHeight="1">
      <c r="A52" s="16" t="s">
        <v>9</v>
      </c>
      <c r="B52" s="16" t="s">
        <v>60</v>
      </c>
      <c r="C52" s="16" t="s">
        <v>61</v>
      </c>
      <c r="D52" s="16" t="s">
        <v>10</v>
      </c>
      <c r="E52" s="16" t="s">
        <v>135</v>
      </c>
      <c r="F52" s="16" t="s">
        <v>197</v>
      </c>
      <c r="G52" s="22">
        <v>300</v>
      </c>
      <c r="H52" s="21">
        <v>78102.59999999999</v>
      </c>
      <c r="I52" s="20">
        <f>SUMIFS('Taux'!$D$6:$D$10,'Taux'!$A$6:$A$10,A52,'Taux'!$B$6:$B$10,D52)</f>
        <v>7.47467107</v>
      </c>
      <c r="J52" s="21">
        <f>IF(COUNT(H52,I52)=2,H52/I52,"n.d.")</f>
        <v>10448.96815773861</v>
      </c>
      <c r="K52" s="16" t="s">
        <v>198</v>
      </c>
    </row>
    <row r="53" spans="1:11" ht="19" customHeight="1">
      <c r="A53" s="16" t="s">
        <v>9</v>
      </c>
      <c r="B53" s="16" t="s">
        <v>60</v>
      </c>
      <c r="C53" s="16" t="s">
        <v>61</v>
      </c>
      <c r="D53" s="16" t="s">
        <v>10</v>
      </c>
      <c r="E53" s="16" t="s">
        <v>135</v>
      </c>
      <c r="F53" s="16" t="s">
        <v>199</v>
      </c>
      <c r="G53" s="22">
        <v>51</v>
      </c>
      <c r="H53" s="21">
        <v>83888.11999999998</v>
      </c>
      <c r="I53" s="20">
        <f>SUMIFS('Taux'!$D$6:$D$10,'Taux'!$A$6:$A$10,A53,'Taux'!$B$6:$B$10,D53)</f>
        <v>7.47467107</v>
      </c>
      <c r="J53" s="21">
        <f>IF(COUNT(H53,I53)=2,H53/I53,"n.d.")</f>
        <v>11222.984826274098</v>
      </c>
      <c r="K53" s="16" t="s">
        <v>200</v>
      </c>
    </row>
    <row r="54" spans="1:11" ht="19" customHeight="1">
      <c r="A54" s="16" t="s">
        <v>9</v>
      </c>
      <c r="B54" s="16" t="s">
        <v>60</v>
      </c>
      <c r="C54" s="16" t="s">
        <v>61</v>
      </c>
      <c r="D54" s="16" t="s">
        <v>10</v>
      </c>
      <c r="E54" s="16" t="s">
        <v>135</v>
      </c>
      <c r="F54" s="16" t="s">
        <v>201</v>
      </c>
      <c r="G54" s="22">
        <v>1</v>
      </c>
      <c r="H54" s="21">
        <v>13048.57</v>
      </c>
      <c r="I54" s="20">
        <f>SUMIFS('Taux'!$D$6:$D$10,'Taux'!$A$6:$A$10,A54,'Taux'!$B$6:$B$10,D54)</f>
        <v>7.47467107</v>
      </c>
      <c r="J54" s="21">
        <f>IF(COUNT(H54,I54)=2,H54/I54,"n.d.")</f>
        <v>1745.7049116677717</v>
      </c>
      <c r="K54" s="16" t="s">
        <v>202</v>
      </c>
    </row>
    <row r="55" spans="1:11" ht="19" customHeight="1">
      <c r="A55" s="16" t="s">
        <v>9</v>
      </c>
      <c r="B55" s="16" t="s">
        <v>60</v>
      </c>
      <c r="C55" s="16" t="s">
        <v>61</v>
      </c>
      <c r="D55" s="16" t="s">
        <v>10</v>
      </c>
      <c r="E55" s="16" t="s">
        <v>26</v>
      </c>
      <c r="F55" s="16" t="s">
        <v>146</v>
      </c>
      <c r="G55" s="22">
        <v>0</v>
      </c>
      <c r="H55" s="21">
        <v>0</v>
      </c>
      <c r="I55" s="20">
        <f>SUMIFS('Taux'!$D$6:$D$10,'Taux'!$A$6:$A$10,A55,'Taux'!$B$6:$B$10,D55)</f>
        <v>7.47467107</v>
      </c>
      <c r="J55" s="21">
        <f>IF(COUNT(H55,I55)=2,H55/I55,"n.d.")</f>
        <v>0.0</v>
      </c>
      <c r="K55" s="16" t="s">
        <v>203</v>
      </c>
    </row>
    <row r="56" spans="1:11" ht="19" customHeight="1">
      <c r="A56" s="16" t="s">
        <v>9</v>
      </c>
      <c r="B56" s="16" t="s">
        <v>60</v>
      </c>
      <c r="C56" s="16" t="s">
        <v>61</v>
      </c>
      <c r="D56" s="16" t="s">
        <v>10</v>
      </c>
      <c r="E56" s="16" t="s">
        <v>26</v>
      </c>
      <c r="F56" s="16" t="s">
        <v>148</v>
      </c>
      <c r="G56" s="22">
        <v>0</v>
      </c>
      <c r="H56" s="21">
        <v>0</v>
      </c>
      <c r="I56" s="20">
        <f>SUMIFS('Taux'!$D$6:$D$10,'Taux'!$A$6:$A$10,A56,'Taux'!$B$6:$B$10,D56)</f>
        <v>7.47467107</v>
      </c>
      <c r="J56" s="21">
        <f>IF(COUNT(H56,I56)=2,H56/I56,"n.d.")</f>
        <v>0.0</v>
      </c>
      <c r="K56" s="16" t="s">
        <v>204</v>
      </c>
    </row>
    <row r="57" spans="1:11" ht="19" customHeight="1">
      <c r="A57" s="16" t="s">
        <v>9</v>
      </c>
      <c r="B57" s="16" t="s">
        <v>60</v>
      </c>
      <c r="C57" s="16" t="s">
        <v>61</v>
      </c>
      <c r="D57" s="16" t="s">
        <v>10</v>
      </c>
      <c r="E57" s="16" t="s">
        <v>26</v>
      </c>
      <c r="F57" s="16" t="s">
        <v>150</v>
      </c>
      <c r="G57" s="22">
        <v>0</v>
      </c>
      <c r="H57" s="21">
        <v>0</v>
      </c>
      <c r="I57" s="20">
        <f>SUMIFS('Taux'!$D$6:$D$10,'Taux'!$A$6:$A$10,A57,'Taux'!$B$6:$B$10,D57)</f>
        <v>7.47467107</v>
      </c>
      <c r="J57" s="21">
        <f>IF(COUNT(H57,I57)=2,H57/I57,"n.d.")</f>
        <v>0.0</v>
      </c>
      <c r="K57" s="16" t="s">
        <v>205</v>
      </c>
    </row>
    <row r="58" spans="1:11" ht="19" customHeight="1">
      <c r="A58" s="16" t="s">
        <v>9</v>
      </c>
      <c r="B58" s="16" t="s">
        <v>60</v>
      </c>
      <c r="C58" s="16" t="s">
        <v>61</v>
      </c>
      <c r="D58" s="16" t="s">
        <v>10</v>
      </c>
      <c r="E58" s="16" t="s">
        <v>26</v>
      </c>
      <c r="F58" s="16" t="s">
        <v>152</v>
      </c>
      <c r="G58" s="22">
        <v>0</v>
      </c>
      <c r="H58" s="21">
        <v>0</v>
      </c>
      <c r="I58" s="20">
        <f>SUMIFS('Taux'!$D$6:$D$10,'Taux'!$A$6:$A$10,A58,'Taux'!$B$6:$B$10,D58)</f>
        <v>7.47467107</v>
      </c>
      <c r="J58" s="21">
        <f>IF(COUNT(H58,I58)=2,H58/I58,"n.d.")</f>
        <v>0.0</v>
      </c>
      <c r="K58" s="16" t="s">
        <v>206</v>
      </c>
    </row>
    <row r="59" spans="1:11" ht="19" customHeight="1">
      <c r="A59" s="16" t="s">
        <v>9</v>
      </c>
      <c r="B59" s="16" t="s">
        <v>60</v>
      </c>
      <c r="C59" s="16" t="s">
        <v>61</v>
      </c>
      <c r="D59" s="16" t="s">
        <v>10</v>
      </c>
      <c r="E59" s="16" t="s">
        <v>26</v>
      </c>
      <c r="F59" s="16" t="s">
        <v>154</v>
      </c>
      <c r="G59" s="22">
        <v>0</v>
      </c>
      <c r="H59" s="21">
        <v>0</v>
      </c>
      <c r="I59" s="20">
        <f>SUMIFS('Taux'!$D$6:$D$10,'Taux'!$A$6:$A$10,A59,'Taux'!$B$6:$B$10,D59)</f>
        <v>7.47467107</v>
      </c>
      <c r="J59" s="21">
        <f>IF(COUNT(H59,I59)=2,H59/I59,"n.d.")</f>
        <v>0.0</v>
      </c>
      <c r="K59" s="16" t="s">
        <v>207</v>
      </c>
    </row>
    <row r="60" spans="1:11" ht="19" customHeight="1">
      <c r="A60" s="16" t="s">
        <v>9</v>
      </c>
      <c r="B60" s="16" t="s">
        <v>60</v>
      </c>
      <c r="C60" s="16" t="s">
        <v>61</v>
      </c>
      <c r="D60" s="16" t="s">
        <v>10</v>
      </c>
      <c r="E60" s="16" t="s">
        <v>26</v>
      </c>
      <c r="F60" s="16" t="s">
        <v>156</v>
      </c>
      <c r="G60" s="22">
        <v>0</v>
      </c>
      <c r="H60" s="21">
        <v>0</v>
      </c>
      <c r="I60" s="20">
        <f>SUMIFS('Taux'!$D$6:$D$10,'Taux'!$A$6:$A$10,A60,'Taux'!$B$6:$B$10,D60)</f>
        <v>7.47467107</v>
      </c>
      <c r="J60" s="21">
        <f>IF(COUNT(H60,I60)=2,H60/I60,"n.d.")</f>
        <v>0.0</v>
      </c>
      <c r="K60" s="16" t="s">
        <v>208</v>
      </c>
    </row>
    <row r="61" spans="1:11" ht="19" customHeight="1">
      <c r="A61" s="16" t="s">
        <v>9</v>
      </c>
      <c r="B61" s="16" t="s">
        <v>60</v>
      </c>
      <c r="C61" s="16" t="s">
        <v>61</v>
      </c>
      <c r="D61" s="16" t="s">
        <v>10</v>
      </c>
      <c r="E61" s="16" t="s">
        <v>26</v>
      </c>
      <c r="F61" s="16" t="s">
        <v>158</v>
      </c>
      <c r="G61" s="22">
        <v>0</v>
      </c>
      <c r="H61" s="21">
        <v>0</v>
      </c>
      <c r="I61" s="20">
        <f>SUMIFS('Taux'!$D$6:$D$10,'Taux'!$A$6:$A$10,A61,'Taux'!$B$6:$B$10,D61)</f>
        <v>7.47467107</v>
      </c>
      <c r="J61" s="21">
        <f>IF(COUNT(H61,I61)=2,H61/I61,"n.d.")</f>
        <v>0.0</v>
      </c>
      <c r="K61" s="16" t="s">
        <v>209</v>
      </c>
    </row>
    <row r="62" spans="1:11" ht="19" customHeight="1">
      <c r="A62" s="16" t="s">
        <v>9</v>
      </c>
      <c r="B62" s="16" t="s">
        <v>60</v>
      </c>
      <c r="C62" s="16" t="s">
        <v>61</v>
      </c>
      <c r="D62" s="16" t="s">
        <v>10</v>
      </c>
      <c r="E62" s="16" t="s">
        <v>26</v>
      </c>
      <c r="F62" s="16" t="s">
        <v>64</v>
      </c>
      <c r="G62" s="22">
        <v>0</v>
      </c>
      <c r="H62" s="21">
        <v>0</v>
      </c>
      <c r="I62" s="20">
        <f>SUMIFS('Taux'!$D$6:$D$10,'Taux'!$A$6:$A$10,A62,'Taux'!$B$6:$B$10,D62)</f>
        <v>7.47467107</v>
      </c>
      <c r="J62" s="21">
        <f>IF(COUNT(H62,I62)=2,H62/I62,"n.d.")</f>
        <v>0.0</v>
      </c>
      <c r="K62" s="16" t="s">
        <v>210</v>
      </c>
    </row>
    <row r="63" spans="1:11" ht="19" customHeight="1">
      <c r="A63" s="16" t="s">
        <v>9</v>
      </c>
      <c r="B63" s="16" t="s">
        <v>60</v>
      </c>
      <c r="C63" s="16" t="s">
        <v>61</v>
      </c>
      <c r="D63" s="16" t="s">
        <v>10</v>
      </c>
      <c r="E63" s="16" t="s">
        <v>26</v>
      </c>
      <c r="F63" s="16" t="s">
        <v>46</v>
      </c>
      <c r="G63" s="22">
        <v>0</v>
      </c>
      <c r="H63" s="21">
        <v>0</v>
      </c>
      <c r="I63" s="20">
        <f>SUMIFS('Taux'!$D$6:$D$10,'Taux'!$A$6:$A$10,A63,'Taux'!$B$6:$B$10,D63)</f>
        <v>7.47467107</v>
      </c>
      <c r="J63" s="21">
        <f>IF(COUNT(H63,I63)=2,H63/I63,"n.d.")</f>
        <v>0.0</v>
      </c>
      <c r="K63" s="16" t="s">
        <v>211</v>
      </c>
    </row>
    <row r="64" spans="1:11" ht="19" customHeight="1">
      <c r="A64" s="16" t="s">
        <v>9</v>
      </c>
      <c r="B64" s="16" t="s">
        <v>60</v>
      </c>
      <c r="C64" s="16" t="s">
        <v>61</v>
      </c>
      <c r="D64" s="16" t="s">
        <v>10</v>
      </c>
      <c r="E64" s="16" t="s">
        <v>26</v>
      </c>
      <c r="F64" s="16" t="s">
        <v>48</v>
      </c>
      <c r="G64" s="22">
        <v>692</v>
      </c>
      <c r="H64" s="21">
        <v>182297.8099999999</v>
      </c>
      <c r="I64" s="20">
        <f>SUMIFS('Taux'!$D$6:$D$10,'Taux'!$A$6:$A$10,A64,'Taux'!$B$6:$B$10,D64)</f>
        <v>7.47467107</v>
      </c>
      <c r="J64" s="21">
        <f>IF(COUNT(H64,I64)=2,H64/I64,"n.d.")</f>
        <v>24388.740092077376</v>
      </c>
      <c r="K64" s="16" t="s">
        <v>212</v>
      </c>
    </row>
    <row r="65" spans="1:11" ht="19" customHeight="1">
      <c r="A65" s="16" t="s">
        <v>9</v>
      </c>
      <c r="B65" s="16" t="s">
        <v>68</v>
      </c>
      <c r="C65" s="16" t="s">
        <v>69</v>
      </c>
      <c r="D65" s="16" t="s">
        <v>15</v>
      </c>
      <c r="E65" s="16" t="s">
        <v>135</v>
      </c>
      <c r="F65" s="16" t="s">
        <v>213</v>
      </c>
      <c r="G65" s="22">
        <v>215</v>
      </c>
      <c r="H65" s="21">
        <v>900.8400000000005</v>
      </c>
      <c r="I65" s="20">
        <f>SUMIFS('Taux'!$D$6:$D$10,'Taux'!$A$6:$A$10,A65,'Taux'!$B$6:$B$10,D65)</f>
        <v>11.311264655</v>
      </c>
      <c r="J65" s="21">
        <f>IF(COUNT(H65,I65)=2,H65/I65,"n.d.")</f>
        <v>79.64096212723621</v>
      </c>
      <c r="K65" s="16" t="s">
        <v>214</v>
      </c>
    </row>
    <row r="66" spans="1:11" ht="19" customHeight="1">
      <c r="A66" s="16" t="s">
        <v>9</v>
      </c>
      <c r="B66" s="16" t="s">
        <v>68</v>
      </c>
      <c r="C66" s="16" t="s">
        <v>69</v>
      </c>
      <c r="D66" s="16" t="s">
        <v>15</v>
      </c>
      <c r="E66" s="16" t="s">
        <v>135</v>
      </c>
      <c r="F66" s="16" t="s">
        <v>215</v>
      </c>
      <c r="G66" s="22">
        <v>118</v>
      </c>
      <c r="H66" s="21">
        <v>4661.589999999999</v>
      </c>
      <c r="I66" s="20">
        <f>SUMIFS('Taux'!$D$6:$D$10,'Taux'!$A$6:$A$10,A66,'Taux'!$B$6:$B$10,D66)</f>
        <v>11.311264655</v>
      </c>
      <c r="J66" s="21">
        <f>IF(COUNT(H66,I66)=2,H66/I66,"n.d.")</f>
        <v>412.1192582952608</v>
      </c>
      <c r="K66" s="16" t="s">
        <v>216</v>
      </c>
    </row>
    <row r="67" spans="1:11" ht="19" customHeight="1">
      <c r="A67" s="16" t="s">
        <v>9</v>
      </c>
      <c r="B67" s="16" t="s">
        <v>68</v>
      </c>
      <c r="C67" s="16" t="s">
        <v>69</v>
      </c>
      <c r="D67" s="16" t="s">
        <v>15</v>
      </c>
      <c r="E67" s="16" t="s">
        <v>135</v>
      </c>
      <c r="F67" s="16" t="s">
        <v>217</v>
      </c>
      <c r="G67" s="22">
        <v>108</v>
      </c>
      <c r="H67" s="21">
        <v>46587.51</v>
      </c>
      <c r="I67" s="20">
        <f>SUMIFS('Taux'!$D$6:$D$10,'Taux'!$A$6:$A$10,A67,'Taux'!$B$6:$B$10,D67)</f>
        <v>11.311264655</v>
      </c>
      <c r="J67" s="21">
        <f>IF(COUNT(H67,I67)=2,H67/I67,"n.d.")</f>
        <v>4118.682695608805</v>
      </c>
      <c r="K67" s="16" t="s">
        <v>218</v>
      </c>
    </row>
    <row r="68" spans="1:11" ht="19" customHeight="1">
      <c r="A68" s="16" t="s">
        <v>9</v>
      </c>
      <c r="B68" s="16" t="s">
        <v>68</v>
      </c>
      <c r="C68" s="16" t="s">
        <v>69</v>
      </c>
      <c r="D68" s="16" t="s">
        <v>15</v>
      </c>
      <c r="E68" s="16" t="s">
        <v>135</v>
      </c>
      <c r="F68" s="16" t="s">
        <v>219</v>
      </c>
      <c r="G68" s="22">
        <v>20</v>
      </c>
      <c r="H68" s="21">
        <v>70098.11999999998</v>
      </c>
      <c r="I68" s="20">
        <f>SUMIFS('Taux'!$D$6:$D$10,'Taux'!$A$6:$A$10,A68,'Taux'!$B$6:$B$10,D68)</f>
        <v>11.311264655</v>
      </c>
      <c r="J68" s="21">
        <f>IF(COUNT(H68,I68)=2,H68/I68,"n.d.")</f>
        <v>6197.195639747851</v>
      </c>
      <c r="K68" s="16" t="s">
        <v>220</v>
      </c>
    </row>
    <row r="69" spans="1:11" ht="19" customHeight="1">
      <c r="A69" s="16" t="s">
        <v>9</v>
      </c>
      <c r="B69" s="16" t="s">
        <v>68</v>
      </c>
      <c r="C69" s="16" t="s">
        <v>69</v>
      </c>
      <c r="D69" s="16" t="s">
        <v>15</v>
      </c>
      <c r="E69" s="16" t="s">
        <v>135</v>
      </c>
      <c r="F69" s="16" t="s">
        <v>221</v>
      </c>
      <c r="G69" s="22">
        <v>0</v>
      </c>
      <c r="H69" s="21">
        <v>0</v>
      </c>
      <c r="I69" s="20">
        <f>SUMIFS('Taux'!$D$6:$D$10,'Taux'!$A$6:$A$10,A69,'Taux'!$B$6:$B$10,D69)</f>
        <v>11.311264655</v>
      </c>
      <c r="J69" s="21">
        <f>IF(COUNT(H69,I69)=2,H69/I69,"n.d.")</f>
        <v>0.0</v>
      </c>
      <c r="K69" s="16" t="s">
        <v>222</v>
      </c>
    </row>
    <row r="70" spans="1:11" ht="19" customHeight="1">
      <c r="A70" s="16" t="s">
        <v>9</v>
      </c>
      <c r="B70" s="16" t="s">
        <v>68</v>
      </c>
      <c r="C70" s="16" t="s">
        <v>69</v>
      </c>
      <c r="D70" s="16" t="s">
        <v>15</v>
      </c>
      <c r="E70" s="16" t="s">
        <v>26</v>
      </c>
      <c r="F70" s="16" t="s">
        <v>146</v>
      </c>
      <c r="G70" s="22">
        <v>0</v>
      </c>
      <c r="H70" s="21">
        <v>0</v>
      </c>
      <c r="I70" s="20">
        <f>SUMIFS('Taux'!$D$6:$D$10,'Taux'!$A$6:$A$10,A70,'Taux'!$B$6:$B$10,D70)</f>
        <v>11.311264655</v>
      </c>
      <c r="J70" s="21">
        <f>IF(COUNT(H70,I70)=2,H70/I70,"n.d.")</f>
        <v>0.0</v>
      </c>
      <c r="K70" s="16" t="s">
        <v>223</v>
      </c>
    </row>
    <row r="71" spans="1:11" ht="19" customHeight="1">
      <c r="A71" s="16" t="s">
        <v>9</v>
      </c>
      <c r="B71" s="16" t="s">
        <v>68</v>
      </c>
      <c r="C71" s="16" t="s">
        <v>69</v>
      </c>
      <c r="D71" s="16" t="s">
        <v>15</v>
      </c>
      <c r="E71" s="16" t="s">
        <v>26</v>
      </c>
      <c r="F71" s="16" t="s">
        <v>148</v>
      </c>
      <c r="G71" s="22">
        <v>0</v>
      </c>
      <c r="H71" s="21">
        <v>0</v>
      </c>
      <c r="I71" s="20">
        <f>SUMIFS('Taux'!$D$6:$D$10,'Taux'!$A$6:$A$10,A71,'Taux'!$B$6:$B$10,D71)</f>
        <v>11.311264655</v>
      </c>
      <c r="J71" s="21">
        <f>IF(COUNT(H71,I71)=2,H71/I71,"n.d.")</f>
        <v>0.0</v>
      </c>
      <c r="K71" s="16" t="s">
        <v>224</v>
      </c>
    </row>
    <row r="72" spans="1:11" ht="19" customHeight="1">
      <c r="A72" s="16" t="s">
        <v>9</v>
      </c>
      <c r="B72" s="16" t="s">
        <v>68</v>
      </c>
      <c r="C72" s="16" t="s">
        <v>69</v>
      </c>
      <c r="D72" s="16" t="s">
        <v>15</v>
      </c>
      <c r="E72" s="16" t="s">
        <v>26</v>
      </c>
      <c r="F72" s="16" t="s">
        <v>150</v>
      </c>
      <c r="G72" s="22">
        <v>0</v>
      </c>
      <c r="H72" s="21">
        <v>0</v>
      </c>
      <c r="I72" s="20">
        <f>SUMIFS('Taux'!$D$6:$D$10,'Taux'!$A$6:$A$10,A72,'Taux'!$B$6:$B$10,D72)</f>
        <v>11.311264655</v>
      </c>
      <c r="J72" s="21">
        <f>IF(COUNT(H72,I72)=2,H72/I72,"n.d.")</f>
        <v>0.0</v>
      </c>
      <c r="K72" s="16" t="s">
        <v>225</v>
      </c>
    </row>
    <row r="73" spans="1:11" ht="19" customHeight="1">
      <c r="A73" s="16" t="s">
        <v>9</v>
      </c>
      <c r="B73" s="16" t="s">
        <v>68</v>
      </c>
      <c r="C73" s="16" t="s">
        <v>69</v>
      </c>
      <c r="D73" s="16" t="s">
        <v>15</v>
      </c>
      <c r="E73" s="16" t="s">
        <v>26</v>
      </c>
      <c r="F73" s="16" t="s">
        <v>152</v>
      </c>
      <c r="G73" s="22">
        <v>0</v>
      </c>
      <c r="H73" s="21">
        <v>0</v>
      </c>
      <c r="I73" s="20">
        <f>SUMIFS('Taux'!$D$6:$D$10,'Taux'!$A$6:$A$10,A73,'Taux'!$B$6:$B$10,D73)</f>
        <v>11.311264655</v>
      </c>
      <c r="J73" s="21">
        <f>IF(COUNT(H73,I73)=2,H73/I73,"n.d.")</f>
        <v>0.0</v>
      </c>
      <c r="K73" s="16" t="s">
        <v>226</v>
      </c>
    </row>
    <row r="74" spans="1:11" ht="19" customHeight="1">
      <c r="A74" s="16" t="s">
        <v>9</v>
      </c>
      <c r="B74" s="16" t="s">
        <v>68</v>
      </c>
      <c r="C74" s="16" t="s">
        <v>69</v>
      </c>
      <c r="D74" s="16" t="s">
        <v>15</v>
      </c>
      <c r="E74" s="16" t="s">
        <v>26</v>
      </c>
      <c r="F74" s="16" t="s">
        <v>154</v>
      </c>
      <c r="G74" s="22">
        <v>0</v>
      </c>
      <c r="H74" s="21">
        <v>0</v>
      </c>
      <c r="I74" s="20">
        <f>SUMIFS('Taux'!$D$6:$D$10,'Taux'!$A$6:$A$10,A74,'Taux'!$B$6:$B$10,D74)</f>
        <v>11.311264655</v>
      </c>
      <c r="J74" s="21">
        <f>IF(COUNT(H74,I74)=2,H74/I74,"n.d.")</f>
        <v>0.0</v>
      </c>
      <c r="K74" s="16" t="s">
        <v>227</v>
      </c>
    </row>
    <row r="75" spans="1:11" ht="19" customHeight="1">
      <c r="A75" s="16" t="s">
        <v>9</v>
      </c>
      <c r="B75" s="16" t="s">
        <v>68</v>
      </c>
      <c r="C75" s="16" t="s">
        <v>69</v>
      </c>
      <c r="D75" s="16" t="s">
        <v>15</v>
      </c>
      <c r="E75" s="16" t="s">
        <v>26</v>
      </c>
      <c r="F75" s="16" t="s">
        <v>156</v>
      </c>
      <c r="G75" s="22">
        <v>0</v>
      </c>
      <c r="H75" s="21">
        <v>0</v>
      </c>
      <c r="I75" s="20">
        <f>SUMIFS('Taux'!$D$6:$D$10,'Taux'!$A$6:$A$10,A75,'Taux'!$B$6:$B$10,D75)</f>
        <v>11.311264655</v>
      </c>
      <c r="J75" s="21">
        <f>IF(COUNT(H75,I75)=2,H75/I75,"n.d.")</f>
        <v>0.0</v>
      </c>
      <c r="K75" s="16" t="s">
        <v>228</v>
      </c>
    </row>
    <row r="76" spans="1:11" ht="19" customHeight="1">
      <c r="A76" s="16" t="s">
        <v>9</v>
      </c>
      <c r="B76" s="16" t="s">
        <v>68</v>
      </c>
      <c r="C76" s="16" t="s">
        <v>69</v>
      </c>
      <c r="D76" s="16" t="s">
        <v>15</v>
      </c>
      <c r="E76" s="16" t="s">
        <v>26</v>
      </c>
      <c r="F76" s="16" t="s">
        <v>158</v>
      </c>
      <c r="G76" s="22">
        <v>0</v>
      </c>
      <c r="H76" s="21">
        <v>0</v>
      </c>
      <c r="I76" s="20">
        <f>SUMIFS('Taux'!$D$6:$D$10,'Taux'!$A$6:$A$10,A76,'Taux'!$B$6:$B$10,D76)</f>
        <v>11.311264655</v>
      </c>
      <c r="J76" s="21">
        <f>IF(COUNT(H76,I76)=2,H76/I76,"n.d.")</f>
        <v>0.0</v>
      </c>
      <c r="K76" s="16" t="s">
        <v>229</v>
      </c>
    </row>
    <row r="77" spans="1:11" ht="19" customHeight="1">
      <c r="A77" s="16" t="s">
        <v>9</v>
      </c>
      <c r="B77" s="16" t="s">
        <v>68</v>
      </c>
      <c r="C77" s="16" t="s">
        <v>69</v>
      </c>
      <c r="D77" s="16" t="s">
        <v>15</v>
      </c>
      <c r="E77" s="16" t="s">
        <v>26</v>
      </c>
      <c r="F77" s="16" t="s">
        <v>64</v>
      </c>
      <c r="G77" s="22">
        <v>0</v>
      </c>
      <c r="H77" s="21">
        <v>0</v>
      </c>
      <c r="I77" s="20">
        <f>SUMIFS('Taux'!$D$6:$D$10,'Taux'!$A$6:$A$10,A77,'Taux'!$B$6:$B$10,D77)</f>
        <v>11.311264655</v>
      </c>
      <c r="J77" s="21">
        <f>IF(COUNT(H77,I77)=2,H77/I77,"n.d.")</f>
        <v>0.0</v>
      </c>
      <c r="K77" s="16" t="s">
        <v>230</v>
      </c>
    </row>
    <row r="78" spans="1:11" ht="19" customHeight="1">
      <c r="A78" s="16" t="s">
        <v>9</v>
      </c>
      <c r="B78" s="16" t="s">
        <v>68</v>
      </c>
      <c r="C78" s="16" t="s">
        <v>69</v>
      </c>
      <c r="D78" s="16" t="s">
        <v>15</v>
      </c>
      <c r="E78" s="16" t="s">
        <v>26</v>
      </c>
      <c r="F78" s="16" t="s">
        <v>46</v>
      </c>
      <c r="G78" s="22">
        <v>0</v>
      </c>
      <c r="H78" s="21">
        <v>0</v>
      </c>
      <c r="I78" s="20">
        <f>SUMIFS('Taux'!$D$6:$D$10,'Taux'!$A$6:$A$10,A78,'Taux'!$B$6:$B$10,D78)</f>
        <v>11.311264655</v>
      </c>
      <c r="J78" s="21">
        <f>IF(COUNT(H78,I78)=2,H78/I78,"n.d.")</f>
        <v>0.0</v>
      </c>
      <c r="K78" s="16" t="s">
        <v>231</v>
      </c>
    </row>
    <row r="79" spans="1:11" ht="19" customHeight="1">
      <c r="A79" s="16" t="s">
        <v>9</v>
      </c>
      <c r="B79" s="16" t="s">
        <v>68</v>
      </c>
      <c r="C79" s="16" t="s">
        <v>69</v>
      </c>
      <c r="D79" s="16" t="s">
        <v>15</v>
      </c>
      <c r="E79" s="16" t="s">
        <v>26</v>
      </c>
      <c r="F79" s="16" t="s">
        <v>48</v>
      </c>
      <c r="G79" s="22">
        <v>461</v>
      </c>
      <c r="H79" s="21">
        <v>122248.06</v>
      </c>
      <c r="I79" s="20">
        <f>SUMIFS('Taux'!$D$6:$D$10,'Taux'!$A$6:$A$10,A79,'Taux'!$B$6:$B$10,D79)</f>
        <v>11.311264655</v>
      </c>
      <c r="J79" s="21">
        <f>IF(COUNT(H79,I79)=2,H79/I79,"n.d.")</f>
        <v>10807.638555779155</v>
      </c>
      <c r="K79" s="16" t="s">
        <v>232</v>
      </c>
    </row>
    <row r="80" spans="1:11" ht="19" customHeight="1">
      <c r="A80" s="16" t="s">
        <v>9</v>
      </c>
      <c r="B80" s="16" t="s">
        <v>74</v>
      </c>
      <c r="C80" s="16" t="s">
        <v>75</v>
      </c>
      <c r="D80" s="16" t="s">
        <v>17</v>
      </c>
      <c r="E80" s="16" t="s">
        <v>135</v>
      </c>
      <c r="F80" s="16" t="s">
        <v>233</v>
      </c>
      <c r="G80" s="22">
        <v>161</v>
      </c>
      <c r="H80" s="21">
        <v>263.22</v>
      </c>
      <c r="I80" s="20">
        <f>SUMIFS('Taux'!$D$6:$D$10,'Taux'!$A$6:$A$10,A80,'Taux'!$B$6:$B$10,D80)</f>
        <v>11.078026565</v>
      </c>
      <c r="J80" s="21">
        <f>IF(COUNT(H80,I80)=2,H80/I80,"n.d.")</f>
        <v>23.760549629987278</v>
      </c>
      <c r="K80" s="16" t="s">
        <v>234</v>
      </c>
    </row>
    <row r="81" spans="1:11" ht="19" customHeight="1">
      <c r="A81" s="16" t="s">
        <v>9</v>
      </c>
      <c r="B81" s="16" t="s">
        <v>74</v>
      </c>
      <c r="C81" s="16" t="s">
        <v>75</v>
      </c>
      <c r="D81" s="16" t="s">
        <v>17</v>
      </c>
      <c r="E81" s="16" t="s">
        <v>135</v>
      </c>
      <c r="F81" s="16" t="s">
        <v>235</v>
      </c>
      <c r="G81" s="22">
        <v>119</v>
      </c>
      <c r="H81" s="21">
        <v>6340.86</v>
      </c>
      <c r="I81" s="20">
        <f>SUMIFS('Taux'!$D$6:$D$10,'Taux'!$A$6:$A$10,A81,'Taux'!$B$6:$B$10,D81)</f>
        <v>11.078026565</v>
      </c>
      <c r="J81" s="21">
        <f>IF(COUNT(H81,I81)=2,H81/I81,"n.d.")</f>
        <v>572.3817290737829</v>
      </c>
      <c r="K81" s="16" t="s">
        <v>236</v>
      </c>
    </row>
    <row r="82" spans="1:11" ht="19" customHeight="1">
      <c r="A82" s="16" t="s">
        <v>9</v>
      </c>
      <c r="B82" s="16" t="s">
        <v>74</v>
      </c>
      <c r="C82" s="16" t="s">
        <v>75</v>
      </c>
      <c r="D82" s="16" t="s">
        <v>17</v>
      </c>
      <c r="E82" s="16" t="s">
        <v>135</v>
      </c>
      <c r="F82" s="16" t="s">
        <v>237</v>
      </c>
      <c r="G82" s="22">
        <v>175</v>
      </c>
      <c r="H82" s="21">
        <v>65226.56999999998</v>
      </c>
      <c r="I82" s="20">
        <f>SUMIFS('Taux'!$D$6:$D$10,'Taux'!$A$6:$A$10,A82,'Taux'!$B$6:$B$10,D82)</f>
        <v>11.078026565</v>
      </c>
      <c r="J82" s="21">
        <f>IF(COUNT(H82,I82)=2,H82/I82,"n.d.")</f>
        <v>5887.923234096341</v>
      </c>
      <c r="K82" s="16" t="s">
        <v>238</v>
      </c>
    </row>
    <row r="83" spans="1:11" ht="19" customHeight="1">
      <c r="A83" s="16" t="s">
        <v>9</v>
      </c>
      <c r="B83" s="16" t="s">
        <v>74</v>
      </c>
      <c r="C83" s="16" t="s">
        <v>75</v>
      </c>
      <c r="D83" s="16" t="s">
        <v>17</v>
      </c>
      <c r="E83" s="16" t="s">
        <v>135</v>
      </c>
      <c r="F83" s="16" t="s">
        <v>239</v>
      </c>
      <c r="G83" s="22">
        <v>32</v>
      </c>
      <c r="H83" s="21">
        <v>84813.40999999996</v>
      </c>
      <c r="I83" s="20">
        <f>SUMIFS('Taux'!$D$6:$D$10,'Taux'!$A$6:$A$10,A83,'Taux'!$B$6:$B$10,D83)</f>
        <v>11.078026565</v>
      </c>
      <c r="J83" s="21">
        <f>IF(COUNT(H83,I83)=2,H83/I83,"n.d.")</f>
        <v>7656.003486032439</v>
      </c>
      <c r="K83" s="16" t="s">
        <v>240</v>
      </c>
    </row>
    <row r="84" spans="1:11" ht="19" customHeight="1">
      <c r="A84" s="16" t="s">
        <v>9</v>
      </c>
      <c r="B84" s="16" t="s">
        <v>74</v>
      </c>
      <c r="C84" s="16" t="s">
        <v>75</v>
      </c>
      <c r="D84" s="16" t="s">
        <v>17</v>
      </c>
      <c r="E84" s="16" t="s">
        <v>135</v>
      </c>
      <c r="F84" s="16" t="s">
        <v>241</v>
      </c>
      <c r="G84" s="22">
        <v>0</v>
      </c>
      <c r="H84" s="21">
        <v>0</v>
      </c>
      <c r="I84" s="20">
        <f>SUMIFS('Taux'!$D$6:$D$10,'Taux'!$A$6:$A$10,A84,'Taux'!$B$6:$B$10,D84)</f>
        <v>11.078026565</v>
      </c>
      <c r="J84" s="21">
        <f>IF(COUNT(H84,I84)=2,H84/I84,"n.d.")</f>
        <v>0.0</v>
      </c>
      <c r="K84" s="16" t="s">
        <v>242</v>
      </c>
    </row>
    <row r="85" spans="1:11" ht="19" customHeight="1">
      <c r="A85" s="16" t="s">
        <v>9</v>
      </c>
      <c r="B85" s="16" t="s">
        <v>74</v>
      </c>
      <c r="C85" s="16" t="s">
        <v>75</v>
      </c>
      <c r="D85" s="16" t="s">
        <v>17</v>
      </c>
      <c r="E85" s="16" t="s">
        <v>26</v>
      </c>
      <c r="F85" s="16" t="s">
        <v>146</v>
      </c>
      <c r="G85" s="22">
        <v>0</v>
      </c>
      <c r="H85" s="21">
        <v>0</v>
      </c>
      <c r="I85" s="20">
        <f>SUMIFS('Taux'!$D$6:$D$10,'Taux'!$A$6:$A$10,A85,'Taux'!$B$6:$B$10,D85)</f>
        <v>11.078026565</v>
      </c>
      <c r="J85" s="21">
        <f>IF(COUNT(H85,I85)=2,H85/I85,"n.d.")</f>
        <v>0.0</v>
      </c>
      <c r="K85" s="16" t="s">
        <v>243</v>
      </c>
    </row>
    <row r="86" spans="1:11" ht="19" customHeight="1">
      <c r="A86" s="16" t="s">
        <v>9</v>
      </c>
      <c r="B86" s="16" t="s">
        <v>74</v>
      </c>
      <c r="C86" s="16" t="s">
        <v>75</v>
      </c>
      <c r="D86" s="16" t="s">
        <v>17</v>
      </c>
      <c r="E86" s="16" t="s">
        <v>26</v>
      </c>
      <c r="F86" s="16" t="s">
        <v>148</v>
      </c>
      <c r="G86" s="22">
        <v>0</v>
      </c>
      <c r="H86" s="21">
        <v>0</v>
      </c>
      <c r="I86" s="20">
        <f>SUMIFS('Taux'!$D$6:$D$10,'Taux'!$A$6:$A$10,A86,'Taux'!$B$6:$B$10,D86)</f>
        <v>11.078026565</v>
      </c>
      <c r="J86" s="21">
        <f>IF(COUNT(H86,I86)=2,H86/I86,"n.d.")</f>
        <v>0.0</v>
      </c>
      <c r="K86" s="16" t="s">
        <v>244</v>
      </c>
    </row>
    <row r="87" spans="1:11" ht="19" customHeight="1">
      <c r="A87" s="16" t="s">
        <v>9</v>
      </c>
      <c r="B87" s="16" t="s">
        <v>74</v>
      </c>
      <c r="C87" s="16" t="s">
        <v>75</v>
      </c>
      <c r="D87" s="16" t="s">
        <v>17</v>
      </c>
      <c r="E87" s="16" t="s">
        <v>26</v>
      </c>
      <c r="F87" s="16" t="s">
        <v>150</v>
      </c>
      <c r="G87" s="22">
        <v>0</v>
      </c>
      <c r="H87" s="21">
        <v>0</v>
      </c>
      <c r="I87" s="20">
        <f>SUMIFS('Taux'!$D$6:$D$10,'Taux'!$A$6:$A$10,A87,'Taux'!$B$6:$B$10,D87)</f>
        <v>11.078026565</v>
      </c>
      <c r="J87" s="21">
        <f>IF(COUNT(H87,I87)=2,H87/I87,"n.d.")</f>
        <v>0.0</v>
      </c>
      <c r="K87" s="16" t="s">
        <v>245</v>
      </c>
    </row>
    <row r="88" spans="1:11" ht="19" customHeight="1">
      <c r="A88" s="16" t="s">
        <v>9</v>
      </c>
      <c r="B88" s="16" t="s">
        <v>74</v>
      </c>
      <c r="C88" s="16" t="s">
        <v>75</v>
      </c>
      <c r="D88" s="16" t="s">
        <v>17</v>
      </c>
      <c r="E88" s="16" t="s">
        <v>26</v>
      </c>
      <c r="F88" s="16" t="s">
        <v>152</v>
      </c>
      <c r="G88" s="22">
        <v>0</v>
      </c>
      <c r="H88" s="21">
        <v>0</v>
      </c>
      <c r="I88" s="20">
        <f>SUMIFS('Taux'!$D$6:$D$10,'Taux'!$A$6:$A$10,A88,'Taux'!$B$6:$B$10,D88)</f>
        <v>11.078026565</v>
      </c>
      <c r="J88" s="21">
        <f>IF(COUNT(H88,I88)=2,H88/I88,"n.d.")</f>
        <v>0.0</v>
      </c>
      <c r="K88" s="16" t="s">
        <v>246</v>
      </c>
    </row>
    <row r="89" spans="1:11" ht="19" customHeight="1">
      <c r="A89" s="16" t="s">
        <v>9</v>
      </c>
      <c r="B89" s="16" t="s">
        <v>74</v>
      </c>
      <c r="C89" s="16" t="s">
        <v>75</v>
      </c>
      <c r="D89" s="16" t="s">
        <v>17</v>
      </c>
      <c r="E89" s="16" t="s">
        <v>26</v>
      </c>
      <c r="F89" s="16" t="s">
        <v>154</v>
      </c>
      <c r="G89" s="22">
        <v>0</v>
      </c>
      <c r="H89" s="21">
        <v>0</v>
      </c>
      <c r="I89" s="20">
        <f>SUMIFS('Taux'!$D$6:$D$10,'Taux'!$A$6:$A$10,A89,'Taux'!$B$6:$B$10,D89)</f>
        <v>11.078026565</v>
      </c>
      <c r="J89" s="21">
        <f>IF(COUNT(H89,I89)=2,H89/I89,"n.d.")</f>
        <v>0.0</v>
      </c>
      <c r="K89" s="16" t="s">
        <v>247</v>
      </c>
    </row>
    <row r="90" spans="1:11" ht="19" customHeight="1">
      <c r="A90" s="16" t="s">
        <v>9</v>
      </c>
      <c r="B90" s="16" t="s">
        <v>74</v>
      </c>
      <c r="C90" s="16" t="s">
        <v>75</v>
      </c>
      <c r="D90" s="16" t="s">
        <v>17</v>
      </c>
      <c r="E90" s="16" t="s">
        <v>26</v>
      </c>
      <c r="F90" s="16" t="s">
        <v>156</v>
      </c>
      <c r="G90" s="22">
        <v>0</v>
      </c>
      <c r="H90" s="21">
        <v>0</v>
      </c>
      <c r="I90" s="20">
        <f>SUMIFS('Taux'!$D$6:$D$10,'Taux'!$A$6:$A$10,A90,'Taux'!$B$6:$B$10,D90)</f>
        <v>11.078026565</v>
      </c>
      <c r="J90" s="21">
        <f>IF(COUNT(H90,I90)=2,H90/I90,"n.d.")</f>
        <v>0.0</v>
      </c>
      <c r="K90" s="16" t="s">
        <v>248</v>
      </c>
    </row>
    <row r="91" spans="1:11" ht="19" customHeight="1">
      <c r="A91" s="16" t="s">
        <v>9</v>
      </c>
      <c r="B91" s="16" t="s">
        <v>74</v>
      </c>
      <c r="C91" s="16" t="s">
        <v>75</v>
      </c>
      <c r="D91" s="16" t="s">
        <v>17</v>
      </c>
      <c r="E91" s="16" t="s">
        <v>26</v>
      </c>
      <c r="F91" s="16" t="s">
        <v>158</v>
      </c>
      <c r="G91" s="22">
        <v>0</v>
      </c>
      <c r="H91" s="21">
        <v>0</v>
      </c>
      <c r="I91" s="20">
        <f>SUMIFS('Taux'!$D$6:$D$10,'Taux'!$A$6:$A$10,A91,'Taux'!$B$6:$B$10,D91)</f>
        <v>11.078026565</v>
      </c>
      <c r="J91" s="21">
        <f>IF(COUNT(H91,I91)=2,H91/I91,"n.d.")</f>
        <v>0.0</v>
      </c>
      <c r="K91" s="16" t="s">
        <v>249</v>
      </c>
    </row>
    <row r="92" spans="1:11" ht="19" customHeight="1">
      <c r="A92" s="16" t="s">
        <v>9</v>
      </c>
      <c r="B92" s="16" t="s">
        <v>74</v>
      </c>
      <c r="C92" s="16" t="s">
        <v>75</v>
      </c>
      <c r="D92" s="16" t="s">
        <v>17</v>
      </c>
      <c r="E92" s="16" t="s">
        <v>26</v>
      </c>
      <c r="F92" s="16" t="s">
        <v>64</v>
      </c>
      <c r="G92" s="22">
        <v>0</v>
      </c>
      <c r="H92" s="21">
        <v>0</v>
      </c>
      <c r="I92" s="20">
        <f>SUMIFS('Taux'!$D$6:$D$10,'Taux'!$A$6:$A$10,A92,'Taux'!$B$6:$B$10,D92)</f>
        <v>11.078026565</v>
      </c>
      <c r="J92" s="21">
        <f>IF(COUNT(H92,I92)=2,H92/I92,"n.d.")</f>
        <v>0.0</v>
      </c>
      <c r="K92" s="16" t="s">
        <v>250</v>
      </c>
    </row>
    <row r="93" spans="1:11" ht="19" customHeight="1">
      <c r="A93" s="16" t="s">
        <v>9</v>
      </c>
      <c r="B93" s="16" t="s">
        <v>74</v>
      </c>
      <c r="C93" s="16" t="s">
        <v>75</v>
      </c>
      <c r="D93" s="16" t="s">
        <v>17</v>
      </c>
      <c r="E93" s="16" t="s">
        <v>26</v>
      </c>
      <c r="F93" s="16" t="s">
        <v>46</v>
      </c>
      <c r="G93" s="22">
        <v>0</v>
      </c>
      <c r="H93" s="21">
        <v>0</v>
      </c>
      <c r="I93" s="20">
        <f>SUMIFS('Taux'!$D$6:$D$10,'Taux'!$A$6:$A$10,A93,'Taux'!$B$6:$B$10,D93)</f>
        <v>11.078026565</v>
      </c>
      <c r="J93" s="21">
        <f>IF(COUNT(H93,I93)=2,H93/I93,"n.d.")</f>
        <v>0.0</v>
      </c>
      <c r="K93" s="16" t="s">
        <v>251</v>
      </c>
    </row>
    <row r="94" spans="1:11" ht="19" customHeight="1">
      <c r="A94" s="16" t="s">
        <v>9</v>
      </c>
      <c r="B94" s="16" t="s">
        <v>74</v>
      </c>
      <c r="C94" s="16" t="s">
        <v>75</v>
      </c>
      <c r="D94" s="16" t="s">
        <v>17</v>
      </c>
      <c r="E94" s="16" t="s">
        <v>26</v>
      </c>
      <c r="F94" s="16" t="s">
        <v>48</v>
      </c>
      <c r="G94" s="22">
        <v>487</v>
      </c>
      <c r="H94" s="21">
        <v>156644.0600000001</v>
      </c>
      <c r="I94" s="20">
        <f>SUMIFS('Taux'!$D$6:$D$10,'Taux'!$A$6:$A$10,A94,'Taux'!$B$6:$B$10,D94)</f>
        <v>11.078026565</v>
      </c>
      <c r="J94" s="21">
        <f>IF(COUNT(H94,I94)=2,H94/I94,"n.d.")</f>
        <v>14140.068998832568</v>
      </c>
      <c r="K94" s="16" t="s">
        <v>252</v>
      </c>
    </row>
  </sheetData>
  <conditionalFormatting sqref="A6:K94">
    <cfRule type="containsText" dxfId="0" priority="1" operator="containsText" text="n.d.">
      <formula>NOT(ISERROR(SEARCH("n.d.",A6)))</formula>
    </cfRule>
  </conditionalFormatting>
  <pageMargins left="0.3" right="0.3" top="0.4" bottom="0.4" header="0.3" footer="0.3"/>
  <pageSetup paperSize="9" fitToHeight="0" orientation="landscape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2:AB10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9" customHeight="1"/>
  <cols>
    <col min="1" max="1" width="15.7109375" style="16" customWidth="1"/>
    <col min="2" max="2" width="12.7109375" style="16" customWidth="1"/>
    <col min="3" max="3" width="17.7109375" style="16" customWidth="1"/>
    <col min="4" max="4" width="25.7109375" style="16" customWidth="1"/>
    <col min="5" max="5" width="20.7109375" style="16" customWidth="1"/>
    <col min="6" max="6" width="64.7109375" style="16" customWidth="1"/>
    <col min="7" max="7" width="18.7109375" style="16" customWidth="1"/>
    <col min="8" max="8" width="25.7109375" customWidth="1"/>
    <col min="9" max="28" width="18.7109375" style="16" customWidth="1"/>
  </cols>
  <sheetData>
    <row r="2" spans="1:8" ht="19" customHeight="1">
      <c r="A2" s="17" t="s">
        <v>1</v>
      </c>
    </row>
    <row r="3" spans="1:8" ht="19" customHeight="1">
      <c r="A3" s="18" t="s">
        <v>2</v>
      </c>
    </row>
    <row r="5" spans="1:8" ht="42" customHeight="1">
      <c r="A5" s="19" t="s">
        <v>3</v>
      </c>
      <c r="B5" s="19" t="s">
        <v>4</v>
      </c>
      <c r="C5" s="19" t="s">
        <v>5</v>
      </c>
      <c r="D5" s="19" t="s">
        <v>6</v>
      </c>
      <c r="E5" s="19" t="s">
        <v>7</v>
      </c>
      <c r="F5" s="19" t="s">
        <v>8</v>
      </c>
      <c r="H5" s="19" t="s">
        <v>21</v>
      </c>
    </row>
    <row r="6" spans="1:8" ht="19" customHeight="1">
      <c r="A6" s="16" t="s">
        <v>9</v>
      </c>
      <c r="B6" s="16" t="s">
        <v>10</v>
      </c>
      <c r="C6" s="26">
        <v>46174</v>
      </c>
      <c r="D6" s="20">
        <v>7.47467107</v>
      </c>
      <c r="E6" s="16" t="s">
        <v>11</v>
      </c>
      <c r="F6" s="16" t="s">
        <v>12</v>
      </c>
      <c r="H6" t="s">
        <v>9</v>
      </c>
    </row>
    <row r="7" spans="1:8" ht="19" customHeight="1">
      <c r="A7" s="16" t="s">
        <v>9</v>
      </c>
      <c r="B7" s="16" t="s">
        <v>13</v>
      </c>
      <c r="C7" s="26">
        <v>46174</v>
      </c>
      <c r="D7" s="20">
        <v>1</v>
      </c>
      <c r="E7" s="16" t="s">
        <v>11</v>
      </c>
      <c r="F7" s="16" t="s">
        <v>14</v>
      </c>
    </row>
    <row r="8" spans="1:8" ht="19" customHeight="1">
      <c r="A8" s="16" t="s">
        <v>9</v>
      </c>
      <c r="B8" s="16" t="s">
        <v>15</v>
      </c>
      <c r="C8" s="26">
        <v>46174</v>
      </c>
      <c r="D8" s="20">
        <v>11.311264655</v>
      </c>
      <c r="E8" s="16" t="s">
        <v>11</v>
      </c>
      <c r="F8" s="16" t="s">
        <v>16</v>
      </c>
    </row>
    <row r="9" spans="1:8" ht="19" customHeight="1">
      <c r="A9" s="16" t="s">
        <v>9</v>
      </c>
      <c r="B9" s="16" t="s">
        <v>17</v>
      </c>
      <c r="C9" s="26">
        <v>46174</v>
      </c>
      <c r="D9" s="20">
        <v>11.078026565</v>
      </c>
      <c r="E9" s="16" t="s">
        <v>11</v>
      </c>
      <c r="F9" s="16" t="s">
        <v>18</v>
      </c>
    </row>
    <row r="10" spans="1:8" ht="19" customHeight="1">
      <c r="A10" s="16" t="s">
        <v>9</v>
      </c>
      <c r="B10" s="16" t="s">
        <v>19</v>
      </c>
      <c r="C10" s="26">
        <v>46174</v>
      </c>
      <c r="D10" s="20">
        <v>18.72282849</v>
      </c>
      <c r="E10" s="16" t="s">
        <v>11</v>
      </c>
      <c r="F10" s="16" t="s">
        <v>20</v>
      </c>
    </row>
  </sheetData>
  <conditionalFormatting sqref="A6:F10">
    <cfRule type="containsText" dxfId="0" priority="1" operator="containsText" text="n.d.">
      <formula>NOT(ISERROR(SEARCH("n.d.",A6)))</formula>
    </cfRule>
  </conditionalFormatting>
  <pageMargins left="0.3" right="0.3" top="0.4" bottom="0.4" header="0.3" footer="0.3"/>
  <pageSetup paperSize="9" fitToHeight="0" orientation="landscape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2:AB46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9" customHeight="1"/>
  <cols>
    <col min="1" max="1" width="15.7109375" style="16" customWidth="1"/>
    <col min="2" max="2" width="14.7109375" style="16" customWidth="1"/>
    <col min="3" max="3" width="26.7109375" style="16" customWidth="1"/>
    <col min="4" max="4" width="12.7109375" style="16" customWidth="1"/>
    <col min="5" max="5" width="100.7109375" style="16" customWidth="1"/>
    <col min="6" max="6" width="64.7109375" style="16" customWidth="1"/>
    <col min="7" max="28" width="18.7109375" style="16" customWidth="1"/>
  </cols>
  <sheetData>
    <row r="2" spans="1:6" ht="19" customHeight="1">
      <c r="A2" s="17" t="s">
        <v>272</v>
      </c>
    </row>
    <row r="3" spans="1:6" ht="19" customHeight="1">
      <c r="A3" s="18" t="s">
        <v>273</v>
      </c>
    </row>
    <row r="5" spans="1:6" ht="42" customHeight="1">
      <c r="A5" s="19" t="s">
        <v>3</v>
      </c>
      <c r="B5" s="19" t="s">
        <v>274</v>
      </c>
      <c r="C5" s="19" t="s">
        <v>275</v>
      </c>
      <c r="D5" s="19" t="s">
        <v>25</v>
      </c>
      <c r="E5" s="19" t="s">
        <v>276</v>
      </c>
      <c r="F5" s="19" t="s">
        <v>8</v>
      </c>
    </row>
    <row r="6" spans="1:6" ht="19" customHeight="1">
      <c r="A6" s="16" t="s">
        <v>9</v>
      </c>
      <c r="B6" s="16" t="s">
        <v>277</v>
      </c>
      <c r="C6" s="16" t="s">
        <v>278</v>
      </c>
      <c r="D6" s="16"/>
      <c r="E6" s="27" t="s">
        <v>279</v>
      </c>
      <c r="F6" s="16" t="s">
        <v>280</v>
      </c>
    </row>
    <row r="7" spans="1:6" ht="19" customHeight="1">
      <c r="A7" s="16" t="s">
        <v>9</v>
      </c>
      <c r="B7" s="16" t="s">
        <v>277</v>
      </c>
      <c r="C7" s="16" t="s">
        <v>278</v>
      </c>
      <c r="D7" s="16"/>
      <c r="E7" s="27" t="s">
        <v>281</v>
      </c>
      <c r="F7" s="16" t="s">
        <v>282</v>
      </c>
    </row>
    <row r="8" spans="1:6" ht="19" customHeight="1">
      <c r="A8" s="16" t="s">
        <v>9</v>
      </c>
      <c r="B8" s="16" t="s">
        <v>277</v>
      </c>
      <c r="C8" s="16" t="s">
        <v>283</v>
      </c>
      <c r="D8" s="16" t="s">
        <v>41</v>
      </c>
      <c r="E8" s="27" t="s">
        <v>284</v>
      </c>
      <c r="F8" s="16" t="s">
        <v>285</v>
      </c>
    </row>
    <row r="9" spans="1:6" ht="19" customHeight="1">
      <c r="A9" s="16" t="s">
        <v>9</v>
      </c>
      <c r="B9" s="16" t="s">
        <v>277</v>
      </c>
      <c r="C9" s="16" t="s">
        <v>283</v>
      </c>
      <c r="D9" s="16" t="s">
        <v>41</v>
      </c>
      <c r="E9" s="27" t="s">
        <v>284</v>
      </c>
      <c r="F9" s="16" t="s">
        <v>286</v>
      </c>
    </row>
    <row r="10" spans="1:6" ht="19" customHeight="1">
      <c r="A10" s="16" t="s">
        <v>9</v>
      </c>
      <c r="B10" s="16" t="s">
        <v>277</v>
      </c>
      <c r="C10" s="16" t="s">
        <v>283</v>
      </c>
      <c r="D10" s="16" t="s">
        <v>41</v>
      </c>
      <c r="E10" s="27" t="s">
        <v>284</v>
      </c>
      <c r="F10" s="16" t="s">
        <v>287</v>
      </c>
    </row>
    <row r="11" spans="1:6" ht="19" customHeight="1">
      <c r="A11" s="16" t="s">
        <v>9</v>
      </c>
      <c r="B11" s="16" t="s">
        <v>277</v>
      </c>
      <c r="C11" s="16" t="s">
        <v>283</v>
      </c>
      <c r="D11" s="16" t="s">
        <v>41</v>
      </c>
      <c r="E11" s="27" t="s">
        <v>284</v>
      </c>
      <c r="F11" s="16" t="s">
        <v>288</v>
      </c>
    </row>
    <row r="12" spans="1:6" ht="19" customHeight="1">
      <c r="A12" s="16" t="s">
        <v>9</v>
      </c>
      <c r="B12" s="16" t="s">
        <v>277</v>
      </c>
      <c r="C12" s="16" t="s">
        <v>289</v>
      </c>
      <c r="D12" s="16" t="s">
        <v>41</v>
      </c>
      <c r="E12" s="27" t="s">
        <v>290</v>
      </c>
      <c r="F12" s="16" t="s">
        <v>291</v>
      </c>
    </row>
    <row r="13" spans="1:6" ht="19" customHeight="1">
      <c r="A13" s="16" t="s">
        <v>9</v>
      </c>
      <c r="B13" s="16" t="s">
        <v>277</v>
      </c>
      <c r="C13" s="16" t="s">
        <v>289</v>
      </c>
      <c r="D13" s="16" t="s">
        <v>41</v>
      </c>
      <c r="E13" s="27" t="s">
        <v>292</v>
      </c>
      <c r="F13" s="16" t="s">
        <v>293</v>
      </c>
    </row>
    <row r="14" spans="1:6" ht="19" customHeight="1">
      <c r="A14" s="16" t="s">
        <v>9</v>
      </c>
      <c r="B14" s="16" t="s">
        <v>277</v>
      </c>
      <c r="C14" s="16" t="s">
        <v>283</v>
      </c>
      <c r="D14" s="16" t="s">
        <v>50</v>
      </c>
      <c r="E14" s="27" t="s">
        <v>284</v>
      </c>
      <c r="F14" s="16" t="s">
        <v>294</v>
      </c>
    </row>
    <row r="15" spans="1:6" ht="19" customHeight="1">
      <c r="A15" s="16" t="s">
        <v>9</v>
      </c>
      <c r="B15" s="16" t="s">
        <v>277</v>
      </c>
      <c r="C15" s="16" t="s">
        <v>283</v>
      </c>
      <c r="D15" s="16" t="s">
        <v>50</v>
      </c>
      <c r="E15" s="27" t="s">
        <v>284</v>
      </c>
      <c r="F15" s="16" t="s">
        <v>295</v>
      </c>
    </row>
    <row r="16" spans="1:6" ht="19" customHeight="1">
      <c r="A16" s="16" t="s">
        <v>9</v>
      </c>
      <c r="B16" s="16" t="s">
        <v>277</v>
      </c>
      <c r="C16" s="16" t="s">
        <v>283</v>
      </c>
      <c r="D16" s="16" t="s">
        <v>50</v>
      </c>
      <c r="E16" s="27" t="s">
        <v>284</v>
      </c>
      <c r="F16" s="16" t="s">
        <v>296</v>
      </c>
    </row>
    <row r="17" spans="1:6" ht="19" customHeight="1">
      <c r="A17" s="16" t="s">
        <v>9</v>
      </c>
      <c r="B17" s="16" t="s">
        <v>277</v>
      </c>
      <c r="C17" s="16" t="s">
        <v>283</v>
      </c>
      <c r="D17" s="16" t="s">
        <v>50</v>
      </c>
      <c r="E17" s="27" t="s">
        <v>284</v>
      </c>
      <c r="F17" s="16" t="s">
        <v>297</v>
      </c>
    </row>
    <row r="18" spans="1:6" ht="19" customHeight="1">
      <c r="A18" s="16" t="s">
        <v>9</v>
      </c>
      <c r="B18" s="16" t="s">
        <v>277</v>
      </c>
      <c r="C18" s="16" t="s">
        <v>283</v>
      </c>
      <c r="D18" s="16" t="s">
        <v>50</v>
      </c>
      <c r="E18" s="27" t="s">
        <v>284</v>
      </c>
      <c r="F18" s="16" t="s">
        <v>298</v>
      </c>
    </row>
    <row r="19" spans="1:6" ht="19" customHeight="1">
      <c r="A19" s="16" t="s">
        <v>9</v>
      </c>
      <c r="B19" s="16" t="s">
        <v>277</v>
      </c>
      <c r="C19" s="16" t="s">
        <v>283</v>
      </c>
      <c r="D19" s="16" t="s">
        <v>50</v>
      </c>
      <c r="E19" s="27" t="s">
        <v>284</v>
      </c>
      <c r="F19" s="16" t="s">
        <v>299</v>
      </c>
    </row>
    <row r="20" spans="1:6" ht="19" customHeight="1">
      <c r="A20" s="16" t="s">
        <v>9</v>
      </c>
      <c r="B20" s="16" t="s">
        <v>277</v>
      </c>
      <c r="C20" s="16" t="s">
        <v>283</v>
      </c>
      <c r="D20" s="16" t="s">
        <v>50</v>
      </c>
      <c r="E20" s="27" t="s">
        <v>284</v>
      </c>
      <c r="F20" s="16" t="s">
        <v>300</v>
      </c>
    </row>
    <row r="21" spans="1:6" ht="19" customHeight="1">
      <c r="A21" s="16" t="s">
        <v>9</v>
      </c>
      <c r="B21" s="16" t="s">
        <v>277</v>
      </c>
      <c r="C21" s="16" t="s">
        <v>283</v>
      </c>
      <c r="D21" s="16" t="s">
        <v>50</v>
      </c>
      <c r="E21" s="27" t="s">
        <v>284</v>
      </c>
      <c r="F21" s="16" t="s">
        <v>301</v>
      </c>
    </row>
    <row r="22" spans="1:6" ht="19" customHeight="1">
      <c r="A22" s="16" t="s">
        <v>9</v>
      </c>
      <c r="B22" s="16" t="s">
        <v>277</v>
      </c>
      <c r="C22" s="16" t="s">
        <v>283</v>
      </c>
      <c r="D22" s="16" t="s">
        <v>50</v>
      </c>
      <c r="E22" s="27" t="s">
        <v>284</v>
      </c>
      <c r="F22" s="16" t="s">
        <v>302</v>
      </c>
    </row>
    <row r="23" spans="1:6" ht="19" customHeight="1">
      <c r="A23" s="16" t="s">
        <v>9</v>
      </c>
      <c r="B23" s="16" t="s">
        <v>277</v>
      </c>
      <c r="C23" s="16" t="s">
        <v>283</v>
      </c>
      <c r="D23" s="16" t="s">
        <v>50</v>
      </c>
      <c r="E23" s="27" t="s">
        <v>284</v>
      </c>
      <c r="F23" s="16" t="s">
        <v>303</v>
      </c>
    </row>
    <row r="24" spans="1:6" ht="19" customHeight="1">
      <c r="A24" s="16" t="s">
        <v>9</v>
      </c>
      <c r="B24" s="16" t="s">
        <v>277</v>
      </c>
      <c r="C24" s="16" t="s">
        <v>283</v>
      </c>
      <c r="D24" s="16" t="s">
        <v>50</v>
      </c>
      <c r="E24" s="27" t="s">
        <v>284</v>
      </c>
      <c r="F24" s="16" t="s">
        <v>304</v>
      </c>
    </row>
    <row r="25" spans="1:6" ht="19" customHeight="1">
      <c r="A25" s="16" t="s">
        <v>9</v>
      </c>
      <c r="B25" s="16" t="s">
        <v>277</v>
      </c>
      <c r="C25" s="16" t="s">
        <v>283</v>
      </c>
      <c r="D25" s="16" t="s">
        <v>50</v>
      </c>
      <c r="E25" s="27" t="s">
        <v>284</v>
      </c>
      <c r="F25" s="16" t="s">
        <v>305</v>
      </c>
    </row>
    <row r="26" spans="1:6" ht="19" customHeight="1">
      <c r="A26" s="16" t="s">
        <v>9</v>
      </c>
      <c r="B26" s="16" t="s">
        <v>277</v>
      </c>
      <c r="C26" s="16" t="s">
        <v>283</v>
      </c>
      <c r="D26" s="16" t="s">
        <v>50</v>
      </c>
      <c r="E26" s="27" t="s">
        <v>284</v>
      </c>
      <c r="F26" s="16" t="s">
        <v>306</v>
      </c>
    </row>
    <row r="27" spans="1:6" ht="19" customHeight="1">
      <c r="A27" s="16" t="s">
        <v>9</v>
      </c>
      <c r="B27" s="16" t="s">
        <v>277</v>
      </c>
      <c r="C27" s="16" t="s">
        <v>283</v>
      </c>
      <c r="D27" s="16" t="s">
        <v>50</v>
      </c>
      <c r="E27" s="27" t="s">
        <v>284</v>
      </c>
      <c r="F27" s="16" t="s">
        <v>307</v>
      </c>
    </row>
    <row r="28" spans="1:6" ht="19" customHeight="1">
      <c r="A28" s="16" t="s">
        <v>9</v>
      </c>
      <c r="B28" s="16" t="s">
        <v>277</v>
      </c>
      <c r="C28" s="16" t="s">
        <v>283</v>
      </c>
      <c r="D28" s="16" t="s">
        <v>50</v>
      </c>
      <c r="E28" s="27" t="s">
        <v>284</v>
      </c>
      <c r="F28" s="16" t="s">
        <v>308</v>
      </c>
    </row>
    <row r="29" spans="1:6" ht="19" customHeight="1">
      <c r="A29" s="16" t="s">
        <v>9</v>
      </c>
      <c r="B29" s="16" t="s">
        <v>277</v>
      </c>
      <c r="C29" s="16" t="s">
        <v>283</v>
      </c>
      <c r="D29" s="16" t="s">
        <v>50</v>
      </c>
      <c r="E29" s="27" t="s">
        <v>284</v>
      </c>
      <c r="F29" s="16" t="s">
        <v>309</v>
      </c>
    </row>
    <row r="30" spans="1:6" ht="32" customHeight="1">
      <c r="A30" s="16" t="s">
        <v>9</v>
      </c>
      <c r="B30" s="16" t="s">
        <v>277</v>
      </c>
      <c r="C30" s="16" t="s">
        <v>310</v>
      </c>
      <c r="D30" s="16" t="s">
        <v>55</v>
      </c>
      <c r="E30" s="27" t="s">
        <v>311</v>
      </c>
      <c r="F30" s="16" t="s">
        <v>312</v>
      </c>
    </row>
    <row r="31" spans="1:6" ht="32" customHeight="1">
      <c r="A31" s="16" t="s">
        <v>9</v>
      </c>
      <c r="B31" s="16" t="s">
        <v>277</v>
      </c>
      <c r="C31" s="16" t="s">
        <v>313</v>
      </c>
      <c r="D31" s="16" t="s">
        <v>55</v>
      </c>
      <c r="E31" s="27" t="s">
        <v>314</v>
      </c>
      <c r="F31" s="16" t="s">
        <v>178</v>
      </c>
    </row>
    <row r="32" spans="1:6" ht="32" customHeight="1">
      <c r="A32" s="16" t="s">
        <v>9</v>
      </c>
      <c r="B32" s="16" t="s">
        <v>277</v>
      </c>
      <c r="C32" s="16" t="s">
        <v>315</v>
      </c>
      <c r="D32" s="16" t="s">
        <v>60</v>
      </c>
      <c r="E32" s="27" t="s">
        <v>316</v>
      </c>
      <c r="F32" s="16" t="s">
        <v>317</v>
      </c>
    </row>
    <row r="33" spans="1:6" ht="32" customHeight="1">
      <c r="A33" s="16" t="s">
        <v>9</v>
      </c>
      <c r="B33" s="16" t="s">
        <v>277</v>
      </c>
      <c r="C33" s="16" t="s">
        <v>315</v>
      </c>
      <c r="D33" s="16" t="s">
        <v>68</v>
      </c>
      <c r="E33" s="27" t="s">
        <v>316</v>
      </c>
      <c r="F33" s="16" t="s">
        <v>317</v>
      </c>
    </row>
    <row r="34" spans="1:6" ht="32" customHeight="1">
      <c r="A34" s="16" t="s">
        <v>9</v>
      </c>
      <c r="B34" s="16" t="s">
        <v>277</v>
      </c>
      <c r="C34" s="16" t="s">
        <v>315</v>
      </c>
      <c r="D34" s="16" t="s">
        <v>74</v>
      </c>
      <c r="E34" s="27" t="s">
        <v>316</v>
      </c>
      <c r="F34" s="16" t="s">
        <v>317</v>
      </c>
    </row>
    <row r="38" spans="1:6" ht="19" customHeight="1">
      <c r="A38" s="28" t="s">
        <v>318</v>
      </c>
    </row>
    <row r="39" spans="1:6" ht="19" customHeight="1">
      <c r="A39" s="16" t="s">
        <v>9</v>
      </c>
      <c r="B39" s="16" t="s">
        <v>319</v>
      </c>
      <c r="C39" s="16" t="s">
        <v>320</v>
      </c>
    </row>
    <row r="40" spans="1:6" ht="19" customHeight="1">
      <c r="A40" s="16" t="s">
        <v>9</v>
      </c>
      <c r="B40" s="16" t="s">
        <v>321</v>
      </c>
      <c r="C40" s="16" t="s">
        <v>322</v>
      </c>
    </row>
    <row r="41" spans="1:6" ht="19" customHeight="1">
      <c r="A41" s="16" t="s">
        <v>9</v>
      </c>
      <c r="B41" s="16" t="s">
        <v>323</v>
      </c>
      <c r="C41" s="16" t="s">
        <v>324</v>
      </c>
    </row>
    <row r="42" spans="1:6" ht="19" customHeight="1">
      <c r="A42" s="16" t="s">
        <v>9</v>
      </c>
      <c r="B42" s="16" t="s">
        <v>317</v>
      </c>
      <c r="C42" s="16" t="s">
        <v>325</v>
      </c>
    </row>
    <row r="43" spans="1:6" ht="19" customHeight="1">
      <c r="A43" s="16" t="s">
        <v>9</v>
      </c>
      <c r="B43" s="16" t="s">
        <v>326</v>
      </c>
      <c r="C43" s="16" t="s">
        <v>327</v>
      </c>
    </row>
    <row r="44" spans="1:6" ht="19" customHeight="1">
      <c r="A44" s="16" t="s">
        <v>9</v>
      </c>
      <c r="B44" s="16" t="s">
        <v>328</v>
      </c>
      <c r="C44" s="16" t="s">
        <v>329</v>
      </c>
    </row>
    <row r="45" spans="1:6" ht="19" customHeight="1">
      <c r="A45" s="16" t="s">
        <v>9</v>
      </c>
      <c r="B45" s="16" t="s">
        <v>330</v>
      </c>
      <c r="C45" s="16" t="s">
        <v>331</v>
      </c>
    </row>
    <row r="46" spans="1:6" ht="19" customHeight="1">
      <c r="A46" s="16" t="s">
        <v>9</v>
      </c>
      <c r="B46" s="16" t="s">
        <v>332</v>
      </c>
      <c r="C46" s="16" t="s">
        <v>333</v>
      </c>
    </row>
  </sheetData>
  <conditionalFormatting sqref="A6:F34">
    <cfRule type="containsText" dxfId="0" priority="1" operator="containsText" text="n.d.">
      <formula>NOT(ISERROR(SEARCH("n.d.",A6)))</formula>
    </cfRule>
  </conditionalFormatting>
  <conditionalFormatting sqref="B6:B34">
    <cfRule type="containsText" dxfId="1" priority="2" operator="containsText" text="warning">
      <formula>NOT(ISERROR(SEARCH("warning",B6)))</formula>
    </cfRule>
  </conditionalFormatting>
  <pageMargins left="0.3" right="0.3" top="0.4" bottom="0.4" header="0.3" footer="0.3"/>
  <pageSetup paperSize="9" fitToHeight="0" orientation="landscape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A4AAB0"/>
    <pageSetUpPr fitToPage="1"/>
  </sheetPr>
  <dimension ref="A2:AB22"/>
  <sheetViews>
    <sheetView showGridLines="0" workbookViewId="0"/>
  </sheetViews>
  <sheetFormatPr defaultRowHeight="19" customHeight="1"/>
  <cols>
    <col min="1" max="1" width="3.7109375" customWidth="1"/>
    <col min="2" max="2" width="35.7109375" customWidth="1"/>
    <col min="3" max="3" width="112.7109375" customWidth="1"/>
    <col min="4" max="28" width="18.7109375" style="16" customWidth="1"/>
  </cols>
  <sheetData>
    <row r="2" spans="2:3" ht="19" customHeight="1">
      <c r="B2" s="17" t="s">
        <v>334</v>
      </c>
    </row>
    <row r="5" spans="2:3" ht="34" customHeight="1">
      <c r="B5" s="28" t="s">
        <v>335</v>
      </c>
      <c r="C5" s="16" t="s">
        <v>493</v>
      </c>
    </row>
    <row r="6" spans="2:3" ht="34" customHeight="1">
      <c r="B6" s="28" t="s">
        <v>337</v>
      </c>
      <c r="C6" s="16" t="s">
        <v>494</v>
      </c>
    </row>
    <row r="7" spans="2:3" ht="34" customHeight="1">
      <c r="B7" s="28" t="s">
        <v>339</v>
      </c>
      <c r="C7" s="29" t="s">
        <v>340</v>
      </c>
    </row>
    <row r="8" spans="2:3" ht="34" customHeight="1">
      <c r="B8" s="28" t="s">
        <v>341</v>
      </c>
      <c r="C8" s="29" t="s">
        <v>342</v>
      </c>
    </row>
    <row r="9" spans="2:3" ht="34" customHeight="1">
      <c r="B9" s="28" t="s">
        <v>343</v>
      </c>
      <c r="C9" s="29" t="s">
        <v>344</v>
      </c>
    </row>
    <row r="10" spans="2:3" ht="34" customHeight="1">
      <c r="B10" s="28" t="s">
        <v>345</v>
      </c>
      <c r="C10" s="29" t="s">
        <v>346</v>
      </c>
    </row>
    <row r="11" spans="2:3" ht="34" customHeight="1">
      <c r="B11" s="28" t="s">
        <v>347</v>
      </c>
      <c r="C11" s="29" t="s">
        <v>348</v>
      </c>
    </row>
    <row r="12" spans="2:3" ht="34" customHeight="1">
      <c r="B12" s="28" t="s">
        <v>349</v>
      </c>
      <c r="C12" s="29" t="s">
        <v>350</v>
      </c>
    </row>
    <row r="13" spans="2:3" ht="34" customHeight="1">
      <c r="B13" s="28" t="s">
        <v>351</v>
      </c>
      <c r="C13" s="29" t="s">
        <v>352</v>
      </c>
    </row>
    <row r="14" spans="2:3" ht="34" customHeight="1">
      <c r="B14" s="28" t="s">
        <v>353</v>
      </c>
      <c r="C14" s="29" t="s">
        <v>354</v>
      </c>
    </row>
    <row r="15" spans="2:3" ht="34" customHeight="1">
      <c r="B15" s="28" t="s">
        <v>355</v>
      </c>
      <c r="C15" s="29" t="s">
        <v>356</v>
      </c>
    </row>
    <row r="16" spans="2:3" ht="34" customHeight="1">
      <c r="B16" s="28" t="s">
        <v>357</v>
      </c>
      <c r="C16" s="29" t="s">
        <v>358</v>
      </c>
    </row>
    <row r="17" spans="2:3" ht="34" customHeight="1">
      <c r="B17" s="28" t="s">
        <v>359</v>
      </c>
      <c r="C17" s="29" t="s">
        <v>360</v>
      </c>
    </row>
    <row r="18" spans="2:3" ht="34" customHeight="1">
      <c r="B18" s="28" t="s">
        <v>361</v>
      </c>
      <c r="C18" s="29" t="s">
        <v>362</v>
      </c>
    </row>
    <row r="19" spans="2:3" ht="34" customHeight="1">
      <c r="B19" s="28" t="s">
        <v>363</v>
      </c>
      <c r="C19" s="29" t="s">
        <v>364</v>
      </c>
    </row>
    <row r="20" spans="2:3" ht="34" customHeight="1">
      <c r="B20" s="28" t="s">
        <v>365</v>
      </c>
      <c r="C20" s="29" t="s">
        <v>366</v>
      </c>
    </row>
    <row r="21" spans="2:3" ht="34" customHeight="1">
      <c r="B21" s="28" t="s">
        <v>367</v>
      </c>
      <c r="C21" s="29" t="s">
        <v>368</v>
      </c>
    </row>
    <row r="22" spans="2:3" ht="34" customHeight="1">
      <c r="B22" s="28" t="s">
        <v>369</v>
      </c>
      <c r="C22" s="29" t="s">
        <v>370</v>
      </c>
    </row>
  </sheetData>
  <pageMargins left="0.3" right="0.3" top="0.4" bottom="0.4" header="0.3" footer="0.3"/>
  <pageSetup paperSize="9" fitToHeight="0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>
  <dimension ref="A1:K171"/>
  <sheetViews>
    <sheetView showGridLines="0" workbookViewId="0"/>
  </sheetViews>
  <sheetFormatPr defaultRowHeight="15"/>
  <cols>
    <col min="1" max="1" width="26.7109375" customWidth="1"/>
    <col min="2" max="17" width="20.7109375" customWidth="1"/>
  </cols>
  <sheetData>
    <row r="1" spans="1:11">
      <c r="A1" s="17" t="s">
        <v>0</v>
      </c>
    </row>
    <row r="5" spans="1:11">
      <c r="A5" s="28" t="s">
        <v>392</v>
      </c>
    </row>
    <row r="6" spans="1:11" ht="32" customHeight="1">
      <c r="A6" s="30" t="s">
        <v>373</v>
      </c>
      <c r="B6" s="30" t="s">
        <v>393</v>
      </c>
      <c r="C6" s="30" t="s">
        <v>394</v>
      </c>
      <c r="D6" s="30" t="s">
        <v>395</v>
      </c>
      <c r="E6" s="30" t="s">
        <v>396</v>
      </c>
      <c r="F6" s="30" t="s">
        <v>397</v>
      </c>
      <c r="G6" s="30" t="s">
        <v>398</v>
      </c>
      <c r="H6" s="30" t="s">
        <v>399</v>
      </c>
      <c r="I6" s="30" t="s">
        <v>400</v>
      </c>
      <c r="J6" s="30" t="s">
        <v>401</v>
      </c>
      <c r="K6" s="30" t="s">
        <v>402</v>
      </c>
    </row>
    <row r="7" spans="1:11">
      <c r="A7" t="s">
        <v>42</v>
      </c>
      <c r="C7" s="31">
        <f>IF(OR(COUNTIFS('Consolidation'!$A$6:$A$11,"2026Q2",'Consolidation'!$B$6:$B$11,"AT")&lt;&gt;1,COUNTIFS('Consolidation'!$A$6:$A$11,"2026Q2",'Consolidation'!$B$6:$B$11,"AT",'Consolidation'!$N$6:$N$11,"n.d.")&gt;0),"n.d.",SUMIFS('Consolidation'!$N$6:$N$11,'Consolidation'!$A$6:$A$11,"2026Q2",'Consolidation'!$B$6:$B$11,"AT"))</f>
        <v>11992.289999999979</v>
      </c>
      <c r="E7" s="31">
        <f>IF(OR(COUNTIFS('Consolidation'!$A$6:$A$11,"2026Q2",'Consolidation'!$B$6:$B$11,"AT")&lt;&gt;1,COUNTIFS('Consolidation'!$A$6:$A$11,"2026Q2",'Consolidation'!$B$6:$B$11,"AT",'Consolidation'!$M$6:$M$11,"n.d.")&gt;0),"n.d.",SUMIFS('Consolidation'!$M$6:$M$11,'Consolidation'!$A$6:$A$11,"2026Q2",'Consolidation'!$B$6:$B$11,"AT"))</f>
        <v>11992.289999999979</v>
      </c>
      <c r="F7" s="31">
        <f>IF(COUNT(IF(OR(SUMPRODUCT(--('Stock'!$A$6:$A$26="2026Q2"),--('Stock'!$B$6:$B$26="AT"),--('Stock'!$E$6:$E$26="&lt;2025"))=0,SUMPRODUCT(--('Stock'!$A$6:$A$26="2026Q2"),--('Stock'!$B$6:$B$26="AT"),--('Stock'!$E$6:$E$26="&lt;2025"),--('Stock'!$S$6:$S$26="n.d."))&gt;0),"n.d.",SUMPRODUCT(--('Stock'!$A$6:$A$26="2026Q2"),--('Stock'!$B$6:$B$26="AT"),--('Stock'!$E$6:$E$26="&lt;2025"),'Stock'!$S$6:$S$26)))=1,SUM(IF(OR(SUMPRODUCT(--('Stock'!$A$6:$A$26="2026Q2"),--('Stock'!$B$6:$B$26="AT"),--('Stock'!$E$6:$E$26="&lt;2025"))=0,SUMPRODUCT(--('Stock'!$A$6:$A$26="2026Q2"),--('Stock'!$B$6:$B$26="AT"),--('Stock'!$E$6:$E$26="&lt;2025"),--('Stock'!$S$6:$S$26="n.d."))&gt;0),"n.d.",SUMPRODUCT(--('Stock'!$A$6:$A$26="2026Q2"),--('Stock'!$B$6:$B$26="AT"),--('Stock'!$E$6:$E$26="&lt;2025"),'Stock'!$S$6:$S$26))),"n.d.")</f>
        <v>6177.090000000084</v>
      </c>
      <c r="G7" s="31">
        <f>IF(COUNT(IF(OR(SUMPRODUCT(--('Stock'!$A$6:$A$26="2026Q2"),--('Stock'!$B$6:$B$26="AT"),--('Stock'!$E$6:$E$26="2025"))=0,SUMPRODUCT(--('Stock'!$A$6:$A$26="2026Q2"),--('Stock'!$B$6:$B$26="AT"),--('Stock'!$E$6:$E$26="2025"),--('Stock'!$S$6:$S$26="n.d."))&gt;0),"n.d.",SUMPRODUCT(--('Stock'!$A$6:$A$26="2026Q2"),--('Stock'!$B$6:$B$26="AT"),--('Stock'!$E$6:$E$26="2025"),'Stock'!$S$6:$S$26)))=1,SUM(IF(OR(SUMPRODUCT(--('Stock'!$A$6:$A$26="2026Q2"),--('Stock'!$B$6:$B$26="AT"),--('Stock'!$E$6:$E$26="2025"))=0,SUMPRODUCT(--('Stock'!$A$6:$A$26="2026Q2"),--('Stock'!$B$6:$B$26="AT"),--('Stock'!$E$6:$E$26="2025"),--('Stock'!$S$6:$S$26="n.d."))&gt;0),"n.d.",SUMPRODUCT(--('Stock'!$A$6:$A$26="2026Q2"),--('Stock'!$B$6:$B$26="AT"),--('Stock'!$E$6:$E$26="2025"),'Stock'!$S$6:$S$26))),"n.d.")</f>
        <v>429.87999999994645</v>
      </c>
      <c r="H7" s="31">
        <f>IF(COUNT(IF(OR(SUMPRODUCT(--('Stock'!$A$6:$A$26="2026Q2"),--('Stock'!$B$6:$B$26="AT"),--('Stock'!$E$6:$E$26="2026"))=0,SUMPRODUCT(--('Stock'!$A$6:$A$26="2026Q2"),--('Stock'!$B$6:$B$26="AT"),--('Stock'!$E$6:$E$26="2026"),--('Stock'!$S$6:$S$26="n.d."))&gt;0),"n.d.",SUMPRODUCT(--('Stock'!$A$6:$A$26="2026Q2"),--('Stock'!$B$6:$B$26="AT"),--('Stock'!$E$6:$E$26="2026"),'Stock'!$S$6:$S$26)))=1,SUM(IF(OR(SUMPRODUCT(--('Stock'!$A$6:$A$26="2026Q2"),--('Stock'!$B$6:$B$26="AT"),--('Stock'!$E$6:$E$26="2026"))=0,SUMPRODUCT(--('Stock'!$A$6:$A$26="2026Q2"),--('Stock'!$B$6:$B$26="AT"),--('Stock'!$E$6:$E$26="2026"),--('Stock'!$S$6:$S$26="n.d."))&gt;0),"n.d.",SUMPRODUCT(--('Stock'!$A$6:$A$26="2026Q2"),--('Stock'!$B$6:$B$26="AT"),--('Stock'!$E$6:$E$26="2026"),'Stock'!$S$6:$S$26))),"n.d.")</f>
        <v>5385.319999999949</v>
      </c>
      <c r="I7" s="31">
        <f>IF(COUNT(IF(OR(SUMPRODUCT(--('Stock'!$A$6:$A$26="2026Q2"),--('Stock'!$B$6:$B$26="AT"),--('Stock'!$E$6:$E$26="&lt;2025"))=0,SUMPRODUCT(--('Stock'!$A$6:$A$26="2026Q2"),--('Stock'!$B$6:$B$26="AT"),--('Stock'!$E$6:$E$26="&lt;2025"),--('Stock'!$R$6:$R$26="n.d."))&gt;0),"n.d.",SUMPRODUCT(--('Stock'!$A$6:$A$26="2026Q2"),--('Stock'!$B$6:$B$26="AT"),--('Stock'!$E$6:$E$26="&lt;2025"),'Stock'!$R$6:$R$26)))=1,SUM(IF(OR(SUMPRODUCT(--('Stock'!$A$6:$A$26="2026Q2"),--('Stock'!$B$6:$B$26="AT"),--('Stock'!$E$6:$E$26="&lt;2025"))=0,SUMPRODUCT(--('Stock'!$A$6:$A$26="2026Q2"),--('Stock'!$B$6:$B$26="AT"),--('Stock'!$E$6:$E$26="&lt;2025"),--('Stock'!$R$6:$R$26="n.d."))&gt;0),"n.d.",SUMPRODUCT(--('Stock'!$A$6:$A$26="2026Q2"),--('Stock'!$B$6:$B$26="AT"),--('Stock'!$E$6:$E$26="&lt;2025"),'Stock'!$R$6:$R$26))),"n.d.")</f>
        <v>6177.090000000084</v>
      </c>
      <c r="J7" s="31">
        <f>IF(COUNT(IF(OR(SUMPRODUCT(--('Stock'!$A$6:$A$26="2026Q2"),--('Stock'!$B$6:$B$26="AT"),--('Stock'!$E$6:$E$26="2025"))=0,SUMPRODUCT(--('Stock'!$A$6:$A$26="2026Q2"),--('Stock'!$B$6:$B$26="AT"),--('Stock'!$E$6:$E$26="2025"),--('Stock'!$R$6:$R$26="n.d."))&gt;0),"n.d.",SUMPRODUCT(--('Stock'!$A$6:$A$26="2026Q2"),--('Stock'!$B$6:$B$26="AT"),--('Stock'!$E$6:$E$26="2025"),'Stock'!$R$6:$R$26)))=1,SUM(IF(OR(SUMPRODUCT(--('Stock'!$A$6:$A$26="2026Q2"),--('Stock'!$B$6:$B$26="AT"),--('Stock'!$E$6:$E$26="2025"))=0,SUMPRODUCT(--('Stock'!$A$6:$A$26="2026Q2"),--('Stock'!$B$6:$B$26="AT"),--('Stock'!$E$6:$E$26="2025"),--('Stock'!$R$6:$R$26="n.d."))&gt;0),"n.d.",SUMPRODUCT(--('Stock'!$A$6:$A$26="2026Q2"),--('Stock'!$B$6:$B$26="AT"),--('Stock'!$E$6:$E$26="2025"),'Stock'!$R$6:$R$26))),"n.d.")</f>
        <v>429.87999999994645</v>
      </c>
      <c r="K7" s="31">
        <f>IF(COUNT(IF(OR(SUMPRODUCT(--('Stock'!$A$6:$A$26="2026Q2"),--('Stock'!$B$6:$B$26="AT"),--('Stock'!$E$6:$E$26="2026"))=0,SUMPRODUCT(--('Stock'!$A$6:$A$26="2026Q2"),--('Stock'!$B$6:$B$26="AT"),--('Stock'!$E$6:$E$26="2026"),--('Stock'!$R$6:$R$26="n.d."))&gt;0),"n.d.",SUMPRODUCT(--('Stock'!$A$6:$A$26="2026Q2"),--('Stock'!$B$6:$B$26="AT"),--('Stock'!$E$6:$E$26="2026"),'Stock'!$R$6:$R$26)))=1,SUM(IF(OR(SUMPRODUCT(--('Stock'!$A$6:$A$26="2026Q2"),--('Stock'!$B$6:$B$26="AT"),--('Stock'!$E$6:$E$26="2026"))=0,SUMPRODUCT(--('Stock'!$A$6:$A$26="2026Q2"),--('Stock'!$B$6:$B$26="AT"),--('Stock'!$E$6:$E$26="2026"),--('Stock'!$R$6:$R$26="n.d."))&gt;0),"n.d.",SUMPRODUCT(--('Stock'!$A$6:$A$26="2026Q2"),--('Stock'!$B$6:$B$26="AT"),--('Stock'!$E$6:$E$26="2026"),'Stock'!$R$6:$R$26))),"n.d.")</f>
        <v>5385.319999999949</v>
      </c>
    </row>
    <row r="8" spans="1:11">
      <c r="A8" t="s">
        <v>51</v>
      </c>
      <c r="C8" s="31">
        <f>IF(OR(COUNTIFS('Consolidation'!$A$6:$A$11,"2026Q2",'Consolidation'!$B$6:$B$11,"IT")&lt;&gt;1,COUNTIFS('Consolidation'!$A$6:$A$11,"2026Q2",'Consolidation'!$B$6:$B$11,"IT",'Consolidation'!$N$6:$N$11,"n.d.")&gt;0),"n.d.",SUMIFS('Consolidation'!$N$6:$N$11,'Consolidation'!$A$6:$A$11,"2026Q2",'Consolidation'!$B$6:$B$11,"IT"))</f>
        <v>3127145.950000018</v>
      </c>
      <c r="E8" s="31">
        <f>IF(OR(COUNTIFS('Consolidation'!$A$6:$A$11,"2026Q2",'Consolidation'!$B$6:$B$11,"IT")&lt;&gt;1,COUNTIFS('Consolidation'!$A$6:$A$11,"2026Q2",'Consolidation'!$B$6:$B$11,"IT",'Consolidation'!$M$6:$M$11,"n.d.")&gt;0),"n.d.",SUMIFS('Consolidation'!$M$6:$M$11,'Consolidation'!$A$6:$A$11,"2026Q2",'Consolidation'!$B$6:$B$11,"IT"))</f>
        <v>787426.2400000179</v>
      </c>
      <c r="F8" s="31">
        <f>IF(COUNT(IF(OR(SUMPRODUCT(--('Stock'!$A$6:$A$26="2026Q2"),--('Stock'!$B$6:$B$26="IT"),--('Stock'!$E$6:$E$26="&lt;2025"))=0,SUMPRODUCT(--('Stock'!$A$6:$A$26="2026Q2"),--('Stock'!$B$6:$B$26="IT"),--('Stock'!$E$6:$E$26="&lt;2025"),--('Stock'!$S$6:$S$26="n.d."))&gt;0),"n.d.",SUMPRODUCT(--('Stock'!$A$6:$A$26="2026Q2"),--('Stock'!$B$6:$B$26="IT"),--('Stock'!$E$6:$E$26="&lt;2025"),'Stock'!$S$6:$S$26)))=1,SUM(IF(OR(SUMPRODUCT(--('Stock'!$A$6:$A$26="2026Q2"),--('Stock'!$B$6:$B$26="IT"),--('Stock'!$E$6:$E$26="&lt;2025"))=0,SUMPRODUCT(--('Stock'!$A$6:$A$26="2026Q2"),--('Stock'!$B$6:$B$26="IT"),--('Stock'!$E$6:$E$26="&lt;2025"),--('Stock'!$S$6:$S$26="n.d."))&gt;0),"n.d.",SUMPRODUCT(--('Stock'!$A$6:$A$26="2026Q2"),--('Stock'!$B$6:$B$26="IT"),--('Stock'!$E$6:$E$26="&lt;2025"),'Stock'!$S$6:$S$26))),"n.d.")</f>
        <v>1852194.770000015</v>
      </c>
      <c r="G8" s="31">
        <f>IF(COUNT(IF(OR(SUMPRODUCT(--('Stock'!$A$6:$A$26="2026Q2"),--('Stock'!$B$6:$B$26="IT"),--('Stock'!$E$6:$E$26="2025"))=0,SUMPRODUCT(--('Stock'!$A$6:$A$26="2026Q2"),--('Stock'!$B$6:$B$26="IT"),--('Stock'!$E$6:$E$26="2025"),--('Stock'!$S$6:$S$26="n.d."))&gt;0),"n.d.",SUMPRODUCT(--('Stock'!$A$6:$A$26="2026Q2"),--('Stock'!$B$6:$B$26="IT"),--('Stock'!$E$6:$E$26="2025"),'Stock'!$S$6:$S$26)))=1,SUM(IF(OR(SUMPRODUCT(--('Stock'!$A$6:$A$26="2026Q2"),--('Stock'!$B$6:$B$26="IT"),--('Stock'!$E$6:$E$26="2025"))=0,SUMPRODUCT(--('Stock'!$A$6:$A$26="2026Q2"),--('Stock'!$B$6:$B$26="IT"),--('Stock'!$E$6:$E$26="2025"),--('Stock'!$S$6:$S$26="n.d."))&gt;0),"n.d.",SUMPRODUCT(--('Stock'!$A$6:$A$26="2026Q2"),--('Stock'!$B$6:$B$26="IT"),--('Stock'!$E$6:$E$26="2025"),'Stock'!$S$6:$S$26))),"n.d.")</f>
        <v>360502.4800000027</v>
      </c>
      <c r="H8" s="31">
        <f>IF(COUNT(IF(OR(SUMPRODUCT(--('Stock'!$A$6:$A$26="2026Q2"),--('Stock'!$B$6:$B$26="IT"),--('Stock'!$E$6:$E$26="2026"))=0,SUMPRODUCT(--('Stock'!$A$6:$A$26="2026Q2"),--('Stock'!$B$6:$B$26="IT"),--('Stock'!$E$6:$E$26="2026"),--('Stock'!$S$6:$S$26="n.d."))&gt;0),"n.d.",SUMPRODUCT(--('Stock'!$A$6:$A$26="2026Q2"),--('Stock'!$B$6:$B$26="IT"),--('Stock'!$E$6:$E$26="2026"),'Stock'!$S$6:$S$26)))=1,SUM(IF(OR(SUMPRODUCT(--('Stock'!$A$6:$A$26="2026Q2"),--('Stock'!$B$6:$B$26="IT"),--('Stock'!$E$6:$E$26="2026"))=0,SUMPRODUCT(--('Stock'!$A$6:$A$26="2026Q2"),--('Stock'!$B$6:$B$26="IT"),--('Stock'!$E$6:$E$26="2026"),--('Stock'!$S$6:$S$26="n.d."))&gt;0),"n.d.",SUMPRODUCT(--('Stock'!$A$6:$A$26="2026Q2"),--('Stock'!$B$6:$B$26="IT"),--('Stock'!$E$6:$E$26="2026"),'Stock'!$S$6:$S$26))),"n.d.")</f>
        <v>914448.7000000004</v>
      </c>
      <c r="I8" s="31">
        <f>IF(COUNT(IF(OR(SUMPRODUCT(--('Stock'!$A$6:$A$26="2026Q2"),--('Stock'!$B$6:$B$26="IT"),--('Stock'!$E$6:$E$26="&lt;2025"))=0,SUMPRODUCT(--('Stock'!$A$6:$A$26="2026Q2"),--('Stock'!$B$6:$B$26="IT"),--('Stock'!$E$6:$E$26="&lt;2025"),--('Stock'!$R$6:$R$26="n.d."))&gt;0),"n.d.",SUMPRODUCT(--('Stock'!$A$6:$A$26="2026Q2"),--('Stock'!$B$6:$B$26="IT"),--('Stock'!$E$6:$E$26="&lt;2025"),'Stock'!$R$6:$R$26)))=1,SUM(IF(OR(SUMPRODUCT(--('Stock'!$A$6:$A$26="2026Q2"),--('Stock'!$B$6:$B$26="IT"),--('Stock'!$E$6:$E$26="&lt;2025"))=0,SUMPRODUCT(--('Stock'!$A$6:$A$26="2026Q2"),--('Stock'!$B$6:$B$26="IT"),--('Stock'!$E$6:$E$26="&lt;2025"),--('Stock'!$R$6:$R$26="n.d."))&gt;0),"n.d.",SUMPRODUCT(--('Stock'!$A$6:$A$26="2026Q2"),--('Stock'!$B$6:$B$26="IT"),--('Stock'!$E$6:$E$26="&lt;2025"),'Stock'!$R$6:$R$26))),"n.d.")</f>
        <v>1.4901161193847656e-08</v>
      </c>
      <c r="J8" s="31">
        <f>IF(COUNT(IF(OR(SUMPRODUCT(--('Stock'!$A$6:$A$26="2026Q2"),--('Stock'!$B$6:$B$26="IT"),--('Stock'!$E$6:$E$26="2025"))=0,SUMPRODUCT(--('Stock'!$A$6:$A$26="2026Q2"),--('Stock'!$B$6:$B$26="IT"),--('Stock'!$E$6:$E$26="2025"),--('Stock'!$R$6:$R$26="n.d."))&gt;0),"n.d.",SUMPRODUCT(--('Stock'!$A$6:$A$26="2026Q2"),--('Stock'!$B$6:$B$26="IT"),--('Stock'!$E$6:$E$26="2025"),'Stock'!$R$6:$R$26)))=1,SUM(IF(OR(SUMPRODUCT(--('Stock'!$A$6:$A$26="2026Q2"),--('Stock'!$B$6:$B$26="IT"),--('Stock'!$E$6:$E$26="2025"))=0,SUMPRODUCT(--('Stock'!$A$6:$A$26="2026Q2"),--('Stock'!$B$6:$B$26="IT"),--('Stock'!$E$6:$E$26="2025"),--('Stock'!$R$6:$R$26="n.d."))&gt;0),"n.d.",SUMPRODUCT(--('Stock'!$A$6:$A$26="2026Q2"),--('Stock'!$B$6:$B$26="IT"),--('Stock'!$E$6:$E$26="2025"),'Stock'!$R$6:$R$26))),"n.d.")</f>
        <v>137167.63000000268</v>
      </c>
      <c r="K8" s="31">
        <f>IF(COUNT(IF(OR(SUMPRODUCT(--('Stock'!$A$6:$A$26="2026Q2"),--('Stock'!$B$6:$B$26="IT"),--('Stock'!$E$6:$E$26="2026"))=0,SUMPRODUCT(--('Stock'!$A$6:$A$26="2026Q2"),--('Stock'!$B$6:$B$26="IT"),--('Stock'!$E$6:$E$26="2026"),--('Stock'!$R$6:$R$26="n.d."))&gt;0),"n.d.",SUMPRODUCT(--('Stock'!$A$6:$A$26="2026Q2"),--('Stock'!$B$6:$B$26="IT"),--('Stock'!$E$6:$E$26="2026"),'Stock'!$R$6:$R$26)))=1,SUM(IF(OR(SUMPRODUCT(--('Stock'!$A$6:$A$26="2026Q2"),--('Stock'!$B$6:$B$26="IT"),--('Stock'!$E$6:$E$26="2026"))=0,SUMPRODUCT(--('Stock'!$A$6:$A$26="2026Q2"),--('Stock'!$B$6:$B$26="IT"),--('Stock'!$E$6:$E$26="2026"),--('Stock'!$R$6:$R$26="n.d."))&gt;0),"n.d.",SUMPRODUCT(--('Stock'!$A$6:$A$26="2026Q2"),--('Stock'!$B$6:$B$26="IT"),--('Stock'!$E$6:$E$26="2026"),'Stock'!$R$6:$R$26))),"n.d.")</f>
        <v>650258.6100000003</v>
      </c>
    </row>
    <row r="9" spans="1:11">
      <c r="A9" t="s">
        <v>56</v>
      </c>
      <c r="C9" s="31">
        <f>IF(OR(COUNTIFS('Consolidation'!$A$6:$A$11,"2026Q2",'Consolidation'!$B$6:$B$11,"ZA")&lt;&gt;1,COUNTIFS('Consolidation'!$A$6:$A$11,"2026Q2",'Consolidation'!$B$6:$B$11,"ZA",'Consolidation'!$N$6:$N$11,"n.d.")&gt;0),"n.d.",SUMIFS('Consolidation'!$N$6:$N$11,'Consolidation'!$A$6:$A$11,"2026Q2",'Consolidation'!$B$6:$B$11,"ZA"))</f>
        <v>1905080.928827054</v>
      </c>
      <c r="E9" s="31">
        <f>IF(OR(COUNTIFS('Consolidation'!$A$6:$A$11,"2026Q2",'Consolidation'!$B$6:$B$11,"ZA")&lt;&gt;1,COUNTIFS('Consolidation'!$A$6:$A$11,"2026Q2",'Consolidation'!$B$6:$B$11,"ZA",'Consolidation'!$M$6:$M$11,"n.d.")&gt;0),"n.d.",SUMIFS('Consolidation'!$M$6:$M$11,'Consolidation'!$A$6:$A$11,"2026Q2",'Consolidation'!$B$6:$B$11,"ZA"))</f>
        <v>1665285.949003469</v>
      </c>
      <c r="F9" s="31">
        <f>IF(COUNT(IF(OR(SUMPRODUCT(--('Stock'!$A$6:$A$26="2026Q2"),--('Stock'!$B$6:$B$26="ZA"),--('Stock'!$E$6:$E$26="&lt;2025"))=0,SUMPRODUCT(--('Stock'!$A$6:$A$26="2026Q2"),--('Stock'!$B$6:$B$26="ZA"),--('Stock'!$E$6:$E$26="&lt;2025"),--('Stock'!$S$6:$S$26="n.d."))&gt;0),"n.d.",SUMPRODUCT(--('Stock'!$A$6:$A$26="2026Q2"),--('Stock'!$B$6:$B$26="ZA"),--('Stock'!$E$6:$E$26="&lt;2025"),'Stock'!$S$6:$S$26)))=1,SUM(IF(OR(SUMPRODUCT(--('Stock'!$A$6:$A$26="2026Q2"),--('Stock'!$B$6:$B$26="ZA"),--('Stock'!$E$6:$E$26="&lt;2025"))=0,SUMPRODUCT(--('Stock'!$A$6:$A$26="2026Q2"),--('Stock'!$B$6:$B$26="ZA"),--('Stock'!$E$6:$E$26="&lt;2025"),--('Stock'!$S$6:$S$26="n.d."))&gt;0),"n.d.",SUMPRODUCT(--('Stock'!$A$6:$A$26="2026Q2"),--('Stock'!$B$6:$B$26="ZA"),--('Stock'!$E$6:$E$26="&lt;2025"),'Stock'!$S$6:$S$26))),"n.d.")</f>
        <v>870959.942228234</v>
      </c>
      <c r="G9" s="31">
        <f>IF(COUNT(IF(OR(SUMPRODUCT(--('Stock'!$A$6:$A$26="2026Q2"),--('Stock'!$B$6:$B$26="ZA"),--('Stock'!$E$6:$E$26="2025"))=0,SUMPRODUCT(--('Stock'!$A$6:$A$26="2026Q2"),--('Stock'!$B$6:$B$26="ZA"),--('Stock'!$E$6:$E$26="2025"),--('Stock'!$S$6:$S$26="n.d."))&gt;0),"n.d.",SUMPRODUCT(--('Stock'!$A$6:$A$26="2026Q2"),--('Stock'!$B$6:$B$26="ZA"),--('Stock'!$E$6:$E$26="2025"),'Stock'!$S$6:$S$26)))=1,SUM(IF(OR(SUMPRODUCT(--('Stock'!$A$6:$A$26="2026Q2"),--('Stock'!$B$6:$B$26="ZA"),--('Stock'!$E$6:$E$26="2025"))=0,SUMPRODUCT(--('Stock'!$A$6:$A$26="2026Q2"),--('Stock'!$B$6:$B$26="ZA"),--('Stock'!$E$6:$E$26="2025"),--('Stock'!$S$6:$S$26="n.d."))&gt;0),"n.d.",SUMPRODUCT(--('Stock'!$A$6:$A$26="2026Q2"),--('Stock'!$B$6:$B$26="ZA"),--('Stock'!$E$6:$E$26="2025"),'Stock'!$S$6:$S$26))),"n.d.")</f>
        <v>390377.8429580314</v>
      </c>
      <c r="H9" s="31">
        <f>IF(COUNT(IF(OR(SUMPRODUCT(--('Stock'!$A$6:$A$26="2026Q2"),--('Stock'!$B$6:$B$26="ZA"),--('Stock'!$E$6:$E$26="2026"))=0,SUMPRODUCT(--('Stock'!$A$6:$A$26="2026Q2"),--('Stock'!$B$6:$B$26="ZA"),--('Stock'!$E$6:$E$26="2026"),--('Stock'!$S$6:$S$26="n.d."))&gt;0),"n.d.",SUMPRODUCT(--('Stock'!$A$6:$A$26="2026Q2"),--('Stock'!$B$6:$B$26="ZA"),--('Stock'!$E$6:$E$26="2026"),'Stock'!$S$6:$S$26)))=1,SUM(IF(OR(SUMPRODUCT(--('Stock'!$A$6:$A$26="2026Q2"),--('Stock'!$B$6:$B$26="ZA"),--('Stock'!$E$6:$E$26="2026"))=0,SUMPRODUCT(--('Stock'!$A$6:$A$26="2026Q2"),--('Stock'!$B$6:$B$26="ZA"),--('Stock'!$E$6:$E$26="2026"),--('Stock'!$S$6:$S$26="n.d."))&gt;0),"n.d.",SUMPRODUCT(--('Stock'!$A$6:$A$26="2026Q2"),--('Stock'!$B$6:$B$26="ZA"),--('Stock'!$E$6:$E$26="2026"),'Stock'!$S$6:$S$26))),"n.d.")</f>
        <v>643743.1436407889</v>
      </c>
      <c r="I9" s="31">
        <f>IF(COUNT(IF(OR(SUMPRODUCT(--('Stock'!$A$6:$A$26="2026Q2"),--('Stock'!$B$6:$B$26="ZA"),--('Stock'!$E$6:$E$26="&lt;2025"))=0,SUMPRODUCT(--('Stock'!$A$6:$A$26="2026Q2"),--('Stock'!$B$6:$B$26="ZA"),--('Stock'!$E$6:$E$26="&lt;2025"),--('Stock'!$R$6:$R$26="n.d."))&gt;0),"n.d.",SUMPRODUCT(--('Stock'!$A$6:$A$26="2026Q2"),--('Stock'!$B$6:$B$26="ZA"),--('Stock'!$E$6:$E$26="&lt;2025"),'Stock'!$R$6:$R$26)))=1,SUM(IF(OR(SUMPRODUCT(--('Stock'!$A$6:$A$26="2026Q2"),--('Stock'!$B$6:$B$26="ZA"),--('Stock'!$E$6:$E$26="&lt;2025"))=0,SUMPRODUCT(--('Stock'!$A$6:$A$26="2026Q2"),--('Stock'!$B$6:$B$26="ZA"),--('Stock'!$E$6:$E$26="&lt;2025"),--('Stock'!$R$6:$R$26="n.d."))&gt;0),"n.d.",SUMPRODUCT(--('Stock'!$A$6:$A$26="2026Q2"),--('Stock'!$B$6:$B$26="ZA"),--('Stock'!$E$6:$E$26="&lt;2025"),'Stock'!$R$6:$R$26))),"n.d.")</f>
        <v>631164.9624046487</v>
      </c>
      <c r="J9" s="31">
        <f>IF(COUNT(IF(OR(SUMPRODUCT(--('Stock'!$A$6:$A$26="2026Q2"),--('Stock'!$B$6:$B$26="ZA"),--('Stock'!$E$6:$E$26="2025"))=0,SUMPRODUCT(--('Stock'!$A$6:$A$26="2026Q2"),--('Stock'!$B$6:$B$26="ZA"),--('Stock'!$E$6:$E$26="2025"),--('Stock'!$R$6:$R$26="n.d."))&gt;0),"n.d.",SUMPRODUCT(--('Stock'!$A$6:$A$26="2026Q2"),--('Stock'!$B$6:$B$26="ZA"),--('Stock'!$E$6:$E$26="2025"),'Stock'!$R$6:$R$26)))=1,SUM(IF(OR(SUMPRODUCT(--('Stock'!$A$6:$A$26="2026Q2"),--('Stock'!$B$6:$B$26="ZA"),--('Stock'!$E$6:$E$26="2025"))=0,SUMPRODUCT(--('Stock'!$A$6:$A$26="2026Q2"),--('Stock'!$B$6:$B$26="ZA"),--('Stock'!$E$6:$E$26="2025"),--('Stock'!$R$6:$R$26="n.d."))&gt;0),"n.d.",SUMPRODUCT(--('Stock'!$A$6:$A$26="2026Q2"),--('Stock'!$B$6:$B$26="ZA"),--('Stock'!$E$6:$E$26="2025"),'Stock'!$R$6:$R$26))),"n.d.")</f>
        <v>390377.8429580314</v>
      </c>
      <c r="K9" s="31">
        <f>IF(COUNT(IF(OR(SUMPRODUCT(--('Stock'!$A$6:$A$26="2026Q2"),--('Stock'!$B$6:$B$26="ZA"),--('Stock'!$E$6:$E$26="2026"))=0,SUMPRODUCT(--('Stock'!$A$6:$A$26="2026Q2"),--('Stock'!$B$6:$B$26="ZA"),--('Stock'!$E$6:$E$26="2026"),--('Stock'!$R$6:$R$26="n.d."))&gt;0),"n.d.",SUMPRODUCT(--('Stock'!$A$6:$A$26="2026Q2"),--('Stock'!$B$6:$B$26="ZA"),--('Stock'!$E$6:$E$26="2026"),'Stock'!$R$6:$R$26)))=1,SUM(IF(OR(SUMPRODUCT(--('Stock'!$A$6:$A$26="2026Q2"),--('Stock'!$B$6:$B$26="ZA"),--('Stock'!$E$6:$E$26="2026"))=0,SUMPRODUCT(--('Stock'!$A$6:$A$26="2026Q2"),--('Stock'!$B$6:$B$26="ZA"),--('Stock'!$E$6:$E$26="2026"),--('Stock'!$R$6:$R$26="n.d."))&gt;0),"n.d.",SUMPRODUCT(--('Stock'!$A$6:$A$26="2026Q2"),--('Stock'!$B$6:$B$26="ZA"),--('Stock'!$E$6:$E$26="2026"),'Stock'!$R$6:$R$26))),"n.d.")</f>
        <v>643743.1436407889</v>
      </c>
    </row>
    <row r="10" spans="1:11">
      <c r="A10" t="s">
        <v>61</v>
      </c>
      <c r="C10" s="31">
        <f>IF(OR(COUNTIFS('Consolidation'!$A$6:$A$11,"2026Q2",'Consolidation'!$B$6:$B$11,"DK")&lt;&gt;1,COUNTIFS('Consolidation'!$A$6:$A$11,"2026Q2",'Consolidation'!$B$6:$B$11,"DK",'Consolidation'!$N$6:$N$11,"n.d.")&gt;0),"n.d.",SUMIFS('Consolidation'!$N$6:$N$11,'Consolidation'!$A$6:$A$11,"2026Q2",'Consolidation'!$B$6:$B$11,"DK"))</f>
        <v>24388.740092077394</v>
      </c>
      <c r="E10" s="31">
        <f>IF(OR(COUNTIFS('Consolidation'!$A$6:$A$11,"2026Q2",'Consolidation'!$B$6:$B$11,"DK")&lt;&gt;1,COUNTIFS('Consolidation'!$A$6:$A$11,"2026Q2",'Consolidation'!$B$6:$B$11,"DK",'Consolidation'!$M$6:$M$11,"n.d.")&gt;0),"n.d.",SUMIFS('Consolidation'!$M$6:$M$11,'Consolidation'!$A$6:$A$11,"2026Q2",'Consolidation'!$B$6:$B$11,"DK"))</f>
        <v>24388.740092077394</v>
      </c>
      <c r="F10" s="31">
        <f>IF(COUNT(IF(OR(SUMPRODUCT(--('Stock'!$A$6:$A$26="2026Q2"),--('Stock'!$B$6:$B$26="DK"),--('Stock'!$E$6:$E$26="&lt;2024"))=0,SUMPRODUCT(--('Stock'!$A$6:$A$26="2026Q2"),--('Stock'!$B$6:$B$26="DK"),--('Stock'!$E$6:$E$26="&lt;2024"),--('Stock'!$S$6:$S$26="n.d."))&gt;0),"n.d.",SUMPRODUCT(--('Stock'!$A$6:$A$26="2026Q2"),--('Stock'!$B$6:$B$26="DK"),--('Stock'!$E$6:$E$26="&lt;2024"),'Stock'!$S$6:$S$26)),IF(OR(SUMPRODUCT(--('Stock'!$A$6:$A$26="2026Q2"),--('Stock'!$B$6:$B$26="DK"),--('Stock'!$E$6:$E$26="2024"))=0,SUMPRODUCT(--('Stock'!$A$6:$A$26="2026Q2"),--('Stock'!$B$6:$B$26="DK"),--('Stock'!$E$6:$E$26="2024"),--('Stock'!$S$6:$S$26="n.d."))&gt;0),"n.d.",SUMPRODUCT(--('Stock'!$A$6:$A$26="2026Q2"),--('Stock'!$B$6:$B$26="DK"),--('Stock'!$E$6:$E$26="2024"),'Stock'!$S$6:$S$26)))=2,SUM(IF(OR(SUMPRODUCT(--('Stock'!$A$6:$A$26="2026Q2"),--('Stock'!$B$6:$B$26="DK"),--('Stock'!$E$6:$E$26="&lt;2024"))=0,SUMPRODUCT(--('Stock'!$A$6:$A$26="2026Q2"),--('Stock'!$B$6:$B$26="DK"),--('Stock'!$E$6:$E$26="&lt;2024"),--('Stock'!$S$6:$S$26="n.d."))&gt;0),"n.d.",SUMPRODUCT(--('Stock'!$A$6:$A$26="2026Q2"),--('Stock'!$B$6:$B$26="DK"),--('Stock'!$E$6:$E$26="&lt;2024"),'Stock'!$S$6:$S$26)),IF(OR(SUMPRODUCT(--('Stock'!$A$6:$A$26="2026Q2"),--('Stock'!$B$6:$B$26="DK"),--('Stock'!$E$6:$E$26="2024"))=0,SUMPRODUCT(--('Stock'!$A$6:$A$26="2026Q2"),--('Stock'!$B$6:$B$26="DK"),--('Stock'!$E$6:$E$26="2024"),--('Stock'!$S$6:$S$26="n.d."))&gt;0),"n.d.",SUMPRODUCT(--('Stock'!$A$6:$A$26="2026Q2"),--('Stock'!$B$6:$B$26="DK"),--('Stock'!$E$6:$E$26="2024"),'Stock'!$S$6:$S$26))),"n.d.")</f>
        <v>0.0</v>
      </c>
      <c r="G10" s="31">
        <f>IF(COUNT(IF(OR(SUMPRODUCT(--('Stock'!$A$6:$A$26="2026Q2"),--('Stock'!$B$6:$B$26="DK"),--('Stock'!$E$6:$E$26="2025"))=0,SUMPRODUCT(--('Stock'!$A$6:$A$26="2026Q2"),--('Stock'!$B$6:$B$26="DK"),--('Stock'!$E$6:$E$26="2025"),--('Stock'!$S$6:$S$26="n.d."))&gt;0),"n.d.",SUMPRODUCT(--('Stock'!$A$6:$A$26="2026Q2"),--('Stock'!$B$6:$B$26="DK"),--('Stock'!$E$6:$E$26="2025"),'Stock'!$S$6:$S$26)))=1,SUM(IF(OR(SUMPRODUCT(--('Stock'!$A$6:$A$26="2026Q2"),--('Stock'!$B$6:$B$26="DK"),--('Stock'!$E$6:$E$26="2025"))=0,SUMPRODUCT(--('Stock'!$A$6:$A$26="2026Q2"),--('Stock'!$B$6:$B$26="DK"),--('Stock'!$E$6:$E$26="2025"),--('Stock'!$S$6:$S$26="n.d."))&gt;0),"n.d.",SUMPRODUCT(--('Stock'!$A$6:$A$26="2026Q2"),--('Stock'!$B$6:$B$26="DK"),--('Stock'!$E$6:$E$26="2025"),'Stock'!$S$6:$S$26))),"n.d.")</f>
        <v>3.1149282887958525e-11</v>
      </c>
      <c r="H10" s="31">
        <f>IF(COUNT(IF(OR(SUMPRODUCT(--('Stock'!$A$6:$A$26="2026Q2"),--('Stock'!$B$6:$B$26="DK"),--('Stock'!$E$6:$E$26="2026"))=0,SUMPRODUCT(--('Stock'!$A$6:$A$26="2026Q2"),--('Stock'!$B$6:$B$26="DK"),--('Stock'!$E$6:$E$26="2026"),--('Stock'!$S$6:$S$26="n.d."))&gt;0),"n.d.",SUMPRODUCT(--('Stock'!$A$6:$A$26="2026Q2"),--('Stock'!$B$6:$B$26="DK"),--('Stock'!$E$6:$E$26="2026"),'Stock'!$S$6:$S$26)))=1,SUM(IF(OR(SUMPRODUCT(--('Stock'!$A$6:$A$26="2026Q2"),--('Stock'!$B$6:$B$26="DK"),--('Stock'!$E$6:$E$26="2026"))=0,SUMPRODUCT(--('Stock'!$A$6:$A$26="2026Q2"),--('Stock'!$B$6:$B$26="DK"),--('Stock'!$E$6:$E$26="2026"),--('Stock'!$S$6:$S$26="n.d."))&gt;0),"n.d.",SUMPRODUCT(--('Stock'!$A$6:$A$26="2026Q2"),--('Stock'!$B$6:$B$26="DK"),--('Stock'!$E$6:$E$26="2026"),'Stock'!$S$6:$S$26))),"n.d.")</f>
        <v>24388.740092077365</v>
      </c>
      <c r="I10" s="31">
        <f>IF(COUNT(IF(OR(SUMPRODUCT(--('Stock'!$A$6:$A$26="2026Q2"),--('Stock'!$B$6:$B$26="DK"),--('Stock'!$E$6:$E$26="&lt;2024"))=0,SUMPRODUCT(--('Stock'!$A$6:$A$26="2026Q2"),--('Stock'!$B$6:$B$26="DK"),--('Stock'!$E$6:$E$26="&lt;2024"),--('Stock'!$R$6:$R$26="n.d."))&gt;0),"n.d.",SUMPRODUCT(--('Stock'!$A$6:$A$26="2026Q2"),--('Stock'!$B$6:$B$26="DK"),--('Stock'!$E$6:$E$26="&lt;2024"),'Stock'!$R$6:$R$26)),IF(OR(SUMPRODUCT(--('Stock'!$A$6:$A$26="2026Q2"),--('Stock'!$B$6:$B$26="DK"),--('Stock'!$E$6:$E$26="2024"))=0,SUMPRODUCT(--('Stock'!$A$6:$A$26="2026Q2"),--('Stock'!$B$6:$B$26="DK"),--('Stock'!$E$6:$E$26="2024"),--('Stock'!$R$6:$R$26="n.d."))&gt;0),"n.d.",SUMPRODUCT(--('Stock'!$A$6:$A$26="2026Q2"),--('Stock'!$B$6:$B$26="DK"),--('Stock'!$E$6:$E$26="2024"),'Stock'!$R$6:$R$26)))=2,SUM(IF(OR(SUMPRODUCT(--('Stock'!$A$6:$A$26="2026Q2"),--('Stock'!$B$6:$B$26="DK"),--('Stock'!$E$6:$E$26="&lt;2024"))=0,SUMPRODUCT(--('Stock'!$A$6:$A$26="2026Q2"),--('Stock'!$B$6:$B$26="DK"),--('Stock'!$E$6:$E$26="&lt;2024"),--('Stock'!$R$6:$R$26="n.d."))&gt;0),"n.d.",SUMPRODUCT(--('Stock'!$A$6:$A$26="2026Q2"),--('Stock'!$B$6:$B$26="DK"),--('Stock'!$E$6:$E$26="&lt;2024"),'Stock'!$R$6:$R$26)),IF(OR(SUMPRODUCT(--('Stock'!$A$6:$A$26="2026Q2"),--('Stock'!$B$6:$B$26="DK"),--('Stock'!$E$6:$E$26="2024"))=0,SUMPRODUCT(--('Stock'!$A$6:$A$26="2026Q2"),--('Stock'!$B$6:$B$26="DK"),--('Stock'!$E$6:$E$26="2024"),--('Stock'!$R$6:$R$26="n.d."))&gt;0),"n.d.",SUMPRODUCT(--('Stock'!$A$6:$A$26="2026Q2"),--('Stock'!$B$6:$B$26="DK"),--('Stock'!$E$6:$E$26="2024"),'Stock'!$R$6:$R$26))),"n.d.")</f>
        <v>0.0</v>
      </c>
      <c r="J10" s="31">
        <f>IF(COUNT(IF(OR(SUMPRODUCT(--('Stock'!$A$6:$A$26="2026Q2"),--('Stock'!$B$6:$B$26="DK"),--('Stock'!$E$6:$E$26="2025"))=0,SUMPRODUCT(--('Stock'!$A$6:$A$26="2026Q2"),--('Stock'!$B$6:$B$26="DK"),--('Stock'!$E$6:$E$26="2025"),--('Stock'!$R$6:$R$26="n.d."))&gt;0),"n.d.",SUMPRODUCT(--('Stock'!$A$6:$A$26="2026Q2"),--('Stock'!$B$6:$B$26="DK"),--('Stock'!$E$6:$E$26="2025"),'Stock'!$R$6:$R$26)))=1,SUM(IF(OR(SUMPRODUCT(--('Stock'!$A$6:$A$26="2026Q2"),--('Stock'!$B$6:$B$26="DK"),--('Stock'!$E$6:$E$26="2025"))=0,SUMPRODUCT(--('Stock'!$A$6:$A$26="2026Q2"),--('Stock'!$B$6:$B$26="DK"),--('Stock'!$E$6:$E$26="2025"),--('Stock'!$R$6:$R$26="n.d."))&gt;0),"n.d.",SUMPRODUCT(--('Stock'!$A$6:$A$26="2026Q2"),--('Stock'!$B$6:$B$26="DK"),--('Stock'!$E$6:$E$26="2025"),'Stock'!$R$6:$R$26))),"n.d.")</f>
        <v>3.1149282887958525e-11</v>
      </c>
      <c r="K10" s="31">
        <f>IF(COUNT(IF(OR(SUMPRODUCT(--('Stock'!$A$6:$A$26="2026Q2"),--('Stock'!$B$6:$B$26="DK"),--('Stock'!$E$6:$E$26="2026"))=0,SUMPRODUCT(--('Stock'!$A$6:$A$26="2026Q2"),--('Stock'!$B$6:$B$26="DK"),--('Stock'!$E$6:$E$26="2026"),--('Stock'!$R$6:$R$26="n.d."))&gt;0),"n.d.",SUMPRODUCT(--('Stock'!$A$6:$A$26="2026Q2"),--('Stock'!$B$6:$B$26="DK"),--('Stock'!$E$6:$E$26="2026"),'Stock'!$R$6:$R$26)))=1,SUM(IF(OR(SUMPRODUCT(--('Stock'!$A$6:$A$26="2026Q2"),--('Stock'!$B$6:$B$26="DK"),--('Stock'!$E$6:$E$26="2026"))=0,SUMPRODUCT(--('Stock'!$A$6:$A$26="2026Q2"),--('Stock'!$B$6:$B$26="DK"),--('Stock'!$E$6:$E$26="2026"),--('Stock'!$R$6:$R$26="n.d."))&gt;0),"n.d.",SUMPRODUCT(--('Stock'!$A$6:$A$26="2026Q2"),--('Stock'!$B$6:$B$26="DK"),--('Stock'!$E$6:$E$26="2026"),'Stock'!$R$6:$R$26))),"n.d.")</f>
        <v>24388.740092077365</v>
      </c>
    </row>
    <row r="11" spans="1:11">
      <c r="A11" t="s">
        <v>69</v>
      </c>
      <c r="C11" s="31">
        <f>IF(OR(COUNTIFS('Consolidation'!$A$6:$A$11,"2026Q2",'Consolidation'!$B$6:$B$11,"NO")&lt;&gt;1,COUNTIFS('Consolidation'!$A$6:$A$11,"2026Q2",'Consolidation'!$B$6:$B$11,"NO",'Consolidation'!$N$6:$N$11,"n.d.")&gt;0),"n.d.",SUMIFS('Consolidation'!$N$6:$N$11,'Consolidation'!$A$6:$A$11,"2026Q2",'Consolidation'!$B$6:$B$11,"NO"))</f>
        <v>10807.638555779191</v>
      </c>
      <c r="E11" s="31">
        <f>IF(OR(COUNTIFS('Consolidation'!$A$6:$A$11,"2026Q2",'Consolidation'!$B$6:$B$11,"NO")&lt;&gt;1,COUNTIFS('Consolidation'!$A$6:$A$11,"2026Q2",'Consolidation'!$B$6:$B$11,"NO",'Consolidation'!$M$6:$M$11,"n.d.")&gt;0),"n.d.",SUMIFS('Consolidation'!$M$6:$M$11,'Consolidation'!$A$6:$A$11,"2026Q2",'Consolidation'!$B$6:$B$11,"NO"))</f>
        <v>10807.638555779191</v>
      </c>
      <c r="F11" s="31">
        <f>IF(COUNT(IF(OR(SUMPRODUCT(--('Stock'!$A$6:$A$26="2026Q2"),--('Stock'!$B$6:$B$26="NO"),--('Stock'!$E$6:$E$26="&lt;2024"))=0,SUMPRODUCT(--('Stock'!$A$6:$A$26="2026Q2"),--('Stock'!$B$6:$B$26="NO"),--('Stock'!$E$6:$E$26="&lt;2024"),--('Stock'!$S$6:$S$26="n.d."))&gt;0),"n.d.",SUMPRODUCT(--('Stock'!$A$6:$A$26="2026Q2"),--('Stock'!$B$6:$B$26="NO"),--('Stock'!$E$6:$E$26="&lt;2024"),'Stock'!$S$6:$S$26)),IF(OR(SUMPRODUCT(--('Stock'!$A$6:$A$26="2026Q2"),--('Stock'!$B$6:$B$26="NO"),--('Stock'!$E$6:$E$26="2024"))=0,SUMPRODUCT(--('Stock'!$A$6:$A$26="2026Q2"),--('Stock'!$B$6:$B$26="NO"),--('Stock'!$E$6:$E$26="2024"),--('Stock'!$S$6:$S$26="n.d."))&gt;0),"n.d.",SUMPRODUCT(--('Stock'!$A$6:$A$26="2026Q2"),--('Stock'!$B$6:$B$26="NO"),--('Stock'!$E$6:$E$26="2024"),'Stock'!$S$6:$S$26)))=2,SUM(IF(OR(SUMPRODUCT(--('Stock'!$A$6:$A$26="2026Q2"),--('Stock'!$B$6:$B$26="NO"),--('Stock'!$E$6:$E$26="&lt;2024"))=0,SUMPRODUCT(--('Stock'!$A$6:$A$26="2026Q2"),--('Stock'!$B$6:$B$26="NO"),--('Stock'!$E$6:$E$26="&lt;2024"),--('Stock'!$S$6:$S$26="n.d."))&gt;0),"n.d.",SUMPRODUCT(--('Stock'!$A$6:$A$26="2026Q2"),--('Stock'!$B$6:$B$26="NO"),--('Stock'!$E$6:$E$26="&lt;2024"),'Stock'!$S$6:$S$26)),IF(OR(SUMPRODUCT(--('Stock'!$A$6:$A$26="2026Q2"),--('Stock'!$B$6:$B$26="NO"),--('Stock'!$E$6:$E$26="2024"))=0,SUMPRODUCT(--('Stock'!$A$6:$A$26="2026Q2"),--('Stock'!$B$6:$B$26="NO"),--('Stock'!$E$6:$E$26="2024"),--('Stock'!$S$6:$S$26="n.d."))&gt;0),"n.d.",SUMPRODUCT(--('Stock'!$A$6:$A$26="2026Q2"),--('Stock'!$B$6:$B$26="NO"),--('Stock'!$E$6:$E$26="2024"),'Stock'!$S$6:$S$26))),"n.d.")</f>
        <v>0.0</v>
      </c>
      <c r="G11" s="31">
        <f>IF(COUNT(IF(OR(SUMPRODUCT(--('Stock'!$A$6:$A$26="2026Q2"),--('Stock'!$B$6:$B$26="NO"),--('Stock'!$E$6:$E$26="2025"))=0,SUMPRODUCT(--('Stock'!$A$6:$A$26="2026Q2"),--('Stock'!$B$6:$B$26="NO"),--('Stock'!$E$6:$E$26="2025"),--('Stock'!$S$6:$S$26="n.d."))&gt;0),"n.d.",SUMPRODUCT(--('Stock'!$A$6:$A$26="2026Q2"),--('Stock'!$B$6:$B$26="NO"),--('Stock'!$E$6:$E$26="2025"),'Stock'!$S$6:$S$26)))=1,SUM(IF(OR(SUMPRODUCT(--('Stock'!$A$6:$A$26="2026Q2"),--('Stock'!$B$6:$B$26="NO"),--('Stock'!$E$6:$E$26="2025"))=0,SUMPRODUCT(--('Stock'!$A$6:$A$26="2026Q2"),--('Stock'!$B$6:$B$26="NO"),--('Stock'!$E$6:$E$26="2025"),--('Stock'!$S$6:$S$26="n.d."))&gt;0),"n.d.",SUMPRODUCT(--('Stock'!$A$6:$A$26="2026Q2"),--('Stock'!$B$6:$B$26="NO"),--('Stock'!$E$6:$E$26="2025"),'Stock'!$S$6:$S$26))),"n.d.")</f>
        <v>4.116792432240542e-11</v>
      </c>
      <c r="H11" s="31">
        <f>IF(COUNT(IF(OR(SUMPRODUCT(--('Stock'!$A$6:$A$26="2026Q2"),--('Stock'!$B$6:$B$26="NO"),--('Stock'!$E$6:$E$26="2026"))=0,SUMPRODUCT(--('Stock'!$A$6:$A$26="2026Q2"),--('Stock'!$B$6:$B$26="NO"),--('Stock'!$E$6:$E$26="2026"),--('Stock'!$S$6:$S$26="n.d."))&gt;0),"n.d.",SUMPRODUCT(--('Stock'!$A$6:$A$26="2026Q2"),--('Stock'!$B$6:$B$26="NO"),--('Stock'!$E$6:$E$26="2026"),'Stock'!$S$6:$S$26)))=1,SUM(IF(OR(SUMPRODUCT(--('Stock'!$A$6:$A$26="2026Q2"),--('Stock'!$B$6:$B$26="NO"),--('Stock'!$E$6:$E$26="2026"))=0,SUMPRODUCT(--('Stock'!$A$6:$A$26="2026Q2"),--('Stock'!$B$6:$B$26="NO"),--('Stock'!$E$6:$E$26="2026"),--('Stock'!$S$6:$S$26="n.d."))&gt;0),"n.d.",SUMPRODUCT(--('Stock'!$A$6:$A$26="2026Q2"),--('Stock'!$B$6:$B$26="NO"),--('Stock'!$E$6:$E$26="2026"),'Stock'!$S$6:$S$26))),"n.d.")</f>
        <v>10807.63855577915</v>
      </c>
      <c r="I11" s="31">
        <f>IF(COUNT(IF(OR(SUMPRODUCT(--('Stock'!$A$6:$A$26="2026Q2"),--('Stock'!$B$6:$B$26="NO"),--('Stock'!$E$6:$E$26="&lt;2024"))=0,SUMPRODUCT(--('Stock'!$A$6:$A$26="2026Q2"),--('Stock'!$B$6:$B$26="NO"),--('Stock'!$E$6:$E$26="&lt;2024"),--('Stock'!$R$6:$R$26="n.d."))&gt;0),"n.d.",SUMPRODUCT(--('Stock'!$A$6:$A$26="2026Q2"),--('Stock'!$B$6:$B$26="NO"),--('Stock'!$E$6:$E$26="&lt;2024"),'Stock'!$R$6:$R$26)),IF(OR(SUMPRODUCT(--('Stock'!$A$6:$A$26="2026Q2"),--('Stock'!$B$6:$B$26="NO"),--('Stock'!$E$6:$E$26="2024"))=0,SUMPRODUCT(--('Stock'!$A$6:$A$26="2026Q2"),--('Stock'!$B$6:$B$26="NO"),--('Stock'!$E$6:$E$26="2024"),--('Stock'!$R$6:$R$26="n.d."))&gt;0),"n.d.",SUMPRODUCT(--('Stock'!$A$6:$A$26="2026Q2"),--('Stock'!$B$6:$B$26="NO"),--('Stock'!$E$6:$E$26="2024"),'Stock'!$R$6:$R$26)))=2,SUM(IF(OR(SUMPRODUCT(--('Stock'!$A$6:$A$26="2026Q2"),--('Stock'!$B$6:$B$26="NO"),--('Stock'!$E$6:$E$26="&lt;2024"))=0,SUMPRODUCT(--('Stock'!$A$6:$A$26="2026Q2"),--('Stock'!$B$6:$B$26="NO"),--('Stock'!$E$6:$E$26="&lt;2024"),--('Stock'!$R$6:$R$26="n.d."))&gt;0),"n.d.",SUMPRODUCT(--('Stock'!$A$6:$A$26="2026Q2"),--('Stock'!$B$6:$B$26="NO"),--('Stock'!$E$6:$E$26="&lt;2024"),'Stock'!$R$6:$R$26)),IF(OR(SUMPRODUCT(--('Stock'!$A$6:$A$26="2026Q2"),--('Stock'!$B$6:$B$26="NO"),--('Stock'!$E$6:$E$26="2024"))=0,SUMPRODUCT(--('Stock'!$A$6:$A$26="2026Q2"),--('Stock'!$B$6:$B$26="NO"),--('Stock'!$E$6:$E$26="2024"),--('Stock'!$R$6:$R$26="n.d."))&gt;0),"n.d.",SUMPRODUCT(--('Stock'!$A$6:$A$26="2026Q2"),--('Stock'!$B$6:$B$26="NO"),--('Stock'!$E$6:$E$26="2024"),'Stock'!$R$6:$R$26))),"n.d.")</f>
        <v>0.0</v>
      </c>
      <c r="J11" s="31">
        <f>IF(COUNT(IF(OR(SUMPRODUCT(--('Stock'!$A$6:$A$26="2026Q2"),--('Stock'!$B$6:$B$26="NO"),--('Stock'!$E$6:$E$26="2025"))=0,SUMPRODUCT(--('Stock'!$A$6:$A$26="2026Q2"),--('Stock'!$B$6:$B$26="NO"),--('Stock'!$E$6:$E$26="2025"),--('Stock'!$R$6:$R$26="n.d."))&gt;0),"n.d.",SUMPRODUCT(--('Stock'!$A$6:$A$26="2026Q2"),--('Stock'!$B$6:$B$26="NO"),--('Stock'!$E$6:$E$26="2025"),'Stock'!$R$6:$R$26)))=1,SUM(IF(OR(SUMPRODUCT(--('Stock'!$A$6:$A$26="2026Q2"),--('Stock'!$B$6:$B$26="NO"),--('Stock'!$E$6:$E$26="2025"))=0,SUMPRODUCT(--('Stock'!$A$6:$A$26="2026Q2"),--('Stock'!$B$6:$B$26="NO"),--('Stock'!$E$6:$E$26="2025"),--('Stock'!$R$6:$R$26="n.d."))&gt;0),"n.d.",SUMPRODUCT(--('Stock'!$A$6:$A$26="2026Q2"),--('Stock'!$B$6:$B$26="NO"),--('Stock'!$E$6:$E$26="2025"),'Stock'!$R$6:$R$26))),"n.d.")</f>
        <v>4.116792432240542e-11</v>
      </c>
      <c r="K11" s="31">
        <f>IF(COUNT(IF(OR(SUMPRODUCT(--('Stock'!$A$6:$A$26="2026Q2"),--('Stock'!$B$6:$B$26="NO"),--('Stock'!$E$6:$E$26="2026"))=0,SUMPRODUCT(--('Stock'!$A$6:$A$26="2026Q2"),--('Stock'!$B$6:$B$26="NO"),--('Stock'!$E$6:$E$26="2026"),--('Stock'!$R$6:$R$26="n.d."))&gt;0),"n.d.",SUMPRODUCT(--('Stock'!$A$6:$A$26="2026Q2"),--('Stock'!$B$6:$B$26="NO"),--('Stock'!$E$6:$E$26="2026"),'Stock'!$R$6:$R$26)))=1,SUM(IF(OR(SUMPRODUCT(--('Stock'!$A$6:$A$26="2026Q2"),--('Stock'!$B$6:$B$26="NO"),--('Stock'!$E$6:$E$26="2026"))=0,SUMPRODUCT(--('Stock'!$A$6:$A$26="2026Q2"),--('Stock'!$B$6:$B$26="NO"),--('Stock'!$E$6:$E$26="2026"),--('Stock'!$R$6:$R$26="n.d."))&gt;0),"n.d.",SUMPRODUCT(--('Stock'!$A$6:$A$26="2026Q2"),--('Stock'!$B$6:$B$26="NO"),--('Stock'!$E$6:$E$26="2026"),'Stock'!$R$6:$R$26))),"n.d.")</f>
        <v>10807.63855577915</v>
      </c>
    </row>
    <row r="12" spans="1:11">
      <c r="A12" t="s">
        <v>75</v>
      </c>
      <c r="C12" s="31">
        <f>IF(OR(COUNTIFS('Consolidation'!$A$6:$A$11,"2026Q2",'Consolidation'!$B$6:$B$11,"SE")&lt;&gt;1,COUNTIFS('Consolidation'!$A$6:$A$11,"2026Q2",'Consolidation'!$B$6:$B$11,"SE",'Consolidation'!$N$6:$N$11,"n.d.")&gt;0),"n.d.",SUMIFS('Consolidation'!$N$6:$N$11,'Consolidation'!$A$6:$A$11,"2026Q2",'Consolidation'!$B$6:$B$11,"SE"))</f>
        <v>14140.068998832623</v>
      </c>
      <c r="E12" s="31">
        <f>IF(OR(COUNTIFS('Consolidation'!$A$6:$A$11,"2026Q2",'Consolidation'!$B$6:$B$11,"SE")&lt;&gt;1,COUNTIFS('Consolidation'!$A$6:$A$11,"2026Q2",'Consolidation'!$B$6:$B$11,"SE",'Consolidation'!$M$6:$M$11,"n.d.")&gt;0),"n.d.",SUMIFS('Consolidation'!$M$6:$M$11,'Consolidation'!$A$6:$A$11,"2026Q2",'Consolidation'!$B$6:$B$11,"SE"))</f>
        <v>14140.068998832623</v>
      </c>
      <c r="F12" s="31">
        <f>IF(COUNT(IF(OR(SUMPRODUCT(--('Stock'!$A$6:$A$26="2026Q2"),--('Stock'!$B$6:$B$26="SE"),--('Stock'!$E$6:$E$26="&lt;2024"))=0,SUMPRODUCT(--('Stock'!$A$6:$A$26="2026Q2"),--('Stock'!$B$6:$B$26="SE"),--('Stock'!$E$6:$E$26="&lt;2024"),--('Stock'!$S$6:$S$26="n.d."))&gt;0),"n.d.",SUMPRODUCT(--('Stock'!$A$6:$A$26="2026Q2"),--('Stock'!$B$6:$B$26="SE"),--('Stock'!$E$6:$E$26="&lt;2024"),'Stock'!$S$6:$S$26)),IF(OR(SUMPRODUCT(--('Stock'!$A$6:$A$26="2026Q2"),--('Stock'!$B$6:$B$26="SE"),--('Stock'!$E$6:$E$26="2024"))=0,SUMPRODUCT(--('Stock'!$A$6:$A$26="2026Q2"),--('Stock'!$B$6:$B$26="SE"),--('Stock'!$E$6:$E$26="2024"),--('Stock'!$S$6:$S$26="n.d."))&gt;0),"n.d.",SUMPRODUCT(--('Stock'!$A$6:$A$26="2026Q2"),--('Stock'!$B$6:$B$26="SE"),--('Stock'!$E$6:$E$26="2024"),'Stock'!$S$6:$S$26)))=2,SUM(IF(OR(SUMPRODUCT(--('Stock'!$A$6:$A$26="2026Q2"),--('Stock'!$B$6:$B$26="SE"),--('Stock'!$E$6:$E$26="&lt;2024"))=0,SUMPRODUCT(--('Stock'!$A$6:$A$26="2026Q2"),--('Stock'!$B$6:$B$26="SE"),--('Stock'!$E$6:$E$26="&lt;2024"),--('Stock'!$S$6:$S$26="n.d."))&gt;0),"n.d.",SUMPRODUCT(--('Stock'!$A$6:$A$26="2026Q2"),--('Stock'!$B$6:$B$26="SE"),--('Stock'!$E$6:$E$26="&lt;2024"),'Stock'!$S$6:$S$26)),IF(OR(SUMPRODUCT(--('Stock'!$A$6:$A$26="2026Q2"),--('Stock'!$B$6:$B$26="SE"),--('Stock'!$E$6:$E$26="2024"))=0,SUMPRODUCT(--('Stock'!$A$6:$A$26="2026Q2"),--('Stock'!$B$6:$B$26="SE"),--('Stock'!$E$6:$E$26="2024"),--('Stock'!$S$6:$S$26="n.d."))&gt;0),"n.d.",SUMPRODUCT(--('Stock'!$A$6:$A$26="2026Q2"),--('Stock'!$B$6:$B$26="SE"),--('Stock'!$E$6:$E$26="2024"),'Stock'!$S$6:$S$26))),"n.d.")</f>
        <v>0.0</v>
      </c>
      <c r="G12" s="31">
        <f>IF(COUNT(IF(OR(SUMPRODUCT(--('Stock'!$A$6:$A$26="2026Q2"),--('Stock'!$B$6:$B$26="SE"),--('Stock'!$E$6:$E$26="2025"))=0,SUMPRODUCT(--('Stock'!$A$6:$A$26="2026Q2"),--('Stock'!$B$6:$B$26="SE"),--('Stock'!$E$6:$E$26="2025"),--('Stock'!$S$6:$S$26="n.d."))&gt;0),"n.d.",SUMPRODUCT(--('Stock'!$A$6:$A$26="2026Q2"),--('Stock'!$B$6:$B$26="SE"),--('Stock'!$E$6:$E$26="2025"),'Stock'!$S$6:$S$26)))=1,SUM(IF(OR(SUMPRODUCT(--('Stock'!$A$6:$A$26="2026Q2"),--('Stock'!$B$6:$B$26="SE"),--('Stock'!$E$6:$E$26="2025"))=0,SUMPRODUCT(--('Stock'!$A$6:$A$26="2026Q2"),--('Stock'!$B$6:$B$26="SE"),--('Stock'!$E$6:$E$26="2025"),--('Stock'!$S$6:$S$26="n.d."))&gt;0),"n.d.",SUMPRODUCT(--('Stock'!$A$6:$A$26="2026Q2"),--('Stock'!$B$6:$B$26="SE"),--('Stock'!$E$6:$E$26="2025"),'Stock'!$S$6:$S$26))),"n.d.")</f>
        <v>0.0</v>
      </c>
      <c r="H12" s="31">
        <f>IF(COUNT(IF(OR(SUMPRODUCT(--('Stock'!$A$6:$A$26="2026Q2"),--('Stock'!$B$6:$B$26="SE"),--('Stock'!$E$6:$E$26="2026"))=0,SUMPRODUCT(--('Stock'!$A$6:$A$26="2026Q2"),--('Stock'!$B$6:$B$26="SE"),--('Stock'!$E$6:$E$26="2026"),--('Stock'!$S$6:$S$26="n.d."))&gt;0),"n.d.",SUMPRODUCT(--('Stock'!$A$6:$A$26="2026Q2"),--('Stock'!$B$6:$B$26="SE"),--('Stock'!$E$6:$E$26="2026"),'Stock'!$S$6:$S$26)))=1,SUM(IF(OR(SUMPRODUCT(--('Stock'!$A$6:$A$26="2026Q2"),--('Stock'!$B$6:$B$26="SE"),--('Stock'!$E$6:$E$26="2026"))=0,SUMPRODUCT(--('Stock'!$A$6:$A$26="2026Q2"),--('Stock'!$B$6:$B$26="SE"),--('Stock'!$E$6:$E$26="2026"),--('Stock'!$S$6:$S$26="n.d."))&gt;0),"n.d.",SUMPRODUCT(--('Stock'!$A$6:$A$26="2026Q2"),--('Stock'!$B$6:$B$26="SE"),--('Stock'!$E$6:$E$26="2026"),'Stock'!$S$6:$S$26))),"n.d.")</f>
        <v>14140.068998832623</v>
      </c>
      <c r="I12" s="31">
        <f>IF(COUNT(IF(OR(SUMPRODUCT(--('Stock'!$A$6:$A$26="2026Q2"),--('Stock'!$B$6:$B$26="SE"),--('Stock'!$E$6:$E$26="&lt;2024"))=0,SUMPRODUCT(--('Stock'!$A$6:$A$26="2026Q2"),--('Stock'!$B$6:$B$26="SE"),--('Stock'!$E$6:$E$26="&lt;2024"),--('Stock'!$R$6:$R$26="n.d."))&gt;0),"n.d.",SUMPRODUCT(--('Stock'!$A$6:$A$26="2026Q2"),--('Stock'!$B$6:$B$26="SE"),--('Stock'!$E$6:$E$26="&lt;2024"),'Stock'!$R$6:$R$26)),IF(OR(SUMPRODUCT(--('Stock'!$A$6:$A$26="2026Q2"),--('Stock'!$B$6:$B$26="SE"),--('Stock'!$E$6:$E$26="2024"))=0,SUMPRODUCT(--('Stock'!$A$6:$A$26="2026Q2"),--('Stock'!$B$6:$B$26="SE"),--('Stock'!$E$6:$E$26="2024"),--('Stock'!$R$6:$R$26="n.d."))&gt;0),"n.d.",SUMPRODUCT(--('Stock'!$A$6:$A$26="2026Q2"),--('Stock'!$B$6:$B$26="SE"),--('Stock'!$E$6:$E$26="2024"),'Stock'!$R$6:$R$26)))=2,SUM(IF(OR(SUMPRODUCT(--('Stock'!$A$6:$A$26="2026Q2"),--('Stock'!$B$6:$B$26="SE"),--('Stock'!$E$6:$E$26="&lt;2024"))=0,SUMPRODUCT(--('Stock'!$A$6:$A$26="2026Q2"),--('Stock'!$B$6:$B$26="SE"),--('Stock'!$E$6:$E$26="&lt;2024"),--('Stock'!$R$6:$R$26="n.d."))&gt;0),"n.d.",SUMPRODUCT(--('Stock'!$A$6:$A$26="2026Q2"),--('Stock'!$B$6:$B$26="SE"),--('Stock'!$E$6:$E$26="&lt;2024"),'Stock'!$R$6:$R$26)),IF(OR(SUMPRODUCT(--('Stock'!$A$6:$A$26="2026Q2"),--('Stock'!$B$6:$B$26="SE"),--('Stock'!$E$6:$E$26="2024"))=0,SUMPRODUCT(--('Stock'!$A$6:$A$26="2026Q2"),--('Stock'!$B$6:$B$26="SE"),--('Stock'!$E$6:$E$26="2024"),--('Stock'!$R$6:$R$26="n.d."))&gt;0),"n.d.",SUMPRODUCT(--('Stock'!$A$6:$A$26="2026Q2"),--('Stock'!$B$6:$B$26="SE"),--('Stock'!$E$6:$E$26="2024"),'Stock'!$R$6:$R$26))),"n.d.")</f>
        <v>0.0</v>
      </c>
      <c r="J12" s="31">
        <f>IF(COUNT(IF(OR(SUMPRODUCT(--('Stock'!$A$6:$A$26="2026Q2"),--('Stock'!$B$6:$B$26="SE"),--('Stock'!$E$6:$E$26="2025"))=0,SUMPRODUCT(--('Stock'!$A$6:$A$26="2026Q2"),--('Stock'!$B$6:$B$26="SE"),--('Stock'!$E$6:$E$26="2025"),--('Stock'!$R$6:$R$26="n.d."))&gt;0),"n.d.",SUMPRODUCT(--('Stock'!$A$6:$A$26="2026Q2"),--('Stock'!$B$6:$B$26="SE"),--('Stock'!$E$6:$E$26="2025"),'Stock'!$R$6:$R$26)))=1,SUM(IF(OR(SUMPRODUCT(--('Stock'!$A$6:$A$26="2026Q2"),--('Stock'!$B$6:$B$26="SE"),--('Stock'!$E$6:$E$26="2025"))=0,SUMPRODUCT(--('Stock'!$A$6:$A$26="2026Q2"),--('Stock'!$B$6:$B$26="SE"),--('Stock'!$E$6:$E$26="2025"),--('Stock'!$R$6:$R$26="n.d."))&gt;0),"n.d.",SUMPRODUCT(--('Stock'!$A$6:$A$26="2026Q2"),--('Stock'!$B$6:$B$26="SE"),--('Stock'!$E$6:$E$26="2025"),'Stock'!$R$6:$R$26))),"n.d.")</f>
        <v>0.0</v>
      </c>
      <c r="K12" s="31">
        <f>IF(COUNT(IF(OR(SUMPRODUCT(--('Stock'!$A$6:$A$26="2026Q2"),--('Stock'!$B$6:$B$26="SE"),--('Stock'!$E$6:$E$26="2026"))=0,SUMPRODUCT(--('Stock'!$A$6:$A$26="2026Q2"),--('Stock'!$B$6:$B$26="SE"),--('Stock'!$E$6:$E$26="2026"),--('Stock'!$R$6:$R$26="n.d."))&gt;0),"n.d.",SUMPRODUCT(--('Stock'!$A$6:$A$26="2026Q2"),--('Stock'!$B$6:$B$26="SE"),--('Stock'!$E$6:$E$26="2026"),'Stock'!$R$6:$R$26)))=1,SUM(IF(OR(SUMPRODUCT(--('Stock'!$A$6:$A$26="2026Q2"),--('Stock'!$B$6:$B$26="SE"),--('Stock'!$E$6:$E$26="2026"))=0,SUMPRODUCT(--('Stock'!$A$6:$A$26="2026Q2"),--('Stock'!$B$6:$B$26="SE"),--('Stock'!$E$6:$E$26="2026"),--('Stock'!$R$6:$R$26="n.d."))&gt;0),"n.d.",SUMPRODUCT(--('Stock'!$A$6:$A$26="2026Q2"),--('Stock'!$B$6:$B$26="SE"),--('Stock'!$E$6:$E$26="2026"),'Stock'!$R$6:$R$26))),"n.d.")</f>
        <v>14140.068998832623</v>
      </c>
    </row>
    <row r="16" spans="1:11">
      <c r="A16" s="28" t="s">
        <v>412</v>
      </c>
    </row>
    <row r="17" spans="1:7" ht="32" customHeight="1">
      <c r="A17" s="30" t="s">
        <v>413</v>
      </c>
      <c r="B17" s="30" t="s">
        <v>42</v>
      </c>
      <c r="C17" s="30" t="s">
        <v>51</v>
      </c>
      <c r="D17" s="30" t="s">
        <v>56</v>
      </c>
      <c r="E17" s="30" t="s">
        <v>61</v>
      </c>
      <c r="F17" s="30" t="s">
        <v>69</v>
      </c>
      <c r="G17" s="30" t="s">
        <v>75</v>
      </c>
    </row>
    <row r="18" spans="1:7">
      <c r="A18" t="s">
        <v>414</v>
      </c>
      <c r="B18" s="31">
        <f>IF(OR(SUMPRODUCT(--('Flux'!$A$6:$A$41="2026Q2"),--('Flux'!$B$6:$B$41="AT"),--('Flux'!$E$6:$E$41=DATE(2026,1,1)))=0,SUMPRODUCT(--('Flux'!$A$6:$A$41="2026Q2"),--('Flux'!$B$6:$B$41="AT"),--('Flux'!$E$6:$E$41=DATE(2026,1,1)),--('Flux'!$R$6:$R$41="n.d."))&gt;0),"n.d.",SUMPRODUCT(--('Flux'!$A$6:$A$41="2026Q2"),--('Flux'!$B$6:$B$41="AT"),--('Flux'!$E$6:$E$41=DATE(2026,1,1)),'Flux'!$R$6:$R$41))</f>
        <v>4213.139999999999</v>
      </c>
      <c r="C18" s="31">
        <f>IF(OR(SUMPRODUCT(--('Flux'!$A$6:$A$41="2026Q2"),--('Flux'!$B$6:$B$41="IT"),--('Flux'!$E$6:$E$41=DATE(2026,1,1)))=0,SUMPRODUCT(--('Flux'!$A$6:$A$41="2026Q2"),--('Flux'!$B$6:$B$41="IT"),--('Flux'!$E$6:$E$41=DATE(2026,1,1)),--('Flux'!$R$6:$R$41="n.d."))&gt;0),"n.d.",SUMPRODUCT(--('Flux'!$A$6:$A$41="2026Q2"),--('Flux'!$B$6:$B$41="IT"),--('Flux'!$E$6:$E$41=DATE(2026,1,1)),'Flux'!$R$6:$R$41))</f>
        <v>946898.0699999998</v>
      </c>
      <c r="D18" s="31">
        <f>IF(OR(SUMPRODUCT(--('Flux'!$A$6:$A$41="2026Q2"),--('Flux'!$B$6:$B$41="ZA"),--('Flux'!$E$6:$E$41=DATE(2026,1,1)))=0,SUMPRODUCT(--('Flux'!$A$6:$A$41="2026Q2"),--('Flux'!$B$6:$B$41="ZA"),--('Flux'!$E$6:$E$41=DATE(2026,1,1)),--('Flux'!$R$6:$R$41="n.d."))&gt;0),"n.d.",SUMPRODUCT(--('Flux'!$A$6:$A$41="2026Q2"),--('Flux'!$B$6:$B$41="ZA"),--('Flux'!$E$6:$E$41=DATE(2026,1,1)),'Flux'!$R$6:$R$41))</f>
        <v>160859.28958910215</v>
      </c>
      <c r="E18" s="31">
        <f>IF(OR(SUMPRODUCT(--('Flux'!$A$6:$A$41="2026Q2"),--('Flux'!$B$6:$B$41="DK"),--('Flux'!$E$6:$E$41=DATE(2026,1,1)))=0,SUMPRODUCT(--('Flux'!$A$6:$A$41="2026Q2"),--('Flux'!$B$6:$B$41="DK"),--('Flux'!$E$6:$E$41=DATE(2026,1,1)),--('Flux'!$R$6:$R$41="n.d."))&gt;0),"n.d.",SUMPRODUCT(--('Flux'!$A$6:$A$41="2026Q2"),--('Flux'!$B$6:$B$41="DK"),--('Flux'!$E$6:$E$41=DATE(2026,1,1)),'Flux'!$R$6:$R$41))</f>
        <v>17477.167727729862</v>
      </c>
      <c r="F18" s="31">
        <f>IF(OR(SUMPRODUCT(--('Flux'!$A$6:$A$41="2026Q2"),--('Flux'!$B$6:$B$41="NO"),--('Flux'!$E$6:$E$41=DATE(2026,1,1)))=0,SUMPRODUCT(--('Flux'!$A$6:$A$41="2026Q2"),--('Flux'!$B$6:$B$41="NO"),--('Flux'!$E$6:$E$41=DATE(2026,1,1)),--('Flux'!$R$6:$R$41="n.d."))&gt;0),"n.d.",SUMPRODUCT(--('Flux'!$A$6:$A$41="2026Q2"),--('Flux'!$B$6:$B$41="NO"),--('Flux'!$E$6:$E$41=DATE(2026,1,1)),'Flux'!$R$6:$R$41))</f>
        <v>9980.063542240587</v>
      </c>
      <c r="G18" s="31">
        <f>IF(OR(SUMPRODUCT(--('Flux'!$A$6:$A$41="2026Q2"),--('Flux'!$B$6:$B$41="SE"),--('Flux'!$E$6:$E$41=DATE(2026,1,1)))=0,SUMPRODUCT(--('Flux'!$A$6:$A$41="2026Q2"),--('Flux'!$B$6:$B$41="SE"),--('Flux'!$E$6:$E$41=DATE(2026,1,1)),--('Flux'!$R$6:$R$41="n.d."))&gt;0),"n.d.",SUMPRODUCT(--('Flux'!$A$6:$A$41="2026Q2"),--('Flux'!$B$6:$B$41="SE"),--('Flux'!$E$6:$E$41=DATE(2026,1,1)),'Flux'!$R$6:$R$41))</f>
        <v>22420.14212032177</v>
      </c>
    </row>
    <row r="19" spans="1:7">
      <c r="A19" t="s">
        <v>415</v>
      </c>
      <c r="B19" s="31">
        <f>IF(OR(SUMPRODUCT(--('Flux'!$A$6:$A$41="2026Q2"),--('Flux'!$B$6:$B$41="AT"),--('Flux'!$E$6:$E$41=DATE(2026,2,1)))=0,SUMPRODUCT(--('Flux'!$A$6:$A$41="2026Q2"),--('Flux'!$B$6:$B$41="AT"),--('Flux'!$E$6:$E$41=DATE(2026,2,1)),--('Flux'!$R$6:$R$41="n.d."))&gt;0),"n.d.",SUMPRODUCT(--('Flux'!$A$6:$A$41="2026Q2"),--('Flux'!$B$6:$B$41="AT"),--('Flux'!$E$6:$E$41=DATE(2026,2,1)),'Flux'!$R$6:$R$41))</f>
        <v>6335.460000000001</v>
      </c>
      <c r="C19" s="31">
        <f>IF(OR(SUMPRODUCT(--('Flux'!$A$6:$A$41="2026Q2"),--('Flux'!$B$6:$B$41="IT"),--('Flux'!$E$6:$E$41=DATE(2026,2,1)))=0,SUMPRODUCT(--('Flux'!$A$6:$A$41="2026Q2"),--('Flux'!$B$6:$B$41="IT"),--('Flux'!$E$6:$E$41=DATE(2026,2,1)),--('Flux'!$R$6:$R$41="n.d."))&gt;0),"n.d.",SUMPRODUCT(--('Flux'!$A$6:$A$41="2026Q2"),--('Flux'!$B$6:$B$41="IT"),--('Flux'!$E$6:$E$41=DATE(2026,2,1)),'Flux'!$R$6:$R$41))</f>
        <v>951551.9400000002</v>
      </c>
      <c r="D19" s="31">
        <f>IF(OR(SUMPRODUCT(--('Flux'!$A$6:$A$41="2026Q2"),--('Flux'!$B$6:$B$41="ZA"),--('Flux'!$E$6:$E$41=DATE(2026,2,1)))=0,SUMPRODUCT(--('Flux'!$A$6:$A$41="2026Q2"),--('Flux'!$B$6:$B$41="ZA"),--('Flux'!$E$6:$E$41=DATE(2026,2,1)),--('Flux'!$R$6:$R$41="n.d."))&gt;0),"n.d.",SUMPRODUCT(--('Flux'!$A$6:$A$41="2026Q2"),--('Flux'!$B$6:$B$41="ZA"),--('Flux'!$E$6:$E$41=DATE(2026,2,1)),'Flux'!$R$6:$R$41))</f>
        <v>171151.71522889973</v>
      </c>
      <c r="E19" s="31">
        <f>IF(OR(SUMPRODUCT(--('Flux'!$A$6:$A$41="2026Q2"),--('Flux'!$B$6:$B$41="DK"),--('Flux'!$E$6:$E$41=DATE(2026,2,1)))=0,SUMPRODUCT(--('Flux'!$A$6:$A$41="2026Q2"),--('Flux'!$B$6:$B$41="DK"),--('Flux'!$E$6:$E$41=DATE(2026,2,1)),--('Flux'!$R$6:$R$41="n.d."))&gt;0),"n.d.",SUMPRODUCT(--('Flux'!$A$6:$A$41="2026Q2"),--('Flux'!$B$6:$B$41="DK"),--('Flux'!$E$6:$E$41=DATE(2026,2,1)),'Flux'!$R$6:$R$41))</f>
        <v>34334.789798315505</v>
      </c>
      <c r="F19" s="31">
        <f>IF(OR(SUMPRODUCT(--('Flux'!$A$6:$A$41="2026Q2"),--('Flux'!$B$6:$B$41="NO"),--('Flux'!$E$6:$E$41=DATE(2026,2,1)))=0,SUMPRODUCT(--('Flux'!$A$6:$A$41="2026Q2"),--('Flux'!$B$6:$B$41="NO"),--('Flux'!$E$6:$E$41=DATE(2026,2,1)),--('Flux'!$R$6:$R$41="n.d."))&gt;0),"n.d.",SUMPRODUCT(--('Flux'!$A$6:$A$41="2026Q2"),--('Flux'!$B$6:$B$41="NO"),--('Flux'!$E$6:$E$41=DATE(2026,2,1)),'Flux'!$R$6:$R$41))</f>
        <v>6024.428043939176</v>
      </c>
      <c r="G19" s="31">
        <f>IF(OR(SUMPRODUCT(--('Flux'!$A$6:$A$41="2026Q2"),--('Flux'!$B$6:$B$41="SE"),--('Flux'!$E$6:$E$41=DATE(2026,2,1)))=0,SUMPRODUCT(--('Flux'!$A$6:$A$41="2026Q2"),--('Flux'!$B$6:$B$41="SE"),--('Flux'!$E$6:$E$41=DATE(2026,2,1)),--('Flux'!$R$6:$R$41="n.d."))&gt;0),"n.d.",SUMPRODUCT(--('Flux'!$A$6:$A$41="2026Q2"),--('Flux'!$B$6:$B$41="SE"),--('Flux'!$E$6:$E$41=DATE(2026,2,1)),'Flux'!$R$6:$R$41))</f>
        <v>10812.55486229284</v>
      </c>
    </row>
    <row r="20" spans="1:7">
      <c r="A20" t="s">
        <v>416</v>
      </c>
      <c r="B20" s="31">
        <f>IF(OR(SUMPRODUCT(--('Flux'!$A$6:$A$41="2026Q2"),--('Flux'!$B$6:$B$41="AT"),--('Flux'!$E$6:$E$41=DATE(2026,3,1)))=0,SUMPRODUCT(--('Flux'!$A$6:$A$41="2026Q2"),--('Flux'!$B$6:$B$41="AT"),--('Flux'!$E$6:$E$41=DATE(2026,3,1)),--('Flux'!$R$6:$R$41="n.d."))&gt;0),"n.d.",SUMPRODUCT(--('Flux'!$A$6:$A$41="2026Q2"),--('Flux'!$B$6:$B$41="AT"),--('Flux'!$E$6:$E$41=DATE(2026,3,1)),'Flux'!$R$6:$R$41))</f>
        <v>25273.230000000007</v>
      </c>
      <c r="C20" s="31">
        <f>IF(OR(SUMPRODUCT(--('Flux'!$A$6:$A$41="2026Q2"),--('Flux'!$B$6:$B$41="IT"),--('Flux'!$E$6:$E$41=DATE(2026,3,1)))=0,SUMPRODUCT(--('Flux'!$A$6:$A$41="2026Q2"),--('Flux'!$B$6:$B$41="IT"),--('Flux'!$E$6:$E$41=DATE(2026,3,1)),--('Flux'!$R$6:$R$41="n.d."))&gt;0),"n.d.",SUMPRODUCT(--('Flux'!$A$6:$A$41="2026Q2"),--('Flux'!$B$6:$B$41="IT"),--('Flux'!$E$6:$E$41=DATE(2026,3,1)),'Flux'!$R$6:$R$41))</f>
        <v>1177760.6300000004</v>
      </c>
      <c r="D20" s="31">
        <f>IF(OR(SUMPRODUCT(--('Flux'!$A$6:$A$41="2026Q2"),--('Flux'!$B$6:$B$41="ZA"),--('Flux'!$E$6:$E$41=DATE(2026,3,1)))=0,SUMPRODUCT(--('Flux'!$A$6:$A$41="2026Q2"),--('Flux'!$B$6:$B$41="ZA"),--('Flux'!$E$6:$E$41=DATE(2026,3,1)),--('Flux'!$R$6:$R$41="n.d."))&gt;0),"n.d.",SUMPRODUCT(--('Flux'!$A$6:$A$41="2026Q2"),--('Flux'!$B$6:$B$41="ZA"),--('Flux'!$E$6:$E$41=DATE(2026,3,1)),'Flux'!$R$6:$R$41))</f>
        <v>211900.11445754557</v>
      </c>
      <c r="E20" s="31">
        <f>IF(OR(SUMPRODUCT(--('Flux'!$A$6:$A$41="2026Q2"),--('Flux'!$B$6:$B$41="DK"),--('Flux'!$E$6:$E$41=DATE(2026,3,1)))=0,SUMPRODUCT(--('Flux'!$A$6:$A$41="2026Q2"),--('Flux'!$B$6:$B$41="DK"),--('Flux'!$E$6:$E$41=DATE(2026,3,1)),--('Flux'!$R$6:$R$41="n.d."))&gt;0),"n.d.",SUMPRODUCT(--('Flux'!$A$6:$A$41="2026Q2"),--('Flux'!$B$6:$B$41="DK"),--('Flux'!$E$6:$E$41=DATE(2026,3,1)),'Flux'!$R$6:$R$41))</f>
        <v>14889.542156133957</v>
      </c>
      <c r="F20" s="31">
        <f>IF(OR(SUMPRODUCT(--('Flux'!$A$6:$A$41="2026Q2"),--('Flux'!$B$6:$B$41="NO"),--('Flux'!$E$6:$E$41=DATE(2026,3,1)))=0,SUMPRODUCT(--('Flux'!$A$6:$A$41="2026Q2"),--('Flux'!$B$6:$B$41="NO"),--('Flux'!$E$6:$E$41=DATE(2026,3,1)),--('Flux'!$R$6:$R$41="n.d."))&gt;0),"n.d.",SUMPRODUCT(--('Flux'!$A$6:$A$41="2026Q2"),--('Flux'!$B$6:$B$41="NO"),--('Flux'!$E$6:$E$41=DATE(2026,3,1)),'Flux'!$R$6:$R$41))</f>
        <v>21895.59059521449</v>
      </c>
      <c r="G20" s="31">
        <f>IF(OR(SUMPRODUCT(--('Flux'!$A$6:$A$41="2026Q2"),--('Flux'!$B$6:$B$41="SE"),--('Flux'!$E$6:$E$41=DATE(2026,3,1)))=0,SUMPRODUCT(--('Flux'!$A$6:$A$41="2026Q2"),--('Flux'!$B$6:$B$41="SE"),--('Flux'!$E$6:$E$41=DATE(2026,3,1)),--('Flux'!$R$6:$R$41="n.d."))&gt;0),"n.d.",SUMPRODUCT(--('Flux'!$A$6:$A$41="2026Q2"),--('Flux'!$B$6:$B$41="SE"),--('Flux'!$E$6:$E$41=DATE(2026,3,1)),'Flux'!$R$6:$R$41))</f>
        <v>65066.57262199842</v>
      </c>
    </row>
    <row r="21" spans="1:7">
      <c r="A21" t="s">
        <v>417</v>
      </c>
      <c r="B21" s="31">
        <f>IF(OR(SUMPRODUCT(--('Flux'!$A$6:$A$41="2026Q2"),--('Flux'!$B$6:$B$41="AT"),--('Flux'!$E$6:$E$41=DATE(2026,4,1)))=0,SUMPRODUCT(--('Flux'!$A$6:$A$41="2026Q2"),--('Flux'!$B$6:$B$41="AT"),--('Flux'!$E$6:$E$41=DATE(2026,4,1)),--('Flux'!$R$6:$R$41="n.d."))&gt;0),"n.d.",SUMPRODUCT(--('Flux'!$A$6:$A$41="2026Q2"),--('Flux'!$B$6:$B$41="AT"),--('Flux'!$E$6:$E$41=DATE(2026,4,1)),'Flux'!$R$6:$R$41))</f>
        <v>4747.0199999999995</v>
      </c>
      <c r="C21" s="31">
        <f>IF(OR(SUMPRODUCT(--('Flux'!$A$6:$A$41="2026Q2"),--('Flux'!$B$6:$B$41="IT"),--('Flux'!$E$6:$E$41=DATE(2026,4,1)))=0,SUMPRODUCT(--('Flux'!$A$6:$A$41="2026Q2"),--('Flux'!$B$6:$B$41="IT"),--('Flux'!$E$6:$E$41=DATE(2026,4,1)),--('Flux'!$R$6:$R$41="n.d."))&gt;0),"n.d.",SUMPRODUCT(--('Flux'!$A$6:$A$41="2026Q2"),--('Flux'!$B$6:$B$41="IT"),--('Flux'!$E$6:$E$41=DATE(2026,4,1)),'Flux'!$R$6:$R$41))</f>
        <v>1199203.7600000002</v>
      </c>
      <c r="D21" s="31">
        <f>IF(OR(SUMPRODUCT(--('Flux'!$A$6:$A$41="2026Q2"),--('Flux'!$B$6:$B$41="ZA"),--('Flux'!$E$6:$E$41=DATE(2026,4,1)))=0,SUMPRODUCT(--('Flux'!$A$6:$A$41="2026Q2"),--('Flux'!$B$6:$B$41="ZA"),--('Flux'!$E$6:$E$41=DATE(2026,4,1)),--('Flux'!$R$6:$R$41="n.d."))&gt;0),"n.d.",SUMPRODUCT(--('Flux'!$A$6:$A$41="2026Q2"),--('Flux'!$B$6:$B$41="ZA"),--('Flux'!$E$6:$E$41=DATE(2026,4,1)),'Flux'!$R$6:$R$41))</f>
        <v>200004.47646038115</v>
      </c>
      <c r="E21" s="31">
        <f>IF(OR(SUMPRODUCT(--('Flux'!$A$6:$A$41="2026Q2"),--('Flux'!$B$6:$B$41="DK"),--('Flux'!$E$6:$E$41=DATE(2026,4,1)))=0,SUMPRODUCT(--('Flux'!$A$6:$A$41="2026Q2"),--('Flux'!$B$6:$B$41="DK"),--('Flux'!$E$6:$E$41=DATE(2026,4,1)),--('Flux'!$R$6:$R$41="n.d."))&gt;0),"n.d.",SUMPRODUCT(--('Flux'!$A$6:$A$41="2026Q2"),--('Flux'!$B$6:$B$41="DK"),--('Flux'!$E$6:$E$41=DATE(2026,4,1)),'Flux'!$R$6:$R$41))</f>
        <v>15036.561334597973</v>
      </c>
      <c r="F21" s="31">
        <f>IF(OR(SUMPRODUCT(--('Flux'!$A$6:$A$41="2026Q2"),--('Flux'!$B$6:$B$41="NO"),--('Flux'!$E$6:$E$41=DATE(2026,4,1)))=0,SUMPRODUCT(--('Flux'!$A$6:$A$41="2026Q2"),--('Flux'!$B$6:$B$41="NO"),--('Flux'!$E$6:$E$41=DATE(2026,4,1)),--('Flux'!$R$6:$R$41="n.d."))&gt;0),"n.d.",SUMPRODUCT(--('Flux'!$A$6:$A$41="2026Q2"),--('Flux'!$B$6:$B$41="NO"),--('Flux'!$E$6:$E$41=DATE(2026,4,1)),'Flux'!$R$6:$R$41))</f>
        <v>5086.4277120921115</v>
      </c>
      <c r="G21" s="31">
        <f>IF(OR(SUMPRODUCT(--('Flux'!$A$6:$A$41="2026Q2"),--('Flux'!$B$6:$B$41="SE"),--('Flux'!$E$6:$E$41=DATE(2026,4,1)))=0,SUMPRODUCT(--('Flux'!$A$6:$A$41="2026Q2"),--('Flux'!$B$6:$B$41="SE"),--('Flux'!$E$6:$E$41=DATE(2026,4,1)),--('Flux'!$R$6:$R$41="n.d."))&gt;0),"n.d.",SUMPRODUCT(--('Flux'!$A$6:$A$41="2026Q2"),--('Flux'!$B$6:$B$41="SE"),--('Flux'!$E$6:$E$41=DATE(2026,4,1)),'Flux'!$R$6:$R$41))</f>
        <v>34684.351743112114</v>
      </c>
    </row>
    <row r="22" spans="1:7">
      <c r="A22" t="s">
        <v>418</v>
      </c>
      <c r="B22" s="31">
        <f>IF(OR(SUMPRODUCT(--('Flux'!$A$6:$A$41="2026Q2"),--('Flux'!$B$6:$B$41="AT"),--('Flux'!$E$6:$E$41=DATE(2026,5,1)))=0,SUMPRODUCT(--('Flux'!$A$6:$A$41="2026Q2"),--('Flux'!$B$6:$B$41="AT"),--('Flux'!$E$6:$E$41=DATE(2026,5,1)),--('Flux'!$R$6:$R$41="n.d."))&gt;0),"n.d.",SUMPRODUCT(--('Flux'!$A$6:$A$41="2026Q2"),--('Flux'!$B$6:$B$41="AT"),--('Flux'!$E$6:$E$41=DATE(2026,5,1)),'Flux'!$R$6:$R$41))</f>
        <v>11020.09</v>
      </c>
      <c r="C22" s="31">
        <f>IF(OR(SUMPRODUCT(--('Flux'!$A$6:$A$41="2026Q2"),--('Flux'!$B$6:$B$41="IT"),--('Flux'!$E$6:$E$41=DATE(2026,5,1)))=0,SUMPRODUCT(--('Flux'!$A$6:$A$41="2026Q2"),--('Flux'!$B$6:$B$41="IT"),--('Flux'!$E$6:$E$41=DATE(2026,5,1)),--('Flux'!$R$6:$R$41="n.d."))&gt;0),"n.d.",SUMPRODUCT(--('Flux'!$A$6:$A$41="2026Q2"),--('Flux'!$B$6:$B$41="IT"),--('Flux'!$E$6:$E$41=DATE(2026,5,1)),'Flux'!$R$6:$R$41))</f>
        <v>1425617.0999999999</v>
      </c>
      <c r="D22" s="31">
        <f>IF(OR(SUMPRODUCT(--('Flux'!$A$6:$A$41="2026Q2"),--('Flux'!$B$6:$B$41="ZA"),--('Flux'!$E$6:$E$41=DATE(2026,5,1)))=0,SUMPRODUCT(--('Flux'!$A$6:$A$41="2026Q2"),--('Flux'!$B$6:$B$41="ZA"),--('Flux'!$E$6:$E$41=DATE(2026,5,1)),--('Flux'!$R$6:$R$41="n.d."))&gt;0),"n.d.",SUMPRODUCT(--('Flux'!$A$6:$A$41="2026Q2"),--('Flux'!$B$6:$B$41="ZA"),--('Flux'!$E$6:$E$41=DATE(2026,5,1)),'Flux'!$R$6:$R$41))</f>
        <v>206318.82634950857</v>
      </c>
      <c r="E22" s="31">
        <f>IF(OR(SUMPRODUCT(--('Flux'!$A$6:$A$41="2026Q2"),--('Flux'!$B$6:$B$41="DK"),--('Flux'!$E$6:$E$41=DATE(2026,5,1)))=0,SUMPRODUCT(--('Flux'!$A$6:$A$41="2026Q2"),--('Flux'!$B$6:$B$41="DK"),--('Flux'!$E$6:$E$41=DATE(2026,5,1)),--('Flux'!$R$6:$R$41="n.d."))&gt;0),"n.d.",SUMPRODUCT(--('Flux'!$A$6:$A$41="2026Q2"),--('Flux'!$B$6:$B$41="DK"),--('Flux'!$E$6:$E$41=DATE(2026,5,1)),'Flux'!$R$6:$R$41))</f>
        <v>21741.321922812047</v>
      </c>
      <c r="F22" s="31">
        <f>IF(OR(SUMPRODUCT(--('Flux'!$A$6:$A$41="2026Q2"),--('Flux'!$B$6:$B$41="NO"),--('Flux'!$E$6:$E$41=DATE(2026,5,1)))=0,SUMPRODUCT(--('Flux'!$A$6:$A$41="2026Q2"),--('Flux'!$B$6:$B$41="NO"),--('Flux'!$E$6:$E$41=DATE(2026,5,1)),--('Flux'!$R$6:$R$41="n.d."))&gt;0),"n.d.",SUMPRODUCT(--('Flux'!$A$6:$A$41="2026Q2"),--('Flux'!$B$6:$B$41="NO"),--('Flux'!$E$6:$E$41=DATE(2026,5,1)),'Flux'!$R$6:$R$41))</f>
        <v>12779.2545227119</v>
      </c>
      <c r="G22" s="31">
        <f>IF(OR(SUMPRODUCT(--('Flux'!$A$6:$A$41="2026Q2"),--('Flux'!$B$6:$B$41="SE"),--('Flux'!$E$6:$E$41=DATE(2026,5,1)))=0,SUMPRODUCT(--('Flux'!$A$6:$A$41="2026Q2"),--('Flux'!$B$6:$B$41="SE"),--('Flux'!$E$6:$E$41=DATE(2026,5,1)),--('Flux'!$R$6:$R$41="n.d."))&gt;0),"n.d.",SUMPRODUCT(--('Flux'!$A$6:$A$41="2026Q2"),--('Flux'!$B$6:$B$41="SE"),--('Flux'!$E$6:$E$41=DATE(2026,5,1)),'Flux'!$R$6:$R$41))</f>
        <v>12378.13153772663</v>
      </c>
    </row>
    <row r="23" spans="1:7">
      <c r="A23" t="s">
        <v>419</v>
      </c>
      <c r="B23" s="31">
        <f>IF(OR(SUMPRODUCT(--('Flux'!$A$6:$A$41="2026Q2"),--('Flux'!$B$6:$B$41="AT"),--('Flux'!$E$6:$E$41=DATE(2026,6,1)))=0,SUMPRODUCT(--('Flux'!$A$6:$A$41="2026Q2"),--('Flux'!$B$6:$B$41="AT"),--('Flux'!$E$6:$E$41=DATE(2026,6,1)),--('Flux'!$R$6:$R$41="n.d."))&gt;0),"n.d.",SUMPRODUCT(--('Flux'!$A$6:$A$41="2026Q2"),--('Flux'!$B$6:$B$41="AT"),--('Flux'!$E$6:$E$41=DATE(2026,6,1)),'Flux'!$R$6:$R$41))</f>
        <v>3156.52</v>
      </c>
      <c r="C23" s="31">
        <f>IF(OR(SUMPRODUCT(--('Flux'!$A$6:$A$41="2026Q2"),--('Flux'!$B$6:$B$41="IT"),--('Flux'!$E$6:$E$41=DATE(2026,6,1)))=0,SUMPRODUCT(--('Flux'!$A$6:$A$41="2026Q2"),--('Flux'!$B$6:$B$41="IT"),--('Flux'!$E$6:$E$41=DATE(2026,6,1)),--('Flux'!$R$6:$R$41="n.d."))&gt;0),"n.d.",SUMPRODUCT(--('Flux'!$A$6:$A$41="2026Q2"),--('Flux'!$B$6:$B$41="IT"),--('Flux'!$E$6:$E$41=DATE(2026,6,1)),'Flux'!$R$6:$R$41))</f>
        <v>977488.48</v>
      </c>
      <c r="D23" s="31">
        <f>IF(OR(SUMPRODUCT(--('Flux'!$A$6:$A$41="2026Q2"),--('Flux'!$B$6:$B$41="ZA"),--('Flux'!$E$6:$E$41=DATE(2026,6,1)))=0,SUMPRODUCT(--('Flux'!$A$6:$A$41="2026Q2"),--('Flux'!$B$6:$B$41="ZA"),--('Flux'!$E$6:$E$41=DATE(2026,6,1)),--('Flux'!$R$6:$R$41="n.d."))&gt;0),"n.d.",SUMPRODUCT(--('Flux'!$A$6:$A$41="2026Q2"),--('Flux'!$B$6:$B$41="ZA"),--('Flux'!$E$6:$E$41=DATE(2026,6,1)),'Flux'!$R$6:$R$41))</f>
        <v>225610.21334228964</v>
      </c>
      <c r="E23" s="31">
        <f>IF(OR(SUMPRODUCT(--('Flux'!$A$6:$A$41="2026Q2"),--('Flux'!$B$6:$B$41="DK"),--('Flux'!$E$6:$E$41=DATE(2026,6,1)))=0,SUMPRODUCT(--('Flux'!$A$6:$A$41="2026Q2"),--('Flux'!$B$6:$B$41="DK"),--('Flux'!$E$6:$E$41=DATE(2026,6,1)),--('Flux'!$R$6:$R$41="n.d."))&gt;0),"n.d.",SUMPRODUCT(--('Flux'!$A$6:$A$41="2026Q2"),--('Flux'!$B$6:$B$41="DK"),--('Flux'!$E$6:$E$41=DATE(2026,6,1)),'Flux'!$R$6:$R$41))</f>
        <v>11699.288059775461</v>
      </c>
      <c r="F23" s="31">
        <f>IF(OR(SUMPRODUCT(--('Flux'!$A$6:$A$41="2026Q2"),--('Flux'!$B$6:$B$41="NO"),--('Flux'!$E$6:$E$41=DATE(2026,6,1)))=0,SUMPRODUCT(--('Flux'!$A$6:$A$41="2026Q2"),--('Flux'!$B$6:$B$41="NO"),--('Flux'!$E$6:$E$41=DATE(2026,6,1)),--('Flux'!$R$6:$R$41="n.d."))&gt;0),"n.d.",SUMPRODUCT(--('Flux'!$A$6:$A$41="2026Q2"),--('Flux'!$B$6:$B$41="NO"),--('Flux'!$E$6:$E$41=DATE(2026,6,1)),'Flux'!$R$6:$R$41))</f>
        <v>5700.042565222784</v>
      </c>
      <c r="G23" s="31">
        <f>IF(OR(SUMPRODUCT(--('Flux'!$A$6:$A$41="2026Q2"),--('Flux'!$B$6:$B$41="SE"),--('Flux'!$E$6:$E$41=DATE(2026,6,1)))=0,SUMPRODUCT(--('Flux'!$A$6:$A$41="2026Q2"),--('Flux'!$B$6:$B$41="SE"),--('Flux'!$E$6:$E$41=DATE(2026,6,1)),--('Flux'!$R$6:$R$41="n.d."))&gt;0),"n.d.",SUMPRODUCT(--('Flux'!$A$6:$A$41="2026Q2"),--('Flux'!$B$6:$B$41="SE"),--('Flux'!$E$6:$E$41=DATE(2026,6,1)),'Flux'!$R$6:$R$41))</f>
        <v>25058.2166752549</v>
      </c>
    </row>
    <row r="27" spans="1:7">
      <c r="A27" s="28" t="s">
        <v>420</v>
      </c>
    </row>
    <row r="28" spans="1:7" ht="32" customHeight="1">
      <c r="A28" s="30" t="s">
        <v>373</v>
      </c>
      <c r="B28" s="30" t="s">
        <v>421</v>
      </c>
      <c r="C28" s="30" t="s">
        <v>422</v>
      </c>
      <c r="D28" s="30" t="s">
        <v>423</v>
      </c>
      <c r="E28" s="30" t="s">
        <v>424</v>
      </c>
    </row>
    <row r="29" spans="1:7">
      <c r="A29" t="s">
        <v>42</v>
      </c>
      <c r="C29" s="31">
        <f>IF(OR(COUNTIFS('Consolidation'!$A$6:$A$11,"2026Q2",'Consolidation'!$B$6:$B$11,"AT")&lt;&gt;1,COUNTIFS('Consolidation'!$A$6:$A$11,"2026Q2",'Consolidation'!$B$6:$B$11,"AT",'Consolidation'!$Y$6:$Y$11,"n.d.")&gt;0),"n.d.",SUMIFS('Consolidation'!$Y$6:$Y$11,'Consolidation'!$A$6:$A$11,"2026Q2",'Consolidation'!$B$6:$B$11,"AT"))</f>
        <v>0.7727272727272727</v>
      </c>
      <c r="E29" s="31">
        <f>IF(OR(COUNTIFS('Consolidation'!$A$6:$A$11,"2026Q2",'Consolidation'!$B$6:$B$11,"AT")&lt;&gt;1,COUNTIFS('Consolidation'!$A$6:$A$11,"2026Q2",'Consolidation'!$B$6:$B$11,"AT",'Consolidation'!$X$6:$X$11,"n.d.")&gt;0),"n.d.",SUMIFS('Consolidation'!$X$6:$X$11,'Consolidation'!$A$6:$A$11,"2026Q2",'Consolidation'!$B$6:$B$11,"AT"))</f>
        <v>0.9008720336850898</v>
      </c>
    </row>
    <row r="30" spans="1:7">
      <c r="A30" t="s">
        <v>51</v>
      </c>
      <c r="C30" s="31">
        <f>IF(OR(COUNTIFS('Consolidation'!$A$6:$A$11,"2026Q2",'Consolidation'!$B$6:$B$11,"IT")&lt;&gt;1,COUNTIFS('Consolidation'!$A$6:$A$11,"2026Q2",'Consolidation'!$B$6:$B$11,"IT",'Consolidation'!$Y$6:$Y$11,"n.d.")&gt;0),"n.d.",SUMIFS('Consolidation'!$Y$6:$Y$11,'Consolidation'!$A$6:$A$11,"2026Q2",'Consolidation'!$B$6:$B$11,"IT"))</f>
        <v>0.9484958979033729</v>
      </c>
      <c r="E30" s="31">
        <f>IF(OR(COUNTIFS('Consolidation'!$A$6:$A$11,"2026Q2",'Consolidation'!$B$6:$B$11,"IT")&lt;&gt;1,COUNTIFS('Consolidation'!$A$6:$A$11,"2026Q2",'Consolidation'!$B$6:$B$11,"IT",'Consolidation'!$X$6:$X$11,"n.d.")&gt;0),"n.d.",SUMIFS('Consolidation'!$X$6:$X$11,'Consolidation'!$A$6:$A$11,"2026Q2",'Consolidation'!$B$6:$B$11,"IT"))</f>
        <v>0.9843784875387906</v>
      </c>
    </row>
    <row r="31" spans="1:7">
      <c r="A31" t="s">
        <v>56</v>
      </c>
      <c r="C31" s="31">
        <f>IF(OR(COUNTIFS('Consolidation'!$A$6:$A$11,"2026Q2",'Consolidation'!$B$6:$B$11,"ZA")&lt;&gt;1,COUNTIFS('Consolidation'!$A$6:$A$11,"2026Q2",'Consolidation'!$B$6:$B$11,"ZA",'Consolidation'!$Y$6:$Y$11,"n.d.")&gt;0),"n.d.",SUMIFS('Consolidation'!$Y$6:$Y$11,'Consolidation'!$A$6:$A$11,"2026Q2",'Consolidation'!$B$6:$B$11,"ZA"))</f>
        <v>0.8549981233579382</v>
      </c>
      <c r="E31" s="31">
        <f>IF(OR(COUNTIFS('Consolidation'!$A$6:$A$11,"2026Q2",'Consolidation'!$B$6:$B$11,"ZA")&lt;&gt;1,COUNTIFS('Consolidation'!$A$6:$A$11,"2026Q2",'Consolidation'!$B$6:$B$11,"ZA",'Consolidation'!$X$6:$X$11,"n.d.")&gt;0),"n.d.",SUMIFS('Consolidation'!$X$6:$X$11,'Consolidation'!$A$6:$A$11,"2026Q2",'Consolidation'!$B$6:$B$11,"ZA"))</f>
        <v>0.6493430482328113</v>
      </c>
    </row>
    <row r="32" spans="1:7">
      <c r="A32" t="s">
        <v>61</v>
      </c>
      <c r="C32" s="31">
        <f>IF(OR(COUNTIFS('Consolidation'!$A$6:$A$11,"2026Q2",'Consolidation'!$B$6:$B$11,"DK")&lt;&gt;1,COUNTIFS('Consolidation'!$A$6:$A$11,"2026Q2",'Consolidation'!$B$6:$B$11,"DK",'Consolidation'!$Y$6:$Y$11,"n.d.")&gt;0),"n.d.",SUMIFS('Consolidation'!$Y$6:$Y$11,'Consolidation'!$A$6:$A$11,"2026Q2",'Consolidation'!$B$6:$B$11,"DK"))</f>
        <v>1.0</v>
      </c>
      <c r="E32" s="31">
        <f>IF(OR(COUNTIFS('Consolidation'!$A$6:$A$11,"2026Q2",'Consolidation'!$B$6:$B$11,"DK")&lt;&gt;1,COUNTIFS('Consolidation'!$A$6:$A$11,"2026Q2",'Consolidation'!$B$6:$B$11,"DK",'Consolidation'!$X$6:$X$11,"n.d.")&gt;0),"n.d.",SUMIFS('Consolidation'!$X$6:$X$11,'Consolidation'!$A$6:$A$11,"2026Q2",'Consolidation'!$B$6:$B$11,"DK"))</f>
        <v>1.0</v>
      </c>
    </row>
    <row r="33" spans="1:11">
      <c r="A33" t="s">
        <v>69</v>
      </c>
      <c r="C33" s="31">
        <f>IF(OR(COUNTIFS('Consolidation'!$A$6:$A$11,"2026Q2",'Consolidation'!$B$6:$B$11,"NO")&lt;&gt;1,COUNTIFS('Consolidation'!$A$6:$A$11,"2026Q2",'Consolidation'!$B$6:$B$11,"NO",'Consolidation'!$Y$6:$Y$11,"n.d.")&gt;0),"n.d.",SUMIFS('Consolidation'!$Y$6:$Y$11,'Consolidation'!$A$6:$A$11,"2026Q2",'Consolidation'!$B$6:$B$11,"NO"))</f>
        <v>0.9924812030075187</v>
      </c>
      <c r="E33" s="31">
        <f>IF(OR(COUNTIFS('Consolidation'!$A$6:$A$11,"2026Q2",'Consolidation'!$B$6:$B$11,"NO")&lt;&gt;1,COUNTIFS('Consolidation'!$A$6:$A$11,"2026Q2",'Consolidation'!$B$6:$B$11,"NO",'Consolidation'!$X$6:$X$11,"n.d.")&gt;0),"n.d.",SUMIFS('Consolidation'!$X$6:$X$11,'Consolidation'!$A$6:$A$11,"2026Q2",'Consolidation'!$B$6:$B$11,"NO"))</f>
        <v>0.9410164877948007</v>
      </c>
    </row>
    <row r="34" spans="1:11">
      <c r="A34" t="s">
        <v>75</v>
      </c>
      <c r="C34" s="31">
        <f>IF(OR(COUNTIFS('Consolidation'!$A$6:$A$11,"2026Q2",'Consolidation'!$B$6:$B$11,"SE")&lt;&gt;1,COUNTIFS('Consolidation'!$A$6:$A$11,"2026Q2",'Consolidation'!$B$6:$B$11,"SE",'Consolidation'!$Y$6:$Y$11,"n.d.")&gt;0),"n.d.",SUMIFS('Consolidation'!$Y$6:$Y$11,'Consolidation'!$A$6:$A$11,"2026Q2",'Consolidation'!$B$6:$B$11,"SE"))</f>
        <v>1.0</v>
      </c>
      <c r="E34" s="31">
        <f>IF(OR(COUNTIFS('Consolidation'!$A$6:$A$11,"2026Q2",'Consolidation'!$B$6:$B$11,"SE")&lt;&gt;1,COUNTIFS('Consolidation'!$A$6:$A$11,"2026Q2",'Consolidation'!$B$6:$B$11,"SE",'Consolidation'!$X$6:$X$11,"n.d.")&gt;0),"n.d.",SUMIFS('Consolidation'!$X$6:$X$11,'Consolidation'!$A$6:$A$11,"2026Q2",'Consolidation'!$B$6:$B$11,"SE"))</f>
        <v>0.9999999999999999</v>
      </c>
    </row>
    <row r="38" spans="1:11">
      <c r="A38" s="28" t="s">
        <v>433</v>
      </c>
    </row>
    <row r="39" spans="1:11" ht="32" customHeight="1">
      <c r="A39" s="30" t="s">
        <v>373</v>
      </c>
      <c r="B39" s="30" t="s">
        <v>393</v>
      </c>
      <c r="C39" s="30" t="s">
        <v>394</v>
      </c>
      <c r="D39" s="30" t="s">
        <v>395</v>
      </c>
      <c r="E39" s="30" t="s">
        <v>396</v>
      </c>
      <c r="F39" s="30" t="s">
        <v>397</v>
      </c>
      <c r="G39" s="30" t="s">
        <v>398</v>
      </c>
      <c r="H39" s="30" t="s">
        <v>399</v>
      </c>
      <c r="I39" s="30" t="s">
        <v>400</v>
      </c>
      <c r="J39" s="30" t="s">
        <v>401</v>
      </c>
      <c r="K39" s="30" t="s">
        <v>402</v>
      </c>
    </row>
    <row r="40" spans="1:11">
      <c r="A40" t="s">
        <v>42</v>
      </c>
      <c r="C40" s="31">
        <f>IF(OR(COUNTIFS('Consolidation'!$A$6:$A$11,"2026Q2",'Consolidation'!$B$6:$B$11,"AT")&lt;&gt;1,COUNTIFS('Consolidation'!$A$6:$A$11,"2026Q2",'Consolidation'!$B$6:$B$11,"AT",'Consolidation'!$N$6:$N$11,"n.d.")&gt;0),"n.d.",SUMIFS('Consolidation'!$N$6:$N$11,'Consolidation'!$A$6:$A$11,"2026Q2",'Consolidation'!$B$6:$B$11,"AT"))</f>
        <v>11992.289999999979</v>
      </c>
      <c r="E40" s="31">
        <f>IF(OR(COUNTIFS('Consolidation'!$A$6:$A$11,"2026Q2",'Consolidation'!$B$6:$B$11,"AT")&lt;&gt;1,COUNTIFS('Consolidation'!$A$6:$A$11,"2026Q2",'Consolidation'!$B$6:$B$11,"AT",'Consolidation'!$M$6:$M$11,"n.d.")&gt;0),"n.d.",SUMIFS('Consolidation'!$M$6:$M$11,'Consolidation'!$A$6:$A$11,"2026Q2",'Consolidation'!$B$6:$B$11,"AT"))</f>
        <v>11992.289999999979</v>
      </c>
      <c r="F40" s="31">
        <f>IF(COUNT(IF(OR(SUMPRODUCT(--('Stock'!$A$6:$A$26="2026Q2"),--('Stock'!$B$6:$B$26="AT"),--('Stock'!$E$6:$E$26="&lt;2025"))=0,SUMPRODUCT(--('Stock'!$A$6:$A$26="2026Q2"),--('Stock'!$B$6:$B$26="AT"),--('Stock'!$E$6:$E$26="&lt;2025"),--('Stock'!$S$6:$S$26="n.d."))&gt;0),"n.d.",SUMPRODUCT(--('Stock'!$A$6:$A$26="2026Q2"),--('Stock'!$B$6:$B$26="AT"),--('Stock'!$E$6:$E$26="&lt;2025"),'Stock'!$S$6:$S$26)))=1,SUM(IF(OR(SUMPRODUCT(--('Stock'!$A$6:$A$26="2026Q2"),--('Stock'!$B$6:$B$26="AT"),--('Stock'!$E$6:$E$26="&lt;2025"))=0,SUMPRODUCT(--('Stock'!$A$6:$A$26="2026Q2"),--('Stock'!$B$6:$B$26="AT"),--('Stock'!$E$6:$E$26="&lt;2025"),--('Stock'!$S$6:$S$26="n.d."))&gt;0),"n.d.",SUMPRODUCT(--('Stock'!$A$6:$A$26="2026Q2"),--('Stock'!$B$6:$B$26="AT"),--('Stock'!$E$6:$E$26="&lt;2025"),'Stock'!$S$6:$S$26))),"n.d.")</f>
        <v>6177.090000000084</v>
      </c>
      <c r="G40" s="31">
        <f>IF(COUNT(IF(OR(SUMPRODUCT(--('Stock'!$A$6:$A$26="2026Q2"),--('Stock'!$B$6:$B$26="AT"),--('Stock'!$E$6:$E$26="2025"))=0,SUMPRODUCT(--('Stock'!$A$6:$A$26="2026Q2"),--('Stock'!$B$6:$B$26="AT"),--('Stock'!$E$6:$E$26="2025"),--('Stock'!$S$6:$S$26="n.d."))&gt;0),"n.d.",SUMPRODUCT(--('Stock'!$A$6:$A$26="2026Q2"),--('Stock'!$B$6:$B$26="AT"),--('Stock'!$E$6:$E$26="2025"),'Stock'!$S$6:$S$26)))=1,SUM(IF(OR(SUMPRODUCT(--('Stock'!$A$6:$A$26="2026Q2"),--('Stock'!$B$6:$B$26="AT"),--('Stock'!$E$6:$E$26="2025"))=0,SUMPRODUCT(--('Stock'!$A$6:$A$26="2026Q2"),--('Stock'!$B$6:$B$26="AT"),--('Stock'!$E$6:$E$26="2025"),--('Stock'!$S$6:$S$26="n.d."))&gt;0),"n.d.",SUMPRODUCT(--('Stock'!$A$6:$A$26="2026Q2"),--('Stock'!$B$6:$B$26="AT"),--('Stock'!$E$6:$E$26="2025"),'Stock'!$S$6:$S$26))),"n.d.")</f>
        <v>429.87999999994645</v>
      </c>
      <c r="H40" s="31">
        <f>IF(COUNT(IF(OR(SUMPRODUCT(--('Stock'!$A$6:$A$26="2026Q2"),--('Stock'!$B$6:$B$26="AT"),--('Stock'!$E$6:$E$26="2026"))=0,SUMPRODUCT(--('Stock'!$A$6:$A$26="2026Q2"),--('Stock'!$B$6:$B$26="AT"),--('Stock'!$E$6:$E$26="2026"),--('Stock'!$S$6:$S$26="n.d."))&gt;0),"n.d.",SUMPRODUCT(--('Stock'!$A$6:$A$26="2026Q2"),--('Stock'!$B$6:$B$26="AT"),--('Stock'!$E$6:$E$26="2026"),'Stock'!$S$6:$S$26)))=1,SUM(IF(OR(SUMPRODUCT(--('Stock'!$A$6:$A$26="2026Q2"),--('Stock'!$B$6:$B$26="AT"),--('Stock'!$E$6:$E$26="2026"))=0,SUMPRODUCT(--('Stock'!$A$6:$A$26="2026Q2"),--('Stock'!$B$6:$B$26="AT"),--('Stock'!$E$6:$E$26="2026"),--('Stock'!$S$6:$S$26="n.d."))&gt;0),"n.d.",SUMPRODUCT(--('Stock'!$A$6:$A$26="2026Q2"),--('Stock'!$B$6:$B$26="AT"),--('Stock'!$E$6:$E$26="2026"),'Stock'!$S$6:$S$26))),"n.d.")</f>
        <v>5385.319999999949</v>
      </c>
      <c r="I40" s="31">
        <f>IF(COUNT(IF(OR(SUMPRODUCT(--('Stock'!$A$6:$A$26="2026Q2"),--('Stock'!$B$6:$B$26="AT"),--('Stock'!$E$6:$E$26="&lt;2025"))=0,SUMPRODUCT(--('Stock'!$A$6:$A$26="2026Q2"),--('Stock'!$B$6:$B$26="AT"),--('Stock'!$E$6:$E$26="&lt;2025"),--('Stock'!$R$6:$R$26="n.d."))&gt;0),"n.d.",SUMPRODUCT(--('Stock'!$A$6:$A$26="2026Q2"),--('Stock'!$B$6:$B$26="AT"),--('Stock'!$E$6:$E$26="&lt;2025"),'Stock'!$R$6:$R$26)))=1,SUM(IF(OR(SUMPRODUCT(--('Stock'!$A$6:$A$26="2026Q2"),--('Stock'!$B$6:$B$26="AT"),--('Stock'!$E$6:$E$26="&lt;2025"))=0,SUMPRODUCT(--('Stock'!$A$6:$A$26="2026Q2"),--('Stock'!$B$6:$B$26="AT"),--('Stock'!$E$6:$E$26="&lt;2025"),--('Stock'!$R$6:$R$26="n.d."))&gt;0),"n.d.",SUMPRODUCT(--('Stock'!$A$6:$A$26="2026Q2"),--('Stock'!$B$6:$B$26="AT"),--('Stock'!$E$6:$E$26="&lt;2025"),'Stock'!$R$6:$R$26))),"n.d.")</f>
        <v>6177.090000000084</v>
      </c>
      <c r="J40" s="31">
        <f>IF(COUNT(IF(OR(SUMPRODUCT(--('Stock'!$A$6:$A$26="2026Q2"),--('Stock'!$B$6:$B$26="AT"),--('Stock'!$E$6:$E$26="2025"))=0,SUMPRODUCT(--('Stock'!$A$6:$A$26="2026Q2"),--('Stock'!$B$6:$B$26="AT"),--('Stock'!$E$6:$E$26="2025"),--('Stock'!$R$6:$R$26="n.d."))&gt;0),"n.d.",SUMPRODUCT(--('Stock'!$A$6:$A$26="2026Q2"),--('Stock'!$B$6:$B$26="AT"),--('Stock'!$E$6:$E$26="2025"),'Stock'!$R$6:$R$26)))=1,SUM(IF(OR(SUMPRODUCT(--('Stock'!$A$6:$A$26="2026Q2"),--('Stock'!$B$6:$B$26="AT"),--('Stock'!$E$6:$E$26="2025"))=0,SUMPRODUCT(--('Stock'!$A$6:$A$26="2026Q2"),--('Stock'!$B$6:$B$26="AT"),--('Stock'!$E$6:$E$26="2025"),--('Stock'!$R$6:$R$26="n.d."))&gt;0),"n.d.",SUMPRODUCT(--('Stock'!$A$6:$A$26="2026Q2"),--('Stock'!$B$6:$B$26="AT"),--('Stock'!$E$6:$E$26="2025"),'Stock'!$R$6:$R$26))),"n.d.")</f>
        <v>429.87999999994645</v>
      </c>
      <c r="K40" s="31">
        <f>IF(COUNT(IF(OR(SUMPRODUCT(--('Stock'!$A$6:$A$26="2026Q2"),--('Stock'!$B$6:$B$26="AT"),--('Stock'!$E$6:$E$26="2026"))=0,SUMPRODUCT(--('Stock'!$A$6:$A$26="2026Q2"),--('Stock'!$B$6:$B$26="AT"),--('Stock'!$E$6:$E$26="2026"),--('Stock'!$R$6:$R$26="n.d."))&gt;0),"n.d.",SUMPRODUCT(--('Stock'!$A$6:$A$26="2026Q2"),--('Stock'!$B$6:$B$26="AT"),--('Stock'!$E$6:$E$26="2026"),'Stock'!$R$6:$R$26)))=1,SUM(IF(OR(SUMPRODUCT(--('Stock'!$A$6:$A$26="2026Q2"),--('Stock'!$B$6:$B$26="AT"),--('Stock'!$E$6:$E$26="2026"))=0,SUMPRODUCT(--('Stock'!$A$6:$A$26="2026Q2"),--('Stock'!$B$6:$B$26="AT"),--('Stock'!$E$6:$E$26="2026"),--('Stock'!$R$6:$R$26="n.d."))&gt;0),"n.d.",SUMPRODUCT(--('Stock'!$A$6:$A$26="2026Q2"),--('Stock'!$B$6:$B$26="AT"),--('Stock'!$E$6:$E$26="2026"),'Stock'!$R$6:$R$26))),"n.d.")</f>
        <v>5385.319999999949</v>
      </c>
    </row>
    <row r="41" spans="1:11">
      <c r="A41" t="s">
        <v>51</v>
      </c>
      <c r="C41" s="31">
        <f>IF(OR(COUNTIFS('Consolidation'!$A$6:$A$11,"2026Q2",'Consolidation'!$B$6:$B$11,"IT")&lt;&gt;1,COUNTIFS('Consolidation'!$A$6:$A$11,"2026Q2",'Consolidation'!$B$6:$B$11,"IT",'Consolidation'!$N$6:$N$11,"n.d.")&gt;0),"n.d.",SUMIFS('Consolidation'!$N$6:$N$11,'Consolidation'!$A$6:$A$11,"2026Q2",'Consolidation'!$B$6:$B$11,"IT"))</f>
        <v>3127145.950000018</v>
      </c>
      <c r="E41" s="31">
        <f>IF(OR(COUNTIFS('Consolidation'!$A$6:$A$11,"2026Q2",'Consolidation'!$B$6:$B$11,"IT")&lt;&gt;1,COUNTIFS('Consolidation'!$A$6:$A$11,"2026Q2",'Consolidation'!$B$6:$B$11,"IT",'Consolidation'!$M$6:$M$11,"n.d.")&gt;0),"n.d.",SUMIFS('Consolidation'!$M$6:$M$11,'Consolidation'!$A$6:$A$11,"2026Q2",'Consolidation'!$B$6:$B$11,"IT"))</f>
        <v>787426.2400000179</v>
      </c>
      <c r="F41" s="31">
        <f>IF(COUNT(IF(OR(SUMPRODUCT(--('Stock'!$A$6:$A$26="2026Q2"),--('Stock'!$B$6:$B$26="IT"),--('Stock'!$E$6:$E$26="&lt;2025"))=0,SUMPRODUCT(--('Stock'!$A$6:$A$26="2026Q2"),--('Stock'!$B$6:$B$26="IT"),--('Stock'!$E$6:$E$26="&lt;2025"),--('Stock'!$S$6:$S$26="n.d."))&gt;0),"n.d.",SUMPRODUCT(--('Stock'!$A$6:$A$26="2026Q2"),--('Stock'!$B$6:$B$26="IT"),--('Stock'!$E$6:$E$26="&lt;2025"),'Stock'!$S$6:$S$26)))=1,SUM(IF(OR(SUMPRODUCT(--('Stock'!$A$6:$A$26="2026Q2"),--('Stock'!$B$6:$B$26="IT"),--('Stock'!$E$6:$E$26="&lt;2025"))=0,SUMPRODUCT(--('Stock'!$A$6:$A$26="2026Q2"),--('Stock'!$B$6:$B$26="IT"),--('Stock'!$E$6:$E$26="&lt;2025"),--('Stock'!$S$6:$S$26="n.d."))&gt;0),"n.d.",SUMPRODUCT(--('Stock'!$A$6:$A$26="2026Q2"),--('Stock'!$B$6:$B$26="IT"),--('Stock'!$E$6:$E$26="&lt;2025"),'Stock'!$S$6:$S$26))),"n.d.")</f>
        <v>1852194.770000015</v>
      </c>
      <c r="G41" s="31">
        <f>IF(COUNT(IF(OR(SUMPRODUCT(--('Stock'!$A$6:$A$26="2026Q2"),--('Stock'!$B$6:$B$26="IT"),--('Stock'!$E$6:$E$26="2025"))=0,SUMPRODUCT(--('Stock'!$A$6:$A$26="2026Q2"),--('Stock'!$B$6:$B$26="IT"),--('Stock'!$E$6:$E$26="2025"),--('Stock'!$S$6:$S$26="n.d."))&gt;0),"n.d.",SUMPRODUCT(--('Stock'!$A$6:$A$26="2026Q2"),--('Stock'!$B$6:$B$26="IT"),--('Stock'!$E$6:$E$26="2025"),'Stock'!$S$6:$S$26)))=1,SUM(IF(OR(SUMPRODUCT(--('Stock'!$A$6:$A$26="2026Q2"),--('Stock'!$B$6:$B$26="IT"),--('Stock'!$E$6:$E$26="2025"))=0,SUMPRODUCT(--('Stock'!$A$6:$A$26="2026Q2"),--('Stock'!$B$6:$B$26="IT"),--('Stock'!$E$6:$E$26="2025"),--('Stock'!$S$6:$S$26="n.d."))&gt;0),"n.d.",SUMPRODUCT(--('Stock'!$A$6:$A$26="2026Q2"),--('Stock'!$B$6:$B$26="IT"),--('Stock'!$E$6:$E$26="2025"),'Stock'!$S$6:$S$26))),"n.d.")</f>
        <v>360502.4800000027</v>
      </c>
      <c r="H41" s="31">
        <f>IF(COUNT(IF(OR(SUMPRODUCT(--('Stock'!$A$6:$A$26="2026Q2"),--('Stock'!$B$6:$B$26="IT"),--('Stock'!$E$6:$E$26="2026"))=0,SUMPRODUCT(--('Stock'!$A$6:$A$26="2026Q2"),--('Stock'!$B$6:$B$26="IT"),--('Stock'!$E$6:$E$26="2026"),--('Stock'!$S$6:$S$26="n.d."))&gt;0),"n.d.",SUMPRODUCT(--('Stock'!$A$6:$A$26="2026Q2"),--('Stock'!$B$6:$B$26="IT"),--('Stock'!$E$6:$E$26="2026"),'Stock'!$S$6:$S$26)))=1,SUM(IF(OR(SUMPRODUCT(--('Stock'!$A$6:$A$26="2026Q2"),--('Stock'!$B$6:$B$26="IT"),--('Stock'!$E$6:$E$26="2026"))=0,SUMPRODUCT(--('Stock'!$A$6:$A$26="2026Q2"),--('Stock'!$B$6:$B$26="IT"),--('Stock'!$E$6:$E$26="2026"),--('Stock'!$S$6:$S$26="n.d."))&gt;0),"n.d.",SUMPRODUCT(--('Stock'!$A$6:$A$26="2026Q2"),--('Stock'!$B$6:$B$26="IT"),--('Stock'!$E$6:$E$26="2026"),'Stock'!$S$6:$S$26))),"n.d.")</f>
        <v>914448.7000000004</v>
      </c>
      <c r="I41" s="31">
        <f>IF(COUNT(IF(OR(SUMPRODUCT(--('Stock'!$A$6:$A$26="2026Q2"),--('Stock'!$B$6:$B$26="IT"),--('Stock'!$E$6:$E$26="&lt;2025"))=0,SUMPRODUCT(--('Stock'!$A$6:$A$26="2026Q2"),--('Stock'!$B$6:$B$26="IT"),--('Stock'!$E$6:$E$26="&lt;2025"),--('Stock'!$R$6:$R$26="n.d."))&gt;0),"n.d.",SUMPRODUCT(--('Stock'!$A$6:$A$26="2026Q2"),--('Stock'!$B$6:$B$26="IT"),--('Stock'!$E$6:$E$26="&lt;2025"),'Stock'!$R$6:$R$26)))=1,SUM(IF(OR(SUMPRODUCT(--('Stock'!$A$6:$A$26="2026Q2"),--('Stock'!$B$6:$B$26="IT"),--('Stock'!$E$6:$E$26="&lt;2025"))=0,SUMPRODUCT(--('Stock'!$A$6:$A$26="2026Q2"),--('Stock'!$B$6:$B$26="IT"),--('Stock'!$E$6:$E$26="&lt;2025"),--('Stock'!$R$6:$R$26="n.d."))&gt;0),"n.d.",SUMPRODUCT(--('Stock'!$A$6:$A$26="2026Q2"),--('Stock'!$B$6:$B$26="IT"),--('Stock'!$E$6:$E$26="&lt;2025"),'Stock'!$R$6:$R$26))),"n.d.")</f>
        <v>1.4901161193847656e-08</v>
      </c>
      <c r="J41" s="31">
        <f>IF(COUNT(IF(OR(SUMPRODUCT(--('Stock'!$A$6:$A$26="2026Q2"),--('Stock'!$B$6:$B$26="IT"),--('Stock'!$E$6:$E$26="2025"))=0,SUMPRODUCT(--('Stock'!$A$6:$A$26="2026Q2"),--('Stock'!$B$6:$B$26="IT"),--('Stock'!$E$6:$E$26="2025"),--('Stock'!$R$6:$R$26="n.d."))&gt;0),"n.d.",SUMPRODUCT(--('Stock'!$A$6:$A$26="2026Q2"),--('Stock'!$B$6:$B$26="IT"),--('Stock'!$E$6:$E$26="2025"),'Stock'!$R$6:$R$26)))=1,SUM(IF(OR(SUMPRODUCT(--('Stock'!$A$6:$A$26="2026Q2"),--('Stock'!$B$6:$B$26="IT"),--('Stock'!$E$6:$E$26="2025"))=0,SUMPRODUCT(--('Stock'!$A$6:$A$26="2026Q2"),--('Stock'!$B$6:$B$26="IT"),--('Stock'!$E$6:$E$26="2025"),--('Stock'!$R$6:$R$26="n.d."))&gt;0),"n.d.",SUMPRODUCT(--('Stock'!$A$6:$A$26="2026Q2"),--('Stock'!$B$6:$B$26="IT"),--('Stock'!$E$6:$E$26="2025"),'Stock'!$R$6:$R$26))),"n.d.")</f>
        <v>137167.63000000268</v>
      </c>
      <c r="K41" s="31">
        <f>IF(COUNT(IF(OR(SUMPRODUCT(--('Stock'!$A$6:$A$26="2026Q2"),--('Stock'!$B$6:$B$26="IT"),--('Stock'!$E$6:$E$26="2026"))=0,SUMPRODUCT(--('Stock'!$A$6:$A$26="2026Q2"),--('Stock'!$B$6:$B$26="IT"),--('Stock'!$E$6:$E$26="2026"),--('Stock'!$R$6:$R$26="n.d."))&gt;0),"n.d.",SUMPRODUCT(--('Stock'!$A$6:$A$26="2026Q2"),--('Stock'!$B$6:$B$26="IT"),--('Stock'!$E$6:$E$26="2026"),'Stock'!$R$6:$R$26)))=1,SUM(IF(OR(SUMPRODUCT(--('Stock'!$A$6:$A$26="2026Q2"),--('Stock'!$B$6:$B$26="IT"),--('Stock'!$E$6:$E$26="2026"))=0,SUMPRODUCT(--('Stock'!$A$6:$A$26="2026Q2"),--('Stock'!$B$6:$B$26="IT"),--('Stock'!$E$6:$E$26="2026"),--('Stock'!$R$6:$R$26="n.d."))&gt;0),"n.d.",SUMPRODUCT(--('Stock'!$A$6:$A$26="2026Q2"),--('Stock'!$B$6:$B$26="IT"),--('Stock'!$E$6:$E$26="2026"),'Stock'!$R$6:$R$26))),"n.d.")</f>
        <v>650258.6100000003</v>
      </c>
    </row>
    <row r="42" spans="1:11">
      <c r="A42" t="s">
        <v>56</v>
      </c>
      <c r="C42" s="31">
        <f>IF(OR(COUNTIFS('Consolidation'!$A$6:$A$11,"2026Q2",'Consolidation'!$B$6:$B$11,"ZA")&lt;&gt;1,COUNTIFS('Consolidation'!$A$6:$A$11,"2026Q2",'Consolidation'!$B$6:$B$11,"ZA",'Consolidation'!$N$6:$N$11,"n.d.")&gt;0),"n.d.",SUMIFS('Consolidation'!$N$6:$N$11,'Consolidation'!$A$6:$A$11,"2026Q2",'Consolidation'!$B$6:$B$11,"ZA"))</f>
        <v>1905080.928827054</v>
      </c>
      <c r="E42" s="31">
        <f>IF(OR(COUNTIFS('Consolidation'!$A$6:$A$11,"2026Q2",'Consolidation'!$B$6:$B$11,"ZA")&lt;&gt;1,COUNTIFS('Consolidation'!$A$6:$A$11,"2026Q2",'Consolidation'!$B$6:$B$11,"ZA",'Consolidation'!$M$6:$M$11,"n.d.")&gt;0),"n.d.",SUMIFS('Consolidation'!$M$6:$M$11,'Consolidation'!$A$6:$A$11,"2026Q2",'Consolidation'!$B$6:$B$11,"ZA"))</f>
        <v>1665285.949003469</v>
      </c>
      <c r="F42" s="31">
        <f>IF(COUNT(IF(OR(SUMPRODUCT(--('Stock'!$A$6:$A$26="2026Q2"),--('Stock'!$B$6:$B$26="ZA"),--('Stock'!$E$6:$E$26="&lt;2025"))=0,SUMPRODUCT(--('Stock'!$A$6:$A$26="2026Q2"),--('Stock'!$B$6:$B$26="ZA"),--('Stock'!$E$6:$E$26="&lt;2025"),--('Stock'!$S$6:$S$26="n.d."))&gt;0),"n.d.",SUMPRODUCT(--('Stock'!$A$6:$A$26="2026Q2"),--('Stock'!$B$6:$B$26="ZA"),--('Stock'!$E$6:$E$26="&lt;2025"),'Stock'!$S$6:$S$26)))=1,SUM(IF(OR(SUMPRODUCT(--('Stock'!$A$6:$A$26="2026Q2"),--('Stock'!$B$6:$B$26="ZA"),--('Stock'!$E$6:$E$26="&lt;2025"))=0,SUMPRODUCT(--('Stock'!$A$6:$A$26="2026Q2"),--('Stock'!$B$6:$B$26="ZA"),--('Stock'!$E$6:$E$26="&lt;2025"),--('Stock'!$S$6:$S$26="n.d."))&gt;0),"n.d.",SUMPRODUCT(--('Stock'!$A$6:$A$26="2026Q2"),--('Stock'!$B$6:$B$26="ZA"),--('Stock'!$E$6:$E$26="&lt;2025"),'Stock'!$S$6:$S$26))),"n.d.")</f>
        <v>870959.942228234</v>
      </c>
      <c r="G42" s="31">
        <f>IF(COUNT(IF(OR(SUMPRODUCT(--('Stock'!$A$6:$A$26="2026Q2"),--('Stock'!$B$6:$B$26="ZA"),--('Stock'!$E$6:$E$26="2025"))=0,SUMPRODUCT(--('Stock'!$A$6:$A$26="2026Q2"),--('Stock'!$B$6:$B$26="ZA"),--('Stock'!$E$6:$E$26="2025"),--('Stock'!$S$6:$S$26="n.d."))&gt;0),"n.d.",SUMPRODUCT(--('Stock'!$A$6:$A$26="2026Q2"),--('Stock'!$B$6:$B$26="ZA"),--('Stock'!$E$6:$E$26="2025"),'Stock'!$S$6:$S$26)))=1,SUM(IF(OR(SUMPRODUCT(--('Stock'!$A$6:$A$26="2026Q2"),--('Stock'!$B$6:$B$26="ZA"),--('Stock'!$E$6:$E$26="2025"))=0,SUMPRODUCT(--('Stock'!$A$6:$A$26="2026Q2"),--('Stock'!$B$6:$B$26="ZA"),--('Stock'!$E$6:$E$26="2025"),--('Stock'!$S$6:$S$26="n.d."))&gt;0),"n.d.",SUMPRODUCT(--('Stock'!$A$6:$A$26="2026Q2"),--('Stock'!$B$6:$B$26="ZA"),--('Stock'!$E$6:$E$26="2025"),'Stock'!$S$6:$S$26))),"n.d.")</f>
        <v>390377.8429580314</v>
      </c>
      <c r="H42" s="31">
        <f>IF(COUNT(IF(OR(SUMPRODUCT(--('Stock'!$A$6:$A$26="2026Q2"),--('Stock'!$B$6:$B$26="ZA"),--('Stock'!$E$6:$E$26="2026"))=0,SUMPRODUCT(--('Stock'!$A$6:$A$26="2026Q2"),--('Stock'!$B$6:$B$26="ZA"),--('Stock'!$E$6:$E$26="2026"),--('Stock'!$S$6:$S$26="n.d."))&gt;0),"n.d.",SUMPRODUCT(--('Stock'!$A$6:$A$26="2026Q2"),--('Stock'!$B$6:$B$26="ZA"),--('Stock'!$E$6:$E$26="2026"),'Stock'!$S$6:$S$26)))=1,SUM(IF(OR(SUMPRODUCT(--('Stock'!$A$6:$A$26="2026Q2"),--('Stock'!$B$6:$B$26="ZA"),--('Stock'!$E$6:$E$26="2026"))=0,SUMPRODUCT(--('Stock'!$A$6:$A$26="2026Q2"),--('Stock'!$B$6:$B$26="ZA"),--('Stock'!$E$6:$E$26="2026"),--('Stock'!$S$6:$S$26="n.d."))&gt;0),"n.d.",SUMPRODUCT(--('Stock'!$A$6:$A$26="2026Q2"),--('Stock'!$B$6:$B$26="ZA"),--('Stock'!$E$6:$E$26="2026"),'Stock'!$S$6:$S$26))),"n.d.")</f>
        <v>643743.1436407889</v>
      </c>
      <c r="I42" s="31">
        <f>IF(COUNT(IF(OR(SUMPRODUCT(--('Stock'!$A$6:$A$26="2026Q2"),--('Stock'!$B$6:$B$26="ZA"),--('Stock'!$E$6:$E$26="&lt;2025"))=0,SUMPRODUCT(--('Stock'!$A$6:$A$26="2026Q2"),--('Stock'!$B$6:$B$26="ZA"),--('Stock'!$E$6:$E$26="&lt;2025"),--('Stock'!$R$6:$R$26="n.d."))&gt;0),"n.d.",SUMPRODUCT(--('Stock'!$A$6:$A$26="2026Q2"),--('Stock'!$B$6:$B$26="ZA"),--('Stock'!$E$6:$E$26="&lt;2025"),'Stock'!$R$6:$R$26)))=1,SUM(IF(OR(SUMPRODUCT(--('Stock'!$A$6:$A$26="2026Q2"),--('Stock'!$B$6:$B$26="ZA"),--('Stock'!$E$6:$E$26="&lt;2025"))=0,SUMPRODUCT(--('Stock'!$A$6:$A$26="2026Q2"),--('Stock'!$B$6:$B$26="ZA"),--('Stock'!$E$6:$E$26="&lt;2025"),--('Stock'!$R$6:$R$26="n.d."))&gt;0),"n.d.",SUMPRODUCT(--('Stock'!$A$6:$A$26="2026Q2"),--('Stock'!$B$6:$B$26="ZA"),--('Stock'!$E$6:$E$26="&lt;2025"),'Stock'!$R$6:$R$26))),"n.d.")</f>
        <v>631164.9624046487</v>
      </c>
      <c r="J42" s="31">
        <f>IF(COUNT(IF(OR(SUMPRODUCT(--('Stock'!$A$6:$A$26="2026Q2"),--('Stock'!$B$6:$B$26="ZA"),--('Stock'!$E$6:$E$26="2025"))=0,SUMPRODUCT(--('Stock'!$A$6:$A$26="2026Q2"),--('Stock'!$B$6:$B$26="ZA"),--('Stock'!$E$6:$E$26="2025"),--('Stock'!$R$6:$R$26="n.d."))&gt;0),"n.d.",SUMPRODUCT(--('Stock'!$A$6:$A$26="2026Q2"),--('Stock'!$B$6:$B$26="ZA"),--('Stock'!$E$6:$E$26="2025"),'Stock'!$R$6:$R$26)))=1,SUM(IF(OR(SUMPRODUCT(--('Stock'!$A$6:$A$26="2026Q2"),--('Stock'!$B$6:$B$26="ZA"),--('Stock'!$E$6:$E$26="2025"))=0,SUMPRODUCT(--('Stock'!$A$6:$A$26="2026Q2"),--('Stock'!$B$6:$B$26="ZA"),--('Stock'!$E$6:$E$26="2025"),--('Stock'!$R$6:$R$26="n.d."))&gt;0),"n.d.",SUMPRODUCT(--('Stock'!$A$6:$A$26="2026Q2"),--('Stock'!$B$6:$B$26="ZA"),--('Stock'!$E$6:$E$26="2025"),'Stock'!$R$6:$R$26))),"n.d.")</f>
        <v>390377.8429580314</v>
      </c>
      <c r="K42" s="31">
        <f>IF(COUNT(IF(OR(SUMPRODUCT(--('Stock'!$A$6:$A$26="2026Q2"),--('Stock'!$B$6:$B$26="ZA"),--('Stock'!$E$6:$E$26="2026"))=0,SUMPRODUCT(--('Stock'!$A$6:$A$26="2026Q2"),--('Stock'!$B$6:$B$26="ZA"),--('Stock'!$E$6:$E$26="2026"),--('Stock'!$R$6:$R$26="n.d."))&gt;0),"n.d.",SUMPRODUCT(--('Stock'!$A$6:$A$26="2026Q2"),--('Stock'!$B$6:$B$26="ZA"),--('Stock'!$E$6:$E$26="2026"),'Stock'!$R$6:$R$26)))=1,SUM(IF(OR(SUMPRODUCT(--('Stock'!$A$6:$A$26="2026Q2"),--('Stock'!$B$6:$B$26="ZA"),--('Stock'!$E$6:$E$26="2026"))=0,SUMPRODUCT(--('Stock'!$A$6:$A$26="2026Q2"),--('Stock'!$B$6:$B$26="ZA"),--('Stock'!$E$6:$E$26="2026"),--('Stock'!$R$6:$R$26="n.d."))&gt;0),"n.d.",SUMPRODUCT(--('Stock'!$A$6:$A$26="2026Q2"),--('Stock'!$B$6:$B$26="ZA"),--('Stock'!$E$6:$E$26="2026"),'Stock'!$R$6:$R$26))),"n.d.")</f>
        <v>643743.1436407889</v>
      </c>
    </row>
    <row r="46" spans="1:11">
      <c r="A46" s="28" t="s">
        <v>436</v>
      </c>
    </row>
    <row r="47" spans="1:11" ht="32" customHeight="1">
      <c r="A47" s="30" t="s">
        <v>413</v>
      </c>
      <c r="B47" s="30" t="s">
        <v>42</v>
      </c>
      <c r="C47" s="30" t="s">
        <v>51</v>
      </c>
      <c r="D47" s="30" t="s">
        <v>56</v>
      </c>
    </row>
    <row r="48" spans="1:11">
      <c r="A48" t="s">
        <v>414</v>
      </c>
      <c r="B48" s="31">
        <f>IF(OR(SUMPRODUCT(--('Flux'!$A$6:$A$41="2026Q2"),--('Flux'!$B$6:$B$41="AT"),--('Flux'!$E$6:$E$41=DATE(2026,1,1)))=0,SUMPRODUCT(--('Flux'!$A$6:$A$41="2026Q2"),--('Flux'!$B$6:$B$41="AT"),--('Flux'!$E$6:$E$41=DATE(2026,1,1)),--('Flux'!$R$6:$R$41="n.d."))&gt;0),"n.d.",SUMPRODUCT(--('Flux'!$A$6:$A$41="2026Q2"),--('Flux'!$B$6:$B$41="AT"),--('Flux'!$E$6:$E$41=DATE(2026,1,1)),'Flux'!$R$6:$R$41))</f>
        <v>4213.139999999999</v>
      </c>
      <c r="C48" s="31">
        <f>IF(OR(SUMPRODUCT(--('Flux'!$A$6:$A$41="2026Q2"),--('Flux'!$B$6:$B$41="IT"),--('Flux'!$E$6:$E$41=DATE(2026,1,1)))=0,SUMPRODUCT(--('Flux'!$A$6:$A$41="2026Q2"),--('Flux'!$B$6:$B$41="IT"),--('Flux'!$E$6:$E$41=DATE(2026,1,1)),--('Flux'!$R$6:$R$41="n.d."))&gt;0),"n.d.",SUMPRODUCT(--('Flux'!$A$6:$A$41="2026Q2"),--('Flux'!$B$6:$B$41="IT"),--('Flux'!$E$6:$E$41=DATE(2026,1,1)),'Flux'!$R$6:$R$41))</f>
        <v>946898.0699999998</v>
      </c>
      <c r="D48" s="31">
        <f>IF(OR(SUMPRODUCT(--('Flux'!$A$6:$A$41="2026Q2"),--('Flux'!$B$6:$B$41="ZA"),--('Flux'!$E$6:$E$41=DATE(2026,1,1)))=0,SUMPRODUCT(--('Flux'!$A$6:$A$41="2026Q2"),--('Flux'!$B$6:$B$41="ZA"),--('Flux'!$E$6:$E$41=DATE(2026,1,1)),--('Flux'!$R$6:$R$41="n.d."))&gt;0),"n.d.",SUMPRODUCT(--('Flux'!$A$6:$A$41="2026Q2"),--('Flux'!$B$6:$B$41="ZA"),--('Flux'!$E$6:$E$41=DATE(2026,1,1)),'Flux'!$R$6:$R$41))</f>
        <v>160859.28958910215</v>
      </c>
    </row>
    <row r="49" spans="1:5">
      <c r="A49" t="s">
        <v>415</v>
      </c>
      <c r="B49" s="31">
        <f>IF(OR(SUMPRODUCT(--('Flux'!$A$6:$A$41="2026Q2"),--('Flux'!$B$6:$B$41="AT"),--('Flux'!$E$6:$E$41=DATE(2026,2,1)))=0,SUMPRODUCT(--('Flux'!$A$6:$A$41="2026Q2"),--('Flux'!$B$6:$B$41="AT"),--('Flux'!$E$6:$E$41=DATE(2026,2,1)),--('Flux'!$R$6:$R$41="n.d."))&gt;0),"n.d.",SUMPRODUCT(--('Flux'!$A$6:$A$41="2026Q2"),--('Flux'!$B$6:$B$41="AT"),--('Flux'!$E$6:$E$41=DATE(2026,2,1)),'Flux'!$R$6:$R$41))</f>
        <v>6335.460000000001</v>
      </c>
      <c r="C49" s="31">
        <f>IF(OR(SUMPRODUCT(--('Flux'!$A$6:$A$41="2026Q2"),--('Flux'!$B$6:$B$41="IT"),--('Flux'!$E$6:$E$41=DATE(2026,2,1)))=0,SUMPRODUCT(--('Flux'!$A$6:$A$41="2026Q2"),--('Flux'!$B$6:$B$41="IT"),--('Flux'!$E$6:$E$41=DATE(2026,2,1)),--('Flux'!$R$6:$R$41="n.d."))&gt;0),"n.d.",SUMPRODUCT(--('Flux'!$A$6:$A$41="2026Q2"),--('Flux'!$B$6:$B$41="IT"),--('Flux'!$E$6:$E$41=DATE(2026,2,1)),'Flux'!$R$6:$R$41))</f>
        <v>951551.9400000002</v>
      </c>
      <c r="D49" s="31">
        <f>IF(OR(SUMPRODUCT(--('Flux'!$A$6:$A$41="2026Q2"),--('Flux'!$B$6:$B$41="ZA"),--('Flux'!$E$6:$E$41=DATE(2026,2,1)))=0,SUMPRODUCT(--('Flux'!$A$6:$A$41="2026Q2"),--('Flux'!$B$6:$B$41="ZA"),--('Flux'!$E$6:$E$41=DATE(2026,2,1)),--('Flux'!$R$6:$R$41="n.d."))&gt;0),"n.d.",SUMPRODUCT(--('Flux'!$A$6:$A$41="2026Q2"),--('Flux'!$B$6:$B$41="ZA"),--('Flux'!$E$6:$E$41=DATE(2026,2,1)),'Flux'!$R$6:$R$41))</f>
        <v>171151.71522889973</v>
      </c>
    </row>
    <row r="50" spans="1:5">
      <c r="A50" t="s">
        <v>416</v>
      </c>
      <c r="B50" s="31">
        <f>IF(OR(SUMPRODUCT(--('Flux'!$A$6:$A$41="2026Q2"),--('Flux'!$B$6:$B$41="AT"),--('Flux'!$E$6:$E$41=DATE(2026,3,1)))=0,SUMPRODUCT(--('Flux'!$A$6:$A$41="2026Q2"),--('Flux'!$B$6:$B$41="AT"),--('Flux'!$E$6:$E$41=DATE(2026,3,1)),--('Flux'!$R$6:$R$41="n.d."))&gt;0),"n.d.",SUMPRODUCT(--('Flux'!$A$6:$A$41="2026Q2"),--('Flux'!$B$6:$B$41="AT"),--('Flux'!$E$6:$E$41=DATE(2026,3,1)),'Flux'!$R$6:$R$41))</f>
        <v>25273.230000000007</v>
      </c>
      <c r="C50" s="31">
        <f>IF(OR(SUMPRODUCT(--('Flux'!$A$6:$A$41="2026Q2"),--('Flux'!$B$6:$B$41="IT"),--('Flux'!$E$6:$E$41=DATE(2026,3,1)))=0,SUMPRODUCT(--('Flux'!$A$6:$A$41="2026Q2"),--('Flux'!$B$6:$B$41="IT"),--('Flux'!$E$6:$E$41=DATE(2026,3,1)),--('Flux'!$R$6:$R$41="n.d."))&gt;0),"n.d.",SUMPRODUCT(--('Flux'!$A$6:$A$41="2026Q2"),--('Flux'!$B$6:$B$41="IT"),--('Flux'!$E$6:$E$41=DATE(2026,3,1)),'Flux'!$R$6:$R$41))</f>
        <v>1177760.6300000004</v>
      </c>
      <c r="D50" s="31">
        <f>IF(OR(SUMPRODUCT(--('Flux'!$A$6:$A$41="2026Q2"),--('Flux'!$B$6:$B$41="ZA"),--('Flux'!$E$6:$E$41=DATE(2026,3,1)))=0,SUMPRODUCT(--('Flux'!$A$6:$A$41="2026Q2"),--('Flux'!$B$6:$B$41="ZA"),--('Flux'!$E$6:$E$41=DATE(2026,3,1)),--('Flux'!$R$6:$R$41="n.d."))&gt;0),"n.d.",SUMPRODUCT(--('Flux'!$A$6:$A$41="2026Q2"),--('Flux'!$B$6:$B$41="ZA"),--('Flux'!$E$6:$E$41=DATE(2026,3,1)),'Flux'!$R$6:$R$41))</f>
        <v>211900.11445754557</v>
      </c>
    </row>
    <row r="51" spans="1:5">
      <c r="A51" t="s">
        <v>417</v>
      </c>
      <c r="B51" s="31">
        <f>IF(OR(SUMPRODUCT(--('Flux'!$A$6:$A$41="2026Q2"),--('Flux'!$B$6:$B$41="AT"),--('Flux'!$E$6:$E$41=DATE(2026,4,1)))=0,SUMPRODUCT(--('Flux'!$A$6:$A$41="2026Q2"),--('Flux'!$B$6:$B$41="AT"),--('Flux'!$E$6:$E$41=DATE(2026,4,1)),--('Flux'!$R$6:$R$41="n.d."))&gt;0),"n.d.",SUMPRODUCT(--('Flux'!$A$6:$A$41="2026Q2"),--('Flux'!$B$6:$B$41="AT"),--('Flux'!$E$6:$E$41=DATE(2026,4,1)),'Flux'!$R$6:$R$41))</f>
        <v>4747.0199999999995</v>
      </c>
      <c r="C51" s="31">
        <f>IF(OR(SUMPRODUCT(--('Flux'!$A$6:$A$41="2026Q2"),--('Flux'!$B$6:$B$41="IT"),--('Flux'!$E$6:$E$41=DATE(2026,4,1)))=0,SUMPRODUCT(--('Flux'!$A$6:$A$41="2026Q2"),--('Flux'!$B$6:$B$41="IT"),--('Flux'!$E$6:$E$41=DATE(2026,4,1)),--('Flux'!$R$6:$R$41="n.d."))&gt;0),"n.d.",SUMPRODUCT(--('Flux'!$A$6:$A$41="2026Q2"),--('Flux'!$B$6:$B$41="IT"),--('Flux'!$E$6:$E$41=DATE(2026,4,1)),'Flux'!$R$6:$R$41))</f>
        <v>1199203.7600000002</v>
      </c>
      <c r="D51" s="31">
        <f>IF(OR(SUMPRODUCT(--('Flux'!$A$6:$A$41="2026Q2"),--('Flux'!$B$6:$B$41="ZA"),--('Flux'!$E$6:$E$41=DATE(2026,4,1)))=0,SUMPRODUCT(--('Flux'!$A$6:$A$41="2026Q2"),--('Flux'!$B$6:$B$41="ZA"),--('Flux'!$E$6:$E$41=DATE(2026,4,1)),--('Flux'!$R$6:$R$41="n.d."))&gt;0),"n.d.",SUMPRODUCT(--('Flux'!$A$6:$A$41="2026Q2"),--('Flux'!$B$6:$B$41="ZA"),--('Flux'!$E$6:$E$41=DATE(2026,4,1)),'Flux'!$R$6:$R$41))</f>
        <v>200004.47646038115</v>
      </c>
    </row>
    <row r="52" spans="1:5">
      <c r="A52" t="s">
        <v>418</v>
      </c>
      <c r="B52" s="31">
        <f>IF(OR(SUMPRODUCT(--('Flux'!$A$6:$A$41="2026Q2"),--('Flux'!$B$6:$B$41="AT"),--('Flux'!$E$6:$E$41=DATE(2026,5,1)))=0,SUMPRODUCT(--('Flux'!$A$6:$A$41="2026Q2"),--('Flux'!$B$6:$B$41="AT"),--('Flux'!$E$6:$E$41=DATE(2026,5,1)),--('Flux'!$R$6:$R$41="n.d."))&gt;0),"n.d.",SUMPRODUCT(--('Flux'!$A$6:$A$41="2026Q2"),--('Flux'!$B$6:$B$41="AT"),--('Flux'!$E$6:$E$41=DATE(2026,5,1)),'Flux'!$R$6:$R$41))</f>
        <v>11020.09</v>
      </c>
      <c r="C52" s="31">
        <f>IF(OR(SUMPRODUCT(--('Flux'!$A$6:$A$41="2026Q2"),--('Flux'!$B$6:$B$41="IT"),--('Flux'!$E$6:$E$41=DATE(2026,5,1)))=0,SUMPRODUCT(--('Flux'!$A$6:$A$41="2026Q2"),--('Flux'!$B$6:$B$41="IT"),--('Flux'!$E$6:$E$41=DATE(2026,5,1)),--('Flux'!$R$6:$R$41="n.d."))&gt;0),"n.d.",SUMPRODUCT(--('Flux'!$A$6:$A$41="2026Q2"),--('Flux'!$B$6:$B$41="IT"),--('Flux'!$E$6:$E$41=DATE(2026,5,1)),'Flux'!$R$6:$R$41))</f>
        <v>1425617.0999999999</v>
      </c>
      <c r="D52" s="31">
        <f>IF(OR(SUMPRODUCT(--('Flux'!$A$6:$A$41="2026Q2"),--('Flux'!$B$6:$B$41="ZA"),--('Flux'!$E$6:$E$41=DATE(2026,5,1)))=0,SUMPRODUCT(--('Flux'!$A$6:$A$41="2026Q2"),--('Flux'!$B$6:$B$41="ZA"),--('Flux'!$E$6:$E$41=DATE(2026,5,1)),--('Flux'!$R$6:$R$41="n.d."))&gt;0),"n.d.",SUMPRODUCT(--('Flux'!$A$6:$A$41="2026Q2"),--('Flux'!$B$6:$B$41="ZA"),--('Flux'!$E$6:$E$41=DATE(2026,5,1)),'Flux'!$R$6:$R$41))</f>
        <v>206318.82634950857</v>
      </c>
    </row>
    <row r="53" spans="1:5">
      <c r="A53" t="s">
        <v>419</v>
      </c>
      <c r="B53" s="31">
        <f>IF(OR(SUMPRODUCT(--('Flux'!$A$6:$A$41="2026Q2"),--('Flux'!$B$6:$B$41="AT"),--('Flux'!$E$6:$E$41=DATE(2026,6,1)))=0,SUMPRODUCT(--('Flux'!$A$6:$A$41="2026Q2"),--('Flux'!$B$6:$B$41="AT"),--('Flux'!$E$6:$E$41=DATE(2026,6,1)),--('Flux'!$R$6:$R$41="n.d."))&gt;0),"n.d.",SUMPRODUCT(--('Flux'!$A$6:$A$41="2026Q2"),--('Flux'!$B$6:$B$41="AT"),--('Flux'!$E$6:$E$41=DATE(2026,6,1)),'Flux'!$R$6:$R$41))</f>
        <v>3156.52</v>
      </c>
      <c r="C53" s="31">
        <f>IF(OR(SUMPRODUCT(--('Flux'!$A$6:$A$41="2026Q2"),--('Flux'!$B$6:$B$41="IT"),--('Flux'!$E$6:$E$41=DATE(2026,6,1)))=0,SUMPRODUCT(--('Flux'!$A$6:$A$41="2026Q2"),--('Flux'!$B$6:$B$41="IT"),--('Flux'!$E$6:$E$41=DATE(2026,6,1)),--('Flux'!$R$6:$R$41="n.d."))&gt;0),"n.d.",SUMPRODUCT(--('Flux'!$A$6:$A$41="2026Q2"),--('Flux'!$B$6:$B$41="IT"),--('Flux'!$E$6:$E$41=DATE(2026,6,1)),'Flux'!$R$6:$R$41))</f>
        <v>977488.48</v>
      </c>
      <c r="D53" s="31">
        <f>IF(OR(SUMPRODUCT(--('Flux'!$A$6:$A$41="2026Q2"),--('Flux'!$B$6:$B$41="ZA"),--('Flux'!$E$6:$E$41=DATE(2026,6,1)))=0,SUMPRODUCT(--('Flux'!$A$6:$A$41="2026Q2"),--('Flux'!$B$6:$B$41="ZA"),--('Flux'!$E$6:$E$41=DATE(2026,6,1)),--('Flux'!$R$6:$R$41="n.d."))&gt;0),"n.d.",SUMPRODUCT(--('Flux'!$A$6:$A$41="2026Q2"),--('Flux'!$B$6:$B$41="ZA"),--('Flux'!$E$6:$E$41=DATE(2026,6,1)),'Flux'!$R$6:$R$41))</f>
        <v>225610.21334228964</v>
      </c>
    </row>
    <row r="57" spans="1:5">
      <c r="A57" s="28" t="s">
        <v>437</v>
      </c>
    </row>
    <row r="58" spans="1:5" ht="32" customHeight="1">
      <c r="A58" s="30" t="s">
        <v>373</v>
      </c>
      <c r="B58" s="30" t="s">
        <v>421</v>
      </c>
      <c r="C58" s="30" t="s">
        <v>422</v>
      </c>
      <c r="D58" s="30" t="s">
        <v>423</v>
      </c>
      <c r="E58" s="30" t="s">
        <v>424</v>
      </c>
    </row>
    <row r="59" spans="1:5">
      <c r="A59" t="s">
        <v>42</v>
      </c>
      <c r="C59" s="31">
        <f>IF(OR(COUNTIFS('Consolidation'!$A$6:$A$11,"2026Q2",'Consolidation'!$B$6:$B$11,"AT")&lt;&gt;1,COUNTIFS('Consolidation'!$A$6:$A$11,"2026Q2",'Consolidation'!$B$6:$B$11,"AT",'Consolidation'!$Y$6:$Y$11,"n.d.")&gt;0),"n.d.",SUMIFS('Consolidation'!$Y$6:$Y$11,'Consolidation'!$A$6:$A$11,"2026Q2",'Consolidation'!$B$6:$B$11,"AT"))</f>
        <v>0.7727272727272727</v>
      </c>
      <c r="E59" s="31">
        <f>IF(OR(COUNTIFS('Consolidation'!$A$6:$A$11,"2026Q2",'Consolidation'!$B$6:$B$11,"AT")&lt;&gt;1,COUNTIFS('Consolidation'!$A$6:$A$11,"2026Q2",'Consolidation'!$B$6:$B$11,"AT",'Consolidation'!$X$6:$X$11,"n.d.")&gt;0),"n.d.",SUMIFS('Consolidation'!$X$6:$X$11,'Consolidation'!$A$6:$A$11,"2026Q2",'Consolidation'!$B$6:$B$11,"AT"))</f>
        <v>0.9008720336850898</v>
      </c>
    </row>
    <row r="60" spans="1:5">
      <c r="A60" t="s">
        <v>51</v>
      </c>
      <c r="C60" s="31">
        <f>IF(OR(COUNTIFS('Consolidation'!$A$6:$A$11,"2026Q2",'Consolidation'!$B$6:$B$11,"IT")&lt;&gt;1,COUNTIFS('Consolidation'!$A$6:$A$11,"2026Q2",'Consolidation'!$B$6:$B$11,"IT",'Consolidation'!$Y$6:$Y$11,"n.d.")&gt;0),"n.d.",SUMIFS('Consolidation'!$Y$6:$Y$11,'Consolidation'!$A$6:$A$11,"2026Q2",'Consolidation'!$B$6:$B$11,"IT"))</f>
        <v>0.9484958979033729</v>
      </c>
      <c r="E60" s="31">
        <f>IF(OR(COUNTIFS('Consolidation'!$A$6:$A$11,"2026Q2",'Consolidation'!$B$6:$B$11,"IT")&lt;&gt;1,COUNTIFS('Consolidation'!$A$6:$A$11,"2026Q2",'Consolidation'!$B$6:$B$11,"IT",'Consolidation'!$X$6:$X$11,"n.d.")&gt;0),"n.d.",SUMIFS('Consolidation'!$X$6:$X$11,'Consolidation'!$A$6:$A$11,"2026Q2",'Consolidation'!$B$6:$B$11,"IT"))</f>
        <v>0.9843784875387906</v>
      </c>
    </row>
    <row r="61" spans="1:5">
      <c r="A61" t="s">
        <v>56</v>
      </c>
      <c r="C61" s="31">
        <f>IF(OR(COUNTIFS('Consolidation'!$A$6:$A$11,"2026Q2",'Consolidation'!$B$6:$B$11,"ZA")&lt;&gt;1,COUNTIFS('Consolidation'!$A$6:$A$11,"2026Q2",'Consolidation'!$B$6:$B$11,"ZA",'Consolidation'!$Y$6:$Y$11,"n.d.")&gt;0),"n.d.",SUMIFS('Consolidation'!$Y$6:$Y$11,'Consolidation'!$A$6:$A$11,"2026Q2",'Consolidation'!$B$6:$B$11,"ZA"))</f>
        <v>0.8549981233579382</v>
      </c>
      <c r="E61" s="31">
        <f>IF(OR(COUNTIFS('Consolidation'!$A$6:$A$11,"2026Q2",'Consolidation'!$B$6:$B$11,"ZA")&lt;&gt;1,COUNTIFS('Consolidation'!$A$6:$A$11,"2026Q2",'Consolidation'!$B$6:$B$11,"ZA",'Consolidation'!$X$6:$X$11,"n.d.")&gt;0),"n.d.",SUMIFS('Consolidation'!$X$6:$X$11,'Consolidation'!$A$6:$A$11,"2026Q2",'Consolidation'!$B$6:$B$11,"ZA"))</f>
        <v>0.6493430482328113</v>
      </c>
    </row>
    <row r="65" spans="1:11">
      <c r="A65" s="28" t="s">
        <v>440</v>
      </c>
    </row>
    <row r="66" spans="1:11" ht="32" customHeight="1">
      <c r="A66" s="30" t="s">
        <v>373</v>
      </c>
      <c r="B66" s="30" t="s">
        <v>393</v>
      </c>
      <c r="C66" s="30" t="s">
        <v>394</v>
      </c>
      <c r="D66" s="30" t="s">
        <v>395</v>
      </c>
      <c r="E66" s="30" t="s">
        <v>396</v>
      </c>
      <c r="F66" s="30" t="s">
        <v>397</v>
      </c>
      <c r="G66" s="30" t="s">
        <v>398</v>
      </c>
      <c r="H66" s="30" t="s">
        <v>399</v>
      </c>
      <c r="I66" s="30" t="s">
        <v>400</v>
      </c>
      <c r="J66" s="30" t="s">
        <v>401</v>
      </c>
      <c r="K66" s="30" t="s">
        <v>402</v>
      </c>
    </row>
    <row r="67" spans="1:11">
      <c r="A67" t="s">
        <v>61</v>
      </c>
      <c r="C67" s="31">
        <f>IF(OR(COUNTIFS('Consolidation'!$A$6:$A$11,"2026Q2",'Consolidation'!$B$6:$B$11,"DK")&lt;&gt;1,COUNTIFS('Consolidation'!$A$6:$A$11,"2026Q2",'Consolidation'!$B$6:$B$11,"DK",'Consolidation'!$N$6:$N$11,"n.d.")&gt;0),"n.d.",SUMIFS('Consolidation'!$N$6:$N$11,'Consolidation'!$A$6:$A$11,"2026Q2",'Consolidation'!$B$6:$B$11,"DK"))</f>
        <v>24388.740092077394</v>
      </c>
      <c r="E67" s="31">
        <f>IF(OR(COUNTIFS('Consolidation'!$A$6:$A$11,"2026Q2",'Consolidation'!$B$6:$B$11,"DK")&lt;&gt;1,COUNTIFS('Consolidation'!$A$6:$A$11,"2026Q2",'Consolidation'!$B$6:$B$11,"DK",'Consolidation'!$M$6:$M$11,"n.d.")&gt;0),"n.d.",SUMIFS('Consolidation'!$M$6:$M$11,'Consolidation'!$A$6:$A$11,"2026Q2",'Consolidation'!$B$6:$B$11,"DK"))</f>
        <v>24388.740092077394</v>
      </c>
      <c r="F67" s="31">
        <f>IF(COUNT(IF(OR(SUMPRODUCT(--('Stock'!$A$6:$A$26="2026Q2"),--('Stock'!$B$6:$B$26="DK"),--('Stock'!$E$6:$E$26="&lt;2024"))=0,SUMPRODUCT(--('Stock'!$A$6:$A$26="2026Q2"),--('Stock'!$B$6:$B$26="DK"),--('Stock'!$E$6:$E$26="&lt;2024"),--('Stock'!$S$6:$S$26="n.d."))&gt;0),"n.d.",SUMPRODUCT(--('Stock'!$A$6:$A$26="2026Q2"),--('Stock'!$B$6:$B$26="DK"),--('Stock'!$E$6:$E$26="&lt;2024"),'Stock'!$S$6:$S$26)),IF(OR(SUMPRODUCT(--('Stock'!$A$6:$A$26="2026Q2"),--('Stock'!$B$6:$B$26="DK"),--('Stock'!$E$6:$E$26="2024"))=0,SUMPRODUCT(--('Stock'!$A$6:$A$26="2026Q2"),--('Stock'!$B$6:$B$26="DK"),--('Stock'!$E$6:$E$26="2024"),--('Stock'!$S$6:$S$26="n.d."))&gt;0),"n.d.",SUMPRODUCT(--('Stock'!$A$6:$A$26="2026Q2"),--('Stock'!$B$6:$B$26="DK"),--('Stock'!$E$6:$E$26="2024"),'Stock'!$S$6:$S$26)))=2,SUM(IF(OR(SUMPRODUCT(--('Stock'!$A$6:$A$26="2026Q2"),--('Stock'!$B$6:$B$26="DK"),--('Stock'!$E$6:$E$26="&lt;2024"))=0,SUMPRODUCT(--('Stock'!$A$6:$A$26="2026Q2"),--('Stock'!$B$6:$B$26="DK"),--('Stock'!$E$6:$E$26="&lt;2024"),--('Stock'!$S$6:$S$26="n.d."))&gt;0),"n.d.",SUMPRODUCT(--('Stock'!$A$6:$A$26="2026Q2"),--('Stock'!$B$6:$B$26="DK"),--('Stock'!$E$6:$E$26="&lt;2024"),'Stock'!$S$6:$S$26)),IF(OR(SUMPRODUCT(--('Stock'!$A$6:$A$26="2026Q2"),--('Stock'!$B$6:$B$26="DK"),--('Stock'!$E$6:$E$26="2024"))=0,SUMPRODUCT(--('Stock'!$A$6:$A$26="2026Q2"),--('Stock'!$B$6:$B$26="DK"),--('Stock'!$E$6:$E$26="2024"),--('Stock'!$S$6:$S$26="n.d."))&gt;0),"n.d.",SUMPRODUCT(--('Stock'!$A$6:$A$26="2026Q2"),--('Stock'!$B$6:$B$26="DK"),--('Stock'!$E$6:$E$26="2024"),'Stock'!$S$6:$S$26))),"n.d.")</f>
        <v>0.0</v>
      </c>
      <c r="G67" s="31">
        <f>IF(COUNT(IF(OR(SUMPRODUCT(--('Stock'!$A$6:$A$26="2026Q2"),--('Stock'!$B$6:$B$26="DK"),--('Stock'!$E$6:$E$26="2025"))=0,SUMPRODUCT(--('Stock'!$A$6:$A$26="2026Q2"),--('Stock'!$B$6:$B$26="DK"),--('Stock'!$E$6:$E$26="2025"),--('Stock'!$S$6:$S$26="n.d."))&gt;0),"n.d.",SUMPRODUCT(--('Stock'!$A$6:$A$26="2026Q2"),--('Stock'!$B$6:$B$26="DK"),--('Stock'!$E$6:$E$26="2025"),'Stock'!$S$6:$S$26)))=1,SUM(IF(OR(SUMPRODUCT(--('Stock'!$A$6:$A$26="2026Q2"),--('Stock'!$B$6:$B$26="DK"),--('Stock'!$E$6:$E$26="2025"))=0,SUMPRODUCT(--('Stock'!$A$6:$A$26="2026Q2"),--('Stock'!$B$6:$B$26="DK"),--('Stock'!$E$6:$E$26="2025"),--('Stock'!$S$6:$S$26="n.d."))&gt;0),"n.d.",SUMPRODUCT(--('Stock'!$A$6:$A$26="2026Q2"),--('Stock'!$B$6:$B$26="DK"),--('Stock'!$E$6:$E$26="2025"),'Stock'!$S$6:$S$26))),"n.d.")</f>
        <v>3.1149282887958525e-11</v>
      </c>
      <c r="H67" s="31">
        <f>IF(COUNT(IF(OR(SUMPRODUCT(--('Stock'!$A$6:$A$26="2026Q2"),--('Stock'!$B$6:$B$26="DK"),--('Stock'!$E$6:$E$26="2026"))=0,SUMPRODUCT(--('Stock'!$A$6:$A$26="2026Q2"),--('Stock'!$B$6:$B$26="DK"),--('Stock'!$E$6:$E$26="2026"),--('Stock'!$S$6:$S$26="n.d."))&gt;0),"n.d.",SUMPRODUCT(--('Stock'!$A$6:$A$26="2026Q2"),--('Stock'!$B$6:$B$26="DK"),--('Stock'!$E$6:$E$26="2026"),'Stock'!$S$6:$S$26)))=1,SUM(IF(OR(SUMPRODUCT(--('Stock'!$A$6:$A$26="2026Q2"),--('Stock'!$B$6:$B$26="DK"),--('Stock'!$E$6:$E$26="2026"))=0,SUMPRODUCT(--('Stock'!$A$6:$A$26="2026Q2"),--('Stock'!$B$6:$B$26="DK"),--('Stock'!$E$6:$E$26="2026"),--('Stock'!$S$6:$S$26="n.d."))&gt;0),"n.d.",SUMPRODUCT(--('Stock'!$A$6:$A$26="2026Q2"),--('Stock'!$B$6:$B$26="DK"),--('Stock'!$E$6:$E$26="2026"),'Stock'!$S$6:$S$26))),"n.d.")</f>
        <v>24388.740092077365</v>
      </c>
      <c r="I67" s="31">
        <f>IF(COUNT(IF(OR(SUMPRODUCT(--('Stock'!$A$6:$A$26="2026Q2"),--('Stock'!$B$6:$B$26="DK"),--('Stock'!$E$6:$E$26="&lt;2024"))=0,SUMPRODUCT(--('Stock'!$A$6:$A$26="2026Q2"),--('Stock'!$B$6:$B$26="DK"),--('Stock'!$E$6:$E$26="&lt;2024"),--('Stock'!$R$6:$R$26="n.d."))&gt;0),"n.d.",SUMPRODUCT(--('Stock'!$A$6:$A$26="2026Q2"),--('Stock'!$B$6:$B$26="DK"),--('Stock'!$E$6:$E$26="&lt;2024"),'Stock'!$R$6:$R$26)),IF(OR(SUMPRODUCT(--('Stock'!$A$6:$A$26="2026Q2"),--('Stock'!$B$6:$B$26="DK"),--('Stock'!$E$6:$E$26="2024"))=0,SUMPRODUCT(--('Stock'!$A$6:$A$26="2026Q2"),--('Stock'!$B$6:$B$26="DK"),--('Stock'!$E$6:$E$26="2024"),--('Stock'!$R$6:$R$26="n.d."))&gt;0),"n.d.",SUMPRODUCT(--('Stock'!$A$6:$A$26="2026Q2"),--('Stock'!$B$6:$B$26="DK"),--('Stock'!$E$6:$E$26="2024"),'Stock'!$R$6:$R$26)))=2,SUM(IF(OR(SUMPRODUCT(--('Stock'!$A$6:$A$26="2026Q2"),--('Stock'!$B$6:$B$26="DK"),--('Stock'!$E$6:$E$26="&lt;2024"))=0,SUMPRODUCT(--('Stock'!$A$6:$A$26="2026Q2"),--('Stock'!$B$6:$B$26="DK"),--('Stock'!$E$6:$E$26="&lt;2024"),--('Stock'!$R$6:$R$26="n.d."))&gt;0),"n.d.",SUMPRODUCT(--('Stock'!$A$6:$A$26="2026Q2"),--('Stock'!$B$6:$B$26="DK"),--('Stock'!$E$6:$E$26="&lt;2024"),'Stock'!$R$6:$R$26)),IF(OR(SUMPRODUCT(--('Stock'!$A$6:$A$26="2026Q2"),--('Stock'!$B$6:$B$26="DK"),--('Stock'!$E$6:$E$26="2024"))=0,SUMPRODUCT(--('Stock'!$A$6:$A$26="2026Q2"),--('Stock'!$B$6:$B$26="DK"),--('Stock'!$E$6:$E$26="2024"),--('Stock'!$R$6:$R$26="n.d."))&gt;0),"n.d.",SUMPRODUCT(--('Stock'!$A$6:$A$26="2026Q2"),--('Stock'!$B$6:$B$26="DK"),--('Stock'!$E$6:$E$26="2024"),'Stock'!$R$6:$R$26))),"n.d.")</f>
        <v>0.0</v>
      </c>
      <c r="J67" s="31">
        <f>IF(COUNT(IF(OR(SUMPRODUCT(--('Stock'!$A$6:$A$26="2026Q2"),--('Stock'!$B$6:$B$26="DK"),--('Stock'!$E$6:$E$26="2025"))=0,SUMPRODUCT(--('Stock'!$A$6:$A$26="2026Q2"),--('Stock'!$B$6:$B$26="DK"),--('Stock'!$E$6:$E$26="2025"),--('Stock'!$R$6:$R$26="n.d."))&gt;0),"n.d.",SUMPRODUCT(--('Stock'!$A$6:$A$26="2026Q2"),--('Stock'!$B$6:$B$26="DK"),--('Stock'!$E$6:$E$26="2025"),'Stock'!$R$6:$R$26)))=1,SUM(IF(OR(SUMPRODUCT(--('Stock'!$A$6:$A$26="2026Q2"),--('Stock'!$B$6:$B$26="DK"),--('Stock'!$E$6:$E$26="2025"))=0,SUMPRODUCT(--('Stock'!$A$6:$A$26="2026Q2"),--('Stock'!$B$6:$B$26="DK"),--('Stock'!$E$6:$E$26="2025"),--('Stock'!$R$6:$R$26="n.d."))&gt;0),"n.d.",SUMPRODUCT(--('Stock'!$A$6:$A$26="2026Q2"),--('Stock'!$B$6:$B$26="DK"),--('Stock'!$E$6:$E$26="2025"),'Stock'!$R$6:$R$26))),"n.d.")</f>
        <v>3.1149282887958525e-11</v>
      </c>
      <c r="K67" s="31">
        <f>IF(COUNT(IF(OR(SUMPRODUCT(--('Stock'!$A$6:$A$26="2026Q2"),--('Stock'!$B$6:$B$26="DK"),--('Stock'!$E$6:$E$26="2026"))=0,SUMPRODUCT(--('Stock'!$A$6:$A$26="2026Q2"),--('Stock'!$B$6:$B$26="DK"),--('Stock'!$E$6:$E$26="2026"),--('Stock'!$R$6:$R$26="n.d."))&gt;0),"n.d.",SUMPRODUCT(--('Stock'!$A$6:$A$26="2026Q2"),--('Stock'!$B$6:$B$26="DK"),--('Stock'!$E$6:$E$26="2026"),'Stock'!$R$6:$R$26)))=1,SUM(IF(OR(SUMPRODUCT(--('Stock'!$A$6:$A$26="2026Q2"),--('Stock'!$B$6:$B$26="DK"),--('Stock'!$E$6:$E$26="2026"))=0,SUMPRODUCT(--('Stock'!$A$6:$A$26="2026Q2"),--('Stock'!$B$6:$B$26="DK"),--('Stock'!$E$6:$E$26="2026"),--('Stock'!$R$6:$R$26="n.d."))&gt;0),"n.d.",SUMPRODUCT(--('Stock'!$A$6:$A$26="2026Q2"),--('Stock'!$B$6:$B$26="DK"),--('Stock'!$E$6:$E$26="2026"),'Stock'!$R$6:$R$26))),"n.d.")</f>
        <v>24388.740092077365</v>
      </c>
    </row>
    <row r="68" spans="1:11">
      <c r="A68" t="s">
        <v>69</v>
      </c>
      <c r="C68" s="31">
        <f>IF(OR(COUNTIFS('Consolidation'!$A$6:$A$11,"2026Q2",'Consolidation'!$B$6:$B$11,"NO")&lt;&gt;1,COUNTIFS('Consolidation'!$A$6:$A$11,"2026Q2",'Consolidation'!$B$6:$B$11,"NO",'Consolidation'!$N$6:$N$11,"n.d.")&gt;0),"n.d.",SUMIFS('Consolidation'!$N$6:$N$11,'Consolidation'!$A$6:$A$11,"2026Q2",'Consolidation'!$B$6:$B$11,"NO"))</f>
        <v>10807.638555779191</v>
      </c>
      <c r="E68" s="31">
        <f>IF(OR(COUNTIFS('Consolidation'!$A$6:$A$11,"2026Q2",'Consolidation'!$B$6:$B$11,"NO")&lt;&gt;1,COUNTIFS('Consolidation'!$A$6:$A$11,"2026Q2",'Consolidation'!$B$6:$B$11,"NO",'Consolidation'!$M$6:$M$11,"n.d.")&gt;0),"n.d.",SUMIFS('Consolidation'!$M$6:$M$11,'Consolidation'!$A$6:$A$11,"2026Q2",'Consolidation'!$B$6:$B$11,"NO"))</f>
        <v>10807.638555779191</v>
      </c>
      <c r="F68" s="31">
        <f>IF(COUNT(IF(OR(SUMPRODUCT(--('Stock'!$A$6:$A$26="2026Q2"),--('Stock'!$B$6:$B$26="NO"),--('Stock'!$E$6:$E$26="&lt;2024"))=0,SUMPRODUCT(--('Stock'!$A$6:$A$26="2026Q2"),--('Stock'!$B$6:$B$26="NO"),--('Stock'!$E$6:$E$26="&lt;2024"),--('Stock'!$S$6:$S$26="n.d."))&gt;0),"n.d.",SUMPRODUCT(--('Stock'!$A$6:$A$26="2026Q2"),--('Stock'!$B$6:$B$26="NO"),--('Stock'!$E$6:$E$26="&lt;2024"),'Stock'!$S$6:$S$26)),IF(OR(SUMPRODUCT(--('Stock'!$A$6:$A$26="2026Q2"),--('Stock'!$B$6:$B$26="NO"),--('Stock'!$E$6:$E$26="2024"))=0,SUMPRODUCT(--('Stock'!$A$6:$A$26="2026Q2"),--('Stock'!$B$6:$B$26="NO"),--('Stock'!$E$6:$E$26="2024"),--('Stock'!$S$6:$S$26="n.d."))&gt;0),"n.d.",SUMPRODUCT(--('Stock'!$A$6:$A$26="2026Q2"),--('Stock'!$B$6:$B$26="NO"),--('Stock'!$E$6:$E$26="2024"),'Stock'!$S$6:$S$26)))=2,SUM(IF(OR(SUMPRODUCT(--('Stock'!$A$6:$A$26="2026Q2"),--('Stock'!$B$6:$B$26="NO"),--('Stock'!$E$6:$E$26="&lt;2024"))=0,SUMPRODUCT(--('Stock'!$A$6:$A$26="2026Q2"),--('Stock'!$B$6:$B$26="NO"),--('Stock'!$E$6:$E$26="&lt;2024"),--('Stock'!$S$6:$S$26="n.d."))&gt;0),"n.d.",SUMPRODUCT(--('Stock'!$A$6:$A$26="2026Q2"),--('Stock'!$B$6:$B$26="NO"),--('Stock'!$E$6:$E$26="&lt;2024"),'Stock'!$S$6:$S$26)),IF(OR(SUMPRODUCT(--('Stock'!$A$6:$A$26="2026Q2"),--('Stock'!$B$6:$B$26="NO"),--('Stock'!$E$6:$E$26="2024"))=0,SUMPRODUCT(--('Stock'!$A$6:$A$26="2026Q2"),--('Stock'!$B$6:$B$26="NO"),--('Stock'!$E$6:$E$26="2024"),--('Stock'!$S$6:$S$26="n.d."))&gt;0),"n.d.",SUMPRODUCT(--('Stock'!$A$6:$A$26="2026Q2"),--('Stock'!$B$6:$B$26="NO"),--('Stock'!$E$6:$E$26="2024"),'Stock'!$S$6:$S$26))),"n.d.")</f>
        <v>0.0</v>
      </c>
      <c r="G68" s="31">
        <f>IF(COUNT(IF(OR(SUMPRODUCT(--('Stock'!$A$6:$A$26="2026Q2"),--('Stock'!$B$6:$B$26="NO"),--('Stock'!$E$6:$E$26="2025"))=0,SUMPRODUCT(--('Stock'!$A$6:$A$26="2026Q2"),--('Stock'!$B$6:$B$26="NO"),--('Stock'!$E$6:$E$26="2025"),--('Stock'!$S$6:$S$26="n.d."))&gt;0),"n.d.",SUMPRODUCT(--('Stock'!$A$6:$A$26="2026Q2"),--('Stock'!$B$6:$B$26="NO"),--('Stock'!$E$6:$E$26="2025"),'Stock'!$S$6:$S$26)))=1,SUM(IF(OR(SUMPRODUCT(--('Stock'!$A$6:$A$26="2026Q2"),--('Stock'!$B$6:$B$26="NO"),--('Stock'!$E$6:$E$26="2025"))=0,SUMPRODUCT(--('Stock'!$A$6:$A$26="2026Q2"),--('Stock'!$B$6:$B$26="NO"),--('Stock'!$E$6:$E$26="2025"),--('Stock'!$S$6:$S$26="n.d."))&gt;0),"n.d.",SUMPRODUCT(--('Stock'!$A$6:$A$26="2026Q2"),--('Stock'!$B$6:$B$26="NO"),--('Stock'!$E$6:$E$26="2025"),'Stock'!$S$6:$S$26))),"n.d.")</f>
        <v>4.116792432240542e-11</v>
      </c>
      <c r="H68" s="31">
        <f>IF(COUNT(IF(OR(SUMPRODUCT(--('Stock'!$A$6:$A$26="2026Q2"),--('Stock'!$B$6:$B$26="NO"),--('Stock'!$E$6:$E$26="2026"))=0,SUMPRODUCT(--('Stock'!$A$6:$A$26="2026Q2"),--('Stock'!$B$6:$B$26="NO"),--('Stock'!$E$6:$E$26="2026"),--('Stock'!$S$6:$S$26="n.d."))&gt;0),"n.d.",SUMPRODUCT(--('Stock'!$A$6:$A$26="2026Q2"),--('Stock'!$B$6:$B$26="NO"),--('Stock'!$E$6:$E$26="2026"),'Stock'!$S$6:$S$26)))=1,SUM(IF(OR(SUMPRODUCT(--('Stock'!$A$6:$A$26="2026Q2"),--('Stock'!$B$6:$B$26="NO"),--('Stock'!$E$6:$E$26="2026"))=0,SUMPRODUCT(--('Stock'!$A$6:$A$26="2026Q2"),--('Stock'!$B$6:$B$26="NO"),--('Stock'!$E$6:$E$26="2026"),--('Stock'!$S$6:$S$26="n.d."))&gt;0),"n.d.",SUMPRODUCT(--('Stock'!$A$6:$A$26="2026Q2"),--('Stock'!$B$6:$B$26="NO"),--('Stock'!$E$6:$E$26="2026"),'Stock'!$S$6:$S$26))),"n.d.")</f>
        <v>10807.63855577915</v>
      </c>
      <c r="I68" s="31">
        <f>IF(COUNT(IF(OR(SUMPRODUCT(--('Stock'!$A$6:$A$26="2026Q2"),--('Stock'!$B$6:$B$26="NO"),--('Stock'!$E$6:$E$26="&lt;2024"))=0,SUMPRODUCT(--('Stock'!$A$6:$A$26="2026Q2"),--('Stock'!$B$6:$B$26="NO"),--('Stock'!$E$6:$E$26="&lt;2024"),--('Stock'!$R$6:$R$26="n.d."))&gt;0),"n.d.",SUMPRODUCT(--('Stock'!$A$6:$A$26="2026Q2"),--('Stock'!$B$6:$B$26="NO"),--('Stock'!$E$6:$E$26="&lt;2024"),'Stock'!$R$6:$R$26)),IF(OR(SUMPRODUCT(--('Stock'!$A$6:$A$26="2026Q2"),--('Stock'!$B$6:$B$26="NO"),--('Stock'!$E$6:$E$26="2024"))=0,SUMPRODUCT(--('Stock'!$A$6:$A$26="2026Q2"),--('Stock'!$B$6:$B$26="NO"),--('Stock'!$E$6:$E$26="2024"),--('Stock'!$R$6:$R$26="n.d."))&gt;0),"n.d.",SUMPRODUCT(--('Stock'!$A$6:$A$26="2026Q2"),--('Stock'!$B$6:$B$26="NO"),--('Stock'!$E$6:$E$26="2024"),'Stock'!$R$6:$R$26)))=2,SUM(IF(OR(SUMPRODUCT(--('Stock'!$A$6:$A$26="2026Q2"),--('Stock'!$B$6:$B$26="NO"),--('Stock'!$E$6:$E$26="&lt;2024"))=0,SUMPRODUCT(--('Stock'!$A$6:$A$26="2026Q2"),--('Stock'!$B$6:$B$26="NO"),--('Stock'!$E$6:$E$26="&lt;2024"),--('Stock'!$R$6:$R$26="n.d."))&gt;0),"n.d.",SUMPRODUCT(--('Stock'!$A$6:$A$26="2026Q2"),--('Stock'!$B$6:$B$26="NO"),--('Stock'!$E$6:$E$26="&lt;2024"),'Stock'!$R$6:$R$26)),IF(OR(SUMPRODUCT(--('Stock'!$A$6:$A$26="2026Q2"),--('Stock'!$B$6:$B$26="NO"),--('Stock'!$E$6:$E$26="2024"))=0,SUMPRODUCT(--('Stock'!$A$6:$A$26="2026Q2"),--('Stock'!$B$6:$B$26="NO"),--('Stock'!$E$6:$E$26="2024"),--('Stock'!$R$6:$R$26="n.d."))&gt;0),"n.d.",SUMPRODUCT(--('Stock'!$A$6:$A$26="2026Q2"),--('Stock'!$B$6:$B$26="NO"),--('Stock'!$E$6:$E$26="2024"),'Stock'!$R$6:$R$26))),"n.d.")</f>
        <v>0.0</v>
      </c>
      <c r="J68" s="31">
        <f>IF(COUNT(IF(OR(SUMPRODUCT(--('Stock'!$A$6:$A$26="2026Q2"),--('Stock'!$B$6:$B$26="NO"),--('Stock'!$E$6:$E$26="2025"))=0,SUMPRODUCT(--('Stock'!$A$6:$A$26="2026Q2"),--('Stock'!$B$6:$B$26="NO"),--('Stock'!$E$6:$E$26="2025"),--('Stock'!$R$6:$R$26="n.d."))&gt;0),"n.d.",SUMPRODUCT(--('Stock'!$A$6:$A$26="2026Q2"),--('Stock'!$B$6:$B$26="NO"),--('Stock'!$E$6:$E$26="2025"),'Stock'!$R$6:$R$26)))=1,SUM(IF(OR(SUMPRODUCT(--('Stock'!$A$6:$A$26="2026Q2"),--('Stock'!$B$6:$B$26="NO"),--('Stock'!$E$6:$E$26="2025"))=0,SUMPRODUCT(--('Stock'!$A$6:$A$26="2026Q2"),--('Stock'!$B$6:$B$26="NO"),--('Stock'!$E$6:$E$26="2025"),--('Stock'!$R$6:$R$26="n.d."))&gt;0),"n.d.",SUMPRODUCT(--('Stock'!$A$6:$A$26="2026Q2"),--('Stock'!$B$6:$B$26="NO"),--('Stock'!$E$6:$E$26="2025"),'Stock'!$R$6:$R$26))),"n.d.")</f>
        <v>4.116792432240542e-11</v>
      </c>
      <c r="K68" s="31">
        <f>IF(COUNT(IF(OR(SUMPRODUCT(--('Stock'!$A$6:$A$26="2026Q2"),--('Stock'!$B$6:$B$26="NO"),--('Stock'!$E$6:$E$26="2026"))=0,SUMPRODUCT(--('Stock'!$A$6:$A$26="2026Q2"),--('Stock'!$B$6:$B$26="NO"),--('Stock'!$E$6:$E$26="2026"),--('Stock'!$R$6:$R$26="n.d."))&gt;0),"n.d.",SUMPRODUCT(--('Stock'!$A$6:$A$26="2026Q2"),--('Stock'!$B$6:$B$26="NO"),--('Stock'!$E$6:$E$26="2026"),'Stock'!$R$6:$R$26)))=1,SUM(IF(OR(SUMPRODUCT(--('Stock'!$A$6:$A$26="2026Q2"),--('Stock'!$B$6:$B$26="NO"),--('Stock'!$E$6:$E$26="2026"))=0,SUMPRODUCT(--('Stock'!$A$6:$A$26="2026Q2"),--('Stock'!$B$6:$B$26="NO"),--('Stock'!$E$6:$E$26="2026"),--('Stock'!$R$6:$R$26="n.d."))&gt;0),"n.d.",SUMPRODUCT(--('Stock'!$A$6:$A$26="2026Q2"),--('Stock'!$B$6:$B$26="NO"),--('Stock'!$E$6:$E$26="2026"),'Stock'!$R$6:$R$26))),"n.d.")</f>
        <v>10807.63855577915</v>
      </c>
    </row>
    <row r="69" spans="1:11">
      <c r="A69" t="s">
        <v>75</v>
      </c>
      <c r="C69" s="31">
        <f>IF(OR(COUNTIFS('Consolidation'!$A$6:$A$11,"2026Q2",'Consolidation'!$B$6:$B$11,"SE")&lt;&gt;1,COUNTIFS('Consolidation'!$A$6:$A$11,"2026Q2",'Consolidation'!$B$6:$B$11,"SE",'Consolidation'!$N$6:$N$11,"n.d.")&gt;0),"n.d.",SUMIFS('Consolidation'!$N$6:$N$11,'Consolidation'!$A$6:$A$11,"2026Q2",'Consolidation'!$B$6:$B$11,"SE"))</f>
        <v>14140.068998832623</v>
      </c>
      <c r="E69" s="31">
        <f>IF(OR(COUNTIFS('Consolidation'!$A$6:$A$11,"2026Q2",'Consolidation'!$B$6:$B$11,"SE")&lt;&gt;1,COUNTIFS('Consolidation'!$A$6:$A$11,"2026Q2",'Consolidation'!$B$6:$B$11,"SE",'Consolidation'!$M$6:$M$11,"n.d.")&gt;0),"n.d.",SUMIFS('Consolidation'!$M$6:$M$11,'Consolidation'!$A$6:$A$11,"2026Q2",'Consolidation'!$B$6:$B$11,"SE"))</f>
        <v>14140.068998832623</v>
      </c>
      <c r="F69" s="31">
        <f>IF(COUNT(IF(OR(SUMPRODUCT(--('Stock'!$A$6:$A$26="2026Q2"),--('Stock'!$B$6:$B$26="SE"),--('Stock'!$E$6:$E$26="&lt;2024"))=0,SUMPRODUCT(--('Stock'!$A$6:$A$26="2026Q2"),--('Stock'!$B$6:$B$26="SE"),--('Stock'!$E$6:$E$26="&lt;2024"),--('Stock'!$S$6:$S$26="n.d."))&gt;0),"n.d.",SUMPRODUCT(--('Stock'!$A$6:$A$26="2026Q2"),--('Stock'!$B$6:$B$26="SE"),--('Stock'!$E$6:$E$26="&lt;2024"),'Stock'!$S$6:$S$26)),IF(OR(SUMPRODUCT(--('Stock'!$A$6:$A$26="2026Q2"),--('Stock'!$B$6:$B$26="SE"),--('Stock'!$E$6:$E$26="2024"))=0,SUMPRODUCT(--('Stock'!$A$6:$A$26="2026Q2"),--('Stock'!$B$6:$B$26="SE"),--('Stock'!$E$6:$E$26="2024"),--('Stock'!$S$6:$S$26="n.d."))&gt;0),"n.d.",SUMPRODUCT(--('Stock'!$A$6:$A$26="2026Q2"),--('Stock'!$B$6:$B$26="SE"),--('Stock'!$E$6:$E$26="2024"),'Stock'!$S$6:$S$26)))=2,SUM(IF(OR(SUMPRODUCT(--('Stock'!$A$6:$A$26="2026Q2"),--('Stock'!$B$6:$B$26="SE"),--('Stock'!$E$6:$E$26="&lt;2024"))=0,SUMPRODUCT(--('Stock'!$A$6:$A$26="2026Q2"),--('Stock'!$B$6:$B$26="SE"),--('Stock'!$E$6:$E$26="&lt;2024"),--('Stock'!$S$6:$S$26="n.d."))&gt;0),"n.d.",SUMPRODUCT(--('Stock'!$A$6:$A$26="2026Q2"),--('Stock'!$B$6:$B$26="SE"),--('Stock'!$E$6:$E$26="&lt;2024"),'Stock'!$S$6:$S$26)),IF(OR(SUMPRODUCT(--('Stock'!$A$6:$A$26="2026Q2"),--('Stock'!$B$6:$B$26="SE"),--('Stock'!$E$6:$E$26="2024"))=0,SUMPRODUCT(--('Stock'!$A$6:$A$26="2026Q2"),--('Stock'!$B$6:$B$26="SE"),--('Stock'!$E$6:$E$26="2024"),--('Stock'!$S$6:$S$26="n.d."))&gt;0),"n.d.",SUMPRODUCT(--('Stock'!$A$6:$A$26="2026Q2"),--('Stock'!$B$6:$B$26="SE"),--('Stock'!$E$6:$E$26="2024"),'Stock'!$S$6:$S$26))),"n.d.")</f>
        <v>0.0</v>
      </c>
      <c r="G69" s="31">
        <f>IF(COUNT(IF(OR(SUMPRODUCT(--('Stock'!$A$6:$A$26="2026Q2"),--('Stock'!$B$6:$B$26="SE"),--('Stock'!$E$6:$E$26="2025"))=0,SUMPRODUCT(--('Stock'!$A$6:$A$26="2026Q2"),--('Stock'!$B$6:$B$26="SE"),--('Stock'!$E$6:$E$26="2025"),--('Stock'!$S$6:$S$26="n.d."))&gt;0),"n.d.",SUMPRODUCT(--('Stock'!$A$6:$A$26="2026Q2"),--('Stock'!$B$6:$B$26="SE"),--('Stock'!$E$6:$E$26="2025"),'Stock'!$S$6:$S$26)))=1,SUM(IF(OR(SUMPRODUCT(--('Stock'!$A$6:$A$26="2026Q2"),--('Stock'!$B$6:$B$26="SE"),--('Stock'!$E$6:$E$26="2025"))=0,SUMPRODUCT(--('Stock'!$A$6:$A$26="2026Q2"),--('Stock'!$B$6:$B$26="SE"),--('Stock'!$E$6:$E$26="2025"),--('Stock'!$S$6:$S$26="n.d."))&gt;0),"n.d.",SUMPRODUCT(--('Stock'!$A$6:$A$26="2026Q2"),--('Stock'!$B$6:$B$26="SE"),--('Stock'!$E$6:$E$26="2025"),'Stock'!$S$6:$S$26))),"n.d.")</f>
        <v>0.0</v>
      </c>
      <c r="H69" s="31">
        <f>IF(COUNT(IF(OR(SUMPRODUCT(--('Stock'!$A$6:$A$26="2026Q2"),--('Stock'!$B$6:$B$26="SE"),--('Stock'!$E$6:$E$26="2026"))=0,SUMPRODUCT(--('Stock'!$A$6:$A$26="2026Q2"),--('Stock'!$B$6:$B$26="SE"),--('Stock'!$E$6:$E$26="2026"),--('Stock'!$S$6:$S$26="n.d."))&gt;0),"n.d.",SUMPRODUCT(--('Stock'!$A$6:$A$26="2026Q2"),--('Stock'!$B$6:$B$26="SE"),--('Stock'!$E$6:$E$26="2026"),'Stock'!$S$6:$S$26)))=1,SUM(IF(OR(SUMPRODUCT(--('Stock'!$A$6:$A$26="2026Q2"),--('Stock'!$B$6:$B$26="SE"),--('Stock'!$E$6:$E$26="2026"))=0,SUMPRODUCT(--('Stock'!$A$6:$A$26="2026Q2"),--('Stock'!$B$6:$B$26="SE"),--('Stock'!$E$6:$E$26="2026"),--('Stock'!$S$6:$S$26="n.d."))&gt;0),"n.d.",SUMPRODUCT(--('Stock'!$A$6:$A$26="2026Q2"),--('Stock'!$B$6:$B$26="SE"),--('Stock'!$E$6:$E$26="2026"),'Stock'!$S$6:$S$26))),"n.d.")</f>
        <v>14140.068998832623</v>
      </c>
      <c r="I69" s="31">
        <f>IF(COUNT(IF(OR(SUMPRODUCT(--('Stock'!$A$6:$A$26="2026Q2"),--('Stock'!$B$6:$B$26="SE"),--('Stock'!$E$6:$E$26="&lt;2024"))=0,SUMPRODUCT(--('Stock'!$A$6:$A$26="2026Q2"),--('Stock'!$B$6:$B$26="SE"),--('Stock'!$E$6:$E$26="&lt;2024"),--('Stock'!$R$6:$R$26="n.d."))&gt;0),"n.d.",SUMPRODUCT(--('Stock'!$A$6:$A$26="2026Q2"),--('Stock'!$B$6:$B$26="SE"),--('Stock'!$E$6:$E$26="&lt;2024"),'Stock'!$R$6:$R$26)),IF(OR(SUMPRODUCT(--('Stock'!$A$6:$A$26="2026Q2"),--('Stock'!$B$6:$B$26="SE"),--('Stock'!$E$6:$E$26="2024"))=0,SUMPRODUCT(--('Stock'!$A$6:$A$26="2026Q2"),--('Stock'!$B$6:$B$26="SE"),--('Stock'!$E$6:$E$26="2024"),--('Stock'!$R$6:$R$26="n.d."))&gt;0),"n.d.",SUMPRODUCT(--('Stock'!$A$6:$A$26="2026Q2"),--('Stock'!$B$6:$B$26="SE"),--('Stock'!$E$6:$E$26="2024"),'Stock'!$R$6:$R$26)))=2,SUM(IF(OR(SUMPRODUCT(--('Stock'!$A$6:$A$26="2026Q2"),--('Stock'!$B$6:$B$26="SE"),--('Stock'!$E$6:$E$26="&lt;2024"))=0,SUMPRODUCT(--('Stock'!$A$6:$A$26="2026Q2"),--('Stock'!$B$6:$B$26="SE"),--('Stock'!$E$6:$E$26="&lt;2024"),--('Stock'!$R$6:$R$26="n.d."))&gt;0),"n.d.",SUMPRODUCT(--('Stock'!$A$6:$A$26="2026Q2"),--('Stock'!$B$6:$B$26="SE"),--('Stock'!$E$6:$E$26="&lt;2024"),'Stock'!$R$6:$R$26)),IF(OR(SUMPRODUCT(--('Stock'!$A$6:$A$26="2026Q2"),--('Stock'!$B$6:$B$26="SE"),--('Stock'!$E$6:$E$26="2024"))=0,SUMPRODUCT(--('Stock'!$A$6:$A$26="2026Q2"),--('Stock'!$B$6:$B$26="SE"),--('Stock'!$E$6:$E$26="2024"),--('Stock'!$R$6:$R$26="n.d."))&gt;0),"n.d.",SUMPRODUCT(--('Stock'!$A$6:$A$26="2026Q2"),--('Stock'!$B$6:$B$26="SE"),--('Stock'!$E$6:$E$26="2024"),'Stock'!$R$6:$R$26))),"n.d.")</f>
        <v>0.0</v>
      </c>
      <c r="J69" s="31">
        <f>IF(COUNT(IF(OR(SUMPRODUCT(--('Stock'!$A$6:$A$26="2026Q2"),--('Stock'!$B$6:$B$26="SE"),--('Stock'!$E$6:$E$26="2025"))=0,SUMPRODUCT(--('Stock'!$A$6:$A$26="2026Q2"),--('Stock'!$B$6:$B$26="SE"),--('Stock'!$E$6:$E$26="2025"),--('Stock'!$R$6:$R$26="n.d."))&gt;0),"n.d.",SUMPRODUCT(--('Stock'!$A$6:$A$26="2026Q2"),--('Stock'!$B$6:$B$26="SE"),--('Stock'!$E$6:$E$26="2025"),'Stock'!$R$6:$R$26)))=1,SUM(IF(OR(SUMPRODUCT(--('Stock'!$A$6:$A$26="2026Q2"),--('Stock'!$B$6:$B$26="SE"),--('Stock'!$E$6:$E$26="2025"))=0,SUMPRODUCT(--('Stock'!$A$6:$A$26="2026Q2"),--('Stock'!$B$6:$B$26="SE"),--('Stock'!$E$6:$E$26="2025"),--('Stock'!$R$6:$R$26="n.d."))&gt;0),"n.d.",SUMPRODUCT(--('Stock'!$A$6:$A$26="2026Q2"),--('Stock'!$B$6:$B$26="SE"),--('Stock'!$E$6:$E$26="2025"),'Stock'!$R$6:$R$26))),"n.d.")</f>
        <v>0.0</v>
      </c>
      <c r="K69" s="31">
        <f>IF(COUNT(IF(OR(SUMPRODUCT(--('Stock'!$A$6:$A$26="2026Q2"),--('Stock'!$B$6:$B$26="SE"),--('Stock'!$E$6:$E$26="2026"))=0,SUMPRODUCT(--('Stock'!$A$6:$A$26="2026Q2"),--('Stock'!$B$6:$B$26="SE"),--('Stock'!$E$6:$E$26="2026"),--('Stock'!$R$6:$R$26="n.d."))&gt;0),"n.d.",SUMPRODUCT(--('Stock'!$A$6:$A$26="2026Q2"),--('Stock'!$B$6:$B$26="SE"),--('Stock'!$E$6:$E$26="2026"),'Stock'!$R$6:$R$26)))=1,SUM(IF(OR(SUMPRODUCT(--('Stock'!$A$6:$A$26="2026Q2"),--('Stock'!$B$6:$B$26="SE"),--('Stock'!$E$6:$E$26="2026"))=0,SUMPRODUCT(--('Stock'!$A$6:$A$26="2026Q2"),--('Stock'!$B$6:$B$26="SE"),--('Stock'!$E$6:$E$26="2026"),--('Stock'!$R$6:$R$26="n.d."))&gt;0),"n.d.",SUMPRODUCT(--('Stock'!$A$6:$A$26="2026Q2"),--('Stock'!$B$6:$B$26="SE"),--('Stock'!$E$6:$E$26="2026"),'Stock'!$R$6:$R$26))),"n.d.")</f>
        <v>14140.068998832623</v>
      </c>
    </row>
    <row r="73" spans="1:11">
      <c r="A73" s="28" t="s">
        <v>450</v>
      </c>
    </row>
    <row r="74" spans="1:11" ht="32" customHeight="1">
      <c r="A74" s="30" t="s">
        <v>413</v>
      </c>
      <c r="B74" s="30" t="s">
        <v>451</v>
      </c>
      <c r="C74" s="30" t="s">
        <v>452</v>
      </c>
      <c r="D74" s="30" t="s">
        <v>453</v>
      </c>
      <c r="E74" s="30" t="s">
        <v>454</v>
      </c>
      <c r="F74" s="30" t="s">
        <v>428</v>
      </c>
      <c r="G74" s="30" t="s">
        <v>429</v>
      </c>
    </row>
    <row r="75" spans="1:11">
      <c r="A75" t="s">
        <v>414</v>
      </c>
      <c r="B75" s="31">
        <f>IF(ISNUMBER(IF(OR(SUMPRODUCT(--('Flux'!$A$6:$A$41="2026Q2"),--('Flux'!$B$6:$B$41="AT"),--('Flux'!$E$6:$E$41=DATE(2026,1,1)))=0,SUMPRODUCT(--('Flux'!$A$6:$A$41="2026Q2"),--('Flux'!$B$6:$B$41="AT"),--('Flux'!$E$6:$E$41=DATE(2026,1,1)),--('Flux'!$H$6:$H$41="n.d."))&gt;0),"n.d.",SUMPRODUCT(--('Flux'!$A$6:$A$41="2026Q2"),--('Flux'!$B$6:$B$41="AT"),--('Flux'!$E$6:$E$41=DATE(2026,1,1)),'Flux'!$H$6:$H$41))),(IF(OR(SUMPRODUCT(--('Flux'!$A$6:$A$41="2026Q2"),--('Flux'!$B$6:$B$41="AT"),--('Flux'!$E$6:$E$41=DATE(2026,1,1)))=0,SUMPRODUCT(--('Flux'!$A$6:$A$41="2026Q2"),--('Flux'!$B$6:$B$41="AT"),--('Flux'!$E$6:$E$41=DATE(2026,1,1)),--('Flux'!$H$6:$H$41="n.d."))&gt;0),"n.d.",SUMPRODUCT(--('Flux'!$A$6:$A$41="2026Q2"),--('Flux'!$B$6:$B$41="AT"),--('Flux'!$E$6:$E$41=DATE(2026,1,1)),'Flux'!$H$6:$H$41)))/(IF(OR(COUNTIFS('Consolidation'!$A$6:$A$11,"2026Q2",'Consolidation'!$B$6:$B$11,"AT")&lt;&gt;1,COUNTIFS('Consolidation'!$A$6:$A$11,"2026Q2",'Consolidation'!$B$6:$B$11,"AT",'Consolidation'!$E$6:$E$11,"n.d.")&gt;0),"n.d.",SUMIFS('Consolidation'!$E$6:$E$11,'Consolidation'!$A$6:$A$11,"2026Q2",'Consolidation'!$B$6:$B$11,"AT"))),"n.d.")</f>
        <v>3795.4999999999986</v>
      </c>
      <c r="C75" s="31">
        <f>IF(ISNUMBER(IF(OR(SUMPRODUCT(--('Flux'!$A$6:$A$41="2026Q2"),--('Flux'!$B$6:$B$41="AT"),--('Flux'!$E$6:$E$41=DATE(2026,1,1)))=0,SUMPRODUCT(--('Flux'!$A$6:$A$41="2026Q2"),--('Flux'!$B$6:$B$41="AT"),--('Flux'!$E$6:$E$41=DATE(2026,1,1)),--('Flux'!$J$6:$J$41="n.d."))&gt;0),"n.d.",SUMPRODUCT(--('Flux'!$A$6:$A$41="2026Q2"),--('Flux'!$B$6:$B$41="AT"),--('Flux'!$E$6:$E$41=DATE(2026,1,1)),'Flux'!$J$6:$J$41))),(IF(OR(SUMPRODUCT(--('Flux'!$A$6:$A$41="2026Q2"),--('Flux'!$B$6:$B$41="AT"),--('Flux'!$E$6:$E$41=DATE(2026,1,1)))=0,SUMPRODUCT(--('Flux'!$A$6:$A$41="2026Q2"),--('Flux'!$B$6:$B$41="AT"),--('Flux'!$E$6:$E$41=DATE(2026,1,1)),--('Flux'!$J$6:$J$41="n.d."))&gt;0),"n.d.",SUMPRODUCT(--('Flux'!$A$6:$A$41="2026Q2"),--('Flux'!$B$6:$B$41="AT"),--('Flux'!$E$6:$E$41=DATE(2026,1,1)),'Flux'!$J$6:$J$41)))/(IF(OR(COUNTIFS('Consolidation'!$A$6:$A$11,"2026Q2",'Consolidation'!$B$6:$B$11,"AT")&lt;&gt;1,COUNTIFS('Consolidation'!$A$6:$A$11,"2026Q2",'Consolidation'!$B$6:$B$11,"AT",'Consolidation'!$E$6:$E$11,"n.d.")&gt;0),"n.d.",SUMIFS('Consolidation'!$E$6:$E$11,'Consolidation'!$A$6:$A$11,"2026Q2",'Consolidation'!$B$6:$B$11,"AT"))),"n.d.")</f>
        <v>0.0</v>
      </c>
      <c r="D75" s="31">
        <f>IF(ISNUMBER(IF(OR(SUMPRODUCT(--('Flux'!$A$6:$A$41="2026Q2"),--('Flux'!$B$6:$B$41="AT"),--('Flux'!$E$6:$E$41=DATE(2026,1,1)))=0,SUMPRODUCT(--('Flux'!$A$6:$A$41="2026Q2"),--('Flux'!$B$6:$B$41="AT"),--('Flux'!$E$6:$E$41=DATE(2026,1,1)),--('Flux'!$O$6:$O$41="n.d."))&gt;0),"n.d.",SUMPRODUCT(--('Flux'!$A$6:$A$41="2026Q2"),--('Flux'!$B$6:$B$41="AT"),--('Flux'!$E$6:$E$41=DATE(2026,1,1)),'Flux'!$O$6:$O$41))),(IF(OR(SUMPRODUCT(--('Flux'!$A$6:$A$41="2026Q2"),--('Flux'!$B$6:$B$41="AT"),--('Flux'!$E$6:$E$41=DATE(2026,1,1)))=0,SUMPRODUCT(--('Flux'!$A$6:$A$41="2026Q2"),--('Flux'!$B$6:$B$41="AT"),--('Flux'!$E$6:$E$41=DATE(2026,1,1)),--('Flux'!$O$6:$O$41="n.d."))&gt;0),"n.d.",SUMPRODUCT(--('Flux'!$A$6:$A$41="2026Q2"),--('Flux'!$B$6:$B$41="AT"),--('Flux'!$E$6:$E$41=DATE(2026,1,1)),'Flux'!$O$6:$O$41)))/(IF(OR(COUNTIFS('Consolidation'!$A$6:$A$11,"2026Q2",'Consolidation'!$B$6:$B$11,"AT")&lt;&gt;1,COUNTIFS('Consolidation'!$A$6:$A$11,"2026Q2",'Consolidation'!$B$6:$B$11,"AT",'Consolidation'!$E$6:$E$11,"n.d.")&gt;0),"n.d.",SUMIFS('Consolidation'!$E$6:$E$11,'Consolidation'!$A$6:$A$11,"2026Q2",'Consolidation'!$B$6:$B$11,"AT"))),"n.d.")</f>
        <v>417.6400000000008</v>
      </c>
      <c r="E75" s="31">
        <f>IF(ISNUMBER(IF(OR(SUMPRODUCT(--('Flux'!$A$6:$A$41="2026Q2"),--('Flux'!$B$6:$B$41="AT"),--('Flux'!$E$6:$E$41=DATE(2026,1,1)))=0,SUMPRODUCT(--('Flux'!$A$6:$A$41="2026Q2"),--('Flux'!$B$6:$B$41="AT"),--('Flux'!$E$6:$E$41=DATE(2026,1,1)),--('Flux'!$I$6:$I$41="n.d."))&gt;0),"n.d.",SUMPRODUCT(--('Flux'!$A$6:$A$41="2026Q2"),--('Flux'!$B$6:$B$41="AT"),--('Flux'!$E$6:$E$41=DATE(2026,1,1)),'Flux'!$I$6:$I$41))),(IF(OR(SUMPRODUCT(--('Flux'!$A$6:$A$41="2026Q2"),--('Flux'!$B$6:$B$41="AT"),--('Flux'!$E$6:$E$41=DATE(2026,1,1)))=0,SUMPRODUCT(--('Flux'!$A$6:$A$41="2026Q2"),--('Flux'!$B$6:$B$41="AT"),--('Flux'!$E$6:$E$41=DATE(2026,1,1)),--('Flux'!$I$6:$I$41="n.d."))&gt;0),"n.d.",SUMPRODUCT(--('Flux'!$A$6:$A$41="2026Q2"),--('Flux'!$B$6:$B$41="AT"),--('Flux'!$E$6:$E$41=DATE(2026,1,1)),'Flux'!$I$6:$I$41)))/(IF(OR(COUNTIFS('Consolidation'!$A$6:$A$11,"2026Q2",'Consolidation'!$B$6:$B$11,"AT")&lt;&gt;1,COUNTIFS('Consolidation'!$A$6:$A$11,"2026Q2",'Consolidation'!$B$6:$B$11,"AT",'Consolidation'!$E$6:$E$11,"n.d.")&gt;0),"n.d.",SUMIFS('Consolidation'!$E$6:$E$11,'Consolidation'!$A$6:$A$11,"2026Q2",'Consolidation'!$B$6:$B$11,"AT"))),"n.d.")</f>
        <v>0.0</v>
      </c>
      <c r="F75" s="31">
        <f>IF(OR(SUMPRODUCT(--('Flux'!$A$6:$A$41="2026Q2"),--('Flux'!$B$6:$B$41="AT"),--('Flux'!$E$6:$E$41=DATE(2026,1,1)))=0,SUMPRODUCT(--('Flux'!$A$6:$A$41="2026Q2"),--('Flux'!$B$6:$B$41="AT"),--('Flux'!$E$6:$E$41=DATE(2026,1,1)),--('Flux'!$T$6:$T$41="n.d."))&gt;0),"n.d.",SUMPRODUCT(--('Flux'!$A$6:$A$41="2026Q2"),--('Flux'!$B$6:$B$41="AT"),--('Flux'!$E$6:$E$41=DATE(2026,1,1)),'Flux'!$T$6:$T$41))</f>
        <v>0.9008720336850898</v>
      </c>
      <c r="G75" s="31">
        <f>IF(OR(SUMPRODUCT(--('Flux'!$A$6:$A$41="2026Q2"),--('Flux'!$B$6:$B$41="AT"),--('Flux'!$E$6:$E$41=DATE(2026,1,1)))=0,SUMPRODUCT(--('Flux'!$A$6:$A$41="2026Q2"),--('Flux'!$B$6:$B$41="AT"),--('Flux'!$E$6:$E$41=DATE(2026,1,1)),--('Flux'!$U$6:$U$41="n.d."))&gt;0),"n.d.",SUMPRODUCT(--('Flux'!$A$6:$A$41="2026Q2"),--('Flux'!$B$6:$B$41="AT"),--('Flux'!$E$6:$E$41=DATE(2026,1,1)),'Flux'!$U$6:$U$41))</f>
        <v>0.7727272727272727</v>
      </c>
    </row>
    <row r="76" spans="1:11">
      <c r="A76" t="s">
        <v>415</v>
      </c>
      <c r="B76" s="31">
        <f>IF(ISNUMBER(IF(OR(SUMPRODUCT(--('Flux'!$A$6:$A$41="2026Q2"),--('Flux'!$B$6:$B$41="AT"),--('Flux'!$E$6:$E$41=DATE(2026,2,1)))=0,SUMPRODUCT(--('Flux'!$A$6:$A$41="2026Q2"),--('Flux'!$B$6:$B$41="AT"),--('Flux'!$E$6:$E$41=DATE(2026,2,1)),--('Flux'!$H$6:$H$41="n.d."))&gt;0),"n.d.",SUMPRODUCT(--('Flux'!$A$6:$A$41="2026Q2"),--('Flux'!$B$6:$B$41="AT"),--('Flux'!$E$6:$E$41=DATE(2026,2,1)),'Flux'!$H$6:$H$41))),(IF(OR(SUMPRODUCT(--('Flux'!$A$6:$A$41="2026Q2"),--('Flux'!$B$6:$B$41="AT"),--('Flux'!$E$6:$E$41=DATE(2026,2,1)))=0,SUMPRODUCT(--('Flux'!$A$6:$A$41="2026Q2"),--('Flux'!$B$6:$B$41="AT"),--('Flux'!$E$6:$E$41=DATE(2026,2,1)),--('Flux'!$H$6:$H$41="n.d."))&gt;0),"n.d.",SUMPRODUCT(--('Flux'!$A$6:$A$41="2026Q2"),--('Flux'!$B$6:$B$41="AT"),--('Flux'!$E$6:$E$41=DATE(2026,2,1)),'Flux'!$H$6:$H$41)))/(IF(OR(COUNTIFS('Consolidation'!$A$6:$A$11,"2026Q2",'Consolidation'!$B$6:$B$11,"AT")&lt;&gt;1,COUNTIFS('Consolidation'!$A$6:$A$11,"2026Q2",'Consolidation'!$B$6:$B$11,"AT",'Consolidation'!$E$6:$E$11,"n.d.")&gt;0),"n.d.",SUMIFS('Consolidation'!$E$6:$E$11,'Consolidation'!$A$6:$A$11,"2026Q2",'Consolidation'!$B$6:$B$11,"AT"))),"n.d.")</f>
        <v>4538.530000000001</v>
      </c>
      <c r="C76" s="31">
        <f>IF(ISNUMBER(IF(OR(SUMPRODUCT(--('Flux'!$A$6:$A$41="2026Q2"),--('Flux'!$B$6:$B$41="AT"),--('Flux'!$E$6:$E$41=DATE(2026,2,1)))=0,SUMPRODUCT(--('Flux'!$A$6:$A$41="2026Q2"),--('Flux'!$B$6:$B$41="AT"),--('Flux'!$E$6:$E$41=DATE(2026,2,1)),--('Flux'!$J$6:$J$41="n.d."))&gt;0),"n.d.",SUMPRODUCT(--('Flux'!$A$6:$A$41="2026Q2"),--('Flux'!$B$6:$B$41="AT"),--('Flux'!$E$6:$E$41=DATE(2026,2,1)),'Flux'!$J$6:$J$41))),(IF(OR(SUMPRODUCT(--('Flux'!$A$6:$A$41="2026Q2"),--('Flux'!$B$6:$B$41="AT"),--('Flux'!$E$6:$E$41=DATE(2026,2,1)))=0,SUMPRODUCT(--('Flux'!$A$6:$A$41="2026Q2"),--('Flux'!$B$6:$B$41="AT"),--('Flux'!$E$6:$E$41=DATE(2026,2,1)),--('Flux'!$J$6:$J$41="n.d."))&gt;0),"n.d.",SUMPRODUCT(--('Flux'!$A$6:$A$41="2026Q2"),--('Flux'!$B$6:$B$41="AT"),--('Flux'!$E$6:$E$41=DATE(2026,2,1)),'Flux'!$J$6:$J$41)))/(IF(OR(COUNTIFS('Consolidation'!$A$6:$A$11,"2026Q2",'Consolidation'!$B$6:$B$11,"AT")&lt;&gt;1,COUNTIFS('Consolidation'!$A$6:$A$11,"2026Q2",'Consolidation'!$B$6:$B$11,"AT",'Consolidation'!$E$6:$E$11,"n.d.")&gt;0),"n.d.",SUMIFS('Consolidation'!$E$6:$E$11,'Consolidation'!$A$6:$A$11,"2026Q2",'Consolidation'!$B$6:$B$11,"AT"))),"n.d.")</f>
        <v>0.0</v>
      </c>
      <c r="D76" s="31">
        <f>IF(ISNUMBER(IF(OR(SUMPRODUCT(--('Flux'!$A$6:$A$41="2026Q2"),--('Flux'!$B$6:$B$41="AT"),--('Flux'!$E$6:$E$41=DATE(2026,2,1)))=0,SUMPRODUCT(--('Flux'!$A$6:$A$41="2026Q2"),--('Flux'!$B$6:$B$41="AT"),--('Flux'!$E$6:$E$41=DATE(2026,2,1)),--('Flux'!$O$6:$O$41="n.d."))&gt;0),"n.d.",SUMPRODUCT(--('Flux'!$A$6:$A$41="2026Q2"),--('Flux'!$B$6:$B$41="AT"),--('Flux'!$E$6:$E$41=DATE(2026,2,1)),'Flux'!$O$6:$O$41))),(IF(OR(SUMPRODUCT(--('Flux'!$A$6:$A$41="2026Q2"),--('Flux'!$B$6:$B$41="AT"),--('Flux'!$E$6:$E$41=DATE(2026,2,1)))=0,SUMPRODUCT(--('Flux'!$A$6:$A$41="2026Q2"),--('Flux'!$B$6:$B$41="AT"),--('Flux'!$E$6:$E$41=DATE(2026,2,1)),--('Flux'!$O$6:$O$41="n.d."))&gt;0),"n.d.",SUMPRODUCT(--('Flux'!$A$6:$A$41="2026Q2"),--('Flux'!$B$6:$B$41="AT"),--('Flux'!$E$6:$E$41=DATE(2026,2,1)),'Flux'!$O$6:$O$41)))/(IF(OR(COUNTIFS('Consolidation'!$A$6:$A$11,"2026Q2",'Consolidation'!$B$6:$B$11,"AT")&lt;&gt;1,COUNTIFS('Consolidation'!$A$6:$A$11,"2026Q2",'Consolidation'!$B$6:$B$11,"AT",'Consolidation'!$E$6:$E$11,"n.d.")&gt;0),"n.d.",SUMIFS('Consolidation'!$E$6:$E$11,'Consolidation'!$A$6:$A$11,"2026Q2",'Consolidation'!$B$6:$B$11,"AT"))),"n.d.")</f>
        <v>1796.9300000000003</v>
      </c>
      <c r="E76" s="31">
        <f>IF(ISNUMBER(IF(OR(SUMPRODUCT(--('Flux'!$A$6:$A$41="2026Q2"),--('Flux'!$B$6:$B$41="AT"),--('Flux'!$E$6:$E$41=DATE(2026,2,1)))=0,SUMPRODUCT(--('Flux'!$A$6:$A$41="2026Q2"),--('Flux'!$B$6:$B$41="AT"),--('Flux'!$E$6:$E$41=DATE(2026,2,1)),--('Flux'!$I$6:$I$41="n.d."))&gt;0),"n.d.",SUMPRODUCT(--('Flux'!$A$6:$A$41="2026Q2"),--('Flux'!$B$6:$B$41="AT"),--('Flux'!$E$6:$E$41=DATE(2026,2,1)),'Flux'!$I$6:$I$41))),(IF(OR(SUMPRODUCT(--('Flux'!$A$6:$A$41="2026Q2"),--('Flux'!$B$6:$B$41="AT"),--('Flux'!$E$6:$E$41=DATE(2026,2,1)))=0,SUMPRODUCT(--('Flux'!$A$6:$A$41="2026Q2"),--('Flux'!$B$6:$B$41="AT"),--('Flux'!$E$6:$E$41=DATE(2026,2,1)),--('Flux'!$I$6:$I$41="n.d."))&gt;0),"n.d.",SUMPRODUCT(--('Flux'!$A$6:$A$41="2026Q2"),--('Flux'!$B$6:$B$41="AT"),--('Flux'!$E$6:$E$41=DATE(2026,2,1)),'Flux'!$I$6:$I$41)))/(IF(OR(COUNTIFS('Consolidation'!$A$6:$A$11,"2026Q2",'Consolidation'!$B$6:$B$11,"AT")&lt;&gt;1,COUNTIFS('Consolidation'!$A$6:$A$11,"2026Q2",'Consolidation'!$B$6:$B$11,"AT",'Consolidation'!$E$6:$E$11,"n.d.")&gt;0),"n.d.",SUMIFS('Consolidation'!$E$6:$E$11,'Consolidation'!$A$6:$A$11,"2026Q2",'Consolidation'!$B$6:$B$11,"AT"))),"n.d.")</f>
        <v>0.0</v>
      </c>
      <c r="F76" s="31">
        <f>IF(OR(SUMPRODUCT(--('Flux'!$A$6:$A$41="2026Q2"),--('Flux'!$B$6:$B$41="AT"),--('Flux'!$E$6:$E$41=DATE(2026,2,1)))=0,SUMPRODUCT(--('Flux'!$A$6:$A$41="2026Q2"),--('Flux'!$B$6:$B$41="AT"),--('Flux'!$E$6:$E$41=DATE(2026,2,1)),--('Flux'!$T$6:$T$41="n.d."))&gt;0),"n.d.",SUMPRODUCT(--('Flux'!$A$6:$A$41="2026Q2"),--('Flux'!$B$6:$B$41="AT"),--('Flux'!$E$6:$E$41=DATE(2026,2,1)),'Flux'!$T$6:$T$41))</f>
        <v>0.716369450679193</v>
      </c>
      <c r="G76" s="31">
        <f>IF(OR(SUMPRODUCT(--('Flux'!$A$6:$A$41="2026Q2"),--('Flux'!$B$6:$B$41="AT"),--('Flux'!$E$6:$E$41=DATE(2026,2,1)))=0,SUMPRODUCT(--('Flux'!$A$6:$A$41="2026Q2"),--('Flux'!$B$6:$B$41="AT"),--('Flux'!$E$6:$E$41=DATE(2026,2,1)),--('Flux'!$U$6:$U$41="n.d."))&gt;0),"n.d.",SUMPRODUCT(--('Flux'!$A$6:$A$41="2026Q2"),--('Flux'!$B$6:$B$41="AT"),--('Flux'!$E$6:$E$41=DATE(2026,2,1)),'Flux'!$U$6:$U$41))</f>
        <v>0.6716417910447762</v>
      </c>
    </row>
    <row r="77" spans="1:11">
      <c r="A77" t="s">
        <v>416</v>
      </c>
      <c r="B77" s="31">
        <f>IF(ISNUMBER(IF(OR(SUMPRODUCT(--('Flux'!$A$6:$A$41="2026Q2"),--('Flux'!$B$6:$B$41="AT"),--('Flux'!$E$6:$E$41=DATE(2026,3,1)))=0,SUMPRODUCT(--('Flux'!$A$6:$A$41="2026Q2"),--('Flux'!$B$6:$B$41="AT"),--('Flux'!$E$6:$E$41=DATE(2026,3,1)),--('Flux'!$H$6:$H$41="n.d."))&gt;0),"n.d.",SUMPRODUCT(--('Flux'!$A$6:$A$41="2026Q2"),--('Flux'!$B$6:$B$41="AT"),--('Flux'!$E$6:$E$41=DATE(2026,3,1)),'Flux'!$H$6:$H$41))),(IF(OR(SUMPRODUCT(--('Flux'!$A$6:$A$41="2026Q2"),--('Flux'!$B$6:$B$41="AT"),--('Flux'!$E$6:$E$41=DATE(2026,3,1)))=0,SUMPRODUCT(--('Flux'!$A$6:$A$41="2026Q2"),--('Flux'!$B$6:$B$41="AT"),--('Flux'!$E$6:$E$41=DATE(2026,3,1)),--('Flux'!$H$6:$H$41="n.d."))&gt;0),"n.d.",SUMPRODUCT(--('Flux'!$A$6:$A$41="2026Q2"),--('Flux'!$B$6:$B$41="AT"),--('Flux'!$E$6:$E$41=DATE(2026,3,1)),'Flux'!$H$6:$H$41)))/(IF(OR(COUNTIFS('Consolidation'!$A$6:$A$11,"2026Q2",'Consolidation'!$B$6:$B$11,"AT")&lt;&gt;1,COUNTIFS('Consolidation'!$A$6:$A$11,"2026Q2",'Consolidation'!$B$6:$B$11,"AT",'Consolidation'!$E$6:$E$11,"n.d.")&gt;0),"n.d.",SUMIFS('Consolidation'!$E$6:$E$11,'Consolidation'!$A$6:$A$11,"2026Q2",'Consolidation'!$B$6:$B$11,"AT"))),"n.d.")</f>
        <v>25273.230000000007</v>
      </c>
      <c r="C77" s="31">
        <f>IF(ISNUMBER(IF(OR(SUMPRODUCT(--('Flux'!$A$6:$A$41="2026Q2"),--('Flux'!$B$6:$B$41="AT"),--('Flux'!$E$6:$E$41=DATE(2026,3,1)))=0,SUMPRODUCT(--('Flux'!$A$6:$A$41="2026Q2"),--('Flux'!$B$6:$B$41="AT"),--('Flux'!$E$6:$E$41=DATE(2026,3,1)),--('Flux'!$J$6:$J$41="n.d."))&gt;0),"n.d.",SUMPRODUCT(--('Flux'!$A$6:$A$41="2026Q2"),--('Flux'!$B$6:$B$41="AT"),--('Flux'!$E$6:$E$41=DATE(2026,3,1)),'Flux'!$J$6:$J$41))),(IF(OR(SUMPRODUCT(--('Flux'!$A$6:$A$41="2026Q2"),--('Flux'!$B$6:$B$41="AT"),--('Flux'!$E$6:$E$41=DATE(2026,3,1)))=0,SUMPRODUCT(--('Flux'!$A$6:$A$41="2026Q2"),--('Flux'!$B$6:$B$41="AT"),--('Flux'!$E$6:$E$41=DATE(2026,3,1)),--('Flux'!$J$6:$J$41="n.d."))&gt;0),"n.d.",SUMPRODUCT(--('Flux'!$A$6:$A$41="2026Q2"),--('Flux'!$B$6:$B$41="AT"),--('Flux'!$E$6:$E$41=DATE(2026,3,1)),'Flux'!$J$6:$J$41)))/(IF(OR(COUNTIFS('Consolidation'!$A$6:$A$11,"2026Q2",'Consolidation'!$B$6:$B$11,"AT")&lt;&gt;1,COUNTIFS('Consolidation'!$A$6:$A$11,"2026Q2",'Consolidation'!$B$6:$B$11,"AT",'Consolidation'!$E$6:$E$11,"n.d.")&gt;0),"n.d.",SUMIFS('Consolidation'!$E$6:$E$11,'Consolidation'!$A$6:$A$11,"2026Q2",'Consolidation'!$B$6:$B$11,"AT"))),"n.d.")</f>
        <v>0.0</v>
      </c>
      <c r="D77" s="31">
        <f>IF(ISNUMBER(IF(OR(SUMPRODUCT(--('Flux'!$A$6:$A$41="2026Q2"),--('Flux'!$B$6:$B$41="AT"),--('Flux'!$E$6:$E$41=DATE(2026,3,1)))=0,SUMPRODUCT(--('Flux'!$A$6:$A$41="2026Q2"),--('Flux'!$B$6:$B$41="AT"),--('Flux'!$E$6:$E$41=DATE(2026,3,1)),--('Flux'!$O$6:$O$41="n.d."))&gt;0),"n.d.",SUMPRODUCT(--('Flux'!$A$6:$A$41="2026Q2"),--('Flux'!$B$6:$B$41="AT"),--('Flux'!$E$6:$E$41=DATE(2026,3,1)),'Flux'!$O$6:$O$41))),(IF(OR(SUMPRODUCT(--('Flux'!$A$6:$A$41="2026Q2"),--('Flux'!$B$6:$B$41="AT"),--('Flux'!$E$6:$E$41=DATE(2026,3,1)))=0,SUMPRODUCT(--('Flux'!$A$6:$A$41="2026Q2"),--('Flux'!$B$6:$B$41="AT"),--('Flux'!$E$6:$E$41=DATE(2026,3,1)),--('Flux'!$O$6:$O$41="n.d."))&gt;0),"n.d.",SUMPRODUCT(--('Flux'!$A$6:$A$41="2026Q2"),--('Flux'!$B$6:$B$41="AT"),--('Flux'!$E$6:$E$41=DATE(2026,3,1)),'Flux'!$O$6:$O$41)))/(IF(OR(COUNTIFS('Consolidation'!$A$6:$A$11,"2026Q2",'Consolidation'!$B$6:$B$11,"AT")&lt;&gt;1,COUNTIFS('Consolidation'!$A$6:$A$11,"2026Q2",'Consolidation'!$B$6:$B$11,"AT",'Consolidation'!$E$6:$E$11,"n.d.")&gt;0),"n.d.",SUMIFS('Consolidation'!$E$6:$E$11,'Consolidation'!$A$6:$A$11,"2026Q2",'Consolidation'!$B$6:$B$11,"AT"))),"n.d.")</f>
        <v>0.0</v>
      </c>
      <c r="E77" s="31">
        <f>IF(ISNUMBER(IF(OR(SUMPRODUCT(--('Flux'!$A$6:$A$41="2026Q2"),--('Flux'!$B$6:$B$41="AT"),--('Flux'!$E$6:$E$41=DATE(2026,3,1)))=0,SUMPRODUCT(--('Flux'!$A$6:$A$41="2026Q2"),--('Flux'!$B$6:$B$41="AT"),--('Flux'!$E$6:$E$41=DATE(2026,3,1)),--('Flux'!$I$6:$I$41="n.d."))&gt;0),"n.d.",SUMPRODUCT(--('Flux'!$A$6:$A$41="2026Q2"),--('Flux'!$B$6:$B$41="AT"),--('Flux'!$E$6:$E$41=DATE(2026,3,1)),'Flux'!$I$6:$I$41))),(IF(OR(SUMPRODUCT(--('Flux'!$A$6:$A$41="2026Q2"),--('Flux'!$B$6:$B$41="AT"),--('Flux'!$E$6:$E$41=DATE(2026,3,1)))=0,SUMPRODUCT(--('Flux'!$A$6:$A$41="2026Q2"),--('Flux'!$B$6:$B$41="AT"),--('Flux'!$E$6:$E$41=DATE(2026,3,1)),--('Flux'!$I$6:$I$41="n.d."))&gt;0),"n.d.",SUMPRODUCT(--('Flux'!$A$6:$A$41="2026Q2"),--('Flux'!$B$6:$B$41="AT"),--('Flux'!$E$6:$E$41=DATE(2026,3,1)),'Flux'!$I$6:$I$41)))/(IF(OR(COUNTIFS('Consolidation'!$A$6:$A$11,"2026Q2",'Consolidation'!$B$6:$B$11,"AT")&lt;&gt;1,COUNTIFS('Consolidation'!$A$6:$A$11,"2026Q2",'Consolidation'!$B$6:$B$11,"AT",'Consolidation'!$E$6:$E$11,"n.d.")&gt;0),"n.d.",SUMIFS('Consolidation'!$E$6:$E$11,'Consolidation'!$A$6:$A$11,"2026Q2",'Consolidation'!$B$6:$B$11,"AT"))),"n.d.")</f>
        <v>0.0</v>
      </c>
      <c r="F77" s="31">
        <f>IF(OR(SUMPRODUCT(--('Flux'!$A$6:$A$41="2026Q2"),--('Flux'!$B$6:$B$41="AT"),--('Flux'!$E$6:$E$41=DATE(2026,3,1)))=0,SUMPRODUCT(--('Flux'!$A$6:$A$41="2026Q2"),--('Flux'!$B$6:$B$41="AT"),--('Flux'!$E$6:$E$41=DATE(2026,3,1)),--('Flux'!$T$6:$T$41="n.d."))&gt;0),"n.d.",SUMPRODUCT(--('Flux'!$A$6:$A$41="2026Q2"),--('Flux'!$B$6:$B$41="AT"),--('Flux'!$E$6:$E$41=DATE(2026,3,1)),'Flux'!$T$6:$T$41))</f>
        <v>1.0</v>
      </c>
      <c r="G77" s="31">
        <f>IF(OR(SUMPRODUCT(--('Flux'!$A$6:$A$41="2026Q2"),--('Flux'!$B$6:$B$41="AT"),--('Flux'!$E$6:$E$41=DATE(2026,3,1)))=0,SUMPRODUCT(--('Flux'!$A$6:$A$41="2026Q2"),--('Flux'!$B$6:$B$41="AT"),--('Flux'!$E$6:$E$41=DATE(2026,3,1)),--('Flux'!$U$6:$U$41="n.d."))&gt;0),"n.d.",SUMPRODUCT(--('Flux'!$A$6:$A$41="2026Q2"),--('Flux'!$B$6:$B$41="AT"),--('Flux'!$E$6:$E$41=DATE(2026,3,1)),'Flux'!$U$6:$U$41))</f>
        <v>1.0</v>
      </c>
    </row>
    <row r="78" spans="1:11">
      <c r="A78" t="s">
        <v>417</v>
      </c>
      <c r="B78" s="31">
        <f>IF(ISNUMBER(IF(OR(SUMPRODUCT(--('Flux'!$A$6:$A$41="2026Q2"),--('Flux'!$B$6:$B$41="AT"),--('Flux'!$E$6:$E$41=DATE(2026,4,1)))=0,SUMPRODUCT(--('Flux'!$A$6:$A$41="2026Q2"),--('Flux'!$B$6:$B$41="AT"),--('Flux'!$E$6:$E$41=DATE(2026,4,1)),--('Flux'!$H$6:$H$41="n.d."))&gt;0),"n.d.",SUMPRODUCT(--('Flux'!$A$6:$A$41="2026Q2"),--('Flux'!$B$6:$B$41="AT"),--('Flux'!$E$6:$E$41=DATE(2026,4,1)),'Flux'!$H$6:$H$41))),(IF(OR(SUMPRODUCT(--('Flux'!$A$6:$A$41="2026Q2"),--('Flux'!$B$6:$B$41="AT"),--('Flux'!$E$6:$E$41=DATE(2026,4,1)))=0,SUMPRODUCT(--('Flux'!$A$6:$A$41="2026Q2"),--('Flux'!$B$6:$B$41="AT"),--('Flux'!$E$6:$E$41=DATE(2026,4,1)),--('Flux'!$H$6:$H$41="n.d."))&gt;0),"n.d.",SUMPRODUCT(--('Flux'!$A$6:$A$41="2026Q2"),--('Flux'!$B$6:$B$41="AT"),--('Flux'!$E$6:$E$41=DATE(2026,4,1)),'Flux'!$H$6:$H$41)))/(IF(OR(COUNTIFS('Consolidation'!$A$6:$A$11,"2026Q2",'Consolidation'!$B$6:$B$11,"AT")&lt;&gt;1,COUNTIFS('Consolidation'!$A$6:$A$11,"2026Q2",'Consolidation'!$B$6:$B$11,"AT",'Consolidation'!$E$6:$E$11,"n.d.")&gt;0),"n.d.",SUMIFS('Consolidation'!$E$6:$E$11,'Consolidation'!$A$6:$A$11,"2026Q2",'Consolidation'!$B$6:$B$11,"AT"))),"n.d.")</f>
        <v>4747.0199999999995</v>
      </c>
      <c r="C78" s="31">
        <f>IF(ISNUMBER(IF(OR(SUMPRODUCT(--('Flux'!$A$6:$A$41="2026Q2"),--('Flux'!$B$6:$B$41="AT"),--('Flux'!$E$6:$E$41=DATE(2026,4,1)))=0,SUMPRODUCT(--('Flux'!$A$6:$A$41="2026Q2"),--('Flux'!$B$6:$B$41="AT"),--('Flux'!$E$6:$E$41=DATE(2026,4,1)),--('Flux'!$J$6:$J$41="n.d."))&gt;0),"n.d.",SUMPRODUCT(--('Flux'!$A$6:$A$41="2026Q2"),--('Flux'!$B$6:$B$41="AT"),--('Flux'!$E$6:$E$41=DATE(2026,4,1)),'Flux'!$J$6:$J$41))),(IF(OR(SUMPRODUCT(--('Flux'!$A$6:$A$41="2026Q2"),--('Flux'!$B$6:$B$41="AT"),--('Flux'!$E$6:$E$41=DATE(2026,4,1)))=0,SUMPRODUCT(--('Flux'!$A$6:$A$41="2026Q2"),--('Flux'!$B$6:$B$41="AT"),--('Flux'!$E$6:$E$41=DATE(2026,4,1)),--('Flux'!$J$6:$J$41="n.d."))&gt;0),"n.d.",SUMPRODUCT(--('Flux'!$A$6:$A$41="2026Q2"),--('Flux'!$B$6:$B$41="AT"),--('Flux'!$E$6:$E$41=DATE(2026,4,1)),'Flux'!$J$6:$J$41)))/(IF(OR(COUNTIFS('Consolidation'!$A$6:$A$11,"2026Q2",'Consolidation'!$B$6:$B$11,"AT")&lt;&gt;1,COUNTIFS('Consolidation'!$A$6:$A$11,"2026Q2",'Consolidation'!$B$6:$B$11,"AT",'Consolidation'!$E$6:$E$11,"n.d.")&gt;0),"n.d.",SUMIFS('Consolidation'!$E$6:$E$11,'Consolidation'!$A$6:$A$11,"2026Q2",'Consolidation'!$B$6:$B$11,"AT"))),"n.d.")</f>
        <v>0.0</v>
      </c>
      <c r="D78" s="31">
        <f>IF(ISNUMBER(IF(OR(SUMPRODUCT(--('Flux'!$A$6:$A$41="2026Q2"),--('Flux'!$B$6:$B$41="AT"),--('Flux'!$E$6:$E$41=DATE(2026,4,1)))=0,SUMPRODUCT(--('Flux'!$A$6:$A$41="2026Q2"),--('Flux'!$B$6:$B$41="AT"),--('Flux'!$E$6:$E$41=DATE(2026,4,1)),--('Flux'!$O$6:$O$41="n.d."))&gt;0),"n.d.",SUMPRODUCT(--('Flux'!$A$6:$A$41="2026Q2"),--('Flux'!$B$6:$B$41="AT"),--('Flux'!$E$6:$E$41=DATE(2026,4,1)),'Flux'!$O$6:$O$41))),(IF(OR(SUMPRODUCT(--('Flux'!$A$6:$A$41="2026Q2"),--('Flux'!$B$6:$B$41="AT"),--('Flux'!$E$6:$E$41=DATE(2026,4,1)))=0,SUMPRODUCT(--('Flux'!$A$6:$A$41="2026Q2"),--('Flux'!$B$6:$B$41="AT"),--('Flux'!$E$6:$E$41=DATE(2026,4,1)),--('Flux'!$O$6:$O$41="n.d."))&gt;0),"n.d.",SUMPRODUCT(--('Flux'!$A$6:$A$41="2026Q2"),--('Flux'!$B$6:$B$41="AT"),--('Flux'!$E$6:$E$41=DATE(2026,4,1)),'Flux'!$O$6:$O$41)))/(IF(OR(COUNTIFS('Consolidation'!$A$6:$A$11,"2026Q2",'Consolidation'!$B$6:$B$11,"AT")&lt;&gt;1,COUNTIFS('Consolidation'!$A$6:$A$11,"2026Q2",'Consolidation'!$B$6:$B$11,"AT",'Consolidation'!$E$6:$E$11,"n.d.")&gt;0),"n.d.",SUMIFS('Consolidation'!$E$6:$E$11,'Consolidation'!$A$6:$A$11,"2026Q2",'Consolidation'!$B$6:$B$11,"AT"))),"n.d.")</f>
        <v>0.0</v>
      </c>
      <c r="E78" s="31">
        <f>IF(ISNUMBER(IF(OR(SUMPRODUCT(--('Flux'!$A$6:$A$41="2026Q2"),--('Flux'!$B$6:$B$41="AT"),--('Flux'!$E$6:$E$41=DATE(2026,4,1)))=0,SUMPRODUCT(--('Flux'!$A$6:$A$41="2026Q2"),--('Flux'!$B$6:$B$41="AT"),--('Flux'!$E$6:$E$41=DATE(2026,4,1)),--('Flux'!$I$6:$I$41="n.d."))&gt;0),"n.d.",SUMPRODUCT(--('Flux'!$A$6:$A$41="2026Q2"),--('Flux'!$B$6:$B$41="AT"),--('Flux'!$E$6:$E$41=DATE(2026,4,1)),'Flux'!$I$6:$I$41))),(IF(OR(SUMPRODUCT(--('Flux'!$A$6:$A$41="2026Q2"),--('Flux'!$B$6:$B$41="AT"),--('Flux'!$E$6:$E$41=DATE(2026,4,1)))=0,SUMPRODUCT(--('Flux'!$A$6:$A$41="2026Q2"),--('Flux'!$B$6:$B$41="AT"),--('Flux'!$E$6:$E$41=DATE(2026,4,1)),--('Flux'!$I$6:$I$41="n.d."))&gt;0),"n.d.",SUMPRODUCT(--('Flux'!$A$6:$A$41="2026Q2"),--('Flux'!$B$6:$B$41="AT"),--('Flux'!$E$6:$E$41=DATE(2026,4,1)),'Flux'!$I$6:$I$41)))/(IF(OR(COUNTIFS('Consolidation'!$A$6:$A$11,"2026Q2",'Consolidation'!$B$6:$B$11,"AT")&lt;&gt;1,COUNTIFS('Consolidation'!$A$6:$A$11,"2026Q2",'Consolidation'!$B$6:$B$11,"AT",'Consolidation'!$E$6:$E$11,"n.d.")&gt;0),"n.d.",SUMIFS('Consolidation'!$E$6:$E$11,'Consolidation'!$A$6:$A$11,"2026Q2",'Consolidation'!$B$6:$B$11,"AT"))),"n.d.")</f>
        <v>0.0</v>
      </c>
      <c r="F78" s="31">
        <f>IF(OR(SUMPRODUCT(--('Flux'!$A$6:$A$41="2026Q2"),--('Flux'!$B$6:$B$41="AT"),--('Flux'!$E$6:$E$41=DATE(2026,4,1)))=0,SUMPRODUCT(--('Flux'!$A$6:$A$41="2026Q2"),--('Flux'!$B$6:$B$41="AT"),--('Flux'!$E$6:$E$41=DATE(2026,4,1)),--('Flux'!$T$6:$T$41="n.d."))&gt;0),"n.d.",SUMPRODUCT(--('Flux'!$A$6:$A$41="2026Q2"),--('Flux'!$B$6:$B$41="AT"),--('Flux'!$E$6:$E$41=DATE(2026,4,1)),'Flux'!$T$6:$T$41))</f>
        <v>1.0</v>
      </c>
      <c r="G78" s="31">
        <f>IF(OR(SUMPRODUCT(--('Flux'!$A$6:$A$41="2026Q2"),--('Flux'!$B$6:$B$41="AT"),--('Flux'!$E$6:$E$41=DATE(2026,4,1)))=0,SUMPRODUCT(--('Flux'!$A$6:$A$41="2026Q2"),--('Flux'!$B$6:$B$41="AT"),--('Flux'!$E$6:$E$41=DATE(2026,4,1)),--('Flux'!$U$6:$U$41="n.d."))&gt;0),"n.d.",SUMPRODUCT(--('Flux'!$A$6:$A$41="2026Q2"),--('Flux'!$B$6:$B$41="AT"),--('Flux'!$E$6:$E$41=DATE(2026,4,1)),'Flux'!$U$6:$U$41))</f>
        <v>1.0</v>
      </c>
    </row>
    <row r="79" spans="1:11">
      <c r="A79" t="s">
        <v>418</v>
      </c>
      <c r="B79" s="31">
        <f>IF(ISNUMBER(IF(OR(SUMPRODUCT(--('Flux'!$A$6:$A$41="2026Q2"),--('Flux'!$B$6:$B$41="AT"),--('Flux'!$E$6:$E$41=DATE(2026,5,1)))=0,SUMPRODUCT(--('Flux'!$A$6:$A$41="2026Q2"),--('Flux'!$B$6:$B$41="AT"),--('Flux'!$E$6:$E$41=DATE(2026,5,1)),--('Flux'!$H$6:$H$41="n.d."))&gt;0),"n.d.",SUMPRODUCT(--('Flux'!$A$6:$A$41="2026Q2"),--('Flux'!$B$6:$B$41="AT"),--('Flux'!$E$6:$E$41=DATE(2026,5,1)),'Flux'!$H$6:$H$41))),(IF(OR(SUMPRODUCT(--('Flux'!$A$6:$A$41="2026Q2"),--('Flux'!$B$6:$B$41="AT"),--('Flux'!$E$6:$E$41=DATE(2026,5,1)))=0,SUMPRODUCT(--('Flux'!$A$6:$A$41="2026Q2"),--('Flux'!$B$6:$B$41="AT"),--('Flux'!$E$6:$E$41=DATE(2026,5,1)),--('Flux'!$H$6:$H$41="n.d."))&gt;0),"n.d.",SUMPRODUCT(--('Flux'!$A$6:$A$41="2026Q2"),--('Flux'!$B$6:$B$41="AT"),--('Flux'!$E$6:$E$41=DATE(2026,5,1)),'Flux'!$H$6:$H$41)))/(IF(OR(COUNTIFS('Consolidation'!$A$6:$A$11,"2026Q2",'Consolidation'!$B$6:$B$11,"AT")&lt;&gt;1,COUNTIFS('Consolidation'!$A$6:$A$11,"2026Q2",'Consolidation'!$B$6:$B$11,"AT",'Consolidation'!$E$6:$E$11,"n.d.")&gt;0),"n.d.",SUMIFS('Consolidation'!$E$6:$E$11,'Consolidation'!$A$6:$A$11,"2026Q2",'Consolidation'!$B$6:$B$11,"AT"))),"n.d.")</f>
        <v>11005.86</v>
      </c>
      <c r="C79" s="31">
        <f>IF(ISNUMBER(IF(OR(SUMPRODUCT(--('Flux'!$A$6:$A$41="2026Q2"),--('Flux'!$B$6:$B$41="AT"),--('Flux'!$E$6:$E$41=DATE(2026,5,1)))=0,SUMPRODUCT(--('Flux'!$A$6:$A$41="2026Q2"),--('Flux'!$B$6:$B$41="AT"),--('Flux'!$E$6:$E$41=DATE(2026,5,1)),--('Flux'!$J$6:$J$41="n.d."))&gt;0),"n.d.",SUMPRODUCT(--('Flux'!$A$6:$A$41="2026Q2"),--('Flux'!$B$6:$B$41="AT"),--('Flux'!$E$6:$E$41=DATE(2026,5,1)),'Flux'!$J$6:$J$41))),(IF(OR(SUMPRODUCT(--('Flux'!$A$6:$A$41="2026Q2"),--('Flux'!$B$6:$B$41="AT"),--('Flux'!$E$6:$E$41=DATE(2026,5,1)))=0,SUMPRODUCT(--('Flux'!$A$6:$A$41="2026Q2"),--('Flux'!$B$6:$B$41="AT"),--('Flux'!$E$6:$E$41=DATE(2026,5,1)),--('Flux'!$J$6:$J$41="n.d."))&gt;0),"n.d.",SUMPRODUCT(--('Flux'!$A$6:$A$41="2026Q2"),--('Flux'!$B$6:$B$41="AT"),--('Flux'!$E$6:$E$41=DATE(2026,5,1)),'Flux'!$J$6:$J$41)))/(IF(OR(COUNTIFS('Consolidation'!$A$6:$A$11,"2026Q2",'Consolidation'!$B$6:$B$11,"AT")&lt;&gt;1,COUNTIFS('Consolidation'!$A$6:$A$11,"2026Q2",'Consolidation'!$B$6:$B$11,"AT",'Consolidation'!$E$6:$E$11,"n.d.")&gt;0),"n.d.",SUMIFS('Consolidation'!$E$6:$E$11,'Consolidation'!$A$6:$A$11,"2026Q2",'Consolidation'!$B$6:$B$11,"AT"))),"n.d.")</f>
        <v>0.0</v>
      </c>
      <c r="D79" s="31">
        <f>IF(ISNUMBER(IF(OR(SUMPRODUCT(--('Flux'!$A$6:$A$41="2026Q2"),--('Flux'!$B$6:$B$41="AT"),--('Flux'!$E$6:$E$41=DATE(2026,5,1)))=0,SUMPRODUCT(--('Flux'!$A$6:$A$41="2026Q2"),--('Flux'!$B$6:$B$41="AT"),--('Flux'!$E$6:$E$41=DATE(2026,5,1)),--('Flux'!$O$6:$O$41="n.d."))&gt;0),"n.d.",SUMPRODUCT(--('Flux'!$A$6:$A$41="2026Q2"),--('Flux'!$B$6:$B$41="AT"),--('Flux'!$E$6:$E$41=DATE(2026,5,1)),'Flux'!$O$6:$O$41))),(IF(OR(SUMPRODUCT(--('Flux'!$A$6:$A$41="2026Q2"),--('Flux'!$B$6:$B$41="AT"),--('Flux'!$E$6:$E$41=DATE(2026,5,1)))=0,SUMPRODUCT(--('Flux'!$A$6:$A$41="2026Q2"),--('Flux'!$B$6:$B$41="AT"),--('Flux'!$E$6:$E$41=DATE(2026,5,1)),--('Flux'!$O$6:$O$41="n.d."))&gt;0),"n.d.",SUMPRODUCT(--('Flux'!$A$6:$A$41="2026Q2"),--('Flux'!$B$6:$B$41="AT"),--('Flux'!$E$6:$E$41=DATE(2026,5,1)),'Flux'!$O$6:$O$41)))/(IF(OR(COUNTIFS('Consolidation'!$A$6:$A$11,"2026Q2",'Consolidation'!$B$6:$B$11,"AT")&lt;&gt;1,COUNTIFS('Consolidation'!$A$6:$A$11,"2026Q2",'Consolidation'!$B$6:$B$11,"AT",'Consolidation'!$E$6:$E$11,"n.d.")&gt;0),"n.d.",SUMIFS('Consolidation'!$E$6:$E$11,'Consolidation'!$A$6:$A$11,"2026Q2",'Consolidation'!$B$6:$B$11,"AT"))),"n.d.")</f>
        <v>14.229999999999563</v>
      </c>
      <c r="E79" s="31">
        <f>IF(ISNUMBER(IF(OR(SUMPRODUCT(--('Flux'!$A$6:$A$41="2026Q2"),--('Flux'!$B$6:$B$41="AT"),--('Flux'!$E$6:$E$41=DATE(2026,5,1)))=0,SUMPRODUCT(--('Flux'!$A$6:$A$41="2026Q2"),--('Flux'!$B$6:$B$41="AT"),--('Flux'!$E$6:$E$41=DATE(2026,5,1)),--('Flux'!$I$6:$I$41="n.d."))&gt;0),"n.d.",SUMPRODUCT(--('Flux'!$A$6:$A$41="2026Q2"),--('Flux'!$B$6:$B$41="AT"),--('Flux'!$E$6:$E$41=DATE(2026,5,1)),'Flux'!$I$6:$I$41))),(IF(OR(SUMPRODUCT(--('Flux'!$A$6:$A$41="2026Q2"),--('Flux'!$B$6:$B$41="AT"),--('Flux'!$E$6:$E$41=DATE(2026,5,1)))=0,SUMPRODUCT(--('Flux'!$A$6:$A$41="2026Q2"),--('Flux'!$B$6:$B$41="AT"),--('Flux'!$E$6:$E$41=DATE(2026,5,1)),--('Flux'!$I$6:$I$41="n.d."))&gt;0),"n.d.",SUMPRODUCT(--('Flux'!$A$6:$A$41="2026Q2"),--('Flux'!$B$6:$B$41="AT"),--('Flux'!$E$6:$E$41=DATE(2026,5,1)),'Flux'!$I$6:$I$41)))/(IF(OR(COUNTIFS('Consolidation'!$A$6:$A$11,"2026Q2",'Consolidation'!$B$6:$B$11,"AT")&lt;&gt;1,COUNTIFS('Consolidation'!$A$6:$A$11,"2026Q2",'Consolidation'!$B$6:$B$11,"AT",'Consolidation'!$E$6:$E$11,"n.d.")&gt;0),"n.d.",SUMIFS('Consolidation'!$E$6:$E$11,'Consolidation'!$A$6:$A$11,"2026Q2",'Consolidation'!$B$6:$B$11,"AT"))),"n.d.")</f>
        <v>0.0</v>
      </c>
      <c r="F79" s="31">
        <f>IF(OR(SUMPRODUCT(--('Flux'!$A$6:$A$41="2026Q2"),--('Flux'!$B$6:$B$41="AT"),--('Flux'!$E$6:$E$41=DATE(2026,5,1)))=0,SUMPRODUCT(--('Flux'!$A$6:$A$41="2026Q2"),--('Flux'!$B$6:$B$41="AT"),--('Flux'!$E$6:$E$41=DATE(2026,5,1)),--('Flux'!$T$6:$T$41="n.d."))&gt;0),"n.d.",SUMPRODUCT(--('Flux'!$A$6:$A$41="2026Q2"),--('Flux'!$B$6:$B$41="AT"),--('Flux'!$E$6:$E$41=DATE(2026,5,1)),'Flux'!$T$6:$T$41))</f>
        <v>0.9987087219795846</v>
      </c>
      <c r="G79" s="31">
        <f>IF(OR(SUMPRODUCT(--('Flux'!$A$6:$A$41="2026Q2"),--('Flux'!$B$6:$B$41="AT"),--('Flux'!$E$6:$E$41=DATE(2026,5,1)))=0,SUMPRODUCT(--('Flux'!$A$6:$A$41="2026Q2"),--('Flux'!$B$6:$B$41="AT"),--('Flux'!$E$6:$E$41=DATE(2026,5,1)),--('Flux'!$U$6:$U$41="n.d."))&gt;0),"n.d.",SUMPRODUCT(--('Flux'!$A$6:$A$41="2026Q2"),--('Flux'!$B$6:$B$41="AT"),--('Flux'!$E$6:$E$41=DATE(2026,5,1)),'Flux'!$U$6:$U$41))</f>
        <v>0.9666666666666667</v>
      </c>
    </row>
    <row r="80" spans="1:11">
      <c r="A80" t="s">
        <v>419</v>
      </c>
      <c r="B80" s="31">
        <f>IF(ISNUMBER(IF(OR(SUMPRODUCT(--('Flux'!$A$6:$A$41="2026Q2"),--('Flux'!$B$6:$B$41="AT"),--('Flux'!$E$6:$E$41=DATE(2026,6,1)))=0,SUMPRODUCT(--('Flux'!$A$6:$A$41="2026Q2"),--('Flux'!$B$6:$B$41="AT"),--('Flux'!$E$6:$E$41=DATE(2026,6,1)),--('Flux'!$H$6:$H$41="n.d."))&gt;0),"n.d.",SUMPRODUCT(--('Flux'!$A$6:$A$41="2026Q2"),--('Flux'!$B$6:$B$41="AT"),--('Flux'!$E$6:$E$41=DATE(2026,6,1)),'Flux'!$H$6:$H$41))),(IF(OR(SUMPRODUCT(--('Flux'!$A$6:$A$41="2026Q2"),--('Flux'!$B$6:$B$41="AT"),--('Flux'!$E$6:$E$41=DATE(2026,6,1)))=0,SUMPRODUCT(--('Flux'!$A$6:$A$41="2026Q2"),--('Flux'!$B$6:$B$41="AT"),--('Flux'!$E$6:$E$41=DATE(2026,6,1)),--('Flux'!$H$6:$H$41="n.d."))&gt;0),"n.d.",SUMPRODUCT(--('Flux'!$A$6:$A$41="2026Q2"),--('Flux'!$B$6:$B$41="AT"),--('Flux'!$E$6:$E$41=DATE(2026,6,1)),'Flux'!$H$6:$H$41)))/(IF(OR(COUNTIFS('Consolidation'!$A$6:$A$11,"2026Q2",'Consolidation'!$B$6:$B$11,"AT")&lt;&gt;1,COUNTIFS('Consolidation'!$A$6:$A$11,"2026Q2",'Consolidation'!$B$6:$B$11,"AT",'Consolidation'!$E$6:$E$11,"n.d.")&gt;0),"n.d.",SUMIFS('Consolidation'!$E$6:$E$11,'Consolidation'!$A$6:$A$11,"2026Q2",'Consolidation'!$B$6:$B$11,"AT"))),"n.d.")</f>
        <v>0.0</v>
      </c>
      <c r="C80" s="31">
        <f>IF(ISNUMBER(IF(OR(SUMPRODUCT(--('Flux'!$A$6:$A$41="2026Q2"),--('Flux'!$B$6:$B$41="AT"),--('Flux'!$E$6:$E$41=DATE(2026,6,1)))=0,SUMPRODUCT(--('Flux'!$A$6:$A$41="2026Q2"),--('Flux'!$B$6:$B$41="AT"),--('Flux'!$E$6:$E$41=DATE(2026,6,1)),--('Flux'!$J$6:$J$41="n.d."))&gt;0),"n.d.",SUMPRODUCT(--('Flux'!$A$6:$A$41="2026Q2"),--('Flux'!$B$6:$B$41="AT"),--('Flux'!$E$6:$E$41=DATE(2026,6,1)),'Flux'!$J$6:$J$41))),(IF(OR(SUMPRODUCT(--('Flux'!$A$6:$A$41="2026Q2"),--('Flux'!$B$6:$B$41="AT"),--('Flux'!$E$6:$E$41=DATE(2026,6,1)))=0,SUMPRODUCT(--('Flux'!$A$6:$A$41="2026Q2"),--('Flux'!$B$6:$B$41="AT"),--('Flux'!$E$6:$E$41=DATE(2026,6,1)),--('Flux'!$J$6:$J$41="n.d."))&gt;0),"n.d.",SUMPRODUCT(--('Flux'!$A$6:$A$41="2026Q2"),--('Flux'!$B$6:$B$41="AT"),--('Flux'!$E$6:$E$41=DATE(2026,6,1)),'Flux'!$J$6:$J$41)))/(IF(OR(COUNTIFS('Consolidation'!$A$6:$A$11,"2026Q2",'Consolidation'!$B$6:$B$11,"AT")&lt;&gt;1,COUNTIFS('Consolidation'!$A$6:$A$11,"2026Q2",'Consolidation'!$B$6:$B$11,"AT",'Consolidation'!$E$6:$E$11,"n.d.")&gt;0),"n.d.",SUMIFS('Consolidation'!$E$6:$E$11,'Consolidation'!$A$6:$A$11,"2026Q2",'Consolidation'!$B$6:$B$11,"AT"))),"n.d.")</f>
        <v>0.0</v>
      </c>
      <c r="D80" s="31">
        <f>IF(ISNUMBER(IF(OR(SUMPRODUCT(--('Flux'!$A$6:$A$41="2026Q2"),--('Flux'!$B$6:$B$41="AT"),--('Flux'!$E$6:$E$41=DATE(2026,6,1)))=0,SUMPRODUCT(--('Flux'!$A$6:$A$41="2026Q2"),--('Flux'!$B$6:$B$41="AT"),--('Flux'!$E$6:$E$41=DATE(2026,6,1)),--('Flux'!$O$6:$O$41="n.d."))&gt;0),"n.d.",SUMPRODUCT(--('Flux'!$A$6:$A$41="2026Q2"),--('Flux'!$B$6:$B$41="AT"),--('Flux'!$E$6:$E$41=DATE(2026,6,1)),'Flux'!$O$6:$O$41))),(IF(OR(SUMPRODUCT(--('Flux'!$A$6:$A$41="2026Q2"),--('Flux'!$B$6:$B$41="AT"),--('Flux'!$E$6:$E$41=DATE(2026,6,1)))=0,SUMPRODUCT(--('Flux'!$A$6:$A$41="2026Q2"),--('Flux'!$B$6:$B$41="AT"),--('Flux'!$E$6:$E$41=DATE(2026,6,1)),--('Flux'!$O$6:$O$41="n.d."))&gt;0),"n.d.",SUMPRODUCT(--('Flux'!$A$6:$A$41="2026Q2"),--('Flux'!$B$6:$B$41="AT"),--('Flux'!$E$6:$E$41=DATE(2026,6,1)),'Flux'!$O$6:$O$41)))/(IF(OR(COUNTIFS('Consolidation'!$A$6:$A$11,"2026Q2",'Consolidation'!$B$6:$B$11,"AT")&lt;&gt;1,COUNTIFS('Consolidation'!$A$6:$A$11,"2026Q2",'Consolidation'!$B$6:$B$11,"AT",'Consolidation'!$E$6:$E$11,"n.d.")&gt;0),"n.d.",SUMIFS('Consolidation'!$E$6:$E$11,'Consolidation'!$A$6:$A$11,"2026Q2",'Consolidation'!$B$6:$B$11,"AT"))),"n.d.")</f>
        <v>3156.52</v>
      </c>
      <c r="E80" s="31">
        <f>IF(ISNUMBER(IF(OR(SUMPRODUCT(--('Flux'!$A$6:$A$41="2026Q2"),--('Flux'!$B$6:$B$41="AT"),--('Flux'!$E$6:$E$41=DATE(2026,6,1)))=0,SUMPRODUCT(--('Flux'!$A$6:$A$41="2026Q2"),--('Flux'!$B$6:$B$41="AT"),--('Flux'!$E$6:$E$41=DATE(2026,6,1)),--('Flux'!$I$6:$I$41="n.d."))&gt;0),"n.d.",SUMPRODUCT(--('Flux'!$A$6:$A$41="2026Q2"),--('Flux'!$B$6:$B$41="AT"),--('Flux'!$E$6:$E$41=DATE(2026,6,1)),'Flux'!$I$6:$I$41))),(IF(OR(SUMPRODUCT(--('Flux'!$A$6:$A$41="2026Q2"),--('Flux'!$B$6:$B$41="AT"),--('Flux'!$E$6:$E$41=DATE(2026,6,1)))=0,SUMPRODUCT(--('Flux'!$A$6:$A$41="2026Q2"),--('Flux'!$B$6:$B$41="AT"),--('Flux'!$E$6:$E$41=DATE(2026,6,1)),--('Flux'!$I$6:$I$41="n.d."))&gt;0),"n.d.",SUMPRODUCT(--('Flux'!$A$6:$A$41="2026Q2"),--('Flux'!$B$6:$B$41="AT"),--('Flux'!$E$6:$E$41=DATE(2026,6,1)),'Flux'!$I$6:$I$41)))/(IF(OR(COUNTIFS('Consolidation'!$A$6:$A$11,"2026Q2",'Consolidation'!$B$6:$B$11,"AT")&lt;&gt;1,COUNTIFS('Consolidation'!$A$6:$A$11,"2026Q2",'Consolidation'!$B$6:$B$11,"AT",'Consolidation'!$E$6:$E$11,"n.d.")&gt;0),"n.d.",SUMIFS('Consolidation'!$E$6:$E$11,'Consolidation'!$A$6:$A$11,"2026Q2",'Consolidation'!$B$6:$B$11,"AT"))),"n.d.")</f>
        <v>0.0</v>
      </c>
      <c r="F80" s="31">
        <f>IF(OR(SUMPRODUCT(--('Flux'!$A$6:$A$41="2026Q2"),--('Flux'!$B$6:$B$41="AT"),--('Flux'!$E$6:$E$41=DATE(2026,6,1)))=0,SUMPRODUCT(--('Flux'!$A$6:$A$41="2026Q2"),--('Flux'!$B$6:$B$41="AT"),--('Flux'!$E$6:$E$41=DATE(2026,6,1)),--('Flux'!$T$6:$T$41="n.d."))&gt;0),"n.d.",SUMPRODUCT(--('Flux'!$A$6:$A$41="2026Q2"),--('Flux'!$B$6:$B$41="AT"),--('Flux'!$E$6:$E$41=DATE(2026,6,1)),'Flux'!$T$6:$T$41))</f>
        <v>0.0</v>
      </c>
      <c r="G80" s="31">
        <f>IF(OR(SUMPRODUCT(--('Flux'!$A$6:$A$41="2026Q2"),--('Flux'!$B$6:$B$41="AT"),--('Flux'!$E$6:$E$41=DATE(2026,6,1)))=0,SUMPRODUCT(--('Flux'!$A$6:$A$41="2026Q2"),--('Flux'!$B$6:$B$41="AT"),--('Flux'!$E$6:$E$41=DATE(2026,6,1)),--('Flux'!$U$6:$U$41="n.d."))&gt;0),"n.d.",SUMPRODUCT(--('Flux'!$A$6:$A$41="2026Q2"),--('Flux'!$B$6:$B$41="AT"),--('Flux'!$E$6:$E$41=DATE(2026,6,1)),'Flux'!$U$6:$U$41))</f>
        <v>0.0</v>
      </c>
    </row>
    <row r="84" spans="1:7">
      <c r="A84" s="28" t="s">
        <v>464</v>
      </c>
    </row>
    <row r="85" spans="1:7" ht="32" customHeight="1">
      <c r="A85" s="30" t="s">
        <v>426</v>
      </c>
      <c r="B85" s="30" t="s">
        <v>465</v>
      </c>
      <c r="C85" s="30" t="s">
        <v>466</v>
      </c>
      <c r="D85" s="30" t="s">
        <v>467</v>
      </c>
      <c r="E85" s="30" t="s">
        <v>468</v>
      </c>
      <c r="F85" s="30" t="s">
        <v>469</v>
      </c>
      <c r="G85" s="30" t="s">
        <v>395</v>
      </c>
    </row>
    <row r="86" spans="1:7">
      <c r="A86" s="31">
        <f>IF(OR(COUNTIFS('Consolidation'!$A$6:$A$11,"2026Q2",'Consolidation'!$B$6:$B$11,"AT")&lt;&gt;1,COUNTIFS('Consolidation'!$A$6:$A$11,"2026Q2",'Consolidation'!$B$6:$B$11,"AT",'Consolidation'!$W$6:$W$11,"n.d.")&gt;0),"n.d.",SUMIFS('Consolidation'!$W$6:$W$11,'Consolidation'!$A$6:$A$11,"2026Q2",'Consolidation'!$B$6:$B$11,"AT"))</f>
        <v>9124.243333333334</v>
      </c>
      <c r="B86" s="31">
        <f>IF(OR(NOT(ISNUMBER(IF(OR(COUNTIFS('Consolidation'!$A$6:$A$11,"2026Q2",'Consolidation'!$B$6:$B$11,"AT")&lt;&gt;1,COUNTIFS('Consolidation'!$A$6:$A$11,"2026Q2",'Consolidation'!$B$6:$B$11,"AT",'Consolidation'!$Q$6:$Q$11,"n.d.")&gt;0),"n.d.",SUMIFS('Consolidation'!$Q$6:$Q$11,'Consolidation'!$A$6:$A$11,"2026Q2",'Consolidation'!$B$6:$B$11,"AT")))),NOT(ISNUMBER(IF(OR(COUNTIFS('Consolidation'!$A$6:$A$11,"2026Q2",'Consolidation'!$B$6:$B$11,"AT")&lt;&gt;1,COUNTIFS('Consolidation'!$A$6:$A$11,"2026Q2",'Consolidation'!$B$6:$B$11,"AT",'Consolidation'!$S$6:$S$11,"n.d.")&gt;0),"n.d.",SUMIFS('Consolidation'!$S$6:$S$11,'Consolidation'!$A$6:$A$11,"2026Q2",'Consolidation'!$B$6:$B$11,"AT")))),(IF(OR(COUNTIFS('Consolidation'!$A$6:$A$11,"2026Q2",'Consolidation'!$B$6:$B$11,"AT")&lt;&gt;1,COUNTIFS('Consolidation'!$A$6:$A$11,"2026Q2",'Consolidation'!$B$6:$B$11,"AT",'Consolidation'!$S$6:$S$11,"n.d.")&gt;0),"n.d.",SUMIFS('Consolidation'!$S$6:$S$11,'Consolidation'!$A$6:$A$11,"2026Q2",'Consolidation'!$B$6:$B$11,"AT")))=0),"n.d.",(IF(OR(COUNTIFS('Consolidation'!$A$6:$A$11,"2026Q2",'Consolidation'!$B$6:$B$11,"AT")&lt;&gt;1,COUNTIFS('Consolidation'!$A$6:$A$11,"2026Q2",'Consolidation'!$B$6:$B$11,"AT",'Consolidation'!$Q$6:$Q$11,"n.d.")&gt;0),"n.d.",SUMIFS('Consolidation'!$Q$6:$Q$11,'Consolidation'!$A$6:$A$11,"2026Q2",'Consolidation'!$B$6:$B$11,"AT")))/(IF(OR(COUNTIFS('Consolidation'!$A$6:$A$11,"2026Q2",'Consolidation'!$B$6:$B$11,"AT")&lt;&gt;1,COUNTIFS('Consolidation'!$A$6:$A$11,"2026Q2",'Consolidation'!$B$6:$B$11,"AT",'Consolidation'!$S$6:$S$11,"n.d.")&gt;0),"n.d.",SUMIFS('Consolidation'!$S$6:$S$11,'Consolidation'!$A$6:$A$11,"2026Q2",'Consolidation'!$B$6:$B$11,"AT"))))</f>
        <v>207.3691666666667</v>
      </c>
      <c r="C86" s="31">
        <f>IF(OR(COUNTIFS('Consolidation'!$A$6:$A$11,"2026Q2",'Consolidation'!$B$6:$B$11,"AT")&lt;&gt;1,COUNTIFS('Consolidation'!$A$6:$A$11,"2026Q2",'Consolidation'!$B$6:$B$11,"AT",'Consolidation'!$X$6:$X$11,"n.d.")&gt;0),"n.d.",SUMIFS('Consolidation'!$X$6:$X$11,'Consolidation'!$A$6:$A$11,"2026Q2",'Consolidation'!$B$6:$B$11,"AT"))</f>
        <v>0.9008720336850898</v>
      </c>
      <c r="D86" s="31">
        <f>IF(OR(COUNTIFS('Consolidation'!$A$6:$A$11,"2026Q2",'Consolidation'!$B$6:$B$11,"AT")&lt;&gt;1,COUNTIFS('Consolidation'!$A$6:$A$11,"2026Q2",'Consolidation'!$B$6:$B$11,"AT",'Consolidation'!$Y$6:$Y$11,"n.d.")&gt;0),"n.d.",SUMIFS('Consolidation'!$Y$6:$Y$11,'Consolidation'!$A$6:$A$11,"2026Q2",'Consolidation'!$B$6:$B$11,"AT"))</f>
        <v>0.7727272727272727</v>
      </c>
      <c r="E86" s="31">
        <f>IF(OR(COUNTIFS('Consolidation'!$A$6:$A$11,"2026Q2",'Consolidation'!$B$6:$B$11,"AT")&lt;&gt;1,COUNTIFS('Consolidation'!$A$6:$A$11,"2026Q2",'Consolidation'!$B$6:$B$11,"AT",'Consolidation'!$M$6:$M$11,"n.d.")&gt;0),"n.d.",SUMIFS('Consolidation'!$M$6:$M$11,'Consolidation'!$A$6:$A$11,"2026Q2",'Consolidation'!$B$6:$B$11,"AT"))</f>
        <v>11992.289999999979</v>
      </c>
      <c r="F86" s="31">
        <f>IF(OR(COUNTIFS('Consolidation'!$A$6:$A$11,"2026Q2",'Consolidation'!$B$6:$B$11,"AT")&lt;&gt;1,COUNTIFS('Consolidation'!$A$6:$A$11,"2026Q2",'Consolidation'!$B$6:$B$11,"AT",'Consolidation'!$N$6:$N$11,"n.d.")&gt;0),"n.d.",SUMIFS('Consolidation'!$N$6:$N$11,'Consolidation'!$A$6:$A$11,"2026Q2",'Consolidation'!$B$6:$B$11,"AT"))</f>
        <v>11992.289999999979</v>
      </c>
    </row>
    <row r="90" spans="1:7">
      <c r="A90" s="28" t="s">
        <v>471</v>
      </c>
    </row>
    <row r="91" spans="1:7" ht="32" customHeight="1">
      <c r="A91" s="30" t="s">
        <v>413</v>
      </c>
      <c r="B91" s="30" t="s">
        <v>451</v>
      </c>
      <c r="C91" s="30" t="s">
        <v>452</v>
      </c>
      <c r="D91" s="30" t="s">
        <v>453</v>
      </c>
      <c r="E91" s="30" t="s">
        <v>454</v>
      </c>
      <c r="F91" s="30" t="s">
        <v>428</v>
      </c>
      <c r="G91" s="30" t="s">
        <v>429</v>
      </c>
    </row>
    <row r="92" spans="1:7">
      <c r="A92" t="s">
        <v>414</v>
      </c>
      <c r="B92" s="31">
        <f>IF(ISNUMBER(IF(OR(SUMPRODUCT(--('Flux'!$A$6:$A$41="2026Q2"),--('Flux'!$B$6:$B$41="IT"),--('Flux'!$E$6:$E$41=DATE(2026,1,1)))=0,SUMPRODUCT(--('Flux'!$A$6:$A$41="2026Q2"),--('Flux'!$B$6:$B$41="IT"),--('Flux'!$E$6:$E$41=DATE(2026,1,1)),--('Flux'!$H$6:$H$41="n.d."))&gt;0),"n.d.",SUMPRODUCT(--('Flux'!$A$6:$A$41="2026Q2"),--('Flux'!$B$6:$B$41="IT"),--('Flux'!$E$6:$E$41=DATE(2026,1,1)),'Flux'!$H$6:$H$41))),(IF(OR(SUMPRODUCT(--('Flux'!$A$6:$A$41="2026Q2"),--('Flux'!$B$6:$B$41="IT"),--('Flux'!$E$6:$E$41=DATE(2026,1,1)))=0,SUMPRODUCT(--('Flux'!$A$6:$A$41="2026Q2"),--('Flux'!$B$6:$B$41="IT"),--('Flux'!$E$6:$E$41=DATE(2026,1,1)),--('Flux'!$H$6:$H$41="n.d."))&gt;0),"n.d.",SUMPRODUCT(--('Flux'!$A$6:$A$41="2026Q2"),--('Flux'!$B$6:$B$41="IT"),--('Flux'!$E$6:$E$41=DATE(2026,1,1)),'Flux'!$H$6:$H$41)))/(IF(OR(COUNTIFS('Consolidation'!$A$6:$A$11,"2026Q2",'Consolidation'!$B$6:$B$11,"IT")&lt;&gt;1,COUNTIFS('Consolidation'!$A$6:$A$11,"2026Q2",'Consolidation'!$B$6:$B$11,"IT",'Consolidation'!$E$6:$E$11,"n.d.")&gt;0),"n.d.",SUMIFS('Consolidation'!$E$6:$E$11,'Consolidation'!$A$6:$A$11,"2026Q2",'Consolidation'!$B$6:$B$11,"IT"))),"n.d.")</f>
        <v>899397.7899999998</v>
      </c>
      <c r="C92" s="31">
        <f>IF(ISNUMBER(IF(OR(SUMPRODUCT(--('Flux'!$A$6:$A$41="2026Q2"),--('Flux'!$B$6:$B$41="IT"),--('Flux'!$E$6:$E$41=DATE(2026,1,1)))=0,SUMPRODUCT(--('Flux'!$A$6:$A$41="2026Q2"),--('Flux'!$B$6:$B$41="IT"),--('Flux'!$E$6:$E$41=DATE(2026,1,1)),--('Flux'!$J$6:$J$41="n.d."))&gt;0),"n.d.",SUMPRODUCT(--('Flux'!$A$6:$A$41="2026Q2"),--('Flux'!$B$6:$B$41="IT"),--('Flux'!$E$6:$E$41=DATE(2026,1,1)),'Flux'!$J$6:$J$41))),(IF(OR(SUMPRODUCT(--('Flux'!$A$6:$A$41="2026Q2"),--('Flux'!$B$6:$B$41="IT"),--('Flux'!$E$6:$E$41=DATE(2026,1,1)))=0,SUMPRODUCT(--('Flux'!$A$6:$A$41="2026Q2"),--('Flux'!$B$6:$B$41="IT"),--('Flux'!$E$6:$E$41=DATE(2026,1,1)),--('Flux'!$J$6:$J$41="n.d."))&gt;0),"n.d.",SUMPRODUCT(--('Flux'!$A$6:$A$41="2026Q2"),--('Flux'!$B$6:$B$41="IT"),--('Flux'!$E$6:$E$41=DATE(2026,1,1)),'Flux'!$J$6:$J$41)))/(IF(OR(COUNTIFS('Consolidation'!$A$6:$A$11,"2026Q2",'Consolidation'!$B$6:$B$11,"IT")&lt;&gt;1,COUNTIFS('Consolidation'!$A$6:$A$11,"2026Q2",'Consolidation'!$B$6:$B$11,"IT",'Consolidation'!$E$6:$E$11,"n.d.")&gt;0),"n.d.",SUMIFS('Consolidation'!$E$6:$E$11,'Consolidation'!$A$6:$A$11,"2026Q2",'Consolidation'!$B$6:$B$11,"IT"))),"n.d.")</f>
        <v>0.0</v>
      </c>
      <c r="D92" s="31">
        <f>IF(ISNUMBER(IF(OR(SUMPRODUCT(--('Flux'!$A$6:$A$41="2026Q2"),--('Flux'!$B$6:$B$41="IT"),--('Flux'!$E$6:$E$41=DATE(2026,1,1)))=0,SUMPRODUCT(--('Flux'!$A$6:$A$41="2026Q2"),--('Flux'!$B$6:$B$41="IT"),--('Flux'!$E$6:$E$41=DATE(2026,1,1)),--('Flux'!$O$6:$O$41="n.d."))&gt;0),"n.d.",SUMPRODUCT(--('Flux'!$A$6:$A$41="2026Q2"),--('Flux'!$B$6:$B$41="IT"),--('Flux'!$E$6:$E$41=DATE(2026,1,1)),'Flux'!$O$6:$O$41))),(IF(OR(SUMPRODUCT(--('Flux'!$A$6:$A$41="2026Q2"),--('Flux'!$B$6:$B$41="IT"),--('Flux'!$E$6:$E$41=DATE(2026,1,1)))=0,SUMPRODUCT(--('Flux'!$A$6:$A$41="2026Q2"),--('Flux'!$B$6:$B$41="IT"),--('Flux'!$E$6:$E$41=DATE(2026,1,1)),--('Flux'!$O$6:$O$41="n.d."))&gt;0),"n.d.",SUMPRODUCT(--('Flux'!$A$6:$A$41="2026Q2"),--('Flux'!$B$6:$B$41="IT"),--('Flux'!$E$6:$E$41=DATE(2026,1,1)),'Flux'!$O$6:$O$41)))/(IF(OR(COUNTIFS('Consolidation'!$A$6:$A$11,"2026Q2",'Consolidation'!$B$6:$B$11,"IT")&lt;&gt;1,COUNTIFS('Consolidation'!$A$6:$A$11,"2026Q2",'Consolidation'!$B$6:$B$11,"IT",'Consolidation'!$E$6:$E$11,"n.d.")&gt;0),"n.d.",SUMIFS('Consolidation'!$E$6:$E$11,'Consolidation'!$A$6:$A$11,"2026Q2",'Consolidation'!$B$6:$B$11,"IT"))),"n.d.")</f>
        <v>14791.980000000098</v>
      </c>
      <c r="E92" s="31">
        <f>IF(ISNUMBER(IF(OR(SUMPRODUCT(--('Flux'!$A$6:$A$41="2026Q2"),--('Flux'!$B$6:$B$41="IT"),--('Flux'!$E$6:$E$41=DATE(2026,1,1)))=0,SUMPRODUCT(--('Flux'!$A$6:$A$41="2026Q2"),--('Flux'!$B$6:$B$41="IT"),--('Flux'!$E$6:$E$41=DATE(2026,1,1)),--('Flux'!$I$6:$I$41="n.d."))&gt;0),"n.d.",SUMPRODUCT(--('Flux'!$A$6:$A$41="2026Q2"),--('Flux'!$B$6:$B$41="IT"),--('Flux'!$E$6:$E$41=DATE(2026,1,1)),'Flux'!$I$6:$I$41))),(IF(OR(SUMPRODUCT(--('Flux'!$A$6:$A$41="2026Q2"),--('Flux'!$B$6:$B$41="IT"),--('Flux'!$E$6:$E$41=DATE(2026,1,1)))=0,SUMPRODUCT(--('Flux'!$A$6:$A$41="2026Q2"),--('Flux'!$B$6:$B$41="IT"),--('Flux'!$E$6:$E$41=DATE(2026,1,1)),--('Flux'!$I$6:$I$41="n.d."))&gt;0),"n.d.",SUMPRODUCT(--('Flux'!$A$6:$A$41="2026Q2"),--('Flux'!$B$6:$B$41="IT"),--('Flux'!$E$6:$E$41=DATE(2026,1,1)),'Flux'!$I$6:$I$41)))/(IF(OR(COUNTIFS('Consolidation'!$A$6:$A$11,"2026Q2",'Consolidation'!$B$6:$B$11,"IT")&lt;&gt;1,COUNTIFS('Consolidation'!$A$6:$A$11,"2026Q2",'Consolidation'!$B$6:$B$11,"IT",'Consolidation'!$E$6:$E$11,"n.d.")&gt;0),"n.d.",SUMIFS('Consolidation'!$E$6:$E$11,'Consolidation'!$A$6:$A$11,"2026Q2",'Consolidation'!$B$6:$B$11,"IT"))),"n.d.")</f>
        <v>32708.299999999985</v>
      </c>
      <c r="F92" s="31">
        <f>IF(OR(SUMPRODUCT(--('Flux'!$A$6:$A$41="2026Q2"),--('Flux'!$B$6:$B$41="IT"),--('Flux'!$E$6:$E$41=DATE(2026,1,1)))=0,SUMPRODUCT(--('Flux'!$A$6:$A$41="2026Q2"),--('Flux'!$B$6:$B$41="IT"),--('Flux'!$E$6:$E$41=DATE(2026,1,1)),--('Flux'!$T$6:$T$41="n.d."))&gt;0),"n.d.",SUMPRODUCT(--('Flux'!$A$6:$A$41="2026Q2"),--('Flux'!$B$6:$B$41="IT"),--('Flux'!$E$6:$E$41=DATE(2026,1,1)),'Flux'!$T$6:$T$41))</f>
        <v>0.9843784875387906</v>
      </c>
      <c r="G92" s="31">
        <f>IF(OR(SUMPRODUCT(--('Flux'!$A$6:$A$41="2026Q2"),--('Flux'!$B$6:$B$41="IT"),--('Flux'!$E$6:$E$41=DATE(2026,1,1)))=0,SUMPRODUCT(--('Flux'!$A$6:$A$41="2026Q2"),--('Flux'!$B$6:$B$41="IT"),--('Flux'!$E$6:$E$41=DATE(2026,1,1)),--('Flux'!$U$6:$U$41="n.d."))&gt;0),"n.d.",SUMPRODUCT(--('Flux'!$A$6:$A$41="2026Q2"),--('Flux'!$B$6:$B$41="IT"),--('Flux'!$E$6:$E$41=DATE(2026,1,1)),'Flux'!$U$6:$U$41))</f>
        <v>0.9484958979033729</v>
      </c>
    </row>
    <row r="93" spans="1:7">
      <c r="A93" t="s">
        <v>415</v>
      </c>
      <c r="B93" s="31">
        <f>IF(ISNUMBER(IF(OR(SUMPRODUCT(--('Flux'!$A$6:$A$41="2026Q2"),--('Flux'!$B$6:$B$41="IT"),--('Flux'!$E$6:$E$41=DATE(2026,2,1)))=0,SUMPRODUCT(--('Flux'!$A$6:$A$41="2026Q2"),--('Flux'!$B$6:$B$41="IT"),--('Flux'!$E$6:$E$41=DATE(2026,2,1)),--('Flux'!$H$6:$H$41="n.d."))&gt;0),"n.d.",SUMPRODUCT(--('Flux'!$A$6:$A$41="2026Q2"),--('Flux'!$B$6:$B$41="IT"),--('Flux'!$E$6:$E$41=DATE(2026,2,1)),'Flux'!$H$6:$H$41))),(IF(OR(SUMPRODUCT(--('Flux'!$A$6:$A$41="2026Q2"),--('Flux'!$B$6:$B$41="IT"),--('Flux'!$E$6:$E$41=DATE(2026,2,1)))=0,SUMPRODUCT(--('Flux'!$A$6:$A$41="2026Q2"),--('Flux'!$B$6:$B$41="IT"),--('Flux'!$E$6:$E$41=DATE(2026,2,1)),--('Flux'!$H$6:$H$41="n.d."))&gt;0),"n.d.",SUMPRODUCT(--('Flux'!$A$6:$A$41="2026Q2"),--('Flux'!$B$6:$B$41="IT"),--('Flux'!$E$6:$E$41=DATE(2026,2,1)),'Flux'!$H$6:$H$41)))/(IF(OR(COUNTIFS('Consolidation'!$A$6:$A$11,"2026Q2",'Consolidation'!$B$6:$B$11,"IT")&lt;&gt;1,COUNTIFS('Consolidation'!$A$6:$A$11,"2026Q2",'Consolidation'!$B$6:$B$11,"IT",'Consolidation'!$E$6:$E$11,"n.d.")&gt;0),"n.d.",SUMIFS('Consolidation'!$E$6:$E$11,'Consolidation'!$A$6:$A$11,"2026Q2",'Consolidation'!$B$6:$B$11,"IT"))),"n.d.")</f>
        <v>908740.9000000001</v>
      </c>
      <c r="C93" s="31">
        <f>IF(ISNUMBER(IF(OR(SUMPRODUCT(--('Flux'!$A$6:$A$41="2026Q2"),--('Flux'!$B$6:$B$41="IT"),--('Flux'!$E$6:$E$41=DATE(2026,2,1)))=0,SUMPRODUCT(--('Flux'!$A$6:$A$41="2026Q2"),--('Flux'!$B$6:$B$41="IT"),--('Flux'!$E$6:$E$41=DATE(2026,2,1)),--('Flux'!$J$6:$J$41="n.d."))&gt;0),"n.d.",SUMPRODUCT(--('Flux'!$A$6:$A$41="2026Q2"),--('Flux'!$B$6:$B$41="IT"),--('Flux'!$E$6:$E$41=DATE(2026,2,1)),'Flux'!$J$6:$J$41))),(IF(OR(SUMPRODUCT(--('Flux'!$A$6:$A$41="2026Q2"),--('Flux'!$B$6:$B$41="IT"),--('Flux'!$E$6:$E$41=DATE(2026,2,1)))=0,SUMPRODUCT(--('Flux'!$A$6:$A$41="2026Q2"),--('Flux'!$B$6:$B$41="IT"),--('Flux'!$E$6:$E$41=DATE(2026,2,1)),--('Flux'!$J$6:$J$41="n.d."))&gt;0),"n.d.",SUMPRODUCT(--('Flux'!$A$6:$A$41="2026Q2"),--('Flux'!$B$6:$B$41="IT"),--('Flux'!$E$6:$E$41=DATE(2026,2,1)),'Flux'!$J$6:$J$41)))/(IF(OR(COUNTIFS('Consolidation'!$A$6:$A$11,"2026Q2",'Consolidation'!$B$6:$B$11,"IT")&lt;&gt;1,COUNTIFS('Consolidation'!$A$6:$A$11,"2026Q2",'Consolidation'!$B$6:$B$11,"IT",'Consolidation'!$E$6:$E$11,"n.d.")&gt;0),"n.d.",SUMIFS('Consolidation'!$E$6:$E$11,'Consolidation'!$A$6:$A$11,"2026Q2",'Consolidation'!$B$6:$B$11,"IT"))),"n.d.")</f>
        <v>0.0</v>
      </c>
      <c r="D93" s="31">
        <f>IF(ISNUMBER(IF(OR(SUMPRODUCT(--('Flux'!$A$6:$A$41="2026Q2"),--('Flux'!$B$6:$B$41="IT"),--('Flux'!$E$6:$E$41=DATE(2026,2,1)))=0,SUMPRODUCT(--('Flux'!$A$6:$A$41="2026Q2"),--('Flux'!$B$6:$B$41="IT"),--('Flux'!$E$6:$E$41=DATE(2026,2,1)),--('Flux'!$O$6:$O$41="n.d."))&gt;0),"n.d.",SUMPRODUCT(--('Flux'!$A$6:$A$41="2026Q2"),--('Flux'!$B$6:$B$41="IT"),--('Flux'!$E$6:$E$41=DATE(2026,2,1)),'Flux'!$O$6:$O$41))),(IF(OR(SUMPRODUCT(--('Flux'!$A$6:$A$41="2026Q2"),--('Flux'!$B$6:$B$41="IT"),--('Flux'!$E$6:$E$41=DATE(2026,2,1)))=0,SUMPRODUCT(--('Flux'!$A$6:$A$41="2026Q2"),--('Flux'!$B$6:$B$41="IT"),--('Flux'!$E$6:$E$41=DATE(2026,2,1)),--('Flux'!$O$6:$O$41="n.d."))&gt;0),"n.d.",SUMPRODUCT(--('Flux'!$A$6:$A$41="2026Q2"),--('Flux'!$B$6:$B$41="IT"),--('Flux'!$E$6:$E$41=DATE(2026,2,1)),'Flux'!$O$6:$O$41)))/(IF(OR(COUNTIFS('Consolidation'!$A$6:$A$11,"2026Q2",'Consolidation'!$B$6:$B$11,"IT")&lt;&gt;1,COUNTIFS('Consolidation'!$A$6:$A$11,"2026Q2",'Consolidation'!$B$6:$B$11,"IT",'Consolidation'!$E$6:$E$11,"n.d.")&gt;0),"n.d.",SUMIFS('Consolidation'!$E$6:$E$11,'Consolidation'!$A$6:$A$11,"2026Q2",'Consolidation'!$B$6:$B$11,"IT"))),"n.d.")</f>
        <v>17314.70000000007</v>
      </c>
      <c r="E93" s="31">
        <f>IF(ISNUMBER(IF(OR(SUMPRODUCT(--('Flux'!$A$6:$A$41="2026Q2"),--('Flux'!$B$6:$B$41="IT"),--('Flux'!$E$6:$E$41=DATE(2026,2,1)))=0,SUMPRODUCT(--('Flux'!$A$6:$A$41="2026Q2"),--('Flux'!$B$6:$B$41="IT"),--('Flux'!$E$6:$E$41=DATE(2026,2,1)),--('Flux'!$I$6:$I$41="n.d."))&gt;0),"n.d.",SUMPRODUCT(--('Flux'!$A$6:$A$41="2026Q2"),--('Flux'!$B$6:$B$41="IT"),--('Flux'!$E$6:$E$41=DATE(2026,2,1)),'Flux'!$I$6:$I$41))),(IF(OR(SUMPRODUCT(--('Flux'!$A$6:$A$41="2026Q2"),--('Flux'!$B$6:$B$41="IT"),--('Flux'!$E$6:$E$41=DATE(2026,2,1)))=0,SUMPRODUCT(--('Flux'!$A$6:$A$41="2026Q2"),--('Flux'!$B$6:$B$41="IT"),--('Flux'!$E$6:$E$41=DATE(2026,2,1)),--('Flux'!$I$6:$I$41="n.d."))&gt;0),"n.d.",SUMPRODUCT(--('Flux'!$A$6:$A$41="2026Q2"),--('Flux'!$B$6:$B$41="IT"),--('Flux'!$E$6:$E$41=DATE(2026,2,1)),'Flux'!$I$6:$I$41)))/(IF(OR(COUNTIFS('Consolidation'!$A$6:$A$11,"2026Q2",'Consolidation'!$B$6:$B$11,"IT")&lt;&gt;1,COUNTIFS('Consolidation'!$A$6:$A$11,"2026Q2",'Consolidation'!$B$6:$B$11,"IT",'Consolidation'!$E$6:$E$11,"n.d.")&gt;0),"n.d.",SUMIFS('Consolidation'!$E$6:$E$11,'Consolidation'!$A$6:$A$11,"2026Q2",'Consolidation'!$B$6:$B$11,"IT"))),"n.d.")</f>
        <v>25496.34</v>
      </c>
      <c r="F93" s="31">
        <f>IF(OR(SUMPRODUCT(--('Flux'!$A$6:$A$41="2026Q2"),--('Flux'!$B$6:$B$41="IT"),--('Flux'!$E$6:$E$41=DATE(2026,2,1)))=0,SUMPRODUCT(--('Flux'!$A$6:$A$41="2026Q2"),--('Flux'!$B$6:$B$41="IT"),--('Flux'!$E$6:$E$41=DATE(2026,2,1)),--('Flux'!$T$6:$T$41="n.d."))&gt;0),"n.d.",SUMPRODUCT(--('Flux'!$A$6:$A$41="2026Q2"),--('Flux'!$B$6:$B$41="IT"),--('Flux'!$E$6:$E$41=DATE(2026,2,1)),'Flux'!$T$6:$T$41))</f>
        <v>0.9818037258165854</v>
      </c>
      <c r="G93" s="31">
        <f>IF(OR(SUMPRODUCT(--('Flux'!$A$6:$A$41="2026Q2"),--('Flux'!$B$6:$B$41="IT"),--('Flux'!$E$6:$E$41=DATE(2026,2,1)))=0,SUMPRODUCT(--('Flux'!$A$6:$A$41="2026Q2"),--('Flux'!$B$6:$B$41="IT"),--('Flux'!$E$6:$E$41=DATE(2026,2,1)),--('Flux'!$U$6:$U$41="n.d."))&gt;0),"n.d.",SUMPRODUCT(--('Flux'!$A$6:$A$41="2026Q2"),--('Flux'!$B$6:$B$41="IT"),--('Flux'!$E$6:$E$41=DATE(2026,2,1)),'Flux'!$U$6:$U$41))</f>
        <v>0.9019144410304892</v>
      </c>
    </row>
    <row r="94" spans="1:7">
      <c r="A94" t="s">
        <v>416</v>
      </c>
      <c r="B94" s="31">
        <f>IF(ISNUMBER(IF(OR(SUMPRODUCT(--('Flux'!$A$6:$A$41="2026Q2"),--('Flux'!$B$6:$B$41="IT"),--('Flux'!$E$6:$E$41=DATE(2026,3,1)))=0,SUMPRODUCT(--('Flux'!$A$6:$A$41="2026Q2"),--('Flux'!$B$6:$B$41="IT"),--('Flux'!$E$6:$E$41=DATE(2026,3,1)),--('Flux'!$H$6:$H$41="n.d."))&gt;0),"n.d.",SUMPRODUCT(--('Flux'!$A$6:$A$41="2026Q2"),--('Flux'!$B$6:$B$41="IT"),--('Flux'!$E$6:$E$41=DATE(2026,3,1)),'Flux'!$H$6:$H$41))),(IF(OR(SUMPRODUCT(--('Flux'!$A$6:$A$41="2026Q2"),--('Flux'!$B$6:$B$41="IT"),--('Flux'!$E$6:$E$41=DATE(2026,3,1)))=0,SUMPRODUCT(--('Flux'!$A$6:$A$41="2026Q2"),--('Flux'!$B$6:$B$41="IT"),--('Flux'!$E$6:$E$41=DATE(2026,3,1)),--('Flux'!$H$6:$H$41="n.d."))&gt;0),"n.d.",SUMPRODUCT(--('Flux'!$A$6:$A$41="2026Q2"),--('Flux'!$B$6:$B$41="IT"),--('Flux'!$E$6:$E$41=DATE(2026,3,1)),'Flux'!$H$6:$H$41)))/(IF(OR(COUNTIFS('Consolidation'!$A$6:$A$11,"2026Q2",'Consolidation'!$B$6:$B$11,"IT")&lt;&gt;1,COUNTIFS('Consolidation'!$A$6:$A$11,"2026Q2",'Consolidation'!$B$6:$B$11,"IT",'Consolidation'!$E$6:$E$11,"n.d.")&gt;0),"n.d.",SUMIFS('Consolidation'!$E$6:$E$11,'Consolidation'!$A$6:$A$11,"2026Q2",'Consolidation'!$B$6:$B$11,"IT"))),"n.d.")</f>
        <v>1127452.7600000005</v>
      </c>
      <c r="C94" s="31">
        <f>IF(ISNUMBER(IF(OR(SUMPRODUCT(--('Flux'!$A$6:$A$41="2026Q2"),--('Flux'!$B$6:$B$41="IT"),--('Flux'!$E$6:$E$41=DATE(2026,3,1)))=0,SUMPRODUCT(--('Flux'!$A$6:$A$41="2026Q2"),--('Flux'!$B$6:$B$41="IT"),--('Flux'!$E$6:$E$41=DATE(2026,3,1)),--('Flux'!$J$6:$J$41="n.d."))&gt;0),"n.d.",SUMPRODUCT(--('Flux'!$A$6:$A$41="2026Q2"),--('Flux'!$B$6:$B$41="IT"),--('Flux'!$E$6:$E$41=DATE(2026,3,1)),'Flux'!$J$6:$J$41))),(IF(OR(SUMPRODUCT(--('Flux'!$A$6:$A$41="2026Q2"),--('Flux'!$B$6:$B$41="IT"),--('Flux'!$E$6:$E$41=DATE(2026,3,1)))=0,SUMPRODUCT(--('Flux'!$A$6:$A$41="2026Q2"),--('Flux'!$B$6:$B$41="IT"),--('Flux'!$E$6:$E$41=DATE(2026,3,1)),--('Flux'!$J$6:$J$41="n.d."))&gt;0),"n.d.",SUMPRODUCT(--('Flux'!$A$6:$A$41="2026Q2"),--('Flux'!$B$6:$B$41="IT"),--('Flux'!$E$6:$E$41=DATE(2026,3,1)),'Flux'!$J$6:$J$41)))/(IF(OR(COUNTIFS('Consolidation'!$A$6:$A$11,"2026Q2",'Consolidation'!$B$6:$B$11,"IT")&lt;&gt;1,COUNTIFS('Consolidation'!$A$6:$A$11,"2026Q2",'Consolidation'!$B$6:$B$11,"IT",'Consolidation'!$E$6:$E$11,"n.d.")&gt;0),"n.d.",SUMIFS('Consolidation'!$E$6:$E$11,'Consolidation'!$A$6:$A$11,"2026Q2",'Consolidation'!$B$6:$B$11,"IT"))),"n.d.")</f>
        <v>0.0</v>
      </c>
      <c r="D94" s="31">
        <f>IF(ISNUMBER(IF(OR(SUMPRODUCT(--('Flux'!$A$6:$A$41="2026Q2"),--('Flux'!$B$6:$B$41="IT"),--('Flux'!$E$6:$E$41=DATE(2026,3,1)))=0,SUMPRODUCT(--('Flux'!$A$6:$A$41="2026Q2"),--('Flux'!$B$6:$B$41="IT"),--('Flux'!$E$6:$E$41=DATE(2026,3,1)),--('Flux'!$O$6:$O$41="n.d."))&gt;0),"n.d.",SUMPRODUCT(--('Flux'!$A$6:$A$41="2026Q2"),--('Flux'!$B$6:$B$41="IT"),--('Flux'!$E$6:$E$41=DATE(2026,3,1)),'Flux'!$O$6:$O$41))),(IF(OR(SUMPRODUCT(--('Flux'!$A$6:$A$41="2026Q2"),--('Flux'!$B$6:$B$41="IT"),--('Flux'!$E$6:$E$41=DATE(2026,3,1)))=0,SUMPRODUCT(--('Flux'!$A$6:$A$41="2026Q2"),--('Flux'!$B$6:$B$41="IT"),--('Flux'!$E$6:$E$41=DATE(2026,3,1)),--('Flux'!$O$6:$O$41="n.d."))&gt;0),"n.d.",SUMPRODUCT(--('Flux'!$A$6:$A$41="2026Q2"),--('Flux'!$B$6:$B$41="IT"),--('Flux'!$E$6:$E$41=DATE(2026,3,1)),'Flux'!$O$6:$O$41)))/(IF(OR(COUNTIFS('Consolidation'!$A$6:$A$11,"2026Q2",'Consolidation'!$B$6:$B$11,"IT")&lt;&gt;1,COUNTIFS('Consolidation'!$A$6:$A$11,"2026Q2",'Consolidation'!$B$6:$B$11,"IT",'Consolidation'!$E$6:$E$11,"n.d.")&gt;0),"n.d.",SUMIFS('Consolidation'!$E$6:$E$11,'Consolidation'!$A$6:$A$11,"2026Q2",'Consolidation'!$B$6:$B$11,"IT"))),"n.d.")</f>
        <v>20735.889999999898</v>
      </c>
      <c r="E94" s="31">
        <f>IF(ISNUMBER(IF(OR(SUMPRODUCT(--('Flux'!$A$6:$A$41="2026Q2"),--('Flux'!$B$6:$B$41="IT"),--('Flux'!$E$6:$E$41=DATE(2026,3,1)))=0,SUMPRODUCT(--('Flux'!$A$6:$A$41="2026Q2"),--('Flux'!$B$6:$B$41="IT"),--('Flux'!$E$6:$E$41=DATE(2026,3,1)),--('Flux'!$I$6:$I$41="n.d."))&gt;0),"n.d.",SUMPRODUCT(--('Flux'!$A$6:$A$41="2026Q2"),--('Flux'!$B$6:$B$41="IT"),--('Flux'!$E$6:$E$41=DATE(2026,3,1)),'Flux'!$I$6:$I$41))),(IF(OR(SUMPRODUCT(--('Flux'!$A$6:$A$41="2026Q2"),--('Flux'!$B$6:$B$41="IT"),--('Flux'!$E$6:$E$41=DATE(2026,3,1)))=0,SUMPRODUCT(--('Flux'!$A$6:$A$41="2026Q2"),--('Flux'!$B$6:$B$41="IT"),--('Flux'!$E$6:$E$41=DATE(2026,3,1)),--('Flux'!$I$6:$I$41="n.d."))&gt;0),"n.d.",SUMPRODUCT(--('Flux'!$A$6:$A$41="2026Q2"),--('Flux'!$B$6:$B$41="IT"),--('Flux'!$E$6:$E$41=DATE(2026,3,1)),'Flux'!$I$6:$I$41)))/(IF(OR(COUNTIFS('Consolidation'!$A$6:$A$11,"2026Q2",'Consolidation'!$B$6:$B$11,"IT")&lt;&gt;1,COUNTIFS('Consolidation'!$A$6:$A$11,"2026Q2",'Consolidation'!$B$6:$B$11,"IT",'Consolidation'!$E$6:$E$11,"n.d.")&gt;0),"n.d.",SUMIFS('Consolidation'!$E$6:$E$11,'Consolidation'!$A$6:$A$11,"2026Q2",'Consolidation'!$B$6:$B$11,"IT"))),"n.d.")</f>
        <v>29571.980000000018</v>
      </c>
      <c r="F94" s="31">
        <f>IF(OR(SUMPRODUCT(--('Flux'!$A$6:$A$41="2026Q2"),--('Flux'!$B$6:$B$41="IT"),--('Flux'!$E$6:$E$41=DATE(2026,3,1)))=0,SUMPRODUCT(--('Flux'!$A$6:$A$41="2026Q2"),--('Flux'!$B$6:$B$41="IT"),--('Flux'!$E$6:$E$41=DATE(2026,3,1)),--('Flux'!$T$6:$T$41="n.d."))&gt;0),"n.d.",SUMPRODUCT(--('Flux'!$A$6:$A$41="2026Q2"),--('Flux'!$B$6:$B$41="IT"),--('Flux'!$E$6:$E$41=DATE(2026,3,1)),'Flux'!$T$6:$T$41))</f>
        <v>0.9823937993240613</v>
      </c>
      <c r="G94" s="31">
        <f>IF(OR(SUMPRODUCT(--('Flux'!$A$6:$A$41="2026Q2"),--('Flux'!$B$6:$B$41="IT"),--('Flux'!$E$6:$E$41=DATE(2026,3,1)))=0,SUMPRODUCT(--('Flux'!$A$6:$A$41="2026Q2"),--('Flux'!$B$6:$B$41="IT"),--('Flux'!$E$6:$E$41=DATE(2026,3,1)),--('Flux'!$U$6:$U$41="n.d."))&gt;0),"n.d.",SUMPRODUCT(--('Flux'!$A$6:$A$41="2026Q2"),--('Flux'!$B$6:$B$41="IT"),--('Flux'!$E$6:$E$41=DATE(2026,3,1)),'Flux'!$U$6:$U$41))</f>
        <v>0.9342162396873643</v>
      </c>
    </row>
    <row r="95" spans="1:7">
      <c r="A95" t="s">
        <v>417</v>
      </c>
      <c r="B95" s="31">
        <f>IF(ISNUMBER(IF(OR(SUMPRODUCT(--('Flux'!$A$6:$A$41="2026Q2"),--('Flux'!$B$6:$B$41="IT"),--('Flux'!$E$6:$E$41=DATE(2026,4,1)))=0,SUMPRODUCT(--('Flux'!$A$6:$A$41="2026Q2"),--('Flux'!$B$6:$B$41="IT"),--('Flux'!$E$6:$E$41=DATE(2026,4,1)),--('Flux'!$H$6:$H$41="n.d."))&gt;0),"n.d.",SUMPRODUCT(--('Flux'!$A$6:$A$41="2026Q2"),--('Flux'!$B$6:$B$41="IT"),--('Flux'!$E$6:$E$41=DATE(2026,4,1)),'Flux'!$H$6:$H$41))),(IF(OR(SUMPRODUCT(--('Flux'!$A$6:$A$41="2026Q2"),--('Flux'!$B$6:$B$41="IT"),--('Flux'!$E$6:$E$41=DATE(2026,4,1)))=0,SUMPRODUCT(--('Flux'!$A$6:$A$41="2026Q2"),--('Flux'!$B$6:$B$41="IT"),--('Flux'!$E$6:$E$41=DATE(2026,4,1)),--('Flux'!$H$6:$H$41="n.d."))&gt;0),"n.d.",SUMPRODUCT(--('Flux'!$A$6:$A$41="2026Q2"),--('Flux'!$B$6:$B$41="IT"),--('Flux'!$E$6:$E$41=DATE(2026,4,1)),'Flux'!$H$6:$H$41)))/(IF(OR(COUNTIFS('Consolidation'!$A$6:$A$11,"2026Q2",'Consolidation'!$B$6:$B$11,"IT")&lt;&gt;1,COUNTIFS('Consolidation'!$A$6:$A$11,"2026Q2",'Consolidation'!$B$6:$B$11,"IT",'Consolidation'!$E$6:$E$11,"n.d.")&gt;0),"n.d.",SUMIFS('Consolidation'!$E$6:$E$11,'Consolidation'!$A$6:$A$11,"2026Q2",'Consolidation'!$B$6:$B$11,"IT"))),"n.d.")</f>
        <v>1134296.3900000004</v>
      </c>
      <c r="C95" s="31">
        <f>IF(ISNUMBER(IF(OR(SUMPRODUCT(--('Flux'!$A$6:$A$41="2026Q2"),--('Flux'!$B$6:$B$41="IT"),--('Flux'!$E$6:$E$41=DATE(2026,4,1)))=0,SUMPRODUCT(--('Flux'!$A$6:$A$41="2026Q2"),--('Flux'!$B$6:$B$41="IT"),--('Flux'!$E$6:$E$41=DATE(2026,4,1)),--('Flux'!$J$6:$J$41="n.d."))&gt;0),"n.d.",SUMPRODUCT(--('Flux'!$A$6:$A$41="2026Q2"),--('Flux'!$B$6:$B$41="IT"),--('Flux'!$E$6:$E$41=DATE(2026,4,1)),'Flux'!$J$6:$J$41))),(IF(OR(SUMPRODUCT(--('Flux'!$A$6:$A$41="2026Q2"),--('Flux'!$B$6:$B$41="IT"),--('Flux'!$E$6:$E$41=DATE(2026,4,1)))=0,SUMPRODUCT(--('Flux'!$A$6:$A$41="2026Q2"),--('Flux'!$B$6:$B$41="IT"),--('Flux'!$E$6:$E$41=DATE(2026,4,1)),--('Flux'!$J$6:$J$41="n.d."))&gt;0),"n.d.",SUMPRODUCT(--('Flux'!$A$6:$A$41="2026Q2"),--('Flux'!$B$6:$B$41="IT"),--('Flux'!$E$6:$E$41=DATE(2026,4,1)),'Flux'!$J$6:$J$41)))/(IF(OR(COUNTIFS('Consolidation'!$A$6:$A$11,"2026Q2",'Consolidation'!$B$6:$B$11,"IT")&lt;&gt;1,COUNTIFS('Consolidation'!$A$6:$A$11,"2026Q2",'Consolidation'!$B$6:$B$11,"IT",'Consolidation'!$E$6:$E$11,"n.d.")&gt;0),"n.d.",SUMIFS('Consolidation'!$E$6:$E$11,'Consolidation'!$A$6:$A$11,"2026Q2",'Consolidation'!$B$6:$B$11,"IT"))),"n.d.")</f>
        <v>0.0</v>
      </c>
      <c r="D95" s="31">
        <f>IF(ISNUMBER(IF(OR(SUMPRODUCT(--('Flux'!$A$6:$A$41="2026Q2"),--('Flux'!$B$6:$B$41="IT"),--('Flux'!$E$6:$E$41=DATE(2026,4,1)))=0,SUMPRODUCT(--('Flux'!$A$6:$A$41="2026Q2"),--('Flux'!$B$6:$B$41="IT"),--('Flux'!$E$6:$E$41=DATE(2026,4,1)),--('Flux'!$O$6:$O$41="n.d."))&gt;0),"n.d.",SUMPRODUCT(--('Flux'!$A$6:$A$41="2026Q2"),--('Flux'!$B$6:$B$41="IT"),--('Flux'!$E$6:$E$41=DATE(2026,4,1)),'Flux'!$O$6:$O$41))),(IF(OR(SUMPRODUCT(--('Flux'!$A$6:$A$41="2026Q2"),--('Flux'!$B$6:$B$41="IT"),--('Flux'!$E$6:$E$41=DATE(2026,4,1)))=0,SUMPRODUCT(--('Flux'!$A$6:$A$41="2026Q2"),--('Flux'!$B$6:$B$41="IT"),--('Flux'!$E$6:$E$41=DATE(2026,4,1)),--('Flux'!$O$6:$O$41="n.d."))&gt;0),"n.d.",SUMPRODUCT(--('Flux'!$A$6:$A$41="2026Q2"),--('Flux'!$B$6:$B$41="IT"),--('Flux'!$E$6:$E$41=DATE(2026,4,1)),'Flux'!$O$6:$O$41)))/(IF(OR(COUNTIFS('Consolidation'!$A$6:$A$11,"2026Q2",'Consolidation'!$B$6:$B$11,"IT")&lt;&gt;1,COUNTIFS('Consolidation'!$A$6:$A$11,"2026Q2",'Consolidation'!$B$6:$B$11,"IT",'Consolidation'!$E$6:$E$11,"n.d.")&gt;0),"n.d.",SUMIFS('Consolidation'!$E$6:$E$11,'Consolidation'!$A$6:$A$11,"2026Q2",'Consolidation'!$B$6:$B$11,"IT"))),"n.d.")</f>
        <v>38436.84999999986</v>
      </c>
      <c r="E95" s="31">
        <f>IF(ISNUMBER(IF(OR(SUMPRODUCT(--('Flux'!$A$6:$A$41="2026Q2"),--('Flux'!$B$6:$B$41="IT"),--('Flux'!$E$6:$E$41=DATE(2026,4,1)))=0,SUMPRODUCT(--('Flux'!$A$6:$A$41="2026Q2"),--('Flux'!$B$6:$B$41="IT"),--('Flux'!$E$6:$E$41=DATE(2026,4,1)),--('Flux'!$I$6:$I$41="n.d."))&gt;0),"n.d.",SUMPRODUCT(--('Flux'!$A$6:$A$41="2026Q2"),--('Flux'!$B$6:$B$41="IT"),--('Flux'!$E$6:$E$41=DATE(2026,4,1)),'Flux'!$I$6:$I$41))),(IF(OR(SUMPRODUCT(--('Flux'!$A$6:$A$41="2026Q2"),--('Flux'!$B$6:$B$41="IT"),--('Flux'!$E$6:$E$41=DATE(2026,4,1)))=0,SUMPRODUCT(--('Flux'!$A$6:$A$41="2026Q2"),--('Flux'!$B$6:$B$41="IT"),--('Flux'!$E$6:$E$41=DATE(2026,4,1)),--('Flux'!$I$6:$I$41="n.d."))&gt;0),"n.d.",SUMPRODUCT(--('Flux'!$A$6:$A$41="2026Q2"),--('Flux'!$B$6:$B$41="IT"),--('Flux'!$E$6:$E$41=DATE(2026,4,1)),'Flux'!$I$6:$I$41)))/(IF(OR(COUNTIFS('Consolidation'!$A$6:$A$11,"2026Q2",'Consolidation'!$B$6:$B$11,"IT")&lt;&gt;1,COUNTIFS('Consolidation'!$A$6:$A$11,"2026Q2",'Consolidation'!$B$6:$B$11,"IT",'Consolidation'!$E$6:$E$11,"n.d.")&gt;0),"n.d.",SUMIFS('Consolidation'!$E$6:$E$11,'Consolidation'!$A$6:$A$11,"2026Q2",'Consolidation'!$B$6:$B$11,"IT"))),"n.d.")</f>
        <v>26470.519999999997</v>
      </c>
      <c r="F95" s="31">
        <f>IF(OR(SUMPRODUCT(--('Flux'!$A$6:$A$41="2026Q2"),--('Flux'!$B$6:$B$41="IT"),--('Flux'!$E$6:$E$41=DATE(2026,4,1)))=0,SUMPRODUCT(--('Flux'!$A$6:$A$41="2026Q2"),--('Flux'!$B$6:$B$41="IT"),--('Flux'!$E$6:$E$41=DATE(2026,4,1)),--('Flux'!$T$6:$T$41="n.d."))&gt;0),"n.d.",SUMPRODUCT(--('Flux'!$A$6:$A$41="2026Q2"),--('Flux'!$B$6:$B$41="IT"),--('Flux'!$E$6:$E$41=DATE(2026,4,1)),'Flux'!$T$6:$T$41))</f>
        <v>0.9679480241122661</v>
      </c>
      <c r="G95" s="31">
        <f>IF(OR(SUMPRODUCT(--('Flux'!$A$6:$A$41="2026Q2"),--('Flux'!$B$6:$B$41="IT"),--('Flux'!$E$6:$E$41=DATE(2026,4,1)))=0,SUMPRODUCT(--('Flux'!$A$6:$A$41="2026Q2"),--('Flux'!$B$6:$B$41="IT"),--('Flux'!$E$6:$E$41=DATE(2026,4,1)),--('Flux'!$U$6:$U$41="n.d."))&gt;0),"n.d.",SUMPRODUCT(--('Flux'!$A$6:$A$41="2026Q2"),--('Flux'!$B$6:$B$41="IT"),--('Flux'!$E$6:$E$41=DATE(2026,4,1)),'Flux'!$U$6:$U$41))</f>
        <v>0.9315645399031375</v>
      </c>
    </row>
    <row r="96" spans="1:7">
      <c r="A96" t="s">
        <v>418</v>
      </c>
      <c r="B96" s="31">
        <f>IF(ISNUMBER(IF(OR(SUMPRODUCT(--('Flux'!$A$6:$A$41="2026Q2"),--('Flux'!$B$6:$B$41="IT"),--('Flux'!$E$6:$E$41=DATE(2026,5,1)))=0,SUMPRODUCT(--('Flux'!$A$6:$A$41="2026Q2"),--('Flux'!$B$6:$B$41="IT"),--('Flux'!$E$6:$E$41=DATE(2026,5,1)),--('Flux'!$H$6:$H$41="n.d."))&gt;0),"n.d.",SUMPRODUCT(--('Flux'!$A$6:$A$41="2026Q2"),--('Flux'!$B$6:$B$41="IT"),--('Flux'!$E$6:$E$41=DATE(2026,5,1)),'Flux'!$H$6:$H$41))),(IF(OR(SUMPRODUCT(--('Flux'!$A$6:$A$41="2026Q2"),--('Flux'!$B$6:$B$41="IT"),--('Flux'!$E$6:$E$41=DATE(2026,5,1)))=0,SUMPRODUCT(--('Flux'!$A$6:$A$41="2026Q2"),--('Flux'!$B$6:$B$41="IT"),--('Flux'!$E$6:$E$41=DATE(2026,5,1)),--('Flux'!$H$6:$H$41="n.d."))&gt;0),"n.d.",SUMPRODUCT(--('Flux'!$A$6:$A$41="2026Q2"),--('Flux'!$B$6:$B$41="IT"),--('Flux'!$E$6:$E$41=DATE(2026,5,1)),'Flux'!$H$6:$H$41)))/(IF(OR(COUNTIFS('Consolidation'!$A$6:$A$11,"2026Q2",'Consolidation'!$B$6:$B$11,"IT")&lt;&gt;1,COUNTIFS('Consolidation'!$A$6:$A$11,"2026Q2",'Consolidation'!$B$6:$B$11,"IT",'Consolidation'!$E$6:$E$11,"n.d.")&gt;0),"n.d.",SUMIFS('Consolidation'!$E$6:$E$11,'Consolidation'!$A$6:$A$11,"2026Q2",'Consolidation'!$B$6:$B$11,"IT"))),"n.d.")</f>
        <v>1245540.6599999997</v>
      </c>
      <c r="C96" s="31">
        <f>IF(ISNUMBER(IF(OR(SUMPRODUCT(--('Flux'!$A$6:$A$41="2026Q2"),--('Flux'!$B$6:$B$41="IT"),--('Flux'!$E$6:$E$41=DATE(2026,5,1)))=0,SUMPRODUCT(--('Flux'!$A$6:$A$41="2026Q2"),--('Flux'!$B$6:$B$41="IT"),--('Flux'!$E$6:$E$41=DATE(2026,5,1)),--('Flux'!$J$6:$J$41="n.d."))&gt;0),"n.d.",SUMPRODUCT(--('Flux'!$A$6:$A$41="2026Q2"),--('Flux'!$B$6:$B$41="IT"),--('Flux'!$E$6:$E$41=DATE(2026,5,1)),'Flux'!$J$6:$J$41))),(IF(OR(SUMPRODUCT(--('Flux'!$A$6:$A$41="2026Q2"),--('Flux'!$B$6:$B$41="IT"),--('Flux'!$E$6:$E$41=DATE(2026,5,1)))=0,SUMPRODUCT(--('Flux'!$A$6:$A$41="2026Q2"),--('Flux'!$B$6:$B$41="IT"),--('Flux'!$E$6:$E$41=DATE(2026,5,1)),--('Flux'!$J$6:$J$41="n.d."))&gt;0),"n.d.",SUMPRODUCT(--('Flux'!$A$6:$A$41="2026Q2"),--('Flux'!$B$6:$B$41="IT"),--('Flux'!$E$6:$E$41=DATE(2026,5,1)),'Flux'!$J$6:$J$41)))/(IF(OR(COUNTIFS('Consolidation'!$A$6:$A$11,"2026Q2",'Consolidation'!$B$6:$B$11,"IT")&lt;&gt;1,COUNTIFS('Consolidation'!$A$6:$A$11,"2026Q2",'Consolidation'!$B$6:$B$11,"IT",'Consolidation'!$E$6:$E$11,"n.d.")&gt;0),"n.d.",SUMIFS('Consolidation'!$E$6:$E$11,'Consolidation'!$A$6:$A$11,"2026Q2",'Consolidation'!$B$6:$B$11,"IT"))),"n.d.")</f>
        <v>0.0</v>
      </c>
      <c r="D96" s="31">
        <f>IF(ISNUMBER(IF(OR(SUMPRODUCT(--('Flux'!$A$6:$A$41="2026Q2"),--('Flux'!$B$6:$B$41="IT"),--('Flux'!$E$6:$E$41=DATE(2026,5,1)))=0,SUMPRODUCT(--('Flux'!$A$6:$A$41="2026Q2"),--('Flux'!$B$6:$B$41="IT"),--('Flux'!$E$6:$E$41=DATE(2026,5,1)),--('Flux'!$O$6:$O$41="n.d."))&gt;0),"n.d.",SUMPRODUCT(--('Flux'!$A$6:$A$41="2026Q2"),--('Flux'!$B$6:$B$41="IT"),--('Flux'!$E$6:$E$41=DATE(2026,5,1)),'Flux'!$O$6:$O$41))),(IF(OR(SUMPRODUCT(--('Flux'!$A$6:$A$41="2026Q2"),--('Flux'!$B$6:$B$41="IT"),--('Flux'!$E$6:$E$41=DATE(2026,5,1)))=0,SUMPRODUCT(--('Flux'!$A$6:$A$41="2026Q2"),--('Flux'!$B$6:$B$41="IT"),--('Flux'!$E$6:$E$41=DATE(2026,5,1)),--('Flux'!$O$6:$O$41="n.d."))&gt;0),"n.d.",SUMPRODUCT(--('Flux'!$A$6:$A$41="2026Q2"),--('Flux'!$B$6:$B$41="IT"),--('Flux'!$E$6:$E$41=DATE(2026,5,1)),'Flux'!$O$6:$O$41)))/(IF(OR(COUNTIFS('Consolidation'!$A$6:$A$11,"2026Q2",'Consolidation'!$B$6:$B$11,"IT")&lt;&gt;1,COUNTIFS('Consolidation'!$A$6:$A$11,"2026Q2",'Consolidation'!$B$6:$B$11,"IT",'Consolidation'!$E$6:$E$11,"n.d.")&gt;0),"n.d.",SUMIFS('Consolidation'!$E$6:$E$11,'Consolidation'!$A$6:$A$11,"2026Q2",'Consolidation'!$B$6:$B$11,"IT"))),"n.d.")</f>
        <v>98262.6000000001</v>
      </c>
      <c r="E96" s="31">
        <f>IF(ISNUMBER(IF(OR(SUMPRODUCT(--('Flux'!$A$6:$A$41="2026Q2"),--('Flux'!$B$6:$B$41="IT"),--('Flux'!$E$6:$E$41=DATE(2026,5,1)))=0,SUMPRODUCT(--('Flux'!$A$6:$A$41="2026Q2"),--('Flux'!$B$6:$B$41="IT"),--('Flux'!$E$6:$E$41=DATE(2026,5,1)),--('Flux'!$I$6:$I$41="n.d."))&gt;0),"n.d.",SUMPRODUCT(--('Flux'!$A$6:$A$41="2026Q2"),--('Flux'!$B$6:$B$41="IT"),--('Flux'!$E$6:$E$41=DATE(2026,5,1)),'Flux'!$I$6:$I$41))),(IF(OR(SUMPRODUCT(--('Flux'!$A$6:$A$41="2026Q2"),--('Flux'!$B$6:$B$41="IT"),--('Flux'!$E$6:$E$41=DATE(2026,5,1)))=0,SUMPRODUCT(--('Flux'!$A$6:$A$41="2026Q2"),--('Flux'!$B$6:$B$41="IT"),--('Flux'!$E$6:$E$41=DATE(2026,5,1)),--('Flux'!$I$6:$I$41="n.d."))&gt;0),"n.d.",SUMPRODUCT(--('Flux'!$A$6:$A$41="2026Q2"),--('Flux'!$B$6:$B$41="IT"),--('Flux'!$E$6:$E$41=DATE(2026,5,1)),'Flux'!$I$6:$I$41)))/(IF(OR(COUNTIFS('Consolidation'!$A$6:$A$11,"2026Q2",'Consolidation'!$B$6:$B$11,"IT")&lt;&gt;1,COUNTIFS('Consolidation'!$A$6:$A$11,"2026Q2",'Consolidation'!$B$6:$B$11,"IT",'Consolidation'!$E$6:$E$11,"n.d.")&gt;0),"n.d.",SUMIFS('Consolidation'!$E$6:$E$11,'Consolidation'!$A$6:$A$11,"2026Q2",'Consolidation'!$B$6:$B$11,"IT"))),"n.d.")</f>
        <v>81813.84000000005</v>
      </c>
      <c r="F96" s="31">
        <f>IF(OR(SUMPRODUCT(--('Flux'!$A$6:$A$41="2026Q2"),--('Flux'!$B$6:$B$41="IT"),--('Flux'!$E$6:$E$41=DATE(2026,5,1)))=0,SUMPRODUCT(--('Flux'!$A$6:$A$41="2026Q2"),--('Flux'!$B$6:$B$41="IT"),--('Flux'!$E$6:$E$41=DATE(2026,5,1)),--('Flux'!$T$6:$T$41="n.d."))&gt;0),"n.d.",SUMPRODUCT(--('Flux'!$A$6:$A$41="2026Q2"),--('Flux'!$B$6:$B$41="IT"),--('Flux'!$E$6:$E$41=DATE(2026,5,1)),'Flux'!$T$6:$T$41))</f>
        <v>0.9310736382160398</v>
      </c>
      <c r="G96" s="31">
        <f>IF(OR(SUMPRODUCT(--('Flux'!$A$6:$A$41="2026Q2"),--('Flux'!$B$6:$B$41="IT"),--('Flux'!$E$6:$E$41=DATE(2026,5,1)))=0,SUMPRODUCT(--('Flux'!$A$6:$A$41="2026Q2"),--('Flux'!$B$6:$B$41="IT"),--('Flux'!$E$6:$E$41=DATE(2026,5,1)),--('Flux'!$U$6:$U$41="n.d."))&gt;0),"n.d.",SUMPRODUCT(--('Flux'!$A$6:$A$41="2026Q2"),--('Flux'!$B$6:$B$41="IT"),--('Flux'!$E$6:$E$41=DATE(2026,5,1)),'Flux'!$U$6:$U$41))</f>
        <v>0.8885657153244865</v>
      </c>
    </row>
    <row r="97" spans="1:7">
      <c r="A97" t="s">
        <v>419</v>
      </c>
      <c r="B97" s="31">
        <f>IF(ISNUMBER(IF(OR(SUMPRODUCT(--('Flux'!$A$6:$A$41="2026Q2"),--('Flux'!$B$6:$B$41="IT"),--('Flux'!$E$6:$E$41=DATE(2026,6,1)))=0,SUMPRODUCT(--('Flux'!$A$6:$A$41="2026Q2"),--('Flux'!$B$6:$B$41="IT"),--('Flux'!$E$6:$E$41=DATE(2026,6,1)),--('Flux'!$H$6:$H$41="n.d."))&gt;0),"n.d.",SUMPRODUCT(--('Flux'!$A$6:$A$41="2026Q2"),--('Flux'!$B$6:$B$41="IT"),--('Flux'!$E$6:$E$41=DATE(2026,6,1)),'Flux'!$H$6:$H$41))),(IF(OR(SUMPRODUCT(--('Flux'!$A$6:$A$41="2026Q2"),--('Flux'!$B$6:$B$41="IT"),--('Flux'!$E$6:$E$41=DATE(2026,6,1)))=0,SUMPRODUCT(--('Flux'!$A$6:$A$41="2026Q2"),--('Flux'!$B$6:$B$41="IT"),--('Flux'!$E$6:$E$41=DATE(2026,6,1)),--('Flux'!$H$6:$H$41="n.d."))&gt;0),"n.d.",SUMPRODUCT(--('Flux'!$A$6:$A$41="2026Q2"),--('Flux'!$B$6:$B$41="IT"),--('Flux'!$E$6:$E$41=DATE(2026,6,1)),'Flux'!$H$6:$H$41)))/(IF(OR(COUNTIFS('Consolidation'!$A$6:$A$11,"2026Q2",'Consolidation'!$B$6:$B$11,"IT")&lt;&gt;1,COUNTIFS('Consolidation'!$A$6:$A$11,"2026Q2",'Consolidation'!$B$6:$B$11,"IT",'Consolidation'!$E$6:$E$11,"n.d.")&gt;0),"n.d.",SUMIFS('Consolidation'!$E$6:$E$11,'Consolidation'!$A$6:$A$11,"2026Q2",'Consolidation'!$B$6:$B$11,"IT"))),"n.d.")</f>
        <v>448642.78</v>
      </c>
      <c r="C97" s="31">
        <f>IF(ISNUMBER(IF(OR(SUMPRODUCT(--('Flux'!$A$6:$A$41="2026Q2"),--('Flux'!$B$6:$B$41="IT"),--('Flux'!$E$6:$E$41=DATE(2026,6,1)))=0,SUMPRODUCT(--('Flux'!$A$6:$A$41="2026Q2"),--('Flux'!$B$6:$B$41="IT"),--('Flux'!$E$6:$E$41=DATE(2026,6,1)),--('Flux'!$J$6:$J$41="n.d."))&gt;0),"n.d.",SUMPRODUCT(--('Flux'!$A$6:$A$41="2026Q2"),--('Flux'!$B$6:$B$41="IT"),--('Flux'!$E$6:$E$41=DATE(2026,6,1)),'Flux'!$J$6:$J$41))),(IF(OR(SUMPRODUCT(--('Flux'!$A$6:$A$41="2026Q2"),--('Flux'!$B$6:$B$41="IT"),--('Flux'!$E$6:$E$41=DATE(2026,6,1)))=0,SUMPRODUCT(--('Flux'!$A$6:$A$41="2026Q2"),--('Flux'!$B$6:$B$41="IT"),--('Flux'!$E$6:$E$41=DATE(2026,6,1)),--('Flux'!$J$6:$J$41="n.d."))&gt;0),"n.d.",SUMPRODUCT(--('Flux'!$A$6:$A$41="2026Q2"),--('Flux'!$B$6:$B$41="IT"),--('Flux'!$E$6:$E$41=DATE(2026,6,1)),'Flux'!$J$6:$J$41)))/(IF(OR(COUNTIFS('Consolidation'!$A$6:$A$11,"2026Q2",'Consolidation'!$B$6:$B$11,"IT")&lt;&gt;1,COUNTIFS('Consolidation'!$A$6:$A$11,"2026Q2",'Consolidation'!$B$6:$B$11,"IT",'Consolidation'!$E$6:$E$11,"n.d.")&gt;0),"n.d.",SUMIFS('Consolidation'!$E$6:$E$11,'Consolidation'!$A$6:$A$11,"2026Q2",'Consolidation'!$B$6:$B$11,"IT"))),"n.d.")</f>
        <v>0.0</v>
      </c>
      <c r="D97" s="31">
        <f>IF(ISNUMBER(IF(OR(SUMPRODUCT(--('Flux'!$A$6:$A$41="2026Q2"),--('Flux'!$B$6:$B$41="IT"),--('Flux'!$E$6:$E$41=DATE(2026,6,1)))=0,SUMPRODUCT(--('Flux'!$A$6:$A$41="2026Q2"),--('Flux'!$B$6:$B$41="IT"),--('Flux'!$E$6:$E$41=DATE(2026,6,1)),--('Flux'!$O$6:$O$41="n.d."))&gt;0),"n.d.",SUMPRODUCT(--('Flux'!$A$6:$A$41="2026Q2"),--('Flux'!$B$6:$B$41="IT"),--('Flux'!$E$6:$E$41=DATE(2026,6,1)),'Flux'!$O$6:$O$41))),(IF(OR(SUMPRODUCT(--('Flux'!$A$6:$A$41="2026Q2"),--('Flux'!$B$6:$B$41="IT"),--('Flux'!$E$6:$E$41=DATE(2026,6,1)))=0,SUMPRODUCT(--('Flux'!$A$6:$A$41="2026Q2"),--('Flux'!$B$6:$B$41="IT"),--('Flux'!$E$6:$E$41=DATE(2026,6,1)),--('Flux'!$O$6:$O$41="n.d."))&gt;0),"n.d.",SUMPRODUCT(--('Flux'!$A$6:$A$41="2026Q2"),--('Flux'!$B$6:$B$41="IT"),--('Flux'!$E$6:$E$41=DATE(2026,6,1)),'Flux'!$O$6:$O$41)))/(IF(OR(COUNTIFS('Consolidation'!$A$6:$A$11,"2026Q2",'Consolidation'!$B$6:$B$11,"IT")&lt;&gt;1,COUNTIFS('Consolidation'!$A$6:$A$11,"2026Q2",'Consolidation'!$B$6:$B$11,"IT",'Consolidation'!$E$6:$E$11,"n.d.")&gt;0),"n.d.",SUMIFS('Consolidation'!$E$6:$E$11,'Consolidation'!$A$6:$A$11,"2026Q2",'Consolidation'!$B$6:$B$11,"IT"))),"n.d.")</f>
        <v>460716.58999999997</v>
      </c>
      <c r="E97" s="31">
        <f>IF(ISNUMBER(IF(OR(SUMPRODUCT(--('Flux'!$A$6:$A$41="2026Q2"),--('Flux'!$B$6:$B$41="IT"),--('Flux'!$E$6:$E$41=DATE(2026,6,1)))=0,SUMPRODUCT(--('Flux'!$A$6:$A$41="2026Q2"),--('Flux'!$B$6:$B$41="IT"),--('Flux'!$E$6:$E$41=DATE(2026,6,1)),--('Flux'!$I$6:$I$41="n.d."))&gt;0),"n.d.",SUMPRODUCT(--('Flux'!$A$6:$A$41="2026Q2"),--('Flux'!$B$6:$B$41="IT"),--('Flux'!$E$6:$E$41=DATE(2026,6,1)),'Flux'!$I$6:$I$41))),(IF(OR(SUMPRODUCT(--('Flux'!$A$6:$A$41="2026Q2"),--('Flux'!$B$6:$B$41="IT"),--('Flux'!$E$6:$E$41=DATE(2026,6,1)))=0,SUMPRODUCT(--('Flux'!$A$6:$A$41="2026Q2"),--('Flux'!$B$6:$B$41="IT"),--('Flux'!$E$6:$E$41=DATE(2026,6,1)),--('Flux'!$I$6:$I$41="n.d."))&gt;0),"n.d.",SUMPRODUCT(--('Flux'!$A$6:$A$41="2026Q2"),--('Flux'!$B$6:$B$41="IT"),--('Flux'!$E$6:$E$41=DATE(2026,6,1)),'Flux'!$I$6:$I$41)))/(IF(OR(COUNTIFS('Consolidation'!$A$6:$A$11,"2026Q2",'Consolidation'!$B$6:$B$11,"IT")&lt;&gt;1,COUNTIFS('Consolidation'!$A$6:$A$11,"2026Q2",'Consolidation'!$B$6:$B$11,"IT",'Consolidation'!$E$6:$E$11,"n.d.")&gt;0),"n.d.",SUMIFS('Consolidation'!$E$6:$E$11,'Consolidation'!$A$6:$A$11,"2026Q2",'Consolidation'!$B$6:$B$11,"IT"))),"n.d.")</f>
        <v>68129.10999999997</v>
      </c>
      <c r="F97" s="31">
        <f>IF(OR(SUMPRODUCT(--('Flux'!$A$6:$A$41="2026Q2"),--('Flux'!$B$6:$B$41="IT"),--('Flux'!$E$6:$E$41=DATE(2026,6,1)))=0,SUMPRODUCT(--('Flux'!$A$6:$A$41="2026Q2"),--('Flux'!$B$6:$B$41="IT"),--('Flux'!$E$6:$E$41=DATE(2026,6,1)),--('Flux'!$T$6:$T$41="n.d."))&gt;0),"n.d.",SUMPRODUCT(--('Flux'!$A$6:$A$41="2026Q2"),--('Flux'!$B$6:$B$41="IT"),--('Flux'!$E$6:$E$41=DATE(2026,6,1)),'Flux'!$T$6:$T$41))</f>
        <v>0.5286731256413375</v>
      </c>
      <c r="G97" s="31">
        <f>IF(OR(SUMPRODUCT(--('Flux'!$A$6:$A$41="2026Q2"),--('Flux'!$B$6:$B$41="IT"),--('Flux'!$E$6:$E$41=DATE(2026,6,1)))=0,SUMPRODUCT(--('Flux'!$A$6:$A$41="2026Q2"),--('Flux'!$B$6:$B$41="IT"),--('Flux'!$E$6:$E$41=DATE(2026,6,1)),--('Flux'!$U$6:$U$41="n.d."))&gt;0),"n.d.",SUMPRODUCT(--('Flux'!$A$6:$A$41="2026Q2"),--('Flux'!$B$6:$B$41="IT"),--('Flux'!$E$6:$E$41=DATE(2026,6,1)),'Flux'!$U$6:$U$41))</f>
        <v>0.4947170697346795</v>
      </c>
    </row>
    <row r="101" spans="1:7">
      <c r="A101" s="28" t="s">
        <v>472</v>
      </c>
    </row>
    <row r="102" spans="1:7" ht="32" customHeight="1">
      <c r="A102" s="30" t="s">
        <v>426</v>
      </c>
      <c r="B102" s="30" t="s">
        <v>465</v>
      </c>
      <c r="C102" s="30" t="s">
        <v>466</v>
      </c>
      <c r="D102" s="30" t="s">
        <v>467</v>
      </c>
      <c r="E102" s="30" t="s">
        <v>468</v>
      </c>
      <c r="F102" s="30" t="s">
        <v>469</v>
      </c>
      <c r="G102" s="30" t="s">
        <v>395</v>
      </c>
    </row>
    <row r="103" spans="1:7">
      <c r="A103" s="31">
        <f>IF(OR(COUNTIFS('Consolidation'!$A$6:$A$11,"2026Q2",'Consolidation'!$B$6:$B$11,"IT")&lt;&gt;1,COUNTIFS('Consolidation'!$A$6:$A$11,"2026Q2",'Consolidation'!$B$6:$B$11,"IT",'Consolidation'!$W$6:$W$11,"n.d.")&gt;0),"n.d.",SUMIFS('Consolidation'!$W$6:$W$11,'Consolidation'!$A$6:$A$11,"2026Q2",'Consolidation'!$B$6:$B$11,"IT"))</f>
        <v>1113086.6633333333</v>
      </c>
      <c r="B103" s="31">
        <f>IF(OR(NOT(ISNUMBER(IF(OR(COUNTIFS('Consolidation'!$A$6:$A$11,"2026Q2",'Consolidation'!$B$6:$B$11,"IT")&lt;&gt;1,COUNTIFS('Consolidation'!$A$6:$A$11,"2026Q2",'Consolidation'!$B$6:$B$11,"IT",'Consolidation'!$Q$6:$Q$11,"n.d.")&gt;0),"n.d.",SUMIFS('Consolidation'!$Q$6:$Q$11,'Consolidation'!$A$6:$A$11,"2026Q2",'Consolidation'!$B$6:$B$11,"IT")))),NOT(ISNUMBER(IF(OR(COUNTIFS('Consolidation'!$A$6:$A$11,"2026Q2",'Consolidation'!$B$6:$B$11,"IT")&lt;&gt;1,COUNTIFS('Consolidation'!$A$6:$A$11,"2026Q2",'Consolidation'!$B$6:$B$11,"IT",'Consolidation'!$S$6:$S$11,"n.d.")&gt;0),"n.d.",SUMIFS('Consolidation'!$S$6:$S$11,'Consolidation'!$A$6:$A$11,"2026Q2",'Consolidation'!$B$6:$B$11,"IT")))),(IF(OR(COUNTIFS('Consolidation'!$A$6:$A$11,"2026Q2",'Consolidation'!$B$6:$B$11,"IT")&lt;&gt;1,COUNTIFS('Consolidation'!$A$6:$A$11,"2026Q2",'Consolidation'!$B$6:$B$11,"IT",'Consolidation'!$S$6:$S$11,"n.d.")&gt;0),"n.d.",SUMIFS('Consolidation'!$S$6:$S$11,'Consolidation'!$A$6:$A$11,"2026Q2",'Consolidation'!$B$6:$B$11,"IT")))=0),"n.d.",(IF(OR(COUNTIFS('Consolidation'!$A$6:$A$11,"2026Q2",'Consolidation'!$B$6:$B$11,"IT")&lt;&gt;1,COUNTIFS('Consolidation'!$A$6:$A$11,"2026Q2",'Consolidation'!$B$6:$B$11,"IT",'Consolidation'!$Q$6:$Q$11,"n.d.")&gt;0),"n.d.",SUMIFS('Consolidation'!$Q$6:$Q$11,'Consolidation'!$A$6:$A$11,"2026Q2",'Consolidation'!$B$6:$B$11,"IT")))/(IF(OR(COUNTIFS('Consolidation'!$A$6:$A$11,"2026Q2",'Consolidation'!$B$6:$B$11,"IT")&lt;&gt;1,COUNTIFS('Consolidation'!$A$6:$A$11,"2026Q2",'Consolidation'!$B$6:$B$11,"IT",'Consolidation'!$S$6:$S$11,"n.d.")&gt;0),"n.d.",SUMIFS('Consolidation'!$S$6:$S$11,'Consolidation'!$A$6:$A$11,"2026Q2",'Consolidation'!$B$6:$B$11,"IT"))))</f>
        <v>240.80622989831977</v>
      </c>
      <c r="C103" s="31">
        <f>IF(OR(COUNTIFS('Consolidation'!$A$6:$A$11,"2026Q2",'Consolidation'!$B$6:$B$11,"IT")&lt;&gt;1,COUNTIFS('Consolidation'!$A$6:$A$11,"2026Q2",'Consolidation'!$B$6:$B$11,"IT",'Consolidation'!$X$6:$X$11,"n.d.")&gt;0),"n.d.",SUMIFS('Consolidation'!$X$6:$X$11,'Consolidation'!$A$6:$A$11,"2026Q2",'Consolidation'!$B$6:$B$11,"IT"))</f>
        <v>0.9843784875387906</v>
      </c>
      <c r="D103" s="31">
        <f>IF(OR(COUNTIFS('Consolidation'!$A$6:$A$11,"2026Q2",'Consolidation'!$B$6:$B$11,"IT")&lt;&gt;1,COUNTIFS('Consolidation'!$A$6:$A$11,"2026Q2",'Consolidation'!$B$6:$B$11,"IT",'Consolidation'!$Y$6:$Y$11,"n.d.")&gt;0),"n.d.",SUMIFS('Consolidation'!$Y$6:$Y$11,'Consolidation'!$A$6:$A$11,"2026Q2",'Consolidation'!$B$6:$B$11,"IT"))</f>
        <v>0.9484958979033729</v>
      </c>
      <c r="E103" s="31">
        <f>IF(OR(COUNTIFS('Consolidation'!$A$6:$A$11,"2026Q2",'Consolidation'!$B$6:$B$11,"IT")&lt;&gt;1,COUNTIFS('Consolidation'!$A$6:$A$11,"2026Q2",'Consolidation'!$B$6:$B$11,"IT",'Consolidation'!$M$6:$M$11,"n.d.")&gt;0),"n.d.",SUMIFS('Consolidation'!$M$6:$M$11,'Consolidation'!$A$6:$A$11,"2026Q2",'Consolidation'!$B$6:$B$11,"IT"))</f>
        <v>787426.2400000179</v>
      </c>
      <c r="F103" s="31">
        <f>IF(OR(COUNTIFS('Consolidation'!$A$6:$A$11,"2026Q2",'Consolidation'!$B$6:$B$11,"IT")&lt;&gt;1,COUNTIFS('Consolidation'!$A$6:$A$11,"2026Q2",'Consolidation'!$B$6:$B$11,"IT",'Consolidation'!$N$6:$N$11,"n.d.")&gt;0),"n.d.",SUMIFS('Consolidation'!$N$6:$N$11,'Consolidation'!$A$6:$A$11,"2026Q2",'Consolidation'!$B$6:$B$11,"IT"))</f>
        <v>3127145.950000018</v>
      </c>
    </row>
    <row r="107" spans="1:7">
      <c r="A107" s="28" t="s">
        <v>474</v>
      </c>
    </row>
    <row r="108" spans="1:7" ht="32" customHeight="1">
      <c r="A108" s="30" t="s">
        <v>413</v>
      </c>
      <c r="B108" s="30" t="s">
        <v>451</v>
      </c>
      <c r="C108" s="30" t="s">
        <v>452</v>
      </c>
      <c r="D108" s="30" t="s">
        <v>453</v>
      </c>
      <c r="E108" s="30" t="s">
        <v>454</v>
      </c>
      <c r="F108" s="30" t="s">
        <v>428</v>
      </c>
      <c r="G108" s="30" t="s">
        <v>429</v>
      </c>
    </row>
    <row r="109" spans="1:7">
      <c r="A109" t="s">
        <v>414</v>
      </c>
      <c r="B109" s="31">
        <f>IF(OR(SUMPRODUCT(--('Flux'!$A$6:$A$41="2026Q2"),--('Flux'!$B$6:$B$41="ZA"),--('Flux'!$E$6:$E$41=DATE(2026,1,1)))=0,SUMPRODUCT(--('Flux'!$A$6:$A$41="2026Q2"),--('Flux'!$B$6:$B$41="ZA"),--('Flux'!$E$6:$E$41=DATE(2026,1,1)),--('Flux'!$H$6:$H$41="n.d."))&gt;0),"n.d.",SUMPRODUCT(--('Flux'!$A$6:$A$41="2026Q2"),--('Flux'!$B$6:$B$41="ZA"),--('Flux'!$E$6:$E$41=DATE(2026,1,1)),'Flux'!$H$6:$H$41))</f>
        <v>1918665.8000000014</v>
      </c>
      <c r="C109" s="31">
        <f>IF(OR(SUMPRODUCT(--('Flux'!$A$6:$A$41="2026Q2"),--('Flux'!$B$6:$B$41="ZA"),--('Flux'!$E$6:$E$41=DATE(2026,1,1)))=0,SUMPRODUCT(--('Flux'!$A$6:$A$41="2026Q2"),--('Flux'!$B$6:$B$41="ZA"),--('Flux'!$E$6:$E$41=DATE(2026,1,1)),--('Flux'!$J$6:$J$41="n.d."))&gt;0),"n.d.",SUMPRODUCT(--('Flux'!$A$6:$A$41="2026Q2"),--('Flux'!$B$6:$B$41="ZA"),--('Flux'!$E$6:$E$41=DATE(2026,1,1)),'Flux'!$J$6:$J$41))</f>
        <v>36987.21000000012</v>
      </c>
      <c r="D109" s="31">
        <f>IF(OR(SUMPRODUCT(--('Flux'!$A$6:$A$41="2026Q2"),--('Flux'!$B$6:$B$41="ZA"),--('Flux'!$E$6:$E$41=DATE(2026,1,1)))=0,SUMPRODUCT(--('Flux'!$A$6:$A$41="2026Q2"),--('Flux'!$B$6:$B$41="ZA"),--('Flux'!$E$6:$E$41=DATE(2026,1,1)),--('Flux'!$O$6:$O$41="n.d."))&gt;0),"n.d.",SUMPRODUCT(--('Flux'!$A$6:$A$41="2026Q2"),--('Flux'!$B$6:$B$41="ZA"),--('Flux'!$E$6:$E$41=DATE(2026,1,1)),'Flux'!$O$6:$O$41))</f>
        <v>1056087.8800000008</v>
      </c>
      <c r="E109" s="31">
        <f>IF(OR(SUMPRODUCT(--('Flux'!$A$6:$A$41="2026Q2"),--('Flux'!$B$6:$B$41="ZA"),--('Flux'!$E$6:$E$41=DATE(2026,1,1)))=0,SUMPRODUCT(--('Flux'!$A$6:$A$41="2026Q2"),--('Flux'!$B$6:$B$41="ZA"),--('Flux'!$E$6:$E$41=DATE(2026,1,1)),--('Flux'!$I$6:$I$41="n.d."))&gt;0),"n.d.",SUMPRODUCT(--('Flux'!$A$6:$A$41="2026Q2"),--('Flux'!$B$6:$B$41="ZA"),--('Flux'!$E$6:$E$41=DATE(2026,1,1)),'Flux'!$I$6:$I$41))</f>
        <v>0</v>
      </c>
      <c r="F109" s="31">
        <f>IF(OR(SUMPRODUCT(--('Flux'!$A$6:$A$41="2026Q2"),--('Flux'!$B$6:$B$41="ZA"),--('Flux'!$E$6:$E$41=DATE(2026,1,1)))=0,SUMPRODUCT(--('Flux'!$A$6:$A$41="2026Q2"),--('Flux'!$B$6:$B$41="ZA"),--('Flux'!$E$6:$E$41=DATE(2026,1,1)),--('Flux'!$T$6:$T$41="n.d."))&gt;0),"n.d.",SUMPRODUCT(--('Flux'!$A$6:$A$41="2026Q2"),--('Flux'!$B$6:$B$41="ZA"),--('Flux'!$E$6:$E$41=DATE(2026,1,1)),'Flux'!$T$6:$T$41))</f>
        <v>0.6493430482328113</v>
      </c>
      <c r="G109" s="31">
        <f>IF(OR(SUMPRODUCT(--('Flux'!$A$6:$A$41="2026Q2"),--('Flux'!$B$6:$B$41="ZA"),--('Flux'!$E$6:$E$41=DATE(2026,1,1)))=0,SUMPRODUCT(--('Flux'!$A$6:$A$41="2026Q2"),--('Flux'!$B$6:$B$41="ZA"),--('Flux'!$E$6:$E$41=DATE(2026,1,1)),--('Flux'!$U$6:$U$41="n.d."))&gt;0),"n.d.",SUMPRODUCT(--('Flux'!$A$6:$A$41="2026Q2"),--('Flux'!$B$6:$B$41="ZA"),--('Flux'!$E$6:$E$41=DATE(2026,1,1)),'Flux'!$U$6:$U$41))</f>
        <v>0.8549981233579382</v>
      </c>
    </row>
    <row r="110" spans="1:7">
      <c r="A110" t="s">
        <v>415</v>
      </c>
      <c r="B110" s="31">
        <f>IF(OR(SUMPRODUCT(--('Flux'!$A$6:$A$41="2026Q2"),--('Flux'!$B$6:$B$41="ZA"),--('Flux'!$E$6:$E$41=DATE(2026,2,1)))=0,SUMPRODUCT(--('Flux'!$A$6:$A$41="2026Q2"),--('Flux'!$B$6:$B$41="ZA"),--('Flux'!$E$6:$E$41=DATE(2026,2,1)),--('Flux'!$H$6:$H$41="n.d."))&gt;0),"n.d.",SUMPRODUCT(--('Flux'!$A$6:$A$41="2026Q2"),--('Flux'!$B$6:$B$41="ZA"),--('Flux'!$E$6:$E$41=DATE(2026,2,1)),'Flux'!$H$6:$H$41))</f>
        <v>2062472.9400000027</v>
      </c>
      <c r="C110" s="31">
        <f>IF(OR(SUMPRODUCT(--('Flux'!$A$6:$A$41="2026Q2"),--('Flux'!$B$6:$B$41="ZA"),--('Flux'!$E$6:$E$41=DATE(2026,2,1)))=0,SUMPRODUCT(--('Flux'!$A$6:$A$41="2026Q2"),--('Flux'!$B$6:$B$41="ZA"),--('Flux'!$E$6:$E$41=DATE(2026,2,1)),--('Flux'!$J$6:$J$41="n.d."))&gt;0),"n.d.",SUMPRODUCT(--('Flux'!$A$6:$A$41="2026Q2"),--('Flux'!$B$6:$B$41="ZA"),--('Flux'!$E$6:$E$41=DATE(2026,2,1)),'Flux'!$J$6:$J$41))</f>
        <v>35180.93999999989</v>
      </c>
      <c r="D110" s="31">
        <f>IF(OR(SUMPRODUCT(--('Flux'!$A$6:$A$41="2026Q2"),--('Flux'!$B$6:$B$41="ZA"),--('Flux'!$E$6:$E$41=DATE(2026,2,1)))=0,SUMPRODUCT(--('Flux'!$A$6:$A$41="2026Q2"),--('Flux'!$B$6:$B$41="ZA"),--('Flux'!$E$6:$E$41=DATE(2026,2,1)),--('Flux'!$O$6:$O$41="n.d."))&gt;0),"n.d.",SUMPRODUCT(--('Flux'!$A$6:$A$41="2026Q2"),--('Flux'!$B$6:$B$41="ZA"),--('Flux'!$E$6:$E$41=DATE(2026,2,1)),'Flux'!$O$6:$O$41))</f>
        <v>1106790.3300000085</v>
      </c>
      <c r="E110" s="31">
        <f>IF(OR(SUMPRODUCT(--('Flux'!$A$6:$A$41="2026Q2"),--('Flux'!$B$6:$B$41="ZA"),--('Flux'!$E$6:$E$41=DATE(2026,2,1)))=0,SUMPRODUCT(--('Flux'!$A$6:$A$41="2026Q2"),--('Flux'!$B$6:$B$41="ZA"),--('Flux'!$E$6:$E$41=DATE(2026,2,1)),--('Flux'!$I$6:$I$41="n.d."))&gt;0),"n.d.",SUMPRODUCT(--('Flux'!$A$6:$A$41="2026Q2"),--('Flux'!$B$6:$B$41="ZA"),--('Flux'!$E$6:$E$41=DATE(2026,2,1)),'Flux'!$I$6:$I$41))</f>
        <v>0</v>
      </c>
      <c r="F110" s="31">
        <f>IF(OR(SUMPRODUCT(--('Flux'!$A$6:$A$41="2026Q2"),--('Flux'!$B$6:$B$41="ZA"),--('Flux'!$E$6:$E$41=DATE(2026,2,1)))=0,SUMPRODUCT(--('Flux'!$A$6:$A$41="2026Q2"),--('Flux'!$B$6:$B$41="ZA"),--('Flux'!$E$6:$E$41=DATE(2026,2,1)),--('Flux'!$T$6:$T$41="n.d."))&gt;0),"n.d.",SUMPRODUCT(--('Flux'!$A$6:$A$41="2026Q2"),--('Flux'!$B$6:$B$41="ZA"),--('Flux'!$E$6:$E$41=DATE(2026,2,1)),'Flux'!$T$6:$T$41))</f>
        <v>0.6546077080867623</v>
      </c>
      <c r="G110" s="31">
        <f>IF(OR(SUMPRODUCT(--('Flux'!$A$6:$A$41="2026Q2"),--('Flux'!$B$6:$B$41="ZA"),--('Flux'!$E$6:$E$41=DATE(2026,2,1)))=0,SUMPRODUCT(--('Flux'!$A$6:$A$41="2026Q2"),--('Flux'!$B$6:$B$41="ZA"),--('Flux'!$E$6:$E$41=DATE(2026,2,1)),--('Flux'!$U$6:$U$41="n.d."))&gt;0),"n.d.",SUMPRODUCT(--('Flux'!$A$6:$A$41="2026Q2"),--('Flux'!$B$6:$B$41="ZA"),--('Flux'!$E$6:$E$41=DATE(2026,2,1)),'Flux'!$U$6:$U$41))</f>
        <v>0.8300610241443354</v>
      </c>
    </row>
    <row r="111" spans="1:7">
      <c r="A111" t="s">
        <v>416</v>
      </c>
      <c r="B111" s="31">
        <f>IF(OR(SUMPRODUCT(--('Flux'!$A$6:$A$41="2026Q2"),--('Flux'!$B$6:$B$41="ZA"),--('Flux'!$E$6:$E$41=DATE(2026,3,1)))=0,SUMPRODUCT(--('Flux'!$A$6:$A$41="2026Q2"),--('Flux'!$B$6:$B$41="ZA"),--('Flux'!$E$6:$E$41=DATE(2026,3,1)),--('Flux'!$H$6:$H$41="n.d."))&gt;0),"n.d.",SUMPRODUCT(--('Flux'!$A$6:$A$41="2026Q2"),--('Flux'!$B$6:$B$41="ZA"),--('Flux'!$E$6:$E$41=DATE(2026,3,1)),'Flux'!$H$6:$H$41))</f>
        <v>2223180.7500000023</v>
      </c>
      <c r="C111" s="31">
        <f>IF(OR(SUMPRODUCT(--('Flux'!$A$6:$A$41="2026Q2"),--('Flux'!$B$6:$B$41="ZA"),--('Flux'!$E$6:$E$41=DATE(2026,3,1)))=0,SUMPRODUCT(--('Flux'!$A$6:$A$41="2026Q2"),--('Flux'!$B$6:$B$41="ZA"),--('Flux'!$E$6:$E$41=DATE(2026,3,1)),--('Flux'!$J$6:$J$41="n.d."))&gt;0),"n.d.",SUMPRODUCT(--('Flux'!$A$6:$A$41="2026Q2"),--('Flux'!$B$6:$B$41="ZA"),--('Flux'!$E$6:$E$41=DATE(2026,3,1)),'Flux'!$J$6:$J$41))</f>
        <v>43750.53999999986</v>
      </c>
      <c r="D111" s="31">
        <f>IF(OR(SUMPRODUCT(--('Flux'!$A$6:$A$41="2026Q2"),--('Flux'!$B$6:$B$41="ZA"),--('Flux'!$E$6:$E$41=DATE(2026,3,1)))=0,SUMPRODUCT(--('Flux'!$A$6:$A$41="2026Q2"),--('Flux'!$B$6:$B$41="ZA"),--('Flux'!$E$6:$E$41=DATE(2026,3,1)),--('Flux'!$O$6:$O$41="n.d."))&gt;0),"n.d.",SUMPRODUCT(--('Flux'!$A$6:$A$41="2026Q2"),--('Flux'!$B$6:$B$41="ZA"),--('Flux'!$E$6:$E$41=DATE(2026,3,1)),'Flux'!$O$6:$O$41))</f>
        <v>1700438.209999993</v>
      </c>
      <c r="E111" s="31">
        <f>IF(OR(SUMPRODUCT(--('Flux'!$A$6:$A$41="2026Q2"),--('Flux'!$B$6:$B$41="ZA"),--('Flux'!$E$6:$E$41=DATE(2026,3,1)))=0,SUMPRODUCT(--('Flux'!$A$6:$A$41="2026Q2"),--('Flux'!$B$6:$B$41="ZA"),--('Flux'!$E$6:$E$41=DATE(2026,3,1)),--('Flux'!$I$6:$I$41="n.d."))&gt;0),"n.d.",SUMPRODUCT(--('Flux'!$A$6:$A$41="2026Q2"),--('Flux'!$B$6:$B$41="ZA"),--('Flux'!$E$6:$E$41=DATE(2026,3,1)),'Flux'!$I$6:$I$41))</f>
        <v>0</v>
      </c>
      <c r="F111" s="31">
        <f>IF(OR(SUMPRODUCT(--('Flux'!$A$6:$A$41="2026Q2"),--('Flux'!$B$6:$B$41="ZA"),--('Flux'!$E$6:$E$41=DATE(2026,3,1)))=0,SUMPRODUCT(--('Flux'!$A$6:$A$41="2026Q2"),--('Flux'!$B$6:$B$41="ZA"),--('Flux'!$E$6:$E$41=DATE(2026,3,1)),--('Flux'!$T$6:$T$41="n.d."))&gt;0),"n.d.",SUMPRODUCT(--('Flux'!$A$6:$A$41="2026Q2"),--('Flux'!$B$6:$B$41="ZA"),--('Flux'!$E$6:$E$41=DATE(2026,3,1)),'Flux'!$T$6:$T$41))</f>
        <v>0.5713940408121817</v>
      </c>
      <c r="G111" s="31">
        <f>IF(OR(SUMPRODUCT(--('Flux'!$A$6:$A$41="2026Q2"),--('Flux'!$B$6:$B$41="ZA"),--('Flux'!$E$6:$E$41=DATE(2026,3,1)))=0,SUMPRODUCT(--('Flux'!$A$6:$A$41="2026Q2"),--('Flux'!$B$6:$B$41="ZA"),--('Flux'!$E$6:$E$41=DATE(2026,3,1)),--('Flux'!$U$6:$U$41="n.d."))&gt;0),"n.d.",SUMPRODUCT(--('Flux'!$A$6:$A$41="2026Q2"),--('Flux'!$B$6:$B$41="ZA"),--('Flux'!$E$6:$E$41=DATE(2026,3,1)),'Flux'!$U$6:$U$41))</f>
        <v>0.7933840267351189</v>
      </c>
    </row>
    <row r="112" spans="1:7">
      <c r="A112" t="s">
        <v>417</v>
      </c>
      <c r="B112" s="31">
        <f>IF(OR(SUMPRODUCT(--('Flux'!$A$6:$A$41="2026Q2"),--('Flux'!$B$6:$B$41="ZA"),--('Flux'!$E$6:$E$41=DATE(2026,4,1)))=0,SUMPRODUCT(--('Flux'!$A$6:$A$41="2026Q2"),--('Flux'!$B$6:$B$41="ZA"),--('Flux'!$E$6:$E$41=DATE(2026,4,1)),--('Flux'!$H$6:$H$41="n.d."))&gt;0),"n.d.",SUMPRODUCT(--('Flux'!$A$6:$A$41="2026Q2"),--('Flux'!$B$6:$B$41="ZA"),--('Flux'!$E$6:$E$41=DATE(2026,4,1)),'Flux'!$H$6:$H$41))</f>
        <v>1934850.7600000007</v>
      </c>
      <c r="C112" s="31">
        <f>IF(OR(SUMPRODUCT(--('Flux'!$A$6:$A$41="2026Q2"),--('Flux'!$B$6:$B$41="ZA"),--('Flux'!$E$6:$E$41=DATE(2026,4,1)))=0,SUMPRODUCT(--('Flux'!$A$6:$A$41="2026Q2"),--('Flux'!$B$6:$B$41="ZA"),--('Flux'!$E$6:$E$41=DATE(2026,4,1)),--('Flux'!$J$6:$J$41="n.d."))&gt;0),"n.d.",SUMPRODUCT(--('Flux'!$A$6:$A$41="2026Q2"),--('Flux'!$B$6:$B$41="ZA"),--('Flux'!$E$6:$E$41=DATE(2026,4,1)),'Flux'!$J$6:$J$41))</f>
        <v>32265.629999999823</v>
      </c>
      <c r="D112" s="31">
        <f>IF(OR(SUMPRODUCT(--('Flux'!$A$6:$A$41="2026Q2"),--('Flux'!$B$6:$B$41="ZA"),--('Flux'!$E$6:$E$41=DATE(2026,4,1)))=0,SUMPRODUCT(--('Flux'!$A$6:$A$41="2026Q2"),--('Flux'!$B$6:$B$41="ZA"),--('Flux'!$E$6:$E$41=DATE(2026,4,1)),--('Flux'!$O$6:$O$41="n.d."))&gt;0),"n.d.",SUMPRODUCT(--('Flux'!$A$6:$A$41="2026Q2"),--('Flux'!$B$6:$B$41="ZA"),--('Flux'!$E$6:$E$41=DATE(2026,4,1)),'Flux'!$O$6:$O$41))</f>
        <v>1777533.1199999582</v>
      </c>
      <c r="E112" s="31">
        <f>IF(OR(SUMPRODUCT(--('Flux'!$A$6:$A$41="2026Q2"),--('Flux'!$B$6:$B$41="ZA"),--('Flux'!$E$6:$E$41=DATE(2026,4,1)))=0,SUMPRODUCT(--('Flux'!$A$6:$A$41="2026Q2"),--('Flux'!$B$6:$B$41="ZA"),--('Flux'!$E$6:$E$41=DATE(2026,4,1)),--('Flux'!$I$6:$I$41="n.d."))&gt;0),"n.d.",SUMPRODUCT(--('Flux'!$A$6:$A$41="2026Q2"),--('Flux'!$B$6:$B$41="ZA"),--('Flux'!$E$6:$E$41=DATE(2026,4,1)),'Flux'!$I$6:$I$41))</f>
        <v>0</v>
      </c>
      <c r="F112" s="31">
        <f>IF(OR(SUMPRODUCT(--('Flux'!$A$6:$A$41="2026Q2"),--('Flux'!$B$6:$B$41="ZA"),--('Flux'!$E$6:$E$41=DATE(2026,4,1)))=0,SUMPRODUCT(--('Flux'!$A$6:$A$41="2026Q2"),--('Flux'!$B$6:$B$41="ZA"),--('Flux'!$E$6:$E$41=DATE(2026,4,1)),--('Flux'!$T$6:$T$41="n.d."))&gt;0),"n.d.",SUMPRODUCT(--('Flux'!$A$6:$A$41="2026Q2"),--('Flux'!$B$6:$B$41="ZA"),--('Flux'!$E$6:$E$41=DATE(2026,4,1)),'Flux'!$T$6:$T$41))</f>
        <v>0.5253138871199784</v>
      </c>
      <c r="G112" s="31">
        <f>IF(OR(SUMPRODUCT(--('Flux'!$A$6:$A$41="2026Q2"),--('Flux'!$B$6:$B$41="ZA"),--('Flux'!$E$6:$E$41=DATE(2026,4,1)))=0,SUMPRODUCT(--('Flux'!$A$6:$A$41="2026Q2"),--('Flux'!$B$6:$B$41="ZA"),--('Flux'!$E$6:$E$41=DATE(2026,4,1)),--('Flux'!$U$6:$U$41="n.d."))&gt;0),"n.d.",SUMPRODUCT(--('Flux'!$A$6:$A$41="2026Q2"),--('Flux'!$B$6:$B$41="ZA"),--('Flux'!$E$6:$E$41=DATE(2026,4,1)),'Flux'!$U$6:$U$41))</f>
        <v>0.7344372574385511</v>
      </c>
    </row>
    <row r="113" spans="1:7">
      <c r="A113" t="s">
        <v>418</v>
      </c>
      <c r="B113" s="31">
        <f>IF(OR(SUMPRODUCT(--('Flux'!$A$6:$A$41="2026Q2"),--('Flux'!$B$6:$B$41="ZA"),--('Flux'!$E$6:$E$41=DATE(2026,5,1)))=0,SUMPRODUCT(--('Flux'!$A$6:$A$41="2026Q2"),--('Flux'!$B$6:$B$41="ZA"),--('Flux'!$E$6:$E$41=DATE(2026,5,1)),--('Flux'!$H$6:$H$41="n.d."))&gt;0),"n.d.",SUMPRODUCT(--('Flux'!$A$6:$A$41="2026Q2"),--('Flux'!$B$6:$B$41="ZA"),--('Flux'!$E$6:$E$41=DATE(2026,5,1)),'Flux'!$H$6:$H$41))</f>
        <v>1629996.219999999</v>
      </c>
      <c r="C113" s="31">
        <f>IF(OR(SUMPRODUCT(--('Flux'!$A$6:$A$41="2026Q2"),--('Flux'!$B$6:$B$41="ZA"),--('Flux'!$E$6:$E$41=DATE(2026,5,1)))=0,SUMPRODUCT(--('Flux'!$A$6:$A$41="2026Q2"),--('Flux'!$B$6:$B$41="ZA"),--('Flux'!$E$6:$E$41=DATE(2026,5,1)),--('Flux'!$J$6:$J$41="n.d."))&gt;0),"n.d.",SUMPRODUCT(--('Flux'!$A$6:$A$41="2026Q2"),--('Flux'!$B$6:$B$41="ZA"),--('Flux'!$E$6:$E$41=DATE(2026,5,1)),'Flux'!$J$6:$J$41))</f>
        <v>22796.060000000114</v>
      </c>
      <c r="D113" s="31">
        <f>IF(OR(SUMPRODUCT(--('Flux'!$A$6:$A$41="2026Q2"),--('Flux'!$B$6:$B$41="ZA"),--('Flux'!$E$6:$E$41=DATE(2026,5,1)))=0,SUMPRODUCT(--('Flux'!$A$6:$A$41="2026Q2"),--('Flux'!$B$6:$B$41="ZA"),--('Flux'!$E$6:$E$41=DATE(2026,5,1)),--('Flux'!$O$6:$O$41="n.d."))&gt;0),"n.d.",SUMPRODUCT(--('Flux'!$A$6:$A$41="2026Q2"),--('Flux'!$B$6:$B$41="ZA"),--('Flux'!$E$6:$E$41=DATE(2026,5,1)),'Flux'!$O$6:$O$41))</f>
        <v>2210079.719999943</v>
      </c>
      <c r="E113" s="31">
        <f>IF(OR(SUMPRODUCT(--('Flux'!$A$6:$A$41="2026Q2"),--('Flux'!$B$6:$B$41="ZA"),--('Flux'!$E$6:$E$41=DATE(2026,5,1)))=0,SUMPRODUCT(--('Flux'!$A$6:$A$41="2026Q2"),--('Flux'!$B$6:$B$41="ZA"),--('Flux'!$E$6:$E$41=DATE(2026,5,1)),--('Flux'!$I$6:$I$41="n.d."))&gt;0),"n.d.",SUMPRODUCT(--('Flux'!$A$6:$A$41="2026Q2"),--('Flux'!$B$6:$B$41="ZA"),--('Flux'!$E$6:$E$41=DATE(2026,5,1)),'Flux'!$I$6:$I$41))</f>
        <v>0</v>
      </c>
      <c r="F113" s="31">
        <f>IF(OR(SUMPRODUCT(--('Flux'!$A$6:$A$41="2026Q2"),--('Flux'!$B$6:$B$41="ZA"),--('Flux'!$E$6:$E$41=DATE(2026,5,1)))=0,SUMPRODUCT(--('Flux'!$A$6:$A$41="2026Q2"),--('Flux'!$B$6:$B$41="ZA"),--('Flux'!$E$6:$E$41=DATE(2026,5,1)),--('Flux'!$T$6:$T$41="n.d."))&gt;0),"n.d.",SUMPRODUCT(--('Flux'!$A$6:$A$41="2026Q2"),--('Flux'!$B$6:$B$41="ZA"),--('Flux'!$E$6:$E$41=DATE(2026,5,1)),'Flux'!$T$6:$T$41))</f>
        <v>0.4278661783253558</v>
      </c>
      <c r="G113" s="31">
        <f>IF(OR(SUMPRODUCT(--('Flux'!$A$6:$A$41="2026Q2"),--('Flux'!$B$6:$B$41="ZA"),--('Flux'!$E$6:$E$41=DATE(2026,5,1)))=0,SUMPRODUCT(--('Flux'!$A$6:$A$41="2026Q2"),--('Flux'!$B$6:$B$41="ZA"),--('Flux'!$E$6:$E$41=DATE(2026,5,1)),--('Flux'!$U$6:$U$41="n.d."))&gt;0),"n.d.",SUMPRODUCT(--('Flux'!$A$6:$A$41="2026Q2"),--('Flux'!$B$6:$B$41="ZA"),--('Flux'!$E$6:$E$41=DATE(2026,5,1)),'Flux'!$U$6:$U$41))</f>
        <v>0.6066271469828242</v>
      </c>
    </row>
    <row r="114" spans="1:7">
      <c r="A114" t="s">
        <v>419</v>
      </c>
      <c r="B114" s="31">
        <f>IF(OR(SUMPRODUCT(--('Flux'!$A$6:$A$41="2026Q2"),--('Flux'!$B$6:$B$41="ZA"),--('Flux'!$E$6:$E$41=DATE(2026,6,1)))=0,SUMPRODUCT(--('Flux'!$A$6:$A$41="2026Q2"),--('Flux'!$B$6:$B$41="ZA"),--('Flux'!$E$6:$E$41=DATE(2026,6,1)),--('Flux'!$H$6:$H$41="n.d."))&gt;0),"n.d.",SUMPRODUCT(--('Flux'!$A$6:$A$41="2026Q2"),--('Flux'!$B$6:$B$41="ZA"),--('Flux'!$E$6:$E$41=DATE(2026,6,1)),'Flux'!$H$6:$H$41))</f>
        <v>0</v>
      </c>
      <c r="C114" s="31">
        <f>IF(OR(SUMPRODUCT(--('Flux'!$A$6:$A$41="2026Q2"),--('Flux'!$B$6:$B$41="ZA"),--('Flux'!$E$6:$E$41=DATE(2026,6,1)))=0,SUMPRODUCT(--('Flux'!$A$6:$A$41="2026Q2"),--('Flux'!$B$6:$B$41="ZA"),--('Flux'!$E$6:$E$41=DATE(2026,6,1)),--('Flux'!$J$6:$J$41="n.d."))&gt;0),"n.d.",SUMPRODUCT(--('Flux'!$A$6:$A$41="2026Q2"),--('Flux'!$B$6:$B$41="ZA"),--('Flux'!$E$6:$E$41=DATE(2026,6,1)),'Flux'!$J$6:$J$41))</f>
        <v>22298.119999999995</v>
      </c>
      <c r="D114" s="31">
        <f>IF(OR(SUMPRODUCT(--('Flux'!$A$6:$A$41="2026Q2"),--('Flux'!$B$6:$B$41="ZA"),--('Flux'!$E$6:$E$41=DATE(2026,6,1)))=0,SUMPRODUCT(--('Flux'!$A$6:$A$41="2026Q2"),--('Flux'!$B$6:$B$41="ZA"),--('Flux'!$E$6:$E$41=DATE(2026,6,1)),--('Flux'!$O$6:$O$41="n.d."))&gt;0),"n.d.",SUMPRODUCT(--('Flux'!$A$6:$A$41="2026Q2"),--('Flux'!$B$6:$B$41="ZA"),--('Flux'!$E$6:$E$41=DATE(2026,6,1)),'Flux'!$O$6:$O$41))</f>
        <v>4201763.209999999</v>
      </c>
      <c r="E114" s="31">
        <f>IF(OR(SUMPRODUCT(--('Flux'!$A$6:$A$41="2026Q2"),--('Flux'!$B$6:$B$41="ZA"),--('Flux'!$E$6:$E$41=DATE(2026,6,1)))=0,SUMPRODUCT(--('Flux'!$A$6:$A$41="2026Q2"),--('Flux'!$B$6:$B$41="ZA"),--('Flux'!$E$6:$E$41=DATE(2026,6,1)),--('Flux'!$I$6:$I$41="n.d."))&gt;0),"n.d.",SUMPRODUCT(--('Flux'!$A$6:$A$41="2026Q2"),--('Flux'!$B$6:$B$41="ZA"),--('Flux'!$E$6:$E$41=DATE(2026,6,1)),'Flux'!$I$6:$I$41))</f>
        <v>0</v>
      </c>
      <c r="F114" s="31">
        <f>IF(OR(SUMPRODUCT(--('Flux'!$A$6:$A$41="2026Q2"),--('Flux'!$B$6:$B$41="ZA"),--('Flux'!$E$6:$E$41=DATE(2026,6,1)))=0,SUMPRODUCT(--('Flux'!$A$6:$A$41="2026Q2"),--('Flux'!$B$6:$B$41="ZA"),--('Flux'!$E$6:$E$41=DATE(2026,6,1)),--('Flux'!$T$6:$T$41="n.d."))&gt;0),"n.d.",SUMPRODUCT(--('Flux'!$A$6:$A$41="2026Q2"),--('Flux'!$B$6:$B$41="ZA"),--('Flux'!$E$6:$E$41=DATE(2026,6,1)),'Flux'!$T$6:$T$41))</f>
        <v>0.005278834339273194</v>
      </c>
      <c r="G114" s="31">
        <f>IF(OR(SUMPRODUCT(--('Flux'!$A$6:$A$41="2026Q2"),--('Flux'!$B$6:$B$41="ZA"),--('Flux'!$E$6:$E$41=DATE(2026,6,1)))=0,SUMPRODUCT(--('Flux'!$A$6:$A$41="2026Q2"),--('Flux'!$B$6:$B$41="ZA"),--('Flux'!$E$6:$E$41=DATE(2026,6,1)),--('Flux'!$U$6:$U$41="n.d."))&gt;0),"n.d.",SUMPRODUCT(--('Flux'!$A$6:$A$41="2026Q2"),--('Flux'!$B$6:$B$41="ZA"),--('Flux'!$E$6:$E$41=DATE(2026,6,1)),'Flux'!$U$6:$U$41))</f>
        <v>0.3148783208693137</v>
      </c>
    </row>
    <row r="118" spans="1:7">
      <c r="A118" s="28" t="s">
        <v>477</v>
      </c>
    </row>
    <row r="119" spans="1:7" ht="32" customHeight="1">
      <c r="A119" s="30" t="s">
        <v>426</v>
      </c>
      <c r="B119" s="30" t="s">
        <v>465</v>
      </c>
      <c r="C119" s="30" t="s">
        <v>466</v>
      </c>
      <c r="D119" s="30" t="s">
        <v>467</v>
      </c>
      <c r="E119" s="30" t="s">
        <v>468</v>
      </c>
      <c r="F119" s="30" t="s">
        <v>469</v>
      </c>
      <c r="G119" s="30" t="s">
        <v>395</v>
      </c>
    </row>
    <row r="120" spans="1:7">
      <c r="A120" s="31">
        <f>(IF(OR(COUNTIFS('Consolidation'!$A$6:$A$11,"2026Q2",'Consolidation'!$B$6:$B$11,"ZA")&lt;&gt;1,COUNTIFS('Consolidation'!$A$6:$A$11,"2026Q2",'Consolidation'!$B$6:$B$11,"ZA",'Consolidation'!$W$6:$W$11,"n.d.")&gt;0),"n.d.",SUMIFS('Consolidation'!$W$6:$W$11,'Consolidation'!$A$6:$A$11,"2026Q2",'Consolidation'!$B$6:$B$11,"ZA")))*(IF(OR(COUNTIFS('Consolidation'!$A$6:$A$11,"2026Q2",'Consolidation'!$B$6:$B$11,"ZA")&lt;&gt;1,COUNTIFS('Consolidation'!$A$6:$A$11,"2026Q2",'Consolidation'!$B$6:$B$11,"ZA",'Consolidation'!$E$6:$E$11,"n.d.")&gt;0),"n.d.",SUMIFS('Consolidation'!$E$6:$E$11,'Consolidation'!$A$6:$A$11,"2026Q2",'Consolidation'!$B$6:$B$11,"ZA")))</f>
        <v>3669189.573333318</v>
      </c>
      <c r="B120" s="31">
        <f>IF(OR(NOT(ISNUMBER(IF(OR(COUNTIFS('Consolidation'!$A$6:$A$11,"2026Q2",'Consolidation'!$B$6:$B$11,"ZA")&lt;&gt;1,COUNTIFS('Consolidation'!$A$6:$A$11,"2026Q2",'Consolidation'!$B$6:$B$11,"ZA",'Consolidation'!$Q$6:$Q$11,"n.d.")&gt;0),"n.d.",SUMIFS('Consolidation'!$Q$6:$Q$11,'Consolidation'!$A$6:$A$11,"2026Q2",'Consolidation'!$B$6:$B$11,"ZA")))),NOT(ISNUMBER(IF(OR(COUNTIFS('Consolidation'!$A$6:$A$11,"2026Q2",'Consolidation'!$B$6:$B$11,"ZA")&lt;&gt;1,COUNTIFS('Consolidation'!$A$6:$A$11,"2026Q2",'Consolidation'!$B$6:$B$11,"ZA",'Consolidation'!$S$6:$S$11,"n.d.")&gt;0),"n.d.",SUMIFS('Consolidation'!$S$6:$S$11,'Consolidation'!$A$6:$A$11,"2026Q2",'Consolidation'!$B$6:$B$11,"ZA")))),(IF(OR(COUNTIFS('Consolidation'!$A$6:$A$11,"2026Q2",'Consolidation'!$B$6:$B$11,"ZA")&lt;&gt;1,COUNTIFS('Consolidation'!$A$6:$A$11,"2026Q2",'Consolidation'!$B$6:$B$11,"ZA",'Consolidation'!$S$6:$S$11,"n.d.")&gt;0),"n.d.",SUMIFS('Consolidation'!$S$6:$S$11,'Consolidation'!$A$6:$A$11,"2026Q2",'Consolidation'!$B$6:$B$11,"ZA")))=0),"n.d.",(IF(OR(COUNTIFS('Consolidation'!$A$6:$A$11,"2026Q2",'Consolidation'!$B$6:$B$11,"ZA")&lt;&gt;1,COUNTIFS('Consolidation'!$A$6:$A$11,"2026Q2",'Consolidation'!$B$6:$B$11,"ZA",'Consolidation'!$Q$6:$Q$11,"n.d.")&gt;0),"n.d.",SUMIFS('Consolidation'!$Q$6:$Q$11,'Consolidation'!$A$6:$A$11,"2026Q2",'Consolidation'!$B$6:$B$11,"ZA")))/(IF(OR(COUNTIFS('Consolidation'!$A$6:$A$11,"2026Q2",'Consolidation'!$B$6:$B$11,"ZA")&lt;&gt;1,COUNTIFS('Consolidation'!$A$6:$A$11,"2026Q2",'Consolidation'!$B$6:$B$11,"ZA",'Consolidation'!$S$6:$S$11,"n.d.")&gt;0),"n.d.",SUMIFS('Consolidation'!$S$6:$S$11,'Consolidation'!$A$6:$A$11,"2026Q2",'Consolidation'!$B$6:$B$11,"ZA")))*(IF(OR(COUNTIFS('Consolidation'!$A$6:$A$11,"2026Q2",'Consolidation'!$B$6:$B$11,"ZA")&lt;&gt;1,COUNTIFS('Consolidation'!$A$6:$A$11,"2026Q2",'Consolidation'!$B$6:$B$11,"ZA",'Consolidation'!$E$6:$E$11,"n.d.")&gt;0),"n.d.",SUMIFS('Consolidation'!$E$6:$E$11,'Consolidation'!$A$6:$A$11,"2026Q2",'Consolidation'!$B$6:$B$11,"ZA"))))</f>
        <v>191.479268704228</v>
      </c>
      <c r="C120" s="31">
        <f>IF(OR(COUNTIFS('Consolidation'!$A$6:$A$11,"2026Q2",'Consolidation'!$B$6:$B$11,"ZA")&lt;&gt;1,COUNTIFS('Consolidation'!$A$6:$A$11,"2026Q2",'Consolidation'!$B$6:$B$11,"ZA",'Consolidation'!$X$6:$X$11,"n.d.")&gt;0),"n.d.",SUMIFS('Consolidation'!$X$6:$X$11,'Consolidation'!$A$6:$A$11,"2026Q2",'Consolidation'!$B$6:$B$11,"ZA"))</f>
        <v>0.6493430482328113</v>
      </c>
      <c r="D120" s="31">
        <f>IF(OR(COUNTIFS('Consolidation'!$A$6:$A$11,"2026Q2",'Consolidation'!$B$6:$B$11,"ZA")&lt;&gt;1,COUNTIFS('Consolidation'!$A$6:$A$11,"2026Q2",'Consolidation'!$B$6:$B$11,"ZA",'Consolidation'!$Y$6:$Y$11,"n.d.")&gt;0),"n.d.",SUMIFS('Consolidation'!$Y$6:$Y$11,'Consolidation'!$A$6:$A$11,"2026Q2",'Consolidation'!$B$6:$B$11,"ZA"))</f>
        <v>0.8549981233579382</v>
      </c>
      <c r="E120" s="31">
        <f>IF(OR(COUNTIFS('Consolidation'!$A$6:$A$11,"2026Q2",'Consolidation'!$B$6:$B$11,"ZA")&lt;&gt;1,COUNTIFS('Consolidation'!$A$6:$A$11,"2026Q2",'Consolidation'!$B$6:$B$11,"ZA",'Consolidation'!$H$6:$H$11,"n.d.")&gt;0),"n.d.",SUMIFS('Consolidation'!$H$6:$H$11,'Consolidation'!$A$6:$A$11,"2026Q2",'Consolidation'!$B$6:$B$11,"ZA"))</f>
        <v>31178863.20999884</v>
      </c>
      <c r="F120" s="31">
        <f>IF(OR(COUNTIFS('Consolidation'!$A$6:$A$11,"2026Q2",'Consolidation'!$B$6:$B$11,"ZA")&lt;&gt;1,COUNTIFS('Consolidation'!$A$6:$A$11,"2026Q2",'Consolidation'!$B$6:$B$11,"ZA",'Consolidation'!$J$6:$J$11,"n.d.")&gt;0),"n.d.",SUMIFS('Consolidation'!$J$6:$J$11,'Consolidation'!$A$6:$A$11,"2026Q2",'Consolidation'!$B$6:$B$11,"ZA"))</f>
        <v>35668503.48999883</v>
      </c>
    </row>
    <row r="124" spans="1:7">
      <c r="A124" s="28" t="s">
        <v>479</v>
      </c>
    </row>
    <row r="125" spans="1:7" ht="32" customHeight="1">
      <c r="A125" s="30" t="s">
        <v>413</v>
      </c>
      <c r="B125" s="30" t="s">
        <v>451</v>
      </c>
      <c r="C125" s="30" t="s">
        <v>453</v>
      </c>
      <c r="D125" s="30" t="s">
        <v>480</v>
      </c>
      <c r="E125" s="30" t="s">
        <v>481</v>
      </c>
      <c r="F125" s="30" t="s">
        <v>428</v>
      </c>
      <c r="G125" s="30" t="s">
        <v>429</v>
      </c>
    </row>
    <row r="126" spans="1:7">
      <c r="A126" t="s">
        <v>414</v>
      </c>
      <c r="B126" s="31">
        <f>IF(OR(SUMPRODUCT(--('Flux'!$A$6:$A$41="2026Q2"),--('Flux'!$B$6:$B$41="DK"),--('Flux'!$E$6:$E$41=DATE(2026,1,1)))=0,SUMPRODUCT(--('Flux'!$A$6:$A$41="2026Q2"),--('Flux'!$B$6:$B$41="DK"),--('Flux'!$E$6:$E$41=DATE(2026,1,1)),--('Flux'!$H$6:$H$41="n.d."))&gt;0),"n.d.",SUMPRODUCT(--('Flux'!$A$6:$A$41="2026Q2"),--('Flux'!$B$6:$B$41="DK"),--('Flux'!$E$6:$E$41=DATE(2026,1,1)),'Flux'!$H$6:$H$41))</f>
        <v>119420.00000000004</v>
      </c>
      <c r="C126" s="31">
        <f>IF(OR(SUMPRODUCT(--('Flux'!$A$6:$A$41="2026Q2"),--('Flux'!$B$6:$B$41="DK"),--('Flux'!$E$6:$E$41=DATE(2026,1,1)))=0,SUMPRODUCT(--('Flux'!$A$6:$A$41="2026Q2"),--('Flux'!$B$6:$B$41="DK"),--('Flux'!$E$6:$E$41=DATE(2026,1,1)),--('Flux'!$O$6:$O$41="n.d."))&gt;0),"n.d.",SUMPRODUCT(--('Flux'!$A$6:$A$41="2026Q2"),--('Flux'!$B$6:$B$41="DK"),--('Flux'!$E$6:$E$41=DATE(2026,1,1)),'Flux'!$O$6:$O$41))</f>
        <v>0.0</v>
      </c>
      <c r="D126" s="31">
        <f>IF(OR(SUMPRODUCT(--('Flux'!$A$6:$A$41="2026Q2"),--('Flux'!$B$6:$B$41="DK"),--('Flux'!$E$6:$E$41=DATE(2026,1,1)))=0,SUMPRODUCT(--('Flux'!$A$6:$A$41="2026Q2"),--('Flux'!$B$6:$B$41="DK"),--('Flux'!$E$6:$E$41=DATE(2026,1,1)),--('Flux'!$K$6:$K$41="n.d."))&gt;0),"n.d.",SUMPRODUCT(--('Flux'!$A$6:$A$41="2026Q2"),--('Flux'!$B$6:$B$41="DK"),--('Flux'!$E$6:$E$41=DATE(2026,1,1)),'Flux'!$K$6:$K$41))</f>
        <v>0</v>
      </c>
      <c r="E126" s="31">
        <f>IF(OR(SUMPRODUCT(--('Flux'!$A$6:$A$41="2026Q2"),--('Flux'!$B$6:$B$41="DK"),--('Flux'!$E$6:$E$41=DATE(2026,1,1)))=0,SUMPRODUCT(--('Flux'!$A$6:$A$41="2026Q2"),--('Flux'!$B$6:$B$41="DK"),--('Flux'!$E$6:$E$41=DATE(2026,1,1)),--('Flux'!$L$6:$L$41="n.d."))&gt;0),"n.d.",SUMPRODUCT(--('Flux'!$A$6:$A$41="2026Q2"),--('Flux'!$B$6:$B$41="DK"),--('Flux'!$E$6:$E$41=DATE(2026,1,1)),'Flux'!$L$6:$L$41))</f>
        <v>11216.079999999998</v>
      </c>
      <c r="F126" s="31">
        <f>IF(OR(SUMPRODUCT(--('Flux'!$A$6:$A$41="2026Q2"),--('Flux'!$B$6:$B$41="DK"),--('Flux'!$E$6:$E$41=DATE(2026,1,1)))=0,SUMPRODUCT(--('Flux'!$A$6:$A$41="2026Q2"),--('Flux'!$B$6:$B$41="DK"),--('Flux'!$E$6:$E$41=DATE(2026,1,1)),--('Flux'!$T$6:$T$41="n.d."))&gt;0),"n.d.",SUMPRODUCT(--('Flux'!$A$6:$A$41="2026Q2"),--('Flux'!$B$6:$B$41="DK"),--('Flux'!$E$6:$E$41=DATE(2026,1,1)),'Flux'!$T$6:$T$41))</f>
        <v>1.0</v>
      </c>
      <c r="G126" s="31">
        <f>IF(OR(SUMPRODUCT(--('Flux'!$A$6:$A$41="2026Q2"),--('Flux'!$B$6:$B$41="DK"),--('Flux'!$E$6:$E$41=DATE(2026,1,1)))=0,SUMPRODUCT(--('Flux'!$A$6:$A$41="2026Q2"),--('Flux'!$B$6:$B$41="DK"),--('Flux'!$E$6:$E$41=DATE(2026,1,1)),--('Flux'!$U$6:$U$41="n.d."))&gt;0),"n.d.",SUMPRODUCT(--('Flux'!$A$6:$A$41="2026Q2"),--('Flux'!$B$6:$B$41="DK"),--('Flux'!$E$6:$E$41=DATE(2026,1,1)),'Flux'!$U$6:$U$41))</f>
        <v>1.0</v>
      </c>
    </row>
    <row r="127" spans="1:7">
      <c r="A127" t="s">
        <v>415</v>
      </c>
      <c r="B127" s="31">
        <f>IF(OR(SUMPRODUCT(--('Flux'!$A$6:$A$41="2026Q2"),--('Flux'!$B$6:$B$41="DK"),--('Flux'!$E$6:$E$41=DATE(2026,2,1)))=0,SUMPRODUCT(--('Flux'!$A$6:$A$41="2026Q2"),--('Flux'!$B$6:$B$41="DK"),--('Flux'!$E$6:$E$41=DATE(2026,2,1)),--('Flux'!$H$6:$H$41="n.d."))&gt;0),"n.d.",SUMPRODUCT(--('Flux'!$A$6:$A$41="2026Q2"),--('Flux'!$B$6:$B$41="DK"),--('Flux'!$E$6:$E$41=DATE(2026,2,1)),'Flux'!$H$6:$H$41))</f>
        <v>99095.89999999998</v>
      </c>
      <c r="C127" s="31">
        <f>IF(OR(SUMPRODUCT(--('Flux'!$A$6:$A$41="2026Q2"),--('Flux'!$B$6:$B$41="DK"),--('Flux'!$E$6:$E$41=DATE(2026,2,1)))=0,SUMPRODUCT(--('Flux'!$A$6:$A$41="2026Q2"),--('Flux'!$B$6:$B$41="DK"),--('Flux'!$E$6:$E$41=DATE(2026,2,1)),--('Flux'!$O$6:$O$41="n.d."))&gt;0),"n.d.",SUMPRODUCT(--('Flux'!$A$6:$A$41="2026Q2"),--('Flux'!$B$6:$B$41="DK"),--('Flux'!$E$6:$E$41=DATE(2026,2,1)),'Flux'!$O$6:$O$41))</f>
        <v>937.5000000000873</v>
      </c>
      <c r="D127" s="31">
        <f>IF(OR(SUMPRODUCT(--('Flux'!$A$6:$A$41="2026Q2"),--('Flux'!$B$6:$B$41="DK"),--('Flux'!$E$6:$E$41=DATE(2026,2,1)))=0,SUMPRODUCT(--('Flux'!$A$6:$A$41="2026Q2"),--('Flux'!$B$6:$B$41="DK"),--('Flux'!$E$6:$E$41=DATE(2026,2,1)),--('Flux'!$K$6:$K$41="n.d."))&gt;0),"n.d.",SUMPRODUCT(--('Flux'!$A$6:$A$41="2026Q2"),--('Flux'!$B$6:$B$41="DK"),--('Flux'!$E$6:$E$41=DATE(2026,2,1)),'Flux'!$K$6:$K$41))</f>
        <v>0</v>
      </c>
      <c r="E127" s="31">
        <f>IF(OR(SUMPRODUCT(--('Flux'!$A$6:$A$41="2026Q2"),--('Flux'!$B$6:$B$41="DK"),--('Flux'!$E$6:$E$41=DATE(2026,2,1)))=0,SUMPRODUCT(--('Flux'!$A$6:$A$41="2026Q2"),--('Flux'!$B$6:$B$41="DK"),--('Flux'!$E$6:$E$41=DATE(2026,2,1)),--('Flux'!$L$6:$L$41="n.d."))&gt;0),"n.d.",SUMPRODUCT(--('Flux'!$A$6:$A$41="2026Q2"),--('Flux'!$B$6:$B$41="DK"),--('Flux'!$E$6:$E$41=DATE(2026,2,1)),'Flux'!$L$6:$L$41))</f>
        <v>156607.86</v>
      </c>
      <c r="F127" s="31">
        <f>IF(OR(SUMPRODUCT(--('Flux'!$A$6:$A$41="2026Q2"),--('Flux'!$B$6:$B$41="DK"),--('Flux'!$E$6:$E$41=DATE(2026,2,1)))=0,SUMPRODUCT(--('Flux'!$A$6:$A$41="2026Q2"),--('Flux'!$B$6:$B$41="DK"),--('Flux'!$E$6:$E$41=DATE(2026,2,1)),--('Flux'!$T$6:$T$41="n.d."))&gt;0),"n.d.",SUMPRODUCT(--('Flux'!$A$6:$A$41="2026Q2"),--('Flux'!$B$6:$B$41="DK"),--('Flux'!$E$6:$E$41=DATE(2026,2,1)),'Flux'!$T$6:$T$41))</f>
        <v>0.9963470410019025</v>
      </c>
      <c r="G127" s="31">
        <f>IF(OR(SUMPRODUCT(--('Flux'!$A$6:$A$41="2026Q2"),--('Flux'!$B$6:$B$41="DK"),--('Flux'!$E$6:$E$41=DATE(2026,2,1)))=0,SUMPRODUCT(--('Flux'!$A$6:$A$41="2026Q2"),--('Flux'!$B$6:$B$41="DK"),--('Flux'!$E$6:$E$41=DATE(2026,2,1)),--('Flux'!$U$6:$U$41="n.d."))&gt;0),"n.d.",SUMPRODUCT(--('Flux'!$A$6:$A$41="2026Q2"),--('Flux'!$B$6:$B$41="DK"),--('Flux'!$E$6:$E$41=DATE(2026,2,1)),'Flux'!$U$6:$U$41))</f>
        <v>0.9975</v>
      </c>
    </row>
    <row r="128" spans="1:7">
      <c r="A128" t="s">
        <v>416</v>
      </c>
      <c r="B128" s="31">
        <f>IF(OR(SUMPRODUCT(--('Flux'!$A$6:$A$41="2026Q2"),--('Flux'!$B$6:$B$41="DK"),--('Flux'!$E$6:$E$41=DATE(2026,3,1)))=0,SUMPRODUCT(--('Flux'!$A$6:$A$41="2026Q2"),--('Flux'!$B$6:$B$41="DK"),--('Flux'!$E$6:$E$41=DATE(2026,3,1)),--('Flux'!$H$6:$H$41="n.d."))&gt;0),"n.d.",SUMPRODUCT(--('Flux'!$A$6:$A$41="2026Q2"),--('Flux'!$B$6:$B$41="DK"),--('Flux'!$E$6:$E$41=DATE(2026,3,1)),'Flux'!$H$6:$H$41))</f>
        <v>93872.86999999992</v>
      </c>
      <c r="C128" s="31">
        <f>IF(OR(SUMPRODUCT(--('Flux'!$A$6:$A$41="2026Q2"),--('Flux'!$B$6:$B$41="DK"),--('Flux'!$E$6:$E$41=DATE(2026,3,1)))=0,SUMPRODUCT(--('Flux'!$A$6:$A$41="2026Q2"),--('Flux'!$B$6:$B$41="DK"),--('Flux'!$E$6:$E$41=DATE(2026,3,1)),--('Flux'!$O$6:$O$41="n.d."))&gt;0),"n.d.",SUMPRODUCT(--('Flux'!$A$6:$A$41="2026Q2"),--('Flux'!$B$6:$B$41="DK"),--('Flux'!$E$6:$E$41=DATE(2026,3,1)),'Flux'!$O$6:$O$41))</f>
        <v>2768.7899999999936</v>
      </c>
      <c r="D128" s="31">
        <f>IF(OR(SUMPRODUCT(--('Flux'!$A$6:$A$41="2026Q2"),--('Flux'!$B$6:$B$41="DK"),--('Flux'!$E$6:$E$41=DATE(2026,3,1)))=0,SUMPRODUCT(--('Flux'!$A$6:$A$41="2026Q2"),--('Flux'!$B$6:$B$41="DK"),--('Flux'!$E$6:$E$41=DATE(2026,3,1)),--('Flux'!$K$6:$K$41="n.d."))&gt;0),"n.d.",SUMPRODUCT(--('Flux'!$A$6:$A$41="2026Q2"),--('Flux'!$B$6:$B$41="DK"),--('Flux'!$E$6:$E$41=DATE(2026,3,1)),'Flux'!$K$6:$K$41))</f>
        <v>0</v>
      </c>
      <c r="E128" s="31">
        <f>IF(OR(SUMPRODUCT(--('Flux'!$A$6:$A$41="2026Q2"),--('Flux'!$B$6:$B$41="DK"),--('Flux'!$E$6:$E$41=DATE(2026,3,1)))=0,SUMPRODUCT(--('Flux'!$A$6:$A$41="2026Q2"),--('Flux'!$B$6:$B$41="DK"),--('Flux'!$E$6:$E$41=DATE(2026,3,1)),--('Flux'!$L$6:$L$41="n.d."))&gt;0),"n.d.",SUMPRODUCT(--('Flux'!$A$6:$A$41="2026Q2"),--('Flux'!$B$6:$B$41="DK"),--('Flux'!$E$6:$E$41=DATE(2026,3,1)),'Flux'!$L$6:$L$41))</f>
        <v>14652.770000000002</v>
      </c>
      <c r="F128" s="31">
        <f>IF(OR(SUMPRODUCT(--('Flux'!$A$6:$A$41="2026Q2"),--('Flux'!$B$6:$B$41="DK"),--('Flux'!$E$6:$E$41=DATE(2026,3,1)))=0,SUMPRODUCT(--('Flux'!$A$6:$A$41="2026Q2"),--('Flux'!$B$6:$B$41="DK"),--('Flux'!$E$6:$E$41=DATE(2026,3,1)),--('Flux'!$T$6:$T$41="n.d."))&gt;0),"n.d.",SUMPRODUCT(--('Flux'!$A$6:$A$41="2026Q2"),--('Flux'!$B$6:$B$41="DK"),--('Flux'!$E$6:$E$41=DATE(2026,3,1)),'Flux'!$T$6:$T$41))</f>
        <v>0.9751219355721576</v>
      </c>
      <c r="G128" s="31">
        <f>IF(OR(SUMPRODUCT(--('Flux'!$A$6:$A$41="2026Q2"),--('Flux'!$B$6:$B$41="DK"),--('Flux'!$E$6:$E$41=DATE(2026,3,1)))=0,SUMPRODUCT(--('Flux'!$A$6:$A$41="2026Q2"),--('Flux'!$B$6:$B$41="DK"),--('Flux'!$E$6:$E$41=DATE(2026,3,1)),--('Flux'!$U$6:$U$41="n.d."))&gt;0),"n.d.",SUMPRODUCT(--('Flux'!$A$6:$A$41="2026Q2"),--('Flux'!$B$6:$B$41="DK"),--('Flux'!$E$6:$E$41=DATE(2026,3,1)),'Flux'!$U$6:$U$41))</f>
        <v>0.9865591397849462</v>
      </c>
    </row>
    <row r="129" spans="1:7">
      <c r="A129" t="s">
        <v>417</v>
      </c>
      <c r="B129" s="31">
        <f>IF(OR(SUMPRODUCT(--('Flux'!$A$6:$A$41="2026Q2"),--('Flux'!$B$6:$B$41="DK"),--('Flux'!$E$6:$E$41=DATE(2026,4,1)))=0,SUMPRODUCT(--('Flux'!$A$6:$A$41="2026Q2"),--('Flux'!$B$6:$B$41="DK"),--('Flux'!$E$6:$E$41=DATE(2026,4,1)),--('Flux'!$H$6:$H$41="n.d."))&gt;0),"n.d.",SUMPRODUCT(--('Flux'!$A$6:$A$41="2026Q2"),--('Flux'!$B$6:$B$41="DK"),--('Flux'!$E$6:$E$41=DATE(2026,4,1)),'Flux'!$H$6:$H$41))</f>
        <v>78374.69000000002</v>
      </c>
      <c r="C129" s="31">
        <f>IF(OR(SUMPRODUCT(--('Flux'!$A$6:$A$41="2026Q2"),--('Flux'!$B$6:$B$41="DK"),--('Flux'!$E$6:$E$41=DATE(2026,4,1)))=0,SUMPRODUCT(--('Flux'!$A$6:$A$41="2026Q2"),--('Flux'!$B$6:$B$41="DK"),--('Flux'!$E$6:$E$41=DATE(2026,4,1)),--('Flux'!$O$6:$O$41="n.d."))&gt;0),"n.d.",SUMPRODUCT(--('Flux'!$A$6:$A$41="2026Q2"),--('Flux'!$B$6:$B$41="DK"),--('Flux'!$E$6:$E$41=DATE(2026,4,1)),'Flux'!$O$6:$O$41))</f>
        <v>21365.390000000043</v>
      </c>
      <c r="D129" s="31">
        <f>IF(OR(SUMPRODUCT(--('Flux'!$A$6:$A$41="2026Q2"),--('Flux'!$B$6:$B$41="DK"),--('Flux'!$E$6:$E$41=DATE(2026,4,1)))=0,SUMPRODUCT(--('Flux'!$A$6:$A$41="2026Q2"),--('Flux'!$B$6:$B$41="DK"),--('Flux'!$E$6:$E$41=DATE(2026,4,1)),--('Flux'!$K$6:$K$41="n.d."))&gt;0),"n.d.",SUMPRODUCT(--('Flux'!$A$6:$A$41="2026Q2"),--('Flux'!$B$6:$B$41="DK"),--('Flux'!$E$6:$E$41=DATE(2026,4,1)),'Flux'!$K$6:$K$41))</f>
        <v>0</v>
      </c>
      <c r="E129" s="31">
        <f>IF(OR(SUMPRODUCT(--('Flux'!$A$6:$A$41="2026Q2"),--('Flux'!$B$6:$B$41="DK"),--('Flux'!$E$6:$E$41=DATE(2026,4,1)))=0,SUMPRODUCT(--('Flux'!$A$6:$A$41="2026Q2"),--('Flux'!$B$6:$B$41="DK"),--('Flux'!$E$6:$E$41=DATE(2026,4,1)),--('Flux'!$L$6:$L$41="n.d."))&gt;0),"n.d.",SUMPRODUCT(--('Flux'!$A$6:$A$41="2026Q2"),--('Flux'!$B$6:$B$41="DK"),--('Flux'!$E$6:$E$41=DATE(2026,4,1)),'Flux'!$L$6:$L$41))</f>
        <v>12653.27</v>
      </c>
      <c r="F129" s="31">
        <f>IF(OR(SUMPRODUCT(--('Flux'!$A$6:$A$41="2026Q2"),--('Flux'!$B$6:$B$41="DK"),--('Flux'!$E$6:$E$41=DATE(2026,4,1)))=0,SUMPRODUCT(--('Flux'!$A$6:$A$41="2026Q2"),--('Flux'!$B$6:$B$41="DK"),--('Flux'!$E$6:$E$41=DATE(2026,4,1)),--('Flux'!$T$6:$T$41="n.d."))&gt;0),"n.d.",SUMPRODUCT(--('Flux'!$A$6:$A$41="2026Q2"),--('Flux'!$B$6:$B$41="DK"),--('Flux'!$E$6:$E$41=DATE(2026,4,1)),'Flux'!$T$6:$T$41))</f>
        <v>0.8099052123635426</v>
      </c>
      <c r="G129" s="31">
        <f>IF(OR(SUMPRODUCT(--('Flux'!$A$6:$A$41="2026Q2"),--('Flux'!$B$6:$B$41="DK"),--('Flux'!$E$6:$E$41=DATE(2026,4,1)))=0,SUMPRODUCT(--('Flux'!$A$6:$A$41="2026Q2"),--('Flux'!$B$6:$B$41="DK"),--('Flux'!$E$6:$E$41=DATE(2026,4,1)),--('Flux'!$U$6:$U$41="n.d."))&gt;0),"n.d.",SUMPRODUCT(--('Flux'!$A$6:$A$41="2026Q2"),--('Flux'!$B$6:$B$41="DK"),--('Flux'!$E$6:$E$41=DATE(2026,4,1)),'Flux'!$U$6:$U$41))</f>
        <v>0.6211699164345403</v>
      </c>
    </row>
    <row r="130" spans="1:7">
      <c r="A130" t="s">
        <v>418</v>
      </c>
      <c r="B130" s="31">
        <f>IF(OR(SUMPRODUCT(--('Flux'!$A$6:$A$41="2026Q2"),--('Flux'!$B$6:$B$41="DK"),--('Flux'!$E$6:$E$41=DATE(2026,5,1)))=0,SUMPRODUCT(--('Flux'!$A$6:$A$41="2026Q2"),--('Flux'!$B$6:$B$41="DK"),--('Flux'!$E$6:$E$41=DATE(2026,5,1)),--('Flux'!$H$6:$H$41="n.d."))&gt;0),"n.d.",SUMPRODUCT(--('Flux'!$A$6:$A$41="2026Q2"),--('Flux'!$B$6:$B$41="DK"),--('Flux'!$E$6:$E$41=DATE(2026,5,1)),'Flux'!$H$6:$H$41))</f>
        <v>28482.279999999995</v>
      </c>
      <c r="C130" s="31">
        <f>IF(OR(SUMPRODUCT(--('Flux'!$A$6:$A$41="2026Q2"),--('Flux'!$B$6:$B$41="DK"),--('Flux'!$E$6:$E$41=DATE(2026,5,1)))=0,SUMPRODUCT(--('Flux'!$A$6:$A$41="2026Q2"),--('Flux'!$B$6:$B$41="DK"),--('Flux'!$E$6:$E$41=DATE(2026,5,1)),--('Flux'!$O$6:$O$41="n.d."))&gt;0),"n.d.",SUMPRODUCT(--('Flux'!$A$6:$A$41="2026Q2"),--('Flux'!$B$6:$B$41="DK"),--('Flux'!$E$6:$E$41=DATE(2026,5,1)),'Flux'!$O$6:$O$41))</f>
        <v>97486.80999999998</v>
      </c>
      <c r="D130" s="31">
        <f>IF(OR(SUMPRODUCT(--('Flux'!$A$6:$A$41="2026Q2"),--('Flux'!$B$6:$B$41="DK"),--('Flux'!$E$6:$E$41=DATE(2026,5,1)))=0,SUMPRODUCT(--('Flux'!$A$6:$A$41="2026Q2"),--('Flux'!$B$6:$B$41="DK"),--('Flux'!$E$6:$E$41=DATE(2026,5,1)),--('Flux'!$K$6:$K$41="n.d."))&gt;0),"n.d.",SUMPRODUCT(--('Flux'!$A$6:$A$41="2026Q2"),--('Flux'!$B$6:$B$41="DK"),--('Flux'!$E$6:$E$41=DATE(2026,5,1)),'Flux'!$K$6:$K$41))</f>
        <v>0</v>
      </c>
      <c r="E130" s="31">
        <f>IF(OR(SUMPRODUCT(--('Flux'!$A$6:$A$41="2026Q2"),--('Flux'!$B$6:$B$41="DK"),--('Flux'!$E$6:$E$41=DATE(2026,5,1)))=0,SUMPRODUCT(--('Flux'!$A$6:$A$41="2026Q2"),--('Flux'!$B$6:$B$41="DK"),--('Flux'!$E$6:$E$41=DATE(2026,5,1)),--('Flux'!$L$6:$L$41="n.d."))&gt;0),"n.d.",SUMPRODUCT(--('Flux'!$A$6:$A$41="2026Q2"),--('Flux'!$B$6:$B$41="DK"),--('Flux'!$E$6:$E$41=DATE(2026,5,1)),'Flux'!$L$6:$L$41))</f>
        <v>36540.14</v>
      </c>
      <c r="F130" s="31">
        <f>IF(OR(SUMPRODUCT(--('Flux'!$A$6:$A$41="2026Q2"),--('Flux'!$B$6:$B$41="DK"),--('Flux'!$E$6:$E$41=DATE(2026,5,1)))=0,SUMPRODUCT(--('Flux'!$A$6:$A$41="2026Q2"),--('Flux'!$B$6:$B$41="DK"),--('Flux'!$E$6:$E$41=DATE(2026,5,1)),--('Flux'!$T$6:$T$41="n.d."))&gt;0),"n.d.",SUMPRODUCT(--('Flux'!$A$6:$A$41="2026Q2"),--('Flux'!$B$6:$B$41="DK"),--('Flux'!$E$6:$E$41=DATE(2026,5,1)),'Flux'!$T$6:$T$41))</f>
        <v>0.4001152426849848</v>
      </c>
      <c r="G130" s="31">
        <f>IF(OR(SUMPRODUCT(--('Flux'!$A$6:$A$41="2026Q2"),--('Flux'!$B$6:$B$41="DK"),--('Flux'!$E$6:$E$41=DATE(2026,5,1)))=0,SUMPRODUCT(--('Flux'!$A$6:$A$41="2026Q2"),--('Flux'!$B$6:$B$41="DK"),--('Flux'!$E$6:$E$41=DATE(2026,5,1)),--('Flux'!$U$6:$U$41="n.d."))&gt;0),"n.d.",SUMPRODUCT(--('Flux'!$A$6:$A$41="2026Q2"),--('Flux'!$B$6:$B$41="DK"),--('Flux'!$E$6:$E$41=DATE(2026,5,1)),'Flux'!$U$6:$U$41))</f>
        <v>0.19113573407202217</v>
      </c>
    </row>
    <row r="131" spans="1:7">
      <c r="A131" t="s">
        <v>419</v>
      </c>
      <c r="B131" s="31">
        <f>IF(OR(SUMPRODUCT(--('Flux'!$A$6:$A$41="2026Q2"),--('Flux'!$B$6:$B$41="DK"),--('Flux'!$E$6:$E$41=DATE(2026,6,1)))=0,SUMPRODUCT(--('Flux'!$A$6:$A$41="2026Q2"),--('Flux'!$B$6:$B$41="DK"),--('Flux'!$E$6:$E$41=DATE(2026,6,1)),--('Flux'!$H$6:$H$41="n.d."))&gt;0),"n.d.",SUMPRODUCT(--('Flux'!$A$6:$A$41="2026Q2"),--('Flux'!$B$6:$B$41="DK"),--('Flux'!$E$6:$E$41=DATE(2026,6,1)),'Flux'!$H$6:$H$41))</f>
        <v>12784.949999999999</v>
      </c>
      <c r="C131" s="31">
        <f>IF(OR(SUMPRODUCT(--('Flux'!$A$6:$A$41="2026Q2"),--('Flux'!$B$6:$B$41="DK"),--('Flux'!$E$6:$E$41=DATE(2026,6,1)))=0,SUMPRODUCT(--('Flux'!$A$6:$A$41="2026Q2"),--('Flux'!$B$6:$B$41="DK"),--('Flux'!$E$6:$E$41=DATE(2026,6,1)),--('Flux'!$O$6:$O$41="n.d."))&gt;0),"n.d.",SUMPRODUCT(--('Flux'!$A$6:$A$41="2026Q2"),--('Flux'!$B$6:$B$41="DK"),--('Flux'!$E$6:$E$41=DATE(2026,6,1)),'Flux'!$O$6:$O$41))</f>
        <v>59739.32000000008</v>
      </c>
      <c r="D131" s="31">
        <f>IF(OR(SUMPRODUCT(--('Flux'!$A$6:$A$41="2026Q2"),--('Flux'!$B$6:$B$41="DK"),--('Flux'!$E$6:$E$41=DATE(2026,6,1)))=0,SUMPRODUCT(--('Flux'!$A$6:$A$41="2026Q2"),--('Flux'!$B$6:$B$41="DK"),--('Flux'!$E$6:$E$41=DATE(2026,6,1)),--('Flux'!$K$6:$K$41="n.d."))&gt;0),"n.d.",SUMPRODUCT(--('Flux'!$A$6:$A$41="2026Q2"),--('Flux'!$B$6:$B$41="DK"),--('Flux'!$E$6:$E$41=DATE(2026,6,1)),'Flux'!$K$6:$K$41))</f>
        <v>0</v>
      </c>
      <c r="E131" s="31">
        <f>IF(OR(SUMPRODUCT(--('Flux'!$A$6:$A$41="2026Q2"),--('Flux'!$B$6:$B$41="DK"),--('Flux'!$E$6:$E$41=DATE(2026,6,1)))=0,SUMPRODUCT(--('Flux'!$A$6:$A$41="2026Q2"),--('Flux'!$B$6:$B$41="DK"),--('Flux'!$E$6:$E$41=DATE(2026,6,1)),--('Flux'!$L$6:$L$41="n.d."))&gt;0),"n.d.",SUMPRODUCT(--('Flux'!$A$6:$A$41="2026Q2"),--('Flux'!$B$6:$B$41="DK"),--('Flux'!$E$6:$E$41=DATE(2026,6,1)),'Flux'!$L$6:$L$41))</f>
        <v>14924.059999999998</v>
      </c>
      <c r="F131" s="31">
        <f>IF(OR(SUMPRODUCT(--('Flux'!$A$6:$A$41="2026Q2"),--('Flux'!$B$6:$B$41="DK"),--('Flux'!$E$6:$E$41=DATE(2026,6,1)))=0,SUMPRODUCT(--('Flux'!$A$6:$A$41="2026Q2"),--('Flux'!$B$6:$B$41="DK"),--('Flux'!$E$6:$E$41=DATE(2026,6,1)),--('Flux'!$T$6:$T$41="n.d."))&gt;0),"n.d.",SUMPRODUCT(--('Flux'!$A$6:$A$41="2026Q2"),--('Flux'!$B$6:$B$41="DK"),--('Flux'!$E$6:$E$41=DATE(2026,6,1)),'Flux'!$T$6:$T$41))</f>
        <v>0.3168615112489852</v>
      </c>
      <c r="G131" s="31">
        <f>IF(OR(SUMPRODUCT(--('Flux'!$A$6:$A$41="2026Q2"),--('Flux'!$B$6:$B$41="DK"),--('Flux'!$E$6:$E$41=DATE(2026,6,1)))=0,SUMPRODUCT(--('Flux'!$A$6:$A$41="2026Q2"),--('Flux'!$B$6:$B$41="DK"),--('Flux'!$E$6:$E$41=DATE(2026,6,1)),--('Flux'!$U$6:$U$41="n.d."))&gt;0),"n.d.",SUMPRODUCT(--('Flux'!$A$6:$A$41="2026Q2"),--('Flux'!$B$6:$B$41="DK"),--('Flux'!$E$6:$E$41=DATE(2026,6,1)),'Flux'!$U$6:$U$41))</f>
        <v>0.12837837837837837</v>
      </c>
    </row>
    <row r="135" spans="1:7">
      <c r="A135" s="28" t="s">
        <v>483</v>
      </c>
    </row>
    <row r="136" spans="1:7" ht="32" customHeight="1">
      <c r="A136" s="30" t="s">
        <v>426</v>
      </c>
      <c r="B136" s="30" t="s">
        <v>465</v>
      </c>
      <c r="C136" s="30" t="s">
        <v>466</v>
      </c>
      <c r="D136" s="30" t="s">
        <v>467</v>
      </c>
      <c r="E136" s="30" t="s">
        <v>468</v>
      </c>
      <c r="F136" s="30" t="s">
        <v>469</v>
      </c>
      <c r="G136" s="30" t="s">
        <v>395</v>
      </c>
    </row>
    <row r="137" spans="1:7">
      <c r="A137" s="31">
        <f>(IF(OR(COUNTIFS('Consolidation'!$A$6:$A$11,"2026Q2",'Consolidation'!$B$6:$B$11,"DK")&lt;&gt;1,COUNTIFS('Consolidation'!$A$6:$A$11,"2026Q2",'Consolidation'!$B$6:$B$11,"DK",'Consolidation'!$W$6:$W$11,"n.d.")&gt;0),"n.d.",SUMIFS('Consolidation'!$W$6:$W$11,'Consolidation'!$A$6:$A$11,"2026Q2",'Consolidation'!$B$6:$B$11,"DK")))*(IF(OR(COUNTIFS('Consolidation'!$A$6:$A$11,"2026Q2",'Consolidation'!$B$6:$B$11,"DK")&lt;&gt;1,COUNTIFS('Consolidation'!$A$6:$A$11,"2026Q2",'Consolidation'!$B$6:$B$11,"DK",'Consolidation'!$E$6:$E$11,"n.d.")&gt;0),"n.d.",SUMIFS('Consolidation'!$E$6:$E$11,'Consolidation'!$A$6:$A$11,"2026Q2",'Consolidation'!$B$6:$B$11,"DK")))</f>
        <v>143487.11333333337</v>
      </c>
      <c r="B137" s="31">
        <f>IF(OR(NOT(ISNUMBER(IF(OR(COUNTIFS('Consolidation'!$A$6:$A$11,"2026Q2",'Consolidation'!$B$6:$B$11,"DK")&lt;&gt;1,COUNTIFS('Consolidation'!$A$6:$A$11,"2026Q2",'Consolidation'!$B$6:$B$11,"DK",'Consolidation'!$Q$6:$Q$11,"n.d.")&gt;0),"n.d.",SUMIFS('Consolidation'!$Q$6:$Q$11,'Consolidation'!$A$6:$A$11,"2026Q2",'Consolidation'!$B$6:$B$11,"DK")))),NOT(ISNUMBER(IF(OR(COUNTIFS('Consolidation'!$A$6:$A$11,"2026Q2",'Consolidation'!$B$6:$B$11,"DK")&lt;&gt;1,COUNTIFS('Consolidation'!$A$6:$A$11,"2026Q2",'Consolidation'!$B$6:$B$11,"DK",'Consolidation'!$S$6:$S$11,"n.d.")&gt;0),"n.d.",SUMIFS('Consolidation'!$S$6:$S$11,'Consolidation'!$A$6:$A$11,"2026Q2",'Consolidation'!$B$6:$B$11,"DK")))),(IF(OR(COUNTIFS('Consolidation'!$A$6:$A$11,"2026Q2",'Consolidation'!$B$6:$B$11,"DK")&lt;&gt;1,COUNTIFS('Consolidation'!$A$6:$A$11,"2026Q2",'Consolidation'!$B$6:$B$11,"DK",'Consolidation'!$S$6:$S$11,"n.d.")&gt;0),"n.d.",SUMIFS('Consolidation'!$S$6:$S$11,'Consolidation'!$A$6:$A$11,"2026Q2",'Consolidation'!$B$6:$B$11,"DK")))=0),"n.d.",(IF(OR(COUNTIFS('Consolidation'!$A$6:$A$11,"2026Q2",'Consolidation'!$B$6:$B$11,"DK")&lt;&gt;1,COUNTIFS('Consolidation'!$A$6:$A$11,"2026Q2",'Consolidation'!$B$6:$B$11,"DK",'Consolidation'!$Q$6:$Q$11,"n.d.")&gt;0),"n.d.",SUMIFS('Consolidation'!$Q$6:$Q$11,'Consolidation'!$A$6:$A$11,"2026Q2",'Consolidation'!$B$6:$B$11,"DK")))/(IF(OR(COUNTIFS('Consolidation'!$A$6:$A$11,"2026Q2",'Consolidation'!$B$6:$B$11,"DK")&lt;&gt;1,COUNTIFS('Consolidation'!$A$6:$A$11,"2026Q2",'Consolidation'!$B$6:$B$11,"DK",'Consolidation'!$S$6:$S$11,"n.d.")&gt;0),"n.d.",SUMIFS('Consolidation'!$S$6:$S$11,'Consolidation'!$A$6:$A$11,"2026Q2",'Consolidation'!$B$6:$B$11,"DK")))*(IF(OR(COUNTIFS('Consolidation'!$A$6:$A$11,"2026Q2",'Consolidation'!$B$6:$B$11,"DK")&lt;&gt;1,COUNTIFS('Consolidation'!$A$6:$A$11,"2026Q2",'Consolidation'!$B$6:$B$11,"DK",'Consolidation'!$E$6:$E$11,"n.d.")&gt;0),"n.d.",SUMIFS('Consolidation'!$E$6:$E$11,'Consolidation'!$A$6:$A$11,"2026Q2",'Consolidation'!$B$6:$B$11,"DK"))))</f>
        <v>394.5566819431715</v>
      </c>
      <c r="C137" s="31">
        <f>IF(OR(COUNTIFS('Consolidation'!$A$6:$A$11,"2026Q2",'Consolidation'!$B$6:$B$11,"DK")&lt;&gt;1,COUNTIFS('Consolidation'!$A$6:$A$11,"2026Q2",'Consolidation'!$B$6:$B$11,"DK",'Consolidation'!$X$6:$X$11,"n.d.")&gt;0),"n.d.",SUMIFS('Consolidation'!$X$6:$X$11,'Consolidation'!$A$6:$A$11,"2026Q2",'Consolidation'!$B$6:$B$11,"DK"))</f>
        <v>1.0</v>
      </c>
      <c r="D137" s="31">
        <f>IF(OR(COUNTIFS('Consolidation'!$A$6:$A$11,"2026Q2",'Consolidation'!$B$6:$B$11,"DK")&lt;&gt;1,COUNTIFS('Consolidation'!$A$6:$A$11,"2026Q2",'Consolidation'!$B$6:$B$11,"DK",'Consolidation'!$Y$6:$Y$11,"n.d.")&gt;0),"n.d.",SUMIFS('Consolidation'!$Y$6:$Y$11,'Consolidation'!$A$6:$A$11,"2026Q2",'Consolidation'!$B$6:$B$11,"DK"))</f>
        <v>1.0</v>
      </c>
      <c r="E137" s="31">
        <f>IF(OR(COUNTIFS('Consolidation'!$A$6:$A$11,"2026Q2",'Consolidation'!$B$6:$B$11,"DK")&lt;&gt;1,COUNTIFS('Consolidation'!$A$6:$A$11,"2026Q2",'Consolidation'!$B$6:$B$11,"DK",'Consolidation'!$H$6:$H$11,"n.d.")&gt;0),"n.d.",SUMIFS('Consolidation'!$H$6:$H$11,'Consolidation'!$A$6:$A$11,"2026Q2",'Consolidation'!$B$6:$B$11,"DK"))</f>
        <v>182297.81000000006</v>
      </c>
      <c r="F137" s="31">
        <f>IF(OR(COUNTIFS('Consolidation'!$A$6:$A$11,"2026Q2",'Consolidation'!$B$6:$B$11,"DK")&lt;&gt;1,COUNTIFS('Consolidation'!$A$6:$A$11,"2026Q2",'Consolidation'!$B$6:$B$11,"DK",'Consolidation'!$J$6:$J$11,"n.d.")&gt;0),"n.d.",SUMIFS('Consolidation'!$J$6:$J$11,'Consolidation'!$A$6:$A$11,"2026Q2",'Consolidation'!$B$6:$B$11,"DK"))</f>
        <v>182297.81000000006</v>
      </c>
    </row>
    <row r="141" spans="1:7">
      <c r="A141" s="28" t="s">
        <v>486</v>
      </c>
    </row>
    <row r="142" spans="1:7" ht="32" customHeight="1">
      <c r="A142" s="30" t="s">
        <v>413</v>
      </c>
      <c r="B142" s="30" t="s">
        <v>451</v>
      </c>
      <c r="C142" s="30" t="s">
        <v>453</v>
      </c>
      <c r="D142" s="30" t="s">
        <v>480</v>
      </c>
      <c r="E142" s="30" t="s">
        <v>481</v>
      </c>
      <c r="F142" s="30" t="s">
        <v>428</v>
      </c>
      <c r="G142" s="30" t="s">
        <v>429</v>
      </c>
    </row>
    <row r="143" spans="1:7">
      <c r="A143" t="s">
        <v>414</v>
      </c>
      <c r="B143" s="31">
        <f>IF(OR(SUMPRODUCT(--('Flux'!$A$6:$A$41="2026Q2"),--('Flux'!$B$6:$B$41="NO"),--('Flux'!$E$6:$E$41=DATE(2026,1,1)))=0,SUMPRODUCT(--('Flux'!$A$6:$A$41="2026Q2"),--('Flux'!$B$6:$B$41="NO"),--('Flux'!$E$6:$E$41=DATE(2026,1,1)),--('Flux'!$H$6:$H$41="n.d."))&gt;0),"n.d.",SUMPRODUCT(--('Flux'!$A$6:$A$41="2026Q2"),--('Flux'!$B$6:$B$41="NO"),--('Flux'!$E$6:$E$41=DATE(2026,1,1)),'Flux'!$H$6:$H$41))</f>
        <v>93038.16000000002</v>
      </c>
      <c r="C143" s="31">
        <f>IF(OR(SUMPRODUCT(--('Flux'!$A$6:$A$41="2026Q2"),--('Flux'!$B$6:$B$41="NO"),--('Flux'!$E$6:$E$41=DATE(2026,1,1)))=0,SUMPRODUCT(--('Flux'!$A$6:$A$41="2026Q2"),--('Flux'!$B$6:$B$41="NO"),--('Flux'!$E$6:$E$41=DATE(2026,1,1)),--('Flux'!$O$6:$O$41="n.d."))&gt;0),"n.d.",SUMPRODUCT(--('Flux'!$A$6:$A$41="2026Q2"),--('Flux'!$B$6:$B$41="NO"),--('Flux'!$E$6:$E$41=DATE(2026,1,1)),'Flux'!$O$6:$O$41))</f>
        <v>6658.48000000004</v>
      </c>
      <c r="D143" s="31">
        <f>IF(OR(SUMPRODUCT(--('Flux'!$A$6:$A$41="2026Q2"),--('Flux'!$B$6:$B$41="NO"),--('Flux'!$E$6:$E$41=DATE(2026,1,1)))=0,SUMPRODUCT(--('Flux'!$A$6:$A$41="2026Q2"),--('Flux'!$B$6:$B$41="NO"),--('Flux'!$E$6:$E$41=DATE(2026,1,1)),--('Flux'!$K$6:$K$41="n.d."))&gt;0),"n.d.",SUMPRODUCT(--('Flux'!$A$6:$A$41="2026Q2"),--('Flux'!$B$6:$B$41="NO"),--('Flux'!$E$6:$E$41=DATE(2026,1,1)),'Flux'!$K$6:$K$41))</f>
        <v>0</v>
      </c>
      <c r="E143" s="31">
        <f>IF(OR(SUMPRODUCT(--('Flux'!$A$6:$A$41="2026Q2"),--('Flux'!$B$6:$B$41="NO"),--('Flux'!$E$6:$E$41=DATE(2026,1,1)))=0,SUMPRODUCT(--('Flux'!$A$6:$A$41="2026Q2"),--('Flux'!$B$6:$B$41="NO"),--('Flux'!$E$6:$E$41=DATE(2026,1,1)),--('Flux'!$L$6:$L$41="n.d."))&gt;0),"n.d.",SUMPRODUCT(--('Flux'!$A$6:$A$41="2026Q2"),--('Flux'!$B$6:$B$41="NO"),--('Flux'!$E$6:$E$41=DATE(2026,1,1)),'Flux'!$L$6:$L$41))</f>
        <v>13190.500000000002</v>
      </c>
      <c r="F143" s="31">
        <f>IF(OR(SUMPRODUCT(--('Flux'!$A$6:$A$41="2026Q2"),--('Flux'!$B$6:$B$41="NO"),--('Flux'!$E$6:$E$41=DATE(2026,1,1)))=0,SUMPRODUCT(--('Flux'!$A$6:$A$41="2026Q2"),--('Flux'!$B$6:$B$41="NO"),--('Flux'!$E$6:$E$41=DATE(2026,1,1)),--('Flux'!$T$6:$T$41="n.d."))&gt;0),"n.d.",SUMPRODUCT(--('Flux'!$A$6:$A$41="2026Q2"),--('Flux'!$B$6:$B$41="NO"),--('Flux'!$E$6:$E$41=DATE(2026,1,1)),'Flux'!$T$6:$T$41))</f>
        <v>0.9410164877948007</v>
      </c>
      <c r="G143" s="31">
        <f>IF(OR(SUMPRODUCT(--('Flux'!$A$6:$A$41="2026Q2"),--('Flux'!$B$6:$B$41="NO"),--('Flux'!$E$6:$E$41=DATE(2026,1,1)))=0,SUMPRODUCT(--('Flux'!$A$6:$A$41="2026Q2"),--('Flux'!$B$6:$B$41="NO"),--('Flux'!$E$6:$E$41=DATE(2026,1,1)),--('Flux'!$U$6:$U$41="n.d."))&gt;0),"n.d.",SUMPRODUCT(--('Flux'!$A$6:$A$41="2026Q2"),--('Flux'!$B$6:$B$41="NO"),--('Flux'!$E$6:$E$41=DATE(2026,1,1)),'Flux'!$U$6:$U$41))</f>
        <v>0.9924812030075187</v>
      </c>
    </row>
    <row r="144" spans="1:7">
      <c r="A144" t="s">
        <v>415</v>
      </c>
      <c r="B144" s="31">
        <f>IF(OR(SUMPRODUCT(--('Flux'!$A$6:$A$41="2026Q2"),--('Flux'!$B$6:$B$41="NO"),--('Flux'!$E$6:$E$41=DATE(2026,2,1)))=0,SUMPRODUCT(--('Flux'!$A$6:$A$41="2026Q2"),--('Flux'!$B$6:$B$41="NO"),--('Flux'!$E$6:$E$41=DATE(2026,2,1)),--('Flux'!$H$6:$H$41="n.d."))&gt;0),"n.d.",SUMPRODUCT(--('Flux'!$A$6:$A$41="2026Q2"),--('Flux'!$B$6:$B$41="NO"),--('Flux'!$E$6:$E$41=DATE(2026,2,1)),'Flux'!$H$6:$H$41))</f>
        <v>56302.53999999999</v>
      </c>
      <c r="C144" s="31">
        <f>IF(OR(SUMPRODUCT(--('Flux'!$A$6:$A$41="2026Q2"),--('Flux'!$B$6:$B$41="NO"),--('Flux'!$E$6:$E$41=DATE(2026,2,1)))=0,SUMPRODUCT(--('Flux'!$A$6:$A$41="2026Q2"),--('Flux'!$B$6:$B$41="NO"),--('Flux'!$E$6:$E$41=DATE(2026,2,1)),--('Flux'!$O$6:$O$41="n.d."))&gt;0),"n.d.",SUMPRODUCT(--('Flux'!$A$6:$A$41="2026Q2"),--('Flux'!$B$6:$B$41="NO"),--('Flux'!$E$6:$E$41=DATE(2026,2,1)),'Flux'!$O$6:$O$41))</f>
        <v>0.0</v>
      </c>
      <c r="D144" s="31">
        <f>IF(OR(SUMPRODUCT(--('Flux'!$A$6:$A$41="2026Q2"),--('Flux'!$B$6:$B$41="NO"),--('Flux'!$E$6:$E$41=DATE(2026,2,1)))=0,SUMPRODUCT(--('Flux'!$A$6:$A$41="2026Q2"),--('Flux'!$B$6:$B$41="NO"),--('Flux'!$E$6:$E$41=DATE(2026,2,1)),--('Flux'!$K$6:$K$41="n.d."))&gt;0),"n.d.",SUMPRODUCT(--('Flux'!$A$6:$A$41="2026Q2"),--('Flux'!$B$6:$B$41="NO"),--('Flux'!$E$6:$E$41=DATE(2026,2,1)),'Flux'!$K$6:$K$41))</f>
        <v>0</v>
      </c>
      <c r="E144" s="31">
        <f>IF(OR(SUMPRODUCT(--('Flux'!$A$6:$A$41="2026Q2"),--('Flux'!$B$6:$B$41="NO"),--('Flux'!$E$6:$E$41=DATE(2026,2,1)))=0,SUMPRODUCT(--('Flux'!$A$6:$A$41="2026Q2"),--('Flux'!$B$6:$B$41="NO"),--('Flux'!$E$6:$E$41=DATE(2026,2,1)),--('Flux'!$L$6:$L$41="n.d."))&gt;0),"n.d.",SUMPRODUCT(--('Flux'!$A$6:$A$41="2026Q2"),--('Flux'!$B$6:$B$41="NO"),--('Flux'!$E$6:$E$41=DATE(2026,2,1)),'Flux'!$L$6:$L$41))</f>
        <v>11841.360000000004</v>
      </c>
      <c r="F144" s="31">
        <f>IF(OR(SUMPRODUCT(--('Flux'!$A$6:$A$41="2026Q2"),--('Flux'!$B$6:$B$41="NO"),--('Flux'!$E$6:$E$41=DATE(2026,2,1)))=0,SUMPRODUCT(--('Flux'!$A$6:$A$41="2026Q2"),--('Flux'!$B$6:$B$41="NO"),--('Flux'!$E$6:$E$41=DATE(2026,2,1)),--('Flux'!$T$6:$T$41="n.d."))&gt;0),"n.d.",SUMPRODUCT(--('Flux'!$A$6:$A$41="2026Q2"),--('Flux'!$B$6:$B$41="NO"),--('Flux'!$E$6:$E$41=DATE(2026,2,1)),'Flux'!$T$6:$T$41))</f>
        <v>1.0</v>
      </c>
      <c r="G144" s="31">
        <f>IF(OR(SUMPRODUCT(--('Flux'!$A$6:$A$41="2026Q2"),--('Flux'!$B$6:$B$41="NO"),--('Flux'!$E$6:$E$41=DATE(2026,2,1)))=0,SUMPRODUCT(--('Flux'!$A$6:$A$41="2026Q2"),--('Flux'!$B$6:$B$41="NO"),--('Flux'!$E$6:$E$41=DATE(2026,2,1)),--('Flux'!$U$6:$U$41="n.d."))&gt;0),"n.d.",SUMPRODUCT(--('Flux'!$A$6:$A$41="2026Q2"),--('Flux'!$B$6:$B$41="NO"),--('Flux'!$E$6:$E$41=DATE(2026,2,1)),'Flux'!$U$6:$U$41))</f>
        <v>1.0</v>
      </c>
    </row>
    <row r="145" spans="1:7">
      <c r="A145" t="s">
        <v>416</v>
      </c>
      <c r="B145" s="31">
        <f>IF(OR(SUMPRODUCT(--('Flux'!$A$6:$A$41="2026Q2"),--('Flux'!$B$6:$B$41="NO"),--('Flux'!$E$6:$E$41=DATE(2026,3,1)))=0,SUMPRODUCT(--('Flux'!$A$6:$A$41="2026Q2"),--('Flux'!$B$6:$B$41="NO"),--('Flux'!$E$6:$E$41=DATE(2026,3,1)),--('Flux'!$H$6:$H$41="n.d."))&gt;0),"n.d.",SUMPRODUCT(--('Flux'!$A$6:$A$41="2026Q2"),--('Flux'!$B$6:$B$41="NO"),--('Flux'!$E$6:$E$41=DATE(2026,3,1)),'Flux'!$H$6:$H$41))</f>
        <v>220801.79000000007</v>
      </c>
      <c r="C145" s="31">
        <f>IF(OR(SUMPRODUCT(--('Flux'!$A$6:$A$41="2026Q2"),--('Flux'!$B$6:$B$41="NO"),--('Flux'!$E$6:$E$41=DATE(2026,3,1)))=0,SUMPRODUCT(--('Flux'!$A$6:$A$41="2026Q2"),--('Flux'!$B$6:$B$41="NO"),--('Flux'!$E$6:$E$41=DATE(2026,3,1)),--('Flux'!$O$6:$O$41="n.d."))&gt;0),"n.d.",SUMPRODUCT(--('Flux'!$A$6:$A$41="2026Q2"),--('Flux'!$B$6:$B$41="NO"),--('Flux'!$E$6:$E$41=DATE(2026,3,1)),'Flux'!$O$6:$O$41))</f>
        <v>17198.040000000037</v>
      </c>
      <c r="D145" s="31">
        <f>IF(OR(SUMPRODUCT(--('Flux'!$A$6:$A$41="2026Q2"),--('Flux'!$B$6:$B$41="NO"),--('Flux'!$E$6:$E$41=DATE(2026,3,1)))=0,SUMPRODUCT(--('Flux'!$A$6:$A$41="2026Q2"),--('Flux'!$B$6:$B$41="NO"),--('Flux'!$E$6:$E$41=DATE(2026,3,1)),--('Flux'!$K$6:$K$41="n.d."))&gt;0),"n.d.",SUMPRODUCT(--('Flux'!$A$6:$A$41="2026Q2"),--('Flux'!$B$6:$B$41="NO"),--('Flux'!$E$6:$E$41=DATE(2026,3,1)),'Flux'!$K$6:$K$41))</f>
        <v>0</v>
      </c>
      <c r="E145" s="31">
        <f>IF(OR(SUMPRODUCT(--('Flux'!$A$6:$A$41="2026Q2"),--('Flux'!$B$6:$B$41="NO"),--('Flux'!$E$6:$E$41=DATE(2026,3,1)))=0,SUMPRODUCT(--('Flux'!$A$6:$A$41="2026Q2"),--('Flux'!$B$6:$B$41="NO"),--('Flux'!$E$6:$E$41=DATE(2026,3,1)),--('Flux'!$L$6:$L$41="n.d."))&gt;0),"n.d.",SUMPRODUCT(--('Flux'!$A$6:$A$41="2026Q2"),--('Flux'!$B$6:$B$41="NO"),--('Flux'!$E$6:$E$41=DATE(2026,3,1)),'Flux'!$L$6:$L$41))</f>
        <v>9666.990000000002</v>
      </c>
      <c r="F145" s="31">
        <f>IF(OR(SUMPRODUCT(--('Flux'!$A$6:$A$41="2026Q2"),--('Flux'!$B$6:$B$41="NO"),--('Flux'!$E$6:$E$41=DATE(2026,3,1)))=0,SUMPRODUCT(--('Flux'!$A$6:$A$41="2026Q2"),--('Flux'!$B$6:$B$41="NO"),--('Flux'!$E$6:$E$41=DATE(2026,3,1)),--('Flux'!$T$6:$T$41="n.d."))&gt;0),"n.d.",SUMPRODUCT(--('Flux'!$A$6:$A$41="2026Q2"),--('Flux'!$B$6:$B$41="NO"),--('Flux'!$E$6:$E$41=DATE(2026,3,1)),'Flux'!$T$6:$T$41))</f>
        <v>0.930559773812253</v>
      </c>
      <c r="G145" s="31">
        <f>IF(OR(SUMPRODUCT(--('Flux'!$A$6:$A$41="2026Q2"),--('Flux'!$B$6:$B$41="NO"),--('Flux'!$E$6:$E$41=DATE(2026,3,1)))=0,SUMPRODUCT(--('Flux'!$A$6:$A$41="2026Q2"),--('Flux'!$B$6:$B$41="NO"),--('Flux'!$E$6:$E$41=DATE(2026,3,1)),--('Flux'!$U$6:$U$41="n.d."))&gt;0),"n.d.",SUMPRODUCT(--('Flux'!$A$6:$A$41="2026Q2"),--('Flux'!$B$6:$B$41="NO"),--('Flux'!$E$6:$E$41=DATE(2026,3,1)),'Flux'!$U$6:$U$41))</f>
        <v>0.6437768240343348</v>
      </c>
    </row>
    <row r="146" spans="1:7">
      <c r="A146" t="s">
        <v>417</v>
      </c>
      <c r="B146" s="31">
        <f>IF(OR(SUMPRODUCT(--('Flux'!$A$6:$A$41="2026Q2"),--('Flux'!$B$6:$B$41="NO"),--('Flux'!$E$6:$E$41=DATE(2026,4,1)))=0,SUMPRODUCT(--('Flux'!$A$6:$A$41="2026Q2"),--('Flux'!$B$6:$B$41="NO"),--('Flux'!$E$6:$E$41=DATE(2026,4,1)),--('Flux'!$H$6:$H$41="n.d."))&gt;0),"n.d.",SUMPRODUCT(--('Flux'!$A$6:$A$41="2026Q2"),--('Flux'!$B$6:$B$41="NO"),--('Flux'!$E$6:$E$41=DATE(2026,4,1)),'Flux'!$H$6:$H$41))</f>
        <v>34047.29000000001</v>
      </c>
      <c r="C146" s="31">
        <f>IF(OR(SUMPRODUCT(--('Flux'!$A$6:$A$41="2026Q2"),--('Flux'!$B$6:$B$41="NO"),--('Flux'!$E$6:$E$41=DATE(2026,4,1)))=0,SUMPRODUCT(--('Flux'!$A$6:$A$41="2026Q2"),--('Flux'!$B$6:$B$41="NO"),--('Flux'!$E$6:$E$41=DATE(2026,4,1)),--('Flux'!$O$6:$O$41="n.d."))&gt;0),"n.d.",SUMPRODUCT(--('Flux'!$A$6:$A$41="2026Q2"),--('Flux'!$B$6:$B$41="NO"),--('Flux'!$E$6:$E$41=DATE(2026,4,1)),'Flux'!$O$6:$O$41))</f>
        <v>18314.390000000014</v>
      </c>
      <c r="D146" s="31">
        <f>IF(OR(SUMPRODUCT(--('Flux'!$A$6:$A$41="2026Q2"),--('Flux'!$B$6:$B$41="NO"),--('Flux'!$E$6:$E$41=DATE(2026,4,1)))=0,SUMPRODUCT(--('Flux'!$A$6:$A$41="2026Q2"),--('Flux'!$B$6:$B$41="NO"),--('Flux'!$E$6:$E$41=DATE(2026,4,1)),--('Flux'!$K$6:$K$41="n.d."))&gt;0),"n.d.",SUMPRODUCT(--('Flux'!$A$6:$A$41="2026Q2"),--('Flux'!$B$6:$B$41="NO"),--('Flux'!$E$6:$E$41=DATE(2026,4,1)),'Flux'!$K$6:$K$41))</f>
        <v>0</v>
      </c>
      <c r="E146" s="31">
        <f>IF(OR(SUMPRODUCT(--('Flux'!$A$6:$A$41="2026Q2"),--('Flux'!$B$6:$B$41="NO"),--('Flux'!$E$6:$E$41=DATE(2026,4,1)))=0,SUMPRODUCT(--('Flux'!$A$6:$A$41="2026Q2"),--('Flux'!$B$6:$B$41="NO"),--('Flux'!$E$6:$E$41=DATE(2026,4,1)),--('Flux'!$L$6:$L$41="n.d."))&gt;0),"n.d.",SUMPRODUCT(--('Flux'!$A$6:$A$41="2026Q2"),--('Flux'!$B$6:$B$41="NO"),--('Flux'!$E$6:$E$41=DATE(2026,4,1)),'Flux'!$L$6:$L$41))</f>
        <v>5172.250000000001</v>
      </c>
      <c r="F146" s="31">
        <f>IF(OR(SUMPRODUCT(--('Flux'!$A$6:$A$41="2026Q2"),--('Flux'!$B$6:$B$41="NO"),--('Flux'!$E$6:$E$41=DATE(2026,4,1)))=0,SUMPRODUCT(--('Flux'!$A$6:$A$41="2026Q2"),--('Flux'!$B$6:$B$41="NO"),--('Flux'!$E$6:$E$41=DATE(2026,4,1)),--('Flux'!$T$6:$T$41="n.d."))&gt;0),"n.d.",SUMPRODUCT(--('Flux'!$A$6:$A$41="2026Q2"),--('Flux'!$B$6:$B$41="NO"),--('Flux'!$E$6:$E$41=DATE(2026,4,1)),'Flux'!$T$6:$T$41))</f>
        <v>0.6816767079877908</v>
      </c>
      <c r="G146" s="31">
        <f>IF(OR(SUMPRODUCT(--('Flux'!$A$6:$A$41="2026Q2"),--('Flux'!$B$6:$B$41="NO"),--('Flux'!$E$6:$E$41=DATE(2026,4,1)))=0,SUMPRODUCT(--('Flux'!$A$6:$A$41="2026Q2"),--('Flux'!$B$6:$B$41="NO"),--('Flux'!$E$6:$E$41=DATE(2026,4,1)),--('Flux'!$U$6:$U$41="n.d."))&gt;0),"n.d.",SUMPRODUCT(--('Flux'!$A$6:$A$41="2026Q2"),--('Flux'!$B$6:$B$41="NO"),--('Flux'!$E$6:$E$41=DATE(2026,4,1)),'Flux'!$U$6:$U$41))</f>
        <v>0.30405405405405406</v>
      </c>
    </row>
    <row r="147" spans="1:7">
      <c r="A147" t="s">
        <v>418</v>
      </c>
      <c r="B147" s="31">
        <f>IF(OR(SUMPRODUCT(--('Flux'!$A$6:$A$41="2026Q2"),--('Flux'!$B$6:$B$41="NO"),--('Flux'!$E$6:$E$41=DATE(2026,5,1)))=0,SUMPRODUCT(--('Flux'!$A$6:$A$41="2026Q2"),--('Flux'!$B$6:$B$41="NO"),--('Flux'!$E$6:$E$41=DATE(2026,5,1)),--('Flux'!$H$6:$H$41="n.d."))&gt;0),"n.d.",SUMPRODUCT(--('Flux'!$A$6:$A$41="2026Q2"),--('Flux'!$B$6:$B$41="NO"),--('Flux'!$E$6:$E$41=DATE(2026,5,1)),'Flux'!$H$6:$H$41))</f>
        <v>93327.59</v>
      </c>
      <c r="C147" s="31">
        <f>IF(OR(SUMPRODUCT(--('Flux'!$A$6:$A$41="2026Q2"),--('Flux'!$B$6:$B$41="NO"),--('Flux'!$E$6:$E$41=DATE(2026,5,1)))=0,SUMPRODUCT(--('Flux'!$A$6:$A$41="2026Q2"),--('Flux'!$B$6:$B$41="NO"),--('Flux'!$E$6:$E$41=DATE(2026,5,1)),--('Flux'!$O$6:$O$41="n.d."))&gt;0),"n.d.",SUMPRODUCT(--('Flux'!$A$6:$A$41="2026Q2"),--('Flux'!$B$6:$B$41="NO"),--('Flux'!$E$6:$E$41=DATE(2026,5,1)),'Flux'!$O$6:$O$41))</f>
        <v>28965.120000000024</v>
      </c>
      <c r="D147" s="31">
        <f>IF(OR(SUMPRODUCT(--('Flux'!$A$6:$A$41="2026Q2"),--('Flux'!$B$6:$B$41="NO"),--('Flux'!$E$6:$E$41=DATE(2026,5,1)))=0,SUMPRODUCT(--('Flux'!$A$6:$A$41="2026Q2"),--('Flux'!$B$6:$B$41="NO"),--('Flux'!$E$6:$E$41=DATE(2026,5,1)),--('Flux'!$K$6:$K$41="n.d."))&gt;0),"n.d.",SUMPRODUCT(--('Flux'!$A$6:$A$41="2026Q2"),--('Flux'!$B$6:$B$41="NO"),--('Flux'!$E$6:$E$41=DATE(2026,5,1)),'Flux'!$K$6:$K$41))</f>
        <v>0</v>
      </c>
      <c r="E147" s="31">
        <f>IF(OR(SUMPRODUCT(--('Flux'!$A$6:$A$41="2026Q2"),--('Flux'!$B$6:$B$41="NO"),--('Flux'!$E$6:$E$41=DATE(2026,5,1)))=0,SUMPRODUCT(--('Flux'!$A$6:$A$41="2026Q2"),--('Flux'!$B$6:$B$41="NO"),--('Flux'!$E$6:$E$41=DATE(2026,5,1)),--('Flux'!$L$6:$L$41="n.d."))&gt;0),"n.d.",SUMPRODUCT(--('Flux'!$A$6:$A$41="2026Q2"),--('Flux'!$B$6:$B$41="NO"),--('Flux'!$E$6:$E$41=DATE(2026,5,1)),'Flux'!$L$6:$L$41))</f>
        <v>22256.82</v>
      </c>
      <c r="F147" s="31">
        <f>IF(OR(SUMPRODUCT(--('Flux'!$A$6:$A$41="2026Q2"),--('Flux'!$B$6:$B$41="NO"),--('Flux'!$E$6:$E$41=DATE(2026,5,1)))=0,SUMPRODUCT(--('Flux'!$A$6:$A$41="2026Q2"),--('Flux'!$B$6:$B$41="NO"),--('Flux'!$E$6:$E$41=DATE(2026,5,1)),--('Flux'!$T$6:$T$41="n.d."))&gt;0),"n.d.",SUMPRODUCT(--('Flux'!$A$6:$A$41="2026Q2"),--('Flux'!$B$6:$B$41="NO"),--('Flux'!$E$6:$E$41=DATE(2026,5,1)),'Flux'!$T$6:$T$41))</f>
        <v>0.7996180271219144</v>
      </c>
      <c r="G147" s="31">
        <f>IF(OR(SUMPRODUCT(--('Flux'!$A$6:$A$41="2026Q2"),--('Flux'!$B$6:$B$41="NO"),--('Flux'!$E$6:$E$41=DATE(2026,5,1)))=0,SUMPRODUCT(--('Flux'!$A$6:$A$41="2026Q2"),--('Flux'!$B$6:$B$41="NO"),--('Flux'!$E$6:$E$41=DATE(2026,5,1)),--('Flux'!$U$6:$U$41="n.d."))&gt;0),"n.d.",SUMPRODUCT(--('Flux'!$A$6:$A$41="2026Q2"),--('Flux'!$B$6:$B$41="NO"),--('Flux'!$E$6:$E$41=DATE(2026,5,1)),'Flux'!$U$6:$U$41))</f>
        <v>0.18604651162790697</v>
      </c>
    </row>
    <row r="148" spans="1:7">
      <c r="A148" t="s">
        <v>419</v>
      </c>
      <c r="B148" s="31">
        <f>IF(OR(SUMPRODUCT(--('Flux'!$A$6:$A$41="2026Q2"),--('Flux'!$B$6:$B$41="NO"),--('Flux'!$E$6:$E$41=DATE(2026,6,1)))=0,SUMPRODUCT(--('Flux'!$A$6:$A$41="2026Q2"),--('Flux'!$B$6:$B$41="NO"),--('Flux'!$E$6:$E$41=DATE(2026,6,1)),--('Flux'!$H$6:$H$41="n.d."))&gt;0),"n.d.",SUMPRODUCT(--('Flux'!$A$6:$A$41="2026Q2"),--('Flux'!$B$6:$B$41="NO"),--('Flux'!$E$6:$E$41=DATE(2026,6,1)),'Flux'!$H$6:$H$41))</f>
        <v>10888.77</v>
      </c>
      <c r="C148" s="31">
        <f>IF(OR(SUMPRODUCT(--('Flux'!$A$6:$A$41="2026Q2"),--('Flux'!$B$6:$B$41="NO"),--('Flux'!$E$6:$E$41=DATE(2026,6,1)))=0,SUMPRODUCT(--('Flux'!$A$6:$A$41="2026Q2"),--('Flux'!$B$6:$B$41="NO"),--('Flux'!$E$6:$E$41=DATE(2026,6,1)),--('Flux'!$O$6:$O$41="n.d."))&gt;0),"n.d.",SUMPRODUCT(--('Flux'!$A$6:$A$41="2026Q2"),--('Flux'!$B$6:$B$41="NO"),--('Flux'!$E$6:$E$41=DATE(2026,6,1)),'Flux'!$O$6:$O$41))</f>
        <v>51112.03000000001</v>
      </c>
      <c r="D148" s="31">
        <f>IF(OR(SUMPRODUCT(--('Flux'!$A$6:$A$41="2026Q2"),--('Flux'!$B$6:$B$41="NO"),--('Flux'!$E$6:$E$41=DATE(2026,6,1)))=0,SUMPRODUCT(--('Flux'!$A$6:$A$41="2026Q2"),--('Flux'!$B$6:$B$41="NO"),--('Flux'!$E$6:$E$41=DATE(2026,6,1)),--('Flux'!$K$6:$K$41="n.d."))&gt;0),"n.d.",SUMPRODUCT(--('Flux'!$A$6:$A$41="2026Q2"),--('Flux'!$B$6:$B$41="NO"),--('Flux'!$E$6:$E$41=DATE(2026,6,1)),'Flux'!$K$6:$K$41))</f>
        <v>0</v>
      </c>
      <c r="E148" s="31">
        <f>IF(OR(SUMPRODUCT(--('Flux'!$A$6:$A$41="2026Q2"),--('Flux'!$B$6:$B$41="NO"),--('Flux'!$E$6:$E$41=DATE(2026,6,1)))=0,SUMPRODUCT(--('Flux'!$A$6:$A$41="2026Q2"),--('Flux'!$B$6:$B$41="NO"),--('Flux'!$E$6:$E$41=DATE(2026,6,1)),--('Flux'!$L$6:$L$41="n.d."))&gt;0),"n.d.",SUMPRODUCT(--('Flux'!$A$6:$A$41="2026Q2"),--('Flux'!$B$6:$B$41="NO"),--('Flux'!$E$6:$E$41=DATE(2026,6,1)),'Flux'!$L$6:$L$41))</f>
        <v>2473.8900000000003</v>
      </c>
      <c r="F148" s="31">
        <f>IF(OR(SUMPRODUCT(--('Flux'!$A$6:$A$41="2026Q2"),--('Flux'!$B$6:$B$41="NO"),--('Flux'!$E$6:$E$41=DATE(2026,6,1)))=0,SUMPRODUCT(--('Flux'!$A$6:$A$41="2026Q2"),--('Flux'!$B$6:$B$41="NO"),--('Flux'!$E$6:$E$41=DATE(2026,6,1)),--('Flux'!$T$6:$T$41="n.d."))&gt;0),"n.d.",SUMPRODUCT(--('Flux'!$A$6:$A$41="2026Q2"),--('Flux'!$B$6:$B$41="NO"),--('Flux'!$E$6:$E$41=DATE(2026,6,1)),'Flux'!$T$6:$T$41))</f>
        <v>0.20725435050560145</v>
      </c>
      <c r="G148" s="31">
        <f>IF(OR(SUMPRODUCT(--('Flux'!$A$6:$A$41="2026Q2"),--('Flux'!$B$6:$B$41="NO"),--('Flux'!$E$6:$E$41=DATE(2026,6,1)))=0,SUMPRODUCT(--('Flux'!$A$6:$A$41="2026Q2"),--('Flux'!$B$6:$B$41="NO"),--('Flux'!$E$6:$E$41=DATE(2026,6,1)),--('Flux'!$U$6:$U$41="n.d."))&gt;0),"n.d.",SUMPRODUCT(--('Flux'!$A$6:$A$41="2026Q2"),--('Flux'!$B$6:$B$41="NO"),--('Flux'!$E$6:$E$41=DATE(2026,6,1)),'Flux'!$U$6:$U$41))</f>
        <v>0.06666666666666667</v>
      </c>
    </row>
    <row r="152" spans="1:7">
      <c r="A152" s="28" t="s">
        <v>488</v>
      </c>
    </row>
    <row r="153" spans="1:7" ht="32" customHeight="1">
      <c r="A153" s="30" t="s">
        <v>426</v>
      </c>
      <c r="B153" s="30" t="s">
        <v>465</v>
      </c>
      <c r="C153" s="30" t="s">
        <v>466</v>
      </c>
      <c r="D153" s="30" t="s">
        <v>467</v>
      </c>
      <c r="E153" s="30" t="s">
        <v>468</v>
      </c>
      <c r="F153" s="30" t="s">
        <v>469</v>
      </c>
      <c r="G153" s="30" t="s">
        <v>395</v>
      </c>
    </row>
    <row r="154" spans="1:7">
      <c r="A154" s="31">
        <f>(IF(OR(COUNTIFS('Consolidation'!$A$6:$A$11,"2026Q2",'Consolidation'!$B$6:$B$11,"NO")&lt;&gt;1,COUNTIFS('Consolidation'!$A$6:$A$11,"2026Q2",'Consolidation'!$B$6:$B$11,"NO",'Consolidation'!$W$6:$W$11,"n.d.")&gt;0),"n.d.",SUMIFS('Consolidation'!$W$6:$W$11,'Consolidation'!$A$6:$A$11,"2026Q2",'Consolidation'!$B$6:$B$11,"NO")))*(IF(OR(COUNTIFS('Consolidation'!$A$6:$A$11,"2026Q2",'Consolidation'!$B$6:$B$11,"NO")&lt;&gt;1,COUNTIFS('Consolidation'!$A$6:$A$11,"2026Q2",'Consolidation'!$B$6:$B$11,"NO",'Consolidation'!$E$6:$E$11,"n.d.")&gt;0),"n.d.",SUMIFS('Consolidation'!$E$6:$E$11,'Consolidation'!$A$6:$A$11,"2026Q2",'Consolidation'!$B$6:$B$11,"NO")))</f>
        <v>115876.0016666667</v>
      </c>
      <c r="B154" s="31">
        <f>IF(OR(NOT(ISNUMBER(IF(OR(COUNTIFS('Consolidation'!$A$6:$A$11,"2026Q2",'Consolidation'!$B$6:$B$11,"NO")&lt;&gt;1,COUNTIFS('Consolidation'!$A$6:$A$11,"2026Q2",'Consolidation'!$B$6:$B$11,"NO",'Consolidation'!$Q$6:$Q$11,"n.d.")&gt;0),"n.d.",SUMIFS('Consolidation'!$Q$6:$Q$11,'Consolidation'!$A$6:$A$11,"2026Q2",'Consolidation'!$B$6:$B$11,"NO")))),NOT(ISNUMBER(IF(OR(COUNTIFS('Consolidation'!$A$6:$A$11,"2026Q2",'Consolidation'!$B$6:$B$11,"NO")&lt;&gt;1,COUNTIFS('Consolidation'!$A$6:$A$11,"2026Q2",'Consolidation'!$B$6:$B$11,"NO",'Consolidation'!$S$6:$S$11,"n.d.")&gt;0),"n.d.",SUMIFS('Consolidation'!$S$6:$S$11,'Consolidation'!$A$6:$A$11,"2026Q2",'Consolidation'!$B$6:$B$11,"NO")))),(IF(OR(COUNTIFS('Consolidation'!$A$6:$A$11,"2026Q2",'Consolidation'!$B$6:$B$11,"NO")&lt;&gt;1,COUNTIFS('Consolidation'!$A$6:$A$11,"2026Q2",'Consolidation'!$B$6:$B$11,"NO",'Consolidation'!$S$6:$S$11,"n.d.")&gt;0),"n.d.",SUMIFS('Consolidation'!$S$6:$S$11,'Consolidation'!$A$6:$A$11,"2026Q2",'Consolidation'!$B$6:$B$11,"NO")))=0),"n.d.",(IF(OR(COUNTIFS('Consolidation'!$A$6:$A$11,"2026Q2",'Consolidation'!$B$6:$B$11,"NO")&lt;&gt;1,COUNTIFS('Consolidation'!$A$6:$A$11,"2026Q2",'Consolidation'!$B$6:$B$11,"NO",'Consolidation'!$Q$6:$Q$11,"n.d.")&gt;0),"n.d.",SUMIFS('Consolidation'!$Q$6:$Q$11,'Consolidation'!$A$6:$A$11,"2026Q2",'Consolidation'!$B$6:$B$11,"NO")))/(IF(OR(COUNTIFS('Consolidation'!$A$6:$A$11,"2026Q2",'Consolidation'!$B$6:$B$11,"NO")&lt;&gt;1,COUNTIFS('Consolidation'!$A$6:$A$11,"2026Q2",'Consolidation'!$B$6:$B$11,"NO",'Consolidation'!$S$6:$S$11,"n.d.")&gt;0),"n.d.",SUMIFS('Consolidation'!$S$6:$S$11,'Consolidation'!$A$6:$A$11,"2026Q2",'Consolidation'!$B$6:$B$11,"NO")))*(IF(OR(COUNTIFS('Consolidation'!$A$6:$A$11,"2026Q2",'Consolidation'!$B$6:$B$11,"NO")&lt;&gt;1,COUNTIFS('Consolidation'!$A$6:$A$11,"2026Q2",'Consolidation'!$B$6:$B$11,"NO",'Consolidation'!$E$6:$E$11,"n.d.")&gt;0),"n.d.",SUMIFS('Consolidation'!$E$6:$E$11,'Consolidation'!$A$6:$A$11,"2026Q2",'Consolidation'!$B$6:$B$11,"NO"))))</f>
        <v>619.6577629233514</v>
      </c>
      <c r="C154" s="31">
        <f>IF(OR(COUNTIFS('Consolidation'!$A$6:$A$11,"2026Q2",'Consolidation'!$B$6:$B$11,"NO")&lt;&gt;1,COUNTIFS('Consolidation'!$A$6:$A$11,"2026Q2",'Consolidation'!$B$6:$B$11,"NO",'Consolidation'!$X$6:$X$11,"n.d.")&gt;0),"n.d.",SUMIFS('Consolidation'!$X$6:$X$11,'Consolidation'!$A$6:$A$11,"2026Q2",'Consolidation'!$B$6:$B$11,"NO"))</f>
        <v>0.9410164877948007</v>
      </c>
      <c r="D154" s="31">
        <f>IF(OR(COUNTIFS('Consolidation'!$A$6:$A$11,"2026Q2",'Consolidation'!$B$6:$B$11,"NO")&lt;&gt;1,COUNTIFS('Consolidation'!$A$6:$A$11,"2026Q2",'Consolidation'!$B$6:$B$11,"NO",'Consolidation'!$Y$6:$Y$11,"n.d.")&gt;0),"n.d.",SUMIFS('Consolidation'!$Y$6:$Y$11,'Consolidation'!$A$6:$A$11,"2026Q2",'Consolidation'!$B$6:$B$11,"NO"))</f>
        <v>0.9924812030075187</v>
      </c>
      <c r="E154" s="31">
        <f>IF(OR(COUNTIFS('Consolidation'!$A$6:$A$11,"2026Q2",'Consolidation'!$B$6:$B$11,"NO")&lt;&gt;1,COUNTIFS('Consolidation'!$A$6:$A$11,"2026Q2",'Consolidation'!$B$6:$B$11,"NO",'Consolidation'!$H$6:$H$11,"n.d.")&gt;0),"n.d.",SUMIFS('Consolidation'!$H$6:$H$11,'Consolidation'!$A$6:$A$11,"2026Q2",'Consolidation'!$B$6:$B$11,"NO"))</f>
        <v>122248.0600000004</v>
      </c>
      <c r="F154" s="31">
        <f>IF(OR(COUNTIFS('Consolidation'!$A$6:$A$11,"2026Q2",'Consolidation'!$B$6:$B$11,"NO")&lt;&gt;1,COUNTIFS('Consolidation'!$A$6:$A$11,"2026Q2",'Consolidation'!$B$6:$B$11,"NO",'Consolidation'!$J$6:$J$11,"n.d.")&gt;0),"n.d.",SUMIFS('Consolidation'!$J$6:$J$11,'Consolidation'!$A$6:$A$11,"2026Q2",'Consolidation'!$B$6:$B$11,"NO"))</f>
        <v>122248.0600000004</v>
      </c>
    </row>
    <row r="158" spans="1:7">
      <c r="A158" s="28" t="s">
        <v>490</v>
      </c>
    </row>
    <row r="159" spans="1:7" ht="32" customHeight="1">
      <c r="A159" s="30" t="s">
        <v>413</v>
      </c>
      <c r="B159" s="30" t="s">
        <v>451</v>
      </c>
      <c r="C159" s="30" t="s">
        <v>453</v>
      </c>
      <c r="D159" s="30" t="s">
        <v>480</v>
      </c>
      <c r="E159" s="30" t="s">
        <v>481</v>
      </c>
      <c r="F159" s="30" t="s">
        <v>428</v>
      </c>
      <c r="G159" s="30" t="s">
        <v>429</v>
      </c>
    </row>
    <row r="160" spans="1:7">
      <c r="A160" t="s">
        <v>414</v>
      </c>
      <c r="B160" s="31">
        <f>IF(OR(SUMPRODUCT(--('Flux'!$A$6:$A$41="2026Q2"),--('Flux'!$B$6:$B$41="SE"),--('Flux'!$E$6:$E$41=DATE(2026,1,1)))=0,SUMPRODUCT(--('Flux'!$A$6:$A$41="2026Q2"),--('Flux'!$B$6:$B$41="SE"),--('Flux'!$E$6:$E$41=DATE(2026,1,1)),--('Flux'!$H$6:$H$41="n.d."))&gt;0),"n.d.",SUMPRODUCT(--('Flux'!$A$6:$A$41="2026Q2"),--('Flux'!$B$6:$B$41="SE"),--('Flux'!$E$6:$E$41=DATE(2026,1,1)),'Flux'!$H$6:$H$41))</f>
        <v>230915.97999999995</v>
      </c>
      <c r="C160" s="31">
        <f>IF(OR(SUMPRODUCT(--('Flux'!$A$6:$A$41="2026Q2"),--('Flux'!$B$6:$B$41="SE"),--('Flux'!$E$6:$E$41=DATE(2026,1,1)))=0,SUMPRODUCT(--('Flux'!$A$6:$A$41="2026Q2"),--('Flux'!$B$6:$B$41="SE"),--('Flux'!$E$6:$E$41=DATE(2026,1,1)),--('Flux'!$O$6:$O$41="n.d."))&gt;0),"n.d.",SUMPRODUCT(--('Flux'!$A$6:$A$41="2026Q2"),--('Flux'!$B$6:$B$41="SE"),--('Flux'!$E$6:$E$41=DATE(2026,1,1)),'Flux'!$O$6:$O$41))</f>
        <v>2.9103830456733704e-11</v>
      </c>
      <c r="D160" s="31">
        <f>IF(OR(SUMPRODUCT(--('Flux'!$A$6:$A$41="2026Q2"),--('Flux'!$B$6:$B$41="SE"),--('Flux'!$E$6:$E$41=DATE(2026,1,1)))=0,SUMPRODUCT(--('Flux'!$A$6:$A$41="2026Q2"),--('Flux'!$B$6:$B$41="SE"),--('Flux'!$E$6:$E$41=DATE(2026,1,1)),--('Flux'!$K$6:$K$41="n.d."))&gt;0),"n.d.",SUMPRODUCT(--('Flux'!$A$6:$A$41="2026Q2"),--('Flux'!$B$6:$B$41="SE"),--('Flux'!$E$6:$E$41=DATE(2026,1,1)),'Flux'!$K$6:$K$41))</f>
        <v>0</v>
      </c>
      <c r="E160" s="31">
        <f>IF(OR(SUMPRODUCT(--('Flux'!$A$6:$A$41="2026Q2"),--('Flux'!$B$6:$B$41="SE"),--('Flux'!$E$6:$E$41=DATE(2026,1,1)))=0,SUMPRODUCT(--('Flux'!$A$6:$A$41="2026Q2"),--('Flux'!$B$6:$B$41="SE"),--('Flux'!$E$6:$E$41=DATE(2026,1,1)),--('Flux'!$L$6:$L$41="n.d."))&gt;0),"n.d.",SUMPRODUCT(--('Flux'!$A$6:$A$41="2026Q2"),--('Flux'!$B$6:$B$41="SE"),--('Flux'!$E$6:$E$41=DATE(2026,1,1)),'Flux'!$L$6:$L$41))</f>
        <v>17454.949999999997</v>
      </c>
      <c r="F160" s="31">
        <f>IF(OR(SUMPRODUCT(--('Flux'!$A$6:$A$41="2026Q2"),--('Flux'!$B$6:$B$41="SE"),--('Flux'!$E$6:$E$41=DATE(2026,1,1)))=0,SUMPRODUCT(--('Flux'!$A$6:$A$41="2026Q2"),--('Flux'!$B$6:$B$41="SE"),--('Flux'!$E$6:$E$41=DATE(2026,1,1)),--('Flux'!$T$6:$T$41="n.d."))&gt;0),"n.d.",SUMPRODUCT(--('Flux'!$A$6:$A$41="2026Q2"),--('Flux'!$B$6:$B$41="SE"),--('Flux'!$E$6:$E$41=DATE(2026,1,1)),'Flux'!$T$6:$T$41))</f>
        <v>0.9999999999999999</v>
      </c>
      <c r="G160" s="31">
        <f>IF(OR(SUMPRODUCT(--('Flux'!$A$6:$A$41="2026Q2"),--('Flux'!$B$6:$B$41="SE"),--('Flux'!$E$6:$E$41=DATE(2026,1,1)))=0,SUMPRODUCT(--('Flux'!$A$6:$A$41="2026Q2"),--('Flux'!$B$6:$B$41="SE"),--('Flux'!$E$6:$E$41=DATE(2026,1,1)),--('Flux'!$U$6:$U$41="n.d."))&gt;0),"n.d.",SUMPRODUCT(--('Flux'!$A$6:$A$41="2026Q2"),--('Flux'!$B$6:$B$41="SE"),--('Flux'!$E$6:$E$41=DATE(2026,1,1)),'Flux'!$U$6:$U$41))</f>
        <v>1.0</v>
      </c>
    </row>
    <row r="161" spans="1:7">
      <c r="A161" t="s">
        <v>415</v>
      </c>
      <c r="B161" s="31">
        <f>IF(OR(SUMPRODUCT(--('Flux'!$A$6:$A$41="2026Q2"),--('Flux'!$B$6:$B$41="SE"),--('Flux'!$E$6:$E$41=DATE(2026,2,1)))=0,SUMPRODUCT(--('Flux'!$A$6:$A$41="2026Q2"),--('Flux'!$B$6:$B$41="SE"),--('Flux'!$E$6:$E$41=DATE(2026,2,1)),--('Flux'!$H$6:$H$41="n.d."))&gt;0),"n.d.",SUMPRODUCT(--('Flux'!$A$6:$A$41="2026Q2"),--('Flux'!$B$6:$B$41="SE"),--('Flux'!$E$6:$E$41=DATE(2026,2,1)),'Flux'!$H$6:$H$41))</f>
        <v>97350.67999999998</v>
      </c>
      <c r="C161" s="31">
        <f>IF(OR(SUMPRODUCT(--('Flux'!$A$6:$A$41="2026Q2"),--('Flux'!$B$6:$B$41="SE"),--('Flux'!$E$6:$E$41=DATE(2026,2,1)))=0,SUMPRODUCT(--('Flux'!$A$6:$A$41="2026Q2"),--('Flux'!$B$6:$B$41="SE"),--('Flux'!$E$6:$E$41=DATE(2026,2,1)),--('Flux'!$O$6:$O$41="n.d."))&gt;0),"n.d.",SUMPRODUCT(--('Flux'!$A$6:$A$41="2026Q2"),--('Flux'!$B$6:$B$41="SE"),--('Flux'!$E$6:$E$41=DATE(2026,2,1)),'Flux'!$O$6:$O$41))</f>
        <v>1.4551915228366852e-11</v>
      </c>
      <c r="D161" s="31">
        <f>IF(OR(SUMPRODUCT(--('Flux'!$A$6:$A$41="2026Q2"),--('Flux'!$B$6:$B$41="SE"),--('Flux'!$E$6:$E$41=DATE(2026,2,1)))=0,SUMPRODUCT(--('Flux'!$A$6:$A$41="2026Q2"),--('Flux'!$B$6:$B$41="SE"),--('Flux'!$E$6:$E$41=DATE(2026,2,1)),--('Flux'!$K$6:$K$41="n.d."))&gt;0),"n.d.",SUMPRODUCT(--('Flux'!$A$6:$A$41="2026Q2"),--('Flux'!$B$6:$B$41="SE"),--('Flux'!$E$6:$E$41=DATE(2026,2,1)),'Flux'!$K$6:$K$41))</f>
        <v>0</v>
      </c>
      <c r="E161" s="31">
        <f>IF(OR(SUMPRODUCT(--('Flux'!$A$6:$A$41="2026Q2"),--('Flux'!$B$6:$B$41="SE"),--('Flux'!$E$6:$E$41=DATE(2026,2,1)))=0,SUMPRODUCT(--('Flux'!$A$6:$A$41="2026Q2"),--('Flux'!$B$6:$B$41="SE"),--('Flux'!$E$6:$E$41=DATE(2026,2,1)),--('Flux'!$L$6:$L$41="n.d."))&gt;0),"n.d.",SUMPRODUCT(--('Flux'!$A$6:$A$41="2026Q2"),--('Flux'!$B$6:$B$41="SE"),--('Flux'!$E$6:$E$41=DATE(2026,2,1)),'Flux'!$L$6:$L$41))</f>
        <v>22431.089999999997</v>
      </c>
      <c r="F161" s="31">
        <f>IF(OR(SUMPRODUCT(--('Flux'!$A$6:$A$41="2026Q2"),--('Flux'!$B$6:$B$41="SE"),--('Flux'!$E$6:$E$41=DATE(2026,2,1)))=0,SUMPRODUCT(--('Flux'!$A$6:$A$41="2026Q2"),--('Flux'!$B$6:$B$41="SE"),--('Flux'!$E$6:$E$41=DATE(2026,2,1)),--('Flux'!$T$6:$T$41="n.d."))&gt;0),"n.d.",SUMPRODUCT(--('Flux'!$A$6:$A$41="2026Q2"),--('Flux'!$B$6:$B$41="SE"),--('Flux'!$E$6:$E$41=DATE(2026,2,1)),'Flux'!$T$6:$T$41))</f>
        <v>0.9999999999999999</v>
      </c>
      <c r="G161" s="31">
        <f>IF(OR(SUMPRODUCT(--('Flux'!$A$6:$A$41="2026Q2"),--('Flux'!$B$6:$B$41="SE"),--('Flux'!$E$6:$E$41=DATE(2026,2,1)))=0,SUMPRODUCT(--('Flux'!$A$6:$A$41="2026Q2"),--('Flux'!$B$6:$B$41="SE"),--('Flux'!$E$6:$E$41=DATE(2026,2,1)),--('Flux'!$U$6:$U$41="n.d."))&gt;0),"n.d.",SUMPRODUCT(--('Flux'!$A$6:$A$41="2026Q2"),--('Flux'!$B$6:$B$41="SE"),--('Flux'!$E$6:$E$41=DATE(2026,2,1)),'Flux'!$U$6:$U$41))</f>
        <v>1.0</v>
      </c>
    </row>
    <row r="162" spans="1:7">
      <c r="A162" t="s">
        <v>416</v>
      </c>
      <c r="B162" s="31">
        <f>IF(OR(SUMPRODUCT(--('Flux'!$A$6:$A$41="2026Q2"),--('Flux'!$B$6:$B$41="SE"),--('Flux'!$E$6:$E$41=DATE(2026,3,1)))=0,SUMPRODUCT(--('Flux'!$A$6:$A$41="2026Q2"),--('Flux'!$B$6:$B$41="SE"),--('Flux'!$E$6:$E$41=DATE(2026,3,1)),--('Flux'!$H$6:$H$41="n.d."))&gt;0),"n.d.",SUMPRODUCT(--('Flux'!$A$6:$A$41="2026Q2"),--('Flux'!$B$6:$B$41="SE"),--('Flux'!$E$6:$E$41=DATE(2026,3,1)),'Flux'!$H$6:$H$41))</f>
        <v>294604.24000000017</v>
      </c>
      <c r="C162" s="31">
        <f>IF(OR(SUMPRODUCT(--('Flux'!$A$6:$A$41="2026Q2"),--('Flux'!$B$6:$B$41="SE"),--('Flux'!$E$6:$E$41=DATE(2026,3,1)))=0,SUMPRODUCT(--('Flux'!$A$6:$A$41="2026Q2"),--('Flux'!$B$6:$B$41="SE"),--('Flux'!$E$6:$E$41=DATE(2026,3,1)),--('Flux'!$O$6:$O$41="n.d."))&gt;0),"n.d.",SUMPRODUCT(--('Flux'!$A$6:$A$41="2026Q2"),--('Flux'!$B$6:$B$41="SE"),--('Flux'!$E$6:$E$41=DATE(2026,3,1)),'Flux'!$O$6:$O$41))</f>
        <v>1916.7299999999814</v>
      </c>
      <c r="D162" s="31">
        <f>IF(OR(SUMPRODUCT(--('Flux'!$A$6:$A$41="2026Q2"),--('Flux'!$B$6:$B$41="SE"),--('Flux'!$E$6:$E$41=DATE(2026,3,1)))=0,SUMPRODUCT(--('Flux'!$A$6:$A$41="2026Q2"),--('Flux'!$B$6:$B$41="SE"),--('Flux'!$E$6:$E$41=DATE(2026,3,1)),--('Flux'!$K$6:$K$41="n.d."))&gt;0),"n.d.",SUMPRODUCT(--('Flux'!$A$6:$A$41="2026Q2"),--('Flux'!$B$6:$B$41="SE"),--('Flux'!$E$6:$E$41=DATE(2026,3,1)),'Flux'!$K$6:$K$41))</f>
        <v>0</v>
      </c>
      <c r="E162" s="31">
        <f>IF(OR(SUMPRODUCT(--('Flux'!$A$6:$A$41="2026Q2"),--('Flux'!$B$6:$B$41="SE"),--('Flux'!$E$6:$E$41=DATE(2026,3,1)))=0,SUMPRODUCT(--('Flux'!$A$6:$A$41="2026Q2"),--('Flux'!$B$6:$B$41="SE"),--('Flux'!$E$6:$E$41=DATE(2026,3,1)),--('Flux'!$L$6:$L$41="n.d."))&gt;0),"n.d.",SUMPRODUCT(--('Flux'!$A$6:$A$41="2026Q2"),--('Flux'!$B$6:$B$41="SE"),--('Flux'!$E$6:$E$41=DATE(2026,3,1)),'Flux'!$L$6:$L$41))</f>
        <v>424288.25</v>
      </c>
      <c r="F162" s="31">
        <f>IF(OR(SUMPRODUCT(--('Flux'!$A$6:$A$41="2026Q2"),--('Flux'!$B$6:$B$41="SE"),--('Flux'!$E$6:$E$41=DATE(2026,3,1)))=0,SUMPRODUCT(--('Flux'!$A$6:$A$41="2026Q2"),--('Flux'!$B$6:$B$41="SE"),--('Flux'!$E$6:$E$41=DATE(2026,3,1)),--('Flux'!$T$6:$T$41="n.d."))&gt;0),"n.d.",SUMPRODUCT(--('Flux'!$A$6:$A$41="2026Q2"),--('Flux'!$B$6:$B$41="SE"),--('Flux'!$E$6:$E$41=DATE(2026,3,1)),'Flux'!$T$6:$T$41))</f>
        <v>0.9973408636476654</v>
      </c>
      <c r="G162" s="31">
        <f>IF(OR(SUMPRODUCT(--('Flux'!$A$6:$A$41="2026Q2"),--('Flux'!$B$6:$B$41="SE"),--('Flux'!$E$6:$E$41=DATE(2026,3,1)))=0,SUMPRODUCT(--('Flux'!$A$6:$A$41="2026Q2"),--('Flux'!$B$6:$B$41="SE"),--('Flux'!$E$6:$E$41=DATE(2026,3,1)),--('Flux'!$U$6:$U$41="n.d."))&gt;0),"n.d.",SUMPRODUCT(--('Flux'!$A$6:$A$41="2026Q2"),--('Flux'!$B$6:$B$41="SE"),--('Flux'!$E$6:$E$41=DATE(2026,3,1)),'Flux'!$U$6:$U$41))</f>
        <v>0.9649923896499238</v>
      </c>
    </row>
    <row r="163" spans="1:7">
      <c r="A163" t="s">
        <v>417</v>
      </c>
      <c r="B163" s="31">
        <f>IF(OR(SUMPRODUCT(--('Flux'!$A$6:$A$41="2026Q2"),--('Flux'!$B$6:$B$41="SE"),--('Flux'!$E$6:$E$41=DATE(2026,4,1)))=0,SUMPRODUCT(--('Flux'!$A$6:$A$41="2026Q2"),--('Flux'!$B$6:$B$41="SE"),--('Flux'!$E$6:$E$41=DATE(2026,4,1)),--('Flux'!$H$6:$H$41="n.d."))&gt;0),"n.d.",SUMPRODUCT(--('Flux'!$A$6:$A$41="2026Q2"),--('Flux'!$B$6:$B$41="SE"),--('Flux'!$E$6:$E$41=DATE(2026,4,1)),'Flux'!$H$6:$H$41))</f>
        <v>367142.1100000003</v>
      </c>
      <c r="C163" s="31">
        <f>IF(OR(SUMPRODUCT(--('Flux'!$A$6:$A$41="2026Q2"),--('Flux'!$B$6:$B$41="SE"),--('Flux'!$E$6:$E$41=DATE(2026,4,1)))=0,SUMPRODUCT(--('Flux'!$A$6:$A$41="2026Q2"),--('Flux'!$B$6:$B$41="SE"),--('Flux'!$E$6:$E$41=DATE(2026,4,1)),--('Flux'!$O$6:$O$41="n.d."))&gt;0),"n.d.",SUMPRODUCT(--('Flux'!$A$6:$A$41="2026Q2"),--('Flux'!$B$6:$B$41="SE"),--('Flux'!$E$6:$E$41=DATE(2026,4,1)),'Flux'!$O$6:$O$41))</f>
        <v>4594.39999999979</v>
      </c>
      <c r="D163" s="31">
        <f>IF(OR(SUMPRODUCT(--('Flux'!$A$6:$A$41="2026Q2"),--('Flux'!$B$6:$B$41="SE"),--('Flux'!$E$6:$E$41=DATE(2026,4,1)))=0,SUMPRODUCT(--('Flux'!$A$6:$A$41="2026Q2"),--('Flux'!$B$6:$B$41="SE"),--('Flux'!$E$6:$E$41=DATE(2026,4,1)),--('Flux'!$K$6:$K$41="n.d."))&gt;0),"n.d.",SUMPRODUCT(--('Flux'!$A$6:$A$41="2026Q2"),--('Flux'!$B$6:$B$41="SE"),--('Flux'!$E$6:$E$41=DATE(2026,4,1)),'Flux'!$K$6:$K$41))</f>
        <v>0</v>
      </c>
      <c r="E163" s="31">
        <f>IF(OR(SUMPRODUCT(--('Flux'!$A$6:$A$41="2026Q2"),--('Flux'!$B$6:$B$41="SE"),--('Flux'!$E$6:$E$41=DATE(2026,4,1)))=0,SUMPRODUCT(--('Flux'!$A$6:$A$41="2026Q2"),--('Flux'!$B$6:$B$41="SE"),--('Flux'!$E$6:$E$41=DATE(2026,4,1)),--('Flux'!$L$6:$L$41="n.d."))&gt;0),"n.d.",SUMPRODUCT(--('Flux'!$A$6:$A$41="2026Q2"),--('Flux'!$B$6:$B$41="SE"),--('Flux'!$E$6:$E$41=DATE(2026,4,1)),'Flux'!$L$6:$L$41))</f>
        <v>12497.66</v>
      </c>
      <c r="F163" s="31">
        <f>IF(OR(SUMPRODUCT(--('Flux'!$A$6:$A$41="2026Q2"),--('Flux'!$B$6:$B$41="SE"),--('Flux'!$E$6:$E$41=DATE(2026,4,1)))=0,SUMPRODUCT(--('Flux'!$A$6:$A$41="2026Q2"),--('Flux'!$B$6:$B$41="SE"),--('Flux'!$E$6:$E$41=DATE(2026,4,1)),--('Flux'!$T$6:$T$41="n.d."))&gt;0),"n.d.",SUMPRODUCT(--('Flux'!$A$6:$A$41="2026Q2"),--('Flux'!$B$6:$B$41="SE"),--('Flux'!$E$6:$E$41=DATE(2026,4,1)),'Flux'!$T$6:$T$41))</f>
        <v>0.9880427084348073</v>
      </c>
      <c r="G163" s="31">
        <f>IF(OR(SUMPRODUCT(--('Flux'!$A$6:$A$41="2026Q2"),--('Flux'!$B$6:$B$41="SE"),--('Flux'!$E$6:$E$41=DATE(2026,4,1)))=0,SUMPRODUCT(--('Flux'!$A$6:$A$41="2026Q2"),--('Flux'!$B$6:$B$41="SE"),--('Flux'!$E$6:$E$41=DATE(2026,4,1)),--('Flux'!$U$6:$U$41="n.d."))&gt;0),"n.d.",SUMPRODUCT(--('Flux'!$A$6:$A$41="2026Q2"),--('Flux'!$B$6:$B$41="SE"),--('Flux'!$E$6:$E$41=DATE(2026,4,1)),'Flux'!$U$6:$U$41))</f>
        <v>0.930116472545757</v>
      </c>
    </row>
    <row r="164" spans="1:7">
      <c r="A164" t="s">
        <v>418</v>
      </c>
      <c r="B164" s="31">
        <f>IF(OR(SUMPRODUCT(--('Flux'!$A$6:$A$41="2026Q2"),--('Flux'!$B$6:$B$41="SE"),--('Flux'!$E$6:$E$41=DATE(2026,5,1)))=0,SUMPRODUCT(--('Flux'!$A$6:$A$41="2026Q2"),--('Flux'!$B$6:$B$41="SE"),--('Flux'!$E$6:$E$41=DATE(2026,5,1)),--('Flux'!$H$6:$H$41="n.d."))&gt;0),"n.d.",SUMPRODUCT(--('Flux'!$A$6:$A$41="2026Q2"),--('Flux'!$B$6:$B$41="SE"),--('Flux'!$E$6:$E$41=DATE(2026,5,1)),'Flux'!$H$6:$H$41))</f>
        <v>125498.9999999999</v>
      </c>
      <c r="C164" s="31">
        <f>IF(OR(SUMPRODUCT(--('Flux'!$A$6:$A$41="2026Q2"),--('Flux'!$B$6:$B$41="SE"),--('Flux'!$E$6:$E$41=DATE(2026,5,1)))=0,SUMPRODUCT(--('Flux'!$A$6:$A$41="2026Q2"),--('Flux'!$B$6:$B$41="SE"),--('Flux'!$E$6:$E$41=DATE(2026,5,1)),--('Flux'!$O$6:$O$41="n.d."))&gt;0),"n.d.",SUMPRODUCT(--('Flux'!$A$6:$A$41="2026Q2"),--('Flux'!$B$6:$B$41="SE"),--('Flux'!$E$6:$E$41=DATE(2026,5,1)),'Flux'!$O$6:$O$41))</f>
        <v>6251.130000000005</v>
      </c>
      <c r="D164" s="31">
        <f>IF(OR(SUMPRODUCT(--('Flux'!$A$6:$A$41="2026Q2"),--('Flux'!$B$6:$B$41="SE"),--('Flux'!$E$6:$E$41=DATE(2026,5,1)))=0,SUMPRODUCT(--('Flux'!$A$6:$A$41="2026Q2"),--('Flux'!$B$6:$B$41="SE"),--('Flux'!$E$6:$E$41=DATE(2026,5,1)),--('Flux'!$K$6:$K$41="n.d."))&gt;0),"n.d.",SUMPRODUCT(--('Flux'!$A$6:$A$41="2026Q2"),--('Flux'!$B$6:$B$41="SE"),--('Flux'!$E$6:$E$41=DATE(2026,5,1)),'Flux'!$K$6:$K$41))</f>
        <v>0</v>
      </c>
      <c r="E164" s="31">
        <f>IF(OR(SUMPRODUCT(--('Flux'!$A$6:$A$41="2026Q2"),--('Flux'!$B$6:$B$41="SE"),--('Flux'!$E$6:$E$41=DATE(2026,5,1)))=0,SUMPRODUCT(--('Flux'!$A$6:$A$41="2026Q2"),--('Flux'!$B$6:$B$41="SE"),--('Flux'!$E$6:$E$41=DATE(2026,5,1)),--('Flux'!$L$6:$L$41="n.d."))&gt;0),"n.d.",SUMPRODUCT(--('Flux'!$A$6:$A$41="2026Q2"),--('Flux'!$B$6:$B$41="SE"),--('Flux'!$E$6:$E$41=DATE(2026,5,1)),'Flux'!$L$6:$L$41))</f>
        <v>5375.139999999999</v>
      </c>
      <c r="F164" s="31">
        <f>IF(OR(SUMPRODUCT(--('Flux'!$A$6:$A$41="2026Q2"),--('Flux'!$B$6:$B$41="SE"),--('Flux'!$E$6:$E$41=DATE(2026,5,1)))=0,SUMPRODUCT(--('Flux'!$A$6:$A$41="2026Q2"),--('Flux'!$B$6:$B$41="SE"),--('Flux'!$E$6:$E$41=DATE(2026,5,1)),--('Flux'!$T$6:$T$41="n.d."))&gt;0),"n.d.",SUMPRODUCT(--('Flux'!$A$6:$A$41="2026Q2"),--('Flux'!$B$6:$B$41="SE"),--('Flux'!$E$6:$E$41=DATE(2026,5,1)),'Flux'!$T$6:$T$41))</f>
        <v>0.9544129976918185</v>
      </c>
      <c r="G164" s="31">
        <f>IF(OR(SUMPRODUCT(--('Flux'!$A$6:$A$41="2026Q2"),--('Flux'!$B$6:$B$41="SE"),--('Flux'!$E$6:$E$41=DATE(2026,5,1)))=0,SUMPRODUCT(--('Flux'!$A$6:$A$41="2026Q2"),--('Flux'!$B$6:$B$41="SE"),--('Flux'!$E$6:$E$41=DATE(2026,5,1)),--('Flux'!$U$6:$U$41="n.d."))&gt;0),"n.d.",SUMPRODUCT(--('Flux'!$A$6:$A$41="2026Q2"),--('Flux'!$B$6:$B$41="SE"),--('Flux'!$E$6:$E$41=DATE(2026,5,1)),'Flux'!$U$6:$U$41))</f>
        <v>0.8938223938223938</v>
      </c>
    </row>
    <row r="165" spans="1:7">
      <c r="A165" t="s">
        <v>419</v>
      </c>
      <c r="B165" s="31">
        <f>IF(OR(SUMPRODUCT(--('Flux'!$A$6:$A$41="2026Q2"),--('Flux'!$B$6:$B$41="SE"),--('Flux'!$E$6:$E$41=DATE(2026,6,1)))=0,SUMPRODUCT(--('Flux'!$A$6:$A$41="2026Q2"),--('Flux'!$B$6:$B$41="SE"),--('Flux'!$E$6:$E$41=DATE(2026,6,1)),--('Flux'!$H$6:$H$41="n.d."))&gt;0),"n.d.",SUMPRODUCT(--('Flux'!$A$6:$A$41="2026Q2"),--('Flux'!$B$6:$B$41="SE"),--('Flux'!$E$6:$E$41=DATE(2026,6,1)),'Flux'!$H$6:$H$41))</f>
        <v>124033.42000000004</v>
      </c>
      <c r="C165" s="31">
        <f>IF(OR(SUMPRODUCT(--('Flux'!$A$6:$A$41="2026Q2"),--('Flux'!$B$6:$B$41="SE"),--('Flux'!$E$6:$E$41=DATE(2026,6,1)))=0,SUMPRODUCT(--('Flux'!$A$6:$A$41="2026Q2"),--('Flux'!$B$6:$B$41="SE"),--('Flux'!$E$6:$E$41=DATE(2026,6,1)),--('Flux'!$O$6:$O$41="n.d."))&gt;0),"n.d.",SUMPRODUCT(--('Flux'!$A$6:$A$41="2026Q2"),--('Flux'!$B$6:$B$41="SE"),--('Flux'!$E$6:$E$41=DATE(2026,6,1)),'Flux'!$O$6:$O$41))</f>
        <v>143881.7999999997</v>
      </c>
      <c r="D165" s="31">
        <f>IF(OR(SUMPRODUCT(--('Flux'!$A$6:$A$41="2026Q2"),--('Flux'!$B$6:$B$41="SE"),--('Flux'!$E$6:$E$41=DATE(2026,6,1)))=0,SUMPRODUCT(--('Flux'!$A$6:$A$41="2026Q2"),--('Flux'!$B$6:$B$41="SE"),--('Flux'!$E$6:$E$41=DATE(2026,6,1)),--('Flux'!$K$6:$K$41="n.d."))&gt;0),"n.d.",SUMPRODUCT(--('Flux'!$A$6:$A$41="2026Q2"),--('Flux'!$B$6:$B$41="SE"),--('Flux'!$E$6:$E$41=DATE(2026,6,1)),'Flux'!$K$6:$K$41))</f>
        <v>0</v>
      </c>
      <c r="E165" s="31">
        <f>IF(OR(SUMPRODUCT(--('Flux'!$A$6:$A$41="2026Q2"),--('Flux'!$B$6:$B$41="SE"),--('Flux'!$E$6:$E$41=DATE(2026,6,1)))=0,SUMPRODUCT(--('Flux'!$A$6:$A$41="2026Q2"),--('Flux'!$B$6:$B$41="SE"),--('Flux'!$E$6:$E$41=DATE(2026,6,1)),--('Flux'!$L$6:$L$41="n.d."))&gt;0),"n.d.",SUMPRODUCT(--('Flux'!$A$6:$A$41="2026Q2"),--('Flux'!$B$6:$B$41="SE"),--('Flux'!$E$6:$E$41=DATE(2026,6,1)),'Flux'!$L$6:$L$41))</f>
        <v>9680.37</v>
      </c>
      <c r="F165" s="31">
        <f>IF(OR(SUMPRODUCT(--('Flux'!$A$6:$A$41="2026Q2"),--('Flux'!$B$6:$B$41="SE"),--('Flux'!$E$6:$E$41=DATE(2026,6,1)))=0,SUMPRODUCT(--('Flux'!$A$6:$A$41="2026Q2"),--('Flux'!$B$6:$B$41="SE"),--('Flux'!$E$6:$E$41=DATE(2026,6,1)),--('Flux'!$T$6:$T$41="n.d."))&gt;0),"n.d.",SUMPRODUCT(--('Flux'!$A$6:$A$41="2026Q2"),--('Flux'!$B$6:$B$41="SE"),--('Flux'!$E$6:$E$41=DATE(2026,6,1)),'Flux'!$T$6:$T$41))</f>
        <v>0.48168557000491313</v>
      </c>
      <c r="G165" s="31">
        <f>IF(OR(SUMPRODUCT(--('Flux'!$A$6:$A$41="2026Q2"),--('Flux'!$B$6:$B$41="SE"),--('Flux'!$E$6:$E$41=DATE(2026,6,1)))=0,SUMPRODUCT(--('Flux'!$A$6:$A$41="2026Q2"),--('Flux'!$B$6:$B$41="SE"),--('Flux'!$E$6:$E$41=DATE(2026,6,1)),--('Flux'!$U$6:$U$41="n.d."))&gt;0),"n.d.",SUMPRODUCT(--('Flux'!$A$6:$A$41="2026Q2"),--('Flux'!$B$6:$B$41="SE"),--('Flux'!$E$6:$E$41=DATE(2026,6,1)),'Flux'!$U$6:$U$41))</f>
        <v>0.4220472440944882</v>
      </c>
    </row>
    <row r="169" spans="1:7">
      <c r="A169" s="28" t="s">
        <v>492</v>
      </c>
    </row>
    <row r="170" spans="1:7" ht="32" customHeight="1">
      <c r="A170" s="30" t="s">
        <v>426</v>
      </c>
      <c r="B170" s="30" t="s">
        <v>465</v>
      </c>
      <c r="C170" s="30" t="s">
        <v>466</v>
      </c>
      <c r="D170" s="30" t="s">
        <v>467</v>
      </c>
      <c r="E170" s="30" t="s">
        <v>468</v>
      </c>
      <c r="F170" s="30" t="s">
        <v>469</v>
      </c>
      <c r="G170" s="30" t="s">
        <v>395</v>
      </c>
    </row>
    <row r="171" spans="1:7">
      <c r="A171" s="31">
        <f>(IF(OR(COUNTIFS('Consolidation'!$A$6:$A$11,"2026Q2",'Consolidation'!$B$6:$B$11,"SE")&lt;&gt;1,COUNTIFS('Consolidation'!$A$6:$A$11,"2026Q2",'Consolidation'!$B$6:$B$11,"SE",'Consolidation'!$W$6:$W$11,"n.d.")&gt;0),"n.d.",SUMIFS('Consolidation'!$W$6:$W$11,'Consolidation'!$A$6:$A$11,"2026Q2",'Consolidation'!$B$6:$B$11,"SE")))*(IF(OR(COUNTIFS('Consolidation'!$A$6:$A$11,"2026Q2",'Consolidation'!$B$6:$B$11,"SE")&lt;&gt;1,COUNTIFS('Consolidation'!$A$6:$A$11,"2026Q2",'Consolidation'!$B$6:$B$11,"SE",'Consolidation'!$E$6:$E$11,"n.d.")&gt;0),"n.d.",SUMIFS('Consolidation'!$E$6:$E$11,'Consolidation'!$A$6:$A$11,"2026Q2",'Consolidation'!$B$6:$B$11,"SE")))</f>
        <v>314652.82499999995</v>
      </c>
      <c r="B171" s="31">
        <f>IF(OR(NOT(ISNUMBER(IF(OR(COUNTIFS('Consolidation'!$A$6:$A$11,"2026Q2",'Consolidation'!$B$6:$B$11,"SE")&lt;&gt;1,COUNTIFS('Consolidation'!$A$6:$A$11,"2026Q2",'Consolidation'!$B$6:$B$11,"SE",'Consolidation'!$Q$6:$Q$11,"n.d.")&gt;0),"n.d.",SUMIFS('Consolidation'!$Q$6:$Q$11,'Consolidation'!$A$6:$A$11,"2026Q2",'Consolidation'!$B$6:$B$11,"SE")))),NOT(ISNUMBER(IF(OR(COUNTIFS('Consolidation'!$A$6:$A$11,"2026Q2",'Consolidation'!$B$6:$B$11,"SE")&lt;&gt;1,COUNTIFS('Consolidation'!$A$6:$A$11,"2026Q2",'Consolidation'!$B$6:$B$11,"SE",'Consolidation'!$S$6:$S$11,"n.d.")&gt;0),"n.d.",SUMIFS('Consolidation'!$S$6:$S$11,'Consolidation'!$A$6:$A$11,"2026Q2",'Consolidation'!$B$6:$B$11,"SE")))),(IF(OR(COUNTIFS('Consolidation'!$A$6:$A$11,"2026Q2",'Consolidation'!$B$6:$B$11,"SE")&lt;&gt;1,COUNTIFS('Consolidation'!$A$6:$A$11,"2026Q2",'Consolidation'!$B$6:$B$11,"SE",'Consolidation'!$S$6:$S$11,"n.d.")&gt;0),"n.d.",SUMIFS('Consolidation'!$S$6:$S$11,'Consolidation'!$A$6:$A$11,"2026Q2",'Consolidation'!$B$6:$B$11,"SE")))=0),"n.d.",(IF(OR(COUNTIFS('Consolidation'!$A$6:$A$11,"2026Q2",'Consolidation'!$B$6:$B$11,"SE")&lt;&gt;1,COUNTIFS('Consolidation'!$A$6:$A$11,"2026Q2",'Consolidation'!$B$6:$B$11,"SE",'Consolidation'!$Q$6:$Q$11,"n.d.")&gt;0),"n.d.",SUMIFS('Consolidation'!$Q$6:$Q$11,'Consolidation'!$A$6:$A$11,"2026Q2",'Consolidation'!$B$6:$B$11,"SE")))/(IF(OR(COUNTIFS('Consolidation'!$A$6:$A$11,"2026Q2",'Consolidation'!$B$6:$B$11,"SE")&lt;&gt;1,COUNTIFS('Consolidation'!$A$6:$A$11,"2026Q2",'Consolidation'!$B$6:$B$11,"SE",'Consolidation'!$S$6:$S$11,"n.d.")&gt;0),"n.d.",SUMIFS('Consolidation'!$S$6:$S$11,'Consolidation'!$A$6:$A$11,"2026Q2",'Consolidation'!$B$6:$B$11,"SE")))*(IF(OR(COUNTIFS('Consolidation'!$A$6:$A$11,"2026Q2",'Consolidation'!$B$6:$B$11,"SE")&lt;&gt;1,COUNTIFS('Consolidation'!$A$6:$A$11,"2026Q2",'Consolidation'!$B$6:$B$11,"SE",'Consolidation'!$E$6:$E$11,"n.d.")&gt;0),"n.d.",SUMIFS('Consolidation'!$E$6:$E$11,'Consolidation'!$A$6:$A$11,"2026Q2",'Consolidation'!$B$6:$B$11,"SE"))))</f>
        <v>539.2507712082262</v>
      </c>
      <c r="C171" s="31">
        <f>IF(OR(COUNTIFS('Consolidation'!$A$6:$A$11,"2026Q2",'Consolidation'!$B$6:$B$11,"SE")&lt;&gt;1,COUNTIFS('Consolidation'!$A$6:$A$11,"2026Q2",'Consolidation'!$B$6:$B$11,"SE",'Consolidation'!$X$6:$X$11,"n.d.")&gt;0),"n.d.",SUMIFS('Consolidation'!$X$6:$X$11,'Consolidation'!$A$6:$A$11,"2026Q2",'Consolidation'!$B$6:$B$11,"SE"))</f>
        <v>0.9999999999999999</v>
      </c>
      <c r="D171" s="31">
        <f>IF(OR(COUNTIFS('Consolidation'!$A$6:$A$11,"2026Q2",'Consolidation'!$B$6:$B$11,"SE")&lt;&gt;1,COUNTIFS('Consolidation'!$A$6:$A$11,"2026Q2",'Consolidation'!$B$6:$B$11,"SE",'Consolidation'!$Y$6:$Y$11,"n.d.")&gt;0),"n.d.",SUMIFS('Consolidation'!$Y$6:$Y$11,'Consolidation'!$A$6:$A$11,"2026Q2",'Consolidation'!$B$6:$B$11,"SE"))</f>
        <v>1.0</v>
      </c>
      <c r="E171" s="31">
        <f>IF(OR(COUNTIFS('Consolidation'!$A$6:$A$11,"2026Q2",'Consolidation'!$B$6:$B$11,"SE")&lt;&gt;1,COUNTIFS('Consolidation'!$A$6:$A$11,"2026Q2",'Consolidation'!$B$6:$B$11,"SE",'Consolidation'!$H$6:$H$11,"n.d.")&gt;0),"n.d.",SUMIFS('Consolidation'!$H$6:$H$11,'Consolidation'!$A$6:$A$11,"2026Q2",'Consolidation'!$B$6:$B$11,"SE"))</f>
        <v>156644.06000000075</v>
      </c>
      <c r="F171" s="31">
        <f>IF(OR(COUNTIFS('Consolidation'!$A$6:$A$11,"2026Q2",'Consolidation'!$B$6:$B$11,"SE")&lt;&gt;1,COUNTIFS('Consolidation'!$A$6:$A$11,"2026Q2",'Consolidation'!$B$6:$B$11,"SE",'Consolidation'!$J$6:$J$11,"n.d.")&gt;0),"n.d.",SUMIFS('Consolidation'!$J$6:$J$11,'Consolidation'!$A$6:$A$11,"2026Q2",'Consolidation'!$B$6:$B$11,"SE"))</f>
        <v>156644.06000000075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2:F17"/>
  <sheetViews>
    <sheetView showGridLines="0" workbookViewId="0"/>
  </sheetViews>
  <sheetFormatPr defaultRowHeight="15"/>
  <cols>
    <col min="1" max="3" width="20.7109375" customWidth="1"/>
    <col min="4" max="5" width="22.7109375" customWidth="1"/>
    <col min="6" max="6" width="65.7109375" customWidth="1"/>
  </cols>
  <sheetData>
    <row r="2" spans="1:6">
      <c r="A2" s="17" t="s">
        <v>371</v>
      </c>
    </row>
    <row r="5" spans="1:6">
      <c r="A5" t="s">
        <v>372</v>
      </c>
      <c r="B5" t="s">
        <v>373</v>
      </c>
      <c r="C5" t="s">
        <v>374</v>
      </c>
      <c r="D5" t="s">
        <v>375</v>
      </c>
      <c r="E5" t="s">
        <v>376</v>
      </c>
      <c r="F5" t="s">
        <v>8</v>
      </c>
    </row>
    <row r="6" spans="1:6">
      <c r="A6" t="s">
        <v>9</v>
      </c>
      <c r="B6" t="s">
        <v>41</v>
      </c>
      <c r="C6" t="s">
        <v>377</v>
      </c>
      <c r="D6" s="21">
        <v>74</v>
      </c>
      <c r="E6" s="21">
        <v>11992</v>
      </c>
      <c r="F6" t="s">
        <v>291</v>
      </c>
    </row>
    <row r="7" spans="1:6">
      <c r="A7" t="s">
        <v>9</v>
      </c>
      <c r="B7" t="s">
        <v>41</v>
      </c>
      <c r="C7" t="s">
        <v>378</v>
      </c>
      <c r="D7" s="21">
        <v>74</v>
      </c>
      <c r="E7" s="21">
        <v>11992.29</v>
      </c>
      <c r="F7" t="s">
        <v>293</v>
      </c>
    </row>
    <row r="8" spans="1:6">
      <c r="A8" t="s">
        <v>9</v>
      </c>
      <c r="B8" t="s">
        <v>50</v>
      </c>
      <c r="C8" t="s">
        <v>377</v>
      </c>
      <c r="D8" s="21">
        <v>5595</v>
      </c>
      <c r="E8" s="21">
        <v>787426.24</v>
      </c>
      <c r="F8" t="s">
        <v>379</v>
      </c>
    </row>
    <row r="9" spans="1:6">
      <c r="A9" t="s">
        <v>9</v>
      </c>
      <c r="B9" t="s">
        <v>50</v>
      </c>
      <c r="C9" t="s">
        <v>378</v>
      </c>
      <c r="D9" s="21">
        <v>5595</v>
      </c>
      <c r="E9" s="21">
        <v>787426.240000003</v>
      </c>
      <c r="F9" t="s">
        <v>380</v>
      </c>
    </row>
    <row r="10" spans="1:6">
      <c r="A10" t="s">
        <v>9</v>
      </c>
      <c r="B10" t="s">
        <v>55</v>
      </c>
      <c r="C10" t="s">
        <v>377</v>
      </c>
      <c r="D10" s="21">
        <v>71052</v>
      </c>
      <c r="E10" s="21">
        <v>31178863.20999995</v>
      </c>
      <c r="F10" t="s">
        <v>381</v>
      </c>
    </row>
    <row r="11" spans="1:6">
      <c r="A11" t="s">
        <v>9</v>
      </c>
      <c r="B11" t="s">
        <v>55</v>
      </c>
      <c r="C11" t="s">
        <v>378</v>
      </c>
      <c r="D11" s="21">
        <v>71052</v>
      </c>
      <c r="E11" s="21">
        <v>31178863.20999989</v>
      </c>
      <c r="F11" t="s">
        <v>382</v>
      </c>
    </row>
    <row r="12" spans="1:6">
      <c r="A12" t="s">
        <v>9</v>
      </c>
      <c r="B12" t="s">
        <v>60</v>
      </c>
      <c r="C12" t="s">
        <v>377</v>
      </c>
      <c r="D12" s="21">
        <v>692</v>
      </c>
      <c r="E12" s="21">
        <v>182297.81</v>
      </c>
      <c r="F12" t="s">
        <v>383</v>
      </c>
    </row>
    <row r="13" spans="1:6">
      <c r="A13" t="s">
        <v>9</v>
      </c>
      <c r="B13" t="s">
        <v>60</v>
      </c>
      <c r="C13" t="s">
        <v>378</v>
      </c>
      <c r="D13" s="21">
        <v>692</v>
      </c>
      <c r="E13" s="21">
        <v>182297.8099999999</v>
      </c>
      <c r="F13" t="s">
        <v>384</v>
      </c>
    </row>
    <row r="14" spans="1:6">
      <c r="A14" t="s">
        <v>9</v>
      </c>
      <c r="B14" t="s">
        <v>68</v>
      </c>
      <c r="C14" t="s">
        <v>377</v>
      </c>
      <c r="D14" s="21">
        <v>461</v>
      </c>
      <c r="E14" s="21">
        <v>122248.06</v>
      </c>
      <c r="F14" t="s">
        <v>385</v>
      </c>
    </row>
    <row r="15" spans="1:6">
      <c r="A15" t="s">
        <v>9</v>
      </c>
      <c r="B15" t="s">
        <v>68</v>
      </c>
      <c r="C15" t="s">
        <v>378</v>
      </c>
      <c r="D15" s="21">
        <v>461</v>
      </c>
      <c r="E15" s="21">
        <v>122248.06</v>
      </c>
      <c r="F15" t="s">
        <v>386</v>
      </c>
    </row>
    <row r="16" spans="1:6">
      <c r="A16" t="s">
        <v>9</v>
      </c>
      <c r="B16" t="s">
        <v>74</v>
      </c>
      <c r="C16" t="s">
        <v>377</v>
      </c>
      <c r="D16" s="21">
        <v>487</v>
      </c>
      <c r="E16" s="21">
        <v>156644.0599999999</v>
      </c>
      <c r="F16" t="s">
        <v>387</v>
      </c>
    </row>
    <row r="17" spans="1:6">
      <c r="A17" t="s">
        <v>9</v>
      </c>
      <c r="B17" t="s">
        <v>74</v>
      </c>
      <c r="C17" t="s">
        <v>378</v>
      </c>
      <c r="D17" s="21">
        <v>487</v>
      </c>
      <c r="E17" s="21">
        <v>156644.0600000001</v>
      </c>
      <c r="F17" t="s">
        <v>388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28</vt:i4>
      </vt:variant>
    </vt:vector>
  </HeadingPairs>
  <TitlesOfParts>
    <vt:vector size="47" baseType="lpstr">
      <vt:lpstr>Global</vt:lpstr>
      <vt:lpstr>CORE Stock</vt:lpstr>
      <vt:lpstr>CORE Flows</vt:lpstr>
      <vt:lpstr>NON CORE Stock</vt:lpstr>
      <vt:lpstr>AT Austria</vt:lpstr>
      <vt:lpstr>IT Italy</vt:lpstr>
      <vt:lpstr>ZA South Africa</vt:lpstr>
      <vt:lpstr>DK Denmark</vt:lpstr>
      <vt:lpstr>NO Norway</vt:lpstr>
      <vt:lpstr>SE Sweden</vt:lpstr>
      <vt:lpstr>Consolidation</vt:lpstr>
      <vt:lpstr>Flux</vt:lpstr>
      <vt:lpstr>Stock</vt:lpstr>
      <vt:lpstr>Repartition stock</vt:lpstr>
      <vt:lpstr>Taux</vt:lpstr>
      <vt:lpstr>Controles</vt:lpstr>
      <vt:lpstr>Mode emploi</vt:lpstr>
      <vt:lpstr>GraphData</vt:lpstr>
      <vt:lpstr>Presentation inputs</vt:lpstr>
      <vt:lpstr>Periodes</vt:lpstr>
      <vt:lpstr>'AT Austria'!Print_Area</vt:lpstr>
      <vt:lpstr>'CORE Flows'!Print_Area</vt:lpstr>
      <vt:lpstr>'CORE Stock'!Print_Area</vt:lpstr>
      <vt:lpstr>'DK Denmark'!Print_Area</vt:lpstr>
      <vt:lpstr>Global!Print_Area</vt:lpstr>
      <vt:lpstr>'IT Italy'!Print_Area</vt:lpstr>
      <vt:lpstr>'Mode emploi'!Print_Area</vt:lpstr>
      <vt:lpstr>'NO Norway'!Print_Area</vt:lpstr>
      <vt:lpstr>'NON CORE Stock'!Print_Area</vt:lpstr>
      <vt:lpstr>'SE Sweden'!Print_Area</vt:lpstr>
      <vt:lpstr>'ZA South Africa'!Print_Area</vt:lpstr>
      <vt:lpstr>'AT Austria'!Print_Titles</vt:lpstr>
      <vt:lpstr>Consolidation!Print_Titles</vt:lpstr>
      <vt:lpstr>Controles!Print_Titles</vt:lpstr>
      <vt:lpstr>'CORE Flows'!Print_Titles</vt:lpstr>
      <vt:lpstr>'CORE Stock'!Print_Titles</vt:lpstr>
      <vt:lpstr>'DK Denmark'!Print_Titles</vt:lpstr>
      <vt:lpstr>Flux!Print_Titles</vt:lpstr>
      <vt:lpstr>Global!Print_Titles</vt:lpstr>
      <vt:lpstr>'IT Italy'!Print_Titles</vt:lpstr>
      <vt:lpstr>'NO Norway'!Print_Titles</vt:lpstr>
      <vt:lpstr>'NON CORE Stock'!Print_Titles</vt:lpstr>
      <vt:lpstr>'Repartition stock'!Print_Titles</vt:lpstr>
      <vt:lpstr>'SE Sweden'!Print_Titles</vt:lpstr>
      <vt:lpstr>Stock!Print_Titles</vt:lpstr>
      <vt:lpstr>Taux!Print_Titles</vt:lpstr>
      <vt:lpstr>'ZA South Africa'!Print_Titles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Positive Balance</dc:title>
  <dc:subject>Consolidation trimestrielle</dc:subject>
  <dc:creator>Positive Balance</dc:creator>
  <cp:lastModifiedBy>Positive Balance</cp:lastModifiedBy>
  <dcterms:created xsi:type="dcterms:W3CDTF">2026-10-22T16:42:08Z</dcterms:created>
  <dcterms:modified xsi:type="dcterms:W3CDTF">2026-10-22T16:42:08Z</dcterms:modified>
</cp:coreProperties>
</file>