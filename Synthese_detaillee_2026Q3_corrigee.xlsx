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CORE Stock" sheetId="2" r:id="rId2"/>
    <sheet name="CORE Flows" sheetId="3" r:id="rId3"/>
    <sheet name="NON CORE Stock" sheetId="4" r:id="rId4"/>
    <sheet name="ES Spain" sheetId="5" r:id="rId5"/>
    <sheet name="DE Germany" sheetId="6" r:id="rId6"/>
    <sheet name="AT Austria" sheetId="7" r:id="rId7"/>
    <sheet name="BE Belgium" sheetId="8" r:id="rId8"/>
    <sheet name="IT Italy" sheetId="9" r:id="rId9"/>
    <sheet name="PT Portugal" sheetId="10" r:id="rId10"/>
    <sheet name="FR France" sheetId="11" r:id="rId11"/>
    <sheet name="UK UK" sheetId="12" r:id="rId12"/>
    <sheet name="ZA South Africa" sheetId="13" r:id="rId13"/>
    <sheet name="BR Brazil" sheetId="14" r:id="rId14"/>
    <sheet name="DK Denmark" sheetId="15" r:id="rId15"/>
    <sheet name="NO Norway" sheetId="16" r:id="rId16"/>
    <sheet name="SE Sweden" sheetId="17" r:id="rId17"/>
    <sheet name="Consolidation" sheetId="18" r:id="rId18"/>
    <sheet name="Flux" sheetId="19" r:id="rId19"/>
    <sheet name="Stock" sheetId="20" r:id="rId20"/>
    <sheet name="Repartition stock" sheetId="21" r:id="rId21"/>
    <sheet name="Taux" sheetId="22" r:id="rId22"/>
    <sheet name="Controles" sheetId="23" r:id="rId23"/>
    <sheet name="Mode emploi" sheetId="24" r:id="rId24"/>
    <sheet name="GraphData" sheetId="25" r:id="rId25"/>
    <sheet name="Presentation inputs" sheetId="26" r:id="rId26"/>
    <sheet name="Coverage" sheetId="27" r:id="rId27"/>
    <sheet name="Source extracts" sheetId="28" r:id="rId28"/>
    <sheet name="Reconciliation" sheetId="29" r:id="rId29"/>
    <sheet name="FX comparison" sheetId="30" r:id="rId30"/>
  </sheets>
  <definedNames>
    <definedName name="Periodes">'Taux'!$H$6:$H$8</definedName>
    <definedName name="_xlnm.Print_Area" localSheetId="6">'AT Austria'!$A$1:$AF$42</definedName>
    <definedName name="_xlnm.Print_Area" localSheetId="7">'BE Belgium'!$A$1:$AF$42</definedName>
    <definedName name="_xlnm.Print_Area" localSheetId="13">'BR Brazil'!$A$1:$AF$42</definedName>
    <definedName name="_xlnm.Print_Area" localSheetId="2">'CORE Flows'!$A$1:$AF$42</definedName>
    <definedName name="_xlnm.Print_Area" localSheetId="1">'CORE Stock'!$A$1:$AF$42</definedName>
    <definedName name="_xlnm.Print_Area" localSheetId="5">'DE Germany'!$A$1:$AF$43</definedName>
    <definedName name="_xlnm.Print_Area" localSheetId="14">'DK Denmark'!$A$1:$AF$42</definedName>
    <definedName name="_xlnm.Print_Area" localSheetId="4">'ES Spain'!$A$1:$AF$42</definedName>
    <definedName name="_xlnm.Print_Area" localSheetId="10">'FR France'!$A$1:$AF$42</definedName>
    <definedName name="_xlnm.Print_Area" localSheetId="0">Global!$A$1:$AF$91</definedName>
    <definedName name="_xlnm.Print_Area" localSheetId="8">'IT Italy'!$A$1:$AF$42</definedName>
    <definedName name="_xlnm.Print_Area" localSheetId="23">'Mode emploi'!$B$1:$C$23</definedName>
    <definedName name="_xlnm.Print_Area" localSheetId="15">'NO Norway'!$A$1:$AF$42</definedName>
    <definedName name="_xlnm.Print_Area" localSheetId="3">'NON CORE Stock'!$A$1:$AF$42</definedName>
    <definedName name="_xlnm.Print_Area" localSheetId="9">'PT Portugal'!$A$1:$AF$42</definedName>
    <definedName name="_xlnm.Print_Area" localSheetId="16">'SE Sweden'!$A$1:$AF$42</definedName>
    <definedName name="_xlnm.Print_Area" localSheetId="11">'UK UK'!$A$1:$AF$42</definedName>
    <definedName name="_xlnm.Print_Area" localSheetId="12">'ZA South Africa'!$A$1:$AF$42</definedName>
    <definedName name="_xlnm.Print_Titles" localSheetId="6">'AT Austria'!$1:$1</definedName>
    <definedName name="_xlnm.Print_Titles" localSheetId="7">'BE Belgium'!$1:$1</definedName>
    <definedName name="_xlnm.Print_Titles" localSheetId="13">'BR Brazil'!$1:$1</definedName>
    <definedName name="_xlnm.Print_Titles" localSheetId="17">Consolidation!$1:$5</definedName>
    <definedName name="_xlnm.Print_Titles" localSheetId="22">Controles!$1:$5</definedName>
    <definedName name="_xlnm.Print_Titles" localSheetId="2">'CORE Flows'!$1:$1</definedName>
    <definedName name="_xlnm.Print_Titles" localSheetId="1">'CORE Stock'!$1:$1</definedName>
    <definedName name="_xlnm.Print_Titles" localSheetId="5">'DE Germany'!$1:$1</definedName>
    <definedName name="_xlnm.Print_Titles" localSheetId="14">'DK Denmark'!$1:$1</definedName>
    <definedName name="_xlnm.Print_Titles" localSheetId="4">'ES Spain'!$1:$1</definedName>
    <definedName name="_xlnm.Print_Titles" localSheetId="18">Flux!$1:$5</definedName>
    <definedName name="_xlnm.Print_Titles" localSheetId="10">'FR France'!$1:$1</definedName>
    <definedName name="_xlnm.Print_Titles" localSheetId="0">Global!$1:$1</definedName>
    <definedName name="_xlnm.Print_Titles" localSheetId="8">'IT Italy'!$1:$1</definedName>
    <definedName name="_xlnm.Print_Titles" localSheetId="15">'NO Norway'!$1:$1</definedName>
    <definedName name="_xlnm.Print_Titles" localSheetId="3">'NON CORE Stock'!$1:$1</definedName>
    <definedName name="_xlnm.Print_Titles" localSheetId="9">'PT Portugal'!$1:$1</definedName>
    <definedName name="_xlnm.Print_Titles" localSheetId="20">'Repartition stock'!$1:$5</definedName>
    <definedName name="_xlnm.Print_Titles" localSheetId="16">'SE Sweden'!$1:$1</definedName>
    <definedName name="_xlnm.Print_Titles" localSheetId="19">Stock!$1:$5</definedName>
    <definedName name="_xlnm.Print_Titles" localSheetId="21">Taux!$1:$5</definedName>
    <definedName name="_xlnm.Print_Titles" localSheetId="11">'UK UK'!$1:$1</definedName>
    <definedName name="_xlnm.Print_Titles" localSheetId="12">'ZA South Africa'!$1:$1</definedName>
  </definedNames>
  <calcPr calcId="124519" fullCalcOnLoad="1"/>
</workbook>
</file>

<file path=xl/sharedStrings.xml><?xml version="1.0" encoding="utf-8"?>
<sst xmlns="http://schemas.openxmlformats.org/spreadsheetml/2006/main" count="72323" uniqueCount="3228">
  <si>
    <t>Formula-linked chart data</t>
  </si>
  <si>
    <t>Taux de conversion</t>
  </si>
  <si>
    <t>Montant EUR = montant en devise locale / taux de clôture. Même convention que la synthèse fournie.</t>
  </si>
  <si>
    <t>Trimestre</t>
  </si>
  <si>
    <t>Devise</t>
  </si>
  <si>
    <t>Date des taux</t>
  </si>
  <si>
    <t>Devise locale pour 1 EUR</t>
  </si>
  <si>
    <t>Type de taux</t>
  </si>
  <si>
    <t>Source</t>
  </si>
  <si>
    <t>2026Q1</t>
  </si>
  <si>
    <t>EUR</t>
  </si>
  <si>
    <t>Clôture</t>
  </si>
  <si>
    <t>EUR identity, no foreign-currency conversion</t>
  </si>
  <si>
    <t>2026Q2</t>
  </si>
  <si>
    <t>BRL</t>
  </si>
  <si>
    <t>taux_q32026.xlsx!Sheet1!F28 (TC / Taux de clôture; quarter specified by user)</t>
  </si>
  <si>
    <t>DKK</t>
  </si>
  <si>
    <t>taux_q32026.xlsx!Sheet1!F47 (TC / Taux de clôture; quarter specified by user)</t>
  </si>
  <si>
    <t>taux_q32026.xlsx!Sheet1!F55 (TC / Taux de clôture; quarter specified by user)</t>
  </si>
  <si>
    <t>GBP</t>
  </si>
  <si>
    <t>taux_q32026.xlsx!Sheet1!F61 (TC / Taux de clôture; quarter specified by user)</t>
  </si>
  <si>
    <t>NOK</t>
  </si>
  <si>
    <t>taux_q32026.xlsx!Sheet1!F124 (TC / Taux de clôture; quarter specified by user)</t>
  </si>
  <si>
    <t>SEK</t>
  </si>
  <si>
    <t>taux_q32026.xlsx!Sheet1!F146 (TC / Taux de clôture; quarter specified by user)</t>
  </si>
  <si>
    <t>ZAR</t>
  </si>
  <si>
    <t>taux_q32026.xlsx!Sheet1!F184 (TC / Taux de clôture; quarter specified by user)</t>
  </si>
  <si>
    <t>2026Q3</t>
  </si>
  <si>
    <t>Trimestres disponibles</t>
  </si>
  <si>
    <t>Stock par millésime issu de KPI_2</t>
  </si>
  <si>
    <t>Catégories absentes du modèle pays : n.d. Les calculs utilisent uniquement les catégories applicables.</t>
  </si>
  <si>
    <t>Code pays</t>
  </si>
  <si>
    <t>Pays</t>
  </si>
  <si>
    <t>Millésime</t>
  </si>
  <si>
    <t>Stock initial local</t>
  </si>
  <si>
    <t>Remboursé client local</t>
  </si>
  <si>
    <t>Injoignables local</t>
  </si>
  <si>
    <t>Faux positifs local</t>
  </si>
  <si>
    <t>Autorités local</t>
  </si>
  <si>
    <t>Autres sans remboursement local</t>
  </si>
  <si>
    <t>Traité calculé local</t>
  </si>
  <si>
    <t>A traiter local</t>
  </si>
  <si>
    <t>Stock identifié local</t>
  </si>
  <si>
    <t>Traité déclaré local</t>
  </si>
  <si>
    <t>A traiter déclaré local</t>
  </si>
  <si>
    <t>Taux local pour 1 EUR</t>
  </si>
  <si>
    <t>A traiter EUR</t>
  </si>
  <si>
    <t>Stock identifié EUR</t>
  </si>
  <si>
    <t>BE</t>
  </si>
  <si>
    <t>Belgium</t>
  </si>
  <si>
    <t>&lt;2025</t>
  </si>
  <si>
    <t>n.d.</t>
  </si>
  <si>
    <t>C:\Users\adnan\.codex\attachments\6d3f42eb-83f0-4d1b-8f30-541dd71b915d\Pasted text.txt / BELGIUM (paste-relative rows)!KPI_2!C11</t>
  </si>
  <si>
    <t>2025</t>
  </si>
  <si>
    <t>C:\Users\adnan\.codex\attachments\6d3f42eb-83f0-4d1b-8f30-541dd71b915d\Pasted text.txt / BELGIUM (paste-relative rows)!KPI_2!D11</t>
  </si>
  <si>
    <t>2026</t>
  </si>
  <si>
    <t>C:\Users\adnan\.codex\attachments\6d3f42eb-83f0-4d1b-8f30-541dd71b915d\Pasted text.txt / BELGIUM (paste-relative rows)!KPI_2!E11</t>
  </si>
  <si>
    <t>ES</t>
  </si>
  <si>
    <t>Spain</t>
  </si>
  <si>
    <t>C:\Users\adnan\.codex\attachments\6d3f42eb-83f0-4d1b-8f30-541dd71b915d\Pasted text.txt / SPAIN (paste-relative rows)!KPI_2!C11</t>
  </si>
  <si>
    <t>C:\Users\adnan\.codex\attachments\6d3f42eb-83f0-4d1b-8f30-541dd71b915d\Pasted text.txt / SPAIN (paste-relative rows)!KPI_2!D11</t>
  </si>
  <si>
    <t>C:\Users\adnan\.codex\attachments\6d3f42eb-83f0-4d1b-8f30-541dd71b915d\Pasted text.txt / SPAIN (paste-relative rows)!KPI_2!E11</t>
  </si>
  <si>
    <t>FR</t>
  </si>
  <si>
    <t>France</t>
  </si>
  <si>
    <t>C:\Users\adnan\.codex\attachments\6d3f42eb-83f0-4d1b-8f30-541dd71b915d\Pasted text.txt / FRANCE (paste-relative rows)!KPI_2!C11</t>
  </si>
  <si>
    <t>C:\Users\adnan\.codex\attachments\6d3f42eb-83f0-4d1b-8f30-541dd71b915d\Pasted text.txt / FRANCE (paste-relative rows)!KPI_2!D11</t>
  </si>
  <si>
    <t>C:\Users\adnan\.codex\attachments\6d3f42eb-83f0-4d1b-8f30-541dd71b915d\Pasted text.txt / FRANCE (paste-relative rows)!KPI_2!E11</t>
  </si>
  <si>
    <t>DE</t>
  </si>
  <si>
    <t>Germany</t>
  </si>
  <si>
    <t>C:\Users\adnan\.codex\attachments\6d3f42eb-83f0-4d1b-8f30-541dd71b915d\Pasted text.txt / GERMANY (paste-relative rows)!KPI_2!C11</t>
  </si>
  <si>
    <t>C:\Users\adnan\.codex\attachments\6d3f42eb-83f0-4d1b-8f30-541dd71b915d\Pasted text.txt / GERMANY (paste-relative rows)!KPI_2!D11</t>
  </si>
  <si>
    <t>C:\Users\adnan\.codex\attachments\6d3f42eb-83f0-4d1b-8f30-541dd71b915d\Pasted text.txt / GERMANY (paste-relative rows)!KPI_2!E11</t>
  </si>
  <si>
    <t>IT</t>
  </si>
  <si>
    <t>Italy</t>
  </si>
  <si>
    <t>C:\Users\adnan\.codex\attachments\6d3f42eb-83f0-4d1b-8f30-541dd71b915d\Pasted text.txt / ITALY (paste-relative rows)!KPI_2!C11</t>
  </si>
  <si>
    <t>C:\Users\adnan\.codex\attachments\6d3f42eb-83f0-4d1b-8f30-541dd71b915d\Pasted text.txt / ITALY (paste-relative rows)!KPI_2!D11</t>
  </si>
  <si>
    <t>C:\Users\adnan\.codex\attachments\6d3f42eb-83f0-4d1b-8f30-541dd71b915d\Pasted text.txt / ITALY (paste-relative rows)!KPI_2!E11</t>
  </si>
  <si>
    <t>PT</t>
  </si>
  <si>
    <t>Portugal</t>
  </si>
  <si>
    <t>C:\Users\adnan\.codex\attachments\6d3f42eb-83f0-4d1b-8f30-541dd71b915d\Pasted text.txt / PORTUGAL (paste-relative rows)!KPI_2!C11</t>
  </si>
  <si>
    <t>C:\Users\adnan\.codex\attachments\6d3f42eb-83f0-4d1b-8f30-541dd71b915d\Pasted text.txt / PORTUGAL (paste-relative rows)!KPI_2!D11</t>
  </si>
  <si>
    <t>C:\Users\adnan\.codex\attachments\6d3f42eb-83f0-4d1b-8f30-541dd71b915d\Pasted text.txt / PORTUGAL (paste-relative rows)!KPI_2!E11</t>
  </si>
  <si>
    <t>UK</t>
  </si>
  <si>
    <t>C:\Users\adnan\.codex\attachments\6d3f42eb-83f0-4d1b-8f30-541dd71b915d\Pasted text.txt / UK (paste-relative rows)!KPI_2!C11</t>
  </si>
  <si>
    <t>C:\Users\adnan\.codex\attachments\6d3f42eb-83f0-4d1b-8f30-541dd71b915d\Pasted text.txt / UK (paste-relative rows)!KPI_2!D11</t>
  </si>
  <si>
    <t>C:\Users\adnan\.codex\attachments\6d3f42eb-83f0-4d1b-8f30-541dd71b915d\Pasted text.txt / UK (paste-relative rows)!KPI_2!E11</t>
  </si>
  <si>
    <t>AT</t>
  </si>
  <si>
    <t>Austria</t>
  </si>
  <si>
    <t>AUSTRIA_Q2_2026.xlsx!KPI_2!C11</t>
  </si>
  <si>
    <t>AUSTRIA_Q2_2026.xlsx!KPI_2!D11</t>
  </si>
  <si>
    <t>AUSTRIA_Q2_2026.xlsx!KPI_2!E11</t>
  </si>
  <si>
    <t>DK</t>
  </si>
  <si>
    <t>Denmark</t>
  </si>
  <si>
    <t>&lt;2024</t>
  </si>
  <si>
    <t>NORDICS_Q2_2026.xlsx / DEN_!KPI_2!C11</t>
  </si>
  <si>
    <t>2024</t>
  </si>
  <si>
    <t>NORDICS_Q2_2026.xlsx / DEN_!KPI_2!D11</t>
  </si>
  <si>
    <t>NORDICS_Q2_2026.xlsx / DEN_!KPI_2!E11</t>
  </si>
  <si>
    <t>NORDICS_Q2_2026.xlsx / DEN_!KPI_2!F11</t>
  </si>
  <si>
    <t>NO</t>
  </si>
  <si>
    <t>Norway</t>
  </si>
  <si>
    <t>NORDICS_Q2_2026.xlsx / NOR_!KPI_2!C11</t>
  </si>
  <si>
    <t>NORDICS_Q2_2026.xlsx / NOR_!KPI_2!D11</t>
  </si>
  <si>
    <t>NORDICS_Q2_2026.xlsx / NOR_!KPI_2!E11</t>
  </si>
  <si>
    <t>NORDICS_Q2_2026.xlsx / NOR_!KPI_2!F11</t>
  </si>
  <si>
    <t>SE</t>
  </si>
  <si>
    <t>Sweden</t>
  </si>
  <si>
    <t>NORDICS_Q2_2026.xlsx / SWE_!KPI_2!C11</t>
  </si>
  <si>
    <t>NORDICS_Q2_2026.xlsx / SWE_!KPI_2!D11</t>
  </si>
  <si>
    <t>NORDICS_Q2_2026.xlsx / SWE_!KPI_2!E11</t>
  </si>
  <si>
    <t>NORDICS_Q2_2026.xlsx / SWE_!KPI_2!F11</t>
  </si>
  <si>
    <t>ZA</t>
  </si>
  <si>
    <t>South Africa</t>
  </si>
  <si>
    <t>RCS_Q2_2026.xlsx!KPI_2!C11</t>
  </si>
  <si>
    <t>RCS_Q2_2026.xlsx!KPI_2!D11</t>
  </si>
  <si>
    <t>RCS_Q2_2026.xlsx!KPI_2!E11</t>
  </si>
  <si>
    <t>C:\Users\adnan\.codex\attachments\47115144-a9fa-42ff-8df7-f0b6ed2a3f35\Pasted text.txt / BELGIUM (paste-relative rows)!KPI_2!C11</t>
  </si>
  <si>
    <t>C:\Users\adnan\.codex\attachments\47115144-a9fa-42ff-8df7-f0b6ed2a3f35\Pasted text.txt / BELGIUM (paste-relative rows)!KPI_2!D11</t>
  </si>
  <si>
    <t>C:\Users\adnan\.codex\attachments\47115144-a9fa-42ff-8df7-f0b6ed2a3f35\Pasted text.txt / BELGIUM (paste-relative rows)!KPI_2!E11</t>
  </si>
  <si>
    <t>C:\Users\adnan\.codex\attachments\47115144-a9fa-42ff-8df7-f0b6ed2a3f35\Pasted text.txt / SPAIN (paste-relative rows)!KPI_2!C12</t>
  </si>
  <si>
    <t>C:\Users\adnan\.codex\attachments\47115144-a9fa-42ff-8df7-f0b6ed2a3f35\Pasted text.txt / SPAIN (paste-relative rows)!KPI_2!D12</t>
  </si>
  <si>
    <t>C:\Users\adnan\.codex\attachments\47115144-a9fa-42ff-8df7-f0b6ed2a3f35\Pasted text.txt / SPAIN (paste-relative rows)!KPI_2!E12</t>
  </si>
  <si>
    <t>C:\Users\adnan\.codex\attachments\47115144-a9fa-42ff-8df7-f0b6ed2a3f35\Pasted text.txt / FRANCE (paste-relative rows)!KPI_2!C12</t>
  </si>
  <si>
    <t>C:\Users\adnan\.codex\attachments\47115144-a9fa-42ff-8df7-f0b6ed2a3f35\Pasted text.txt / FRANCE (paste-relative rows)!KPI_2!D12</t>
  </si>
  <si>
    <t>C:\Users\adnan\.codex\attachments\47115144-a9fa-42ff-8df7-f0b6ed2a3f35\Pasted text.txt / FRANCE (paste-relative rows)!KPI_2!E12</t>
  </si>
  <si>
    <t>C:\Users\adnan\.codex\attachments\47115144-a9fa-42ff-8df7-f0b6ed2a3f35\Pasted text.txt / ITALY (paste-relative rows)!KPI_2!C11</t>
  </si>
  <si>
    <t>C:\Users\adnan\.codex\attachments\47115144-a9fa-42ff-8df7-f0b6ed2a3f35\Pasted text.txt / ITALY (paste-relative rows)!KPI_2!D11</t>
  </si>
  <si>
    <t>C:\Users\adnan\.codex\attachments\47115144-a9fa-42ff-8df7-f0b6ed2a3f35\Pasted text.txt / ITALY (paste-relative rows)!KPI_2!E11</t>
  </si>
  <si>
    <t>C:\Users\adnan\.codex\attachments\47115144-a9fa-42ff-8df7-f0b6ed2a3f35\Pasted text.txt / PORTUGAL (paste-relative rows)!KPI_2!C12</t>
  </si>
  <si>
    <t>C:\Users\adnan\.codex\attachments\47115144-a9fa-42ff-8df7-f0b6ed2a3f35\Pasted text.txt / PORTUGAL (paste-relative rows)!KPI_2!D12</t>
  </si>
  <si>
    <t>C:\Users\adnan\.codex\attachments\47115144-a9fa-42ff-8df7-f0b6ed2a3f35\Pasted text.txt / PORTUGAL (paste-relative rows)!KPI_2!E12</t>
  </si>
  <si>
    <t>C:\Users\adnan\.codex\attachments\47115144-a9fa-42ff-8df7-f0b6ed2a3f35\Pasted text.txt / UK (paste-relative rows)!KPI_2!C12</t>
  </si>
  <si>
    <t>C:\Users\adnan\.codex\attachments\47115144-a9fa-42ff-8df7-f0b6ed2a3f35\Pasted text.txt / UK (paste-relative rows)!KPI_2!D12</t>
  </si>
  <si>
    <t>C:\Users\adnan\.codex\attachments\47115144-a9fa-42ff-8df7-f0b6ed2a3f35\Pasted text.txt / UK (paste-relative rows)!KPI_2!E12</t>
  </si>
  <si>
    <t>NORDICS_Q32026.xlsx / DEN_!KPI_2!C11</t>
  </si>
  <si>
    <t>NORDICS_Q32026.xlsx / DEN_!KPI_2!D11</t>
  </si>
  <si>
    <t>NORDICS_Q32026.xlsx / DEN_!KPI_2!E11</t>
  </si>
  <si>
    <t>NORDICS_Q32026.xlsx / DEN_!KPI_2!F11</t>
  </si>
  <si>
    <t>NORDICS_Q32026.xlsx / NOR_!KPI_2!C11</t>
  </si>
  <si>
    <t>NORDICS_Q32026.xlsx / NOR_!KPI_2!D11</t>
  </si>
  <si>
    <t>NORDICS_Q32026.xlsx / NOR_!KPI_2!E11</t>
  </si>
  <si>
    <t>NORDICS_Q32026.xlsx / NOR_!KPI_2!F11</t>
  </si>
  <si>
    <t>NORDICS_Q32026.xlsx / SWE_!KPI_2!C11</t>
  </si>
  <si>
    <t>NORDICS_Q32026.xlsx / SWE_!KPI_2!D11</t>
  </si>
  <si>
    <t>NORDICS_Q32026.xlsx / SWE_!KPI_2!E11</t>
  </si>
  <si>
    <t>NORDICS_Q32026.xlsx / SWE_!KPI_2!F11</t>
  </si>
  <si>
    <t>RCS_Q32026.xlsx!KPI_2!C11</t>
  </si>
  <si>
    <t>RCS_Q32026.xlsx!KPI_2!D11</t>
  </si>
  <si>
    <t>RCS_Q32026.xlsx!KPI_2!E11</t>
  </si>
  <si>
    <t>C:\Users\adnan\.codex\attachments\311c1c40-cf54-484c-9738-5f6f10dcba23\Pasted text.txt / AUSTRIA (paste-relative rows)!KPI_2!C11</t>
  </si>
  <si>
    <t>C:\Users\adnan\.codex\attachments\311c1c40-cf54-484c-9738-5f6f10dcba23\Pasted text.txt / AUSTRIA (paste-relative rows)!KPI_2!D11</t>
  </si>
  <si>
    <t>C:\Users\adnan\.codex\attachments\311c1c40-cf54-484c-9738-5f6f10dcba23\Pasted text.txt / AUSTRIA (paste-relative rows)!KPI_2!E11</t>
  </si>
  <si>
    <t>C:\Users\adnan\.codex\attachments\311c1c40-cf54-484c-9738-5f6f10dcba23\Pasted text.txt / GERMANY (paste-relative rows)!KPI_2!C12</t>
  </si>
  <si>
    <t>C:\Users\adnan\.codex\attachments\311c1c40-cf54-484c-9738-5f6f10dcba23\Pasted text.txt / GERMANY (paste-relative rows)!KPI_2!D12</t>
  </si>
  <si>
    <t>C:\Users\adnan\.codex\attachments\311c1c40-cf54-484c-9738-5f6f10dcba23\Pasted text.txt / GERMANY (paste-relative rows)!KPI_2!E12</t>
  </si>
  <si>
    <t>Flux par cohorte mensuelle et date de reporting</t>
  </si>
  <si>
    <t>Une même cohorte peut apparaître dans plusieurs trimestres de reporting. Filtrer le trimestre avant d'agréger.</t>
  </si>
  <si>
    <t>Mois de cohorte</t>
  </si>
  <si>
    <t>Flux local</t>
  </si>
  <si>
    <t>Contrats entrants</t>
  </si>
  <si>
    <t>Contrats traités</t>
  </si>
  <si>
    <t>Reste local</t>
  </si>
  <si>
    <t>Contrats restants</t>
  </si>
  <si>
    <t>Flux EUR</t>
  </si>
  <si>
    <t>Traité EUR</t>
  </si>
  <si>
    <t>Efficacité montant</t>
  </si>
  <si>
    <t>Efficacité nombre</t>
  </si>
  <si>
    <t>C:\Users\adnan\.codex\attachments\6d3f42eb-83f0-4d1b-8f30-541dd71b915d\Pasted text.txt / BELGIUM (paste-relative rows)!KPI_2!H27</t>
  </si>
  <si>
    <t>C:\Users\adnan\.codex\attachments\6d3f42eb-83f0-4d1b-8f30-541dd71b915d\Pasted text.txt / BELGIUM (paste-relative rows)!KPI_2!G27</t>
  </si>
  <si>
    <t>C:\Users\adnan\.codex\attachments\6d3f42eb-83f0-4d1b-8f30-541dd71b915d\Pasted text.txt / BELGIUM (paste-relative rows)!KPI_2!F27</t>
  </si>
  <si>
    <t>C:\Users\adnan\.codex\attachments\6d3f42eb-83f0-4d1b-8f30-541dd71b915d\Pasted text.txt / BELGIUM (paste-relative rows)!KPI_2!E27</t>
  </si>
  <si>
    <t>C:\Users\adnan\.codex\attachments\6d3f42eb-83f0-4d1b-8f30-541dd71b915d\Pasted text.txt / BELGIUM (paste-relative rows)!KPI_2!D27</t>
  </si>
  <si>
    <t>C:\Users\adnan\.codex\attachments\6d3f42eb-83f0-4d1b-8f30-541dd71b915d\Pasted text.txt / BELGIUM (paste-relative rows)!KPI_2!C27</t>
  </si>
  <si>
    <t>C:\Users\adnan\.codex\attachments\6d3f42eb-83f0-4d1b-8f30-541dd71b915d\Pasted text.txt / SPAIN (paste-relative rows)!KPI_2!H27</t>
  </si>
  <si>
    <t>C:\Users\adnan\.codex\attachments\6d3f42eb-83f0-4d1b-8f30-541dd71b915d\Pasted text.txt / SPAIN (paste-relative rows)!KPI_2!G27</t>
  </si>
  <si>
    <t>C:\Users\adnan\.codex\attachments\6d3f42eb-83f0-4d1b-8f30-541dd71b915d\Pasted text.txt / SPAIN (paste-relative rows)!KPI_2!F27</t>
  </si>
  <si>
    <t>C:\Users\adnan\.codex\attachments\6d3f42eb-83f0-4d1b-8f30-541dd71b915d\Pasted text.txt / SPAIN (paste-relative rows)!KPI_2!E27</t>
  </si>
  <si>
    <t>C:\Users\adnan\.codex\attachments\6d3f42eb-83f0-4d1b-8f30-541dd71b915d\Pasted text.txt / SPAIN (paste-relative rows)!KPI_2!D27</t>
  </si>
  <si>
    <t>C:\Users\adnan\.codex\attachments\6d3f42eb-83f0-4d1b-8f30-541dd71b915d\Pasted text.txt / SPAIN (paste-relative rows)!KPI_2!C27</t>
  </si>
  <si>
    <t>C:\Users\adnan\.codex\attachments\6d3f42eb-83f0-4d1b-8f30-541dd71b915d\Pasted text.txt / FRANCE (paste-relative rows)!KPI_2!H27</t>
  </si>
  <si>
    <t>C:\Users\adnan\.codex\attachments\6d3f42eb-83f0-4d1b-8f30-541dd71b915d\Pasted text.txt / FRANCE (paste-relative rows)!KPI_2!G27</t>
  </si>
  <si>
    <t>C:\Users\adnan\.codex\attachments\6d3f42eb-83f0-4d1b-8f30-541dd71b915d\Pasted text.txt / FRANCE (paste-relative rows)!KPI_2!F27</t>
  </si>
  <si>
    <t>C:\Users\adnan\.codex\attachments\6d3f42eb-83f0-4d1b-8f30-541dd71b915d\Pasted text.txt / FRANCE (paste-relative rows)!KPI_2!E27</t>
  </si>
  <si>
    <t>C:\Users\adnan\.codex\attachments\6d3f42eb-83f0-4d1b-8f30-541dd71b915d\Pasted text.txt / FRANCE (paste-relative rows)!KPI_2!D27</t>
  </si>
  <si>
    <t>C:\Users\adnan\.codex\attachments\6d3f42eb-83f0-4d1b-8f30-541dd71b915d\Pasted text.txt / FRANCE (paste-relative rows)!KPI_2!C27</t>
  </si>
  <si>
    <t>C:\Users\adnan\.codex\attachments\6d3f42eb-83f0-4d1b-8f30-541dd71b915d\Pasted text.txt / GERMANY (paste-relative rows)!KPI_2!H27</t>
  </si>
  <si>
    <t>C:\Users\adnan\.codex\attachments\6d3f42eb-83f0-4d1b-8f30-541dd71b915d\Pasted text.txt / GERMANY (paste-relative rows)!KPI_2!G27</t>
  </si>
  <si>
    <t>C:\Users\adnan\.codex\attachments\6d3f42eb-83f0-4d1b-8f30-541dd71b915d\Pasted text.txt / GERMANY (paste-relative rows)!KPI_2!F27</t>
  </si>
  <si>
    <t>C:\Users\adnan\.codex\attachments\6d3f42eb-83f0-4d1b-8f30-541dd71b915d\Pasted text.txt / GERMANY (paste-relative rows)!KPI_2!E27</t>
  </si>
  <si>
    <t>C:\Users\adnan\.codex\attachments\6d3f42eb-83f0-4d1b-8f30-541dd71b915d\Pasted text.txt / GERMANY (paste-relative rows)!KPI_2!D27</t>
  </si>
  <si>
    <t>C:\Users\adnan\.codex\attachments\6d3f42eb-83f0-4d1b-8f30-541dd71b915d\Pasted text.txt / GERMANY (paste-relative rows)!KPI_2!C27</t>
  </si>
  <si>
    <t>C:\Users\adnan\.codex\attachments\6d3f42eb-83f0-4d1b-8f30-541dd71b915d\Pasted text.txt / ITALY (paste-relative rows)!KPI_2!H27</t>
  </si>
  <si>
    <t>C:\Users\adnan\.codex\attachments\6d3f42eb-83f0-4d1b-8f30-541dd71b915d\Pasted text.txt / ITALY (paste-relative rows)!KPI_2!G27</t>
  </si>
  <si>
    <t>C:\Users\adnan\.codex\attachments\6d3f42eb-83f0-4d1b-8f30-541dd71b915d\Pasted text.txt / ITALY (paste-relative rows)!KPI_2!F27</t>
  </si>
  <si>
    <t>C:\Users\adnan\.codex\attachments\6d3f42eb-83f0-4d1b-8f30-541dd71b915d\Pasted text.txt / ITALY (paste-relative rows)!KPI_2!E27</t>
  </si>
  <si>
    <t>C:\Users\adnan\.codex\attachments\6d3f42eb-83f0-4d1b-8f30-541dd71b915d\Pasted text.txt / ITALY (paste-relative rows)!KPI_2!D27</t>
  </si>
  <si>
    <t>C:\Users\adnan\.codex\attachments\6d3f42eb-83f0-4d1b-8f30-541dd71b915d\Pasted text.txt / ITALY (paste-relative rows)!KPI_2!C27</t>
  </si>
  <si>
    <t>C:\Users\adnan\.codex\attachments\6d3f42eb-83f0-4d1b-8f30-541dd71b915d\Pasted text.txt / PORTUGAL (paste-relative rows)!KPI_2!H27</t>
  </si>
  <si>
    <t>C:\Users\adnan\.codex\attachments\6d3f42eb-83f0-4d1b-8f30-541dd71b915d\Pasted text.txt / PORTUGAL (paste-relative rows)!KPI_2!G27</t>
  </si>
  <si>
    <t>C:\Users\adnan\.codex\attachments\6d3f42eb-83f0-4d1b-8f30-541dd71b915d\Pasted text.txt / PORTUGAL (paste-relative rows)!KPI_2!F27</t>
  </si>
  <si>
    <t>C:\Users\adnan\.codex\attachments\6d3f42eb-83f0-4d1b-8f30-541dd71b915d\Pasted text.txt / PORTUGAL (paste-relative rows)!KPI_2!E27</t>
  </si>
  <si>
    <t>C:\Users\adnan\.codex\attachments\6d3f42eb-83f0-4d1b-8f30-541dd71b915d\Pasted text.txt / PORTUGAL (paste-relative rows)!KPI_2!D27</t>
  </si>
  <si>
    <t>C:\Users\adnan\.codex\attachments\6d3f42eb-83f0-4d1b-8f30-541dd71b915d\Pasted text.txt / PORTUGAL (paste-relative rows)!KPI_2!C27</t>
  </si>
  <si>
    <t>C:\Users\adnan\.codex\attachments\6d3f42eb-83f0-4d1b-8f30-541dd71b915d\Pasted text.txt / UK (paste-relative rows)!KPI_2!H27</t>
  </si>
  <si>
    <t>C:\Users\adnan\.codex\attachments\6d3f42eb-83f0-4d1b-8f30-541dd71b915d\Pasted text.txt / UK (paste-relative rows)!KPI_2!G27</t>
  </si>
  <si>
    <t>C:\Users\adnan\.codex\attachments\6d3f42eb-83f0-4d1b-8f30-541dd71b915d\Pasted text.txt / UK (paste-relative rows)!KPI_2!F27</t>
  </si>
  <si>
    <t>C:\Users\adnan\.codex\attachments\6d3f42eb-83f0-4d1b-8f30-541dd71b915d\Pasted text.txt / UK (paste-relative rows)!KPI_2!E27</t>
  </si>
  <si>
    <t>C:\Users\adnan\.codex\attachments\6d3f42eb-83f0-4d1b-8f30-541dd71b915d\Pasted text.txt / UK (paste-relative rows)!KPI_2!D27</t>
  </si>
  <si>
    <t>C:\Users\adnan\.codex\attachments\6d3f42eb-83f0-4d1b-8f30-541dd71b915d\Pasted text.txt / UK (paste-relative rows)!KPI_2!C27</t>
  </si>
  <si>
    <t>AUSTRIA_Q2_2026.xlsx!KPI_2!H27</t>
  </si>
  <si>
    <t>AUSTRIA_Q2_2026.xlsx!KPI_2!G27</t>
  </si>
  <si>
    <t>AUSTRIA_Q2_2026.xlsx!KPI_2!F27</t>
  </si>
  <si>
    <t>AUSTRIA_Q2_2026.xlsx!KPI_2!E27</t>
  </si>
  <si>
    <t>AUSTRIA_Q2_2026.xlsx!KPI_2!D27</t>
  </si>
  <si>
    <t>AUSTRIA_Q2_2026.xlsx!KPI_2!C27</t>
  </si>
  <si>
    <t>NORDICS_Q2_2026.xlsx / DEN_!KPI_2!H35</t>
  </si>
  <si>
    <t>NORDICS_Q2_2026.xlsx / DEN_!KPI_2!G35</t>
  </si>
  <si>
    <t>NORDICS_Q2_2026.xlsx / DEN_!KPI_2!F35</t>
  </si>
  <si>
    <t>NORDICS_Q2_2026.xlsx / DEN_!KPI_2!E35</t>
  </si>
  <si>
    <t>NORDICS_Q2_2026.xlsx / DEN_!KPI_2!D35</t>
  </si>
  <si>
    <t>NORDICS_Q2_2026.xlsx / DEN_!KPI_2!C35</t>
  </si>
  <si>
    <t>NORDICS_Q2_2026.xlsx / NOR_!KPI_2!H35</t>
  </si>
  <si>
    <t>NORDICS_Q2_2026.xlsx / NOR_!KPI_2!G35</t>
  </si>
  <si>
    <t>NORDICS_Q2_2026.xlsx / NOR_!KPI_2!F35</t>
  </si>
  <si>
    <t>NORDICS_Q2_2026.xlsx / NOR_!KPI_2!E35</t>
  </si>
  <si>
    <t>NORDICS_Q2_2026.xlsx / NOR_!KPI_2!D35</t>
  </si>
  <si>
    <t>NORDICS_Q2_2026.xlsx / NOR_!KPI_2!C35</t>
  </si>
  <si>
    <t>NORDICS_Q2_2026.xlsx / SWE_!KPI_2!H35</t>
  </si>
  <si>
    <t>NORDICS_Q2_2026.xlsx / SWE_!KPI_2!G35</t>
  </si>
  <si>
    <t>NORDICS_Q2_2026.xlsx / SWE_!KPI_2!F35</t>
  </si>
  <si>
    <t>NORDICS_Q2_2026.xlsx / SWE_!KPI_2!E35</t>
  </si>
  <si>
    <t>NORDICS_Q2_2026.xlsx / SWE_!KPI_2!D35</t>
  </si>
  <si>
    <t>NORDICS_Q2_2026.xlsx / SWE_!KPI_2!C35</t>
  </si>
  <si>
    <t>BR</t>
  </si>
  <si>
    <t>Brazil</t>
  </si>
  <si>
    <t>BRAZIL_Q2_2026.xlsb!Relatorio!Q7:Q11</t>
  </si>
  <si>
    <t>BRAZIL_Q2_2026.xlsb!Relatorio!R7:R11</t>
  </si>
  <si>
    <t>BRAZIL_Q2_2026.xlsb!Relatorio!S7:S11</t>
  </si>
  <si>
    <t>BRAZIL_Q2_2026.xlsb!Relatorio!T7:T11</t>
  </si>
  <si>
    <t>BRAZIL_Q2_2026.xlsb!Relatorio!U7:U11</t>
  </si>
  <si>
    <t>BRAZIL_Q2_2026.xlsb!Relatorio!V7:V11</t>
  </si>
  <si>
    <t>RCS_Q2_2026.xlsx!KPI_2!H27</t>
  </si>
  <si>
    <t>RCS_Q2_2026.xlsx!KPI_2!G27</t>
  </si>
  <si>
    <t>RCS_Q2_2026.xlsx!KPI_2!F27</t>
  </si>
  <si>
    <t>RCS_Q2_2026.xlsx!KPI_2!E27</t>
  </si>
  <si>
    <t>RCS_Q2_2026.xlsx!KPI_2!D27</t>
  </si>
  <si>
    <t>RCS_Q2_2026.xlsx!KPI_2!C27</t>
  </si>
  <si>
    <t>C:\Users\adnan\.codex\attachments\47115144-a9fa-42ff-8df7-f0b6ed2a3f35\Pasted text.txt / BELGIUM (paste-relative rows)!KPI_2!H27</t>
  </si>
  <si>
    <t>C:\Users\adnan\.codex\attachments\47115144-a9fa-42ff-8df7-f0b6ed2a3f35\Pasted text.txt / BELGIUM (paste-relative rows)!KPI_2!G27</t>
  </si>
  <si>
    <t>C:\Users\adnan\.codex\attachments\47115144-a9fa-42ff-8df7-f0b6ed2a3f35\Pasted text.txt / BELGIUM (paste-relative rows)!KPI_2!F27</t>
  </si>
  <si>
    <t>C:\Users\adnan\.codex\attachments\47115144-a9fa-42ff-8df7-f0b6ed2a3f35\Pasted text.txt / BELGIUM (paste-relative rows)!KPI_2!E27</t>
  </si>
  <si>
    <t>C:\Users\adnan\.codex\attachments\47115144-a9fa-42ff-8df7-f0b6ed2a3f35\Pasted text.txt / BELGIUM (paste-relative rows)!KPI_2!D27</t>
  </si>
  <si>
    <t>C:\Users\adnan\.codex\attachments\47115144-a9fa-42ff-8df7-f0b6ed2a3f35\Pasted text.txt / BELGIUM (paste-relative rows)!KPI_2!C27</t>
  </si>
  <si>
    <t>C:\Users\adnan\.codex\attachments\47115144-a9fa-42ff-8df7-f0b6ed2a3f35\Pasted text.txt / SPAIN (paste-relative rows)!KPI_2!H28</t>
  </si>
  <si>
    <t>C:\Users\adnan\.codex\attachments\47115144-a9fa-42ff-8df7-f0b6ed2a3f35\Pasted text.txt / SPAIN (paste-relative rows)!KPI_2!G28</t>
  </si>
  <si>
    <t>C:\Users\adnan\.codex\attachments\47115144-a9fa-42ff-8df7-f0b6ed2a3f35\Pasted text.txt / SPAIN (paste-relative rows)!KPI_2!F28</t>
  </si>
  <si>
    <t>C:\Users\adnan\.codex\attachments\47115144-a9fa-42ff-8df7-f0b6ed2a3f35\Pasted text.txt / SPAIN (paste-relative rows)!KPI_2!E28</t>
  </si>
  <si>
    <t>C:\Users\adnan\.codex\attachments\47115144-a9fa-42ff-8df7-f0b6ed2a3f35\Pasted text.txt / SPAIN (paste-relative rows)!KPI_2!D28</t>
  </si>
  <si>
    <t>C:\Users\adnan\.codex\attachments\47115144-a9fa-42ff-8df7-f0b6ed2a3f35\Pasted text.txt / SPAIN (paste-relative rows)!KPI_2!C28</t>
  </si>
  <si>
    <t>C:\Users\adnan\.codex\attachments\47115144-a9fa-42ff-8df7-f0b6ed2a3f35\Pasted text.txt / FRANCE (paste-relative rows)!KPI_2!H28</t>
  </si>
  <si>
    <t>C:\Users\adnan\.codex\attachments\47115144-a9fa-42ff-8df7-f0b6ed2a3f35\Pasted text.txt / FRANCE (paste-relative rows)!KPI_2!G28</t>
  </si>
  <si>
    <t>C:\Users\adnan\.codex\attachments\47115144-a9fa-42ff-8df7-f0b6ed2a3f35\Pasted text.txt / FRANCE (paste-relative rows)!KPI_2!F28</t>
  </si>
  <si>
    <t>C:\Users\adnan\.codex\attachments\47115144-a9fa-42ff-8df7-f0b6ed2a3f35\Pasted text.txt / FRANCE (paste-relative rows)!KPI_2!E28</t>
  </si>
  <si>
    <t>C:\Users\adnan\.codex\attachments\47115144-a9fa-42ff-8df7-f0b6ed2a3f35\Pasted text.txt / FRANCE (paste-relative rows)!KPI_2!D28</t>
  </si>
  <si>
    <t>C:\Users\adnan\.codex\attachments\47115144-a9fa-42ff-8df7-f0b6ed2a3f35\Pasted text.txt / FRANCE (paste-relative rows)!KPI_2!C28</t>
  </si>
  <si>
    <t>C:\Users\adnan\.codex\attachments\47115144-a9fa-42ff-8df7-f0b6ed2a3f35\Pasted text.txt / ITALY (paste-relative rows)!KPI_2!H27</t>
  </si>
  <si>
    <t>C:\Users\adnan\.codex\attachments\47115144-a9fa-42ff-8df7-f0b6ed2a3f35\Pasted text.txt / ITALY (paste-relative rows)!KPI_2!G27</t>
  </si>
  <si>
    <t>C:\Users\adnan\.codex\attachments\47115144-a9fa-42ff-8df7-f0b6ed2a3f35\Pasted text.txt / ITALY (paste-relative rows)!KPI_2!F27</t>
  </si>
  <si>
    <t>C:\Users\adnan\.codex\attachments\47115144-a9fa-42ff-8df7-f0b6ed2a3f35\Pasted text.txt / ITALY (paste-relative rows)!KPI_2!E27</t>
  </si>
  <si>
    <t>C:\Users\adnan\.codex\attachments\47115144-a9fa-42ff-8df7-f0b6ed2a3f35\Pasted text.txt / ITALY (paste-relative rows)!KPI_2!D27</t>
  </si>
  <si>
    <t>C:\Users\adnan\.codex\attachments\47115144-a9fa-42ff-8df7-f0b6ed2a3f35\Pasted text.txt / ITALY (paste-relative rows)!KPI_2!C27</t>
  </si>
  <si>
    <t>C:\Users\adnan\.codex\attachments\47115144-a9fa-42ff-8df7-f0b6ed2a3f35\Pasted text.txt / PORTUGAL (paste-relative rows)!KPI_2!H28</t>
  </si>
  <si>
    <t>C:\Users\adnan\.codex\attachments\47115144-a9fa-42ff-8df7-f0b6ed2a3f35\Pasted text.txt / PORTUGAL (paste-relative rows)!KPI_2!G28</t>
  </si>
  <si>
    <t>C:\Users\adnan\.codex\attachments\47115144-a9fa-42ff-8df7-f0b6ed2a3f35\Pasted text.txt / PORTUGAL (paste-relative rows)!KPI_2!F28</t>
  </si>
  <si>
    <t>C:\Users\adnan\.codex\attachments\47115144-a9fa-42ff-8df7-f0b6ed2a3f35\Pasted text.txt / PORTUGAL (paste-relative rows)!KPI_2!E28</t>
  </si>
  <si>
    <t>C:\Users\adnan\.codex\attachments\47115144-a9fa-42ff-8df7-f0b6ed2a3f35\Pasted text.txt / PORTUGAL (paste-relative rows)!KPI_2!D28</t>
  </si>
  <si>
    <t>C:\Users\adnan\.codex\attachments\47115144-a9fa-42ff-8df7-f0b6ed2a3f35\Pasted text.txt / PORTUGAL (paste-relative rows)!KPI_2!C28</t>
  </si>
  <si>
    <t>C:\Users\adnan\.codex\attachments\47115144-a9fa-42ff-8df7-f0b6ed2a3f35\Pasted text.txt / UK (paste-relative rows)!KPI_2!H28</t>
  </si>
  <si>
    <t>C:\Users\adnan\.codex\attachments\47115144-a9fa-42ff-8df7-f0b6ed2a3f35\Pasted text.txt / UK (paste-relative rows)!KPI_2!G28</t>
  </si>
  <si>
    <t>C:\Users\adnan\.codex\attachments\47115144-a9fa-42ff-8df7-f0b6ed2a3f35\Pasted text.txt / UK (paste-relative rows)!KPI_2!F28</t>
  </si>
  <si>
    <t>C:\Users\adnan\.codex\attachments\47115144-a9fa-42ff-8df7-f0b6ed2a3f35\Pasted text.txt / UK (paste-relative rows)!KPI_2!E28</t>
  </si>
  <si>
    <t>C:\Users\adnan\.codex\attachments\47115144-a9fa-42ff-8df7-f0b6ed2a3f35\Pasted text.txt / UK (paste-relative rows)!KPI_2!D28</t>
  </si>
  <si>
    <t>C:\Users\adnan\.codex\attachments\47115144-a9fa-42ff-8df7-f0b6ed2a3f35\Pasted text.txt / UK (paste-relative rows)!KPI_2!C28</t>
  </si>
  <si>
    <t>NORDICS_Q32026.xlsx / DEN_!KPI_2!H35</t>
  </si>
  <si>
    <t>NORDICS_Q32026.xlsx / DEN_!KPI_2!G35</t>
  </si>
  <si>
    <t>NORDICS_Q32026.xlsx / DEN_!KPI_2!F35</t>
  </si>
  <si>
    <t>NORDICS_Q32026.xlsx / DEN_!KPI_2!E35</t>
  </si>
  <si>
    <t>NORDICS_Q32026.xlsx / DEN_!KPI_2!D35</t>
  </si>
  <si>
    <t>NORDICS_Q32026.xlsx / DEN_!KPI_2!C35</t>
  </si>
  <si>
    <t>NORDICS_Q32026.xlsx / NOR_!KPI_2!H35</t>
  </si>
  <si>
    <t>NORDICS_Q32026.xlsx / NOR_!KPI_2!G35</t>
  </si>
  <si>
    <t>NORDICS_Q32026.xlsx / NOR_!KPI_2!F35</t>
  </si>
  <si>
    <t>NORDICS_Q32026.xlsx / NOR_!KPI_2!E35</t>
  </si>
  <si>
    <t>NORDICS_Q32026.xlsx / NOR_!KPI_2!D35</t>
  </si>
  <si>
    <t>NORDICS_Q32026.xlsx / NOR_!KPI_2!C35</t>
  </si>
  <si>
    <t>NORDICS_Q32026.xlsx / SWE_!KPI_2!H35</t>
  </si>
  <si>
    <t>NORDICS_Q32026.xlsx / SWE_!KPI_2!G35</t>
  </si>
  <si>
    <t>NORDICS_Q32026.xlsx / SWE_!KPI_2!F35</t>
  </si>
  <si>
    <t>NORDICS_Q32026.xlsx / SWE_!KPI_2!E35</t>
  </si>
  <si>
    <t>NORDICS_Q32026.xlsx / SWE_!KPI_2!D35</t>
  </si>
  <si>
    <t>NORDICS_Q32026.xlsx / SWE_!KPI_2!C35</t>
  </si>
  <si>
    <t>RCS_Q32026.xlsx!KPI_2!H27</t>
  </si>
  <si>
    <t>RCS_Q32026.xlsx!KPI_2!G27</t>
  </si>
  <si>
    <t>RCS_Q32026.xlsx!KPI_2!F27</t>
  </si>
  <si>
    <t>RCS_Q32026.xlsx!KPI_2!E27</t>
  </si>
  <si>
    <t>RCS_Q32026.xlsx!KPI_2!D27</t>
  </si>
  <si>
    <t>RCS_Q32026.xlsx!KPI_2!C27</t>
  </si>
  <si>
    <t>BRAZIL_Q32026.xlsb!Relatorio!T7:T11</t>
  </si>
  <si>
    <t>BRAZIL_Q32026.xlsb!Relatorio!U7:U11</t>
  </si>
  <si>
    <t>BRAZIL_Q32026.xlsb!Relatorio!V7:V11</t>
  </si>
  <si>
    <t>BRAZIL_Q32026.xlsb!Relatorio!W7:W11</t>
  </si>
  <si>
    <t>BRAZIL_Q32026.xlsb!Relatorio!X7:X11</t>
  </si>
  <si>
    <t>BRAZIL_Q32026.xlsb!Relatorio!Y7:Y11</t>
  </si>
  <si>
    <t>C:\Users\adnan\.codex\attachments\311c1c40-cf54-484c-9738-5f6f10dcba23\Pasted text.txt / AUSTRIA (paste-relative rows)!KPI_2!H27</t>
  </si>
  <si>
    <t>C:\Users\adnan\.codex\attachments\311c1c40-cf54-484c-9738-5f6f10dcba23\Pasted text.txt / AUSTRIA (paste-relative rows)!KPI_2!G27</t>
  </si>
  <si>
    <t>C:\Users\adnan\.codex\attachments\311c1c40-cf54-484c-9738-5f6f10dcba23\Pasted text.txt / AUSTRIA (paste-relative rows)!KPI_2!F27</t>
  </si>
  <si>
    <t>C:\Users\adnan\.codex\attachments\311c1c40-cf54-484c-9738-5f6f10dcba23\Pasted text.txt / AUSTRIA (paste-relative rows)!KPI_2!E27</t>
  </si>
  <si>
    <t>C:\Users\adnan\.codex\attachments\311c1c40-cf54-484c-9738-5f6f10dcba23\Pasted text.txt / AUSTRIA (paste-relative rows)!KPI_2!D27</t>
  </si>
  <si>
    <t>C:\Users\adnan\.codex\attachments\311c1c40-cf54-484c-9738-5f6f10dcba23\Pasted text.txt / AUSTRIA (paste-relative rows)!KPI_2!C27</t>
  </si>
  <si>
    <t>C:\Users\adnan\.codex\attachments\311c1c40-cf54-484c-9738-5f6f10dcba23\Pasted text.txt / GERMANY (paste-relative rows)!KPI_2!H28</t>
  </si>
  <si>
    <t>C:\Users\adnan\.codex\attachments\311c1c40-cf54-484c-9738-5f6f10dcba23\Pasted text.txt / GERMANY (paste-relative rows)!KPI_2!G28</t>
  </si>
  <si>
    <t>C:\Users\adnan\.codex\attachments\311c1c40-cf54-484c-9738-5f6f10dcba23\Pasted text.txt / GERMANY (paste-relative rows)!KPI_2!F28</t>
  </si>
  <si>
    <t>C:\Users\adnan\.codex\attachments\311c1c40-cf54-484c-9738-5f6f10dcba23\Pasted text.txt / GERMANY (paste-relative rows)!KPI_2!E28</t>
  </si>
  <si>
    <t>C:\Users\adnan\.codex\attachments\311c1c40-cf54-484c-9738-5f6f10dcba23\Pasted text.txt / GERMANY (paste-relative rows)!KPI_2!D28</t>
  </si>
  <si>
    <t>C:\Users\adnan\.codex\attachments\311c1c40-cf54-484c-9738-5f6f10dcba23\Pasted text.txt / GERMANY (paste-relative rows)!KPI_2!C28</t>
  </si>
  <si>
    <t>Répartitions de stock et périmètre de la source</t>
  </si>
  <si>
    <t>Tranches et millésimes décrivent le même stock. Ne pas additionner les deux répartitions. Libellés de tranche conservés.</t>
  </si>
  <si>
    <t>Répartition</t>
  </si>
  <si>
    <t>Catégorie source</t>
  </si>
  <si>
    <t>Contrats</t>
  </si>
  <si>
    <t>Montant local</t>
  </si>
  <si>
    <t>Montant EUR</t>
  </si>
  <si>
    <t>Synthese Soldes Créditeurs Q2 2026.xlsx / 'Evolution Stock'!U6</t>
  </si>
  <si>
    <t>Synthese Soldes Créditeurs Q2 2026.xlsx / 'Evolution Stock'!V6</t>
  </si>
  <si>
    <t>Synthese Soldes Créditeurs Q2 2026.xlsx / 'Evolution Stock'!W6</t>
  </si>
  <si>
    <t>Synthese Soldes Créditeurs Q2 2026.xlsx / 'Evolution Stock'!U7</t>
  </si>
  <si>
    <t>Synthese Soldes Créditeurs Q2 2026.xlsx / 'Evolution Stock'!V7</t>
  </si>
  <si>
    <t>Synthese Soldes Créditeurs Q2 2026.xlsx / 'Evolution Stock'!W7</t>
  </si>
  <si>
    <t>Synthese Soldes Créditeurs Q2 2026.xlsx / 'Evolution Stock'!U8</t>
  </si>
  <si>
    <t>Synthese Soldes Créditeurs Q2 2026.xlsx / 'Evolution Stock'!V8</t>
  </si>
  <si>
    <t>Synthese Soldes Créditeurs Q2 2026.xlsx / 'Evolution Stock'!W8</t>
  </si>
  <si>
    <t>Synthese Soldes Créditeurs Q2 2026.xlsx / 'Evolution Stock'!U9</t>
  </si>
  <si>
    <t>Synthese Soldes Créditeurs Q2 2026.xlsx / 'Evolution Stock'!V9</t>
  </si>
  <si>
    <t>Synthese Soldes Créditeurs Q2 2026.xlsx / 'Evolution Stock'!W9</t>
  </si>
  <si>
    <t>Synthese Soldes Créditeurs Q2 2026.xlsx / 'Evolution Stock'!U10</t>
  </si>
  <si>
    <t>Synthese Soldes Créditeurs Q2 2026.xlsx / 'Evolution Stock'!V10</t>
  </si>
  <si>
    <t>Synthese Soldes Créditeurs Q2 2026.xlsx / 'Evolution Stock'!W10</t>
  </si>
  <si>
    <t>Synthese Soldes Créditeurs Q2 2026.xlsx / 'Evolution Stock'!U11</t>
  </si>
  <si>
    <t>Synthese Soldes Créditeurs Q2 2026.xlsx / 'Evolution Stock'!V11</t>
  </si>
  <si>
    <t>Synthese Soldes Créditeurs Q2 2026.xlsx / 'Evolution Stock'!W11</t>
  </si>
  <si>
    <t>Synthese Soldes Créditeurs Q2 2026.xlsx / 'Evolution Stock'!U12</t>
  </si>
  <si>
    <t>Synthese Soldes Créditeurs Q2 2026.xlsx / 'Evolution Stock'!V12</t>
  </si>
  <si>
    <t>Synthese Soldes Créditeurs Q2 2026.xlsx / 'Evolution Stock'!W12</t>
  </si>
  <si>
    <t>Synthese Soldes Créditeurs Q2 2026.xlsx / 'Evolution Stock'!U13</t>
  </si>
  <si>
    <t>Synthese Soldes Créditeurs Q2 2026.xlsx / 'Evolution Stock'!V13</t>
  </si>
  <si>
    <t>Synthese Soldes Créditeurs Q2 2026.xlsx / 'Evolution Stock'!W13</t>
  </si>
  <si>
    <t>Synthese Soldes Créditeurs Q2 2026.xlsx / 'Evolution Stock'!U14</t>
  </si>
  <si>
    <t>Synthese Soldes Créditeurs Q2 2026.xlsx / 'Evolution Stock'!V14</t>
  </si>
  <si>
    <t>Synthese Soldes Créditeurs Q2 2026.xlsx / 'Evolution Stock'!W14</t>
  </si>
  <si>
    <t>RO</t>
  </si>
  <si>
    <t>Romania</t>
  </si>
  <si>
    <t>Synthese Soldes Créditeurs Q2 2026.xlsx / 'Evolution Stock'!U15</t>
  </si>
  <si>
    <t>Synthese Soldes Créditeurs Q2 2026.xlsx / 'Evolution Stock'!V15</t>
  </si>
  <si>
    <t>Synthese Soldes Créditeurs Q2 2026.xlsx / 'Evolution Stock'!W15</t>
  </si>
  <si>
    <t>Synthese Soldes Créditeurs Q2 2026.xlsx / 'Evolution Stock'!U16</t>
  </si>
  <si>
    <t>Synthese Soldes Créditeurs Q2 2026.xlsx / 'Evolution Stock'!V16</t>
  </si>
  <si>
    <t>Synthese Soldes Créditeurs Q2 2026.xlsx / 'Evolution Stock'!W16</t>
  </si>
  <si>
    <t>Synthese Soldes Créditeurs Q2 2026.xlsx / 'Evolution Stock'!U17</t>
  </si>
  <si>
    <t>Synthese Soldes Créditeurs Q2 2026.xlsx / 'Evolution Stock'!V17</t>
  </si>
  <si>
    <t>Synthese Soldes Créditeurs Q2 2026.xlsx / 'Evolution Stock'!W17</t>
  </si>
  <si>
    <t>Synthese Soldes Créditeurs Q2 2026.xlsx / 'Evolution Stock'!U18</t>
  </si>
  <si>
    <t>Synthese Soldes Créditeurs Q2 2026.xlsx / 'Evolution Stock'!V18</t>
  </si>
  <si>
    <t>Synthese Soldes Créditeurs Q2 2026.xlsx / 'Evolution Stock'!W18</t>
  </si>
  <si>
    <t>Synthese Soldes Créditeurs Q2 2026.xlsx / 'Evolution Stock'!U19</t>
  </si>
  <si>
    <t>Synthese Soldes Créditeurs Q2 2026.xlsx / 'Evolution Stock'!V19</t>
  </si>
  <si>
    <t>Synthese Soldes Créditeurs Q2 2026.xlsx / 'Evolution Stock'!W19</t>
  </si>
  <si>
    <t>Tranche</t>
  </si>
  <si>
    <t>0 - 1 €</t>
  </si>
  <si>
    <t>C:\Users\adnan\.codex\attachments\6d3f42eb-83f0-4d1b-8f30-541dd71b915d\Pasted text.txt / BELGIUM (paste-relative rows)!KPI_3!B6</t>
  </si>
  <si>
    <t>1 - 10 €</t>
  </si>
  <si>
    <t>C:\Users\adnan\.codex\attachments\6d3f42eb-83f0-4d1b-8f30-541dd71b915d\Pasted text.txt / BELGIUM (paste-relative rows)!KPI_3!B7</t>
  </si>
  <si>
    <t>10 - 100 €</t>
  </si>
  <si>
    <t>C:\Users\adnan\.codex\attachments\6d3f42eb-83f0-4d1b-8f30-541dd71b915d\Pasted text.txt / BELGIUM (paste-relative rows)!KPI_3!B8</t>
  </si>
  <si>
    <t>100 - 1 000 €</t>
  </si>
  <si>
    <t>C:\Users\adnan\.codex\attachments\6d3f42eb-83f0-4d1b-8f30-541dd71b915d\Pasted text.txt / BELGIUM (paste-relative rows)!KPI_3!B9</t>
  </si>
  <si>
    <t>&gt; 1 000 €</t>
  </si>
  <si>
    <t>C:\Users\adnan\.codex\attachments\6d3f42eb-83f0-4d1b-8f30-541dd71b915d\Pasted text.txt / BELGIUM (paste-relative rows)!KPI_3!B10</t>
  </si>
  <si>
    <t>&lt;2018</t>
  </si>
  <si>
    <t>C:\Users\adnan\.codex\attachments\6d3f42eb-83f0-4d1b-8f30-541dd71b915d\Pasted text.txt / BELGIUM (paste-relative rows)!KPI_3!B13</t>
  </si>
  <si>
    <t>2018</t>
  </si>
  <si>
    <t>C:\Users\adnan\.codex\attachments\6d3f42eb-83f0-4d1b-8f30-541dd71b915d\Pasted text.txt / BELGIUM (paste-relative rows)!KPI_3!B14</t>
  </si>
  <si>
    <t>2019</t>
  </si>
  <si>
    <t>C:\Users\adnan\.codex\attachments\6d3f42eb-83f0-4d1b-8f30-541dd71b915d\Pasted text.txt / BELGIUM (paste-relative rows)!KPI_3!B15</t>
  </si>
  <si>
    <t>2020</t>
  </si>
  <si>
    <t>C:\Users\adnan\.codex\attachments\6d3f42eb-83f0-4d1b-8f30-541dd71b915d\Pasted text.txt / BELGIUM (paste-relative rows)!KPI_3!B16</t>
  </si>
  <si>
    <t>2021</t>
  </si>
  <si>
    <t>C:\Users\adnan\.codex\attachments\6d3f42eb-83f0-4d1b-8f30-541dd71b915d\Pasted text.txt / BELGIUM (paste-relative rows)!KPI_3!B17</t>
  </si>
  <si>
    <t>2022</t>
  </si>
  <si>
    <t>C:\Users\adnan\.codex\attachments\6d3f42eb-83f0-4d1b-8f30-541dd71b915d\Pasted text.txt / BELGIUM (paste-relative rows)!KPI_3!B18</t>
  </si>
  <si>
    <t>2023</t>
  </si>
  <si>
    <t>C:\Users\adnan\.codex\attachments\6d3f42eb-83f0-4d1b-8f30-541dd71b915d\Pasted text.txt / BELGIUM (paste-relative rows)!KPI_3!B19</t>
  </si>
  <si>
    <t>C:\Users\adnan\.codex\attachments\6d3f42eb-83f0-4d1b-8f30-541dd71b915d\Pasted text.txt / BELGIUM (paste-relative rows)!KPI_3!B20</t>
  </si>
  <si>
    <t>C:\Users\adnan\.codex\attachments\6d3f42eb-83f0-4d1b-8f30-541dd71b915d\Pasted text.txt / BELGIUM (paste-relative rows)!KPI_3!B21</t>
  </si>
  <si>
    <t>C:\Users\adnan\.codex\attachments\6d3f42eb-83f0-4d1b-8f30-541dd71b915d\Pasted text.txt / BELGIUM (paste-relative rows)!KPI_3!B22</t>
  </si>
  <si>
    <t>C:\Users\adnan\.codex\attachments\6d3f42eb-83f0-4d1b-8f30-541dd71b915d\Pasted text.txt / SPAIN (paste-relative rows)!KPI_3!B6</t>
  </si>
  <si>
    <t>C:\Users\adnan\.codex\attachments\6d3f42eb-83f0-4d1b-8f30-541dd71b915d\Pasted text.txt / SPAIN (paste-relative rows)!KPI_3!B7</t>
  </si>
  <si>
    <t>C:\Users\adnan\.codex\attachments\6d3f42eb-83f0-4d1b-8f30-541dd71b915d\Pasted text.txt / SPAIN (paste-relative rows)!KPI_3!B8</t>
  </si>
  <si>
    <t>C:\Users\adnan\.codex\attachments\6d3f42eb-83f0-4d1b-8f30-541dd71b915d\Pasted text.txt / SPAIN (paste-relative rows)!KPI_3!B9</t>
  </si>
  <si>
    <t>C:\Users\adnan\.codex\attachments\6d3f42eb-83f0-4d1b-8f30-541dd71b915d\Pasted text.txt / SPAIN (paste-relative rows)!KPI_3!B10</t>
  </si>
  <si>
    <t>C:\Users\adnan\.codex\attachments\6d3f42eb-83f0-4d1b-8f30-541dd71b915d\Pasted text.txt / SPAIN (paste-relative rows)!KPI_3!B13</t>
  </si>
  <si>
    <t>C:\Users\adnan\.codex\attachments\6d3f42eb-83f0-4d1b-8f30-541dd71b915d\Pasted text.txt / SPAIN (paste-relative rows)!KPI_3!B14</t>
  </si>
  <si>
    <t>C:\Users\adnan\.codex\attachments\6d3f42eb-83f0-4d1b-8f30-541dd71b915d\Pasted text.txt / SPAIN (paste-relative rows)!KPI_3!B15</t>
  </si>
  <si>
    <t>C:\Users\adnan\.codex\attachments\6d3f42eb-83f0-4d1b-8f30-541dd71b915d\Pasted text.txt / SPAIN (paste-relative rows)!KPI_3!B16</t>
  </si>
  <si>
    <t>C:\Users\adnan\.codex\attachments\6d3f42eb-83f0-4d1b-8f30-541dd71b915d\Pasted text.txt / SPAIN (paste-relative rows)!KPI_3!B17</t>
  </si>
  <si>
    <t>C:\Users\adnan\.codex\attachments\6d3f42eb-83f0-4d1b-8f30-541dd71b915d\Pasted text.txt / SPAIN (paste-relative rows)!KPI_3!B18</t>
  </si>
  <si>
    <t>C:\Users\adnan\.codex\attachments\6d3f42eb-83f0-4d1b-8f30-541dd71b915d\Pasted text.txt / SPAIN (paste-relative rows)!KPI_3!B19</t>
  </si>
  <si>
    <t>C:\Users\adnan\.codex\attachments\6d3f42eb-83f0-4d1b-8f30-541dd71b915d\Pasted text.txt / SPAIN (paste-relative rows)!KPI_3!B20</t>
  </si>
  <si>
    <t>C:\Users\adnan\.codex\attachments\6d3f42eb-83f0-4d1b-8f30-541dd71b915d\Pasted text.txt / SPAIN (paste-relative rows)!KPI_3!B21</t>
  </si>
  <si>
    <t>C:\Users\adnan\.codex\attachments\6d3f42eb-83f0-4d1b-8f30-541dd71b915d\Pasted text.txt / SPAIN (paste-relative rows)!KPI_3!B22</t>
  </si>
  <si>
    <t>C:\Users\adnan\.codex\attachments\6d3f42eb-83f0-4d1b-8f30-541dd71b915d\Pasted text.txt / FRANCE (paste-relative rows)!KPI_3!B6</t>
  </si>
  <si>
    <t>C:\Users\adnan\.codex\attachments\6d3f42eb-83f0-4d1b-8f30-541dd71b915d\Pasted text.txt / FRANCE (paste-relative rows)!KPI_3!B7</t>
  </si>
  <si>
    <t>C:\Users\adnan\.codex\attachments\6d3f42eb-83f0-4d1b-8f30-541dd71b915d\Pasted text.txt / FRANCE (paste-relative rows)!KPI_3!B8</t>
  </si>
  <si>
    <t>C:\Users\adnan\.codex\attachments\6d3f42eb-83f0-4d1b-8f30-541dd71b915d\Pasted text.txt / FRANCE (paste-relative rows)!KPI_3!B9</t>
  </si>
  <si>
    <t>C:\Users\adnan\.codex\attachments\6d3f42eb-83f0-4d1b-8f30-541dd71b915d\Pasted text.txt / FRANCE (paste-relative rows)!KPI_3!B10</t>
  </si>
  <si>
    <t>C:\Users\adnan\.codex\attachments\6d3f42eb-83f0-4d1b-8f30-541dd71b915d\Pasted text.txt / FRANCE (paste-relative rows)!KPI_3!B13</t>
  </si>
  <si>
    <t>C:\Users\adnan\.codex\attachments\6d3f42eb-83f0-4d1b-8f30-541dd71b915d\Pasted text.txt / FRANCE (paste-relative rows)!KPI_3!B14</t>
  </si>
  <si>
    <t>C:\Users\adnan\.codex\attachments\6d3f42eb-83f0-4d1b-8f30-541dd71b915d\Pasted text.txt / FRANCE (paste-relative rows)!KPI_3!B15</t>
  </si>
  <si>
    <t>C:\Users\adnan\.codex\attachments\6d3f42eb-83f0-4d1b-8f30-541dd71b915d\Pasted text.txt / FRANCE (paste-relative rows)!KPI_3!B16</t>
  </si>
  <si>
    <t>C:\Users\adnan\.codex\attachments\6d3f42eb-83f0-4d1b-8f30-541dd71b915d\Pasted text.txt / FRANCE (paste-relative rows)!KPI_3!B17</t>
  </si>
  <si>
    <t>C:\Users\adnan\.codex\attachments\6d3f42eb-83f0-4d1b-8f30-541dd71b915d\Pasted text.txt / FRANCE (paste-relative rows)!KPI_3!B18</t>
  </si>
  <si>
    <t>C:\Users\adnan\.codex\attachments\6d3f42eb-83f0-4d1b-8f30-541dd71b915d\Pasted text.txt / FRANCE (paste-relative rows)!KPI_3!B19</t>
  </si>
  <si>
    <t>C:\Users\adnan\.codex\attachments\6d3f42eb-83f0-4d1b-8f30-541dd71b915d\Pasted text.txt / FRANCE (paste-relative rows)!KPI_3!B20</t>
  </si>
  <si>
    <t>C:\Users\adnan\.codex\attachments\6d3f42eb-83f0-4d1b-8f30-541dd71b915d\Pasted text.txt / FRANCE (paste-relative rows)!KPI_3!B21</t>
  </si>
  <si>
    <t>C:\Users\adnan\.codex\attachments\6d3f42eb-83f0-4d1b-8f30-541dd71b915d\Pasted text.txt / FRANCE (paste-relative rows)!KPI_3!B22</t>
  </si>
  <si>
    <t>C:\Users\adnan\.codex\attachments\6d3f42eb-83f0-4d1b-8f30-541dd71b915d\Pasted text.txt / GERMANY (paste-relative rows)!KPI_3!B6</t>
  </si>
  <si>
    <t>C:\Users\adnan\.codex\attachments\6d3f42eb-83f0-4d1b-8f30-541dd71b915d\Pasted text.txt / GERMANY (paste-relative rows)!KPI_3!B7</t>
  </si>
  <si>
    <t>C:\Users\adnan\.codex\attachments\6d3f42eb-83f0-4d1b-8f30-541dd71b915d\Pasted text.txt / GERMANY (paste-relative rows)!KPI_3!B8</t>
  </si>
  <si>
    <t>100 - 500 €</t>
  </si>
  <si>
    <t>C:\Users\adnan\.codex\attachments\6d3f42eb-83f0-4d1b-8f30-541dd71b915d\Pasted text.txt / GERMANY (paste-relative rows)!KPI_3!B9</t>
  </si>
  <si>
    <t>500 - 1 000 €</t>
  </si>
  <si>
    <t>C:\Users\adnan\.codex\attachments\6d3f42eb-83f0-4d1b-8f30-541dd71b915d\Pasted text.txt / GERMANY (paste-relative rows)!KPI_3!B10</t>
  </si>
  <si>
    <t>C:\Users\adnan\.codex\attachments\6d3f42eb-83f0-4d1b-8f30-541dd71b915d\Pasted text.txt / GERMANY (paste-relative rows)!KPI_3!B11</t>
  </si>
  <si>
    <t>C:\Users\adnan\.codex\attachments\6d3f42eb-83f0-4d1b-8f30-541dd71b915d\Pasted text.txt / GERMANY (paste-relative rows)!KPI_3!B14</t>
  </si>
  <si>
    <t>C:\Users\adnan\.codex\attachments\6d3f42eb-83f0-4d1b-8f30-541dd71b915d\Pasted text.txt / GERMANY (paste-relative rows)!KPI_3!B15</t>
  </si>
  <si>
    <t>C:\Users\adnan\.codex\attachments\6d3f42eb-83f0-4d1b-8f30-541dd71b915d\Pasted text.txt / GERMANY (paste-relative rows)!KPI_3!B16</t>
  </si>
  <si>
    <t>C:\Users\adnan\.codex\attachments\6d3f42eb-83f0-4d1b-8f30-541dd71b915d\Pasted text.txt / GERMANY (paste-relative rows)!KPI_3!B17</t>
  </si>
  <si>
    <t>C:\Users\adnan\.codex\attachments\6d3f42eb-83f0-4d1b-8f30-541dd71b915d\Pasted text.txt / GERMANY (paste-relative rows)!KPI_3!B18</t>
  </si>
  <si>
    <t>C:\Users\adnan\.codex\attachments\6d3f42eb-83f0-4d1b-8f30-541dd71b915d\Pasted text.txt / GERMANY (paste-relative rows)!KPI_3!B19</t>
  </si>
  <si>
    <t>C:\Users\adnan\.codex\attachments\6d3f42eb-83f0-4d1b-8f30-541dd71b915d\Pasted text.txt / GERMANY (paste-relative rows)!KPI_3!B20</t>
  </si>
  <si>
    <t>C:\Users\adnan\.codex\attachments\6d3f42eb-83f0-4d1b-8f30-541dd71b915d\Pasted text.txt / GERMANY (paste-relative rows)!KPI_3!B21</t>
  </si>
  <si>
    <t>C:\Users\adnan\.codex\attachments\6d3f42eb-83f0-4d1b-8f30-541dd71b915d\Pasted text.txt / GERMANY (paste-relative rows)!KPI_3!B22</t>
  </si>
  <si>
    <t>C:\Users\adnan\.codex\attachments\6d3f42eb-83f0-4d1b-8f30-541dd71b915d\Pasted text.txt / GERMANY (paste-relative rows)!KPI_3!B23</t>
  </si>
  <si>
    <t>C:\Users\adnan\.codex\attachments\6d3f42eb-83f0-4d1b-8f30-541dd71b915d\Pasted text.txt / ITALY (paste-relative rows)!KPI_3!B6</t>
  </si>
  <si>
    <t>C:\Users\adnan\.codex\attachments\6d3f42eb-83f0-4d1b-8f30-541dd71b915d\Pasted text.txt / ITALY (paste-relative rows)!KPI_3!B7</t>
  </si>
  <si>
    <t>C:\Users\adnan\.codex\attachments\6d3f42eb-83f0-4d1b-8f30-541dd71b915d\Pasted text.txt / ITALY (paste-relative rows)!KPI_3!B8</t>
  </si>
  <si>
    <t>C:\Users\adnan\.codex\attachments\6d3f42eb-83f0-4d1b-8f30-541dd71b915d\Pasted text.txt / ITALY (paste-relative rows)!KPI_3!B9</t>
  </si>
  <si>
    <t>C:\Users\adnan\.codex\attachments\6d3f42eb-83f0-4d1b-8f30-541dd71b915d\Pasted text.txt / ITALY (paste-relative rows)!KPI_3!B10</t>
  </si>
  <si>
    <t>C:\Users\adnan\.codex\attachments\6d3f42eb-83f0-4d1b-8f30-541dd71b915d\Pasted text.txt / ITALY (paste-relative rows)!KPI_3!B13</t>
  </si>
  <si>
    <t>C:\Users\adnan\.codex\attachments\6d3f42eb-83f0-4d1b-8f30-541dd71b915d\Pasted text.txt / ITALY (paste-relative rows)!KPI_3!B14</t>
  </si>
  <si>
    <t>C:\Users\adnan\.codex\attachments\6d3f42eb-83f0-4d1b-8f30-541dd71b915d\Pasted text.txt / ITALY (paste-relative rows)!KPI_3!B15</t>
  </si>
  <si>
    <t>C:\Users\adnan\.codex\attachments\6d3f42eb-83f0-4d1b-8f30-541dd71b915d\Pasted text.txt / ITALY (paste-relative rows)!KPI_3!B16</t>
  </si>
  <si>
    <t>C:\Users\adnan\.codex\attachments\6d3f42eb-83f0-4d1b-8f30-541dd71b915d\Pasted text.txt / ITALY (paste-relative rows)!KPI_3!B17</t>
  </si>
  <si>
    <t>C:\Users\adnan\.codex\attachments\6d3f42eb-83f0-4d1b-8f30-541dd71b915d\Pasted text.txt / ITALY (paste-relative rows)!KPI_3!B18</t>
  </si>
  <si>
    <t>C:\Users\adnan\.codex\attachments\6d3f42eb-83f0-4d1b-8f30-541dd71b915d\Pasted text.txt / ITALY (paste-relative rows)!KPI_3!B19</t>
  </si>
  <si>
    <t>C:\Users\adnan\.codex\attachments\6d3f42eb-83f0-4d1b-8f30-541dd71b915d\Pasted text.txt / ITALY (paste-relative rows)!KPI_3!B20</t>
  </si>
  <si>
    <t>C:\Users\adnan\.codex\attachments\6d3f42eb-83f0-4d1b-8f30-541dd71b915d\Pasted text.txt / ITALY (paste-relative rows)!KPI_3!B21</t>
  </si>
  <si>
    <t>C:\Users\adnan\.codex\attachments\6d3f42eb-83f0-4d1b-8f30-541dd71b915d\Pasted text.txt / ITALY (paste-relative rows)!KPI_3!B22</t>
  </si>
  <si>
    <t>C:\Users\adnan\.codex\attachments\6d3f42eb-83f0-4d1b-8f30-541dd71b915d\Pasted text.txt / PORTUGAL (paste-relative rows)!KPI_3!B6</t>
  </si>
  <si>
    <t>C:\Users\adnan\.codex\attachments\6d3f42eb-83f0-4d1b-8f30-541dd71b915d\Pasted text.txt / PORTUGAL (paste-relative rows)!KPI_3!B7</t>
  </si>
  <si>
    <t>C:\Users\adnan\.codex\attachments\6d3f42eb-83f0-4d1b-8f30-541dd71b915d\Pasted text.txt / PORTUGAL (paste-relative rows)!KPI_3!B8</t>
  </si>
  <si>
    <t>C:\Users\adnan\.codex\attachments\6d3f42eb-83f0-4d1b-8f30-541dd71b915d\Pasted text.txt / PORTUGAL (paste-relative rows)!KPI_3!B9</t>
  </si>
  <si>
    <t>C:\Users\adnan\.codex\attachments\6d3f42eb-83f0-4d1b-8f30-541dd71b915d\Pasted text.txt / PORTUGAL (paste-relative rows)!KPI_3!B10</t>
  </si>
  <si>
    <t>C:\Users\adnan\.codex\attachments\6d3f42eb-83f0-4d1b-8f30-541dd71b915d\Pasted text.txt / PORTUGAL (paste-relative rows)!KPI_3!B13</t>
  </si>
  <si>
    <t>C:\Users\adnan\.codex\attachments\6d3f42eb-83f0-4d1b-8f30-541dd71b915d\Pasted text.txt / PORTUGAL (paste-relative rows)!KPI_3!B14</t>
  </si>
  <si>
    <t>C:\Users\adnan\.codex\attachments\6d3f42eb-83f0-4d1b-8f30-541dd71b915d\Pasted text.txt / PORTUGAL (paste-relative rows)!KPI_3!B15</t>
  </si>
  <si>
    <t>C:\Users\adnan\.codex\attachments\6d3f42eb-83f0-4d1b-8f30-541dd71b915d\Pasted text.txt / UK (paste-relative rows)!KPI_3!B6</t>
  </si>
  <si>
    <t>C:\Users\adnan\.codex\attachments\6d3f42eb-83f0-4d1b-8f30-541dd71b915d\Pasted text.txt / UK (paste-relative rows)!KPI_3!B7</t>
  </si>
  <si>
    <t>C:\Users\adnan\.codex\attachments\6d3f42eb-83f0-4d1b-8f30-541dd71b915d\Pasted text.txt / UK (paste-relative rows)!KPI_3!B8</t>
  </si>
  <si>
    <t>C:\Users\adnan\.codex\attachments\6d3f42eb-83f0-4d1b-8f30-541dd71b915d\Pasted text.txt / UK (paste-relative rows)!KPI_3!B9</t>
  </si>
  <si>
    <t>C:\Users\adnan\.codex\attachments\6d3f42eb-83f0-4d1b-8f30-541dd71b915d\Pasted text.txt / UK (paste-relative rows)!KPI_3!B10</t>
  </si>
  <si>
    <t>C:\Users\adnan\.codex\attachments\6d3f42eb-83f0-4d1b-8f30-541dd71b915d\Pasted text.txt / UK (paste-relative rows)!KPI_3!B13</t>
  </si>
  <si>
    <t>C:\Users\adnan\.codex\attachments\6d3f42eb-83f0-4d1b-8f30-541dd71b915d\Pasted text.txt / UK (paste-relative rows)!KPI_3!B14</t>
  </si>
  <si>
    <t>C:\Users\adnan\.codex\attachments\6d3f42eb-83f0-4d1b-8f30-541dd71b915d\Pasted text.txt / UK (paste-relative rows)!KPI_3!B15</t>
  </si>
  <si>
    <t>C:\Users\adnan\.codex\attachments\6d3f42eb-83f0-4d1b-8f30-541dd71b915d\Pasted text.txt / UK (paste-relative rows)!KPI_3!B16</t>
  </si>
  <si>
    <t>C:\Users\adnan\.codex\attachments\6d3f42eb-83f0-4d1b-8f30-541dd71b915d\Pasted text.txt / UK (paste-relative rows)!KPI_3!B17</t>
  </si>
  <si>
    <t>C:\Users\adnan\.codex\attachments\6d3f42eb-83f0-4d1b-8f30-541dd71b915d\Pasted text.txt / UK (paste-relative rows)!KPI_3!B18</t>
  </si>
  <si>
    <t>C:\Users\adnan\.codex\attachments\6d3f42eb-83f0-4d1b-8f30-541dd71b915d\Pasted text.txt / UK (paste-relative rows)!KPI_3!B19</t>
  </si>
  <si>
    <t>C:\Users\adnan\.codex\attachments\6d3f42eb-83f0-4d1b-8f30-541dd71b915d\Pasted text.txt / UK (paste-relative rows)!KPI_3!B20</t>
  </si>
  <si>
    <t>C:\Users\adnan\.codex\attachments\6d3f42eb-83f0-4d1b-8f30-541dd71b915d\Pasted text.txt / UK (paste-relative rows)!KPI_3!B21</t>
  </si>
  <si>
    <t>C:\Users\adnan\.codex\attachments\6d3f42eb-83f0-4d1b-8f30-541dd71b915d\Pasted text.txt / UK (paste-relative rows)!KPI_3!B22</t>
  </si>
  <si>
    <t>AUSTRIA_Q2_2026.xlsx!KPI_3!B6</t>
  </si>
  <si>
    <t>AUSTRIA_Q2_2026.xlsx!KPI_3!B7</t>
  </si>
  <si>
    <t>AUSTRIA_Q2_2026.xlsx!KPI_3!B8</t>
  </si>
  <si>
    <t>AUSTRIA_Q2_2026.xlsx!KPI_3!B9</t>
  </si>
  <si>
    <t>AUSTRIA_Q2_2026.xlsx!KPI_3!B10</t>
  </si>
  <si>
    <t>AUSTRIA_Q2_2026.xlsx!KPI_3!B13</t>
  </si>
  <si>
    <t>AUSTRIA_Q2_2026.xlsx!KPI_3!B14</t>
  </si>
  <si>
    <t>AUSTRIA_Q2_2026.xlsx!KPI_3!B15</t>
  </si>
  <si>
    <t>AUSTRIA_Q2_2026.xlsx!KPI_3!B16</t>
  </si>
  <si>
    <t>AUSTRIA_Q2_2026.xlsx!KPI_3!B17</t>
  </si>
  <si>
    <t>AUSTRIA_Q2_2026.xlsx!KPI_3!B18</t>
  </si>
  <si>
    <t>AUSTRIA_Q2_2026.xlsx!KPI_3!B19</t>
  </si>
  <si>
    <t>AUSTRIA_Q2_2026.xlsx!KPI_3!B20</t>
  </si>
  <si>
    <t>AUSTRIA_Q2_2026.xlsx!KPI_3!B21</t>
  </si>
  <si>
    <t>AUSTRIA_Q2_2026.xlsx!KPI_3!B22</t>
  </si>
  <si>
    <t>0 - 7,5 Kr</t>
  </si>
  <si>
    <t>NORDICS_Q2_2026.xlsx / DEN_!KPI_3!B6</t>
  </si>
  <si>
    <t>7,5 - 75 Kr</t>
  </si>
  <si>
    <t>NORDICS_Q2_2026.xlsx / DEN_!KPI_3!B7</t>
  </si>
  <si>
    <t>75 - 747 Kr</t>
  </si>
  <si>
    <t>NORDICS_Q2_2026.xlsx / DEN_!KPI_3!B8</t>
  </si>
  <si>
    <t>747 - 7474 Kr</t>
  </si>
  <si>
    <t>NORDICS_Q2_2026.xlsx / DEN_!KPI_3!B9</t>
  </si>
  <si>
    <t>&gt;7474 Kr</t>
  </si>
  <si>
    <t>NORDICS_Q2_2026.xlsx / DEN_!KPI_3!B10</t>
  </si>
  <si>
    <t>NORDICS_Q2_2026.xlsx / DEN_!KPI_3!B13</t>
  </si>
  <si>
    <t>NORDICS_Q2_2026.xlsx / DEN_!KPI_3!B14</t>
  </si>
  <si>
    <t>NORDICS_Q2_2026.xlsx / DEN_!KPI_3!B15</t>
  </si>
  <si>
    <t>NORDICS_Q2_2026.xlsx / DEN_!KPI_3!B16</t>
  </si>
  <si>
    <t>NORDICS_Q2_2026.xlsx / DEN_!KPI_3!B17</t>
  </si>
  <si>
    <t>NORDICS_Q2_2026.xlsx / DEN_!KPI_3!B18</t>
  </si>
  <si>
    <t>NORDICS_Q2_2026.xlsx / DEN_!KPI_3!B19</t>
  </si>
  <si>
    <t>NORDICS_Q2_2026.xlsx / DEN_!KPI_3!B20</t>
  </si>
  <si>
    <t>NORDICS_Q2_2026.xlsx / DEN_!KPI_3!B21</t>
  </si>
  <si>
    <t>NORDICS_Q2_2026.xlsx / DEN_!KPI_3!B22</t>
  </si>
  <si>
    <t>0 - 11,3 Kr</t>
  </si>
  <si>
    <t>NORDICS_Q2_2026.xlsx / NOR_!KPI_3!B6</t>
  </si>
  <si>
    <t>11,3 - 113 Kr</t>
  </si>
  <si>
    <t>NORDICS_Q2_2026.xlsx / NOR_!KPI_3!B7</t>
  </si>
  <si>
    <t>113 - 1131 Kr</t>
  </si>
  <si>
    <t>NORDICS_Q2_2026.xlsx / NOR_!KPI_3!B8</t>
  </si>
  <si>
    <t>1131 - 11311 Kr</t>
  </si>
  <si>
    <t>NORDICS_Q2_2026.xlsx / NOR_!KPI_3!B9</t>
  </si>
  <si>
    <t>&gt;11311 Kr</t>
  </si>
  <si>
    <t>NORDICS_Q2_2026.xlsx / NOR_!KPI_3!B10</t>
  </si>
  <si>
    <t>NORDICS_Q2_2026.xlsx / NOR_!KPI_3!B13</t>
  </si>
  <si>
    <t>NORDICS_Q2_2026.xlsx / NOR_!KPI_3!B14</t>
  </si>
  <si>
    <t>NORDICS_Q2_2026.xlsx / NOR_!KPI_3!B15</t>
  </si>
  <si>
    <t>NORDICS_Q2_2026.xlsx / NOR_!KPI_3!B16</t>
  </si>
  <si>
    <t>NORDICS_Q2_2026.xlsx / NOR_!KPI_3!B17</t>
  </si>
  <si>
    <t>NORDICS_Q2_2026.xlsx / NOR_!KPI_3!B18</t>
  </si>
  <si>
    <t>NORDICS_Q2_2026.xlsx / NOR_!KPI_3!B19</t>
  </si>
  <si>
    <t>NORDICS_Q2_2026.xlsx / NOR_!KPI_3!B20</t>
  </si>
  <si>
    <t>NORDICS_Q2_2026.xlsx / NOR_!KPI_3!B21</t>
  </si>
  <si>
    <t>NORDICS_Q2_2026.xlsx / NOR_!KPI_3!B22</t>
  </si>
  <si>
    <t>0 - 11,1 Kr</t>
  </si>
  <si>
    <t>NORDICS_Q2_2026.xlsx / SWE_!KPI_3!B6</t>
  </si>
  <si>
    <t>11,1 - 111 Kr</t>
  </si>
  <si>
    <t>NORDICS_Q2_2026.xlsx / SWE_!KPI_3!B7</t>
  </si>
  <si>
    <t>111 - 1109 Kr</t>
  </si>
  <si>
    <t>NORDICS_Q2_2026.xlsx / SWE_!KPI_3!B8</t>
  </si>
  <si>
    <t>1109 - 11094 Kr</t>
  </si>
  <si>
    <t>NORDICS_Q2_2026.xlsx / SWE_!KPI_3!B9</t>
  </si>
  <si>
    <t>&gt;11094 Kr</t>
  </si>
  <si>
    <t>NORDICS_Q2_2026.xlsx / SWE_!KPI_3!B10</t>
  </si>
  <si>
    <t>NORDICS_Q2_2026.xlsx / SWE_!KPI_3!B13</t>
  </si>
  <si>
    <t>NORDICS_Q2_2026.xlsx / SWE_!KPI_3!B14</t>
  </si>
  <si>
    <t>NORDICS_Q2_2026.xlsx / SWE_!KPI_3!B15</t>
  </si>
  <si>
    <t>NORDICS_Q2_2026.xlsx / SWE_!KPI_3!B16</t>
  </si>
  <si>
    <t>NORDICS_Q2_2026.xlsx / SWE_!KPI_3!B17</t>
  </si>
  <si>
    <t>NORDICS_Q2_2026.xlsx / SWE_!KPI_3!B18</t>
  </si>
  <si>
    <t>NORDICS_Q2_2026.xlsx / SWE_!KPI_3!B19</t>
  </si>
  <si>
    <t>NORDICS_Q2_2026.xlsx / SWE_!KPI_3!B20</t>
  </si>
  <si>
    <t>NORDICS_Q2_2026.xlsx / SWE_!KPI_3!B21</t>
  </si>
  <si>
    <t>NORDICS_Q2_2026.xlsx / SWE_!KPI_3!B22</t>
  </si>
  <si>
    <t>ROMANIA_Q2_2026.xlsx!Quantitative follow up!B12</t>
  </si>
  <si>
    <t>ROMANIA_Q2_2026.xlsx!Quantitative follow up!B13</t>
  </si>
  <si>
    <t>ROMANIA_Q2_2026.xlsx!Quantitative follow up!B14</t>
  </si>
  <si>
    <t>ROMANIA_Q2_2026.xlsx!Quantitative follow up!B15</t>
  </si>
  <si>
    <t>ROMANIA_Q2_2026.xlsx!Quantitative follow up!B16</t>
  </si>
  <si>
    <t>ROMANIA_Q2_2026.xlsx!Quantitative follow up!B19</t>
  </si>
  <si>
    <t>ROMANIA_Q2_2026.xlsx!Quantitative follow up!B20</t>
  </si>
  <si>
    <t>ROMANIA_Q2_2026.xlsx!Quantitative follow up!B21</t>
  </si>
  <si>
    <t>ROMANIA_Q2_2026.xlsx!Quantitative follow up!B22</t>
  </si>
  <si>
    <t>ROMANIA_Q2_2026.xlsx!Quantitative follow up!B23</t>
  </si>
  <si>
    <t>BRAZIL_Q2_2026.xlsb!Relatorio!V14:V29 / V45:V60</t>
  </si>
  <si>
    <t>BRAZIL_Q2_2026.xlsb!Relatorio!V30 / V61</t>
  </si>
  <si>
    <t>BRAZIL_Q2_2026.xlsb!Relatorio!V31 / V62</t>
  </si>
  <si>
    <t>BRAZIL_Q2_2026.xlsb!Relatorio!V32 / V63</t>
  </si>
  <si>
    <t>BRAZIL_Q2_2026.xlsb!Relatorio!V33 / V64</t>
  </si>
  <si>
    <t>BRAZIL_Q2_2026.xlsb!Relatorio!V34 / V65</t>
  </si>
  <si>
    <t>BRAZIL_Q2_2026.xlsb!Relatorio!V35 / V66</t>
  </si>
  <si>
    <t>BRAZIL_Q2_2026.xlsb!Relatorio!V36 / V67</t>
  </si>
  <si>
    <t>BRAZIL_Q2_2026.xlsb!Relatorio!V37 / V68</t>
  </si>
  <si>
    <t>BRAZIL_Q2_2026.xlsb!Relatorio!V38 / V69</t>
  </si>
  <si>
    <t>RCS_Q2_2026.xlsx!KPI_3!B6</t>
  </si>
  <si>
    <t>RCS_Q2_2026.xlsx!KPI_3!B7</t>
  </si>
  <si>
    <t>RCS_Q2_2026.xlsx!KPI_3!B8</t>
  </si>
  <si>
    <t>RCS_Q2_2026.xlsx!KPI_3!B9</t>
  </si>
  <si>
    <t>RCS_Q2_2026.xlsx!KPI_3!B10</t>
  </si>
  <si>
    <t>&lt;2019</t>
  </si>
  <si>
    <t>RCS_Q2_2026.xlsx!KPI_3!B13</t>
  </si>
  <si>
    <t>RCS_Q2_2026.xlsx!KPI_3!B14</t>
  </si>
  <si>
    <t>RCS_Q2_2026.xlsx!KPI_3!B15</t>
  </si>
  <si>
    <t>RCS_Q2_2026.xlsx!KPI_3!B16</t>
  </si>
  <si>
    <t>RCS_Q2_2026.xlsx!KPI_3!B17</t>
  </si>
  <si>
    <t>RCS_Q2_2026.xlsx!KPI_3!B18</t>
  </si>
  <si>
    <t>RCS_Q2_2026.xlsx!KPI_3!B19</t>
  </si>
  <si>
    <t>RCS_Q2_2026.xlsx!KPI_3!B20</t>
  </si>
  <si>
    <t>RCS_Q2_2026.xlsx!KPI_3!B21</t>
  </si>
  <si>
    <t>C:\Users\adnan\.codex\attachments\47115144-a9fa-42ff-8df7-f0b6ed2a3f35\Pasted text.txt / BELGIUM (paste-relative rows)!KPI_3!B6</t>
  </si>
  <si>
    <t>C:\Users\adnan\.codex\attachments\47115144-a9fa-42ff-8df7-f0b6ed2a3f35\Pasted text.txt / BELGIUM (paste-relative rows)!KPI_3!B7</t>
  </si>
  <si>
    <t>C:\Users\adnan\.codex\attachments\47115144-a9fa-42ff-8df7-f0b6ed2a3f35\Pasted text.txt / BELGIUM (paste-relative rows)!KPI_3!B8</t>
  </si>
  <si>
    <t>C:\Users\adnan\.codex\attachments\47115144-a9fa-42ff-8df7-f0b6ed2a3f35\Pasted text.txt / BELGIUM (paste-relative rows)!KPI_3!B9</t>
  </si>
  <si>
    <t>C:\Users\adnan\.codex\attachments\47115144-a9fa-42ff-8df7-f0b6ed2a3f35\Pasted text.txt / BELGIUM (paste-relative rows)!KPI_3!B10</t>
  </si>
  <si>
    <t>C:\Users\adnan\.codex\attachments\47115144-a9fa-42ff-8df7-f0b6ed2a3f35\Pasted text.txt / BELGIUM (paste-relative rows)!KPI_3!B13</t>
  </si>
  <si>
    <t>C:\Users\adnan\.codex\attachments\47115144-a9fa-42ff-8df7-f0b6ed2a3f35\Pasted text.txt / BELGIUM (paste-relative rows)!KPI_3!B14</t>
  </si>
  <si>
    <t>C:\Users\adnan\.codex\attachments\47115144-a9fa-42ff-8df7-f0b6ed2a3f35\Pasted text.txt / BELGIUM (paste-relative rows)!KPI_3!B15</t>
  </si>
  <si>
    <t>C:\Users\adnan\.codex\attachments\47115144-a9fa-42ff-8df7-f0b6ed2a3f35\Pasted text.txt / BELGIUM (paste-relative rows)!KPI_3!B16</t>
  </si>
  <si>
    <t>C:\Users\adnan\.codex\attachments\47115144-a9fa-42ff-8df7-f0b6ed2a3f35\Pasted text.txt / BELGIUM (paste-relative rows)!KPI_3!B17</t>
  </si>
  <si>
    <t>C:\Users\adnan\.codex\attachments\47115144-a9fa-42ff-8df7-f0b6ed2a3f35\Pasted text.txt / BELGIUM (paste-relative rows)!KPI_3!B18</t>
  </si>
  <si>
    <t>C:\Users\adnan\.codex\attachments\47115144-a9fa-42ff-8df7-f0b6ed2a3f35\Pasted text.txt / BELGIUM (paste-relative rows)!KPI_3!B19</t>
  </si>
  <si>
    <t>C:\Users\adnan\.codex\attachments\47115144-a9fa-42ff-8df7-f0b6ed2a3f35\Pasted text.txt / BELGIUM (paste-relative rows)!KPI_3!B20</t>
  </si>
  <si>
    <t>C:\Users\adnan\.codex\attachments\47115144-a9fa-42ff-8df7-f0b6ed2a3f35\Pasted text.txt / BELGIUM (paste-relative rows)!KPI_3!B21</t>
  </si>
  <si>
    <t>C:\Users\adnan\.codex\attachments\47115144-a9fa-42ff-8df7-f0b6ed2a3f35\Pasted text.txt / BELGIUM (paste-relative rows)!KPI_3!B22</t>
  </si>
  <si>
    <t>C:\Users\adnan\.codex\attachments\47115144-a9fa-42ff-8df7-f0b6ed2a3f35\Pasted text.txt / SPAIN (paste-relative rows)!KPI_3!B6</t>
  </si>
  <si>
    <t>C:\Users\adnan\.codex\attachments\47115144-a9fa-42ff-8df7-f0b6ed2a3f35\Pasted text.txt / SPAIN (paste-relative rows)!KPI_3!B7</t>
  </si>
  <si>
    <t>C:\Users\adnan\.codex\attachments\47115144-a9fa-42ff-8df7-f0b6ed2a3f35\Pasted text.txt / SPAIN (paste-relative rows)!KPI_3!B8</t>
  </si>
  <si>
    <t>C:\Users\adnan\.codex\attachments\47115144-a9fa-42ff-8df7-f0b6ed2a3f35\Pasted text.txt / SPAIN (paste-relative rows)!KPI_3!B9</t>
  </si>
  <si>
    <t>C:\Users\adnan\.codex\attachments\47115144-a9fa-42ff-8df7-f0b6ed2a3f35\Pasted text.txt / SPAIN (paste-relative rows)!KPI_3!B10</t>
  </si>
  <si>
    <t>C:\Users\adnan\.codex\attachments\47115144-a9fa-42ff-8df7-f0b6ed2a3f35\Pasted text.txt / SPAIN (paste-relative rows)!KPI_3!B13</t>
  </si>
  <si>
    <t>C:\Users\adnan\.codex\attachments\47115144-a9fa-42ff-8df7-f0b6ed2a3f35\Pasted text.txt / SPAIN (paste-relative rows)!KPI_3!B14</t>
  </si>
  <si>
    <t>C:\Users\adnan\.codex\attachments\47115144-a9fa-42ff-8df7-f0b6ed2a3f35\Pasted text.txt / SPAIN (paste-relative rows)!KPI_3!B15</t>
  </si>
  <si>
    <t>C:\Users\adnan\.codex\attachments\47115144-a9fa-42ff-8df7-f0b6ed2a3f35\Pasted text.txt / SPAIN (paste-relative rows)!KPI_3!B16</t>
  </si>
  <si>
    <t>C:\Users\adnan\.codex\attachments\47115144-a9fa-42ff-8df7-f0b6ed2a3f35\Pasted text.txt / SPAIN (paste-relative rows)!KPI_3!B17</t>
  </si>
  <si>
    <t>C:\Users\adnan\.codex\attachments\47115144-a9fa-42ff-8df7-f0b6ed2a3f35\Pasted text.txt / SPAIN (paste-relative rows)!KPI_3!B18</t>
  </si>
  <si>
    <t>C:\Users\adnan\.codex\attachments\47115144-a9fa-42ff-8df7-f0b6ed2a3f35\Pasted text.txt / SPAIN (paste-relative rows)!KPI_3!B19</t>
  </si>
  <si>
    <t>C:\Users\adnan\.codex\attachments\47115144-a9fa-42ff-8df7-f0b6ed2a3f35\Pasted text.txt / SPAIN (paste-relative rows)!KPI_3!B20</t>
  </si>
  <si>
    <t>C:\Users\adnan\.codex\attachments\47115144-a9fa-42ff-8df7-f0b6ed2a3f35\Pasted text.txt / SPAIN (paste-relative rows)!KPI_3!B21</t>
  </si>
  <si>
    <t>C:\Users\adnan\.codex\attachments\47115144-a9fa-42ff-8df7-f0b6ed2a3f35\Pasted text.txt / SPAIN (paste-relative rows)!KPI_3!B22</t>
  </si>
  <si>
    <t>C:\Users\adnan\.codex\attachments\47115144-a9fa-42ff-8df7-f0b6ed2a3f35\Pasted text.txt / FRANCE (paste-relative rows)!KPI_3!B7</t>
  </si>
  <si>
    <t>C:\Users\adnan\.codex\attachments\47115144-a9fa-42ff-8df7-f0b6ed2a3f35\Pasted text.txt / FRANCE (paste-relative rows)!KPI_3!B8</t>
  </si>
  <si>
    <t>C:\Users\adnan\.codex\attachments\47115144-a9fa-42ff-8df7-f0b6ed2a3f35\Pasted text.txt / FRANCE (paste-relative rows)!KPI_3!B9</t>
  </si>
  <si>
    <t>C:\Users\adnan\.codex\attachments\47115144-a9fa-42ff-8df7-f0b6ed2a3f35\Pasted text.txt / FRANCE (paste-relative rows)!KPI_3!B10</t>
  </si>
  <si>
    <t>C:\Users\adnan\.codex\attachments\47115144-a9fa-42ff-8df7-f0b6ed2a3f35\Pasted text.txt / FRANCE (paste-relative rows)!KPI_3!B11</t>
  </si>
  <si>
    <t>C:\Users\adnan\.codex\attachments\47115144-a9fa-42ff-8df7-f0b6ed2a3f35\Pasted text.txt / FRANCE (paste-relative rows)!KPI_3!B14</t>
  </si>
  <si>
    <t>C:\Users\adnan\.codex\attachments\47115144-a9fa-42ff-8df7-f0b6ed2a3f35\Pasted text.txt / FRANCE (paste-relative rows)!KPI_3!B15</t>
  </si>
  <si>
    <t>C:\Users\adnan\.codex\attachments\47115144-a9fa-42ff-8df7-f0b6ed2a3f35\Pasted text.txt / FRANCE (paste-relative rows)!KPI_3!B16</t>
  </si>
  <si>
    <t>C:\Users\adnan\.codex\attachments\47115144-a9fa-42ff-8df7-f0b6ed2a3f35\Pasted text.txt / FRANCE (paste-relative rows)!KPI_3!B17</t>
  </si>
  <si>
    <t>C:\Users\adnan\.codex\attachments\47115144-a9fa-42ff-8df7-f0b6ed2a3f35\Pasted text.txt / FRANCE (paste-relative rows)!KPI_3!B18</t>
  </si>
  <si>
    <t>C:\Users\adnan\.codex\attachments\47115144-a9fa-42ff-8df7-f0b6ed2a3f35\Pasted text.txt / FRANCE (paste-relative rows)!KPI_3!B19</t>
  </si>
  <si>
    <t>C:\Users\adnan\.codex\attachments\47115144-a9fa-42ff-8df7-f0b6ed2a3f35\Pasted text.txt / FRANCE (paste-relative rows)!KPI_3!B20</t>
  </si>
  <si>
    <t>C:\Users\adnan\.codex\attachments\47115144-a9fa-42ff-8df7-f0b6ed2a3f35\Pasted text.txt / FRANCE (paste-relative rows)!KPI_3!B21</t>
  </si>
  <si>
    <t>C:\Users\adnan\.codex\attachments\47115144-a9fa-42ff-8df7-f0b6ed2a3f35\Pasted text.txt / FRANCE (paste-relative rows)!KPI_3!B22</t>
  </si>
  <si>
    <t>C:\Users\adnan\.codex\attachments\47115144-a9fa-42ff-8df7-f0b6ed2a3f35\Pasted text.txt / FRANCE (paste-relative rows)!KPI_3!B23</t>
  </si>
  <si>
    <t>C:\Users\adnan\.codex\attachments\47115144-a9fa-42ff-8df7-f0b6ed2a3f35\Pasted text.txt / ITALY (paste-relative rows)!KPI_3!B7</t>
  </si>
  <si>
    <t>C:\Users\adnan\.codex\attachments\47115144-a9fa-42ff-8df7-f0b6ed2a3f35\Pasted text.txt / ITALY (paste-relative rows)!KPI_3!B8</t>
  </si>
  <si>
    <t>C:\Users\adnan\.codex\attachments\47115144-a9fa-42ff-8df7-f0b6ed2a3f35\Pasted text.txt / ITALY (paste-relative rows)!KPI_3!B9</t>
  </si>
  <si>
    <t>C:\Users\adnan\.codex\attachments\47115144-a9fa-42ff-8df7-f0b6ed2a3f35\Pasted text.txt / ITALY (paste-relative rows)!KPI_3!B10</t>
  </si>
  <si>
    <t>C:\Users\adnan\.codex\attachments\47115144-a9fa-42ff-8df7-f0b6ed2a3f35\Pasted text.txt / ITALY (paste-relative rows)!KPI_3!B11</t>
  </si>
  <si>
    <t>C:\Users\adnan\.codex\attachments\47115144-a9fa-42ff-8df7-f0b6ed2a3f35\Pasted text.txt / ITALY (paste-relative rows)!KPI_3!B14</t>
  </si>
  <si>
    <t>C:\Users\adnan\.codex\attachments\47115144-a9fa-42ff-8df7-f0b6ed2a3f35\Pasted text.txt / ITALY (paste-relative rows)!KPI_3!B15</t>
  </si>
  <si>
    <t>C:\Users\adnan\.codex\attachments\47115144-a9fa-42ff-8df7-f0b6ed2a3f35\Pasted text.txt / ITALY (paste-relative rows)!KPI_3!B16</t>
  </si>
  <si>
    <t>C:\Users\adnan\.codex\attachments\47115144-a9fa-42ff-8df7-f0b6ed2a3f35\Pasted text.txt / ITALY (paste-relative rows)!KPI_3!B17</t>
  </si>
  <si>
    <t>C:\Users\adnan\.codex\attachments\47115144-a9fa-42ff-8df7-f0b6ed2a3f35\Pasted text.txt / ITALY (paste-relative rows)!KPI_3!B18</t>
  </si>
  <si>
    <t>C:\Users\adnan\.codex\attachments\47115144-a9fa-42ff-8df7-f0b6ed2a3f35\Pasted text.txt / ITALY (paste-relative rows)!KPI_3!B19</t>
  </si>
  <si>
    <t>C:\Users\adnan\.codex\attachments\47115144-a9fa-42ff-8df7-f0b6ed2a3f35\Pasted text.txt / ITALY (paste-relative rows)!KPI_3!B20</t>
  </si>
  <si>
    <t>C:\Users\adnan\.codex\attachments\47115144-a9fa-42ff-8df7-f0b6ed2a3f35\Pasted text.txt / ITALY (paste-relative rows)!KPI_3!B21</t>
  </si>
  <si>
    <t>C:\Users\adnan\.codex\attachments\47115144-a9fa-42ff-8df7-f0b6ed2a3f35\Pasted text.txt / ITALY (paste-relative rows)!KPI_3!B22</t>
  </si>
  <si>
    <t>C:\Users\adnan\.codex\attachments\47115144-a9fa-42ff-8df7-f0b6ed2a3f35\Pasted text.txt / ITALY (paste-relative rows)!KPI_3!B23</t>
  </si>
  <si>
    <t>C:\Users\adnan\.codex\attachments\47115144-a9fa-42ff-8df7-f0b6ed2a3f35\Pasted text.txt / PORTUGAL (paste-relative rows)!KPI_3!B7</t>
  </si>
  <si>
    <t>C:\Users\adnan\.codex\attachments\47115144-a9fa-42ff-8df7-f0b6ed2a3f35\Pasted text.txt / PORTUGAL (paste-relative rows)!KPI_3!B8</t>
  </si>
  <si>
    <t>C:\Users\adnan\.codex\attachments\47115144-a9fa-42ff-8df7-f0b6ed2a3f35\Pasted text.txt / PORTUGAL (paste-relative rows)!KPI_3!B9</t>
  </si>
  <si>
    <t>C:\Users\adnan\.codex\attachments\47115144-a9fa-42ff-8df7-f0b6ed2a3f35\Pasted text.txt / PORTUGAL (paste-relative rows)!KPI_3!B10</t>
  </si>
  <si>
    <t>C:\Users\adnan\.codex\attachments\47115144-a9fa-42ff-8df7-f0b6ed2a3f35\Pasted text.txt / PORTUGAL (paste-relative rows)!KPI_3!B11</t>
  </si>
  <si>
    <t>C:\Users\adnan\.codex\attachments\47115144-a9fa-42ff-8df7-f0b6ed2a3f35\Pasted text.txt / PORTUGAL (paste-relative rows)!KPI_3!B14</t>
  </si>
  <si>
    <t>C:\Users\adnan\.codex\attachments\47115144-a9fa-42ff-8df7-f0b6ed2a3f35\Pasted text.txt / PORTUGAL (paste-relative rows)!KPI_3!B15</t>
  </si>
  <si>
    <t>C:\Users\adnan\.codex\attachments\47115144-a9fa-42ff-8df7-f0b6ed2a3f35\Pasted text.txt / PORTUGAL (paste-relative rows)!KPI_3!B16</t>
  </si>
  <si>
    <t>C:\Users\adnan\.codex\attachments\47115144-a9fa-42ff-8df7-f0b6ed2a3f35\Pasted text.txt / UK (paste-relative rows)!KPI_3!B7</t>
  </si>
  <si>
    <t>C:\Users\adnan\.codex\attachments\47115144-a9fa-42ff-8df7-f0b6ed2a3f35\Pasted text.txt / UK (paste-relative rows)!KPI_3!B8</t>
  </si>
  <si>
    <t>C:\Users\adnan\.codex\attachments\47115144-a9fa-42ff-8df7-f0b6ed2a3f35\Pasted text.txt / UK (paste-relative rows)!KPI_3!B9</t>
  </si>
  <si>
    <t>C:\Users\adnan\.codex\attachments\47115144-a9fa-42ff-8df7-f0b6ed2a3f35\Pasted text.txt / UK (paste-relative rows)!KPI_3!B10</t>
  </si>
  <si>
    <t>C:\Users\adnan\.codex\attachments\47115144-a9fa-42ff-8df7-f0b6ed2a3f35\Pasted text.txt / UK (paste-relative rows)!KPI_3!B11</t>
  </si>
  <si>
    <t>C:\Users\adnan\.codex\attachments\47115144-a9fa-42ff-8df7-f0b6ed2a3f35\Pasted text.txt / UK (paste-relative rows)!KPI_3!B14</t>
  </si>
  <si>
    <t>C:\Users\adnan\.codex\attachments\47115144-a9fa-42ff-8df7-f0b6ed2a3f35\Pasted text.txt / UK (paste-relative rows)!KPI_3!B15</t>
  </si>
  <si>
    <t>C:\Users\adnan\.codex\attachments\47115144-a9fa-42ff-8df7-f0b6ed2a3f35\Pasted text.txt / UK (paste-relative rows)!KPI_3!B16</t>
  </si>
  <si>
    <t>C:\Users\adnan\.codex\attachments\47115144-a9fa-42ff-8df7-f0b6ed2a3f35\Pasted text.txt / UK (paste-relative rows)!KPI_3!B17</t>
  </si>
  <si>
    <t>C:\Users\adnan\.codex\attachments\47115144-a9fa-42ff-8df7-f0b6ed2a3f35\Pasted text.txt / UK (paste-relative rows)!KPI_3!B18</t>
  </si>
  <si>
    <t>C:\Users\adnan\.codex\attachments\47115144-a9fa-42ff-8df7-f0b6ed2a3f35\Pasted text.txt / UK (paste-relative rows)!KPI_3!B19</t>
  </si>
  <si>
    <t>C:\Users\adnan\.codex\attachments\47115144-a9fa-42ff-8df7-f0b6ed2a3f35\Pasted text.txt / UK (paste-relative rows)!KPI_3!B20</t>
  </si>
  <si>
    <t>C:\Users\adnan\.codex\attachments\47115144-a9fa-42ff-8df7-f0b6ed2a3f35\Pasted text.txt / UK (paste-relative rows)!KPI_3!B21</t>
  </si>
  <si>
    <t>C:\Users\adnan\.codex\attachments\47115144-a9fa-42ff-8df7-f0b6ed2a3f35\Pasted text.txt / UK (paste-relative rows)!KPI_3!B22</t>
  </si>
  <si>
    <t>C:\Users\adnan\.codex\attachments\47115144-a9fa-42ff-8df7-f0b6ed2a3f35\Pasted text.txt / UK (paste-relative rows)!KPI_3!B23</t>
  </si>
  <si>
    <t>NORDICS_Q32026.xlsx / DEN_!KPI_3!B6</t>
  </si>
  <si>
    <t>NORDICS_Q32026.xlsx / DEN_!KPI_3!B7</t>
  </si>
  <si>
    <t>75 - 748 Kr</t>
  </si>
  <si>
    <t>NORDICS_Q32026.xlsx / DEN_!KPI_3!B8</t>
  </si>
  <si>
    <t>748 - 7476 Kr</t>
  </si>
  <si>
    <t>NORDICS_Q32026.xlsx / DEN_!KPI_3!B9</t>
  </si>
  <si>
    <t>&gt;7476 Kr</t>
  </si>
  <si>
    <t>NORDICS_Q32026.xlsx / DEN_!KPI_3!B10</t>
  </si>
  <si>
    <t>NORDICS_Q32026.xlsx / DEN_!KPI_3!B13</t>
  </si>
  <si>
    <t>NORDICS_Q32026.xlsx / DEN_!KPI_3!B14</t>
  </si>
  <si>
    <t>NORDICS_Q32026.xlsx / DEN_!KPI_3!B15</t>
  </si>
  <si>
    <t>NORDICS_Q32026.xlsx / DEN_!KPI_3!B16</t>
  </si>
  <si>
    <t>NORDICS_Q32026.xlsx / DEN_!KPI_3!B17</t>
  </si>
  <si>
    <t>NORDICS_Q32026.xlsx / DEN_!KPI_3!B18</t>
  </si>
  <si>
    <t>NORDICS_Q32026.xlsx / DEN_!KPI_3!B19</t>
  </si>
  <si>
    <t>NORDICS_Q32026.xlsx / DEN_!KPI_3!B20</t>
  </si>
  <si>
    <t>NORDICS_Q32026.xlsx / DEN_!KPI_3!B21</t>
  </si>
  <si>
    <t>NORDICS_Q32026.xlsx / DEN_!KPI_3!B22</t>
  </si>
  <si>
    <t>0 - 10,9 Kr</t>
  </si>
  <si>
    <t>NORDICS_Q32026.xlsx / NOR_!KPI_3!B6</t>
  </si>
  <si>
    <t>10,9 - 109 Kr</t>
  </si>
  <si>
    <t>NORDICS_Q32026.xlsx / NOR_!KPI_3!B7</t>
  </si>
  <si>
    <t>109 - 1090 Kr</t>
  </si>
  <si>
    <t>NORDICS_Q32026.xlsx / NOR_!KPI_3!B8</t>
  </si>
  <si>
    <t>1090 - 10902 Kr</t>
  </si>
  <si>
    <t>NORDICS_Q32026.xlsx / NOR_!KPI_3!B9</t>
  </si>
  <si>
    <t>&gt;10902 Kr</t>
  </si>
  <si>
    <t>NORDICS_Q32026.xlsx / NOR_!KPI_3!B10</t>
  </si>
  <si>
    <t>NORDICS_Q32026.xlsx / NOR_!KPI_3!B13</t>
  </si>
  <si>
    <t>NORDICS_Q32026.xlsx / NOR_!KPI_3!B14</t>
  </si>
  <si>
    <t>NORDICS_Q32026.xlsx / NOR_!KPI_3!B15</t>
  </si>
  <si>
    <t>NORDICS_Q32026.xlsx / NOR_!KPI_3!B16</t>
  </si>
  <si>
    <t>NORDICS_Q32026.xlsx / NOR_!KPI_3!B17</t>
  </si>
  <si>
    <t>NORDICS_Q32026.xlsx / NOR_!KPI_3!B18</t>
  </si>
  <si>
    <t>NORDICS_Q32026.xlsx / NOR_!KPI_3!B19</t>
  </si>
  <si>
    <t>NORDICS_Q32026.xlsx / NOR_!KPI_3!B20</t>
  </si>
  <si>
    <t>NORDICS_Q32026.xlsx / NOR_!KPI_3!B21</t>
  </si>
  <si>
    <t>NORDICS_Q32026.xlsx / NOR_!KPI_3!B22</t>
  </si>
  <si>
    <t>NORDICS_Q32026.xlsx / SWE_!KPI_3!B6</t>
  </si>
  <si>
    <t>NORDICS_Q32026.xlsx / SWE_!KPI_3!B7</t>
  </si>
  <si>
    <t>113 - 1133 Kr</t>
  </si>
  <si>
    <t>NORDICS_Q32026.xlsx / SWE_!KPI_3!B8</t>
  </si>
  <si>
    <t>1133 - 11331 Kr</t>
  </si>
  <si>
    <t>NORDICS_Q32026.xlsx / SWE_!KPI_3!B9</t>
  </si>
  <si>
    <t>&gt;11331 Kr</t>
  </si>
  <si>
    <t>NORDICS_Q32026.xlsx / SWE_!KPI_3!B10</t>
  </si>
  <si>
    <t>NORDICS_Q32026.xlsx / SWE_!KPI_3!B13</t>
  </si>
  <si>
    <t>NORDICS_Q32026.xlsx / SWE_!KPI_3!B14</t>
  </si>
  <si>
    <t>NORDICS_Q32026.xlsx / SWE_!KPI_3!B15</t>
  </si>
  <si>
    <t>NORDICS_Q32026.xlsx / SWE_!KPI_3!B16</t>
  </si>
  <si>
    <t>NORDICS_Q32026.xlsx / SWE_!KPI_3!B17</t>
  </si>
  <si>
    <t>NORDICS_Q32026.xlsx / SWE_!KPI_3!B18</t>
  </si>
  <si>
    <t>NORDICS_Q32026.xlsx / SWE_!KPI_3!B19</t>
  </si>
  <si>
    <t>NORDICS_Q32026.xlsx / SWE_!KPI_3!B20</t>
  </si>
  <si>
    <t>NORDICS_Q32026.xlsx / SWE_!KPI_3!B21</t>
  </si>
  <si>
    <t>NORDICS_Q32026.xlsx / SWE_!KPI_3!B22</t>
  </si>
  <si>
    <t>RCS_Q32026.xlsx!KPI_3!B6</t>
  </si>
  <si>
    <t>RCS_Q32026.xlsx!KPI_3!B7</t>
  </si>
  <si>
    <t>RCS_Q32026.xlsx!KPI_3!B8</t>
  </si>
  <si>
    <t>RCS_Q32026.xlsx!KPI_3!B9</t>
  </si>
  <si>
    <t>RCS_Q32026.xlsx!KPI_3!B10</t>
  </si>
  <si>
    <t>RCS_Q32026.xlsx!KPI_3!B13</t>
  </si>
  <si>
    <t>RCS_Q32026.xlsx!KPI_3!B14</t>
  </si>
  <si>
    <t>RCS_Q32026.xlsx!KPI_3!B15</t>
  </si>
  <si>
    <t>RCS_Q32026.xlsx!KPI_3!B16</t>
  </si>
  <si>
    <t>RCS_Q32026.xlsx!KPI_3!B17</t>
  </si>
  <si>
    <t>RCS_Q32026.xlsx!KPI_3!B18</t>
  </si>
  <si>
    <t>RCS_Q32026.xlsx!KPI_3!B19</t>
  </si>
  <si>
    <t>RCS_Q32026.xlsx!KPI_3!B20</t>
  </si>
  <si>
    <t>RCS_Q32026.xlsx!KPI_3!B21</t>
  </si>
  <si>
    <t>BRAZIL_Q32026.xlsb!Relatorio!Y14:Y29 / Y45:Y60</t>
  </si>
  <si>
    <t>BRAZIL_Q32026.xlsb!Relatorio!Y30 / Y61</t>
  </si>
  <si>
    <t>BRAZIL_Q32026.xlsb!Relatorio!Y31 / Y62</t>
  </si>
  <si>
    <t>BRAZIL_Q32026.xlsb!Relatorio!Y32 / Y63</t>
  </si>
  <si>
    <t>BRAZIL_Q32026.xlsb!Relatorio!Y33 / Y64</t>
  </si>
  <si>
    <t>BRAZIL_Q32026.xlsb!Relatorio!Y34 / Y65</t>
  </si>
  <si>
    <t>BRAZIL_Q32026.xlsb!Relatorio!Y35 / Y66</t>
  </si>
  <si>
    <t>BRAZIL_Q32026.xlsb!Relatorio!Y36 / Y67</t>
  </si>
  <si>
    <t>BRAZIL_Q32026.xlsb!Relatorio!Y37 / Y68</t>
  </si>
  <si>
    <t>BRAZIL_Q32026.xlsb!Relatorio!Y38 / Y69</t>
  </si>
  <si>
    <t>C:\Users\adnan\.codex\attachments\311c1c40-cf54-484c-9738-5f6f10dcba23\Pasted text.txt / AUSTRIA (paste-relative rows)!KPI_3!B6</t>
  </si>
  <si>
    <t>C:\Users\adnan\.codex\attachments\311c1c40-cf54-484c-9738-5f6f10dcba23\Pasted text.txt / AUSTRIA (paste-relative rows)!KPI_3!B7</t>
  </si>
  <si>
    <t>C:\Users\adnan\.codex\attachments\311c1c40-cf54-484c-9738-5f6f10dcba23\Pasted text.txt / AUSTRIA (paste-relative rows)!KPI_3!B8</t>
  </si>
  <si>
    <t>C:\Users\adnan\.codex\attachments\311c1c40-cf54-484c-9738-5f6f10dcba23\Pasted text.txt / AUSTRIA (paste-relative rows)!KPI_3!B9</t>
  </si>
  <si>
    <t>C:\Users\adnan\.codex\attachments\311c1c40-cf54-484c-9738-5f6f10dcba23\Pasted text.txt / AUSTRIA (paste-relative rows)!KPI_3!B10</t>
  </si>
  <si>
    <t>C:\Users\adnan\.codex\attachments\311c1c40-cf54-484c-9738-5f6f10dcba23\Pasted text.txt / AUSTRIA (paste-relative rows)!KPI_3!B13</t>
  </si>
  <si>
    <t>C:\Users\adnan\.codex\attachments\311c1c40-cf54-484c-9738-5f6f10dcba23\Pasted text.txt / AUSTRIA (paste-relative rows)!KPI_3!B14</t>
  </si>
  <si>
    <t>C:\Users\adnan\.codex\attachments\311c1c40-cf54-484c-9738-5f6f10dcba23\Pasted text.txt / AUSTRIA (paste-relative rows)!KPI_3!B15</t>
  </si>
  <si>
    <t>C:\Users\adnan\.codex\attachments\311c1c40-cf54-484c-9738-5f6f10dcba23\Pasted text.txt / AUSTRIA (paste-relative rows)!KPI_3!B16</t>
  </si>
  <si>
    <t>C:\Users\adnan\.codex\attachments\311c1c40-cf54-484c-9738-5f6f10dcba23\Pasted text.txt / AUSTRIA (paste-relative rows)!KPI_3!B17</t>
  </si>
  <si>
    <t>C:\Users\adnan\.codex\attachments\311c1c40-cf54-484c-9738-5f6f10dcba23\Pasted text.txt / AUSTRIA (paste-relative rows)!KPI_3!B18</t>
  </si>
  <si>
    <t>C:\Users\adnan\.codex\attachments\311c1c40-cf54-484c-9738-5f6f10dcba23\Pasted text.txt / AUSTRIA (paste-relative rows)!KPI_3!B19</t>
  </si>
  <si>
    <t>C:\Users\adnan\.codex\attachments\311c1c40-cf54-484c-9738-5f6f10dcba23\Pasted text.txt / AUSTRIA (paste-relative rows)!KPI_3!B20</t>
  </si>
  <si>
    <t>C:\Users\adnan\.codex\attachments\311c1c40-cf54-484c-9738-5f6f10dcba23\Pasted text.txt / AUSTRIA (paste-relative rows)!KPI_3!B21</t>
  </si>
  <si>
    <t>C:\Users\adnan\.codex\attachments\311c1c40-cf54-484c-9738-5f6f10dcba23\Pasted text.txt / AUSTRIA (paste-relative rows)!KPI_3!B22</t>
  </si>
  <si>
    <t>C:\Users\adnan\.codex\attachments\311c1c40-cf54-484c-9738-5f6f10dcba23\Pasted text.txt / GERMANY (paste-relative rows)!KPI_3!B7</t>
  </si>
  <si>
    <t>C:\Users\adnan\.codex\attachments\311c1c40-cf54-484c-9738-5f6f10dcba23\Pasted text.txt / GERMANY (paste-relative rows)!KPI_3!B8</t>
  </si>
  <si>
    <t>C:\Users\adnan\.codex\attachments\311c1c40-cf54-484c-9738-5f6f10dcba23\Pasted text.txt / GERMANY (paste-relative rows)!KPI_3!B9</t>
  </si>
  <si>
    <t>C:\Users\adnan\.codex\attachments\311c1c40-cf54-484c-9738-5f6f10dcba23\Pasted text.txt / GERMANY (paste-relative rows)!KPI_3!B10</t>
  </si>
  <si>
    <t>C:\Users\adnan\.codex\attachments\311c1c40-cf54-484c-9738-5f6f10dcba23\Pasted text.txt / GERMANY (paste-relative rows)!KPI_3!B11</t>
  </si>
  <si>
    <t>C:\Users\adnan\.codex\attachments\311c1c40-cf54-484c-9738-5f6f10dcba23\Pasted text.txt / GERMANY (paste-relative rows)!KPI_3!B12</t>
  </si>
  <si>
    <t>C:\Users\adnan\.codex\attachments\311c1c40-cf54-484c-9738-5f6f10dcba23\Pasted text.txt / GERMANY (paste-relative rows)!KPI_3!B15</t>
  </si>
  <si>
    <t>C:\Users\adnan\.codex\attachments\311c1c40-cf54-484c-9738-5f6f10dcba23\Pasted text.txt / GERMANY (paste-relative rows)!KPI_3!B16</t>
  </si>
  <si>
    <t>C:\Users\adnan\.codex\attachments\311c1c40-cf54-484c-9738-5f6f10dcba23\Pasted text.txt / GERMANY (paste-relative rows)!KPI_3!B17</t>
  </si>
  <si>
    <t>C:\Users\adnan\.codex\attachments\311c1c40-cf54-484c-9738-5f6f10dcba23\Pasted text.txt / GERMANY (paste-relative rows)!KPI_3!B18</t>
  </si>
  <si>
    <t>C:\Users\adnan\.codex\attachments\311c1c40-cf54-484c-9738-5f6f10dcba23\Pasted text.txt / GERMANY (paste-relative rows)!KPI_3!B19</t>
  </si>
  <si>
    <t>C:\Users\adnan\.codex\attachments\311c1c40-cf54-484c-9738-5f6f10dcba23\Pasted text.txt / GERMANY (paste-relative rows)!KPI_3!B20</t>
  </si>
  <si>
    <t>C:\Users\adnan\.codex\attachments\311c1c40-cf54-484c-9738-5f6f10dcba23\Pasted text.txt / GERMANY (paste-relative rows)!KPI_3!B21</t>
  </si>
  <si>
    <t>C:\Users\adnan\.codex\attachments\311c1c40-cf54-484c-9738-5f6f10dcba23\Pasted text.txt / GERMANY (paste-relative rows)!KPI_3!B22</t>
  </si>
  <si>
    <t>C:\Users\adnan\.codex\attachments\311c1c40-cf54-484c-9738-5f6f10dcba23\Pasted text.txt / GERMANY (paste-relative rows)!KPI_3!B23</t>
  </si>
  <si>
    <t>C:\Users\adnan\.codex\attachments\311c1c40-cf54-484c-9738-5f6f10dcba23\Pasted text.txt / GERMANY (paste-relative rows)!KPI_3!B24</t>
  </si>
  <si>
    <t>Reported metrics from the supplied store</t>
  </si>
  <si>
    <t>Calculated at generation; rerun this script after changes to the supplied store.</t>
  </si>
  <si>
    <t>total</t>
  </si>
  <si>
    <t>processed</t>
  </si>
  <si>
    <t>remaining</t>
  </si>
  <si>
    <t>unreachable</t>
  </si>
  <si>
    <t>identified</t>
  </si>
  <si>
    <t>cst</t>
  </si>
  <si>
    <t>including_cst</t>
  </si>
  <si>
    <t>remaining_eur</t>
  </si>
  <si>
    <t>identified_eur</t>
  </si>
  <si>
    <t>including_cst_eur</t>
  </si>
  <si>
    <t>contracts</t>
  </si>
  <si>
    <t>flow_eur</t>
  </si>
  <si>
    <t>processed_eur</t>
  </si>
  <si>
    <t>count</t>
  </si>
  <si>
    <t>processed_count</t>
  </si>
  <si>
    <t>efficiency_amount</t>
  </si>
  <si>
    <t>efficiency_count</t>
  </si>
  <si>
    <t>monthly_average</t>
  </si>
  <si>
    <t>oldest_amount</t>
  </si>
  <si>
    <t>oldest_count</t>
  </si>
  <si>
    <t>quarter_flow_eur</t>
  </si>
  <si>
    <t>quarter_processed_eur</t>
  </si>
  <si>
    <t>quarter_efficiency</t>
  </si>
  <si>
    <t>Contrôles et limites de la livraison</t>
  </si>
  <si>
    <t>Observations détectées lors de la génération. Relancer Python après toute correction des fichiers source.</t>
  </si>
  <si>
    <t>Niveau</t>
  </si>
  <si>
    <t>Code</t>
  </si>
  <si>
    <t>Observation</t>
  </si>
  <si>
    <t>warning</t>
  </si>
  <si>
    <t>KPI_3 invalid amount bands</t>
  </si>
  <si>
    <t>All 71,052 contracts / 31,178,863 ZAR are assigned to 0-1 EUR band; 4 other bands are zero. Request corrected RCS KPI_3 amount-bracket breakdown in ZAR.</t>
  </si>
  <si>
    <t>QA_Q2</t>
  </si>
  <si>
    <t>Stock definition</t>
  </si>
  <si>
    <t>KPI_3 amount is pending only, while consolidated EUR stock includes processed-but-unreachable amount (4.49M ZAR). Keep separate pending and broader reporting-stock definitions.</t>
  </si>
  <si>
    <t>INVALID_AMOUNT_BANDS</t>
  </si>
  <si>
    <t>Source amount-band allocation is inconsistent or concentrated in one band; omitted from the presentation and retained in the source data.</t>
  </si>
  <si>
    <t>C:\Users\adnan\.codex\attachments\6d3f42eb-83f0-4d1b-8f30-541dd71b915d\Pasted text.txt / UK (paste-relative rows)</t>
  </si>
  <si>
    <t>CURRENCY_METADATA</t>
  </si>
  <si>
    <t>Q2 pasted header says EUR; amounts remain GBP following the original synthesis and prior reporting basis.</t>
  </si>
  <si>
    <t>C:\Users\adnan\.codex\attachments\6d3f42eb-83f0-4d1b-8f30-541dd71b915d\Pasted text.txt</t>
  </si>
  <si>
    <t>CST_REQUIRED</t>
  </si>
  <si>
    <t>Separate CST account balance not supplied; pending stock excludes CST. CSR transfers in KPI2 are movements, not a CST balance.</t>
  </si>
  <si>
    <t>NORDICS_Q2_2026.xlsx / DEN_</t>
  </si>
  <si>
    <t>NORDICS_Q2_2026.xlsx / NOR_</t>
  </si>
  <si>
    <t>NORDICS_Q2_2026.xlsx / SWE_</t>
  </si>
  <si>
    <t>STOCK_ONLY</t>
  </si>
  <si>
    <t>Romania supplies stock distributions only; monthly flow and treatment efficiency are unavailable.</t>
  </si>
  <si>
    <t>ROMANIA_Q2_2026.xlsx</t>
  </si>
  <si>
    <t>BRAZIL_RUNOFF</t>
  </si>
  <si>
    <t>Brazil supplies monthly IN/OUT calendar movements and stock by origin year. OUT is not cohort treatment; efficiency is unavailable.</t>
  </si>
  <si>
    <t>BRAZIL_Q2_2026.xlsb</t>
  </si>
  <si>
    <t>RCS_Q2_2026.xlsx</t>
  </si>
  <si>
    <t>SOURCE_RECONCILIATION</t>
  </si>
  <si>
    <t>Band total versus vintage count: calculated 1,031,246.00, reported 50,963.00. Source values retained.</t>
  </si>
  <si>
    <t>C:\Users\adnan\.codex\attachments\6d3f42eb-83f0-4d1b-8f30-541dd71b915d\Pasted text.txt / UK (paste-relative rows)!KPI_3!B23</t>
  </si>
  <si>
    <t>Band total versus vintage amount: calculated 11,992.00, reported 11,992.29. Source values retained.</t>
  </si>
  <si>
    <t>AUSTRIA_Q2_2026.xlsx!KPI_3!B23</t>
  </si>
  <si>
    <t>STOCK_SCOPE</t>
  </si>
  <si>
    <t>Identified stock 35,668,503.49; source distribution 31,178,863.21. Identified stock includes the applicable add-back; distribution preserves its source scope.</t>
  </si>
  <si>
    <t>RCS_Q2_2026.xlsx!KPI_3!B22</t>
  </si>
  <si>
    <t>C:\Users\adnan\.codex\attachments\47115144-a9fa-42ff-8df7-f0b6ed2a3f35\Pasted text.txt / UK (paste-relative rows)</t>
  </si>
  <si>
    <t>NORDICS_Q32026.xlsx / DEN_</t>
  </si>
  <si>
    <t>NORDICS_Q32026.xlsx / NOR_</t>
  </si>
  <si>
    <t>NORDICS_Q32026.xlsx / SWE_</t>
  </si>
  <si>
    <t>RCS_Q32026.xlsx</t>
  </si>
  <si>
    <t>BRAZIL_Q32026.xlsb</t>
  </si>
  <si>
    <t>MISSING_COUNTRY</t>
  </si>
  <si>
    <t>No Q3 data supplied. Q2 values are used only for the previous-quarter comparison.</t>
  </si>
  <si>
    <t>Latest delivery</t>
  </si>
  <si>
    <t>KPI1_COUNTRY_MISMATCH</t>
  </si>
  <si>
    <t>Austria KPI1 contains Germany labels and figures. Austria KPI2 and KPI3 are used; the pasted KPI1 is retained for review.</t>
  </si>
  <si>
    <t>C:\Users\adnan\.codex\attachments\311c1c40-cf54-484c-9738-5f6f10dcba23\Pasted text.txt</t>
  </si>
  <si>
    <t>KPI1_OUTSIDE_QUARTER</t>
  </si>
  <si>
    <t>KPI1 contains October inflow 692 EUR / 2 contracts after 30 September. Q3 presentation uses April–September KPI2 cohorts; stock is retained as reported.</t>
  </si>
  <si>
    <t>Identified stock 147,601.00; source distribution 106,046.00. Identified stock includes the applicable add-back; distribution preserves its source scope.</t>
  </si>
  <si>
    <t>C:\Users\adnan\.codex\attachments\47115144-a9fa-42ff-8df7-f0b6ed2a3f35\Pasted text.txt / BELGIUM (paste-relative rows)!KPI_3!B23</t>
  </si>
  <si>
    <t>Identified stock 1,793,165.00; source distribution 1,483,372.00. Identified stock includes the applicable add-back; distribution preserves its source scope.</t>
  </si>
  <si>
    <t>C:\Users\adnan\.codex\attachments\47115144-a9fa-42ff-8df7-f0b6ed2a3f35\Pasted text.txt / SPAIN (paste-relative rows)!KPI_3!B23</t>
  </si>
  <si>
    <t>Identified stock 2,998,937.00; source distribution 2,898,622.00. Identified stock includes the applicable add-back; distribution preserves its source scope.</t>
  </si>
  <si>
    <t>C:\Users\adnan\.codex\attachments\47115144-a9fa-42ff-8df7-f0b6ed2a3f35\Pasted text.txt / FRANCE (paste-relative rows)!KPI_3!B24</t>
  </si>
  <si>
    <t>Identified stock 607,594.00; source distribution 558,535.00. Identified stock includes the applicable add-back; distribution preserves its source scope.</t>
  </si>
  <si>
    <t>C:\Users\adnan\.codex\attachments\47115144-a9fa-42ff-8df7-f0b6ed2a3f35\Pasted text.txt / PORTUGAL (paste-relative rows)!KPI_3!B17</t>
  </si>
  <si>
    <t>Band total versus vintage count: calculated 996,867.00, reported 53,697.00. Source values retained.</t>
  </si>
  <si>
    <t>C:\Users\adnan\.codex\attachments\47115144-a9fa-42ff-8df7-f0b6ed2a3f35\Pasted text.txt / UK (paste-relative rows)!KPI_3!B24</t>
  </si>
  <si>
    <t>Identified stock 38,076,721.74; source distribution 33,591,674.99. Identified stock includes the applicable add-back; distribution preserves its source scope.</t>
  </si>
  <si>
    <t>RCS_Q32026.xlsx!KPI_3!B22</t>
  </si>
  <si>
    <t>Band total versus vintage count: calculated 23,748.00, reported 23,478.00. Source values retained.</t>
  </si>
  <si>
    <t>C:\Users\adnan\.codex\attachments\311c1c40-cf54-484c-9738-5f6f10dcba23\Pasted text.txt / GERMANY (paste-relative rows)!KPI_3!B25</t>
  </si>
  <si>
    <t>Identified stock 2,778,926.00; source distribution 2,749,252.00. Identified stock includes the applicable add-back; distribution preserves its source scope.</t>
  </si>
  <si>
    <t>COHORT_REVISION</t>
  </si>
  <si>
    <t>New-flow figures for 2026-04, 2026-05, 2026-06 differ from the Q2 snapshot. Each report retains its supplied snapshot; see Reconciliation.</t>
  </si>
  <si>
    <t>C:\Users\adnan\.codex\attachments\47115144-a9fa-42ff-8df7-f0b6ed2a3f35\Pasted text.txt / SPAIN (paste-relative rows)</t>
  </si>
  <si>
    <t>C:\Users\adnan\.codex\attachments\47115144-a9fa-42ff-8df7-f0b6ed2a3f35\Pasted text.txt / FRANCE (paste-relative rows)</t>
  </si>
  <si>
    <t>C:\Users\adnan\.codex\attachments\47115144-a9fa-42ff-8df7-f0b6ed2a3f35\Pasted text.txt / PORTUGAL (paste-relative rows)</t>
  </si>
  <si>
    <t>New-flow figures for 2026-05, 2026-06 differ from the Q2 snapshot. Each report retains its supplied snapshot; see Reconciliation.</t>
  </si>
  <si>
    <t>C:\Users\adnan\.codex\attachments\311c1c40-cf54-484c-9738-5f6f10dcba23\Pasted text.txt / AUSTRIA (paste-relative rows)</t>
  </si>
  <si>
    <t>C:\Users\adnan\.codex\attachments\311c1c40-cf54-484c-9738-5f6f10dcba23\Pasted text.txt / GERMANY (paste-relative rows)</t>
  </si>
  <si>
    <t>Traçabilité des fichiers importés</t>
  </si>
  <si>
    <t>Historical_Reporting_Store_Q2_Q3_2026_Partial (2).xlsx</t>
  </si>
  <si>
    <t>d017f999437176a977142ada944eb144b66517e8b505ffac4f80997a88da4114</t>
  </si>
  <si>
    <t>C:\Users\adnan\Desktop\Positive Balance\BRAZIL_Q2_2026.xlsb</t>
  </si>
  <si>
    <t>df9af92364054282af79276bc17c0664cf9871930dab04b5c4bc66d19bb38a91</t>
  </si>
  <si>
    <t>C:\Users\adnan\Desktop\Positive Balance\ROMANIA_Q2_2026.xlsx</t>
  </si>
  <si>
    <t>d0ee09023f00179826c954011872b74f9149a2a7ec4f72bdc141742721dbbd66</t>
  </si>
  <si>
    <t>C:\Users\adnan\Desktop\Positive Balance\NORDICS_Q2_2026.xlsx</t>
  </si>
  <si>
    <t>a1421e96e92ca2638e88c5beb74d6d01d084c796743287276f785c1e92d29636</t>
  </si>
  <si>
    <t>C:\Users\adnan\Desktop\Positive Balance\AUSTRIA_Q2_2026.xlsx</t>
  </si>
  <si>
    <t>a0ed5a6f53c5a306bcef61b2822c81b36884320017fbdd6063bce8001e5db379</t>
  </si>
  <si>
    <t>8a490bda1a5546efe64d1079eb6001a403129588a8eec66a4a0187649dcb8288</t>
  </si>
  <si>
    <t>C:\Users\adnan\Desktop\Positive Balance\taux_q32026.xlsx</t>
  </si>
  <si>
    <t>ce90aacfb542c56878db7ad15823be4b0b6e36defc8d530c2de5e44f2fcddec3</t>
  </si>
  <si>
    <t>C:\Users\adnan\Desktop\Positive Balance\RCS_Q32026.xlsx</t>
  </si>
  <si>
    <t>9df77560362fc99029b109c65f61e5abe446ef5d514f7efce0ac1c70435791af</t>
  </si>
  <si>
    <t>C:\Users\adnan\Desktop\Positive Balance\NORDICS_Q32026.xlsx</t>
  </si>
  <si>
    <t>229e50d1744ac2241aa1f12747150bf27fc6b4aca32c590a76b9bcc963eb521f</t>
  </si>
  <si>
    <t>C:\Users\adnan\Desktop\Positive Balance\BRAZIL_Q32026.xlsb</t>
  </si>
  <si>
    <t>dc03de2bad3d4ea3e37836952240e08cfef996374301e07ac04611e87529ec26</t>
  </si>
  <si>
    <t>C:\Users\adnan\.codex\attachments\47115144-a9fa-42ff-8df7-f0b6ed2a3f35\Pasted text.txt</t>
  </si>
  <si>
    <t>10d654a2c7cf4f92201ad2a6d1e169ab198e5dab143491a4fddd86f80f9da669</t>
  </si>
  <si>
    <t>29c37639b1a61a24db15ff9b667d08084c60d7c9d27cd5b7a480c51f59453984</t>
  </si>
  <si>
    <t>Utilisation du reporting</t>
  </si>
  <si>
    <t>Période</t>
  </si>
  <si>
    <t>Choisir un trimestre en Synthese!C4. Les périodes disponibles proviennent de l'historique enregistré.</t>
  </si>
  <si>
    <t>Périmètre</t>
  </si>
  <si>
    <t>Ce classeur consolide uniquement les entités configurées et fournies. Il ne représente pas tous les pays de l'ancienne synthèse.</t>
  </si>
  <si>
    <t>Trimestre suivant</t>
  </si>
  <si>
    <t>Déposer les fichiers pays et Taux.xlsx dans QX_20XX puis relancer le programme avec le même fichier d'historique.</t>
  </si>
  <si>
    <t>Nouvelle exécution</t>
  </si>
  <si>
    <t>Le trimestre est remplacé, sans doublon. Les autres trimestres conservent leurs valeurs source et leurs propres taux.</t>
  </si>
  <si>
    <t>Tableaux Excel</t>
  </si>
  <si>
    <t>Filtrer les tables par trimestre et pays. Leur taille est reconstruite à chaque exécution. Ce ne sont pas des tableaux croisés dynamiques.</t>
  </si>
  <si>
    <t>Stock à traiter</t>
  </si>
  <si>
    <t>KPI_2 : stock initial moins les catégories traitées applicables au pays. KPI_3 fournit la répartition de ce stock.</t>
  </si>
  <si>
    <t>Stock identifié</t>
  </si>
  <si>
    <t>Stock à traiter plus les clients injoignables pour le modèle standard. Pour Nordics, stock à traiter hors CST non transmis.</t>
  </si>
  <si>
    <t>CST Nordics</t>
  </si>
  <si>
    <t>Le compte CST reçu séparément par courriel n'est pas disponible ici. Le stock total avec CST reste n.d. Aucun montant n'est inventé.</t>
  </si>
  <si>
    <t>Flux</t>
  </si>
  <si>
    <t>Six cohortes mensuelles observées à la date du reporting. Une cohorte peut être réévaluée au trimestre suivant.</t>
  </si>
  <si>
    <t>Efficacité</t>
  </si>
  <si>
    <t>Le ratio pondéré est total traité / total entrant. La cohorte M-5 correspond à l'indicateur trimestriel repris dans l'ancienne synthèse.</t>
  </si>
  <si>
    <t>Taux de change</t>
  </si>
  <si>
    <t>Montants locaux divisés par le taux de clôture (devise locale pour 1 EUR), pour les stocks comme pour les flux.</t>
  </si>
  <si>
    <t>Données absentes</t>
  </si>
  <si>
    <t>n.d. signifie non disponible ou non applicable. Les zéros numériques sont conservés. Une absence nécessaire rend le résultat indisponible.</t>
  </si>
  <si>
    <t>Source des calculs</t>
  </si>
  <si>
    <t>Les données proviennent des fichiers pays. Les fichiers source restent inchangés. Les calculs du classeur n'ont aucun lien externe.</t>
  </si>
  <si>
    <t>Formules source</t>
  </si>
  <si>
    <t>Le programme lit les résultats enregistrés par Excel. Il refuse les formules sans résultat en cache, mais ne peut pas détecter un cache ancien.</t>
  </si>
  <si>
    <t>Corrections</t>
  </si>
  <si>
    <t>Corriger les sources ou la configuration puis relancer Python. Les changements faits directement dans la sortie sont écrasés au prochain run.</t>
  </si>
  <si>
    <t>Contrôles</t>
  </si>
  <si>
    <t>Consulter Controles. Les observations d'import sont un constat à la génération, pas un contrôle automatique des modifications manuelles du classeur.</t>
  </si>
  <si>
    <t>Historique antérieur</t>
  </si>
  <si>
    <t>Il commence avec les trimestres importés. Aucune migration des anciens onglets de synthèse n'a été effectuée.</t>
  </si>
  <si>
    <t>Exceptions différées</t>
  </si>
  <si>
    <t>Roumanie, Brésil, correction Germany, chiffres UK et saisie du CST Nordics nécessitent des règles métier spécifiques ultérieures.</t>
  </si>
  <si>
    <t>2026Q3 — PARTIAL COVERAGE</t>
  </si>
  <si>
    <t>The attached store is the only data source. Missing data remains n.d.; Q2 values are never substituted for Q3.</t>
  </si>
  <si>
    <t>Country</t>
  </si>
  <si>
    <t>Status</t>
  </si>
  <si>
    <t>Currency</t>
  </si>
  <si>
    <t>Identified stock local</t>
  </si>
  <si>
    <t>Identified stock EUR</t>
  </si>
  <si>
    <t>KPI3 amount local</t>
  </si>
  <si>
    <t>Condition</t>
  </si>
  <si>
    <t>Included</t>
  </si>
  <si>
    <t>; invalid source amount bands omitted</t>
  </si>
  <si>
    <t>Missing</t>
  </si>
  <si>
    <t>; stock-only history; unavailable detail not reconstructed</t>
  </si>
  <si>
    <t>Verified/current-basis EUR subtotal</t>
  </si>
  <si>
    <t>Subtotal country coverage</t>
  </si>
  <si>
    <t>Spain, Germany, Austria, Belgium, Italy, Portugal, France, UK, South Africa, Brazil, Denmark, Norway, Sweden</t>
  </si>
  <si>
    <t>Full-group totals are n.d. if a required currency conversion is missing. The EUR subtotal is not a full-group total.</t>
  </si>
  <si>
    <t>PARTIAL Q3 — 10 / 14 countries; foreign-currency EUR conversions unavailable</t>
  </si>
  <si>
    <t>2026Q3 — 13 / 14 countries</t>
  </si>
  <si>
    <t>Updated from supplied country files/pastes; previous-quarter data retained only for comparisons.</t>
  </si>
  <si>
    <t>Totals cover included countries only. Q3 is missing Germany, Austria and Romania.</t>
  </si>
  <si>
    <t>2026Q3 — 13 / 14 countries — Germany, Austria and Romania missing</t>
  </si>
  <si>
    <t>Brazil: source stock and monthly IN/OUT; no cohort treatment data.</t>
  </si>
  <si>
    <t>Source distribution local</t>
  </si>
  <si>
    <t>Romania Q3 is unavailable. All comparisons use Q3 FX for both Q2 and Q3; totals cover the same 13 countries.</t>
  </si>
  <si>
    <t>Country views display 0 in place of unavailable numeric details. Source data and control sheets retain missing-value flags.</t>
  </si>
  <si>
    <t>Belgium: pending stock + public authority refund (Q2 and Q3).</t>
  </si>
  <si>
    <t>2026Q3 — 13 / 14 countries — only Romania missing — comparison at Q3 FX</t>
  </si>
  <si>
    <t>Fixed-quarter report generated from the supplied historical reporting store. See Coverage and Controles.</t>
  </si>
  <si>
    <t>The database is not modified. Re-run render_supplied_store.py after updating the input store.</t>
  </si>
  <si>
    <t>KPI_3 scope differs between countries. Country distribution tables preserve the source scope.</t>
  </si>
  <si>
    <t>Updated country workbooks and pastes; earlier reporting store retained for historical comparisons. See Coverage and Controles.</t>
  </si>
  <si>
    <t>Report generated by analysis/complete_reports.py. Q3 uses TC closing rates from taux_q32026.xlsx column F.</t>
  </si>
  <si>
    <t>Period</t>
  </si>
  <si>
    <t>Source file</t>
  </si>
  <si>
    <t>Source sheet</t>
  </si>
  <si>
    <t>Cell / paste-relative cell</t>
  </si>
  <si>
    <t>Source value</t>
  </si>
  <si>
    <t>KPI_1</t>
  </si>
  <si>
    <t>A2</t>
  </si>
  <si>
    <t>CELL TO FILL  =&gt;</t>
  </si>
  <si>
    <t>B4</t>
  </si>
  <si>
    <t>F4</t>
  </si>
  <si>
    <t>Reporting period :</t>
  </si>
  <si>
    <t>G4</t>
  </si>
  <si>
    <t>30/06/2026</t>
  </si>
  <si>
    <t>A5</t>
  </si>
  <si>
    <t>Currency :</t>
  </si>
  <si>
    <t>B5</t>
  </si>
  <si>
    <t>A7</t>
  </si>
  <si>
    <t>Evolution of Stock in EUR</t>
  </si>
  <si>
    <t>D7</t>
  </si>
  <si>
    <t>(if K€ please advise)</t>
  </si>
  <si>
    <t>A9</t>
  </si>
  <si>
    <t>Vintage</t>
  </si>
  <si>
    <t>B9</t>
  </si>
  <si>
    <t>Total</t>
  </si>
  <si>
    <t>C9</t>
  </si>
  <si>
    <t>Jan.</t>
  </si>
  <si>
    <t>D9</t>
  </si>
  <si>
    <t>Feb.</t>
  </si>
  <si>
    <t>E9</t>
  </si>
  <si>
    <t>March</t>
  </si>
  <si>
    <t>F9</t>
  </si>
  <si>
    <t>April</t>
  </si>
  <si>
    <t>G9</t>
  </si>
  <si>
    <t>May</t>
  </si>
  <si>
    <t>H9</t>
  </si>
  <si>
    <t>June</t>
  </si>
  <si>
    <t>I9</t>
  </si>
  <si>
    <t>July</t>
  </si>
  <si>
    <t>J9</t>
  </si>
  <si>
    <t>August</t>
  </si>
  <si>
    <t>K9</t>
  </si>
  <si>
    <t>Sept.</t>
  </si>
  <si>
    <t>L9</t>
  </si>
  <si>
    <t>Oct</t>
  </si>
  <si>
    <t>M9</t>
  </si>
  <si>
    <t>Nov.</t>
  </si>
  <si>
    <t>N9</t>
  </si>
  <si>
    <t>Dec.</t>
  </si>
  <si>
    <t>A10</t>
  </si>
  <si>
    <t>B10</t>
  </si>
  <si>
    <t>A11</t>
  </si>
  <si>
    <t>B11</t>
  </si>
  <si>
    <t>A12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</si>
  <si>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</si>
  <si>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</si>
  <si>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</si>
  <si>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</si>
  <si>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</si>
  <si>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</si>
  <si>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</si>
  <si>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</si>
  <si>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</si>
  <si>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</si>
  <si>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</si>
  <si>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</si>
  <si>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</si>
  <si>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A13</t>
  </si>
  <si>
    <t>B13</t>
  </si>
  <si>
    <t>A15</t>
  </si>
  <si>
    <t>Evolution of Stock in number of contracts</t>
  </si>
  <si>
    <t>A17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</si>
  <si>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</si>
  <si>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</si>
  <si>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</si>
  <si>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</si>
  <si>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</si>
  <si>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</si>
  <si>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</si>
  <si>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</si>
  <si>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</si>
  <si>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Aug.</t>
  </si>
  <si>
    <t>K17</t>
  </si>
  <si>
    <t>L17</t>
  </si>
  <si>
    <t>M17</t>
  </si>
  <si>
    <t>N17</t>
  </si>
  <si>
    <t>A18</t>
  </si>
  <si>
    <t>B18</t>
  </si>
  <si>
    <t>A19</t>
  </si>
  <si>
    <t>B19</t>
  </si>
  <si>
    <t>A20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</si>
  <si>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</si>
  <si>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</si>
  <si>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</si>
  <si>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</si>
  <si>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</si>
  <si>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</si>
  <si>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</si>
  <si>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</si>
  <si>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</si>
  <si>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</si>
  <si>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</si>
  <si>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</si>
  <si>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</si>
  <si>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A21</t>
  </si>
  <si>
    <t>B21</t>
  </si>
  <si>
    <t>KPI_2</t>
  </si>
  <si>
    <t>=&gt; CELL TO FILL</t>
  </si>
  <si>
    <t>A4</t>
  </si>
  <si>
    <t>Country :</t>
  </si>
  <si>
    <t>1)   Efficiency on stock by vintage</t>
  </si>
  <si>
    <t>C7</t>
  </si>
  <si>
    <t>Global view</t>
  </si>
  <si>
    <t>Stock by vintage</t>
  </si>
  <si>
    <t>C10</t>
  </si>
  <si>
    <t>D10</t>
  </si>
  <si>
    <t>E10</t>
  </si>
  <si>
    <t>Total amount of Credit balances            (1)</t>
  </si>
  <si>
    <t>C11</t>
  </si>
  <si>
    <t>D11</t>
  </si>
  <si>
    <t>E11</t>
  </si>
  <si>
    <t>Contracts processed :    (2)</t>
  </si>
  <si>
    <t>With client refund:</t>
  </si>
  <si>
    <t>C13</t>
  </si>
  <si>
    <t>D13</t>
  </si>
  <si>
    <t>E13</t>
  </si>
  <si>
    <t>A14</t>
  </si>
  <si>
    <t>With public authorities refund:</t>
  </si>
  <si>
    <t>B14</t>
  </si>
  <si>
    <t>C14</t>
  </si>
  <si>
    <t>D14</t>
  </si>
  <si>
    <t>E14</t>
  </si>
  <si>
    <t>Without refund:</t>
  </si>
  <si>
    <t>B15</t>
  </si>
  <si>
    <t>C15</t>
  </si>
  <si>
    <t>D15</t>
  </si>
  <si>
    <t>E15</t>
  </si>
  <si>
    <t>A16</t>
  </si>
  <si>
    <t>Efficiency %</t>
  </si>
  <si>
    <t>B16</t>
  </si>
  <si>
    <t>100%</t>
  </si>
  <si>
    <t>C16</t>
  </si>
  <si>
    <t>D16</t>
  </si>
  <si>
    <t>E16</t>
  </si>
  <si>
    <t>83%</t>
  </si>
  <si>
    <t>Expected amount to be processed (3)=(1)-(2)</t>
  </si>
  <si>
    <t>% of stock to be processed</t>
  </si>
  <si>
    <t>0%</t>
  </si>
  <si>
    <t>C18</t>
  </si>
  <si>
    <t>D18</t>
  </si>
  <si>
    <t>E18</t>
  </si>
  <si>
    <t>17%</t>
  </si>
  <si>
    <t>Reminder Stock to be processed M-1</t>
  </si>
  <si>
    <t>% of Stock processed during the period:</t>
  </si>
  <si>
    <t>C21</t>
  </si>
  <si>
    <t>D21</t>
  </si>
  <si>
    <t>E21</t>
  </si>
  <si>
    <t>-1%</t>
  </si>
  <si>
    <t>A23</t>
  </si>
  <si>
    <t>2)   Efficiency on flows breakdown by month for rolling semester</t>
  </si>
  <si>
    <t>F23</t>
  </si>
  <si>
    <t>Excluding current period</t>
  </si>
  <si>
    <t>A25</t>
  </si>
  <si>
    <t>View by month</t>
  </si>
  <si>
    <t>B25</t>
  </si>
  <si>
    <t>Monthly new flow of positive balances on rolling semester basis</t>
  </si>
  <si>
    <t>B26</t>
  </si>
  <si>
    <t>C26</t>
  </si>
  <si>
    <t>juin-26</t>
  </si>
  <si>
    <t>D26</t>
  </si>
  <si>
    <t>mai-26</t>
  </si>
  <si>
    <t>E26</t>
  </si>
  <si>
    <t>avr-26</t>
  </si>
  <si>
    <t>F26</t>
  </si>
  <si>
    <t>mars-26</t>
  </si>
  <si>
    <t>G26</t>
  </si>
  <si>
    <t>févr-26</t>
  </si>
  <si>
    <t>H26</t>
  </si>
  <si>
    <t>janv-26</t>
  </si>
  <si>
    <t>A27</t>
  </si>
  <si>
    <t>Monthly flow in EUR</t>
  </si>
  <si>
    <t>B27</t>
  </si>
  <si>
    <t>C27</t>
  </si>
  <si>
    <t>D27</t>
  </si>
  <si>
    <t>E27</t>
  </si>
  <si>
    <t>F27</t>
  </si>
  <si>
    <t>G27</t>
  </si>
  <si>
    <t>H27</t>
  </si>
  <si>
    <t>A28</t>
  </si>
  <si>
    <t>Monthly flow in nbr</t>
  </si>
  <si>
    <t>B28</t>
  </si>
  <si>
    <t>C28</t>
  </si>
  <si>
    <t>D28</t>
  </si>
  <si>
    <t>E28</t>
  </si>
  <si>
    <t>F28</t>
  </si>
  <si>
    <t>G28</t>
  </si>
  <si>
    <t>H28</t>
  </si>
  <si>
    <t>A30</t>
  </si>
  <si>
    <t>Contracts processed in EUR :</t>
  </si>
  <si>
    <t>B30</t>
  </si>
  <si>
    <t>C30</t>
  </si>
  <si>
    <t>D30</t>
  </si>
  <si>
    <t>E30</t>
  </si>
  <si>
    <t>F30</t>
  </si>
  <si>
    <t>G30</t>
  </si>
  <si>
    <t>H30</t>
  </si>
  <si>
    <t>A31</t>
  </si>
  <si>
    <t>Contracts processed in nbr :</t>
  </si>
  <si>
    <t>C31</t>
  </si>
  <si>
    <t>D31</t>
  </si>
  <si>
    <t>E31</t>
  </si>
  <si>
    <t>F31</t>
  </si>
  <si>
    <t>G31</t>
  </si>
  <si>
    <t>H31</t>
  </si>
  <si>
    <t>A32</t>
  </si>
  <si>
    <t xml:space="preserve">       Breakdown contracts processed in EUR :</t>
  </si>
  <si>
    <t>A33</t>
  </si>
  <si>
    <t>B33</t>
  </si>
  <si>
    <t>C33</t>
  </si>
  <si>
    <t>D33</t>
  </si>
  <si>
    <t>E33</t>
  </si>
  <si>
    <t>F33</t>
  </si>
  <si>
    <t>G33</t>
  </si>
  <si>
    <t>H33</t>
  </si>
  <si>
    <t>A34</t>
  </si>
  <si>
    <t>B34</t>
  </si>
  <si>
    <t>C34</t>
  </si>
  <si>
    <t>D34</t>
  </si>
  <si>
    <t>E34</t>
  </si>
  <si>
    <t>F34</t>
  </si>
  <si>
    <t>G34</t>
  </si>
  <si>
    <t>H34</t>
  </si>
  <si>
    <t>A35</t>
  </si>
  <si>
    <t>B35</t>
  </si>
  <si>
    <t>C35</t>
  </si>
  <si>
    <t>D35</t>
  </si>
  <si>
    <t>E35</t>
  </si>
  <si>
    <t>F35</t>
  </si>
  <si>
    <t>G35</t>
  </si>
  <si>
    <t>H35</t>
  </si>
  <si>
    <t>A36</t>
  </si>
  <si>
    <t>Efficiency % in amount</t>
  </si>
  <si>
    <t>C36</t>
  </si>
  <si>
    <t>D36</t>
  </si>
  <si>
    <t>94%</t>
  </si>
  <si>
    <t>E36</t>
  </si>
  <si>
    <t>F36</t>
  </si>
  <si>
    <t>97%</t>
  </si>
  <si>
    <t>G36</t>
  </si>
  <si>
    <t>H36</t>
  </si>
  <si>
    <t>A37</t>
  </si>
  <si>
    <t>Efficiency % in nbr</t>
  </si>
  <si>
    <t>C37</t>
  </si>
  <si>
    <t>D37</t>
  </si>
  <si>
    <t>89%</t>
  </si>
  <si>
    <t>E37</t>
  </si>
  <si>
    <t>F37</t>
  </si>
  <si>
    <t>99%</t>
  </si>
  <si>
    <t>G37</t>
  </si>
  <si>
    <t>H37</t>
  </si>
  <si>
    <t>A38</t>
  </si>
  <si>
    <t>New expected credit balance 
to be processed in EUR</t>
  </si>
  <si>
    <t>B38</t>
  </si>
  <si>
    <t>C38</t>
  </si>
  <si>
    <t>D38</t>
  </si>
  <si>
    <t>E38</t>
  </si>
  <si>
    <t>F38</t>
  </si>
  <si>
    <t>G38</t>
  </si>
  <si>
    <t>H38</t>
  </si>
  <si>
    <t>A39</t>
  </si>
  <si>
    <t>in number of contract :</t>
  </si>
  <si>
    <t>B39</t>
  </si>
  <si>
    <t>C39</t>
  </si>
  <si>
    <t>D39</t>
  </si>
  <si>
    <t>E39</t>
  </si>
  <si>
    <t>F39</t>
  </si>
  <si>
    <t>G39</t>
  </si>
  <si>
    <t>H39</t>
  </si>
  <si>
    <t>A40</t>
  </si>
  <si>
    <t>B40</t>
  </si>
  <si>
    <t>C40</t>
  </si>
  <si>
    <t>D40</t>
  </si>
  <si>
    <t>6%</t>
  </si>
  <si>
    <t>E40</t>
  </si>
  <si>
    <t>F40</t>
  </si>
  <si>
    <t>3%</t>
  </si>
  <si>
    <t>G40</t>
  </si>
  <si>
    <t>H40</t>
  </si>
  <si>
    <t>KPI_3</t>
  </si>
  <si>
    <t>A1</t>
  </si>
  <si>
    <t>B1</t>
  </si>
  <si>
    <t>A3</t>
  </si>
  <si>
    <t>POSITIVE BALANCES</t>
  </si>
  <si>
    <t>C3</t>
  </si>
  <si>
    <t>C4</t>
  </si>
  <si>
    <t>Number of contracts</t>
  </si>
  <si>
    <t>D4</t>
  </si>
  <si>
    <t>Total Amount
€</t>
  </si>
  <si>
    <t>A6</t>
  </si>
  <si>
    <t>By step of amount</t>
  </si>
  <si>
    <t>B6</t>
  </si>
  <si>
    <t>C6</t>
  </si>
  <si>
    <t>D6</t>
  </si>
  <si>
    <t>B7</t>
  </si>
  <si>
    <t>B8</t>
  </si>
  <si>
    <t>C8</t>
  </si>
  <si>
    <t>D8</t>
  </si>
  <si>
    <t>Total :</t>
  </si>
  <si>
    <t>By date of Positive balance (1)</t>
  </si>
  <si>
    <t>&lt; 2018</t>
  </si>
  <si>
    <t xml:space="preserve"> -   </t>
  </si>
  <si>
    <t>C19</t>
  </si>
  <si>
    <t>D19</t>
  </si>
  <si>
    <t>B22</t>
  </si>
  <si>
    <t>C22</t>
  </si>
  <si>
    <t>D22</t>
  </si>
  <si>
    <t>B23</t>
  </si>
  <si>
    <t>C23</t>
  </si>
  <si>
    <t>D23</t>
  </si>
  <si>
    <t>B2</t>
  </si>
  <si>
    <t>BANCO CETELEM</t>
  </si>
  <si>
    <t>SPAIN</t>
  </si>
  <si>
    <t>Without refund (customer not reachable):</t>
  </si>
  <si>
    <t>False positive balance:</t>
  </si>
  <si>
    <t>93%</t>
  </si>
  <si>
    <t>1%</t>
  </si>
  <si>
    <t>7%</t>
  </si>
  <si>
    <t>-2%</t>
  </si>
  <si>
    <t>75%</t>
  </si>
  <si>
    <t>95%</t>
  </si>
  <si>
    <t>98%</t>
  </si>
  <si>
    <t>65%</t>
  </si>
  <si>
    <t>85%</t>
  </si>
  <si>
    <t>91%</t>
  </si>
  <si>
    <t>25%</t>
  </si>
  <si>
    <t>5%</t>
  </si>
  <si>
    <t>2%</t>
  </si>
  <si>
    <t>71%</t>
  </si>
  <si>
    <t>11%</t>
  </si>
  <si>
    <t>29%</t>
  </si>
  <si>
    <t>-16%</t>
  </si>
  <si>
    <t>50%</t>
  </si>
  <si>
    <t>81%</t>
  </si>
  <si>
    <t>90%</t>
  </si>
  <si>
    <t>30%</t>
  </si>
  <si>
    <t>19%</t>
  </si>
  <si>
    <t>10%</t>
  </si>
  <si>
    <t>B3</t>
  </si>
  <si>
    <t>F3</t>
  </si>
  <si>
    <t>G3</t>
  </si>
  <si>
    <t>A8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</si>
  <si>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</si>
  <si>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</si>
  <si>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</si>
  <si>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</si>
  <si>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</si>
  <si>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</si>
  <si>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</si>
  <si>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</si>
  <si>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</si>
  <si>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</si>
  <si>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</si>
  <si>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</si>
  <si>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</si>
  <si>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</si>
  <si>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</si>
  <si>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</si>
  <si>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</si>
  <si>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</si>
  <si>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</si>
  <si>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</si>
  <si>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</si>
  <si>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</si>
  <si>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</si>
  <si>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</si>
  <si>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</si>
  <si>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</si>
  <si>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</si>
  <si>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</si>
  <si>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</si>
  <si>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</si>
  <si>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</si>
  <si>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</si>
  <si>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</si>
  <si>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</si>
  <si>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</si>
  <si>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</si>
  <si>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</si>
  <si>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</si>
  <si>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60%</t>
  </si>
  <si>
    <t>40%</t>
  </si>
  <si>
    <t>-3%</t>
  </si>
  <si>
    <t>-30%</t>
  </si>
  <si>
    <t>27%</t>
  </si>
  <si>
    <t>61%</t>
  </si>
  <si>
    <t>64%</t>
  </si>
  <si>
    <t>77%</t>
  </si>
  <si>
    <t>74%</t>
  </si>
  <si>
    <t>32%</t>
  </si>
  <si>
    <t>37%</t>
  </si>
  <si>
    <t>39%</t>
  </si>
  <si>
    <t>57%</t>
  </si>
  <si>
    <t>54%</t>
  </si>
  <si>
    <t>73%</t>
  </si>
  <si>
    <t>36%</t>
  </si>
  <si>
    <t>23%</t>
  </si>
  <si>
    <t>26%</t>
  </si>
  <si>
    <t>B24</t>
  </si>
  <si>
    <t>C24</t>
  </si>
  <si>
    <t>D24</t>
  </si>
  <si>
    <t>ITALY</t>
  </si>
  <si>
    <t>&lt; 2025</t>
  </si>
  <si>
    <t>Without refund (customer not reachable) :</t>
  </si>
  <si>
    <t>False positive balance :</t>
  </si>
  <si>
    <t>8%</t>
  </si>
  <si>
    <t>F22</t>
  </si>
  <si>
    <t xml:space="preserve">            excluding current period</t>
  </si>
  <si>
    <t>53%</t>
  </si>
  <si>
    <t>49%</t>
  </si>
  <si>
    <t>47%</t>
  </si>
  <si>
    <t>POSITIVE BALANCES
(total)</t>
  </si>
  <si>
    <t>PORTUGAL</t>
  </si>
  <si>
    <t>96%</t>
  </si>
  <si>
    <t>13%</t>
  </si>
  <si>
    <t>4%</t>
  </si>
  <si>
    <t>Período</t>
  </si>
  <si>
    <t>Nº</t>
  </si>
  <si>
    <t>Montante</t>
  </si>
  <si>
    <t>% Nº</t>
  </si>
  <si>
    <t>F18</t>
  </si>
  <si>
    <t>% Montante</t>
  </si>
  <si>
    <t>1,04%</t>
  </si>
  <si>
    <t>1,65%</t>
  </si>
  <si>
    <t>janv-25</t>
  </si>
  <si>
    <t>0,46%</t>
  </si>
  <si>
    <t>0,91%</t>
  </si>
  <si>
    <t>févr-25</t>
  </si>
  <si>
    <t>0,50%</t>
  </si>
  <si>
    <t>F21</t>
  </si>
  <si>
    <t>0,61%</t>
  </si>
  <si>
    <t>mars-25</t>
  </si>
  <si>
    <t>E22</t>
  </si>
  <si>
    <t>0,44%</t>
  </si>
  <si>
    <t>avr-25</t>
  </si>
  <si>
    <t>E23</t>
  </si>
  <si>
    <t>0,58%</t>
  </si>
  <si>
    <t>mai-25</t>
  </si>
  <si>
    <t>E24</t>
  </si>
  <si>
    <t>1,12%</t>
  </si>
  <si>
    <t>F24</t>
  </si>
  <si>
    <t>0,82%</t>
  </si>
  <si>
    <t>juin-25</t>
  </si>
  <si>
    <t>C25</t>
  </si>
  <si>
    <t>D25</t>
  </si>
  <si>
    <t>E25</t>
  </si>
  <si>
    <t>0,63%</t>
  </si>
  <si>
    <t>F25</t>
  </si>
  <si>
    <t>0,79%</t>
  </si>
  <si>
    <t>juil-25</t>
  </si>
  <si>
    <t>1,83%</t>
  </si>
  <si>
    <t>1,97%</t>
  </si>
  <si>
    <t>août-25</t>
  </si>
  <si>
    <t>1,46%</t>
  </si>
  <si>
    <t>2,47%</t>
  </si>
  <si>
    <t>sept-25</t>
  </si>
  <si>
    <t>1,58%</t>
  </si>
  <si>
    <t>1,13%</t>
  </si>
  <si>
    <t>B29</t>
  </si>
  <si>
    <t>oct-25</t>
  </si>
  <si>
    <t>C29</t>
  </si>
  <si>
    <t>D29</t>
  </si>
  <si>
    <t>E29</t>
  </si>
  <si>
    <t>1,63%</t>
  </si>
  <si>
    <t>F29</t>
  </si>
  <si>
    <t>1,35%</t>
  </si>
  <si>
    <t>nov-25</t>
  </si>
  <si>
    <t>1,94%</t>
  </si>
  <si>
    <t>2,64%</t>
  </si>
  <si>
    <t>B31</t>
  </si>
  <si>
    <t>déc-25</t>
  </si>
  <si>
    <t>2,95%</t>
  </si>
  <si>
    <t>2,42%</t>
  </si>
  <si>
    <t>B32</t>
  </si>
  <si>
    <t>C32</t>
  </si>
  <si>
    <t>D32</t>
  </si>
  <si>
    <t>E32</t>
  </si>
  <si>
    <t>9,87%</t>
  </si>
  <si>
    <t>F32</t>
  </si>
  <si>
    <t>6,20%</t>
  </si>
  <si>
    <t>9,75%</t>
  </si>
  <si>
    <t>5,59%</t>
  </si>
  <si>
    <t>11,27%</t>
  </si>
  <si>
    <t>7,29%</t>
  </si>
  <si>
    <t>10,48%</t>
  </si>
  <si>
    <t>12,78%</t>
  </si>
  <si>
    <t>B36</t>
  </si>
  <si>
    <t>13,65%</t>
  </si>
  <si>
    <t>12,77%</t>
  </si>
  <si>
    <t>B37</t>
  </si>
  <si>
    <t>28,83%</t>
  </si>
  <si>
    <t>37,56%</t>
  </si>
  <si>
    <t>100,00%</t>
  </si>
  <si>
    <t>Controlo</t>
  </si>
  <si>
    <t>G41</t>
  </si>
  <si>
    <t>&lt; 6 meses</t>
  </si>
  <si>
    <t>G42</t>
  </si>
  <si>
    <t>84%</t>
  </si>
  <si>
    <t>G43</t>
  </si>
  <si>
    <t>Objetivo 80%</t>
  </si>
  <si>
    <t>janv-00</t>
  </si>
  <si>
    <t>92%</t>
  </si>
  <si>
    <t>63%</t>
  </si>
  <si>
    <t>-34%</t>
  </si>
  <si>
    <t>14%</t>
  </si>
  <si>
    <t>44%</t>
  </si>
  <si>
    <t>66%</t>
  </si>
  <si>
    <t>67%</t>
  </si>
  <si>
    <t>72%</t>
  </si>
  <si>
    <t>56%</t>
  </si>
  <si>
    <t>59%</t>
  </si>
  <si>
    <t>86%</t>
  </si>
  <si>
    <t>34%</t>
  </si>
  <si>
    <t>33%</t>
  </si>
  <si>
    <t>28%</t>
  </si>
  <si>
    <t>F5</t>
  </si>
  <si>
    <t>G5</t>
  </si>
  <si>
    <t>30/09/2026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</si>
  <si>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</si>
  <si>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</si>
  <si>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</si>
  <si>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</si>
  <si>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</si>
  <si>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</si>
  <si>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</si>
  <si>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</si>
  <si>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</si>
  <si>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</si>
  <si>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</si>
  <si>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</si>
  <si>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</si>
  <si>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</si>
  <si>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</si>
  <si>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</si>
  <si>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</si>
  <si>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</si>
  <si>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G18</t>
  </si>
  <si>
    <t>H18</t>
  </si>
  <si>
    <t>I18</t>
  </si>
  <si>
    <t>J18</t>
  </si>
  <si>
    <t>K18</t>
  </si>
  <si>
    <t>L18</t>
  </si>
  <si>
    <t>M18</t>
  </si>
  <si>
    <t>N18</t>
  </si>
  <si>
    <t>G21</t>
  </si>
  <si>
    <t>H21</t>
  </si>
  <si>
    <t>I21</t>
  </si>
  <si>
    <t>J21</t>
  </si>
  <si>
    <t>K21</t>
  </si>
  <si>
    <t>L21</t>
  </si>
  <si>
    <t>M21</t>
  </si>
  <si>
    <t>N21</t>
  </si>
  <si>
    <t>A22</t>
  </si>
  <si>
    <t>88%</t>
  </si>
  <si>
    <t>12%</t>
  </si>
  <si>
    <t>-6%</t>
  </si>
  <si>
    <t>sept-26</t>
  </si>
  <si>
    <t>août-26</t>
  </si>
  <si>
    <t>juil-26</t>
  </si>
  <si>
    <t>9%</t>
  </si>
  <si>
    <t>A24</t>
  </si>
  <si>
    <t>A26</t>
  </si>
  <si>
    <t>A29</t>
  </si>
  <si>
    <t>G29</t>
  </si>
  <si>
    <t>H29</t>
  </si>
  <si>
    <t>G32</t>
  </si>
  <si>
    <t>H32</t>
  </si>
  <si>
    <t>A41</t>
  </si>
  <si>
    <t>B41</t>
  </si>
  <si>
    <t>C41</t>
  </si>
  <si>
    <t>D41</t>
  </si>
  <si>
    <t>E41</t>
  </si>
  <si>
    <t>F41</t>
  </si>
  <si>
    <t>H41</t>
  </si>
  <si>
    <t>79%</t>
  </si>
  <si>
    <t>80%</t>
  </si>
  <si>
    <t>21%</t>
  </si>
  <si>
    <t>20%</t>
  </si>
  <si>
    <t>-60%</t>
  </si>
  <si>
    <t>-10%</t>
  </si>
  <si>
    <t>51%</t>
  </si>
  <si>
    <t>87%</t>
  </si>
  <si>
    <t>C5</t>
  </si>
  <si>
    <t>D5</t>
  </si>
  <si>
    <t>V16</t>
  </si>
  <si>
    <t>REMINDER STOCK2026</t>
  </si>
  <si>
    <t>V17</t>
  </si>
  <si>
    <t>V19</t>
  </si>
  <si>
    <t>L22</t>
  </si>
  <si>
    <t>DATA</t>
  </si>
  <si>
    <t>M22</t>
  </si>
  <si>
    <t>31/01/2026</t>
  </si>
  <si>
    <t>N22</t>
  </si>
  <si>
    <t>28/02/2026</t>
  </si>
  <si>
    <t>O22</t>
  </si>
  <si>
    <t>31/03/2026</t>
  </si>
  <si>
    <t>P22</t>
  </si>
  <si>
    <t>30/04/2026</t>
  </si>
  <si>
    <t>Q22</t>
  </si>
  <si>
    <t>31/05/2026</t>
  </si>
  <si>
    <t>R22</t>
  </si>
  <si>
    <t>S22</t>
  </si>
  <si>
    <t>31/07/2026</t>
  </si>
  <si>
    <t>T22</t>
  </si>
  <si>
    <t>31/08/2026</t>
  </si>
  <si>
    <t>U22</t>
  </si>
  <si>
    <t>V22</t>
  </si>
  <si>
    <t>TOTALE 2026</t>
  </si>
  <si>
    <t>L23</t>
  </si>
  <si>
    <t>INGRESSI €</t>
  </si>
  <si>
    <t>M23</t>
  </si>
  <si>
    <t>N23</t>
  </si>
  <si>
    <t>O23</t>
  </si>
  <si>
    <t>P23</t>
  </si>
  <si>
    <t>Q23</t>
  </si>
  <si>
    <t>R23</t>
  </si>
  <si>
    <t>S23</t>
  </si>
  <si>
    <t>T23</t>
  </si>
  <si>
    <t>U23</t>
  </si>
  <si>
    <t>V23</t>
  </si>
  <si>
    <t>L25</t>
  </si>
  <si>
    <t>INGRESSI NR</t>
  </si>
  <si>
    <t>M25</t>
  </si>
  <si>
    <t>N25</t>
  </si>
  <si>
    <t>O25</t>
  </si>
  <si>
    <t>P25</t>
  </si>
  <si>
    <t>Q25</t>
  </si>
  <si>
    <t>R25</t>
  </si>
  <si>
    <t>S25</t>
  </si>
  <si>
    <t>T25</t>
  </si>
  <si>
    <t>U25</t>
  </si>
  <si>
    <t>V25</t>
  </si>
  <si>
    <t>L27</t>
  </si>
  <si>
    <t>STOCK RESIDUO €</t>
  </si>
  <si>
    <t>M27</t>
  </si>
  <si>
    <t>N27</t>
  </si>
  <si>
    <t>O27</t>
  </si>
  <si>
    <t>P27</t>
  </si>
  <si>
    <t>Q27</t>
  </si>
  <si>
    <t>R27</t>
  </si>
  <si>
    <t>S27</t>
  </si>
  <si>
    <t>T27</t>
  </si>
  <si>
    <t>U27</t>
  </si>
  <si>
    <t>V27</t>
  </si>
  <si>
    <t>L29</t>
  </si>
  <si>
    <t>STOCK RESIDUO NR</t>
  </si>
  <si>
    <t>M29</t>
  </si>
  <si>
    <t>N29</t>
  </si>
  <si>
    <t>O29</t>
  </si>
  <si>
    <t>P29</t>
  </si>
  <si>
    <t>Q29</t>
  </si>
  <si>
    <t>R29</t>
  </si>
  <si>
    <t>S29</t>
  </si>
  <si>
    <t>T29</t>
  </si>
  <si>
    <t>U29</t>
  </si>
  <si>
    <t>V29</t>
  </si>
  <si>
    <t>L31</t>
  </si>
  <si>
    <t>GIA' RIMBORSATI €</t>
  </si>
  <si>
    <t>M31</t>
  </si>
  <si>
    <t>N31</t>
  </si>
  <si>
    <t>O31</t>
  </si>
  <si>
    <t>P31</t>
  </si>
  <si>
    <t>Q31</t>
  </si>
  <si>
    <t>R31</t>
  </si>
  <si>
    <t>S31</t>
  </si>
  <si>
    <t>T31</t>
  </si>
  <si>
    <t>U31</t>
  </si>
  <si>
    <t>V31</t>
  </si>
  <si>
    <t>L33</t>
  </si>
  <si>
    <t>GIA' RIMBORSATI NR</t>
  </si>
  <si>
    <t>M33</t>
  </si>
  <si>
    <t>N33</t>
  </si>
  <si>
    <t>O33</t>
  </si>
  <si>
    <t>P33</t>
  </si>
  <si>
    <t>Q33</t>
  </si>
  <si>
    <t>R33</t>
  </si>
  <si>
    <t>S33</t>
  </si>
  <si>
    <t>T33</t>
  </si>
  <si>
    <t>U33</t>
  </si>
  <si>
    <t>V33</t>
  </si>
  <si>
    <t>L35</t>
  </si>
  <si>
    <t>LAVORAZIONE CONCLUSA €</t>
  </si>
  <si>
    <t>M35</t>
  </si>
  <si>
    <t>N35</t>
  </si>
  <si>
    <t>O35</t>
  </si>
  <si>
    <t>P35</t>
  </si>
  <si>
    <t>Q35</t>
  </si>
  <si>
    <t>R35</t>
  </si>
  <si>
    <t>S35</t>
  </si>
  <si>
    <t>T35</t>
  </si>
  <si>
    <t>U35</t>
  </si>
  <si>
    <t>V35</t>
  </si>
  <si>
    <t>41%</t>
  </si>
  <si>
    <t>L37</t>
  </si>
  <si>
    <t>LAVORAZIONE CONCLUSA NR</t>
  </si>
  <si>
    <t>M37</t>
  </si>
  <si>
    <t>N37</t>
  </si>
  <si>
    <t>O37</t>
  </si>
  <si>
    <t>P37</t>
  </si>
  <si>
    <t>Q37</t>
  </si>
  <si>
    <t>R37</t>
  </si>
  <si>
    <t>S37</t>
  </si>
  <si>
    <t>T37</t>
  </si>
  <si>
    <t>U37</t>
  </si>
  <si>
    <t>V37</t>
  </si>
  <si>
    <t>16%</t>
  </si>
  <si>
    <t>0,89%</t>
  </si>
  <si>
    <t>1,26%</t>
  </si>
  <si>
    <t>0,31%</t>
  </si>
  <si>
    <t>0,39%</t>
  </si>
  <si>
    <t>0,35%</t>
  </si>
  <si>
    <t>0,42%</t>
  </si>
  <si>
    <t>0,29%</t>
  </si>
  <si>
    <t>0,28%</t>
  </si>
  <si>
    <t>0,54%</t>
  </si>
  <si>
    <t>0,40%</t>
  </si>
  <si>
    <t>0,98%</t>
  </si>
  <si>
    <t>0,55%</t>
  </si>
  <si>
    <t>0,70%</t>
  </si>
  <si>
    <t>0,67%</t>
  </si>
  <si>
    <t>0,78%</t>
  </si>
  <si>
    <t>0,83%</t>
  </si>
  <si>
    <t>1,43%</t>
  </si>
  <si>
    <t>0,87%</t>
  </si>
  <si>
    <t>1,36%</t>
  </si>
  <si>
    <t>1,48%</t>
  </si>
  <si>
    <t>2,20%</t>
  </si>
  <si>
    <t>2,97%</t>
  </si>
  <si>
    <t>3,49%</t>
  </si>
  <si>
    <t>3,57%</t>
  </si>
  <si>
    <t>3,84%</t>
  </si>
  <si>
    <t>8,63%</t>
  </si>
  <si>
    <t>7,93%</t>
  </si>
  <si>
    <t>11,03%</t>
  </si>
  <si>
    <t>6,16%</t>
  </si>
  <si>
    <t>10,42%</t>
  </si>
  <si>
    <t>5,67%</t>
  </si>
  <si>
    <t>15,52%</t>
  </si>
  <si>
    <t>9,55%</t>
  </si>
  <si>
    <t>11,52%</t>
  </si>
  <si>
    <t>11,26%</t>
  </si>
  <si>
    <t>27,61%</t>
  </si>
  <si>
    <t>40,12%</t>
  </si>
  <si>
    <t>B42</t>
  </si>
  <si>
    <t>C42</t>
  </si>
  <si>
    <t>D42</t>
  </si>
  <si>
    <t>E42</t>
  </si>
  <si>
    <t>F42</t>
  </si>
  <si>
    <t>B43</t>
  </si>
  <si>
    <t>C43</t>
  </si>
  <si>
    <t>D43</t>
  </si>
  <si>
    <t>G45</t>
  </si>
  <si>
    <t>G46</t>
  </si>
  <si>
    <t>G47</t>
  </si>
  <si>
    <t>SV</t>
  </si>
  <si>
    <t>TM</t>
  </si>
  <si>
    <t>G14</t>
  </si>
  <si>
    <t>82%</t>
  </si>
  <si>
    <t>18%</t>
  </si>
  <si>
    <t>-27%</t>
  </si>
  <si>
    <t>46%</t>
  </si>
  <si>
    <t>45%</t>
  </si>
  <si>
    <t>58%</t>
  </si>
  <si>
    <t>70%</t>
  </si>
  <si>
    <t>J5</t>
  </si>
  <si>
    <t>Row Labels</t>
  </si>
  <si>
    <t>K5</t>
  </si>
  <si>
    <t>Count of Contract number</t>
  </si>
  <si>
    <t>L5</t>
  </si>
  <si>
    <t>Sum of Amount</t>
  </si>
  <si>
    <t>N5</t>
  </si>
  <si>
    <t>O5</t>
  </si>
  <si>
    <t>P5</t>
  </si>
  <si>
    <t>J6</t>
  </si>
  <si>
    <t>K6</t>
  </si>
  <si>
    <t>L6</t>
  </si>
  <si>
    <t>N6</t>
  </si>
  <si>
    <t>&gt;1000€</t>
  </si>
  <si>
    <t>O6</t>
  </si>
  <si>
    <t>P6</t>
  </si>
  <si>
    <t>J7</t>
  </si>
  <si>
    <t>K7</t>
  </si>
  <si>
    <t>L7</t>
  </si>
  <si>
    <t>N7</t>
  </si>
  <si>
    <t>O7</t>
  </si>
  <si>
    <t>P7</t>
  </si>
  <si>
    <t>O8</t>
  </si>
  <si>
    <t>P8</t>
  </si>
  <si>
    <t>O9</t>
  </si>
  <si>
    <t>P9</t>
  </si>
  <si>
    <t>100-1000€</t>
  </si>
  <si>
    <t>O10</t>
  </si>
  <si>
    <t>P10</t>
  </si>
  <si>
    <t>Grand Total</t>
  </si>
  <si>
    <t>O11</t>
  </si>
  <si>
    <t>P11</t>
  </si>
  <si>
    <t>J14</t>
  </si>
  <si>
    <t>K14</t>
  </si>
  <si>
    <t>L14</t>
  </si>
  <si>
    <t>J15</t>
  </si>
  <si>
    <t>K15</t>
  </si>
  <si>
    <t>L15</t>
  </si>
  <si>
    <t>J22</t>
  </si>
  <si>
    <t>K22</t>
  </si>
  <si>
    <t>J23</t>
  </si>
  <si>
    <t>K23</t>
  </si>
  <si>
    <t>J24</t>
  </si>
  <si>
    <t>K24</t>
  </si>
  <si>
    <t>L24</t>
  </si>
  <si>
    <t>J25</t>
  </si>
  <si>
    <t>K25</t>
  </si>
  <si>
    <t>J26</t>
  </si>
  <si>
    <t>K26</t>
  </si>
  <si>
    <t>L26</t>
  </si>
  <si>
    <t>J27</t>
  </si>
  <si>
    <t>K27</t>
  </si>
  <si>
    <t>J28</t>
  </si>
  <si>
    <t>K28</t>
  </si>
  <si>
    <t>L28</t>
  </si>
  <si>
    <t>J29</t>
  </si>
  <si>
    <t>K29</t>
  </si>
  <si>
    <t>J30</t>
  </si>
  <si>
    <t>K30</t>
  </si>
  <si>
    <t>L30</t>
  </si>
  <si>
    <t>J31</t>
  </si>
  <si>
    <t>K31</t>
  </si>
  <si>
    <t>J32</t>
  </si>
  <si>
    <t>K32</t>
  </si>
  <si>
    <t>L32</t>
  </si>
  <si>
    <t>J33</t>
  </si>
  <si>
    <t>K33</t>
  </si>
  <si>
    <t>J34</t>
  </si>
  <si>
    <t>K34</t>
  </si>
  <si>
    <t>L34</t>
  </si>
  <si>
    <t>J35</t>
  </si>
  <si>
    <t>K35</t>
  </si>
  <si>
    <t>J36</t>
  </si>
  <si>
    <t>K36</t>
  </si>
  <si>
    <t>L36</t>
  </si>
  <si>
    <t>J37</t>
  </si>
  <si>
    <t>K37</t>
  </si>
  <si>
    <t>AUSTRIA_Q2_2026.xlsx</t>
  </si>
  <si>
    <t>2026-06-30 00:00:00</t>
  </si>
  <si>
    <t>2026-05-30 00:00:00</t>
  </si>
  <si>
    <t>2026-04-30 00:00:00</t>
  </si>
  <si>
    <t>2026-03-30 00:00:00</t>
  </si>
  <si>
    <t>2026-02-28 00:00:00</t>
  </si>
  <si>
    <t>2026-01-28 00:00:00</t>
  </si>
  <si>
    <t xml:space="preserve"> -</t>
  </si>
  <si>
    <t>NORDICS_Q2_2026.xlsx</t>
  </si>
  <si>
    <t>DEN_KPI_1</t>
  </si>
  <si>
    <t>Evolution of Stock in local currency</t>
  </si>
  <si>
    <t>G22</t>
  </si>
  <si>
    <t>H22</t>
  </si>
  <si>
    <t>I22</t>
  </si>
  <si>
    <t>I28</t>
  </si>
  <si>
    <t>M28</t>
  </si>
  <si>
    <t>N28</t>
  </si>
  <si>
    <t>I31</t>
  </si>
  <si>
    <t>I32</t>
  </si>
  <si>
    <t>M32</t>
  </si>
  <si>
    <t>N32</t>
  </si>
  <si>
    <t>DEN_KPI_2</t>
  </si>
  <si>
    <t>F14</t>
  </si>
  <si>
    <t>F15</t>
  </si>
  <si>
    <t>With CSR:</t>
  </si>
  <si>
    <t>With reversed payment:</t>
  </si>
  <si>
    <t>With Interests:</t>
  </si>
  <si>
    <t>With Fees:</t>
  </si>
  <si>
    <t>With Recoveries:</t>
  </si>
  <si>
    <t>With Internal transfer:</t>
  </si>
  <si>
    <t>With Insurance premium:</t>
  </si>
  <si>
    <t>With Correction:</t>
  </si>
  <si>
    <t>Monthly flow in local currency</t>
  </si>
  <si>
    <t>Contracts processed in local currency :</t>
  </si>
  <si>
    <t xml:space="preserve">       Breakdown contracts processed in local currency :</t>
  </si>
  <si>
    <t>A42</t>
  </si>
  <si>
    <t>H42</t>
  </si>
  <si>
    <t>A43</t>
  </si>
  <si>
    <t>E43</t>
  </si>
  <si>
    <t>F43</t>
  </si>
  <si>
    <t>H43</t>
  </si>
  <si>
    <t>A44</t>
  </si>
  <si>
    <t>B44</t>
  </si>
  <si>
    <t>C44</t>
  </si>
  <si>
    <t>D44</t>
  </si>
  <si>
    <t>E44</t>
  </si>
  <si>
    <t>F44</t>
  </si>
  <si>
    <t>G44</t>
  </si>
  <si>
    <t>H44</t>
  </si>
  <si>
    <t>A45</t>
  </si>
  <si>
    <t>B45</t>
  </si>
  <si>
    <t>C45</t>
  </si>
  <si>
    <t>D45</t>
  </si>
  <si>
    <t>E45</t>
  </si>
  <si>
    <t>F45</t>
  </si>
  <si>
    <t>H45</t>
  </si>
  <si>
    <t>A46</t>
  </si>
  <si>
    <t>B46</t>
  </si>
  <si>
    <t>C46</t>
  </si>
  <si>
    <t>D46</t>
  </si>
  <si>
    <t>E46</t>
  </si>
  <si>
    <t>F46</t>
  </si>
  <si>
    <t>H46</t>
  </si>
  <si>
    <t>A47</t>
  </si>
  <si>
    <t>B47</t>
  </si>
  <si>
    <t>C47</t>
  </si>
  <si>
    <t>D47</t>
  </si>
  <si>
    <t>E47</t>
  </si>
  <si>
    <t>F47</t>
  </si>
  <si>
    <t>H47</t>
  </si>
  <si>
    <t>A48</t>
  </si>
  <si>
    <t>B48</t>
  </si>
  <si>
    <t>C48</t>
  </si>
  <si>
    <t>D48</t>
  </si>
  <si>
    <t>E48</t>
  </si>
  <si>
    <t>F48</t>
  </si>
  <si>
    <t>G48</t>
  </si>
  <si>
    <t>H48</t>
  </si>
  <si>
    <t>A49</t>
  </si>
  <si>
    <t>B49</t>
  </si>
  <si>
    <t>C49</t>
  </si>
  <si>
    <t>D49</t>
  </si>
  <si>
    <t>E49</t>
  </si>
  <si>
    <t>F49</t>
  </si>
  <si>
    <t>G49</t>
  </si>
  <si>
    <t>H49</t>
  </si>
  <si>
    <t>A50</t>
  </si>
  <si>
    <t>B50</t>
  </si>
  <si>
    <t>C50</t>
  </si>
  <si>
    <t>D50</t>
  </si>
  <si>
    <t>E50</t>
  </si>
  <si>
    <t>F50</t>
  </si>
  <si>
    <t>G50</t>
  </si>
  <si>
    <t>H50</t>
  </si>
  <si>
    <t>A51</t>
  </si>
  <si>
    <t>B51</t>
  </si>
  <si>
    <t>C51</t>
  </si>
  <si>
    <t>D51</t>
  </si>
  <si>
    <t>E51</t>
  </si>
  <si>
    <t>F51</t>
  </si>
  <si>
    <t>G51</t>
  </si>
  <si>
    <t>H51</t>
  </si>
  <si>
    <t>A52</t>
  </si>
  <si>
    <t>C52</t>
  </si>
  <si>
    <t>D52</t>
  </si>
  <si>
    <t>E52</t>
  </si>
  <si>
    <t>F52</t>
  </si>
  <si>
    <t>G52</t>
  </si>
  <si>
    <t>H52</t>
  </si>
  <si>
    <t>A53</t>
  </si>
  <si>
    <t>C53</t>
  </si>
  <si>
    <t>D53</t>
  </si>
  <si>
    <t>E53</t>
  </si>
  <si>
    <t>F53</t>
  </si>
  <si>
    <t>G53</t>
  </si>
  <si>
    <t>H53</t>
  </si>
  <si>
    <t>A54</t>
  </si>
  <si>
    <t>New expected credit balance 
to be processed in local currency</t>
  </si>
  <si>
    <t>B54</t>
  </si>
  <si>
    <t>C54</t>
  </si>
  <si>
    <t>D54</t>
  </si>
  <si>
    <t>E54</t>
  </si>
  <si>
    <t>F54</t>
  </si>
  <si>
    <t>G54</t>
  </si>
  <si>
    <t>H54</t>
  </si>
  <si>
    <t>A55</t>
  </si>
  <si>
    <t>B55</t>
  </si>
  <si>
    <t>C55</t>
  </si>
  <si>
    <t>D55</t>
  </si>
  <si>
    <t>E55</t>
  </si>
  <si>
    <t>F55</t>
  </si>
  <si>
    <t>G55</t>
  </si>
  <si>
    <t>H55</t>
  </si>
  <si>
    <t>A56</t>
  </si>
  <si>
    <t>B56</t>
  </si>
  <si>
    <t>C56</t>
  </si>
  <si>
    <t>D56</t>
  </si>
  <si>
    <t>E56</t>
  </si>
  <si>
    <t>F56</t>
  </si>
  <si>
    <t>G56</t>
  </si>
  <si>
    <t>H56</t>
  </si>
  <si>
    <t>DEN_KPI_3</t>
  </si>
  <si>
    <t>F2</t>
  </si>
  <si>
    <t>Note:</t>
  </si>
  <si>
    <t>G2</t>
  </si>
  <si>
    <t>Shows how much has not been treated yet, on country level and in local currency</t>
  </si>
  <si>
    <t>Total Amount
Kr</t>
  </si>
  <si>
    <t>NOR_KPI_1</t>
  </si>
  <si>
    <t>NOR_KPI_2</t>
  </si>
  <si>
    <t>NOR_KPI_3</t>
  </si>
  <si>
    <t>SWE_KPI_1</t>
  </si>
  <si>
    <t>SWE_KPI_2</t>
  </si>
  <si>
    <t>SWE_KPI_3</t>
  </si>
  <si>
    <t>NORDICS_Q32026.xlsx</t>
  </si>
  <si>
    <t>2026-09-30 00:00:00</t>
  </si>
  <si>
    <t>2026-08-30 00:00:00</t>
  </si>
  <si>
    <t>2026-07-30 00:00:00</t>
  </si>
  <si>
    <t>Refunds</t>
  </si>
  <si>
    <t>Credit balances written off - no movement since 2020 and unable to contact customer. Used for CSR per policy</t>
  </si>
  <si>
    <t>Balances between R0 and R10 that will not be refunded as client could spend again</t>
  </si>
  <si>
    <t>&lt; 2019</t>
  </si>
  <si>
    <t>This is our remaining balance as at 30 September</t>
  </si>
  <si>
    <t>Quantitative follow up</t>
  </si>
  <si>
    <t>ROMANIA</t>
  </si>
  <si>
    <t>E3</t>
  </si>
  <si>
    <t>2025-12-31 00:00:00</t>
  </si>
  <si>
    <t>E4</t>
  </si>
  <si>
    <t>By Products</t>
  </si>
  <si>
    <t>Fixed term contracts</t>
  </si>
  <si>
    <t>E6</t>
  </si>
  <si>
    <t>F6</t>
  </si>
  <si>
    <t>Revolving credits</t>
  </si>
  <si>
    <t>E7</t>
  </si>
  <si>
    <t>F7</t>
  </si>
  <si>
    <t>Real Estate credits</t>
  </si>
  <si>
    <t>Leasing</t>
  </si>
  <si>
    <t>remaining from Y-1</t>
  </si>
  <si>
    <t>by number</t>
  </si>
  <si>
    <t>by amount</t>
  </si>
  <si>
    <t>(1) Date when the global balance of the contract became &gt; 0</t>
  </si>
  <si>
    <t>Regularisation
Describe the decision</t>
  </si>
  <si>
    <t>Please inform us of the approval by Legal department of your Modus Operandi of this regularisation, and attach it</t>
  </si>
  <si>
    <t>Relatorio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</si>
  <si>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</si>
  <si>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</si>
  <si>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</si>
  <si>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</si>
  <si>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</si>
  <si>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</si>
  <si>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</si>
  <si>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</si>
  <si>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</si>
  <si>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</si>
  <si>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</si>
  <si>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</si>
  <si>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Q1</t>
  </si>
  <si>
    <t>R1</t>
  </si>
  <si>
    <t>S1</t>
  </si>
  <si>
    <t>T1</t>
  </si>
  <si>
    <t>U1</t>
  </si>
  <si>
    <t>V1</t>
  </si>
  <si>
    <t>E2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</si>
  <si>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</si>
  <si>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</si>
  <si>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</si>
  <si>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</si>
  <si>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</si>
  <si>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</si>
  <si>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</si>
  <si>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</si>
  <si>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</si>
  <si>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Q2</t>
  </si>
  <si>
    <t>R2</t>
  </si>
  <si>
    <t>S2</t>
  </si>
  <si>
    <t>T2</t>
  </si>
  <si>
    <t>U2</t>
  </si>
  <si>
    <t>V2</t>
  </si>
  <si>
    <t>H3</t>
  </si>
  <si>
    <t>I3</t>
  </si>
  <si>
    <t>J3</t>
  </si>
  <si>
    <t>K3</t>
  </si>
  <si>
    <t>L3</t>
  </si>
  <si>
    <t>M3</t>
  </si>
  <si>
    <t>N3</t>
  </si>
  <si>
    <t>O3</t>
  </si>
  <si>
    <t>P3</t>
  </si>
  <si>
    <t>Q3</t>
  </si>
  <si>
    <t>R3</t>
  </si>
  <si>
    <t>S3</t>
  </si>
  <si>
    <t>T3</t>
  </si>
  <si>
    <t>U3</t>
  </si>
  <si>
    <t>V3</t>
  </si>
  <si>
    <t>BALANCE</t>
  </si>
  <si>
    <t>in Amount (R$)</t>
  </si>
  <si>
    <t>H4</t>
  </si>
  <si>
    <t>I4</t>
  </si>
  <si>
    <t>J4</t>
  </si>
  <si>
    <t>K4</t>
  </si>
  <si>
    <t>L4</t>
  </si>
  <si>
    <t>M4</t>
  </si>
  <si>
    <t>N4</t>
  </si>
  <si>
    <t>O4</t>
  </si>
  <si>
    <t>P4</t>
  </si>
  <si>
    <t>Q4</t>
  </si>
  <si>
    <t>R4</t>
  </si>
  <si>
    <t>S4</t>
  </si>
  <si>
    <t>T4</t>
  </si>
  <si>
    <t>U4</t>
  </si>
  <si>
    <t>V4</t>
  </si>
  <si>
    <t>Transactions</t>
  </si>
  <si>
    <t>E5</t>
  </si>
  <si>
    <t>H5</t>
  </si>
  <si>
    <t>I5</t>
  </si>
  <si>
    <t>M5</t>
  </si>
  <si>
    <t>Q5</t>
  </si>
  <si>
    <t>R5</t>
  </si>
  <si>
    <t>S5</t>
  </si>
  <si>
    <t>T5</t>
  </si>
  <si>
    <t>U5</t>
  </si>
  <si>
    <t>V5</t>
  </si>
  <si>
    <t>IN</t>
  </si>
  <si>
    <t>G7</t>
  </si>
  <si>
    <t>H7</t>
  </si>
  <si>
    <t>I7</t>
  </si>
  <si>
    <t>M7</t>
  </si>
  <si>
    <t>Q7</t>
  </si>
  <si>
    <t>R7</t>
  </si>
  <si>
    <t>S7</t>
  </si>
  <si>
    <t>T7</t>
  </si>
  <si>
    <t>U7</t>
  </si>
  <si>
    <t>V7</t>
  </si>
  <si>
    <t>Q8</t>
  </si>
  <si>
    <t>R8</t>
  </si>
  <si>
    <t>S8</t>
  </si>
  <si>
    <t>T8</t>
  </si>
  <si>
    <t>U8</t>
  </si>
  <si>
    <t>V8</t>
  </si>
  <si>
    <t>OUT</t>
  </si>
  <si>
    <t>Q10</t>
  </si>
  <si>
    <t>R10</t>
  </si>
  <si>
    <t>S10</t>
  </si>
  <si>
    <t>T10</t>
  </si>
  <si>
    <t>U10</t>
  </si>
  <si>
    <t>V10</t>
  </si>
  <si>
    <t>Q11</t>
  </si>
  <si>
    <t>R11</t>
  </si>
  <si>
    <t>S11</t>
  </si>
  <si>
    <t>T11</t>
  </si>
  <si>
    <t>U11</t>
  </si>
  <si>
    <t>V11</t>
  </si>
  <si>
    <t>AGING (local currency R$)</t>
  </si>
  <si>
    <t>O13</t>
  </si>
  <si>
    <t>P13</t>
  </si>
  <si>
    <t>Q13</t>
  </si>
  <si>
    <t>R13</t>
  </si>
  <si>
    <t>S13</t>
  </si>
  <si>
    <t>T13</t>
  </si>
  <si>
    <t>U13</t>
  </si>
  <si>
    <t>V13</t>
  </si>
  <si>
    <t>H14</t>
  </si>
  <si>
    <t>I14</t>
  </si>
  <si>
    <t>M14</t>
  </si>
  <si>
    <t>N14</t>
  </si>
  <si>
    <t>O14</t>
  </si>
  <si>
    <t>P14</t>
  </si>
  <si>
    <t>Q14</t>
  </si>
  <si>
    <t>R14</t>
  </si>
  <si>
    <t>S14</t>
  </si>
  <si>
    <t>T14</t>
  </si>
  <si>
    <t>U14</t>
  </si>
  <si>
    <t>V14</t>
  </si>
  <si>
    <t>G15</t>
  </si>
  <si>
    <t>H15</t>
  </si>
  <si>
    <t>I15</t>
  </si>
  <si>
    <t>M15</t>
  </si>
  <si>
    <t>N15</t>
  </si>
  <si>
    <t>O15</t>
  </si>
  <si>
    <t>P15</t>
  </si>
  <si>
    <t>Q15</t>
  </si>
  <si>
    <t>R15</t>
  </si>
  <si>
    <t>S15</t>
  </si>
  <si>
    <t>T15</t>
  </si>
  <si>
    <t>U15</t>
  </si>
  <si>
    <t>V15</t>
  </si>
  <si>
    <t>O16</t>
  </si>
  <si>
    <t>P16</t>
  </si>
  <si>
    <t>Q16</t>
  </si>
  <si>
    <t>R16</t>
  </si>
  <si>
    <t>S16</t>
  </si>
  <si>
    <t>T16</t>
  </si>
  <si>
    <t>U16</t>
  </si>
  <si>
    <t>O17</t>
  </si>
  <si>
    <t>P17</t>
  </si>
  <si>
    <t>Q17</t>
  </si>
  <si>
    <t>R17</t>
  </si>
  <si>
    <t>S17</t>
  </si>
  <si>
    <t>T17</t>
  </si>
  <si>
    <t>U17</t>
  </si>
  <si>
    <t>O18</t>
  </si>
  <si>
    <t>P18</t>
  </si>
  <si>
    <t>Q18</t>
  </si>
  <si>
    <t>R18</t>
  </si>
  <si>
    <t>S18</t>
  </si>
  <si>
    <t>T18</t>
  </si>
  <si>
    <t>U18</t>
  </si>
  <si>
    <t>V18</t>
  </si>
  <si>
    <t>O19</t>
  </si>
  <si>
    <t>P19</t>
  </si>
  <si>
    <t>Q19</t>
  </si>
  <si>
    <t>R19</t>
  </si>
  <si>
    <t>S19</t>
  </si>
  <si>
    <t>T19</t>
  </si>
  <si>
    <t>U19</t>
  </si>
  <si>
    <t>O20</t>
  </si>
  <si>
    <t>P20</t>
  </si>
  <si>
    <t>Q20</t>
  </si>
  <si>
    <t>R20</t>
  </si>
  <si>
    <t>S20</t>
  </si>
  <si>
    <t>T20</t>
  </si>
  <si>
    <t>U20</t>
  </si>
  <si>
    <t>V20</t>
  </si>
  <si>
    <t>O21</t>
  </si>
  <si>
    <t>P21</t>
  </si>
  <si>
    <t>Q21</t>
  </si>
  <si>
    <t>R21</t>
  </si>
  <si>
    <t>S21</t>
  </si>
  <si>
    <t>T21</t>
  </si>
  <si>
    <t>U21</t>
  </si>
  <si>
    <t>V21</t>
  </si>
  <si>
    <t>G23</t>
  </si>
  <si>
    <t>H23</t>
  </si>
  <si>
    <t>I23</t>
  </si>
  <si>
    <t>G24</t>
  </si>
  <si>
    <t>H24</t>
  </si>
  <si>
    <t>I24</t>
  </si>
  <si>
    <t>M24</t>
  </si>
  <si>
    <t>N24</t>
  </si>
  <si>
    <t>O24</t>
  </si>
  <si>
    <t>P24</t>
  </si>
  <si>
    <t>Q24</t>
  </si>
  <si>
    <t>R24</t>
  </si>
  <si>
    <t>S24</t>
  </si>
  <si>
    <t>T24</t>
  </si>
  <si>
    <t>U24</t>
  </si>
  <si>
    <t>V24</t>
  </si>
  <si>
    <t>G25</t>
  </si>
  <si>
    <t>H25</t>
  </si>
  <si>
    <t>I25</t>
  </si>
  <si>
    <t>I26</t>
  </si>
  <si>
    <t>M26</t>
  </si>
  <si>
    <t>N26</t>
  </si>
  <si>
    <t>O26</t>
  </si>
  <si>
    <t>P26</t>
  </si>
  <si>
    <t>Q26</t>
  </si>
  <si>
    <t>R26</t>
  </si>
  <si>
    <t>S26</t>
  </si>
  <si>
    <t>T26</t>
  </si>
  <si>
    <t>U26</t>
  </si>
  <si>
    <t>V26</t>
  </si>
  <si>
    <t>I27</t>
  </si>
  <si>
    <t>O28</t>
  </si>
  <si>
    <t>P28</t>
  </si>
  <si>
    <t>Q28</t>
  </si>
  <si>
    <t>R28</t>
  </si>
  <si>
    <t>S28</t>
  </si>
  <si>
    <t>T28</t>
  </si>
  <si>
    <t>U28</t>
  </si>
  <si>
    <t>V28</t>
  </si>
  <si>
    <t>I29</t>
  </si>
  <si>
    <t>I30</t>
  </si>
  <si>
    <t>M30</t>
  </si>
  <si>
    <t>N30</t>
  </si>
  <si>
    <t>O30</t>
  </si>
  <si>
    <t>P30</t>
  </si>
  <si>
    <t>Q30</t>
  </si>
  <si>
    <t>R30</t>
  </si>
  <si>
    <t>S30</t>
  </si>
  <si>
    <t>T30</t>
  </si>
  <si>
    <t>U30</t>
  </si>
  <si>
    <t>V30</t>
  </si>
  <si>
    <t>O32</t>
  </si>
  <si>
    <t>P32</t>
  </si>
  <si>
    <t>Q32</t>
  </si>
  <si>
    <t>R32</t>
  </si>
  <si>
    <t>S32</t>
  </si>
  <si>
    <t>T32</t>
  </si>
  <si>
    <t>U32</t>
  </si>
  <si>
    <t>V32</t>
  </si>
  <si>
    <t>I33</t>
  </si>
  <si>
    <t>I34</t>
  </si>
  <si>
    <t>M34</t>
  </si>
  <si>
    <t>N34</t>
  </si>
  <si>
    <t>O34</t>
  </si>
  <si>
    <t>P34</t>
  </si>
  <si>
    <t>Q34</t>
  </si>
  <si>
    <t>R34</t>
  </si>
  <si>
    <t>S34</t>
  </si>
  <si>
    <t>T34</t>
  </si>
  <si>
    <t>U34</t>
  </si>
  <si>
    <t>V34</t>
  </si>
  <si>
    <t>I35</t>
  </si>
  <si>
    <t>I36</t>
  </si>
  <si>
    <t>M36</t>
  </si>
  <si>
    <t>N36</t>
  </si>
  <si>
    <t>O36</t>
  </si>
  <si>
    <t>P36</t>
  </si>
  <si>
    <t>Q36</t>
  </si>
  <si>
    <t>R36</t>
  </si>
  <si>
    <t>S36</t>
  </si>
  <si>
    <t>T36</t>
  </si>
  <si>
    <t>U36</t>
  </si>
  <si>
    <t>V36</t>
  </si>
  <si>
    <t>I37</t>
  </si>
  <si>
    <t>I38</t>
  </si>
  <si>
    <t>J38</t>
  </si>
  <si>
    <t>K38</t>
  </si>
  <si>
    <t>L38</t>
  </si>
  <si>
    <t>M38</t>
  </si>
  <si>
    <t>N38</t>
  </si>
  <si>
    <t>O38</t>
  </si>
  <si>
    <t>P38</t>
  </si>
  <si>
    <t>Q38</t>
  </si>
  <si>
    <t>R38</t>
  </si>
  <si>
    <t>S38</t>
  </si>
  <si>
    <t>T38</t>
  </si>
  <si>
    <t>U38</t>
  </si>
  <si>
    <t>V38</t>
  </si>
  <si>
    <t>AGING (contracts)</t>
  </si>
  <si>
    <t>I44</t>
  </si>
  <si>
    <t>J44</t>
  </si>
  <si>
    <t>K44</t>
  </si>
  <si>
    <t>L44</t>
  </si>
  <si>
    <t>M44</t>
  </si>
  <si>
    <t>N44</t>
  </si>
  <si>
    <t>O44</t>
  </si>
  <si>
    <t>P44</t>
  </si>
  <si>
    <t>Q44</t>
  </si>
  <si>
    <t>R44</t>
  </si>
  <si>
    <t>S44</t>
  </si>
  <si>
    <t>T44</t>
  </si>
  <si>
    <t>U44</t>
  </si>
  <si>
    <t>V44</t>
  </si>
  <si>
    <t>I45</t>
  </si>
  <si>
    <t>J45</t>
  </si>
  <si>
    <t>K45</t>
  </si>
  <si>
    <t>L45</t>
  </si>
  <si>
    <t>M45</t>
  </si>
  <si>
    <t>N45</t>
  </si>
  <si>
    <t>O45</t>
  </si>
  <si>
    <t>P45</t>
  </si>
  <si>
    <t>Q45</t>
  </si>
  <si>
    <t>R45</t>
  </si>
  <si>
    <t>S45</t>
  </si>
  <si>
    <t>T45</t>
  </si>
  <si>
    <t>U45</t>
  </si>
  <si>
    <t>V45</t>
  </si>
  <si>
    <t>I46</t>
  </si>
  <si>
    <t>J46</t>
  </si>
  <si>
    <t>K46</t>
  </si>
  <si>
    <t>L46</t>
  </si>
  <si>
    <t>M46</t>
  </si>
  <si>
    <t>N46</t>
  </si>
  <si>
    <t>O46</t>
  </si>
  <si>
    <t>P46</t>
  </si>
  <si>
    <t>Q46</t>
  </si>
  <si>
    <t>R46</t>
  </si>
  <si>
    <t>S46</t>
  </si>
  <si>
    <t>T46</t>
  </si>
  <si>
    <t>U46</t>
  </si>
  <si>
    <t>V46</t>
  </si>
  <si>
    <t>I47</t>
  </si>
  <si>
    <t>J47</t>
  </si>
  <si>
    <t>K47</t>
  </si>
  <si>
    <t>L47</t>
  </si>
  <si>
    <t>M47</t>
  </si>
  <si>
    <t>N47</t>
  </si>
  <si>
    <t>O47</t>
  </si>
  <si>
    <t>P47</t>
  </si>
  <si>
    <t>Q47</t>
  </si>
  <si>
    <t>R47</t>
  </si>
  <si>
    <t>S47</t>
  </si>
  <si>
    <t>T47</t>
  </si>
  <si>
    <t>U47</t>
  </si>
  <si>
    <t>V47</t>
  </si>
  <si>
    <t>I48</t>
  </si>
  <si>
    <t>J48</t>
  </si>
  <si>
    <t>K48</t>
  </si>
  <si>
    <t>L48</t>
  </si>
  <si>
    <t>M48</t>
  </si>
  <si>
    <t>N48</t>
  </si>
  <si>
    <t>O48</t>
  </si>
  <si>
    <t>P48</t>
  </si>
  <si>
    <t>Q48</t>
  </si>
  <si>
    <t>R48</t>
  </si>
  <si>
    <t>S48</t>
  </si>
  <si>
    <t>T48</t>
  </si>
  <si>
    <t>U48</t>
  </si>
  <si>
    <t>V48</t>
  </si>
  <si>
    <t>I49</t>
  </si>
  <si>
    <t>J49</t>
  </si>
  <si>
    <t>K49</t>
  </si>
  <si>
    <t>L49</t>
  </si>
  <si>
    <t>M49</t>
  </si>
  <si>
    <t>N49</t>
  </si>
  <si>
    <t>O49</t>
  </si>
  <si>
    <t>P49</t>
  </si>
  <si>
    <t>Q49</t>
  </si>
  <si>
    <t>R49</t>
  </si>
  <si>
    <t>S49</t>
  </si>
  <si>
    <t>T49</t>
  </si>
  <si>
    <t>U49</t>
  </si>
  <si>
    <t>V49</t>
  </si>
  <si>
    <t>I50</t>
  </si>
  <si>
    <t>J50</t>
  </si>
  <si>
    <t>K50</t>
  </si>
  <si>
    <t>L50</t>
  </si>
  <si>
    <t>M50</t>
  </si>
  <si>
    <t>N50</t>
  </si>
  <si>
    <t>O50</t>
  </si>
  <si>
    <t>P50</t>
  </si>
  <si>
    <t>Q50</t>
  </si>
  <si>
    <t>R50</t>
  </si>
  <si>
    <t>S50</t>
  </si>
  <si>
    <t>T50</t>
  </si>
  <si>
    <t>U50</t>
  </si>
  <si>
    <t>V50</t>
  </si>
  <si>
    <t>I51</t>
  </si>
  <si>
    <t>J51</t>
  </si>
  <si>
    <t>K51</t>
  </si>
  <si>
    <t>L51</t>
  </si>
  <si>
    <t>M51</t>
  </si>
  <si>
    <t>N51</t>
  </si>
  <si>
    <t>O51</t>
  </si>
  <si>
    <t>P51</t>
  </si>
  <si>
    <t>Q51</t>
  </si>
  <si>
    <t>R51</t>
  </si>
  <si>
    <t>S51</t>
  </si>
  <si>
    <t>T51</t>
  </si>
  <si>
    <t>U51</t>
  </si>
  <si>
    <t>V51</t>
  </si>
  <si>
    <t>I52</t>
  </si>
  <si>
    <t>J52</t>
  </si>
  <si>
    <t>K52</t>
  </si>
  <si>
    <t>L52</t>
  </si>
  <si>
    <t>M52</t>
  </si>
  <si>
    <t>N52</t>
  </si>
  <si>
    <t>O52</t>
  </si>
  <si>
    <t>P52</t>
  </si>
  <si>
    <t>Q52</t>
  </si>
  <si>
    <t>R52</t>
  </si>
  <si>
    <t>S52</t>
  </si>
  <si>
    <t>T52</t>
  </si>
  <si>
    <t>U52</t>
  </si>
  <si>
    <t>V52</t>
  </si>
  <si>
    <t>I53</t>
  </si>
  <si>
    <t>J53</t>
  </si>
  <si>
    <t>K53</t>
  </si>
  <si>
    <t>L53</t>
  </si>
  <si>
    <t>M53</t>
  </si>
  <si>
    <t>N53</t>
  </si>
  <si>
    <t>O53</t>
  </si>
  <si>
    <t>P53</t>
  </si>
  <si>
    <t>Q53</t>
  </si>
  <si>
    <t>R53</t>
  </si>
  <si>
    <t>S53</t>
  </si>
  <si>
    <t>T53</t>
  </si>
  <si>
    <t>U53</t>
  </si>
  <si>
    <t>V53</t>
  </si>
  <si>
    <t>I54</t>
  </si>
  <si>
    <t>J54</t>
  </si>
  <si>
    <t>K54</t>
  </si>
  <si>
    <t>L54</t>
  </si>
  <si>
    <t>M54</t>
  </si>
  <si>
    <t>N54</t>
  </si>
  <si>
    <t>O54</t>
  </si>
  <si>
    <t>P54</t>
  </si>
  <si>
    <t>Q54</t>
  </si>
  <si>
    <t>R54</t>
  </si>
  <si>
    <t>S54</t>
  </si>
  <si>
    <t>T54</t>
  </si>
  <si>
    <t>U54</t>
  </si>
  <si>
    <t>V54</t>
  </si>
  <si>
    <t>I55</t>
  </si>
  <si>
    <t>J55</t>
  </si>
  <si>
    <t>K55</t>
  </si>
  <si>
    <t>L55</t>
  </si>
  <si>
    <t>M55</t>
  </si>
  <si>
    <t>N55</t>
  </si>
  <si>
    <t>O55</t>
  </si>
  <si>
    <t>P55</t>
  </si>
  <si>
    <t>Q55</t>
  </si>
  <si>
    <t>R55</t>
  </si>
  <si>
    <t>S55</t>
  </si>
  <si>
    <t>T55</t>
  </si>
  <si>
    <t>U55</t>
  </si>
  <si>
    <t>V55</t>
  </si>
  <si>
    <t>I56</t>
  </si>
  <si>
    <t>J56</t>
  </si>
  <si>
    <t>K56</t>
  </si>
  <si>
    <t>L56</t>
  </si>
  <si>
    <t>M56</t>
  </si>
  <si>
    <t>N56</t>
  </si>
  <si>
    <t>O56</t>
  </si>
  <si>
    <t>P56</t>
  </si>
  <si>
    <t>Q56</t>
  </si>
  <si>
    <t>R56</t>
  </si>
  <si>
    <t>S56</t>
  </si>
  <si>
    <t>T56</t>
  </si>
  <si>
    <t>U56</t>
  </si>
  <si>
    <t>V56</t>
  </si>
  <si>
    <t>D57</t>
  </si>
  <si>
    <t>E57</t>
  </si>
  <si>
    <t>F57</t>
  </si>
  <si>
    <t>G57</t>
  </si>
  <si>
    <t>H57</t>
  </si>
  <si>
    <t>I57</t>
  </si>
  <si>
    <t>J57</t>
  </si>
  <si>
    <t>K57</t>
  </si>
  <si>
    <t>L57</t>
  </si>
  <si>
    <t>M57</t>
  </si>
  <si>
    <t>N57</t>
  </si>
  <si>
    <t>O57</t>
  </si>
  <si>
    <t>P57</t>
  </si>
  <si>
    <t>Q57</t>
  </si>
  <si>
    <t>R57</t>
  </si>
  <si>
    <t>S57</t>
  </si>
  <si>
    <t>T57</t>
  </si>
  <si>
    <t>U57</t>
  </si>
  <si>
    <t>V57</t>
  </si>
  <si>
    <t>D58</t>
  </si>
  <si>
    <t>E58</t>
  </si>
  <si>
    <t>F58</t>
  </si>
  <si>
    <t>G58</t>
  </si>
  <si>
    <t>H58</t>
  </si>
  <si>
    <t>I58</t>
  </si>
  <si>
    <t>J58</t>
  </si>
  <si>
    <t>K58</t>
  </si>
  <si>
    <t>L58</t>
  </si>
  <si>
    <t>M58</t>
  </si>
  <si>
    <t>N58</t>
  </si>
  <si>
    <t>O58</t>
  </si>
  <si>
    <t>P58</t>
  </si>
  <si>
    <t>Q58</t>
  </si>
  <si>
    <t>R58</t>
  </si>
  <si>
    <t>S58</t>
  </si>
  <si>
    <t>T58</t>
  </si>
  <si>
    <t>U58</t>
  </si>
  <si>
    <t>V58</t>
  </si>
  <si>
    <t>D59</t>
  </si>
  <si>
    <t>E59</t>
  </si>
  <si>
    <t>F59</t>
  </si>
  <si>
    <t>G59</t>
  </si>
  <si>
    <t>H59</t>
  </si>
  <si>
    <t>I59</t>
  </si>
  <si>
    <t>J59</t>
  </si>
  <si>
    <t>K59</t>
  </si>
  <si>
    <t>L59</t>
  </si>
  <si>
    <t>M59</t>
  </si>
  <si>
    <t>N59</t>
  </si>
  <si>
    <t>O59</t>
  </si>
  <si>
    <t>P59</t>
  </si>
  <si>
    <t>Q59</t>
  </si>
  <si>
    <t>R59</t>
  </si>
  <si>
    <t>S59</t>
  </si>
  <si>
    <t>T59</t>
  </si>
  <si>
    <t>U59</t>
  </si>
  <si>
    <t>V59</t>
  </si>
  <si>
    <t>D60</t>
  </si>
  <si>
    <t>E60</t>
  </si>
  <si>
    <t>F60</t>
  </si>
  <si>
    <t>G60</t>
  </si>
  <si>
    <t>H60</t>
  </si>
  <si>
    <t>I60</t>
  </si>
  <si>
    <t>J60</t>
  </si>
  <si>
    <t>K60</t>
  </si>
  <si>
    <t>L60</t>
  </si>
  <si>
    <t>M60</t>
  </si>
  <si>
    <t>N60</t>
  </si>
  <si>
    <t>O60</t>
  </si>
  <si>
    <t>P60</t>
  </si>
  <si>
    <t>Q60</t>
  </si>
  <si>
    <t>R60</t>
  </si>
  <si>
    <t>S60</t>
  </si>
  <si>
    <t>T60</t>
  </si>
  <si>
    <t>U60</t>
  </si>
  <si>
    <t>V60</t>
  </si>
  <si>
    <t>D61</t>
  </si>
  <si>
    <t>E61</t>
  </si>
  <si>
    <t>F61</t>
  </si>
  <si>
    <t>G61</t>
  </si>
  <si>
    <t>H61</t>
  </si>
  <si>
    <t>I61</t>
  </si>
  <si>
    <t>J61</t>
  </si>
  <si>
    <t>K61</t>
  </si>
  <si>
    <t>L61</t>
  </si>
  <si>
    <t>M61</t>
  </si>
  <si>
    <t>N61</t>
  </si>
  <si>
    <t>O61</t>
  </si>
  <si>
    <t>P61</t>
  </si>
  <si>
    <t>Q61</t>
  </si>
  <si>
    <t>R61</t>
  </si>
  <si>
    <t>S61</t>
  </si>
  <si>
    <t>T61</t>
  </si>
  <si>
    <t>U61</t>
  </si>
  <si>
    <t>V61</t>
  </si>
  <si>
    <t>D62</t>
  </si>
  <si>
    <t>E62</t>
  </si>
  <si>
    <t>F62</t>
  </si>
  <si>
    <t>G62</t>
  </si>
  <si>
    <t>H62</t>
  </si>
  <si>
    <t>I62</t>
  </si>
  <si>
    <t>J62</t>
  </si>
  <si>
    <t>K62</t>
  </si>
  <si>
    <t>L62</t>
  </si>
  <si>
    <t>M62</t>
  </si>
  <si>
    <t>N62</t>
  </si>
  <si>
    <t>O62</t>
  </si>
  <si>
    <t>P62</t>
  </si>
  <si>
    <t>Q62</t>
  </si>
  <si>
    <t>R62</t>
  </si>
  <si>
    <t>S62</t>
  </si>
  <si>
    <t>T62</t>
  </si>
  <si>
    <t>U62</t>
  </si>
  <si>
    <t>V62</t>
  </si>
  <si>
    <t>D63</t>
  </si>
  <si>
    <t>E63</t>
  </si>
  <si>
    <t>F63</t>
  </si>
  <si>
    <t>G63</t>
  </si>
  <si>
    <t>H63</t>
  </si>
  <si>
    <t>I63</t>
  </si>
  <si>
    <t>J63</t>
  </si>
  <si>
    <t>K63</t>
  </si>
  <si>
    <t>L63</t>
  </si>
  <si>
    <t>M63</t>
  </si>
  <si>
    <t>N63</t>
  </si>
  <si>
    <t>O63</t>
  </si>
  <si>
    <t>P63</t>
  </si>
  <si>
    <t>Q63</t>
  </si>
  <si>
    <t>R63</t>
  </si>
  <si>
    <t>S63</t>
  </si>
  <si>
    <t>T63</t>
  </si>
  <si>
    <t>U63</t>
  </si>
  <si>
    <t>V63</t>
  </si>
  <si>
    <t>D64</t>
  </si>
  <si>
    <t>E64</t>
  </si>
  <si>
    <t>F64</t>
  </si>
  <si>
    <t>G64</t>
  </si>
  <si>
    <t>H64</t>
  </si>
  <si>
    <t>I64</t>
  </si>
  <si>
    <t>J64</t>
  </si>
  <si>
    <t>K64</t>
  </si>
  <si>
    <t>L64</t>
  </si>
  <si>
    <t>M64</t>
  </si>
  <si>
    <t>N64</t>
  </si>
  <si>
    <t>O64</t>
  </si>
  <si>
    <t>P64</t>
  </si>
  <si>
    <t>Q64</t>
  </si>
  <si>
    <t>R64</t>
  </si>
  <si>
    <t>S64</t>
  </si>
  <si>
    <t>T64</t>
  </si>
  <si>
    <t>U64</t>
  </si>
  <si>
    <t>V64</t>
  </si>
  <si>
    <t>D65</t>
  </si>
  <si>
    <t>E65</t>
  </si>
  <si>
    <t>F65</t>
  </si>
  <si>
    <t>G65</t>
  </si>
  <si>
    <t>H65</t>
  </si>
  <si>
    <t>I65</t>
  </si>
  <si>
    <t>J65</t>
  </si>
  <si>
    <t>K65</t>
  </si>
  <si>
    <t>L65</t>
  </si>
  <si>
    <t>M65</t>
  </si>
  <si>
    <t>N65</t>
  </si>
  <si>
    <t>O65</t>
  </si>
  <si>
    <t>P65</t>
  </si>
  <si>
    <t>Q65</t>
  </si>
  <si>
    <t>R65</t>
  </si>
  <si>
    <t>S65</t>
  </si>
  <si>
    <t>T65</t>
  </si>
  <si>
    <t>U65</t>
  </si>
  <si>
    <t>V65</t>
  </si>
  <si>
    <t>D66</t>
  </si>
  <si>
    <t>E66</t>
  </si>
  <si>
    <t>F66</t>
  </si>
  <si>
    <t>G66</t>
  </si>
  <si>
    <t>H66</t>
  </si>
  <si>
    <t>I66</t>
  </si>
  <si>
    <t>J66</t>
  </si>
  <si>
    <t>K66</t>
  </si>
  <si>
    <t>L66</t>
  </si>
  <si>
    <t>M66</t>
  </si>
  <si>
    <t>N66</t>
  </si>
  <si>
    <t>O66</t>
  </si>
  <si>
    <t>P66</t>
  </si>
  <si>
    <t>Q66</t>
  </si>
  <si>
    <t>R66</t>
  </si>
  <si>
    <t>S66</t>
  </si>
  <si>
    <t>T66</t>
  </si>
  <si>
    <t>U66</t>
  </si>
  <si>
    <t>V66</t>
  </si>
  <si>
    <t>D67</t>
  </si>
  <si>
    <t>E67</t>
  </si>
  <si>
    <t>F67</t>
  </si>
  <si>
    <t>G67</t>
  </si>
  <si>
    <t>H67</t>
  </si>
  <si>
    <t>I67</t>
  </si>
  <si>
    <t>J67</t>
  </si>
  <si>
    <t>K67</t>
  </si>
  <si>
    <t>L67</t>
  </si>
  <si>
    <t>M67</t>
  </si>
  <si>
    <t>N67</t>
  </si>
  <si>
    <t>O67</t>
  </si>
  <si>
    <t>P67</t>
  </si>
  <si>
    <t>Q67</t>
  </si>
  <si>
    <t>R67</t>
  </si>
  <si>
    <t>S67</t>
  </si>
  <si>
    <t>T67</t>
  </si>
  <si>
    <t>U67</t>
  </si>
  <si>
    <t>V67</t>
  </si>
  <si>
    <t>D68</t>
  </si>
  <si>
    <t>E68</t>
  </si>
  <si>
    <t>F68</t>
  </si>
  <si>
    <t>G68</t>
  </si>
  <si>
    <t>H68</t>
  </si>
  <si>
    <t>I68</t>
  </si>
  <si>
    <t>J68</t>
  </si>
  <si>
    <t>K68</t>
  </si>
  <si>
    <t>L68</t>
  </si>
  <si>
    <t>M68</t>
  </si>
  <si>
    <t>N68</t>
  </si>
  <si>
    <t>O68</t>
  </si>
  <si>
    <t>P68</t>
  </si>
  <si>
    <t>Q68</t>
  </si>
  <si>
    <t>R68</t>
  </si>
  <si>
    <t>S68</t>
  </si>
  <si>
    <t>T68</t>
  </si>
  <si>
    <t>U68</t>
  </si>
  <si>
    <t>V68</t>
  </si>
  <si>
    <t>D69</t>
  </si>
  <si>
    <t>E69</t>
  </si>
  <si>
    <t>F69</t>
  </si>
  <si>
    <t>G69</t>
  </si>
  <si>
    <t>H69</t>
  </si>
  <si>
    <t>I69</t>
  </si>
  <si>
    <t>J69</t>
  </si>
  <si>
    <t>K69</t>
  </si>
  <si>
    <t>L69</t>
  </si>
  <si>
    <t>M69</t>
  </si>
  <si>
    <t>N69</t>
  </si>
  <si>
    <t>O69</t>
  </si>
  <si>
    <t>P69</t>
  </si>
  <si>
    <t>Q69</t>
  </si>
  <si>
    <t>R69</t>
  </si>
  <si>
    <t>S69</t>
  </si>
  <si>
    <t>T69</t>
  </si>
  <si>
    <t>U69</t>
  </si>
  <si>
    <t>V69</t>
  </si>
  <si>
    <t>D70</t>
  </si>
  <si>
    <t>D71</t>
  </si>
  <si>
    <t>D72</t>
  </si>
  <si>
    <t>D73</t>
  </si>
  <si>
    <t>W1</t>
  </si>
  <si>
    <t>X1</t>
  </si>
  <si>
    <t>Y1</t>
  </si>
  <si>
    <t>W2</t>
  </si>
  <si>
    <t>X2</t>
  </si>
  <si>
    <t>Y2</t>
  </si>
  <si>
    <t>W3</t>
  </si>
  <si>
    <t>X3</t>
  </si>
  <si>
    <t>Y3</t>
  </si>
  <si>
    <t>W4</t>
  </si>
  <si>
    <t>X4</t>
  </si>
  <si>
    <t>Y4</t>
  </si>
  <si>
    <t>W5</t>
  </si>
  <si>
    <t>X5</t>
  </si>
  <si>
    <t>Y5</t>
  </si>
  <si>
    <t>W7</t>
  </si>
  <si>
    <t>X7</t>
  </si>
  <si>
    <t>Y7</t>
  </si>
  <si>
    <t>W8</t>
  </si>
  <si>
    <t>X8</t>
  </si>
  <si>
    <t>Y8</t>
  </si>
  <si>
    <t>W10</t>
  </si>
  <si>
    <t>X10</t>
  </si>
  <si>
    <t>Y10</t>
  </si>
  <si>
    <t>W11</t>
  </si>
  <si>
    <t>X11</t>
  </si>
  <si>
    <t>Y11</t>
  </si>
  <si>
    <t>W13</t>
  </si>
  <si>
    <t>X13</t>
  </si>
  <si>
    <t>Y13</t>
  </si>
  <si>
    <t>W14</t>
  </si>
  <si>
    <t>X14</t>
  </si>
  <si>
    <t>Y14</t>
  </si>
  <si>
    <t>W15</t>
  </si>
  <si>
    <t>X15</t>
  </si>
  <si>
    <t>Y15</t>
  </si>
  <si>
    <t>W16</t>
  </si>
  <si>
    <t>X16</t>
  </si>
  <si>
    <t>Y16</t>
  </si>
  <si>
    <t>W17</t>
  </si>
  <si>
    <t>X17</t>
  </si>
  <si>
    <t>Y17</t>
  </si>
  <si>
    <t>W18</t>
  </si>
  <si>
    <t>X18</t>
  </si>
  <si>
    <t>Y18</t>
  </si>
  <si>
    <t>W19</t>
  </si>
  <si>
    <t>X19</t>
  </si>
  <si>
    <t>Y19</t>
  </si>
  <si>
    <t>W20</t>
  </si>
  <si>
    <t>X20</t>
  </si>
  <si>
    <t>Y20</t>
  </si>
  <si>
    <t>W21</t>
  </si>
  <si>
    <t>X21</t>
  </si>
  <si>
    <t>Y21</t>
  </si>
  <si>
    <t>W22</t>
  </si>
  <si>
    <t>X22</t>
  </si>
  <si>
    <t>Y22</t>
  </si>
  <si>
    <t>W23</t>
  </si>
  <si>
    <t>X23</t>
  </si>
  <si>
    <t>Y23</t>
  </si>
  <si>
    <t>W24</t>
  </si>
  <si>
    <t>X24</t>
  </si>
  <si>
    <t>Y24</t>
  </si>
  <si>
    <t>W25</t>
  </si>
  <si>
    <t>X25</t>
  </si>
  <si>
    <t>Y25</t>
  </si>
  <si>
    <t>W26</t>
  </si>
  <si>
    <t>X26</t>
  </si>
  <si>
    <t>Y26</t>
  </si>
  <si>
    <t>W27</t>
  </si>
  <si>
    <t>X27</t>
  </si>
  <si>
    <t>Y27</t>
  </si>
  <si>
    <t>W28</t>
  </si>
  <si>
    <t>X28</t>
  </si>
  <si>
    <t>Y28</t>
  </si>
  <si>
    <t>W29</t>
  </si>
  <si>
    <t>X29</t>
  </si>
  <si>
    <t>Y29</t>
  </si>
  <si>
    <t>W30</t>
  </si>
  <si>
    <t>X30</t>
  </si>
  <si>
    <t>Y30</t>
  </si>
  <si>
    <t>W31</t>
  </si>
  <si>
    <t>X31</t>
  </si>
  <si>
    <t>Y31</t>
  </si>
  <si>
    <t>W32</t>
  </si>
  <si>
    <t>X32</t>
  </si>
  <si>
    <t>Y32</t>
  </si>
  <si>
    <t>W33</t>
  </si>
  <si>
    <t>X33</t>
  </si>
  <si>
    <t>Y33</t>
  </si>
  <si>
    <t>W34</t>
  </si>
  <si>
    <t>X34</t>
  </si>
  <si>
    <t>Y34</t>
  </si>
  <si>
    <t>W35</t>
  </si>
  <si>
    <t>X35</t>
  </si>
  <si>
    <t>Y35</t>
  </si>
  <si>
    <t>W36</t>
  </si>
  <si>
    <t>X36</t>
  </si>
  <si>
    <t>Y36</t>
  </si>
  <si>
    <t>W37</t>
  </si>
  <si>
    <t>X37</t>
  </si>
  <si>
    <t>Y37</t>
  </si>
  <si>
    <t>W38</t>
  </si>
  <si>
    <t>X38</t>
  </si>
  <si>
    <t>Y38</t>
  </si>
  <si>
    <t>W44</t>
  </si>
  <si>
    <t>X44</t>
  </si>
  <si>
    <t>Y44</t>
  </si>
  <si>
    <t>W45</t>
  </si>
  <si>
    <t>X45</t>
  </si>
  <si>
    <t>Y45</t>
  </si>
  <si>
    <t>W46</t>
  </si>
  <si>
    <t>X46</t>
  </si>
  <si>
    <t>Y46</t>
  </si>
  <si>
    <t>W47</t>
  </si>
  <si>
    <t>X47</t>
  </si>
  <si>
    <t>Y47</t>
  </si>
  <si>
    <t>W48</t>
  </si>
  <si>
    <t>X48</t>
  </si>
  <si>
    <t>Y48</t>
  </si>
  <si>
    <t>W49</t>
  </si>
  <si>
    <t>X49</t>
  </si>
  <si>
    <t>Y49</t>
  </si>
  <si>
    <t>W50</t>
  </si>
  <si>
    <t>X50</t>
  </si>
  <si>
    <t>Y50</t>
  </si>
  <si>
    <t>W51</t>
  </si>
  <si>
    <t>X51</t>
  </si>
  <si>
    <t>Y51</t>
  </si>
  <si>
    <t>W52</t>
  </si>
  <si>
    <t>X52</t>
  </si>
  <si>
    <t>Y52</t>
  </si>
  <si>
    <t>W53</t>
  </si>
  <si>
    <t>X53</t>
  </si>
  <si>
    <t>Y53</t>
  </si>
  <si>
    <t>W54</t>
  </si>
  <si>
    <t>X54</t>
  </si>
  <si>
    <t>Y54</t>
  </si>
  <si>
    <t>W55</t>
  </si>
  <si>
    <t>X55</t>
  </si>
  <si>
    <t>Y55</t>
  </si>
  <si>
    <t>W56</t>
  </si>
  <si>
    <t>X56</t>
  </si>
  <si>
    <t>Y56</t>
  </si>
  <si>
    <t>W57</t>
  </si>
  <si>
    <t>X57</t>
  </si>
  <si>
    <t>Y57</t>
  </si>
  <si>
    <t>W58</t>
  </si>
  <si>
    <t>X58</t>
  </si>
  <si>
    <t>Y58</t>
  </si>
  <si>
    <t>W59</t>
  </si>
  <si>
    <t>X59</t>
  </si>
  <si>
    <t>Y59</t>
  </si>
  <si>
    <t>W60</t>
  </si>
  <si>
    <t>X60</t>
  </si>
  <si>
    <t>Y60</t>
  </si>
  <si>
    <t>W61</t>
  </si>
  <si>
    <t>X61</t>
  </si>
  <si>
    <t>Y61</t>
  </si>
  <si>
    <t>W62</t>
  </si>
  <si>
    <t>X62</t>
  </si>
  <si>
    <t>Y62</t>
  </si>
  <si>
    <t>W63</t>
  </si>
  <si>
    <t>X63</t>
  </si>
  <si>
    <t>Y63</t>
  </si>
  <si>
    <t>W64</t>
  </si>
  <si>
    <t>X64</t>
  </si>
  <si>
    <t>Y64</t>
  </si>
  <si>
    <t>W65</t>
  </si>
  <si>
    <t>X65</t>
  </si>
  <si>
    <t>Y65</t>
  </si>
  <si>
    <t>W66</t>
  </si>
  <si>
    <t>X66</t>
  </si>
  <si>
    <t>Y66</t>
  </si>
  <si>
    <t>W67</t>
  </si>
  <si>
    <t>X67</t>
  </si>
  <si>
    <t>Y67</t>
  </si>
  <si>
    <t>W68</t>
  </si>
  <si>
    <t>X68</t>
  </si>
  <si>
    <t>Y68</t>
  </si>
  <si>
    <t>W69</t>
  </si>
  <si>
    <t>X69</t>
  </si>
  <si>
    <t>Y69</t>
  </si>
  <si>
    <t xml:space="preserve">  - </t>
  </si>
  <si>
    <t>78%</t>
  </si>
  <si>
    <t>22%</t>
  </si>
  <si>
    <t>-18%</t>
  </si>
  <si>
    <t>62%</t>
  </si>
  <si>
    <t>68%</t>
  </si>
  <si>
    <t>38%</t>
  </si>
  <si>
    <t>15%</t>
  </si>
  <si>
    <t>2026-06-30T00:00:00</t>
  </si>
  <si>
    <t>2026-05-30T00:00:00</t>
  </si>
  <si>
    <t>2026-04-30T00:00:00</t>
  </si>
  <si>
    <t>2026-03-30T00:00:00</t>
  </si>
  <si>
    <t>2026-02-28T00:00:00</t>
  </si>
  <si>
    <t>2026-01-28T00:00:00</t>
  </si>
  <si>
    <t>This is our remaining balance as at 30 June</t>
  </si>
  <si>
    <t>Q3 correction: Germany/Austria added; Belgium stock includes authority refunds. Reported stock totals take precedence over reconstructed rounded values.</t>
  </si>
  <si>
    <t>Q3 TC closing rates are used for Q2 and Q3. Historical Q2 workbook unchanged; see FX comparison for the restatement.</t>
  </si>
  <si>
    <t>Country-page 0 can represent an unavailable value. Source extracts and checks retain missing values and discrepancies.</t>
  </si>
  <si>
    <t>Q2 rows in this report intentionally use Q3 2026 closing rates for constant-FX comparison.</t>
  </si>
  <si>
    <t>Check</t>
  </si>
  <si>
    <t>Calculated</t>
  </si>
  <si>
    <t>Reported</t>
  </si>
  <si>
    <t>Difference</t>
  </si>
  <si>
    <t>Processed components &lt;2025</t>
  </si>
  <si>
    <t>OK</t>
  </si>
  <si>
    <t>Gross less processed &lt;2025</t>
  </si>
  <si>
    <t>Processed components 2025</t>
  </si>
  <si>
    <t>Gross less processed 2025</t>
  </si>
  <si>
    <t>Processed components 2026</t>
  </si>
  <si>
    <t>Gross less processed 2026</t>
  </si>
  <si>
    <t>Display rounding</t>
  </si>
  <si>
    <t>Processed components 2026-01</t>
  </si>
  <si>
    <t>Gross less processed 2026-01</t>
  </si>
  <si>
    <t>Processed components 2026-02</t>
  </si>
  <si>
    <t>Gross less processed 2026-02</t>
  </si>
  <si>
    <t>Processed components 2026-03</t>
  </si>
  <si>
    <t>Gross less processed 2026-03</t>
  </si>
  <si>
    <t>Processed components 2026-04</t>
  </si>
  <si>
    <t>Gross less processed 2026-04</t>
  </si>
  <si>
    <t>Processed components 2026-05</t>
  </si>
  <si>
    <t>Gross less processed 2026-05</t>
  </si>
  <si>
    <t>Processed components 2026-06</t>
  </si>
  <si>
    <t>Gross less processed 2026-06</t>
  </si>
  <si>
    <t>Stock vintage sum: total</t>
  </si>
  <si>
    <t>C:\Users\adnan\.codex\attachments\6d3f42eb-83f0-4d1b-8f30-541dd71b915d\Pasted text.txt / BELGIUM (paste-relative rows)!KPI_2!B11</t>
  </si>
  <si>
    <t>Stock vintage sum: processed_source</t>
  </si>
  <si>
    <t>Stock vintage sum: remaining_source</t>
  </si>
  <si>
    <t>Stock vintage sum: refund</t>
  </si>
  <si>
    <t>Stock vintage sum: authority_refund</t>
  </si>
  <si>
    <t>Stock vintage sum: unreachable</t>
  </si>
  <si>
    <t>stock_bins amount</t>
  </si>
  <si>
    <t>C:\Users\adnan\.codex\attachments\6d3f42eb-83f0-4d1b-8f30-541dd71b915d\Pasted text.txt / BELGIUM (paste-relative rows)!KPI_3!B11</t>
  </si>
  <si>
    <t>stock_bins count</t>
  </si>
  <si>
    <t>stock_vintages amount</t>
  </si>
  <si>
    <t>Unavailable</t>
  </si>
  <si>
    <t>C:\Users\adnan\.codex\attachments\6d3f42eb-83f0-4d1b-8f30-541dd71b915d\Pasted text.txt / BELGIUM (paste-relative rows)!KPI_3!B23</t>
  </si>
  <si>
    <t>stock_vintages count</t>
  </si>
  <si>
    <t>Band total versus vintage amount</t>
  </si>
  <si>
    <t>Band total versus vintage count</t>
  </si>
  <si>
    <t>C:\Users\adnan\.codex\attachments\6d3f42eb-83f0-4d1b-8f30-541dd71b915d\Pasted text.txt / SPAIN (paste-relative rows)!KPI_2!B11</t>
  </si>
  <si>
    <t>Stock vintage sum: false_positive</t>
  </si>
  <si>
    <t>C:\Users\adnan\.codex\attachments\6d3f42eb-83f0-4d1b-8f30-541dd71b915d\Pasted text.txt / SPAIN (paste-relative rows)!KPI_3!B11</t>
  </si>
  <si>
    <t>C:\Users\adnan\.codex\attachments\6d3f42eb-83f0-4d1b-8f30-541dd71b915d\Pasted text.txt / SPAIN (paste-relative rows)!KPI_3!B23</t>
  </si>
  <si>
    <t>C:\Users\adnan\.codex\attachments\6d3f42eb-83f0-4d1b-8f30-541dd71b915d\Pasted text.txt / FRANCE (paste-relative rows)!KPI_2!B11</t>
  </si>
  <si>
    <t>C:\Users\adnan\.codex\attachments\6d3f42eb-83f0-4d1b-8f30-541dd71b915d\Pasted text.txt / FRANCE (paste-relative rows)!KPI_3!B11</t>
  </si>
  <si>
    <t>C:\Users\adnan\.codex\attachments\6d3f42eb-83f0-4d1b-8f30-541dd71b915d\Pasted text.txt / FRANCE (paste-relative rows)!KPI_3!B23</t>
  </si>
  <si>
    <t>C:\Users\adnan\.codex\attachments\6d3f42eb-83f0-4d1b-8f30-541dd71b915d\Pasted text.txt / GERMANY (paste-relative rows)!KPI_2!B11</t>
  </si>
  <si>
    <t>C:\Users\adnan\.codex\attachments\6d3f42eb-83f0-4d1b-8f30-541dd71b915d\Pasted text.txt / GERMANY (paste-relative rows)!KPI_3!B12</t>
  </si>
  <si>
    <t>C:\Users\adnan\.codex\attachments\6d3f42eb-83f0-4d1b-8f30-541dd71b915d\Pasted text.txt / GERMANY (paste-relative rows)!KPI_3!B24</t>
  </si>
  <si>
    <t>C:\Users\adnan\.codex\attachments\6d3f42eb-83f0-4d1b-8f30-541dd71b915d\Pasted text.txt / ITALY (paste-relative rows)!KPI_2!B11</t>
  </si>
  <si>
    <t>C:\Users\adnan\.codex\attachments\6d3f42eb-83f0-4d1b-8f30-541dd71b915d\Pasted text.txt / ITALY (paste-relative rows)!KPI_3!B11</t>
  </si>
  <si>
    <t>C:\Users\adnan\.codex\attachments\6d3f42eb-83f0-4d1b-8f30-541dd71b915d\Pasted text.txt / ITALY (paste-relative rows)!KPI_3!B23</t>
  </si>
  <si>
    <t>C:\Users\adnan\.codex\attachments\6d3f42eb-83f0-4d1b-8f30-541dd71b915d\Pasted text.txt / PORTUGAL (paste-relative rows)!KPI_2!B11</t>
  </si>
  <si>
    <t>C:\Users\adnan\.codex\attachments\6d3f42eb-83f0-4d1b-8f30-541dd71b915d\Pasted text.txt / PORTUGAL (paste-relative rows)!KPI_3!B11</t>
  </si>
  <si>
    <t>C:\Users\adnan\.codex\attachments\6d3f42eb-83f0-4d1b-8f30-541dd71b915d\Pasted text.txt / PORTUGAL (paste-relative rows)!KPI_3!B16</t>
  </si>
  <si>
    <t>C:\Users\adnan\.codex\attachments\6d3f42eb-83f0-4d1b-8f30-541dd71b915d\Pasted text.txt / UK (paste-relative rows)!KPI_2!B11</t>
  </si>
  <si>
    <t>C:\Users\adnan\.codex\attachments\6d3f42eb-83f0-4d1b-8f30-541dd71b915d\Pasted text.txt / UK (paste-relative rows)!KPI_3!B11</t>
  </si>
  <si>
    <t>Review source</t>
  </si>
  <si>
    <t>AUSTRIA_Q2_2026.xlsx!KPI_2!B11</t>
  </si>
  <si>
    <t>AUSTRIA_Q2_2026.xlsx!KPI_3!B11</t>
  </si>
  <si>
    <t>Processed components &lt;2024</t>
  </si>
  <si>
    <t>Gross less processed &lt;2024</t>
  </si>
  <si>
    <t>Processed components 2024</t>
  </si>
  <si>
    <t>Gross less processed 2024</t>
  </si>
  <si>
    <t>NORDICS_Q2_2026.xlsx / DEN_!KPI_2!B11</t>
  </si>
  <si>
    <t>Stock vintage sum: other_without_refund</t>
  </si>
  <si>
    <t>NORDICS_Q2_2026.xlsx / DEN_!KPI_3!B11</t>
  </si>
  <si>
    <t>NORDICS_Q2_2026.xlsx / DEN_!KPI_3!B23</t>
  </si>
  <si>
    <t>NORDICS_Q2_2026.xlsx / NOR_!KPI_2!B11</t>
  </si>
  <si>
    <t>NORDICS_Q2_2026.xlsx / NOR_!KPI_3!B11</t>
  </si>
  <si>
    <t>NORDICS_Q2_2026.xlsx / NOR_!KPI_3!B23</t>
  </si>
  <si>
    <t>NORDICS_Q2_2026.xlsx / SWE_!KPI_2!B11</t>
  </si>
  <si>
    <t>NORDICS_Q2_2026.xlsx / SWE_!KPI_3!B11</t>
  </si>
  <si>
    <t>NORDICS_Q2_2026.xlsx / SWE_!KPI_3!B23</t>
  </si>
  <si>
    <t>ROMANIA_Q2_2026.xlsx!Quantitative follow up!B17</t>
  </si>
  <si>
    <t>ROMANIA_Q2_2026.xlsx!Quantitative follow up!B24</t>
  </si>
  <si>
    <t>BRAZIL_Q2_2026.xlsb!Relatorio!V13 / V44</t>
  </si>
  <si>
    <t>RCS_Q2_2026.xlsx!KPI_2!B11</t>
  </si>
  <si>
    <t>RCS_Q2_2026.xlsx!KPI_3!B11</t>
  </si>
  <si>
    <t>Processed components 2026-07</t>
  </si>
  <si>
    <t>Gross less processed 2026-07</t>
  </si>
  <si>
    <t>Processed components 2026-08</t>
  </si>
  <si>
    <t>Gross less processed 2026-08</t>
  </si>
  <si>
    <t>Processed components 2026-09</t>
  </si>
  <si>
    <t>Gross less processed 2026-09</t>
  </si>
  <si>
    <t>C:\Users\adnan\.codex\attachments\47115144-a9fa-42ff-8df7-f0b6ed2a3f35\Pasted text.txt / BELGIUM (paste-relative rows)!KPI_2!B11</t>
  </si>
  <si>
    <t>C:\Users\adnan\.codex\attachments\47115144-a9fa-42ff-8df7-f0b6ed2a3f35\Pasted text.txt / BELGIUM (paste-relative rows)!KPI_3!B11</t>
  </si>
  <si>
    <t>C:\Users\adnan\.codex\attachments\47115144-a9fa-42ff-8df7-f0b6ed2a3f35\Pasted text.txt / SPAIN (paste-relative rows)!KPI_2!B12</t>
  </si>
  <si>
    <t>C:\Users\adnan\.codex\attachments\47115144-a9fa-42ff-8df7-f0b6ed2a3f35\Pasted text.txt / SPAIN (paste-relative rows)!KPI_3!B11</t>
  </si>
  <si>
    <t>C:\Users\adnan\.codex\attachments\47115144-a9fa-42ff-8df7-f0b6ed2a3f35\Pasted text.txt / FRANCE (paste-relative rows)!KPI_2!B12</t>
  </si>
  <si>
    <t>C:\Users\adnan\.codex\attachments\47115144-a9fa-42ff-8df7-f0b6ed2a3f35\Pasted text.txt / FRANCE (paste-relative rows)!KPI_3!B12</t>
  </si>
  <si>
    <t>C:\Users\adnan\.codex\attachments\47115144-a9fa-42ff-8df7-f0b6ed2a3f35\Pasted text.txt / ITALY (paste-relative rows)!KPI_2!B11</t>
  </si>
  <si>
    <t>C:\Users\adnan\.codex\attachments\47115144-a9fa-42ff-8df7-f0b6ed2a3f35\Pasted text.txt / ITALY (paste-relative rows)!KPI_3!B12</t>
  </si>
  <si>
    <t>C:\Users\adnan\.codex\attachments\47115144-a9fa-42ff-8df7-f0b6ed2a3f35\Pasted text.txt / ITALY (paste-relative rows)!KPI_3!B24</t>
  </si>
  <si>
    <t>C:\Users\adnan\.codex\attachments\47115144-a9fa-42ff-8df7-f0b6ed2a3f35\Pasted text.txt / PORTUGAL (paste-relative rows)!KPI_2!B12</t>
  </si>
  <si>
    <t>C:\Users\adnan\.codex\attachments\47115144-a9fa-42ff-8df7-f0b6ed2a3f35\Pasted text.txt / PORTUGAL (paste-relative rows)!KPI_3!B12</t>
  </si>
  <si>
    <t>C:\Users\adnan\.codex\attachments\47115144-a9fa-42ff-8df7-f0b6ed2a3f35\Pasted text.txt / UK (paste-relative rows)!KPI_2!B12</t>
  </si>
  <si>
    <t>C:\Users\adnan\.codex\attachments\47115144-a9fa-42ff-8df7-f0b6ed2a3f35\Pasted text.txt / UK (paste-relative rows)!KPI_3!B12</t>
  </si>
  <si>
    <t>NORDICS_Q32026.xlsx / DEN_!KPI_2!B11</t>
  </si>
  <si>
    <t>NORDICS_Q32026.xlsx / DEN_!KPI_3!B11</t>
  </si>
  <si>
    <t>NORDICS_Q32026.xlsx / DEN_!KPI_3!B23</t>
  </si>
  <si>
    <t>NORDICS_Q32026.xlsx / NOR_!KPI_2!B11</t>
  </si>
  <si>
    <t>NORDICS_Q32026.xlsx / NOR_!KPI_3!B11</t>
  </si>
  <si>
    <t>NORDICS_Q32026.xlsx / NOR_!KPI_3!B23</t>
  </si>
  <si>
    <t>NORDICS_Q32026.xlsx / SWE_!KPI_2!B11</t>
  </si>
  <si>
    <t>NORDICS_Q32026.xlsx / SWE_!KPI_3!B11</t>
  </si>
  <si>
    <t>NORDICS_Q32026.xlsx / SWE_!KPI_3!B23</t>
  </si>
  <si>
    <t>RCS_Q32026.xlsx!KPI_2!B11</t>
  </si>
  <si>
    <t>RCS_Q32026.xlsx!KPI_3!B11</t>
  </si>
  <si>
    <t>BRAZIL_Q32026.xlsb!Relatorio!Y13 / Y44</t>
  </si>
  <si>
    <t>C:\Users\adnan\.codex\attachments\311c1c40-cf54-484c-9738-5f6f10dcba23\Pasted text.txt / AUSTRIA (paste-relative rows)!KPI_2!B11</t>
  </si>
  <si>
    <t>C:\Users\adnan\.codex\attachments\311c1c40-cf54-484c-9738-5f6f10dcba23\Pasted text.txt / AUSTRIA (paste-relative rows)!KPI_3!B11</t>
  </si>
  <si>
    <t>C:\Users\adnan\.codex\attachments\311c1c40-cf54-484c-9738-5f6f10dcba23\Pasted text.txt / AUSTRIA (paste-relative rows)!KPI_3!B23</t>
  </si>
  <si>
    <t>C:\Users\adnan\.codex\attachments\311c1c40-cf54-484c-9738-5f6f10dcba23\Pasted text.txt / GERMANY (paste-relative rows)!KPI_2!B12</t>
  </si>
  <si>
    <t>C:\Users\adnan\.codex\attachments\311c1c40-cf54-484c-9738-5f6f10dcba23\Pasted text.txt / GERMANY (paste-relative rows)!KPI_3!B13</t>
  </si>
  <si>
    <t>Repeated cohort IN 2026-04 amount</t>
  </si>
  <si>
    <t>Source revision</t>
  </si>
  <si>
    <t>Repeated cohort IN 2026-04 count</t>
  </si>
  <si>
    <t>Repeated cohort IN 2026-05 amount</t>
  </si>
  <si>
    <t>Repeated cohort IN 2026-05 count</t>
  </si>
  <si>
    <t>Repeated cohort IN 2026-06 amount</t>
  </si>
  <si>
    <t>Repeated cohort IN 2026-06 count</t>
  </si>
  <si>
    <t>Q2 and Q3 at the same Q3 closing exchange rate</t>
  </si>
  <si>
    <t>Q2 original FX</t>
  </si>
  <si>
    <t>Q3 comparison FX</t>
  </si>
  <si>
    <t>Q2 local stock</t>
  </si>
  <si>
    <t>Q2 at original FX</t>
  </si>
  <si>
    <t>Q2 at Q3 FX</t>
  </si>
  <si>
    <t>Q3 local stock</t>
  </si>
  <si>
    <t>Q3 at Q3 FX</t>
  </si>
  <si>
    <t>Q3 / Q2 change</t>
  </si>
  <si>
    <t>Source totals and commentary</t>
  </si>
  <si>
    <t>Distribution</t>
  </si>
  <si>
    <t>Reported count</t>
  </si>
  <si>
    <t>Reported amount local</t>
  </si>
  <si>
    <t>stock_bins</t>
  </si>
  <si>
    <t>stock_vintages</t>
  </si>
  <si>
    <t>GLOBAL countries: Stock analysis</t>
  </si>
  <si>
    <t>Positive Balance     2026Q3     Source: country workbooks and Taux.xlsx     Internal</t>
  </si>
  <si>
    <t>Positive Balance     2026Q3     Source: supplied historical reporting store     Internal</t>
  </si>
  <si>
    <t>Positive Balance     2026Q3     Updated country inputs and closing FX     Internal</t>
  </si>
  <si>
    <t>Q2 and Q3 translated at Q3 2026 closing FX. Romania unavailable; totals cover 13 countries.</t>
  </si>
  <si>
    <t>GLOBAL stock matrix</t>
  </si>
  <si>
    <t>Prior identified EUR</t>
  </si>
  <si>
    <t>Current identified EUR</t>
  </si>
  <si>
    <t>Change</t>
  </si>
  <si>
    <t>Remaining EUR</t>
  </si>
  <si>
    <t>Identified &lt;2025</t>
  </si>
  <si>
    <t>Identified 2025</t>
  </si>
  <si>
    <t>Identified 2026</t>
  </si>
  <si>
    <t>Remaining &lt;2025</t>
  </si>
  <si>
    <t>Remaining 2025</t>
  </si>
  <si>
    <t>Remaining 2026</t>
  </si>
  <si>
    <t>Germany + Austria</t>
  </si>
  <si>
    <t>Countries</t>
  </si>
  <si>
    <t>Evolution
current / prior</t>
  </si>
  <si>
    <t>TOTAL available perimeter</t>
  </si>
  <si>
    <t>Identified stock = stock to be processed + unreachable customers where this category applies.</t>
  </si>
  <si>
    <t>The lower chart isolates stock still to be processed. Vintage buckets are calculated from KPI_2.</t>
  </si>
  <si>
    <t>2026Q2
at Q3 FX</t>
  </si>
  <si>
    <t>Identified stock = pending + unreachable balances; Belgium adds public authority refunds.</t>
  </si>
  <si>
    <t>Stock vintages preserve the country source scope. Q2 / Q3 comparisons use identical Q3 closing rates.</t>
  </si>
  <si>
    <t>GLOBAL countries: Monthly inflow and treatment efficiency</t>
  </si>
  <si>
    <t>EUR amounts. M-5 efficiency uses the oldest cohort in each reporting snapshot. Q2 and Q3 translated at Q3 2026 closing FX. Romania unavailable; totals cover 13 countries.</t>
  </si>
  <si>
    <t>GLOBAL monthly by country</t>
  </si>
  <si>
    <t>Month</t>
  </si>
  <si>
    <t>Apr-26</t>
  </si>
  <si>
    <t>May-26</t>
  </si>
  <si>
    <t>Jun-26</t>
  </si>
  <si>
    <t>Jul-26</t>
  </si>
  <si>
    <t>Aug-26</t>
  </si>
  <si>
    <t>Sep-26</t>
  </si>
  <si>
    <t>GLOBAL oldest cohort comparison</t>
  </si>
  <si>
    <t>Prior number</t>
  </si>
  <si>
    <t>Current number</t>
  </si>
  <si>
    <t>Prior amount</t>
  </si>
  <si>
    <t>Current amount</t>
  </si>
  <si>
    <t>Monthly average</t>
  </si>
  <si>
    <t>Total available</t>
  </si>
  <si>
    <t>Efficiency in amount</t>
  </si>
  <si>
    <t>Efficiency in number</t>
  </si>
  <si>
    <t>Compare the same M-5 cohort maturity across reporting dates.</t>
  </si>
  <si>
    <t>CORE countries: Stock analysis</t>
  </si>
  <si>
    <t>Q2 and Q3 translated at Q3 2026 closing FX. Available country perimeter. See Coverage.</t>
  </si>
  <si>
    <t>core stock matrix</t>
  </si>
  <si>
    <t>CORE countries: Monthly inflow and treatment efficiency</t>
  </si>
  <si>
    <t>EUR amounts. M-5 efficiency uses the oldest cohort in each reporting snapshot. Q2 and Q3 translated at Q3 2026 closing FX. Available country perimeter. See Coverage.</t>
  </si>
  <si>
    <t>core monthly by country</t>
  </si>
  <si>
    <t>core oldest cohort comparison</t>
  </si>
  <si>
    <t>NON CORE countries: Stock analysis</t>
  </si>
  <si>
    <t>noncore stock matrix</t>
  </si>
  <si>
    <t>The vintage table excludes the separate CST accounts.</t>
  </si>
  <si>
    <t>Stock in EUR</t>
  </si>
  <si>
    <t>TOTAL available</t>
  </si>
  <si>
    <t>Waiting accounts for Nordics (CST)</t>
  </si>
  <si>
    <t>2026Q2 EUR</t>
  </si>
  <si>
    <t>2026Q3 EUR</t>
  </si>
  <si>
    <t>CST balances are received separately and are not present in the source workbooks.
Romania and Brazil are not included in this report.</t>
  </si>
  <si>
    <t>CST balances are received separately and are not available in the supplied store.
Romania and Brazil: Q3 data not supplied.</t>
  </si>
  <si>
    <t>Separate CST account balances are not supplied. CSR movements are not account balances.
Brazil stock and calendar IN/OUT movements are included. Romania: Q3 data unavailable.</t>
  </si>
  <si>
    <t>Reporting at 30 September 2026. Six monthly cohorts.</t>
  </si>
  <si>
    <t>ES monthly chart</t>
  </si>
  <si>
    <t>With client refund</t>
  </si>
  <si>
    <t>False positive balance</t>
  </si>
  <si>
    <t>To be processed</t>
  </si>
  <si>
    <t>Customer not reachable</t>
  </si>
  <si>
    <t>STOCK OF POSITIVE BALANCES
to be processed (KPI_3)</t>
  </si>
  <si>
    <t>Number of
contracts</t>
  </si>
  <si>
    <t>Total amount
EUR</t>
  </si>
  <si>
    <t>% in
number</t>
  </si>
  <si>
    <t>% in
amount</t>
  </si>
  <si>
    <t>Total:</t>
  </si>
  <si>
    <t>By date of positive balance</t>
  </si>
  <si>
    <t>Some vintage details are missing. The reported total is retained.</t>
  </si>
  <si>
    <t>ES insight metrics</t>
  </si>
  <si>
    <t>Average contract</t>
  </si>
  <si>
    <t>M-5 amount</t>
  </si>
  <si>
    <t>M-5 count</t>
  </si>
  <si>
    <t>Remaining</t>
  </si>
  <si>
    <t>Identified</t>
  </si>
  <si>
    <t>Identified stock change vs 2026Q2: 0.3%.</t>
  </si>
  <si>
    <t>STOCK OF POSITIVE BALANCES
Source distribution — see scope note</t>
  </si>
  <si>
    <t>2026Q3 — EUR. KPI_3 scope may differ from identified stock; see Controles.</t>
  </si>
  <si>
    <t>DE monthly chart</t>
  </si>
  <si>
    <t>DE insight metrics</t>
  </si>
  <si>
    <t>Identified stock change vs 2026Q2: -20.0%.</t>
  </si>
  <si>
    <t>AT monthly chart</t>
  </si>
  <si>
    <t>AT insight metrics</t>
  </si>
  <si>
    <t>Identified stock change vs 2026Q2: 17.7%.</t>
  </si>
  <si>
    <t>BE monthly chart</t>
  </si>
  <si>
    <t>Public authority refund</t>
  </si>
  <si>
    <t>BE insight metrics</t>
  </si>
  <si>
    <t>Identified stock change vs 2026Q2: 8.0%.</t>
  </si>
  <si>
    <t>IT monthly chart</t>
  </si>
  <si>
    <t>IT insight metrics</t>
  </si>
  <si>
    <t>Identified stock change vs 2026Q2: 13.6%.</t>
  </si>
  <si>
    <t>PT monthly chart</t>
  </si>
  <si>
    <t>PT insight metrics</t>
  </si>
  <si>
    <t>Identified stock change vs 2026Q2: 2.4%.</t>
  </si>
  <si>
    <t>FR monthly chart</t>
  </si>
  <si>
    <t>FR insight metrics</t>
  </si>
  <si>
    <t>Identified stock change vs 2026Q2: -9.6%.</t>
  </si>
  <si>
    <t>UK in GBP</t>
  </si>
  <si>
    <t>UK monthly chart</t>
  </si>
  <si>
    <t>Total amount
GBP</t>
  </si>
  <si>
    <t>UK insight metrics</t>
  </si>
  <si>
    <t>Identified stock change vs 2026Q2: 21.8%.</t>
  </si>
  <si>
    <t>2026Q3 — GBP. KPI_3 scope may differ from identified stock; see Controles.</t>
  </si>
  <si>
    <t>South Africa in ZAR</t>
  </si>
  <si>
    <t>ZA monthly chart</t>
  </si>
  <si>
    <t>Total amount
ZAR</t>
  </si>
  <si>
    <t>Amount bands omitted: source distribution is not informative.</t>
  </si>
  <si>
    <t>ZA insight metrics</t>
  </si>
  <si>
    <t>Identified stock change vs 2026Q2: 6.8%.</t>
  </si>
  <si>
    <t>2026Q3 — ZAR. KPI_3 scope may differ from identified stock; see Controles.</t>
  </si>
  <si>
    <t>Brazil in BRL</t>
  </si>
  <si>
    <t>Brazil calendar movements</t>
  </si>
  <si>
    <t>IN BRL</t>
  </si>
  <si>
    <t>OUT BRL</t>
  </si>
  <si>
    <t>IN transactions</t>
  </si>
  <si>
    <t>OUT transactions</t>
  </si>
  <si>
    <t>Closing stock BRL</t>
  </si>
  <si>
    <t>IN: green, left axis. OUT: orange, right axis. Different scales keep both series visible. Calendar OUT is not cohort treatment.</t>
  </si>
  <si>
    <t>Total amount
BRL</t>
  </si>
  <si>
    <t>Average monthly IN: 12,264 BRL. Average amount per incoming transaction: 101 BRL.</t>
  </si>
  <si>
    <t>Cohort treatment efficiency: 0 displayed because this measure is not supplied for Brazil.</t>
  </si>
  <si>
    <t>Reported stock: 22,106,988 BRL.</t>
  </si>
  <si>
    <t>Stock change vs Q2 at constant Q3 FX: -1.0%.</t>
  </si>
  <si>
    <t>2026Q3 — BRL. KPI_3 scope may differ from identified stock; see Controles.</t>
  </si>
  <si>
    <t>2026Q3 — BRL. Source: Brazil balance and aging report; calendar IN / OUT.</t>
  </si>
  <si>
    <t>Denmark in DKK</t>
  </si>
  <si>
    <t>DK monthly chart</t>
  </si>
  <si>
    <t>Other processing without refund</t>
  </si>
  <si>
    <t>Total amount
DKK</t>
  </si>
  <si>
    <t>DK insight metrics</t>
  </si>
  <si>
    <t>Separate CST account not supplied. Identified stock excludes CST.</t>
  </si>
  <si>
    <t>2026Q3 — DKK. KPI_3 scope may differ from identified stock; see Controles.</t>
  </si>
  <si>
    <t>Norway in NOK</t>
  </si>
  <si>
    <t>NO monthly chart</t>
  </si>
  <si>
    <t>Total amount
NOK</t>
  </si>
  <si>
    <t>NO insight metrics</t>
  </si>
  <si>
    <t>2026Q3 — NOK. KPI_3 scope may differ from identified stock; see Controles.</t>
  </si>
  <si>
    <t>Sweden in SEK</t>
  </si>
  <si>
    <t>SE monthly chart</t>
  </si>
  <si>
    <t>Total amount
SEK</t>
  </si>
  <si>
    <t>SE insight metrics</t>
  </si>
  <si>
    <t>2026Q3 — SEK. KPI_3 scope may differ from identified stock; see Controles.</t>
  </si>
  <si>
    <t>Les pages détaillées présentent le trimestre généré. Relancer Python avec --report detailed ou both pour le trimestre suivant.</t>
  </si>
  <si>
    <t>Les vues Global/Core/Non Core couvrent uniquement les pays configurés et importés.</t>
  </si>
</sst>
</file>

<file path=xl/styles.xml><?xml version="1.0" encoding="utf-8"?>
<styleSheet xmlns="http://schemas.openxmlformats.org/spreadsheetml/2006/main">
  <numFmts count="7">
    <numFmt numFmtId="164" formatCode="#,##0;(#,##0);&quot;–&quot;"/>
    <numFmt numFmtId="165" formatCode="0.0%"/>
    <numFmt numFmtId="166" formatCode="dd/mm/yyyy"/>
    <numFmt numFmtId="167" formatCode="#,##0;(#,##0);0"/>
    <numFmt numFmtId="168" formatCode="#,##0.00;(#,##0.00);&quot;–&quot;"/>
    <numFmt numFmtId="169" formatCode="mmm-yy"/>
    <numFmt numFmtId="170" formatCode="0.00000000"/>
  </numFmts>
  <fonts count="15">
    <font>
      <sz val="11"/>
      <color theme="1"/>
      <name val="Calibri"/>
      <family val="2"/>
      <scheme val="minor"/>
    </font>
    <font>
      <sz val="9"/>
      <color rgb="FF526269"/>
      <name val="Arial"/>
      <family val="2"/>
    </font>
    <font>
      <sz val="23"/>
      <color rgb="FF17333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263A42"/>
      <name val="Arial"/>
      <family val="2"/>
    </font>
    <font>
      <sz val="8"/>
      <color rgb="FF526269"/>
      <name val="Arial"/>
      <family val="2"/>
    </font>
    <font>
      <b/>
      <sz val="24"/>
      <color rgb="FFFFFFFF"/>
      <name val="Arial"/>
      <family val="2"/>
    </font>
    <font>
      <b/>
      <sz val="10"/>
      <color rgb="FF00627A"/>
      <name val="Arial"/>
      <family val="2"/>
    </font>
    <font>
      <b/>
      <sz val="16"/>
      <color rgb="FF16324F"/>
      <name val="Arial"/>
      <family val="2"/>
    </font>
    <font>
      <i/>
      <sz val="10"/>
      <color rgb="FF566474"/>
      <name val="Arial"/>
      <family val="2"/>
    </font>
    <font>
      <b/>
      <sz val="10"/>
      <color rgb="FFFFFFFF"/>
      <name val="Arial"/>
      <family val="2"/>
    </font>
    <font>
      <sz val="10"/>
      <color rgb="FF993B15"/>
      <name val="Arial"/>
      <family val="2"/>
    </font>
    <font>
      <i/>
      <sz val="10"/>
      <color theme="1"/>
      <name val="Arial"/>
      <family val="2"/>
    </font>
    <font>
      <b/>
      <sz val="10"/>
      <color rgb="FF16324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77B900"/>
        <bgColor indexed="64"/>
      </patternFill>
    </fill>
    <fill>
      <patternFill patternType="solid">
        <fgColor rgb="FFEAF3F4"/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00627A"/>
        <bgColor indexed="64"/>
      </patternFill>
    </fill>
    <fill>
      <patternFill patternType="solid">
        <fgColor rgb="FF16324F"/>
        <bgColor indexed="64"/>
      </patternFill>
    </fill>
    <fill>
      <patternFill patternType="solid">
        <fgColor rgb="FF18334F"/>
        <bgColor indexed="64"/>
      </patternFill>
    </fill>
  </fills>
  <borders count="4">
    <border>
      <left/>
      <right/>
      <top/>
      <bottom/>
      <diagonal/>
    </border>
    <border>
      <left style="thin">
        <color rgb="FF607D8B"/>
      </left>
      <right style="thin">
        <color rgb="FF607D8B"/>
      </right>
      <top style="thin">
        <color rgb="FF607D8B"/>
      </top>
      <bottom style="thin">
        <color rgb="FF607D8B"/>
      </bottom>
      <diagonal/>
    </border>
    <border>
      <left style="thin">
        <color rgb="FF8B969B"/>
      </left>
      <right style="thin">
        <color rgb="FF8B969B"/>
      </right>
      <top style="thin">
        <color rgb="FF8B969B"/>
      </top>
      <bottom style="thin">
        <color rgb="FF8B969B"/>
      </bottom>
      <diagonal/>
    </border>
    <border>
      <left/>
      <right/>
      <top/>
      <bottom style="thin">
        <color rgb="FF9DAAB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 wrapText="1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0" fillId="5" borderId="0" xfId="0" applyFill="1"/>
    <xf numFmtId="0" fontId="7" fillId="5" borderId="0" xfId="0" applyFont="1" applyFill="1" applyAlignment="1">
      <alignment vertical="center"/>
    </xf>
    <xf numFmtId="166" fontId="8" fillId="3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167" fontId="4" fillId="0" borderId="2" xfId="0" applyNumberFormat="1" applyFont="1" applyBorder="1" applyAlignment="1">
      <alignment horizontal="right" vertical="center"/>
    </xf>
    <xf numFmtId="167" fontId="3" fillId="4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6" borderId="0" xfId="0" applyFont="1" applyFill="1" applyAlignment="1">
      <alignment horizontal="center" vertical="center" wrapText="1"/>
    </xf>
    <xf numFmtId="168" fontId="4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169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170" fontId="4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14" fillId="0" borderId="3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11" fillId="7" borderId="0" xfId="0" applyFont="1" applyFill="1" applyAlignment="1">
      <alignment vertical="center" wrapText="1"/>
    </xf>
  </cellXfs>
  <cellStyles count="1">
    <cellStyle name="Normal" xfId="0" builtinId="0"/>
  </cellStyles>
  <dxfs count="3">
    <dxf>
      <font>
        <color rgb="FF993B15"/>
      </font>
    </dxf>
    <dxf>
      <font>
        <color rgb="FF993B15"/>
      </font>
      <fill>
        <patternFill>
          <bgColor rgb="FFFFF0E3"/>
        </patternFill>
      </fill>
    </dxf>
    <dxf>
      <border>
        <left style="thin">
          <color rgb="FF6C9EA8"/>
        </left>
        <right style="thin">
          <color rgb="FF6C9EA8"/>
        </right>
        <top style="thin">
          <color rgb="FF6C9EA8"/>
        </top>
        <bottom style="thin">
          <color rgb="FF6C9EA8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Total identified stock in EUR: 2026Q3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&lt;2025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GraphData!$A$7:$A$18</c:f>
              <c:strCache>
                <c:ptCount val="12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  <c:pt idx="8">
                  <c:v>Brazil</c:v>
                </c:pt>
                <c:pt idx="9">
                  <c:v>Denmark</c:v>
                </c:pt>
                <c:pt idx="10">
                  <c:v>Norway</c:v>
                </c:pt>
                <c:pt idx="11">
                  <c:v>Sweden</c:v>
                </c:pt>
              </c:strCache>
            </c:strRef>
          </c:cat>
          <c:val>
            <c:numRef>
              <c:f>GraphData!$F$7:$F$18</c:f>
              <c:numCache>
                <c:formatCode>General</c:formatCode>
                <c:ptCount val="12"/>
                <c:pt idx="0">
                  <c:v>283623</c:v>
                </c:pt>
                <c:pt idx="1">
                  <c:v>824535</c:v>
                </c:pt>
                <c:pt idx="2">
                  <c:v>41555</c:v>
                </c:pt>
                <c:pt idx="3">
                  <c:v>1761215</c:v>
                </c:pt>
                <c:pt idx="4">
                  <c:v>7991</c:v>
                </c:pt>
                <c:pt idx="5">
                  <c:v>69830</c:v>
                </c:pt>
                <c:pt idx="6">
                  <c:v>1750285.373187655</c:v>
                </c:pt>
                <c:pt idx="7">
                  <c:v>853771.8989843978</c:v>
                </c:pt>
                <c:pt idx="8">
                  <c:v>3645132.594854578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2025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GraphData!$A$7:$A$18</c:f>
              <c:strCache>
                <c:ptCount val="12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  <c:pt idx="8">
                  <c:v>Brazil</c:v>
                </c:pt>
                <c:pt idx="9">
                  <c:v>Denmark</c:v>
                </c:pt>
                <c:pt idx="10">
                  <c:v>Norway</c:v>
                </c:pt>
                <c:pt idx="11">
                  <c:v>Sweden</c:v>
                </c:pt>
              </c:strCache>
            </c:strRef>
          </c:cat>
          <c:val>
            <c:numRef>
              <c:f>GraphData!$G$7:$G$18</c:f>
              <c:numCache>
                <c:formatCode>General</c:formatCode>
                <c:ptCount val="12"/>
                <c:pt idx="0">
                  <c:v>31090</c:v>
                </c:pt>
                <c:pt idx="1">
                  <c:v>323497</c:v>
                </c:pt>
                <c:pt idx="2">
                  <c:v>1390</c:v>
                </c:pt>
                <c:pt idx="3">
                  <c:v>339318</c:v>
                </c:pt>
                <c:pt idx="4">
                  <c:v>64102</c:v>
                </c:pt>
                <c:pt idx="5">
                  <c:v>267533</c:v>
                </c:pt>
                <c:pt idx="6">
                  <c:v>733237.6044435789</c:v>
                </c:pt>
                <c:pt idx="7">
                  <c:v>331751.7109314926</c:v>
                </c:pt>
                <c:pt idx="8">
                  <c:v>112194.0044735404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2026</c:v>
          </c:tx>
          <c:spPr>
            <a:solidFill>
              <a:srgbClr val="77B900"/>
            </a:solidFill>
            <a:ln>
              <a:noFill/>
            </a:ln>
          </c:spPr>
          <c:cat>
            <c:strRef>
              <c:f>GraphData!$A$7:$A$18</c:f>
              <c:strCache>
                <c:ptCount val="12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  <c:pt idx="8">
                  <c:v>Brazil</c:v>
                </c:pt>
                <c:pt idx="9">
                  <c:v>Denmark</c:v>
                </c:pt>
                <c:pt idx="10">
                  <c:v>Norway</c:v>
                </c:pt>
                <c:pt idx="11">
                  <c:v>Sweden</c:v>
                </c:pt>
              </c:strCache>
            </c:strRef>
          </c:cat>
          <c:val>
            <c:numRef>
              <c:f>GraphData!$H$7:$H$18</c:f>
              <c:numCache>
                <c:formatCode>General</c:formatCode>
                <c:ptCount val="12"/>
                <c:pt idx="0">
                  <c:v>1478452</c:v>
                </c:pt>
                <c:pt idx="1">
                  <c:v>1645005</c:v>
                </c:pt>
                <c:pt idx="2">
                  <c:v>104655</c:v>
                </c:pt>
                <c:pt idx="3">
                  <c:v>1333869</c:v>
                </c:pt>
                <c:pt idx="4">
                  <c:v>535499</c:v>
                </c:pt>
                <c:pt idx="5">
                  <c:v>2661575</c:v>
                </c:pt>
                <c:pt idx="6">
                  <c:v>1000391.12450384</c:v>
                </c:pt>
                <c:pt idx="7">
                  <c:v>862774.9705138876</c:v>
                </c:pt>
                <c:pt idx="8">
                  <c:v>17842.99631608924</c:v>
                </c:pt>
                <c:pt idx="9">
                  <c:v>2162.493668118371</c:v>
                </c:pt>
                <c:pt idx="10">
                  <c:v>2025.348040871968</c:v>
                </c:pt>
                <c:pt idx="11">
                  <c:v>15218.24551504693</c:v>
                </c:pt>
              </c:numCache>
            </c:numRef>
          </c:val>
        </c:ser>
        <c:gapWidth val="85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Stock to be processed in EUR: 2026Q3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&lt;2025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GraphData!$A$7:$A$18</c:f>
              <c:strCache>
                <c:ptCount val="12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  <c:pt idx="8">
                  <c:v>Brazil</c:v>
                </c:pt>
                <c:pt idx="9">
                  <c:v>Denmark</c:v>
                </c:pt>
                <c:pt idx="10">
                  <c:v>Norway</c:v>
                </c:pt>
                <c:pt idx="11">
                  <c:v>Sweden</c:v>
                </c:pt>
              </c:strCache>
            </c:strRef>
          </c:cat>
          <c:val>
            <c:numRef>
              <c:f>GraphData!$I$7:$I$18</c:f>
              <c:numCache>
                <c:formatCode>General</c:formatCode>
                <c:ptCount val="12"/>
                <c:pt idx="0">
                  <c:v>-2032</c:v>
                </c:pt>
                <c:pt idx="1">
                  <c:v>816856</c:v>
                </c:pt>
                <c:pt idx="2">
                  <c:v>0</c:v>
                </c:pt>
                <c:pt idx="3">
                  <c:v>0</c:v>
                </c:pt>
                <c:pt idx="4">
                  <c:v>-9373</c:v>
                </c:pt>
                <c:pt idx="5">
                  <c:v>0</c:v>
                </c:pt>
                <c:pt idx="6">
                  <c:v>381.5392089879964</c:v>
                </c:pt>
                <c:pt idx="7">
                  <c:v>612503.3634755806</c:v>
                </c:pt>
                <c:pt idx="8">
                  <c:v>3645132.594854578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2025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GraphData!$A$7:$A$18</c:f>
              <c:strCache>
                <c:ptCount val="12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  <c:pt idx="8">
                  <c:v>Brazil</c:v>
                </c:pt>
                <c:pt idx="9">
                  <c:v>Denmark</c:v>
                </c:pt>
                <c:pt idx="10">
                  <c:v>Norway</c:v>
                </c:pt>
                <c:pt idx="11">
                  <c:v>Sweden</c:v>
                </c:pt>
              </c:strCache>
            </c:strRef>
          </c:cat>
          <c:val>
            <c:numRef>
              <c:f>GraphData!$J$7:$J$18</c:f>
              <c:numCache>
                <c:formatCode>General</c:formatCode>
                <c:ptCount val="12"/>
                <c:pt idx="0">
                  <c:v>15001</c:v>
                </c:pt>
                <c:pt idx="1">
                  <c:v>304803</c:v>
                </c:pt>
                <c:pt idx="2">
                  <c:v>1390</c:v>
                </c:pt>
                <c:pt idx="3">
                  <c:v>133081</c:v>
                </c:pt>
                <c:pt idx="4">
                  <c:v>47517</c:v>
                </c:pt>
                <c:pt idx="5">
                  <c:v>237048</c:v>
                </c:pt>
                <c:pt idx="6">
                  <c:v>46840.37491447114</c:v>
                </c:pt>
                <c:pt idx="7">
                  <c:v>331751.7109314926</c:v>
                </c:pt>
                <c:pt idx="8">
                  <c:v>112194.0044735404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2026</c:v>
          </c:tx>
          <c:spPr>
            <a:solidFill>
              <a:srgbClr val="77B900"/>
            </a:solidFill>
            <a:ln>
              <a:noFill/>
            </a:ln>
          </c:spPr>
          <c:cat>
            <c:strRef>
              <c:f>GraphData!$A$7:$A$18</c:f>
              <c:strCache>
                <c:ptCount val="12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  <c:pt idx="8">
                  <c:v>Brazil</c:v>
                </c:pt>
                <c:pt idx="9">
                  <c:v>Denmark</c:v>
                </c:pt>
                <c:pt idx="10">
                  <c:v>Norway</c:v>
                </c:pt>
                <c:pt idx="11">
                  <c:v>Sweden</c:v>
                </c:pt>
              </c:strCache>
            </c:strRef>
          </c:cat>
          <c:val>
            <c:numRef>
              <c:f>GraphData!$K$7:$K$18</c:f>
              <c:numCache>
                <c:formatCode>General</c:formatCode>
                <c:ptCount val="12"/>
                <c:pt idx="0">
                  <c:v>1467349</c:v>
                </c:pt>
                <c:pt idx="1">
                  <c:v>1641703</c:v>
                </c:pt>
                <c:pt idx="2">
                  <c:v>104655</c:v>
                </c:pt>
                <c:pt idx="3">
                  <c:v>1067265</c:v>
                </c:pt>
                <c:pt idx="4">
                  <c:v>503988</c:v>
                </c:pt>
                <c:pt idx="5">
                  <c:v>2661575</c:v>
                </c:pt>
                <c:pt idx="6">
                  <c:v>966521.9123292885</c:v>
                </c:pt>
                <c:pt idx="7">
                  <c:v>862774.9705138876</c:v>
                </c:pt>
                <c:pt idx="8">
                  <c:v>17842.99631608924</c:v>
                </c:pt>
                <c:pt idx="9">
                  <c:v>2162.493668118371</c:v>
                </c:pt>
                <c:pt idx="10">
                  <c:v>2025.348040871968</c:v>
                </c:pt>
                <c:pt idx="11">
                  <c:v>15218.24551504693</c:v>
                </c:pt>
              </c:numCache>
            </c:numRef>
          </c:val>
        </c:ser>
        <c:gapWidth val="85"/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Monthly flow in EUR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Spain</c:v>
          </c:tx>
          <c:spPr>
            <a:solidFill>
              <a:srgbClr val="00627A"/>
            </a:solidFill>
            <a:ln>
              <a:noFill/>
            </a:ln>
          </c:spPr>
          <c:cat>
            <c:strRef>
              <c:f>GraphData!$A$24:$A$29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GraphData!$B$24:$B$29</c:f>
              <c:numCache>
                <c:formatCode>General</c:formatCode>
                <c:ptCount val="6"/>
                <c:pt idx="0">
                  <c:v>3475518</c:v>
                </c:pt>
                <c:pt idx="1">
                  <c:v>3162844</c:v>
                </c:pt>
                <c:pt idx="2">
                  <c:v>4107101</c:v>
                </c:pt>
                <c:pt idx="3">
                  <c:v>3892550</c:v>
                </c:pt>
                <c:pt idx="4">
                  <c:v>2506521</c:v>
                </c:pt>
                <c:pt idx="5">
                  <c:v>3356886</c:v>
                </c:pt>
              </c:numCache>
            </c:numRef>
          </c:val>
        </c:ser>
        <c:ser>
          <c:idx val="1"/>
          <c:order val="1"/>
          <c:tx>
            <c:v>Germany + Austria</c:v>
          </c:tx>
          <c:spPr>
            <a:solidFill>
              <a:srgbClr val="B75132"/>
            </a:solidFill>
            <a:ln>
              <a:noFill/>
            </a:ln>
          </c:spPr>
          <c:cat>
            <c:strRef>
              <c:f>GraphData!$A$24:$A$29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GraphData!$C$24:$C$29</c:f>
              <c:numCache>
                <c:formatCode>General</c:formatCode>
                <c:ptCount val="6"/>
                <c:pt idx="0">
                  <c:v>781466</c:v>
                </c:pt>
                <c:pt idx="1">
                  <c:v>689718</c:v>
                </c:pt>
                <c:pt idx="2">
                  <c:v>808135</c:v>
                </c:pt>
                <c:pt idx="3">
                  <c:v>954954</c:v>
                </c:pt>
                <c:pt idx="4">
                  <c:v>977254</c:v>
                </c:pt>
                <c:pt idx="5">
                  <c:v>851993</c:v>
                </c:pt>
              </c:numCache>
            </c:numRef>
          </c:val>
        </c:ser>
        <c:ser>
          <c:idx val="2"/>
          <c:order val="2"/>
          <c:tx>
            <c:v>Belgium</c:v>
          </c:tx>
          <c:spPr>
            <a:solidFill>
              <a:srgbClr val="4AA3B2"/>
            </a:solidFill>
            <a:ln>
              <a:noFill/>
            </a:ln>
          </c:spPr>
          <c:cat>
            <c:strRef>
              <c:f>GraphData!$A$24:$A$29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GraphData!$D$24:$D$29</c:f>
              <c:numCache>
                <c:formatCode>General</c:formatCode>
                <c:ptCount val="6"/>
                <c:pt idx="0">
                  <c:v>105005</c:v>
                </c:pt>
                <c:pt idx="1">
                  <c:v>68164</c:v>
                </c:pt>
                <c:pt idx="2">
                  <c:v>104341</c:v>
                </c:pt>
                <c:pt idx="3">
                  <c:v>71809</c:v>
                </c:pt>
                <c:pt idx="4">
                  <c:v>119870</c:v>
                </c:pt>
                <c:pt idx="5">
                  <c:v>52704</c:v>
                </c:pt>
              </c:numCache>
            </c:numRef>
          </c:val>
        </c:ser>
        <c:ser>
          <c:idx val="3"/>
          <c:order val="3"/>
          <c:tx>
            <c:v>Italy</c:v>
          </c:tx>
          <c:spPr>
            <a:solidFill>
              <a:srgbClr val="7E245A"/>
            </a:solidFill>
            <a:ln>
              <a:noFill/>
            </a:ln>
          </c:spPr>
          <c:cat>
            <c:strRef>
              <c:f>GraphData!$A$24:$A$29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GraphData!$E$24:$E$29</c:f>
              <c:numCache>
                <c:formatCode>General</c:formatCode>
                <c:ptCount val="6"/>
                <c:pt idx="0">
                  <c:v>1199204</c:v>
                </c:pt>
                <c:pt idx="1">
                  <c:v>1425617</c:v>
                </c:pt>
                <c:pt idx="2">
                  <c:v>977488</c:v>
                </c:pt>
                <c:pt idx="3">
                  <c:v>1234017</c:v>
                </c:pt>
                <c:pt idx="4">
                  <c:v>898183</c:v>
                </c:pt>
                <c:pt idx="5">
                  <c:v>820358</c:v>
                </c:pt>
              </c:numCache>
            </c:numRef>
          </c:val>
        </c:ser>
        <c:ser>
          <c:idx val="4"/>
          <c:order val="4"/>
          <c:tx>
            <c:v>Portugal</c:v>
          </c:tx>
          <c:spPr>
            <a:solidFill>
              <a:srgbClr val="549742"/>
            </a:solidFill>
            <a:ln>
              <a:noFill/>
            </a:ln>
          </c:spPr>
          <c:cat>
            <c:strRef>
              <c:f>GraphData!$A$24:$A$29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GraphData!$F$24:$F$29</c:f>
              <c:numCache>
                <c:formatCode>General</c:formatCode>
                <c:ptCount val="6"/>
                <c:pt idx="0">
                  <c:v>4060466</c:v>
                </c:pt>
                <c:pt idx="1">
                  <c:v>3650675</c:v>
                </c:pt>
                <c:pt idx="2">
                  <c:v>2534318</c:v>
                </c:pt>
                <c:pt idx="3">
                  <c:v>1649935</c:v>
                </c:pt>
                <c:pt idx="4">
                  <c:v>1234586</c:v>
                </c:pt>
                <c:pt idx="5">
                  <c:v>1001410</c:v>
                </c:pt>
              </c:numCache>
            </c:numRef>
          </c:val>
        </c:ser>
        <c:ser>
          <c:idx val="5"/>
          <c:order val="5"/>
          <c:tx>
            <c:v>France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GraphData!$A$24:$A$29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GraphData!$G$24:$G$29</c:f>
              <c:numCache>
                <c:formatCode>General</c:formatCode>
                <c:ptCount val="6"/>
                <c:pt idx="0">
                  <c:v>1825315</c:v>
                </c:pt>
                <c:pt idx="1">
                  <c:v>678076</c:v>
                </c:pt>
                <c:pt idx="2">
                  <c:v>1738908</c:v>
                </c:pt>
                <c:pt idx="3">
                  <c:v>1680101</c:v>
                </c:pt>
                <c:pt idx="4">
                  <c:v>1332153</c:v>
                </c:pt>
                <c:pt idx="5">
                  <c:v>1473477</c:v>
                </c:pt>
              </c:numCache>
            </c:numRef>
          </c:val>
        </c:ser>
        <c:ser>
          <c:idx val="6"/>
          <c:order val="6"/>
          <c:tx>
            <c:v>UK</c:v>
          </c:tx>
          <c:spPr>
            <a:solidFill>
              <a:srgbClr val="344D67"/>
            </a:solidFill>
            <a:ln>
              <a:noFill/>
            </a:ln>
          </c:spPr>
          <c:cat>
            <c:strRef>
              <c:f>GraphData!$A$24:$A$29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GraphData!$H$24:$H$29</c:f>
              <c:numCache>
                <c:formatCode>General</c:formatCode>
                <c:ptCount val="6"/>
                <c:pt idx="0">
                  <c:v>120964.3143685993</c:v>
                </c:pt>
                <c:pt idx="1">
                  <c:v>170612.3965295802</c:v>
                </c:pt>
                <c:pt idx="2">
                  <c:v>93546.15777669192</c:v>
                </c:pt>
                <c:pt idx="3">
                  <c:v>134405.9641085598</c:v>
                </c:pt>
                <c:pt idx="4">
                  <c:v>157081.7989985672</c:v>
                </c:pt>
                <c:pt idx="5">
                  <c:v>591232.4560283961</c:v>
                </c:pt>
              </c:numCache>
            </c:numRef>
          </c:val>
        </c:ser>
        <c:ser>
          <c:idx val="7"/>
          <c:order val="7"/>
          <c:tx>
            <c:v>South Africa</c:v>
          </c:tx>
          <c:spPr>
            <a:solidFill>
              <a:srgbClr val="CD5858"/>
            </a:solidFill>
            <a:ln>
              <a:noFill/>
            </a:ln>
          </c:spPr>
          <c:cat>
            <c:strRef>
              <c:f>GraphData!$A$24:$A$29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GraphData!$I$24:$I$29</c:f>
              <c:numCache>
                <c:formatCode>General</c:formatCode>
                <c:ptCount val="6"/>
                <c:pt idx="0">
                  <c:v>178090.7815674286</c:v>
                </c:pt>
                <c:pt idx="1">
                  <c:v>185044.7869699074</c:v>
                </c:pt>
                <c:pt idx="2">
                  <c:v>190318.6093493703</c:v>
                </c:pt>
                <c:pt idx="3">
                  <c:v>228755.4618962338</c:v>
                </c:pt>
                <c:pt idx="4">
                  <c:v>220324.5109098912</c:v>
                </c:pt>
                <c:pt idx="5">
                  <c:v>233632.7376151798</c:v>
                </c:pt>
              </c:numCache>
            </c:numRef>
          </c:val>
        </c:ser>
        <c:ser>
          <c:idx val="8"/>
          <c:order val="8"/>
          <c:tx>
            <c:v>Brazil</c:v>
          </c:tx>
          <c:spPr>
            <a:solidFill>
              <a:srgbClr val="00627A"/>
            </a:solidFill>
            <a:ln>
              <a:noFill/>
            </a:ln>
          </c:spPr>
          <c:cat>
            <c:strRef>
              <c:f>GraphData!$A$24:$A$29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GraphData!$J$24:$J$29</c:f>
              <c:numCache>
                <c:formatCode>General</c:formatCode>
                <c:ptCount val="6"/>
                <c:pt idx="0">
                  <c:v>3875.644853762896</c:v>
                </c:pt>
                <c:pt idx="1">
                  <c:v>2540.056833129127</c:v>
                </c:pt>
                <c:pt idx="2">
                  <c:v>1589.981347668489</c:v>
                </c:pt>
                <c:pt idx="3">
                  <c:v>1700.775729476986</c:v>
                </c:pt>
                <c:pt idx="4">
                  <c:v>250.3239217965882</c:v>
                </c:pt>
                <c:pt idx="5">
                  <c:v>2609.009600525298</c:v>
                </c:pt>
              </c:numCache>
            </c:numRef>
          </c:val>
        </c:ser>
        <c:ser>
          <c:idx val="9"/>
          <c:order val="9"/>
          <c:tx>
            <c:v>Denmark</c:v>
          </c:tx>
          <c:spPr>
            <a:solidFill>
              <a:srgbClr val="B75132"/>
            </a:solidFill>
            <a:ln>
              <a:noFill/>
            </a:ln>
          </c:spPr>
          <c:cat>
            <c:strRef>
              <c:f>GraphData!$A$24:$A$29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GraphData!$K$24:$K$29</c:f>
              <c:numCache>
                <c:formatCode>General</c:formatCode>
                <c:ptCount val="6"/>
                <c:pt idx="0">
                  <c:v>15033.97461286948</c:v>
                </c:pt>
                <c:pt idx="1">
                  <c:v>22642.80233334403</c:v>
                </c:pt>
                <c:pt idx="2">
                  <c:v>11921.1317309383</c:v>
                </c:pt>
                <c:pt idx="3">
                  <c:v>9958.909408676853</c:v>
                </c:pt>
                <c:pt idx="4">
                  <c:v>10757.90676515585</c:v>
                </c:pt>
                <c:pt idx="5">
                  <c:v>7395.692469960186</c:v>
                </c:pt>
              </c:numCache>
            </c:numRef>
          </c:val>
        </c:ser>
        <c:ser>
          <c:idx val="10"/>
          <c:order val="10"/>
          <c:tx>
            <c:v>Norway</c:v>
          </c:tx>
          <c:spPr>
            <a:solidFill>
              <a:srgbClr val="4AA3B2"/>
            </a:solidFill>
            <a:ln>
              <a:noFill/>
            </a:ln>
          </c:spPr>
          <c:cat>
            <c:strRef>
              <c:f>GraphData!$A$24:$A$29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GraphData!$L$24:$L$29</c:f>
              <c:numCache>
                <c:formatCode>General</c:formatCode>
                <c:ptCount val="6"/>
                <c:pt idx="0">
                  <c:v>5652.217652283623</c:v>
                </c:pt>
                <c:pt idx="1">
                  <c:v>13480.90061981313</c:v>
                </c:pt>
                <c:pt idx="2">
                  <c:v>5095.515172004772</c:v>
                </c:pt>
                <c:pt idx="3">
                  <c:v>3901.609282958005</c:v>
                </c:pt>
                <c:pt idx="4">
                  <c:v>3950.379215573521</c:v>
                </c:pt>
                <c:pt idx="5">
                  <c:v>4246.528757308892</c:v>
                </c:pt>
              </c:numCache>
            </c:numRef>
          </c:val>
        </c:ser>
        <c:ser>
          <c:idx val="11"/>
          <c:order val="11"/>
          <c:tx>
            <c:v>Sweden</c:v>
          </c:tx>
          <c:spPr>
            <a:solidFill>
              <a:srgbClr val="7E245A"/>
            </a:solidFill>
            <a:ln>
              <a:noFill/>
            </a:ln>
          </c:spPr>
          <c:cat>
            <c:strRef>
              <c:f>GraphData!$A$24:$A$29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GraphData!$M$24:$M$29</c:f>
              <c:numCache>
                <c:formatCode>General</c:formatCode>
                <c:ptCount val="6"/>
                <c:pt idx="0">
                  <c:v>33888.15419430023</c:v>
                </c:pt>
                <c:pt idx="1">
                  <c:v>12290.64047286541</c:v>
                </c:pt>
                <c:pt idx="2">
                  <c:v>20551.69308575136</c:v>
                </c:pt>
                <c:pt idx="3">
                  <c:v>22068.18308067027</c:v>
                </c:pt>
                <c:pt idx="4">
                  <c:v>11056.32782207133</c:v>
                </c:pt>
                <c:pt idx="5">
                  <c:v>27392.44469162726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Efficiency after 6 months (M-5 cohort)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Number 2026Q2</c:v>
          </c:tx>
          <c:spPr>
            <a:solidFill>
              <a:srgbClr val="C5E3E6"/>
            </a:solidFill>
            <a:ln>
              <a:noFill/>
            </a:ln>
          </c:spPr>
          <c:cat>
            <c:strRef>
              <c:f>GraphData!$A$35:$A$46</c:f>
              <c:strCache>
                <c:ptCount val="12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  <c:pt idx="8">
                  <c:v>Brazil</c:v>
                </c:pt>
                <c:pt idx="9">
                  <c:v>Denmark</c:v>
                </c:pt>
                <c:pt idx="10">
                  <c:v>Norway</c:v>
                </c:pt>
                <c:pt idx="11">
                  <c:v>Sweden</c:v>
                </c:pt>
              </c:strCache>
            </c:strRef>
          </c:cat>
          <c:val>
            <c:numRef>
              <c:f>GraphData!$B$35:$B$46</c:f>
              <c:numCache>
                <c:formatCode>General</c:formatCode>
                <c:ptCount val="12"/>
                <c:pt idx="0">
                  <c:v>0.9894054395951929</c:v>
                </c:pt>
                <c:pt idx="1">
                  <c:v>0.6015087641446638</c:v>
                </c:pt>
                <c:pt idx="2">
                  <c:v>1</c:v>
                </c:pt>
                <c:pt idx="3">
                  <c:v>0.9484958979033729</c:v>
                </c:pt>
                <c:pt idx="4">
                  <c:v>0.6078777189888301</c:v>
                </c:pt>
                <c:pt idx="5">
                  <c:v>0.9403706688154714</c:v>
                </c:pt>
                <c:pt idx="6">
                  <c:v>0.3012975256487628</c:v>
                </c:pt>
                <c:pt idx="7">
                  <c:v>0.8549981233579382</c:v>
                </c:pt>
                <c:pt idx="9">
                  <c:v>1</c:v>
                </c:pt>
                <c:pt idx="10">
                  <c:v>0.9924812030075187</c:v>
                </c:pt>
                <c:pt idx="11">
                  <c:v>1</c:v>
                </c:pt>
              </c:numCache>
            </c:numRef>
          </c:val>
        </c:ser>
        <c:ser>
          <c:idx val="1"/>
          <c:order val="1"/>
          <c:tx>
            <c:v>Number 2026Q3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GraphData!$A$35:$A$46</c:f>
              <c:strCache>
                <c:ptCount val="12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  <c:pt idx="8">
                  <c:v>Brazil</c:v>
                </c:pt>
                <c:pt idx="9">
                  <c:v>Denmark</c:v>
                </c:pt>
                <c:pt idx="10">
                  <c:v>Norway</c:v>
                </c:pt>
                <c:pt idx="11">
                  <c:v>Sweden</c:v>
                </c:pt>
              </c:strCache>
            </c:strRef>
          </c:cat>
          <c:val>
            <c:numRef>
              <c:f>GraphData!$C$35:$C$46</c:f>
              <c:numCache>
                <c:formatCode>General</c:formatCode>
                <c:ptCount val="12"/>
                <c:pt idx="0">
                  <c:v>0.9539307475107742</c:v>
                </c:pt>
                <c:pt idx="1">
                  <c:v>0.581422283993514</c:v>
                </c:pt>
                <c:pt idx="2">
                  <c:v>1</c:v>
                </c:pt>
                <c:pt idx="3">
                  <c:v>0.9370393767108866</c:v>
                </c:pt>
                <c:pt idx="4">
                  <c:v>0.9398592450415867</c:v>
                </c:pt>
                <c:pt idx="5">
                  <c:v>0.965771458662454</c:v>
                </c:pt>
                <c:pt idx="6">
                  <c:v>0.6951945080091533</c:v>
                </c:pt>
                <c:pt idx="7">
                  <c:v>0.8571001494768311</c:v>
                </c:pt>
                <c:pt idx="9">
                  <c:v>1</c:v>
                </c:pt>
                <c:pt idx="10">
                  <c:v>0.9932432432432432</c:v>
                </c:pt>
                <c:pt idx="11">
                  <c:v>1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2"/>
          <c:order val="2"/>
          <c:tx>
            <c:v>Amount 2026Q2</c:v>
          </c:tx>
          <c:spPr>
            <a:ln w="25400">
              <a:solidFill>
                <a:srgbClr val="C04040"/>
              </a:solidFill>
              <a:prstDash val="dash"/>
            </a:ln>
          </c:spPr>
          <c:marker>
            <c:symbol val="none"/>
          </c:marker>
          <c:cat>
            <c:strRef>
              <c:f>GraphData!$A$35:$A$46</c:f>
              <c:strCache>
                <c:ptCount val="12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  <c:pt idx="8">
                  <c:v>Brazil</c:v>
                </c:pt>
                <c:pt idx="9">
                  <c:v>Denmark</c:v>
                </c:pt>
                <c:pt idx="10">
                  <c:v>Norway</c:v>
                </c:pt>
                <c:pt idx="11">
                  <c:v>Sweden</c:v>
                </c:pt>
              </c:strCache>
            </c:strRef>
          </c:cat>
          <c:val>
            <c:numRef>
              <c:f>GraphData!$D$35:$D$46</c:f>
              <c:numCache>
                <c:formatCode>General</c:formatCode>
                <c:ptCount val="12"/>
                <c:pt idx="0">
                  <c:v>0.9931642617902213</c:v>
                </c:pt>
                <c:pt idx="1">
                  <c:v>0.7104560896824842</c:v>
                </c:pt>
                <c:pt idx="2">
                  <c:v>1</c:v>
                </c:pt>
                <c:pt idx="3">
                  <c:v>0.9843784652623619</c:v>
                </c:pt>
                <c:pt idx="4">
                  <c:v>0.9911539948773356</c:v>
                </c:pt>
                <c:pt idx="5">
                  <c:v>0.9777348442295094</c:v>
                </c:pt>
                <c:pt idx="6">
                  <c:v>0.6731999072202525</c:v>
                </c:pt>
                <c:pt idx="7">
                  <c:v>0.6493430482328113</c:v>
                </c:pt>
                <c:pt idx="9">
                  <c:v>1</c:v>
                </c:pt>
                <c:pt idx="10">
                  <c:v>0.9410164877948007</c:v>
                </c:pt>
                <c:pt idx="11">
                  <c:v>0.9999999999999999</c:v>
                </c:pt>
              </c:numCache>
            </c:numRef>
          </c:val>
        </c:ser>
        <c:ser>
          <c:idx val="3"/>
          <c:order val="3"/>
          <c:tx>
            <c:v>Amount 2026Q3</c:v>
          </c:tx>
          <c:spPr>
            <a:ln w="25400">
              <a:solidFill>
                <a:srgbClr val="C04040"/>
              </a:solidFill>
              <a:prstDash val="solid"/>
            </a:ln>
          </c:spPr>
          <c:marker>
            <c:symbol val="none"/>
          </c:marker>
          <c:cat>
            <c:strRef>
              <c:f>GraphData!$A$35:$A$46</c:f>
              <c:strCache>
                <c:ptCount val="12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  <c:pt idx="8">
                  <c:v>Brazil</c:v>
                </c:pt>
                <c:pt idx="9">
                  <c:v>Denmark</c:v>
                </c:pt>
                <c:pt idx="10">
                  <c:v>Norway</c:v>
                </c:pt>
                <c:pt idx="11">
                  <c:v>Sweden</c:v>
                </c:pt>
              </c:strCache>
            </c:strRef>
          </c:cat>
          <c:val>
            <c:numRef>
              <c:f>GraphData!$E$35:$E$46</c:f>
              <c:numCache>
                <c:formatCode>General</c:formatCode>
                <c:ptCount val="12"/>
                <c:pt idx="0">
                  <c:v>0.9859807948052636</c:v>
                </c:pt>
                <c:pt idx="1">
                  <c:v>0.8537773876278687</c:v>
                </c:pt>
                <c:pt idx="2">
                  <c:v>1</c:v>
                </c:pt>
                <c:pt idx="3">
                  <c:v>0.97577393004026</c:v>
                </c:pt>
                <c:pt idx="4">
                  <c:v>0.996970298482982</c:v>
                </c:pt>
                <c:pt idx="5">
                  <c:v>0.994128136787349</c:v>
                </c:pt>
                <c:pt idx="6">
                  <c:v>0.793132474166957</c:v>
                </c:pt>
                <c:pt idx="7">
                  <c:v>0.6926903849986122</c:v>
                </c:pt>
                <c:pt idx="9">
                  <c:v>0.9999999999999999</c:v>
                </c:pt>
                <c:pt idx="10">
                  <c:v>0.9342711524878822</c:v>
                </c:pt>
                <c:pt idx="11">
                  <c:v>1.000000000000001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.2"/>
          <c:min val="0"/>
        </c:scaling>
        <c:axPos val="l"/>
        <c:majorGridlines>
          <c:spPr>
            <a:ln>
              <a:solidFill>
                <a:srgbClr val="DDE3E5"/>
              </a:solidFill>
            </a:ln>
          </c:spPr>
        </c:majorGridlines>
        <c:numFmt formatCode="0%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  <c:majorUnit val="0.2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Total identified stock in EUR: 2026Q3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&lt;2025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GraphData!$A$52:$A$59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GraphData!$F$52:$F$59</c:f>
              <c:numCache>
                <c:formatCode>General</c:formatCode>
                <c:ptCount val="8"/>
                <c:pt idx="0">
                  <c:v>283623</c:v>
                </c:pt>
                <c:pt idx="1">
                  <c:v>824535</c:v>
                </c:pt>
                <c:pt idx="2">
                  <c:v>41555</c:v>
                </c:pt>
                <c:pt idx="3">
                  <c:v>1761215</c:v>
                </c:pt>
                <c:pt idx="4">
                  <c:v>7991</c:v>
                </c:pt>
                <c:pt idx="5">
                  <c:v>69830</c:v>
                </c:pt>
                <c:pt idx="6">
                  <c:v>1750285.373187655</c:v>
                </c:pt>
                <c:pt idx="7">
                  <c:v>853771.8989843978</c:v>
                </c:pt>
              </c:numCache>
            </c:numRef>
          </c:val>
        </c:ser>
        <c:ser>
          <c:idx val="1"/>
          <c:order val="1"/>
          <c:tx>
            <c:v>2025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GraphData!$A$52:$A$59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GraphData!$G$52:$G$59</c:f>
              <c:numCache>
                <c:formatCode>General</c:formatCode>
                <c:ptCount val="8"/>
                <c:pt idx="0">
                  <c:v>31090</c:v>
                </c:pt>
                <c:pt idx="1">
                  <c:v>323497</c:v>
                </c:pt>
                <c:pt idx="2">
                  <c:v>1390</c:v>
                </c:pt>
                <c:pt idx="3">
                  <c:v>339318</c:v>
                </c:pt>
                <c:pt idx="4">
                  <c:v>64102</c:v>
                </c:pt>
                <c:pt idx="5">
                  <c:v>267533</c:v>
                </c:pt>
                <c:pt idx="6">
                  <c:v>733237.6044435789</c:v>
                </c:pt>
                <c:pt idx="7">
                  <c:v>331751.7109314926</c:v>
                </c:pt>
              </c:numCache>
            </c:numRef>
          </c:val>
        </c:ser>
        <c:ser>
          <c:idx val="2"/>
          <c:order val="2"/>
          <c:tx>
            <c:v>2026</c:v>
          </c:tx>
          <c:spPr>
            <a:solidFill>
              <a:srgbClr val="77B900"/>
            </a:solidFill>
            <a:ln>
              <a:noFill/>
            </a:ln>
          </c:spPr>
          <c:cat>
            <c:strRef>
              <c:f>GraphData!$A$52:$A$59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GraphData!$H$52:$H$59</c:f>
              <c:numCache>
                <c:formatCode>General</c:formatCode>
                <c:ptCount val="8"/>
                <c:pt idx="0">
                  <c:v>1478452</c:v>
                </c:pt>
                <c:pt idx="1">
                  <c:v>1645005</c:v>
                </c:pt>
                <c:pt idx="2">
                  <c:v>104655</c:v>
                </c:pt>
                <c:pt idx="3">
                  <c:v>1333869</c:v>
                </c:pt>
                <c:pt idx="4">
                  <c:v>535499</c:v>
                </c:pt>
                <c:pt idx="5">
                  <c:v>2661575</c:v>
                </c:pt>
                <c:pt idx="6">
                  <c:v>1000391.12450384</c:v>
                </c:pt>
                <c:pt idx="7">
                  <c:v>862774.9705138876</c:v>
                </c:pt>
              </c:numCache>
            </c:numRef>
          </c:val>
        </c:ser>
        <c:gapWidth val="85"/>
        <c:overlap val="10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Stock to be processed in EUR: 2026Q3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&lt;2025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GraphData!$A$52:$A$59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GraphData!$I$52:$I$59</c:f>
              <c:numCache>
                <c:formatCode>General</c:formatCode>
                <c:ptCount val="8"/>
                <c:pt idx="0">
                  <c:v>-2032</c:v>
                </c:pt>
                <c:pt idx="1">
                  <c:v>816856</c:v>
                </c:pt>
                <c:pt idx="2">
                  <c:v>0</c:v>
                </c:pt>
                <c:pt idx="3">
                  <c:v>0</c:v>
                </c:pt>
                <c:pt idx="4">
                  <c:v>-9373</c:v>
                </c:pt>
                <c:pt idx="5">
                  <c:v>0</c:v>
                </c:pt>
                <c:pt idx="6">
                  <c:v>381.5392089879964</c:v>
                </c:pt>
                <c:pt idx="7">
                  <c:v>612503.3634755806</c:v>
                </c:pt>
              </c:numCache>
            </c:numRef>
          </c:val>
        </c:ser>
        <c:ser>
          <c:idx val="1"/>
          <c:order val="1"/>
          <c:tx>
            <c:v>2025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GraphData!$A$52:$A$59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GraphData!$J$52:$J$59</c:f>
              <c:numCache>
                <c:formatCode>General</c:formatCode>
                <c:ptCount val="8"/>
                <c:pt idx="0">
                  <c:v>15001</c:v>
                </c:pt>
                <c:pt idx="1">
                  <c:v>304803</c:v>
                </c:pt>
                <c:pt idx="2">
                  <c:v>1390</c:v>
                </c:pt>
                <c:pt idx="3">
                  <c:v>133081</c:v>
                </c:pt>
                <c:pt idx="4">
                  <c:v>47517</c:v>
                </c:pt>
                <c:pt idx="5">
                  <c:v>237048</c:v>
                </c:pt>
                <c:pt idx="6">
                  <c:v>46840.37491447114</c:v>
                </c:pt>
                <c:pt idx="7">
                  <c:v>331751.7109314926</c:v>
                </c:pt>
              </c:numCache>
            </c:numRef>
          </c:val>
        </c:ser>
        <c:ser>
          <c:idx val="2"/>
          <c:order val="2"/>
          <c:tx>
            <c:v>2026</c:v>
          </c:tx>
          <c:spPr>
            <a:solidFill>
              <a:srgbClr val="77B900"/>
            </a:solidFill>
            <a:ln>
              <a:noFill/>
            </a:ln>
          </c:spPr>
          <c:cat>
            <c:strRef>
              <c:f>GraphData!$A$52:$A$59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GraphData!$K$52:$K$59</c:f>
              <c:numCache>
                <c:formatCode>General</c:formatCode>
                <c:ptCount val="8"/>
                <c:pt idx="0">
                  <c:v>1467349</c:v>
                </c:pt>
                <c:pt idx="1">
                  <c:v>1641703</c:v>
                </c:pt>
                <c:pt idx="2">
                  <c:v>104655</c:v>
                </c:pt>
                <c:pt idx="3">
                  <c:v>1067265</c:v>
                </c:pt>
                <c:pt idx="4">
                  <c:v>503988</c:v>
                </c:pt>
                <c:pt idx="5">
                  <c:v>2661575</c:v>
                </c:pt>
                <c:pt idx="6">
                  <c:v>966521.9123292885</c:v>
                </c:pt>
                <c:pt idx="7">
                  <c:v>862774.9705138876</c:v>
                </c:pt>
              </c:numCache>
            </c:numRef>
          </c:val>
        </c:ser>
        <c:gapWidth val="85"/>
        <c:overlap val="100"/>
        <c:axId val="50060001"/>
        <c:axId val="50060002"/>
      </c:barChart>
      <c:catAx>
        <c:axId val="5006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Monthly flow in EUR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Spain</c:v>
          </c:tx>
          <c:spPr>
            <a:solidFill>
              <a:srgbClr val="00627A"/>
            </a:solidFill>
            <a:ln>
              <a:noFill/>
            </a:ln>
          </c:spPr>
          <c:cat>
            <c:strRef>
              <c:f>GraphData!$A$65:$A$70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GraphData!$B$65:$B$70</c:f>
              <c:numCache>
                <c:formatCode>General</c:formatCode>
                <c:ptCount val="6"/>
                <c:pt idx="0">
                  <c:v>3475518</c:v>
                </c:pt>
                <c:pt idx="1">
                  <c:v>3162844</c:v>
                </c:pt>
                <c:pt idx="2">
                  <c:v>4107101</c:v>
                </c:pt>
                <c:pt idx="3">
                  <c:v>3892550</c:v>
                </c:pt>
                <c:pt idx="4">
                  <c:v>2506521</c:v>
                </c:pt>
                <c:pt idx="5">
                  <c:v>3356886</c:v>
                </c:pt>
              </c:numCache>
            </c:numRef>
          </c:val>
        </c:ser>
        <c:ser>
          <c:idx val="1"/>
          <c:order val="1"/>
          <c:tx>
            <c:v>Germany + Austria</c:v>
          </c:tx>
          <c:spPr>
            <a:solidFill>
              <a:srgbClr val="B75132"/>
            </a:solidFill>
            <a:ln>
              <a:noFill/>
            </a:ln>
          </c:spPr>
          <c:cat>
            <c:strRef>
              <c:f>GraphData!$A$65:$A$70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GraphData!$C$65:$C$70</c:f>
              <c:numCache>
                <c:formatCode>General</c:formatCode>
                <c:ptCount val="6"/>
                <c:pt idx="0">
                  <c:v>781466</c:v>
                </c:pt>
                <c:pt idx="1">
                  <c:v>689718</c:v>
                </c:pt>
                <c:pt idx="2">
                  <c:v>808135</c:v>
                </c:pt>
                <c:pt idx="3">
                  <c:v>954954</c:v>
                </c:pt>
                <c:pt idx="4">
                  <c:v>977254</c:v>
                </c:pt>
                <c:pt idx="5">
                  <c:v>851993</c:v>
                </c:pt>
              </c:numCache>
            </c:numRef>
          </c:val>
        </c:ser>
        <c:ser>
          <c:idx val="2"/>
          <c:order val="2"/>
          <c:tx>
            <c:v>Belgium</c:v>
          </c:tx>
          <c:spPr>
            <a:solidFill>
              <a:srgbClr val="4AA3B2"/>
            </a:solidFill>
            <a:ln>
              <a:noFill/>
            </a:ln>
          </c:spPr>
          <c:cat>
            <c:strRef>
              <c:f>GraphData!$A$65:$A$70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GraphData!$D$65:$D$70</c:f>
              <c:numCache>
                <c:formatCode>General</c:formatCode>
                <c:ptCount val="6"/>
                <c:pt idx="0">
                  <c:v>105005</c:v>
                </c:pt>
                <c:pt idx="1">
                  <c:v>68164</c:v>
                </c:pt>
                <c:pt idx="2">
                  <c:v>104341</c:v>
                </c:pt>
                <c:pt idx="3">
                  <c:v>71809</c:v>
                </c:pt>
                <c:pt idx="4">
                  <c:v>119870</c:v>
                </c:pt>
                <c:pt idx="5">
                  <c:v>52704</c:v>
                </c:pt>
              </c:numCache>
            </c:numRef>
          </c:val>
        </c:ser>
        <c:ser>
          <c:idx val="3"/>
          <c:order val="3"/>
          <c:tx>
            <c:v>Italy</c:v>
          </c:tx>
          <c:spPr>
            <a:solidFill>
              <a:srgbClr val="7E245A"/>
            </a:solidFill>
            <a:ln>
              <a:noFill/>
            </a:ln>
          </c:spPr>
          <c:cat>
            <c:strRef>
              <c:f>GraphData!$A$65:$A$70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GraphData!$E$65:$E$70</c:f>
              <c:numCache>
                <c:formatCode>General</c:formatCode>
                <c:ptCount val="6"/>
                <c:pt idx="0">
                  <c:v>1199204</c:v>
                </c:pt>
                <c:pt idx="1">
                  <c:v>1425617</c:v>
                </c:pt>
                <c:pt idx="2">
                  <c:v>977488</c:v>
                </c:pt>
                <c:pt idx="3">
                  <c:v>1234017</c:v>
                </c:pt>
                <c:pt idx="4">
                  <c:v>898183</c:v>
                </c:pt>
                <c:pt idx="5">
                  <c:v>820358</c:v>
                </c:pt>
              </c:numCache>
            </c:numRef>
          </c:val>
        </c:ser>
        <c:ser>
          <c:idx val="4"/>
          <c:order val="4"/>
          <c:tx>
            <c:v>Portugal</c:v>
          </c:tx>
          <c:spPr>
            <a:solidFill>
              <a:srgbClr val="549742"/>
            </a:solidFill>
            <a:ln>
              <a:noFill/>
            </a:ln>
          </c:spPr>
          <c:cat>
            <c:strRef>
              <c:f>GraphData!$A$65:$A$70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GraphData!$F$65:$F$70</c:f>
              <c:numCache>
                <c:formatCode>General</c:formatCode>
                <c:ptCount val="6"/>
                <c:pt idx="0">
                  <c:v>4060466</c:v>
                </c:pt>
                <c:pt idx="1">
                  <c:v>3650675</c:v>
                </c:pt>
                <c:pt idx="2">
                  <c:v>2534318</c:v>
                </c:pt>
                <c:pt idx="3">
                  <c:v>1649935</c:v>
                </c:pt>
                <c:pt idx="4">
                  <c:v>1234586</c:v>
                </c:pt>
                <c:pt idx="5">
                  <c:v>1001410</c:v>
                </c:pt>
              </c:numCache>
            </c:numRef>
          </c:val>
        </c:ser>
        <c:ser>
          <c:idx val="5"/>
          <c:order val="5"/>
          <c:tx>
            <c:v>France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GraphData!$A$65:$A$70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GraphData!$G$65:$G$70</c:f>
              <c:numCache>
                <c:formatCode>General</c:formatCode>
                <c:ptCount val="6"/>
                <c:pt idx="0">
                  <c:v>1825315</c:v>
                </c:pt>
                <c:pt idx="1">
                  <c:v>678076</c:v>
                </c:pt>
                <c:pt idx="2">
                  <c:v>1738908</c:v>
                </c:pt>
                <c:pt idx="3">
                  <c:v>1680101</c:v>
                </c:pt>
                <c:pt idx="4">
                  <c:v>1332153</c:v>
                </c:pt>
                <c:pt idx="5">
                  <c:v>1473477</c:v>
                </c:pt>
              </c:numCache>
            </c:numRef>
          </c:val>
        </c:ser>
        <c:ser>
          <c:idx val="6"/>
          <c:order val="6"/>
          <c:tx>
            <c:v>UK</c:v>
          </c:tx>
          <c:spPr>
            <a:solidFill>
              <a:srgbClr val="344D67"/>
            </a:solidFill>
            <a:ln>
              <a:noFill/>
            </a:ln>
          </c:spPr>
          <c:cat>
            <c:strRef>
              <c:f>GraphData!$A$65:$A$70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GraphData!$H$65:$H$70</c:f>
              <c:numCache>
                <c:formatCode>General</c:formatCode>
                <c:ptCount val="6"/>
                <c:pt idx="0">
                  <c:v>120964.3143685993</c:v>
                </c:pt>
                <c:pt idx="1">
                  <c:v>170612.3965295802</c:v>
                </c:pt>
                <c:pt idx="2">
                  <c:v>93546.15777669192</c:v>
                </c:pt>
                <c:pt idx="3">
                  <c:v>134405.9641085598</c:v>
                </c:pt>
                <c:pt idx="4">
                  <c:v>157081.7989985672</c:v>
                </c:pt>
                <c:pt idx="5">
                  <c:v>591232.4560283961</c:v>
                </c:pt>
              </c:numCache>
            </c:numRef>
          </c:val>
        </c:ser>
        <c:ser>
          <c:idx val="7"/>
          <c:order val="7"/>
          <c:tx>
            <c:v>South Africa</c:v>
          </c:tx>
          <c:spPr>
            <a:solidFill>
              <a:srgbClr val="CD5858"/>
            </a:solidFill>
            <a:ln>
              <a:noFill/>
            </a:ln>
          </c:spPr>
          <c:cat>
            <c:strRef>
              <c:f>GraphData!$A$65:$A$70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GraphData!$I$65:$I$70</c:f>
              <c:numCache>
                <c:formatCode>General</c:formatCode>
                <c:ptCount val="6"/>
                <c:pt idx="0">
                  <c:v>178090.7815674286</c:v>
                </c:pt>
                <c:pt idx="1">
                  <c:v>185044.7869699074</c:v>
                </c:pt>
                <c:pt idx="2">
                  <c:v>190318.6093493703</c:v>
                </c:pt>
                <c:pt idx="3">
                  <c:v>228755.4618962338</c:v>
                </c:pt>
                <c:pt idx="4">
                  <c:v>220324.5109098912</c:v>
                </c:pt>
                <c:pt idx="5">
                  <c:v>233632.7376151798</c:v>
                </c:pt>
              </c:numCache>
            </c:numRef>
          </c:val>
        </c:ser>
        <c:overlap val="100"/>
        <c:axId val="50070001"/>
        <c:axId val="50070002"/>
      </c:barChart>
      <c:catAx>
        <c:axId val="5007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Efficiency after 6 months (M-5 cohort)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Number 2026Q2</c:v>
          </c:tx>
          <c:spPr>
            <a:solidFill>
              <a:srgbClr val="C5E3E6"/>
            </a:solidFill>
            <a:ln>
              <a:noFill/>
            </a:ln>
          </c:spPr>
          <c:cat>
            <c:strRef>
              <c:f>GraphData!$A$76:$A$83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GraphData!$B$76:$B$83</c:f>
              <c:numCache>
                <c:formatCode>General</c:formatCode>
                <c:ptCount val="8"/>
                <c:pt idx="0">
                  <c:v>0.9894054395951929</c:v>
                </c:pt>
                <c:pt idx="1">
                  <c:v>0.6015087641446638</c:v>
                </c:pt>
                <c:pt idx="2">
                  <c:v>1</c:v>
                </c:pt>
                <c:pt idx="3">
                  <c:v>0.9484958979033729</c:v>
                </c:pt>
                <c:pt idx="4">
                  <c:v>0.6078777189888301</c:v>
                </c:pt>
                <c:pt idx="5">
                  <c:v>0.9403706688154714</c:v>
                </c:pt>
                <c:pt idx="6">
                  <c:v>0.3012975256487628</c:v>
                </c:pt>
                <c:pt idx="7">
                  <c:v>0.8549981233579382</c:v>
                </c:pt>
              </c:numCache>
            </c:numRef>
          </c:val>
        </c:ser>
        <c:ser>
          <c:idx val="1"/>
          <c:order val="1"/>
          <c:tx>
            <c:v>Number 2026Q3</c:v>
          </c:tx>
          <c:spPr>
            <a:solidFill>
              <a:srgbClr val="0095B6"/>
            </a:solidFill>
            <a:ln>
              <a:noFill/>
            </a:ln>
          </c:spPr>
          <c:cat>
            <c:strRef>
              <c:f>GraphData!$A$76:$A$83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GraphData!$C$76:$C$83</c:f>
              <c:numCache>
                <c:formatCode>General</c:formatCode>
                <c:ptCount val="8"/>
                <c:pt idx="0">
                  <c:v>0.9539307475107742</c:v>
                </c:pt>
                <c:pt idx="1">
                  <c:v>0.581422283993514</c:v>
                </c:pt>
                <c:pt idx="2">
                  <c:v>1</c:v>
                </c:pt>
                <c:pt idx="3">
                  <c:v>0.9370393767108866</c:v>
                </c:pt>
                <c:pt idx="4">
                  <c:v>0.9398592450415867</c:v>
                </c:pt>
                <c:pt idx="5">
                  <c:v>0.965771458662454</c:v>
                </c:pt>
                <c:pt idx="6">
                  <c:v>0.6951945080091533</c:v>
                </c:pt>
                <c:pt idx="7">
                  <c:v>0.8571001494768311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2"/>
          <c:order val="2"/>
          <c:tx>
            <c:v>Amount 2026Q2</c:v>
          </c:tx>
          <c:spPr>
            <a:ln w="25400">
              <a:solidFill>
                <a:srgbClr val="C04040"/>
              </a:solidFill>
              <a:prstDash val="dash"/>
            </a:ln>
          </c:spPr>
          <c:marker>
            <c:symbol val="none"/>
          </c:marker>
          <c:cat>
            <c:strRef>
              <c:f>GraphData!$A$76:$A$83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GraphData!$D$76:$D$83</c:f>
              <c:numCache>
                <c:formatCode>General</c:formatCode>
                <c:ptCount val="8"/>
                <c:pt idx="0">
                  <c:v>0.9931642617902213</c:v>
                </c:pt>
                <c:pt idx="1">
                  <c:v>0.7104560896824842</c:v>
                </c:pt>
                <c:pt idx="2">
                  <c:v>1</c:v>
                </c:pt>
                <c:pt idx="3">
                  <c:v>0.9843784652623619</c:v>
                </c:pt>
                <c:pt idx="4">
                  <c:v>0.9911539948773356</c:v>
                </c:pt>
                <c:pt idx="5">
                  <c:v>0.9777348442295094</c:v>
                </c:pt>
                <c:pt idx="6">
                  <c:v>0.6731999072202525</c:v>
                </c:pt>
                <c:pt idx="7">
                  <c:v>0.6493430482328113</c:v>
                </c:pt>
              </c:numCache>
            </c:numRef>
          </c:val>
        </c:ser>
        <c:ser>
          <c:idx val="3"/>
          <c:order val="3"/>
          <c:tx>
            <c:v>Amount 2026Q3</c:v>
          </c:tx>
          <c:spPr>
            <a:ln w="25400">
              <a:solidFill>
                <a:srgbClr val="C04040"/>
              </a:solidFill>
              <a:prstDash val="solid"/>
            </a:ln>
          </c:spPr>
          <c:marker>
            <c:symbol val="none"/>
          </c:marker>
          <c:cat>
            <c:strRef>
              <c:f>GraphData!$A$76:$A$83</c:f>
              <c:strCache>
                <c:ptCount val="8"/>
                <c:pt idx="0">
                  <c:v>Spain</c:v>
                </c:pt>
                <c:pt idx="1">
                  <c:v>Germany + Austria</c:v>
                </c:pt>
                <c:pt idx="2">
                  <c:v>Belgium</c:v>
                </c:pt>
                <c:pt idx="3">
                  <c:v>Italy</c:v>
                </c:pt>
                <c:pt idx="4">
                  <c:v>Portugal</c:v>
                </c:pt>
                <c:pt idx="5">
                  <c:v>France</c:v>
                </c:pt>
                <c:pt idx="6">
                  <c:v>UK</c:v>
                </c:pt>
                <c:pt idx="7">
                  <c:v>South Africa</c:v>
                </c:pt>
              </c:strCache>
            </c:strRef>
          </c:cat>
          <c:val>
            <c:numRef>
              <c:f>GraphData!$E$76:$E$83</c:f>
              <c:numCache>
                <c:formatCode>General</c:formatCode>
                <c:ptCount val="8"/>
                <c:pt idx="0">
                  <c:v>0.9859807948052636</c:v>
                </c:pt>
                <c:pt idx="1">
                  <c:v>0.8537773876278687</c:v>
                </c:pt>
                <c:pt idx="2">
                  <c:v>1</c:v>
                </c:pt>
                <c:pt idx="3">
                  <c:v>0.97577393004026</c:v>
                </c:pt>
                <c:pt idx="4">
                  <c:v>0.996970298482982</c:v>
                </c:pt>
                <c:pt idx="5">
                  <c:v>0.994128136787349</c:v>
                </c:pt>
                <c:pt idx="6">
                  <c:v>0.793132474166957</c:v>
                </c:pt>
                <c:pt idx="7">
                  <c:v>0.6926903849986122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1.2"/>
          <c:min val="0"/>
        </c:scaling>
        <c:axPos val="l"/>
        <c:majorGridlines>
          <c:spPr>
            <a:ln>
              <a:solidFill>
                <a:srgbClr val="DDE3E5"/>
              </a:solidFill>
            </a:ln>
          </c:spPr>
        </c:majorGridlines>
        <c:numFmt formatCode="0%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80001"/>
        <c:crosses val="autoZero"/>
        <c:crossBetween val="between"/>
        <c:majorUnit val="0.2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Spain: Monthly inflow in EUR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GraphData!$A$98:$A$103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GraphData!$B$98:$B$103</c:f>
              <c:numCache>
                <c:formatCode>General</c:formatCode>
                <c:ptCount val="6"/>
                <c:pt idx="0">
                  <c:v>1149668</c:v>
                </c:pt>
                <c:pt idx="1">
                  <c:v>1210913</c:v>
                </c:pt>
                <c:pt idx="2">
                  <c:v>1273686</c:v>
                </c:pt>
                <c:pt idx="3">
                  <c:v>1237658</c:v>
                </c:pt>
                <c:pt idx="4">
                  <c:v>918537</c:v>
                </c:pt>
                <c:pt idx="5">
                  <c:v>1039257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GraphData!$A$98:$A$103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GraphData!$C$98:$C$103</c:f>
              <c:numCache>
                <c:formatCode>General</c:formatCode>
                <c:ptCount val="6"/>
                <c:pt idx="0">
                  <c:v>2277102</c:v>
                </c:pt>
                <c:pt idx="1">
                  <c:v>1866008</c:v>
                </c:pt>
                <c:pt idx="2">
                  <c:v>2648945</c:v>
                </c:pt>
                <c:pt idx="3">
                  <c:v>2514505</c:v>
                </c:pt>
                <c:pt idx="4">
                  <c:v>1491253</c:v>
                </c:pt>
                <c:pt idx="5">
                  <c:v>1471093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GraphData!$A$98:$A$103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GraphData!$D$98:$D$103</c:f>
              <c:numCache>
                <c:formatCode>General</c:formatCode>
                <c:ptCount val="6"/>
                <c:pt idx="0">
                  <c:v>48724</c:v>
                </c:pt>
                <c:pt idx="1">
                  <c:v>85922</c:v>
                </c:pt>
                <c:pt idx="2">
                  <c:v>184442</c:v>
                </c:pt>
                <c:pt idx="3">
                  <c:v>140388</c:v>
                </c:pt>
                <c:pt idx="4">
                  <c:v>95940</c:v>
                </c:pt>
                <c:pt idx="5">
                  <c:v>846536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GraphData!$A$98:$A$103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GraphData!$E$98:$E$103</c:f>
              <c:numCache>
                <c:formatCode>General</c:formatCode>
                <c:ptCount val="6"/>
                <c:pt idx="0">
                  <c:v>25</c:v>
                </c:pt>
                <c:pt idx="1">
                  <c:v>0</c:v>
                </c:pt>
                <c:pt idx="2">
                  <c:v>28</c:v>
                </c:pt>
                <c:pt idx="3">
                  <c:v>0</c:v>
                </c:pt>
                <c:pt idx="4">
                  <c:v>791</c:v>
                </c:pt>
                <c:pt idx="5">
                  <c:v>0</c:v>
                </c:pt>
              </c:numCache>
            </c:numRef>
          </c:val>
        </c:ser>
        <c:gapWidth val="70"/>
        <c:overlap val="100"/>
        <c:axId val="50090001"/>
        <c:axId val="5009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GraphData!$A$98:$A$103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GraphData!$F$98:$F$103</c:f>
              <c:numCache>
                <c:formatCode>General</c:formatCode>
                <c:ptCount val="6"/>
                <c:pt idx="0">
                  <c:v>0.9859807948052636</c:v>
                </c:pt>
                <c:pt idx="1">
                  <c:v>0.9728339431220762</c:v>
                </c:pt>
                <c:pt idx="2">
                  <c:v>0.955091924936835</c:v>
                </c:pt>
                <c:pt idx="3">
                  <c:v>0.9639341819629805</c:v>
                </c:pt>
                <c:pt idx="4">
                  <c:v>0.9617238395369518</c:v>
                </c:pt>
                <c:pt idx="5">
                  <c:v>0.7478210460528001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GraphData!$A$98:$A$103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GraphData!$G$98:$G$103</c:f>
              <c:numCache>
                <c:formatCode>General</c:formatCode>
                <c:ptCount val="6"/>
                <c:pt idx="0">
                  <c:v>0.9539307475107742</c:v>
                </c:pt>
                <c:pt idx="1">
                  <c:v>0.9077380952380952</c:v>
                </c:pt>
                <c:pt idx="2">
                  <c:v>0.8959353899112935</c:v>
                </c:pt>
                <c:pt idx="3">
                  <c:v>0.8451546993578517</c:v>
                </c:pt>
                <c:pt idx="4">
                  <c:v>0.8814731424895464</c:v>
                </c:pt>
                <c:pt idx="5">
                  <c:v>0.5651162790697675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90001"/>
        <c:crosses val="autoZero"/>
        <c:crossBetween val="between"/>
      </c:valAx>
      <c:valAx>
        <c:axId val="6009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090001"/>
        <c:crosses val="max"/>
        <c:crossBetween val="between"/>
        <c:majorUnit val="0.2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Germany: Monthly inflow in EUR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GraphData!$A$115:$A$120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GraphData!$B$115:$B$120</c:f>
              <c:numCache>
                <c:formatCode>General</c:formatCode>
                <c:ptCount val="6"/>
                <c:pt idx="0">
                  <c:v>654105</c:v>
                </c:pt>
                <c:pt idx="1">
                  <c:v>514245</c:v>
                </c:pt>
                <c:pt idx="2">
                  <c:v>691271</c:v>
                </c:pt>
                <c:pt idx="3">
                  <c:v>748990</c:v>
                </c:pt>
                <c:pt idx="4">
                  <c:v>600525</c:v>
                </c:pt>
                <c:pt idx="5">
                  <c:v>304811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GraphData!$A$115:$A$120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GraphData!$C$115:$C$120</c:f>
              <c:numCache>
                <c:formatCode>General</c:formatCode>
                <c:ptCount val="6"/>
                <c:pt idx="0">
                  <c:v>6594</c:v>
                </c:pt>
                <c:pt idx="1">
                  <c:v>9059</c:v>
                </c:pt>
                <c:pt idx="2">
                  <c:v>3</c:v>
                </c:pt>
                <c:pt idx="3">
                  <c:v>0</c:v>
                </c:pt>
                <c:pt idx="4">
                  <c:v>73</c:v>
                </c:pt>
                <c:pt idx="5">
                  <c:v>68982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GraphData!$A$115:$A$120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GraphData!$D$115:$D$120</c:f>
              <c:numCache>
                <c:formatCode>General</c:formatCode>
                <c:ptCount val="6"/>
                <c:pt idx="0">
                  <c:v>114268</c:v>
                </c:pt>
                <c:pt idx="1">
                  <c:v>153095</c:v>
                </c:pt>
                <c:pt idx="2">
                  <c:v>111727</c:v>
                </c:pt>
                <c:pt idx="3">
                  <c:v>194579</c:v>
                </c:pt>
                <c:pt idx="4">
                  <c:v>369913</c:v>
                </c:pt>
                <c:pt idx="5">
                  <c:v>473692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GraphData!$A$115:$A$120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GraphData!$E$115:$E$120</c:f>
              <c:numCache>
                <c:formatCode>General</c:formatCode>
                <c:ptCount val="6"/>
                <c:pt idx="0">
                  <c:v>318</c:v>
                </c:pt>
                <c:pt idx="1">
                  <c:v>119</c:v>
                </c:pt>
                <c:pt idx="2">
                  <c:v>7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70"/>
        <c:overlap val="100"/>
        <c:axId val="50100001"/>
        <c:axId val="5010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GraphData!$A$115:$A$120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GraphData!$F$115:$F$120</c:f>
              <c:numCache>
                <c:formatCode>General</c:formatCode>
                <c:ptCount val="6"/>
                <c:pt idx="0">
                  <c:v>0.8526118103512769</c:v>
                </c:pt>
                <c:pt idx="1">
                  <c:v>0.7737011782409016</c:v>
                </c:pt>
                <c:pt idx="2">
                  <c:v>0.8608643998565394</c:v>
                </c:pt>
                <c:pt idx="3">
                  <c:v>0.7937842449420817</c:v>
                </c:pt>
                <c:pt idx="4">
                  <c:v>0.6188467918929222</c:v>
                </c:pt>
                <c:pt idx="5">
                  <c:v>0.441061493713753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GraphData!$A$115:$A$120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GraphData!$G$115:$G$120</c:f>
              <c:numCache>
                <c:formatCode>General</c:formatCode>
                <c:ptCount val="6"/>
                <c:pt idx="0">
                  <c:v>0.5740216878830741</c:v>
                </c:pt>
                <c:pt idx="1">
                  <c:v>0.4557501183151917</c:v>
                </c:pt>
                <c:pt idx="2">
                  <c:v>0.6845188284518828</c:v>
                </c:pt>
                <c:pt idx="3">
                  <c:v>0.6985045827303425</c:v>
                </c:pt>
                <c:pt idx="4">
                  <c:v>0.539025077486616</c:v>
                </c:pt>
                <c:pt idx="5">
                  <c:v>0.3371544167228591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00001"/>
        <c:crosses val="autoZero"/>
        <c:crossBetween val="between"/>
      </c:valAx>
      <c:valAx>
        <c:axId val="6010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00001"/>
        <c:crosses val="max"/>
        <c:crossBetween val="between"/>
        <c:majorUnit val="0.2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Austria: Monthly inflow in EUR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GraphData!$A$132:$A$137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GraphData!$B$132:$B$137</c:f>
              <c:numCache>
                <c:formatCode>General</c:formatCode>
                <c:ptCount val="6"/>
                <c:pt idx="0">
                  <c:v>6180</c:v>
                </c:pt>
                <c:pt idx="1">
                  <c:v>13201</c:v>
                </c:pt>
                <c:pt idx="2">
                  <c:v>5127</c:v>
                </c:pt>
                <c:pt idx="3">
                  <c:v>11376</c:v>
                </c:pt>
                <c:pt idx="4">
                  <c:v>5166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GraphData!$A$132:$A$137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GraphData!$C$132:$C$137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27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GraphData!$A$132:$A$137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GraphData!$D$132:$D$137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1552</c:v>
                </c:pt>
                <c:pt idx="5">
                  <c:v>4508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GraphData!$A$132:$A$137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GraphData!$E$132:$E$137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70"/>
        <c:overlap val="100"/>
        <c:axId val="50110001"/>
        <c:axId val="5011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GraphData!$A$132:$A$137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GraphData!$F$132:$F$137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0.9992972593113141</c:v>
                </c:pt>
                <c:pt idx="4">
                  <c:v>0.7698695136417556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GraphData!$A$132:$A$137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GraphData!$G$132:$G$137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0.9595959595959596</c:v>
                </c:pt>
                <c:pt idx="4">
                  <c:v>0.6585365853658537</c:v>
                </c:pt>
                <c:pt idx="5">
                  <c:v>0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10001"/>
        <c:crosses val="autoZero"/>
        <c:crossBetween val="between"/>
      </c:valAx>
      <c:valAx>
        <c:axId val="6011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10001"/>
        <c:crosses val="max"/>
        <c:crossBetween val="between"/>
        <c:majorUnit val="0.2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Belgium: Monthly inflow in EUR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GraphData!$A$149:$A$154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GraphData!$B$149:$B$154</c:f>
              <c:numCache>
                <c:formatCode>General</c:formatCode>
                <c:ptCount val="6"/>
                <c:pt idx="0">
                  <c:v>105005</c:v>
                </c:pt>
                <c:pt idx="1">
                  <c:v>68044</c:v>
                </c:pt>
                <c:pt idx="2">
                  <c:v>102512</c:v>
                </c:pt>
                <c:pt idx="3">
                  <c:v>65509</c:v>
                </c:pt>
                <c:pt idx="4">
                  <c:v>80053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GraphData!$A$149:$A$154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GraphData!$C$149:$C$154</c:f>
              <c:numCache>
                <c:formatCode>General</c:formatCode>
                <c:ptCount val="6"/>
                <c:pt idx="0">
                  <c:v>0</c:v>
                </c:pt>
                <c:pt idx="1">
                  <c:v>120</c:v>
                </c:pt>
                <c:pt idx="2">
                  <c:v>1829</c:v>
                </c:pt>
                <c:pt idx="3">
                  <c:v>6300</c:v>
                </c:pt>
                <c:pt idx="4">
                  <c:v>39817</c:v>
                </c:pt>
                <c:pt idx="5">
                  <c:v>52704</c:v>
                </c:pt>
              </c:numCache>
            </c:numRef>
          </c:val>
        </c:ser>
        <c:ser>
          <c:idx val="2"/>
          <c:order val="2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GraphData!$A$149:$A$154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GraphData!$D$149:$D$154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Public authority refund</c:v>
          </c:tx>
          <c:spPr>
            <a:solidFill>
              <a:srgbClr val="6CAED6"/>
            </a:solidFill>
            <a:ln>
              <a:noFill/>
            </a:ln>
          </c:spPr>
          <c:cat>
            <c:strRef>
              <c:f>GraphData!$A$149:$A$154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GraphData!$E$149:$E$154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70"/>
        <c:overlap val="100"/>
        <c:axId val="50120001"/>
        <c:axId val="5012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GraphData!$A$149:$A$154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GraphData!$F$149:$F$154</c:f>
              <c:numCache>
                <c:formatCode>General</c:formatCode>
                <c:ptCount val="6"/>
                <c:pt idx="0">
                  <c:v>1</c:v>
                </c:pt>
                <c:pt idx="1">
                  <c:v>0.9982395399331025</c:v>
                </c:pt>
                <c:pt idx="2">
                  <c:v>0.9824709366404386</c:v>
                </c:pt>
                <c:pt idx="3">
                  <c:v>0.912267264549012</c:v>
                </c:pt>
                <c:pt idx="4">
                  <c:v>0.6678318178026195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GraphData!$A$149:$A$154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GraphData!$G$149:$G$154</c:f>
              <c:numCache>
                <c:formatCode>General</c:formatCode>
                <c:ptCount val="6"/>
                <c:pt idx="0">
                  <c:v>1</c:v>
                </c:pt>
                <c:pt idx="1">
                  <c:v>0.9942528735632183</c:v>
                </c:pt>
                <c:pt idx="2">
                  <c:v>0.976303317535545</c:v>
                </c:pt>
                <c:pt idx="3">
                  <c:v>0.8493975903614458</c:v>
                </c:pt>
                <c:pt idx="4">
                  <c:v>0.7361963190184049</c:v>
                </c:pt>
                <c:pt idx="5">
                  <c:v>0</c:v>
                </c:pt>
              </c:numCache>
            </c:numRef>
          </c:val>
        </c:ser>
        <c:marker val="1"/>
        <c:axId val="60120001"/>
        <c:axId val="60120002"/>
      </c:lineChart>
      <c:catAx>
        <c:axId val="5012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20001"/>
        <c:crosses val="autoZero"/>
        <c:crossBetween val="between"/>
      </c:valAx>
      <c:valAx>
        <c:axId val="6012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20001"/>
        <c:crosses val="max"/>
        <c:crossBetween val="between"/>
        <c:majorUnit val="0.2"/>
      </c:valAx>
      <c:catAx>
        <c:axId val="60120001"/>
        <c:scaling>
          <c:orientation val="minMax"/>
        </c:scaling>
        <c:delete val="1"/>
        <c:axPos val="b"/>
        <c:tickLblPos val="none"/>
        <c:crossAx val="6012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Italy: Monthly inflow in EUR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GraphData!$A$166:$A$171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GraphData!$B$166:$B$171</c:f>
              <c:numCache>
                <c:formatCode>General</c:formatCode>
                <c:ptCount val="6"/>
                <c:pt idx="0">
                  <c:v>1153099</c:v>
                </c:pt>
                <c:pt idx="1">
                  <c:v>1363390</c:v>
                </c:pt>
                <c:pt idx="2">
                  <c:v>901639</c:v>
                </c:pt>
                <c:pt idx="3">
                  <c:v>1049130</c:v>
                </c:pt>
                <c:pt idx="4">
                  <c:v>635297</c:v>
                </c:pt>
                <c:pt idx="5">
                  <c:v>252064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GraphData!$A$166:$A$171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GraphData!$C$166:$C$171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GraphData!$A$166:$A$171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GraphData!$D$166:$D$171</c:f>
              <c:numCache>
                <c:formatCode>General</c:formatCode>
                <c:ptCount val="6"/>
                <c:pt idx="0">
                  <c:v>29052</c:v>
                </c:pt>
                <c:pt idx="1">
                  <c:v>24658</c:v>
                </c:pt>
                <c:pt idx="2">
                  <c:v>40982</c:v>
                </c:pt>
                <c:pt idx="3">
                  <c:v>144406</c:v>
                </c:pt>
                <c:pt idx="4">
                  <c:v>233404</c:v>
                </c:pt>
                <c:pt idx="5">
                  <c:v>545508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GraphData!$A$166:$A$171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GraphData!$E$166:$E$171</c:f>
              <c:numCache>
                <c:formatCode>General</c:formatCode>
                <c:ptCount val="6"/>
                <c:pt idx="0">
                  <c:v>17053</c:v>
                </c:pt>
                <c:pt idx="1">
                  <c:v>37569</c:v>
                </c:pt>
                <c:pt idx="2">
                  <c:v>34867</c:v>
                </c:pt>
                <c:pt idx="3">
                  <c:v>40480</c:v>
                </c:pt>
                <c:pt idx="4">
                  <c:v>29482</c:v>
                </c:pt>
                <c:pt idx="5">
                  <c:v>22786</c:v>
                </c:pt>
              </c:numCache>
            </c:numRef>
          </c:val>
        </c:ser>
        <c:gapWidth val="70"/>
        <c:overlap val="100"/>
        <c:axId val="50130001"/>
        <c:axId val="5013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GraphData!$A$166:$A$171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GraphData!$F$166:$F$171</c:f>
              <c:numCache>
                <c:formatCode>General</c:formatCode>
                <c:ptCount val="6"/>
                <c:pt idx="0">
                  <c:v>0.97577393004026</c:v>
                </c:pt>
                <c:pt idx="1">
                  <c:v>0.9827036293759124</c:v>
                </c:pt>
                <c:pt idx="2">
                  <c:v>0.9580741656163554</c:v>
                </c:pt>
                <c:pt idx="3">
                  <c:v>0.8829789216842232</c:v>
                </c:pt>
                <c:pt idx="4">
                  <c:v>0.7401375888877879</c:v>
                </c:pt>
                <c:pt idx="5">
                  <c:v>0.3350366547287891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GraphData!$A$166:$A$171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GraphData!$G$166:$G$171</c:f>
              <c:numCache>
                <c:formatCode>General</c:formatCode>
                <c:ptCount val="6"/>
                <c:pt idx="0">
                  <c:v>0.9370393767108866</c:v>
                </c:pt>
                <c:pt idx="1">
                  <c:v>0.9211052535902563</c:v>
                </c:pt>
                <c:pt idx="2">
                  <c:v>0.9063160366283165</c:v>
                </c:pt>
                <c:pt idx="3">
                  <c:v>0.8471350475804819</c:v>
                </c:pt>
                <c:pt idx="4">
                  <c:v>0.7480610457843383</c:v>
                </c:pt>
                <c:pt idx="5">
                  <c:v>0.4057929452251219</c:v>
                </c:pt>
              </c:numCache>
            </c:numRef>
          </c:val>
        </c:ser>
        <c:marker val="1"/>
        <c:axId val="60130001"/>
        <c:axId val="60130002"/>
      </c:lineChart>
      <c:catAx>
        <c:axId val="5013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30001"/>
        <c:crosses val="autoZero"/>
        <c:crossBetween val="between"/>
      </c:valAx>
      <c:valAx>
        <c:axId val="6013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30001"/>
        <c:crosses val="max"/>
        <c:crossBetween val="between"/>
        <c:majorUnit val="0.2"/>
      </c:valAx>
      <c:catAx>
        <c:axId val="60130001"/>
        <c:scaling>
          <c:orientation val="minMax"/>
        </c:scaling>
        <c:delete val="1"/>
        <c:axPos val="b"/>
        <c:tickLblPos val="none"/>
        <c:crossAx val="6013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Portugal: Monthly inflow in EUR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GraphData!$A$183:$A$188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GraphData!$B$183:$B$188</c:f>
              <c:numCache>
                <c:formatCode>General</c:formatCode>
                <c:ptCount val="6"/>
                <c:pt idx="0">
                  <c:v>2347164</c:v>
                </c:pt>
                <c:pt idx="1">
                  <c:v>1989474</c:v>
                </c:pt>
                <c:pt idx="2">
                  <c:v>418075</c:v>
                </c:pt>
                <c:pt idx="3">
                  <c:v>109120</c:v>
                </c:pt>
                <c:pt idx="4">
                  <c:v>83327</c:v>
                </c:pt>
                <c:pt idx="5">
                  <c:v>54571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GraphData!$A$183:$A$188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GraphData!$C$183:$C$188</c:f>
              <c:numCache>
                <c:formatCode>General</c:formatCode>
                <c:ptCount val="6"/>
                <c:pt idx="0">
                  <c:v>1699865</c:v>
                </c:pt>
                <c:pt idx="1">
                  <c:v>1639479</c:v>
                </c:pt>
                <c:pt idx="2">
                  <c:v>2090995</c:v>
                </c:pt>
                <c:pt idx="3">
                  <c:v>1478610</c:v>
                </c:pt>
                <c:pt idx="4">
                  <c:v>1110613</c:v>
                </c:pt>
                <c:pt idx="5">
                  <c:v>914999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GraphData!$A$183:$A$188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GraphData!$D$183:$D$188</c:f>
              <c:numCache>
                <c:formatCode>General</c:formatCode>
                <c:ptCount val="6"/>
                <c:pt idx="0">
                  <c:v>12302</c:v>
                </c:pt>
                <c:pt idx="1">
                  <c:v>21722</c:v>
                </c:pt>
                <c:pt idx="2">
                  <c:v>21463</c:v>
                </c:pt>
                <c:pt idx="3">
                  <c:v>44267</c:v>
                </c:pt>
                <c:pt idx="4">
                  <c:v>34409</c:v>
                </c:pt>
                <c:pt idx="5">
                  <c:v>31691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GraphData!$A$183:$A$188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GraphData!$E$183:$E$188</c:f>
              <c:numCache>
                <c:formatCode>General</c:formatCode>
                <c:ptCount val="6"/>
                <c:pt idx="0">
                  <c:v>1136</c:v>
                </c:pt>
                <c:pt idx="1">
                  <c:v>0</c:v>
                </c:pt>
                <c:pt idx="2">
                  <c:v>3785</c:v>
                </c:pt>
                <c:pt idx="3">
                  <c:v>17939</c:v>
                </c:pt>
                <c:pt idx="4">
                  <c:v>6237</c:v>
                </c:pt>
                <c:pt idx="5">
                  <c:v>149</c:v>
                </c:pt>
              </c:numCache>
            </c:numRef>
          </c:val>
        </c:ser>
        <c:gapWidth val="70"/>
        <c:overlap val="100"/>
        <c:axId val="50140001"/>
        <c:axId val="5014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GraphData!$A$183:$A$188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GraphData!$F$183:$F$188</c:f>
              <c:numCache>
                <c:formatCode>General</c:formatCode>
                <c:ptCount val="6"/>
                <c:pt idx="0">
                  <c:v>0.996970298482982</c:v>
                </c:pt>
                <c:pt idx="1">
                  <c:v>0.9940498674902587</c:v>
                </c:pt>
                <c:pt idx="2">
                  <c:v>0.9915310549031338</c:v>
                </c:pt>
                <c:pt idx="3">
                  <c:v>0.9731704582301727</c:v>
                </c:pt>
                <c:pt idx="4">
                  <c:v>0.9721291185871215</c:v>
                </c:pt>
                <c:pt idx="5">
                  <c:v>0.9683536213938347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GraphData!$A$183:$A$188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GraphData!$G$183:$G$188</c:f>
              <c:numCache>
                <c:formatCode>General</c:formatCode>
                <c:ptCount val="6"/>
                <c:pt idx="0">
                  <c:v>0.9398592450415867</c:v>
                </c:pt>
                <c:pt idx="1">
                  <c:v>0.8839779005524862</c:v>
                </c:pt>
                <c:pt idx="2">
                  <c:v>0.837217640731445</c:v>
                </c:pt>
                <c:pt idx="3">
                  <c:v>0.6334781156030739</c:v>
                </c:pt>
                <c:pt idx="4">
                  <c:v>0.4956834532374101</c:v>
                </c:pt>
                <c:pt idx="5">
                  <c:v>0.4990541051835036</c:v>
                </c:pt>
              </c:numCache>
            </c:numRef>
          </c:val>
        </c:ser>
        <c:marker val="1"/>
        <c:axId val="60140001"/>
        <c:axId val="60140002"/>
      </c:lineChart>
      <c:catAx>
        <c:axId val="5014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40001"/>
        <c:crosses val="autoZero"/>
        <c:crossBetween val="between"/>
      </c:valAx>
      <c:valAx>
        <c:axId val="6014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40001"/>
        <c:crosses val="max"/>
        <c:crossBetween val="between"/>
        <c:majorUnit val="0.2"/>
      </c:valAx>
      <c:catAx>
        <c:axId val="60140001"/>
        <c:scaling>
          <c:orientation val="minMax"/>
        </c:scaling>
        <c:delete val="1"/>
        <c:axPos val="b"/>
        <c:tickLblPos val="none"/>
        <c:crossAx val="6014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France: Monthly inflow in EUR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GraphData!$A$200:$A$205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GraphData!$B$200:$B$205</c:f>
              <c:numCache>
                <c:formatCode>General</c:formatCode>
                <c:ptCount val="6"/>
                <c:pt idx="0">
                  <c:v>1814597</c:v>
                </c:pt>
                <c:pt idx="1">
                  <c:v>598542</c:v>
                </c:pt>
                <c:pt idx="2">
                  <c:v>1511149</c:v>
                </c:pt>
                <c:pt idx="3">
                  <c:v>1485242</c:v>
                </c:pt>
                <c:pt idx="4">
                  <c:v>682272</c:v>
                </c:pt>
                <c:pt idx="5">
                  <c:v>34796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GraphData!$A$200:$A$205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GraphData!$C$200:$C$205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GraphData!$A$200:$A$205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GraphData!$D$200:$D$205</c:f>
              <c:numCache>
                <c:formatCode>General</c:formatCode>
                <c:ptCount val="6"/>
                <c:pt idx="0">
                  <c:v>10718</c:v>
                </c:pt>
                <c:pt idx="1">
                  <c:v>79534</c:v>
                </c:pt>
                <c:pt idx="2">
                  <c:v>227759</c:v>
                </c:pt>
                <c:pt idx="3">
                  <c:v>194859</c:v>
                </c:pt>
                <c:pt idx="4">
                  <c:v>649881</c:v>
                </c:pt>
                <c:pt idx="5">
                  <c:v>1438681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GraphData!$A$200:$A$205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GraphData!$E$200:$E$205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70"/>
        <c:overlap val="100"/>
        <c:axId val="50150001"/>
        <c:axId val="5015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GraphData!$A$200:$A$205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GraphData!$F$200:$F$205</c:f>
              <c:numCache>
                <c:formatCode>General</c:formatCode>
                <c:ptCount val="6"/>
                <c:pt idx="0">
                  <c:v>0.994128136787349</c:v>
                </c:pt>
                <c:pt idx="1">
                  <c:v>0.8827063632985093</c:v>
                </c:pt>
                <c:pt idx="2">
                  <c:v>0.8690218228911478</c:v>
                </c:pt>
                <c:pt idx="3">
                  <c:v>0.8840194726388473</c:v>
                </c:pt>
                <c:pt idx="4">
                  <c:v>0.5121573873271313</c:v>
                </c:pt>
                <c:pt idx="5">
                  <c:v>0.02361489185104348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GraphData!$A$200:$A$205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GraphData!$G$200:$G$205</c:f>
              <c:numCache>
                <c:formatCode>General</c:formatCode>
                <c:ptCount val="6"/>
                <c:pt idx="0">
                  <c:v>0.965771458662454</c:v>
                </c:pt>
                <c:pt idx="1">
                  <c:v>0.9705315870570108</c:v>
                </c:pt>
                <c:pt idx="2">
                  <c:v>0.9737052856380138</c:v>
                </c:pt>
                <c:pt idx="3">
                  <c:v>0.8919887381622729</c:v>
                </c:pt>
                <c:pt idx="4">
                  <c:v>0.317774508492711</c:v>
                </c:pt>
                <c:pt idx="5">
                  <c:v>0.0154461606845205</c:v>
                </c:pt>
              </c:numCache>
            </c:numRef>
          </c:val>
        </c:ser>
        <c:marker val="1"/>
        <c:axId val="60150001"/>
        <c:axId val="60150002"/>
      </c:lineChart>
      <c:catAx>
        <c:axId val="5015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50001"/>
        <c:crosses val="autoZero"/>
        <c:crossBetween val="between"/>
      </c:valAx>
      <c:valAx>
        <c:axId val="6015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50001"/>
        <c:crosses val="max"/>
        <c:crossBetween val="between"/>
        <c:majorUnit val="0.2"/>
      </c:valAx>
      <c:catAx>
        <c:axId val="60150001"/>
        <c:scaling>
          <c:orientation val="minMax"/>
        </c:scaling>
        <c:delete val="1"/>
        <c:axPos val="b"/>
        <c:tickLblPos val="none"/>
        <c:crossAx val="6015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UK: Monthly inflow in GBP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GraphData!$A$217:$A$222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GraphData!$B$217:$B$222</c:f>
              <c:numCache>
                <c:formatCode>General</c:formatCode>
                <c:ptCount val="6"/>
                <c:pt idx="0">
                  <c:v>78140</c:v>
                </c:pt>
                <c:pt idx="1">
                  <c:v>110936</c:v>
                </c:pt>
                <c:pt idx="2">
                  <c:v>53420</c:v>
                </c:pt>
                <c:pt idx="3">
                  <c:v>68133</c:v>
                </c:pt>
                <c:pt idx="4">
                  <c:v>92823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GraphData!$A$217:$A$222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GraphData!$C$217:$C$222</c:f>
              <c:numCache>
                <c:formatCode>General</c:formatCode>
                <c:ptCount val="6"/>
                <c:pt idx="0">
                  <c:v>1484</c:v>
                </c:pt>
                <c:pt idx="1">
                  <c:v>2026</c:v>
                </c:pt>
                <c:pt idx="2">
                  <c:v>8481</c:v>
                </c:pt>
                <c:pt idx="3">
                  <c:v>11187</c:v>
                </c:pt>
                <c:pt idx="4">
                  <c:v>1245</c:v>
                </c:pt>
                <c:pt idx="5">
                  <c:v>228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GraphData!$A$217:$A$222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GraphData!$D$217:$D$222</c:f>
              <c:numCache>
                <c:formatCode>General</c:formatCode>
                <c:ptCount val="6"/>
                <c:pt idx="0">
                  <c:v>21381</c:v>
                </c:pt>
                <c:pt idx="1">
                  <c:v>30432</c:v>
                </c:pt>
                <c:pt idx="2">
                  <c:v>14776</c:v>
                </c:pt>
                <c:pt idx="3">
                  <c:v>32843</c:v>
                </c:pt>
                <c:pt idx="4">
                  <c:v>38190</c:v>
                </c:pt>
                <c:pt idx="5">
                  <c:v>504536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GraphData!$A$217:$A$222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GraphData!$E$217:$E$222</c:f>
              <c:numCache>
                <c:formatCode>General</c:formatCode>
                <c:ptCount val="6"/>
                <c:pt idx="0">
                  <c:v>2351</c:v>
                </c:pt>
                <c:pt idx="1">
                  <c:v>2383</c:v>
                </c:pt>
                <c:pt idx="2">
                  <c:v>3252</c:v>
                </c:pt>
                <c:pt idx="3">
                  <c:v>2678</c:v>
                </c:pt>
                <c:pt idx="4">
                  <c:v>1958</c:v>
                </c:pt>
                <c:pt idx="5">
                  <c:v>405</c:v>
                </c:pt>
              </c:numCache>
            </c:numRef>
          </c:val>
        </c:ser>
        <c:gapWidth val="70"/>
        <c:overlap val="100"/>
        <c:axId val="50160001"/>
        <c:axId val="5016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GraphData!$A$217:$A$222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GraphData!$F$217:$F$222</c:f>
              <c:numCache>
                <c:formatCode>General</c:formatCode>
                <c:ptCount val="6"/>
                <c:pt idx="0">
                  <c:v>0.793132474166957</c:v>
                </c:pt>
                <c:pt idx="1">
                  <c:v>0.7912427886429272</c:v>
                </c:pt>
                <c:pt idx="2">
                  <c:v>0.8151359331406623</c:v>
                </c:pt>
                <c:pt idx="3">
                  <c:v>0.714013287937235</c:v>
                </c:pt>
                <c:pt idx="4">
                  <c:v>0.7154586636466591</c:v>
                </c:pt>
                <c:pt idx="5">
                  <c:v>0.001253046010345053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GraphData!$A$217:$A$222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GraphData!$G$217:$G$222</c:f>
              <c:numCache>
                <c:formatCode>General</c:formatCode>
                <c:ptCount val="6"/>
                <c:pt idx="0">
                  <c:v>0.6951945080091533</c:v>
                </c:pt>
                <c:pt idx="1">
                  <c:v>0.5787224471434997</c:v>
                </c:pt>
                <c:pt idx="2">
                  <c:v>0.3739383644746421</c:v>
                </c:pt>
                <c:pt idx="3">
                  <c:v>0.4474327628361858</c:v>
                </c:pt>
                <c:pt idx="4">
                  <c:v>0.4588469184890656</c:v>
                </c:pt>
                <c:pt idx="5">
                  <c:v>0.01618341200269724</c:v>
                </c:pt>
              </c:numCache>
            </c:numRef>
          </c:val>
        </c:ser>
        <c:marker val="1"/>
        <c:axId val="60160001"/>
        <c:axId val="60160002"/>
      </c:lineChart>
      <c:catAx>
        <c:axId val="5016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60001"/>
        <c:crosses val="autoZero"/>
        <c:crossBetween val="between"/>
      </c:valAx>
      <c:valAx>
        <c:axId val="6016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60001"/>
        <c:crosses val="max"/>
        <c:crossBetween val="between"/>
        <c:majorUnit val="0.2"/>
      </c:valAx>
      <c:catAx>
        <c:axId val="60160001"/>
        <c:scaling>
          <c:orientation val="minMax"/>
        </c:scaling>
        <c:delete val="1"/>
        <c:axPos val="b"/>
        <c:tickLblPos val="none"/>
        <c:crossAx val="6016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South Africa: Monthly inflow in ZAR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GraphData!$A$234:$A$239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GraphData!$B$234:$B$239</c:f>
              <c:numCache>
                <c:formatCode>General</c:formatCode>
                <c:ptCount val="6"/>
                <c:pt idx="0">
                  <c:v>2257245.010000002</c:v>
                </c:pt>
                <c:pt idx="1">
                  <c:v>2214528.610000001</c:v>
                </c:pt>
                <c:pt idx="2">
                  <c:v>1802014.029999999</c:v>
                </c:pt>
                <c:pt idx="3">
                  <c:v>1844608.780000006</c:v>
                </c:pt>
                <c:pt idx="4">
                  <c:v>1530045.009999999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False positive balance</c:v>
          </c:tx>
          <c:spPr>
            <a:solidFill>
              <a:srgbClr val="006633"/>
            </a:solidFill>
            <a:ln>
              <a:noFill/>
            </a:ln>
          </c:spPr>
          <c:cat>
            <c:strRef>
              <c:f>GraphData!$A$234:$A$239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GraphData!$C$234:$C$239</c:f>
              <c:numCache>
                <c:formatCode>General</c:formatCode>
                <c:ptCount val="6"/>
                <c:pt idx="0">
                  <c:v>35981.14000000003</c:v>
                </c:pt>
                <c:pt idx="1">
                  <c:v>35065.13999999982</c:v>
                </c:pt>
                <c:pt idx="2">
                  <c:v>37194.56999999994</c:v>
                </c:pt>
                <c:pt idx="3">
                  <c:v>36958.94999999987</c:v>
                </c:pt>
                <c:pt idx="4">
                  <c:v>23251.49000000008</c:v>
                </c:pt>
                <c:pt idx="5">
                  <c:v>21748.81000000002</c:v>
                </c:pt>
              </c:numCache>
            </c:numRef>
          </c:val>
        </c:ser>
        <c:ser>
          <c:idx val="2"/>
          <c:order val="2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GraphData!$A$234:$A$239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GraphData!$D$234:$D$239</c:f>
              <c:numCache>
                <c:formatCode>General</c:formatCode>
                <c:ptCount val="6"/>
                <c:pt idx="0">
                  <c:v>1017381.590000022</c:v>
                </c:pt>
                <c:pt idx="1">
                  <c:v>1190285.050000014</c:v>
                </c:pt>
                <c:pt idx="2">
                  <c:v>1698707.599999998</c:v>
                </c:pt>
                <c:pt idx="3">
                  <c:v>2370867.999999958</c:v>
                </c:pt>
                <c:pt idx="4">
                  <c:v>2542412.579999955</c:v>
                </c:pt>
                <c:pt idx="5">
                  <c:v>4321352.739999992</c:v>
                </c:pt>
              </c:numCache>
            </c:numRef>
          </c:val>
        </c:ser>
        <c:ser>
          <c:idx val="3"/>
          <c:order val="3"/>
          <c:tx>
            <c:v>Customer not reachable</c:v>
          </c:tx>
          <c:spPr>
            <a:solidFill>
              <a:srgbClr val="D9A72C"/>
            </a:solidFill>
            <a:ln>
              <a:noFill/>
            </a:ln>
          </c:spPr>
          <c:cat>
            <c:strRef>
              <c:f>GraphData!$A$234:$A$239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GraphData!$E$234:$E$239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70"/>
        <c:overlap val="100"/>
        <c:axId val="50170001"/>
        <c:axId val="5017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GraphData!$A$234:$A$239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GraphData!$F$234:$F$239</c:f>
              <c:numCache>
                <c:formatCode>General</c:formatCode>
                <c:ptCount val="6"/>
                <c:pt idx="0">
                  <c:v>0.6926903849986122</c:v>
                </c:pt>
                <c:pt idx="1">
                  <c:v>0.6539747127137129</c:v>
                </c:pt>
                <c:pt idx="2">
                  <c:v>0.5198564624000988</c:v>
                </c:pt>
                <c:pt idx="3">
                  <c:v>0.4424682345522531</c:v>
                </c:pt>
                <c:pt idx="4">
                  <c:v>0.379249714679446</c:v>
                </c:pt>
                <c:pt idx="5">
                  <c:v>0.005007667849719071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GraphData!$A$234:$A$239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GraphData!$G$234:$G$239</c:f>
              <c:numCache>
                <c:formatCode>General</c:formatCode>
                <c:ptCount val="6"/>
                <c:pt idx="0">
                  <c:v>0.8571001494768311</c:v>
                </c:pt>
                <c:pt idx="1">
                  <c:v>0.831151832460733</c:v>
                </c:pt>
                <c:pt idx="2">
                  <c:v>0.7894209999473157</c:v>
                </c:pt>
                <c:pt idx="3">
                  <c:v>0.7083093456150451</c:v>
                </c:pt>
                <c:pt idx="4">
                  <c:v>0.5870038195619591</c:v>
                </c:pt>
                <c:pt idx="5">
                  <c:v>0.3165488934963822</c:v>
                </c:pt>
              </c:numCache>
            </c:numRef>
          </c:val>
        </c:ser>
        <c:marker val="1"/>
        <c:axId val="60170001"/>
        <c:axId val="60170002"/>
      </c:lineChart>
      <c:catAx>
        <c:axId val="5017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70001"/>
        <c:crosses val="autoZero"/>
        <c:crossBetween val="between"/>
      </c:valAx>
      <c:valAx>
        <c:axId val="6017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70001"/>
        <c:crosses val="max"/>
        <c:crossBetween val="between"/>
        <c:majorUnit val="0.2"/>
      </c:valAx>
      <c:catAx>
        <c:axId val="60170001"/>
        <c:scaling>
          <c:orientation val="minMax"/>
        </c:scaling>
        <c:delete val="1"/>
        <c:axPos val="b"/>
        <c:tickLblPos val="none"/>
        <c:crossAx val="6017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Brazil: monthly IN and OUT in BRL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 (left axis)</c:v>
          </c:tx>
          <c:spPr>
            <a:ln w="31750">
              <a:solidFill>
                <a:srgbClr val="77B900"/>
              </a:solidFill>
            </a:ln>
          </c:spPr>
          <c:marker>
            <c:symbol val="circle"/>
            <c:size val="5"/>
            <c:spPr>
              <a:solidFill>
                <a:srgbClr val="77B900"/>
              </a:solidFill>
              <a:ln>
                <a:solidFill>
                  <a:srgbClr val="77B900"/>
                </a:solidFill>
              </a:ln>
            </c:spPr>
          </c:marker>
          <c:cat>
            <c:strRef>
              <c:f>GraphData!$A$251:$A$256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GraphData!$B$251:$B$256</c:f>
              <c:numCache>
                <c:formatCode>General</c:formatCode>
                <c:ptCount val="6"/>
                <c:pt idx="0">
                  <c:v>22695.36</c:v>
                </c:pt>
                <c:pt idx="1">
                  <c:v>14874.3</c:v>
                </c:pt>
                <c:pt idx="2">
                  <c:v>9310.760000000026</c:v>
                </c:pt>
                <c:pt idx="3">
                  <c:v>9959.560000000005</c:v>
                </c:pt>
                <c:pt idx="4">
                  <c:v>1465.87</c:v>
                </c:pt>
                <c:pt idx="5">
                  <c:v>15278.08</c:v>
                </c:pt>
              </c:numCache>
            </c:numRef>
          </c:val>
        </c:ser>
        <c:marker val="1"/>
        <c:axId val="50180001"/>
        <c:axId val="50180002"/>
      </c:lineChart>
      <c:lineChart>
        <c:grouping val="standard"/>
        <c:ser>
          <c:idx val="1"/>
          <c:order val="1"/>
          <c:tx>
            <c:v>OUT (right axis)</c:v>
          </c:tx>
          <c:spPr>
            <a:ln w="31750">
              <a:solidFill>
                <a:srgbClr val="D66B28"/>
              </a:solidFill>
            </a:ln>
          </c:spPr>
          <c:marker>
            <c:symbol val="square"/>
            <c:size val="5"/>
            <c:spPr>
              <a:solidFill>
                <a:srgbClr val="D66B28"/>
              </a:solidFill>
              <a:ln>
                <a:solidFill>
                  <a:srgbClr val="D66B28"/>
                </a:solidFill>
              </a:ln>
            </c:spPr>
          </c:marker>
          <c:cat>
            <c:strRef>
              <c:f>GraphData!$A$251:$A$256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GraphData!$C$251:$C$256</c:f>
              <c:numCache>
                <c:formatCode>General</c:formatCode>
                <c:ptCount val="6"/>
                <c:pt idx="0">
                  <c:v>160913.0099999998</c:v>
                </c:pt>
                <c:pt idx="1">
                  <c:v>27911417.86</c:v>
                </c:pt>
                <c:pt idx="2">
                  <c:v>150862.4499999985</c:v>
                </c:pt>
                <c:pt idx="3">
                  <c:v>153314.4399984963</c:v>
                </c:pt>
                <c:pt idx="4">
                  <c:v>62435.82999999993</c:v>
                </c:pt>
                <c:pt idx="5">
                  <c:v>75514.03999999975</c:v>
                </c:pt>
              </c:numCache>
            </c:numRef>
          </c:val>
        </c:ser>
        <c:marker val="1"/>
        <c:axId val="50180003"/>
        <c:axId val="50180004"/>
      </c:lineChart>
      <c:catAx>
        <c:axId val="5018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in val="0"/>
        </c:scaling>
        <c:axPos val="l"/>
        <c:majorGridlines>
          <c:spPr>
            <a:ln>
              <a:solidFill>
                <a:srgbClr val="DDE3E5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548300"/>
                    </a:solidFill>
                  </a:defRPr>
                </a:pPr>
                <a:r>
                  <a:rPr lang="en-US" sz="900" baseline="0">
                    <a:solidFill>
                      <a:srgbClr val="548300"/>
                    </a:solidFill>
                  </a:rPr>
                  <a:t>IN — BRL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80001"/>
        <c:crosses val="autoZero"/>
        <c:crossBetween val="between"/>
      </c:valAx>
      <c:valAx>
        <c:axId val="50180004"/>
        <c:scaling>
          <c:orientation val="minMax"/>
          <c:min val="0"/>
        </c:scaling>
        <c:axPos val="r"/>
        <c:title>
          <c:tx>
            <c:rich>
              <a:bodyPr rot="-5400000" vert="horz"/>
              <a:lstStyle/>
              <a:p>
                <a:pPr>
                  <a:defRPr sz="900" baseline="0">
                    <a:solidFill>
                      <a:srgbClr val="D66B28"/>
                    </a:solidFill>
                  </a:defRPr>
                </a:pPr>
                <a:r>
                  <a:rPr lang="en-US" sz="900" baseline="0">
                    <a:solidFill>
                      <a:srgbClr val="D66B28"/>
                    </a:solidFill>
                  </a:rPr>
                  <a:t>OUT — BRL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180003"/>
        <c:crosses val="max"/>
        <c:crossBetween val="between"/>
      </c:valAx>
      <c:catAx>
        <c:axId val="50180003"/>
        <c:scaling>
          <c:orientation val="minMax"/>
        </c:scaling>
        <c:delete val="1"/>
        <c:axPos val="b"/>
        <c:tickLblPos val="none"/>
        <c:crossAx val="50180004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Denmark: Monthly inflow in DKK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GraphData!$A$262:$A$267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GraphData!$B$262:$B$267</c:f>
              <c:numCache>
                <c:formatCode>General</c:formatCode>
                <c:ptCount val="6"/>
                <c:pt idx="0">
                  <c:v>99722.84000000005</c:v>
                </c:pt>
                <c:pt idx="1">
                  <c:v>133360.3</c:v>
                </c:pt>
                <c:pt idx="2">
                  <c:v>73694.54999999997</c:v>
                </c:pt>
                <c:pt idx="3">
                  <c:v>67214.93999999992</c:v>
                </c:pt>
                <c:pt idx="4">
                  <c:v>62933.94000000001</c:v>
                </c:pt>
                <c:pt idx="5">
                  <c:v>35497.24999999999</c:v>
                </c:pt>
              </c:numCache>
            </c:numRef>
          </c:val>
        </c:ser>
        <c:ser>
          <c:idx val="1"/>
          <c:order val="1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GraphData!$A$262:$A$267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GraphData!$C$262:$C$267</c:f>
              <c:numCache>
                <c:formatCode>General</c:formatCode>
                <c:ptCount val="6"/>
                <c:pt idx="0">
                  <c:v>1.455191522836685e-11</c:v>
                </c:pt>
                <c:pt idx="1">
                  <c:v>-2.91038304567337e-11</c:v>
                </c:pt>
                <c:pt idx="2">
                  <c:v>1.01863406598568e-10</c:v>
                </c:pt>
                <c:pt idx="3">
                  <c:v>7.275957614183426e-11</c:v>
                </c:pt>
                <c:pt idx="4">
                  <c:v>645.8900000002759</c:v>
                </c:pt>
                <c:pt idx="5">
                  <c:v>15520.82000000002</c:v>
                </c:pt>
              </c:numCache>
            </c:numRef>
          </c:val>
        </c:ser>
        <c:ser>
          <c:idx val="2"/>
          <c:order val="2"/>
          <c:tx>
            <c:v>Public authority refund</c:v>
          </c:tx>
          <c:spPr>
            <a:solidFill>
              <a:srgbClr val="6CAED6"/>
            </a:solidFill>
            <a:ln>
              <a:noFill/>
            </a:ln>
          </c:spPr>
          <c:cat>
            <c:strRef>
              <c:f>GraphData!$A$262:$A$267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GraphData!$D$262:$D$267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Other processing without refund</c:v>
          </c:tx>
          <c:spPr>
            <a:solidFill>
              <a:srgbClr val="B4A7D6"/>
            </a:solidFill>
            <a:ln>
              <a:noFill/>
            </a:ln>
          </c:spPr>
          <c:cat>
            <c:strRef>
              <c:f>GraphData!$A$262:$A$267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GraphData!$E$262:$E$267</c:f>
              <c:numCache>
                <c:formatCode>General</c:formatCode>
                <c:ptCount val="6"/>
                <c:pt idx="0">
                  <c:v>12670.51</c:v>
                </c:pt>
                <c:pt idx="1">
                  <c:v>35916.32</c:v>
                </c:pt>
                <c:pt idx="2">
                  <c:v>15427.32</c:v>
                </c:pt>
                <c:pt idx="3">
                  <c:v>7237.440000000001</c:v>
                </c:pt>
                <c:pt idx="4">
                  <c:v>16845.81999999999</c:v>
                </c:pt>
                <c:pt idx="5">
                  <c:v>4271.81</c:v>
                </c:pt>
              </c:numCache>
            </c:numRef>
          </c:val>
        </c:ser>
        <c:gapWidth val="70"/>
        <c:overlap val="100"/>
        <c:axId val="50190001"/>
        <c:axId val="5019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GraphData!$A$262:$A$267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GraphData!$F$262:$F$267</c:f>
              <c:numCache>
                <c:formatCode>General</c:formatCode>
                <c:ptCount val="6"/>
                <c:pt idx="0">
                  <c:v>0.9999999999999999</c:v>
                </c:pt>
                <c:pt idx="1">
                  <c:v>1</c:v>
                </c:pt>
                <c:pt idx="2">
                  <c:v>0.9999999999999989</c:v>
                </c:pt>
                <c:pt idx="3">
                  <c:v>0.999999999999999</c:v>
                </c:pt>
                <c:pt idx="4">
                  <c:v>0.9919691043839836</c:v>
                </c:pt>
                <c:pt idx="5">
                  <c:v>0.7192828054609629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GraphData!$A$262:$A$267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GraphData!$G$262:$G$267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0.9855985598559855</c:v>
                </c:pt>
                <c:pt idx="5">
                  <c:v>0.5851851851851851</c:v>
                </c:pt>
              </c:numCache>
            </c:numRef>
          </c:val>
        </c:ser>
        <c:marker val="1"/>
        <c:axId val="60190001"/>
        <c:axId val="60190002"/>
      </c:lineChart>
      <c:catAx>
        <c:axId val="5019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190001"/>
        <c:crosses val="autoZero"/>
        <c:crossBetween val="between"/>
      </c:valAx>
      <c:valAx>
        <c:axId val="6019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190001"/>
        <c:crosses val="max"/>
        <c:crossBetween val="between"/>
        <c:majorUnit val="0.2"/>
      </c:valAx>
      <c:catAx>
        <c:axId val="60190001"/>
        <c:scaling>
          <c:orientation val="minMax"/>
        </c:scaling>
        <c:delete val="1"/>
        <c:axPos val="b"/>
        <c:tickLblPos val="none"/>
        <c:crossAx val="6019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Norway: Monthly inflow in NOK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GraphData!$A$279:$A$284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GraphData!$B$279:$B$284</c:f>
              <c:numCache>
                <c:formatCode>General</c:formatCode>
                <c:ptCount val="6"/>
                <c:pt idx="0">
                  <c:v>44529.71000000001</c:v>
                </c:pt>
                <c:pt idx="1">
                  <c:v>119196.88</c:v>
                </c:pt>
                <c:pt idx="2">
                  <c:v>48189.56999999999</c:v>
                </c:pt>
                <c:pt idx="3">
                  <c:v>35319.84</c:v>
                </c:pt>
                <c:pt idx="4">
                  <c:v>38392.78000000001</c:v>
                </c:pt>
                <c:pt idx="5">
                  <c:v>29683.47</c:v>
                </c:pt>
              </c:numCache>
            </c:numRef>
          </c:val>
        </c:ser>
        <c:ser>
          <c:idx val="1"/>
          <c:order val="1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GraphData!$A$279:$A$284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GraphData!$C$279:$C$284</c:f>
              <c:numCache>
                <c:formatCode>General</c:formatCode>
                <c:ptCount val="6"/>
                <c:pt idx="0">
                  <c:v>4050.930000000008</c:v>
                </c:pt>
                <c:pt idx="1">
                  <c:v>2.91038304567337e-11</c:v>
                </c:pt>
                <c:pt idx="2">
                  <c:v>0</c:v>
                </c:pt>
                <c:pt idx="3">
                  <c:v>-2.91038304567337e-11</c:v>
                </c:pt>
                <c:pt idx="4">
                  <c:v>1746.190000000002</c:v>
                </c:pt>
                <c:pt idx="5">
                  <c:v>16286.97000000002</c:v>
                </c:pt>
              </c:numCache>
            </c:numRef>
          </c:val>
        </c:ser>
        <c:ser>
          <c:idx val="2"/>
          <c:order val="2"/>
          <c:tx>
            <c:v>Public authority refund</c:v>
          </c:tx>
          <c:spPr>
            <a:solidFill>
              <a:srgbClr val="6CAED6"/>
            </a:solidFill>
            <a:ln>
              <a:noFill/>
            </a:ln>
          </c:spPr>
          <c:cat>
            <c:strRef>
              <c:f>GraphData!$A$279:$A$284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GraphData!$D$279:$D$284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Other processing without refund</c:v>
          </c:tx>
          <c:spPr>
            <a:solidFill>
              <a:srgbClr val="B4A7D6"/>
            </a:solidFill>
            <a:ln>
              <a:noFill/>
            </a:ln>
          </c:spPr>
          <c:cat>
            <c:strRef>
              <c:f>GraphData!$A$279:$A$284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GraphData!$E$279:$E$284</c:f>
              <c:numCache>
                <c:formatCode>General</c:formatCode>
                <c:ptCount val="6"/>
                <c:pt idx="0">
                  <c:v>13050.29</c:v>
                </c:pt>
                <c:pt idx="1">
                  <c:v>27796.83</c:v>
                </c:pt>
                <c:pt idx="2">
                  <c:v>7371.159999999999</c:v>
                </c:pt>
                <c:pt idx="3">
                  <c:v>7222.72</c:v>
                </c:pt>
                <c:pt idx="4">
                  <c:v>2935.37</c:v>
                </c:pt>
                <c:pt idx="5">
                  <c:v>333.07</c:v>
                </c:pt>
              </c:numCache>
            </c:numRef>
          </c:val>
        </c:ser>
        <c:gapWidth val="70"/>
        <c:overlap val="100"/>
        <c:axId val="50200001"/>
        <c:axId val="5020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GraphData!$A$279:$A$284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GraphData!$F$279:$F$284</c:f>
              <c:numCache>
                <c:formatCode>General</c:formatCode>
                <c:ptCount val="6"/>
                <c:pt idx="0">
                  <c:v>0.9342711524878822</c:v>
                </c:pt>
                <c:pt idx="1">
                  <c:v>0.9999999999999998</c:v>
                </c:pt>
                <c:pt idx="2">
                  <c:v>1</c:v>
                </c:pt>
                <c:pt idx="3">
                  <c:v>1.000000000000001</c:v>
                </c:pt>
                <c:pt idx="4">
                  <c:v>0.9594610155373245</c:v>
                </c:pt>
                <c:pt idx="5">
                  <c:v>0.6482562553033234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GraphData!$A$279:$A$284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GraphData!$G$279:$G$284</c:f>
              <c:numCache>
                <c:formatCode>General</c:formatCode>
                <c:ptCount val="6"/>
                <c:pt idx="0">
                  <c:v>0.9932432432432432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0.8131868131868132</c:v>
                </c:pt>
                <c:pt idx="5">
                  <c:v>0.2032520325203252</c:v>
                </c:pt>
              </c:numCache>
            </c:numRef>
          </c:val>
        </c:ser>
        <c:marker val="1"/>
        <c:axId val="60200001"/>
        <c:axId val="60200002"/>
      </c:lineChart>
      <c:catAx>
        <c:axId val="5020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200001"/>
        <c:crosses val="autoZero"/>
        <c:crossBetween val="between"/>
      </c:valAx>
      <c:valAx>
        <c:axId val="6020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200001"/>
        <c:crosses val="max"/>
        <c:crossBetween val="between"/>
        <c:majorUnit val="0.2"/>
      </c:valAx>
      <c:catAx>
        <c:axId val="60200001"/>
        <c:scaling>
          <c:orientation val="minMax"/>
        </c:scaling>
        <c:delete val="1"/>
        <c:axPos val="b"/>
        <c:tickLblPos val="none"/>
        <c:crossAx val="6020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0" baseline="0">
                <a:latin typeface="Arial"/>
              </a:defRPr>
            </a:pPr>
            <a:r>
              <a:rPr lang="en-US" sz="1100" b="0" baseline="0">
                <a:latin typeface="Arial"/>
              </a:rPr>
              <a:t>Sweden: Monthly inflow in SEK and efficiency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With client refund</c:v>
          </c:tx>
          <c:spPr>
            <a:solidFill>
              <a:srgbClr val="92C43D"/>
            </a:solidFill>
            <a:ln>
              <a:noFill/>
            </a:ln>
          </c:spPr>
          <c:cat>
            <c:strRef>
              <c:f>GraphData!$A$296:$A$301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GraphData!$B$296:$B$301</c:f>
              <c:numCache>
                <c:formatCode>General</c:formatCode>
                <c:ptCount val="6"/>
                <c:pt idx="0">
                  <c:v>368266.0900000003</c:v>
                </c:pt>
                <c:pt idx="1">
                  <c:v>129130.2099999999</c:v>
                </c:pt>
                <c:pt idx="2">
                  <c:v>221743.1099999998</c:v>
                </c:pt>
                <c:pt idx="3">
                  <c:v>240575.4300000002</c:v>
                </c:pt>
                <c:pt idx="4">
                  <c:v>114417.87</c:v>
                </c:pt>
                <c:pt idx="5">
                  <c:v>146150.0899999998</c:v>
                </c:pt>
              </c:numCache>
            </c:numRef>
          </c:val>
        </c:ser>
        <c:ser>
          <c:idx val="1"/>
          <c:order val="1"/>
          <c:tx>
            <c:v>To be processed</c:v>
          </c:tx>
          <c:spPr>
            <a:solidFill>
              <a:srgbClr val="A6A6A6"/>
            </a:solidFill>
            <a:ln>
              <a:noFill/>
            </a:ln>
          </c:spPr>
          <c:cat>
            <c:strRef>
              <c:f>GraphData!$A$296:$A$301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GraphData!$C$296:$C$301</c:f>
              <c:numCache>
                <c:formatCode>General</c:formatCode>
                <c:ptCount val="6"/>
                <c:pt idx="0">
                  <c:v>-2.328306436538696e-10</c:v>
                </c:pt>
                <c:pt idx="1">
                  <c:v>3370.850000000006</c:v>
                </c:pt>
                <c:pt idx="2">
                  <c:v>2249.690000000061</c:v>
                </c:pt>
                <c:pt idx="3">
                  <c:v>4242.030000000057</c:v>
                </c:pt>
                <c:pt idx="4">
                  <c:v>3246.610000000001</c:v>
                </c:pt>
                <c:pt idx="5">
                  <c:v>159517.4400000001</c:v>
                </c:pt>
              </c:numCache>
            </c:numRef>
          </c:val>
        </c:ser>
        <c:ser>
          <c:idx val="2"/>
          <c:order val="2"/>
          <c:tx>
            <c:v>Public authority refund</c:v>
          </c:tx>
          <c:spPr>
            <a:solidFill>
              <a:srgbClr val="6CAED6"/>
            </a:solidFill>
            <a:ln>
              <a:noFill/>
            </a:ln>
          </c:spPr>
          <c:cat>
            <c:strRef>
              <c:f>GraphData!$A$296:$A$301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GraphData!$D$296:$D$301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Other processing without refund</c:v>
          </c:tx>
          <c:spPr>
            <a:solidFill>
              <a:srgbClr val="B4A7D6"/>
            </a:solidFill>
            <a:ln>
              <a:noFill/>
            </a:ln>
          </c:spPr>
          <c:cat>
            <c:strRef>
              <c:f>GraphData!$A$296:$A$301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GraphData!$E$296:$E$301</c:f>
              <c:numCache>
                <c:formatCode>General</c:formatCode>
                <c:ptCount val="6"/>
                <c:pt idx="0">
                  <c:v>16140.74</c:v>
                </c:pt>
                <c:pt idx="1">
                  <c:v>6916.57</c:v>
                </c:pt>
                <c:pt idx="2">
                  <c:v>9133.240000000005</c:v>
                </c:pt>
                <c:pt idx="3">
                  <c:v>5510.730000000005</c:v>
                </c:pt>
                <c:pt idx="4">
                  <c:v>7751.849999999999</c:v>
                </c:pt>
                <c:pt idx="5">
                  <c:v>5055.880000000003</c:v>
                </c:pt>
              </c:numCache>
            </c:numRef>
          </c:val>
        </c:ser>
        <c:gapWidth val="70"/>
        <c:overlap val="100"/>
        <c:axId val="50210001"/>
        <c:axId val="50210002"/>
      </c:barChart>
      <c:lineChart>
        <c:grouping val="standard"/>
        <c:ser>
          <c:idx val="4"/>
          <c:order val="4"/>
          <c:tx>
            <c:v>Efficiency in amount</c:v>
          </c:tx>
          <c:spPr>
            <a:ln w="28575">
              <a:solidFill>
                <a:srgbClr val="005B63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005B63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GraphData!$A$296:$A$301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GraphData!$F$296:$F$301</c:f>
              <c:numCache>
                <c:formatCode>General</c:formatCode>
                <c:ptCount val="6"/>
                <c:pt idx="0">
                  <c:v>1.000000000000001</c:v>
                </c:pt>
                <c:pt idx="1">
                  <c:v>0.9758219243864639</c:v>
                </c:pt>
                <c:pt idx="2">
                  <c:v>0.9903498982782015</c:v>
                </c:pt>
                <c:pt idx="3">
                  <c:v>0.9830541258657283</c:v>
                </c:pt>
                <c:pt idx="4">
                  <c:v>0.9741133391480998</c:v>
                </c:pt>
                <c:pt idx="5">
                  <c:v>0.4866256134354339</c:v>
                </c:pt>
              </c:numCache>
            </c:numRef>
          </c:val>
        </c:ser>
        <c:ser>
          <c:idx val="5"/>
          <c:order val="5"/>
          <c:tx>
            <c:v>Efficiency in number</c:v>
          </c:tx>
          <c:spPr>
            <a:ln w="28575">
              <a:solidFill>
                <a:srgbClr val="7E245A"/>
              </a:solidFill>
            </a:ln>
          </c:spPr>
          <c:marker>
            <c:symbol val="none"/>
          </c:marke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7E245A"/>
                    </a:solidFill>
                    <a:latin typeface="Arial"/>
                  </a:defRPr>
                </a:pPr>
                <a:endParaRPr lang="en-US"/>
              </a:p>
            </c:txPr>
            <c:dLblPos val="b"/>
            <c:showVal val="1"/>
          </c:dLbls>
          <c:cat>
            <c:strRef>
              <c:f>GraphData!$A$296:$A$301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GraphData!$G$296:$G$301</c:f>
              <c:numCache>
                <c:formatCode>General</c:formatCode>
                <c:ptCount val="6"/>
                <c:pt idx="0">
                  <c:v>1</c:v>
                </c:pt>
                <c:pt idx="1">
                  <c:v>0.9961389961389961</c:v>
                </c:pt>
                <c:pt idx="2">
                  <c:v>0.9811023622047244</c:v>
                </c:pt>
                <c:pt idx="3">
                  <c:v>0.955637707948244</c:v>
                </c:pt>
                <c:pt idx="4">
                  <c:v>0.9183673469387755</c:v>
                </c:pt>
                <c:pt idx="5">
                  <c:v>0.5702005730659025</c:v>
                </c:pt>
              </c:numCache>
            </c:numRef>
          </c:val>
        </c:ser>
        <c:marker val="1"/>
        <c:axId val="60210001"/>
        <c:axId val="60210002"/>
      </c:lineChart>
      <c:catAx>
        <c:axId val="502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BAC5CA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in val="0"/>
        </c:scaling>
        <c:axPos val="l"/>
        <c:majorGridlines>
          <c:spPr>
            <a:ln w="6350">
              <a:solidFill>
                <a:srgbClr val="DDE3E5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210001"/>
        <c:crosses val="autoZero"/>
        <c:crossBetween val="between"/>
      </c:valAx>
      <c:valAx>
        <c:axId val="60210002"/>
        <c:scaling>
          <c:orientation val="minMax"/>
          <c:max val="1.2"/>
          <c:min val="0"/>
        </c:scaling>
        <c:axPos val="r"/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60210001"/>
        <c:crosses val="max"/>
        <c:crossBetween val="between"/>
        <c:majorUnit val="0.2"/>
      </c:valAx>
      <c:catAx>
        <c:axId val="60210001"/>
        <c:scaling>
          <c:orientation val="minMax"/>
        </c:scaling>
        <c:delete val="1"/>
        <c:axPos val="b"/>
        <c:tickLblPos val="none"/>
        <c:crossAx val="6021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D8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</xdr:colOff>
      <xdr:row>7</xdr:row>
      <xdr:rowOff>19050</xdr:rowOff>
    </xdr:from>
    <xdr:to>
      <xdr:col>31</xdr:col>
      <xdr:colOff>85725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19050</xdr:colOff>
      <xdr:row>23</xdr:row>
      <xdr:rowOff>19050</xdr:rowOff>
    </xdr:from>
    <xdr:to>
      <xdr:col>31</xdr:col>
      <xdr:colOff>85725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51</xdr:row>
      <xdr:rowOff>19050</xdr:rowOff>
    </xdr:from>
    <xdr:to>
      <xdr:col>13</xdr:col>
      <xdr:colOff>171450</xdr:colOff>
      <xdr:row>65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67</xdr:row>
      <xdr:rowOff>19050</xdr:rowOff>
    </xdr:from>
    <xdr:to>
      <xdr:col>13</xdr:col>
      <xdr:colOff>171450</xdr:colOff>
      <xdr:row>81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</xdr:colOff>
      <xdr:row>7</xdr:row>
      <xdr:rowOff>19050</xdr:rowOff>
    </xdr:from>
    <xdr:to>
      <xdr:col>31</xdr:col>
      <xdr:colOff>85725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19050</xdr:colOff>
      <xdr:row>23</xdr:row>
      <xdr:rowOff>19050</xdr:rowOff>
    </xdr:from>
    <xdr:to>
      <xdr:col>31</xdr:col>
      <xdr:colOff>85725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19050</xdr:rowOff>
    </xdr:from>
    <xdr:to>
      <xdr:col>13</xdr:col>
      <xdr:colOff>171450</xdr:colOff>
      <xdr:row>21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19050</xdr:rowOff>
    </xdr:from>
    <xdr:to>
      <xdr:col>13</xdr:col>
      <xdr:colOff>171450</xdr:colOff>
      <xdr:row>37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15</xdr:col>
      <xdr:colOff>228600</xdr:colOff>
      <xdr:row>23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16</xdr:col>
      <xdr:colOff>114300</xdr:colOff>
      <xdr:row>26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dicateurs" displayName="Indicateurs" ref="A5:AB46" totalsRowShown="0">
  <autoFilter ref="A5:AB46"/>
  <tableColumns count="28">
    <tableColumn id="1" name="Trimestre"/>
    <tableColumn id="2" name="Code pays"/>
    <tableColumn id="3" name="Pays"/>
    <tableColumn id="4" name="Devise"/>
    <tableColumn id="5" name="Taux local pour 1 EUR"/>
    <tableColumn id="6" name="total"/>
    <tableColumn id="7" name="processed"/>
    <tableColumn id="8" name="remaining"/>
    <tableColumn id="9" name="unreachable"/>
    <tableColumn id="10" name="identified"/>
    <tableColumn id="11" name="cst"/>
    <tableColumn id="12" name="including_cst"/>
    <tableColumn id="13" name="remaining_eur"/>
    <tableColumn id="14" name="identified_eur"/>
    <tableColumn id="15" name="including_cst_eur"/>
    <tableColumn id="16" name="contracts"/>
    <tableColumn id="17" name="flow_eur"/>
    <tableColumn id="18" name="processed_eur"/>
    <tableColumn id="19" name="count"/>
    <tableColumn id="20" name="processed_count"/>
    <tableColumn id="21" name="efficiency_amount"/>
    <tableColumn id="22" name="efficiency_count"/>
    <tableColumn id="23" name="monthly_average"/>
    <tableColumn id="24" name="oldest_amount"/>
    <tableColumn id="25" name="oldest_count"/>
    <tableColumn id="26" name="quarter_flow_eur"/>
    <tableColumn id="27" name="quarter_processed_eur"/>
    <tableColumn id="28" name="quarter_effici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luxDetail" displayName="FluxDetail" ref="A5:W161" totalsRowShown="0">
  <autoFilter ref="A5:W161"/>
  <tableColumns count="23">
    <tableColumn id="1" name="Trimestre"/>
    <tableColumn id="2" name="Code pays"/>
    <tableColumn id="3" name="Pays"/>
    <tableColumn id="4" name="Devise"/>
    <tableColumn id="5" name="Mois de cohorte"/>
    <tableColumn id="6" name="Flux local"/>
    <tableColumn id="7" name="Contrats entrants"/>
    <tableColumn id="8" name="Remboursé client local"/>
    <tableColumn id="9" name="Injoignables local"/>
    <tableColumn id="10" name="Faux positifs local"/>
    <tableColumn id="11" name="Autorités local"/>
    <tableColumn id="12" name="Autres sans remboursement local"/>
    <tableColumn id="13" name="Traité calculé local"/>
    <tableColumn id="14" name="Contrats traités"/>
    <tableColumn id="15" name="Reste local"/>
    <tableColumn id="16" name="Contrats restants"/>
    <tableColumn id="17" name="Taux local pour 1 EUR"/>
    <tableColumn id="18" name="Flux EUR"/>
    <tableColumn id="19" name="Traité EUR"/>
    <tableColumn id="20" name="Efficacité montant"/>
    <tableColumn id="21" name="Efficacité nombre"/>
    <tableColumn id="22" name="Traité déclaré local"/>
    <tableColumn id="23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ockDetail" displayName="StockDetail" ref="A5:T83" totalsRowShown="0">
  <autoFilter ref="A5:T83"/>
  <tableColumns count="20">
    <tableColumn id="1" name="Trimestre"/>
    <tableColumn id="2" name="Code pays"/>
    <tableColumn id="3" name="Pays"/>
    <tableColumn id="4" name="Devise"/>
    <tableColumn id="5" name="Millésime"/>
    <tableColumn id="6" name="Stock initial local"/>
    <tableColumn id="7" name="Remboursé client local"/>
    <tableColumn id="8" name="Injoignables local"/>
    <tableColumn id="9" name="Faux positifs local"/>
    <tableColumn id="10" name="Autorités local"/>
    <tableColumn id="11" name="Autres sans remboursement local"/>
    <tableColumn id="12" name="Traité calculé local"/>
    <tableColumn id="13" name="A traiter local"/>
    <tableColumn id="14" name="Stock identifié local"/>
    <tableColumn id="15" name="Traité déclaré local"/>
    <tableColumn id="16" name="A traiter déclaré local"/>
    <tableColumn id="17" name="Taux local pour 1 EUR"/>
    <tableColumn id="18" name="A traiter EUR"/>
    <tableColumn id="19" name="Stock identifié EUR"/>
    <tableColumn id="20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ockRepartition" displayName="StockRepartition" ref="A5:K423" totalsRowShown="0">
  <autoFilter ref="A5:K423"/>
  <tableColumns count="11">
    <tableColumn id="1" name="Trimestre"/>
    <tableColumn id="2" name="Code pays"/>
    <tableColumn id="3" name="Pays"/>
    <tableColumn id="4" name="Devise"/>
    <tableColumn id="5" name="Répartition"/>
    <tableColumn id="6" name="Catégorie source"/>
    <tableColumn id="7" name="Contrats"/>
    <tableColumn id="8" name="Montant local"/>
    <tableColumn id="9" name="Taux local pour 1 EUR"/>
    <tableColumn id="10" name="Montant EUR"/>
    <tableColumn id="11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uxChange" displayName="TauxChange" ref="A5:F20" totalsRowShown="0">
  <autoFilter ref="A5:F20"/>
  <tableColumns count="6">
    <tableColumn id="1" name="Trimestre"/>
    <tableColumn id="2" name="Devise"/>
    <tableColumn id="3" name="Date des taux"/>
    <tableColumn id="4" name="Devise locale pour 1 EUR"/>
    <tableColumn id="5" name="Type de taux"/>
    <tableColumn id="6" name="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Observations" displayName="Observations" ref="A5:F46" totalsRowShown="0">
  <autoFilter ref="A5:F46"/>
  <tableColumns count="6">
    <tableColumn id="1" name="Trimestre"/>
    <tableColumn id="2" name="Niveau"/>
    <tableColumn id="3" name="Code"/>
    <tableColumn id="4" name="Pays"/>
    <tableColumn id="5" name="Observation"/>
    <tableColumn id="6" name="Sour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resentationSourceTotals" displayName="PresentationSourceTotals" ref="A5:F31" totalsRowShown="0">
  <autoFilter ref="A5:F31"/>
  <tableColumns count="6">
    <tableColumn id="1" name="Period"/>
    <tableColumn id="2" name="Country"/>
    <tableColumn id="3" name="Distribution"/>
    <tableColumn id="4" name="Reported count"/>
    <tableColumn id="5" name="Reported amount local"/>
    <tableColumn id="6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verageTable" displayName="CoverageTable" ref="A5:G19" totalsRowShown="0">
  <autoFilter ref="A5:G19"/>
  <tableColumns count="7">
    <tableColumn id="1" name="Country"/>
    <tableColumn id="2" name="Status"/>
    <tableColumn id="3" name="Currency"/>
    <tableColumn id="4" name="Identified stock local"/>
    <tableColumn id="5" name="Identified stock EUR"/>
    <tableColumn id="6" name="KPI3 amount local"/>
    <tableColumn id="7" name="Condi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ourceExtracts" displayName="SourceExtracts" ref="A1:F11518" totalsRowShown="0">
  <autoFilter ref="A1:F11518"/>
  <tableColumns count="6">
    <tableColumn id="1" name="Period"/>
    <tableColumn id="2" name="Country"/>
    <tableColumn id="3" name="Source file"/>
    <tableColumn id="4" name="Source sheet"/>
    <tableColumn id="5" name="Cell / paste-relative cell"/>
    <tableColumn id="6" name="Source 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conciliationChecks" displayName="ReconciliationChecks" ref="A1:H828" totalsRowShown="0">
  <autoFilter ref="A1:H828"/>
  <tableColumns count="8">
    <tableColumn id="1" name="Period"/>
    <tableColumn id="2" name="Country"/>
    <tableColumn id="3" name="Check"/>
    <tableColumn id="4" name="Calculated"/>
    <tableColumn id="5" name="Reported"/>
    <tableColumn id="6" name="Difference"/>
    <tableColumn id="7" name="Status"/>
    <tableColumn id="8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7B900"/>
    <pageSetUpPr fitToPage="1"/>
  </sheetPr>
  <dimension ref="A1:AF91"/>
  <sheetViews>
    <sheetView showGridLines="0" tabSelected="1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1" width="6" customWidth="1"/>
    <col min="32" max="32" width="11.28515625" customWidth="1"/>
  </cols>
  <sheetData>
    <row r="1" spans="1:32" ht="13.5" customHeight="1">
      <c r="B1" s="1" t="s">
        <v>980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3.5" customHeight="1">
      <c r="A2" s="2"/>
      <c r="B2" s="3" t="s">
        <v>3076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3.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3.5" customHeight="1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3.5" customHeight="1">
      <c r="A5" s="2"/>
      <c r="B5" s="1" t="s">
        <v>3080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3.5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3.5" customHeight="1">
      <c r="A7" s="2"/>
    </row>
    <row r="8" spans="1:32" ht="13.5" customHeight="1">
      <c r="A8" s="2"/>
      <c r="B8" s="4" t="s">
        <v>3093</v>
      </c>
      <c r="C8" s="4"/>
      <c r="D8" s="4"/>
      <c r="E8" s="4"/>
      <c r="F8" s="4"/>
      <c r="G8" s="4"/>
      <c r="H8" s="4" t="s">
        <v>3098</v>
      </c>
      <c r="I8" s="4"/>
      <c r="J8" s="4"/>
      <c r="K8" s="4" t="s">
        <v>27</v>
      </c>
      <c r="L8" s="4"/>
      <c r="M8" s="4"/>
      <c r="N8" s="4" t="s">
        <v>3094</v>
      </c>
      <c r="O8" s="4"/>
      <c r="P8" s="4"/>
    </row>
    <row r="9" spans="1:32" ht="13.5" customHeight="1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2" ht="13.5" customHeight="1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32" ht="13.5" customHeight="1">
      <c r="A11" s="2"/>
      <c r="B11" s="5" t="s">
        <v>58</v>
      </c>
      <c r="C11" s="5"/>
      <c r="D11" s="5"/>
      <c r="E11" s="5"/>
      <c r="F11" s="5"/>
      <c r="G11" s="5"/>
      <c r="H11" s="6">
        <f>IF(ISNUMBER('GraphData'!B7),'GraphData'!B7,"n.d.")</f>
        <v>1787812.0</v>
      </c>
      <c r="I11" s="6"/>
      <c r="J11" s="6"/>
      <c r="K11" s="6">
        <f>IF(ISNUMBER('GraphData'!C7),'GraphData'!C7,"n.d.")</f>
        <v>1793165.0</v>
      </c>
      <c r="L11" s="6"/>
      <c r="M11" s="6"/>
      <c r="N11" s="7">
        <f>IF(ISNUMBER('GraphData'!D7),'GraphData'!D7,"n.d.")</f>
        <v>0.0029941626971963496</v>
      </c>
      <c r="O11" s="7"/>
      <c r="P11" s="7"/>
    </row>
    <row r="12" spans="1:32" ht="13.5" customHeight="1">
      <c r="A12" s="2"/>
      <c r="B12" s="5" t="s">
        <v>3092</v>
      </c>
      <c r="C12" s="5"/>
      <c r="D12" s="5"/>
      <c r="E12" s="5"/>
      <c r="F12" s="5"/>
      <c r="G12" s="5"/>
      <c r="H12" s="6">
        <f>IF(ISNUMBER('GraphData'!B8),'GraphData'!B8,"n.d.")</f>
        <v>3485465.29</v>
      </c>
      <c r="I12" s="6"/>
      <c r="J12" s="6"/>
      <c r="K12" s="6">
        <f>IF(ISNUMBER('GraphData'!C8),'GraphData'!C8,"n.d.")</f>
        <v>2793036.0</v>
      </c>
      <c r="L12" s="6"/>
      <c r="M12" s="6"/>
      <c r="N12" s="7">
        <f>IF(ISNUMBER('GraphData'!D8),'GraphData'!D8,"n.d.")</f>
        <v>-0.1986619381884592</v>
      </c>
      <c r="O12" s="7"/>
      <c r="P12" s="7"/>
    </row>
    <row r="13" spans="1:32" ht="13.5" customHeight="1">
      <c r="A13" s="2"/>
      <c r="B13" s="5" t="s">
        <v>49</v>
      </c>
      <c r="C13" s="5"/>
      <c r="D13" s="5"/>
      <c r="E13" s="5"/>
      <c r="F13" s="5"/>
      <c r="G13" s="5"/>
      <c r="H13" s="6">
        <f>IF(ISNUMBER('GraphData'!B9),'GraphData'!B9,"n.d.")</f>
        <v>136664.0</v>
      </c>
      <c r="I13" s="6"/>
      <c r="J13" s="6"/>
      <c r="K13" s="6">
        <f>IF(ISNUMBER('GraphData'!C9),'GraphData'!C9,"n.d.")</f>
        <v>147601.0</v>
      </c>
      <c r="L13" s="6"/>
      <c r="M13" s="6"/>
      <c r="N13" s="7">
        <f>IF(ISNUMBER('GraphData'!D9),'GraphData'!D9,"n.d.")</f>
        <v>0.08002839079786922</v>
      </c>
      <c r="O13" s="7"/>
      <c r="P13" s="7"/>
    </row>
    <row r="14" spans="1:32" ht="13.5" customHeight="1">
      <c r="A14" s="2"/>
      <c r="B14" s="5" t="s">
        <v>73</v>
      </c>
      <c r="C14" s="5"/>
      <c r="D14" s="5"/>
      <c r="E14" s="5"/>
      <c r="F14" s="5"/>
      <c r="G14" s="5"/>
      <c r="H14" s="6">
        <f>IF(ISNUMBER('GraphData'!B10),'GraphData'!B10,"n.d.")</f>
        <v>3023244.0</v>
      </c>
      <c r="I14" s="6"/>
      <c r="J14" s="6"/>
      <c r="K14" s="6">
        <f>IF(ISNUMBER('GraphData'!C10),'GraphData'!C10,"n.d.")</f>
        <v>3434403.0</v>
      </c>
      <c r="L14" s="6"/>
      <c r="M14" s="6"/>
      <c r="N14" s="7">
        <f>IF(ISNUMBER('GraphData'!D10),'GraphData'!D10,"n.d.")</f>
        <v>0.13599927759717706</v>
      </c>
      <c r="O14" s="7"/>
      <c r="P14" s="7"/>
    </row>
    <row r="15" spans="1:32" ht="13.5" customHeight="1">
      <c r="A15" s="2"/>
      <c r="B15" s="5" t="s">
        <v>78</v>
      </c>
      <c r="C15" s="5"/>
      <c r="D15" s="5"/>
      <c r="E15" s="5"/>
      <c r="F15" s="5"/>
      <c r="G15" s="5"/>
      <c r="H15" s="6">
        <f>IF(ISNUMBER('GraphData'!B11),'GraphData'!B11,"n.d.")</f>
        <v>593413.0</v>
      </c>
      <c r="I15" s="6"/>
      <c r="J15" s="6"/>
      <c r="K15" s="6">
        <f>IF(ISNUMBER('GraphData'!C11),'GraphData'!C11,"n.d.")</f>
        <v>607594.0</v>
      </c>
      <c r="L15" s="6"/>
      <c r="M15" s="6"/>
      <c r="N15" s="7">
        <f>IF(ISNUMBER('GraphData'!D11),'GraphData'!D11,"n.d.")</f>
        <v>0.023897353108206256</v>
      </c>
      <c r="O15" s="7"/>
      <c r="P15" s="7"/>
    </row>
    <row r="16" spans="1:32" ht="13.5" customHeight="1">
      <c r="A16" s="2"/>
      <c r="B16" s="5" t="s">
        <v>63</v>
      </c>
      <c r="C16" s="5"/>
      <c r="D16" s="5"/>
      <c r="E16" s="5"/>
      <c r="F16" s="5"/>
      <c r="G16" s="5"/>
      <c r="H16" s="6">
        <f>IF(ISNUMBER('GraphData'!B12),'GraphData'!B12,"n.d.")</f>
        <v>3317587.0</v>
      </c>
      <c r="I16" s="6"/>
      <c r="J16" s="6"/>
      <c r="K16" s="6">
        <f>IF(ISNUMBER('GraphData'!C12),'GraphData'!C12,"n.d.")</f>
        <v>2998937.0</v>
      </c>
      <c r="L16" s="6"/>
      <c r="M16" s="6"/>
      <c r="N16" s="7">
        <f>IF(ISNUMBER('GraphData'!D12),'GraphData'!D12,"n.d.")</f>
        <v>-0.0960487245699962</v>
      </c>
      <c r="O16" s="7"/>
      <c r="P16" s="7"/>
    </row>
    <row r="17" spans="1:16" ht="13.5" customHeight="1">
      <c r="A17" s="2"/>
      <c r="B17" s="5" t="s">
        <v>82</v>
      </c>
      <c r="C17" s="5"/>
      <c r="D17" s="5"/>
      <c r="E17" s="5"/>
      <c r="F17" s="5"/>
      <c r="G17" s="5"/>
      <c r="H17" s="6">
        <f>IF(ISNUMBER('GraphData'!B13),'GraphData'!B13,"n.d.")</f>
        <v>2860611.2859695945</v>
      </c>
      <c r="I17" s="6"/>
      <c r="J17" s="6"/>
      <c r="K17" s="6">
        <f>IF(ISNUMBER('GraphData'!C13),'GraphData'!C13,"n.d.")</f>
        <v>3483914.102135074</v>
      </c>
      <c r="L17" s="6"/>
      <c r="M17" s="6"/>
      <c r="N17" s="7">
        <f>IF(ISNUMBER('GraphData'!D13),'GraphData'!D13,"n.d.")</f>
        <v>0.21789147628081632</v>
      </c>
      <c r="O17" s="7"/>
      <c r="P17" s="7"/>
    </row>
    <row r="18" spans="1:16" ht="13.5" customHeight="1">
      <c r="A18" s="2"/>
      <c r="B18" s="5" t="s">
        <v>112</v>
      </c>
      <c r="C18" s="5"/>
      <c r="D18" s="5"/>
      <c r="E18" s="5"/>
      <c r="F18" s="5"/>
      <c r="G18" s="5"/>
      <c r="H18" s="6">
        <f>IF(ISNUMBER('GraphData'!B14),'GraphData'!B14,"n.d.")</f>
        <v>1918750.9251320725</v>
      </c>
      <c r="I18" s="6"/>
      <c r="J18" s="6"/>
      <c r="K18" s="6">
        <f>IF(ISNUMBER('GraphData'!C14),'GraphData'!C14,"n.d.")</f>
        <v>2048298.5804297782</v>
      </c>
      <c r="L18" s="6"/>
      <c r="M18" s="6"/>
      <c r="N18" s="7">
        <f>IF(ISNUMBER('GraphData'!D14),'GraphData'!D14,"n.d.")</f>
        <v>0.06751666076136931</v>
      </c>
      <c r="O18" s="7"/>
      <c r="P18" s="7"/>
    </row>
    <row r="19" spans="1:16" ht="13.5" customHeight="1">
      <c r="A19" s="2"/>
      <c r="B19" s="5" t="s">
        <v>234</v>
      </c>
      <c r="C19" s="5"/>
      <c r="D19" s="5"/>
      <c r="E19" s="5"/>
      <c r="F19" s="5"/>
      <c r="G19" s="5"/>
      <c r="H19" s="6">
        <f>IF(ISNUMBER('GraphData'!B15),'GraphData'!B15,"n.d.")</f>
        <v>3814713.4834877667</v>
      </c>
      <c r="I19" s="6"/>
      <c r="J19" s="6"/>
      <c r="K19" s="6">
        <f>IF(ISNUMBER('GraphData'!C15),'GraphData'!C15,"n.d.")</f>
        <v>3775169.5956442077</v>
      </c>
      <c r="L19" s="6"/>
      <c r="M19" s="6"/>
      <c r="N19" s="7">
        <f>IF(ISNUMBER('GraphData'!D15),'GraphData'!D15,"n.d.")</f>
        <v>-0.010366148864056842</v>
      </c>
      <c r="O19" s="7"/>
      <c r="P19" s="7"/>
    </row>
    <row r="20" spans="1:16" ht="13.5" customHeight="1">
      <c r="A20" s="2"/>
      <c r="B20" s="5" t="s">
        <v>92</v>
      </c>
      <c r="C20" s="5"/>
      <c r="D20" s="5"/>
      <c r="E20" s="5"/>
      <c r="F20" s="5"/>
      <c r="G20" s="5"/>
      <c r="H20" s="6">
        <f>IF(ISNUMBER('GraphData'!B16),'GraphData'!B16,"n.d.")</f>
        <v>24384.544526181482</v>
      </c>
      <c r="I20" s="6"/>
      <c r="J20" s="6"/>
      <c r="K20" s="6">
        <f>IF(ISNUMBER('GraphData'!C16),'GraphData'!C16,"n.d.")</f>
        <v>2162.4936681183713</v>
      </c>
      <c r="L20" s="6"/>
      <c r="M20" s="6"/>
      <c r="N20" s="7">
        <f>IF(ISNUMBER('GraphData'!D16),'GraphData'!D16,"n.d.")</f>
        <v>-0.9113170366665443</v>
      </c>
      <c r="O20" s="7"/>
      <c r="P20" s="7"/>
    </row>
    <row r="21" spans="1:16" ht="13.5" customHeight="1">
      <c r="A21" s="2"/>
      <c r="B21" s="5" t="s">
        <v>100</v>
      </c>
      <c r="C21" s="5"/>
      <c r="D21" s="5"/>
      <c r="E21" s="5"/>
      <c r="F21" s="5"/>
      <c r="G21" s="5"/>
      <c r="H21" s="6">
        <f>IF(ISNUMBER('GraphData'!B17),'GraphData'!B17,"n.d.")</f>
        <v>11211.458965318663</v>
      </c>
      <c r="I21" s="6"/>
      <c r="J21" s="6"/>
      <c r="K21" s="6">
        <f>IF(ISNUMBER('GraphData'!C17),'GraphData'!C17,"n.d.")</f>
        <v>2025.348040871968</v>
      </c>
      <c r="L21" s="6"/>
      <c r="M21" s="6"/>
      <c r="N21" s="7">
        <f>IF(ISNUMBER('GraphData'!D17),'GraphData'!D17,"n.d.")</f>
        <v>-0.8193501802809835</v>
      </c>
      <c r="O21" s="7"/>
      <c r="P21" s="7"/>
    </row>
    <row r="22" spans="1:16" ht="13.5" customHeight="1">
      <c r="A22" s="2"/>
      <c r="B22" s="5" t="s">
        <v>106</v>
      </c>
      <c r="C22" s="5"/>
      <c r="D22" s="5"/>
      <c r="E22" s="5"/>
      <c r="F22" s="5"/>
      <c r="G22" s="5"/>
      <c r="H22" s="6">
        <f>IF(ISNUMBER('GraphData'!B18),'GraphData'!B18,"n.d.")</f>
        <v>13809.270919825338</v>
      </c>
      <c r="I22" s="6"/>
      <c r="J22" s="6"/>
      <c r="K22" s="6">
        <f>IF(ISNUMBER('GraphData'!C18),'GraphData'!C18,"n.d.")</f>
        <v>15218.245515046927</v>
      </c>
      <c r="L22" s="6"/>
      <c r="M22" s="6"/>
      <c r="N22" s="7">
        <f>IF(ISNUMBER('GraphData'!D18),'GraphData'!D18,"n.d.")</f>
        <v>0.10203106329087865</v>
      </c>
      <c r="O22" s="7"/>
      <c r="P22" s="7"/>
    </row>
    <row r="23" spans="1:16" ht="13.5" customHeight="1">
      <c r="A23" s="2"/>
      <c r="B23" s="8" t="s">
        <v>3095</v>
      </c>
      <c r="C23" s="8"/>
      <c r="D23" s="8"/>
      <c r="E23" s="8"/>
      <c r="F23" s="8"/>
      <c r="G23" s="8"/>
      <c r="H23" s="8">
        <f>IF(COUNT(H11:H22)=12,SUM(H11:H22),"n.d.")</f>
        <v>20987666.25900076</v>
      </c>
      <c r="I23" s="8"/>
      <c r="J23" s="8"/>
      <c r="K23" s="8">
        <f>IF(COUNT(K11:K22)=12,SUM(K11:K22),"n.d.")</f>
        <v>21101524.365433097</v>
      </c>
      <c r="L23" s="8"/>
      <c r="M23" s="8"/>
      <c r="N23" s="9">
        <f>IF(OR(COUNT(H23,K23)&lt;&gt;2,H23=0),"n.d.",K23/H23-1)</f>
        <v>0.0054250008089159595</v>
      </c>
      <c r="O23" s="9"/>
      <c r="P23" s="9"/>
    </row>
    <row r="24" spans="1:16" ht="13.5" customHeight="1">
      <c r="A24" s="2"/>
    </row>
    <row r="25" spans="1:16" ht="13.5" customHeight="1">
      <c r="A25" s="2"/>
    </row>
    <row r="26" spans="1:16" ht="13.5" customHeight="1">
      <c r="A26" s="2"/>
      <c r="B26" s="10" t="s">
        <v>3099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13.5" customHeight="1">
      <c r="A27" s="2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13.5" customHeight="1">
      <c r="A28" s="2"/>
      <c r="B28" s="10" t="s">
        <v>3100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ht="13.5" customHeight="1">
      <c r="A29" s="2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ht="13.5" customHeight="1">
      <c r="A30" s="2"/>
    </row>
    <row r="31" spans="1:16" ht="13.5" customHeight="1">
      <c r="A31" s="2"/>
    </row>
    <row r="32" spans="1:16" ht="13.5" customHeight="1">
      <c r="A32" s="2"/>
    </row>
    <row r="33" spans="1:32" ht="13.5" customHeight="1">
      <c r="A33" s="2"/>
    </row>
    <row r="34" spans="1:32" ht="13.5" customHeight="1">
      <c r="A34" s="2"/>
    </row>
    <row r="35" spans="1:32" ht="13.5" customHeight="1">
      <c r="A35" s="2"/>
    </row>
    <row r="36" spans="1:32" ht="13.5" customHeight="1">
      <c r="A36" s="2"/>
    </row>
    <row r="37" spans="1:32" ht="13.5" customHeight="1">
      <c r="A37" s="2"/>
    </row>
    <row r="38" spans="1:32" ht="13.5" customHeight="1">
      <c r="A38" s="2"/>
    </row>
    <row r="39" spans="1:32" ht="13.5" customHeight="1">
      <c r="A39" s="2"/>
    </row>
    <row r="40" spans="1:32" ht="13.5" customHeight="1">
      <c r="A40" s="2"/>
    </row>
    <row r="41" spans="1:32" ht="13.5" customHeight="1">
      <c r="A41" s="2"/>
    </row>
    <row r="42" spans="1:32" ht="13.5" customHeight="1">
      <c r="A42" s="2"/>
      <c r="B42" s="11" t="s">
        <v>3079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6" spans="1:32" ht="13.5" customHeight="1">
      <c r="A46" s="2"/>
      <c r="B46" s="3" t="s">
        <v>3101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3.5" customHeight="1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3.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3.5" customHeight="1">
      <c r="A49" s="2"/>
      <c r="B49" s="1" t="s">
        <v>3102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3.5" customHeight="1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3.5" customHeight="1">
      <c r="A51" s="2"/>
    </row>
    <row r="52" spans="1:32" ht="13.5" customHeight="1">
      <c r="A52" s="2"/>
      <c r="O52" s="4" t="s">
        <v>1165</v>
      </c>
      <c r="P52" s="4"/>
      <c r="Q52" s="4"/>
      <c r="R52" s="4"/>
      <c r="S52" s="4"/>
      <c r="T52" s="4" t="s">
        <v>3116</v>
      </c>
      <c r="U52" s="4"/>
      <c r="V52" s="4" t="s">
        <v>3105</v>
      </c>
      <c r="W52" s="4"/>
      <c r="X52" s="4" t="s">
        <v>3106</v>
      </c>
      <c r="Y52" s="4"/>
      <c r="Z52" s="4" t="s">
        <v>3107</v>
      </c>
      <c r="AA52" s="4"/>
      <c r="AB52" s="4" t="s">
        <v>3108</v>
      </c>
      <c r="AC52" s="4"/>
      <c r="AD52" s="4" t="s">
        <v>3109</v>
      </c>
      <c r="AE52" s="4"/>
      <c r="AF52" s="4" t="s">
        <v>3110</v>
      </c>
    </row>
    <row r="53" spans="1:32" ht="13.5" customHeight="1">
      <c r="A53" s="2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3.5" customHeight="1">
      <c r="A54" s="2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3.5" customHeight="1">
      <c r="A55" s="2"/>
      <c r="O55" s="8" t="s">
        <v>3117</v>
      </c>
      <c r="P55" s="8"/>
      <c r="Q55" s="8"/>
      <c r="R55" s="8"/>
      <c r="S55" s="8"/>
      <c r="T55" s="8">
        <f>IF(COUNT(T56,T57,T58,T59,T60,T61,T62,T63,T64,T65,T66,T67)=12,SUM(T56,T57,T58,T59,T60,T61,T62,T63,T64,T65,T66,T67),"n.d.")</f>
        <v>9709830.129962156</v>
      </c>
      <c r="U55" s="8"/>
      <c r="V55" s="8">
        <f>IF(COUNT('GraphData'!B24,'GraphData'!C24,'GraphData'!D24,'GraphData'!E24,'GraphData'!F24,'GraphData'!G24,'GraphData'!H24,'GraphData'!I24,'GraphData'!J24,'GraphData'!K24,'GraphData'!L24,'GraphData'!M24)=12,SUM('GraphData'!B24,'GraphData'!C24,'GraphData'!D24,'GraphData'!E24,'GraphData'!F24,'GraphData'!G24,'GraphData'!H24,'GraphData'!I24,'GraphData'!J24,'GraphData'!K24,'GraphData'!L24,'GraphData'!M24),"n.d.")</f>
        <v>11804479.087249244</v>
      </c>
      <c r="W55" s="8"/>
      <c r="X55" s="8">
        <f>IF(COUNT('GraphData'!B25,'GraphData'!C25,'GraphData'!D25,'GraphData'!E25,'GraphData'!F25,'GraphData'!G25,'GraphData'!H25,'GraphData'!I25,'GraphData'!J25,'GraphData'!K25,'GraphData'!L25,'GraphData'!M25)=12,SUM('GraphData'!B25,'GraphData'!C25,'GraphData'!D25,'GraphData'!E25,'GraphData'!F25,'GraphData'!G25,'GraphData'!H25,'GraphData'!I25,'GraphData'!J25,'GraphData'!K25,'GraphData'!L25,'GraphData'!M25),"n.d.")</f>
        <v>10081705.58375864</v>
      </c>
      <c r="Y55" s="8"/>
      <c r="Z55" s="8">
        <f>IF(COUNT('GraphData'!B26,'GraphData'!C26,'GraphData'!D26,'GraphData'!E26,'GraphData'!F26,'GraphData'!G26,'GraphData'!H26,'GraphData'!I26,'GraphData'!J26,'GraphData'!K26,'GraphData'!L26,'GraphData'!M26)=12,SUM('GraphData'!B26,'GraphData'!C26,'GraphData'!D26,'GraphData'!E26,'GraphData'!F26,'GraphData'!G26,'GraphData'!H26,'GraphData'!I26,'GraphData'!J26,'GraphData'!K26,'GraphData'!L26,'GraphData'!M26),"n.d.")</f>
        <v>10593314.088462425</v>
      </c>
      <c r="AA55" s="8"/>
      <c r="AB55" s="8">
        <f>IF(COUNT('GraphData'!B27,'GraphData'!C27,'GraphData'!D27,'GraphData'!E27,'GraphData'!F27,'GraphData'!G27,'GraphData'!H27,'GraphData'!I27,'GraphData'!J27,'GraphData'!K27,'GraphData'!L27,'GraphData'!M27)=12,SUM('GraphData'!B27,'GraphData'!C27,'GraphData'!D27,'GraphData'!E27,'GraphData'!F27,'GraphData'!G27,'GraphData'!H27,'GraphData'!I27,'GraphData'!J27,'GraphData'!K27,'GraphData'!L27,'GraphData'!M27),"n.d.")</f>
        <v>9884156.903506575</v>
      </c>
      <c r="AC55" s="8"/>
      <c r="AD55" s="8">
        <f>IF(COUNT('GraphData'!B28,'GraphData'!C28,'GraphData'!D28,'GraphData'!E28,'GraphData'!F28,'GraphData'!G28,'GraphData'!H28,'GraphData'!I28,'GraphData'!J28,'GraphData'!K28,'GraphData'!L28,'GraphData'!M28)=12,SUM('GraphData'!B28,'GraphData'!C28,'GraphData'!D28,'GraphData'!E28,'GraphData'!F28,'GraphData'!G28,'GraphData'!H28,'GraphData'!I28,'GraphData'!J28,'GraphData'!K28,'GraphData'!L28,'GraphData'!M28),"n.d.")</f>
        <v>7471988.247633056</v>
      </c>
      <c r="AE55" s="8"/>
      <c r="AF55" s="8">
        <f>IF(COUNT('GraphData'!B29,'GraphData'!C29,'GraphData'!D29,'GraphData'!E29,'GraphData'!F29,'GraphData'!G29,'GraphData'!H29,'GraphData'!I29,'GraphData'!J29,'GraphData'!K29,'GraphData'!L29,'GraphData'!M29)=12,SUM('GraphData'!B29,'GraphData'!C29,'GraphData'!D29,'GraphData'!E29,'GraphData'!F29,'GraphData'!G29,'GraphData'!H29,'GraphData'!I29,'GraphData'!J29,'GraphData'!K29,'GraphData'!L29,'GraphData'!M29),"n.d.")</f>
        <v>8423336.869162997</v>
      </c>
    </row>
    <row r="56" spans="1:32" ht="13.5" customHeight="1">
      <c r="A56" s="2"/>
      <c r="O56" s="5" t="s">
        <v>58</v>
      </c>
      <c r="P56" s="5"/>
      <c r="Q56" s="5"/>
      <c r="R56" s="5"/>
      <c r="S56" s="5"/>
      <c r="T56" s="6">
        <f>IF(OR(COUNTIFS('Consolidation'!$A$6:$A$46,"2026Q3",'Consolidation'!$B$6:$B$46,"ES")&lt;&gt;1,COUNTIFS('Consolidation'!$A$6:$A$46,"2026Q3",'Consolidation'!$B$6:$B$46,"ES",'Consolidation'!$W$6:$W$46,"n.d.")&gt;0),"n.d.",SUMIFS('Consolidation'!$W$6:$W$46,'Consolidation'!$A$6:$A$46,"2026Q3",'Consolidation'!$B$6:$B$46,"ES"))</f>
        <v>3416903.3333333335</v>
      </c>
      <c r="U56" s="6"/>
      <c r="V56" s="6">
        <f>IF(ISNUMBER('GraphData'!B24),'GraphData'!B24,"n.d.")</f>
        <v>3475518.0</v>
      </c>
      <c r="W56" s="6"/>
      <c r="X56" s="6">
        <f>IF(ISNUMBER('GraphData'!B25),'GraphData'!B25,"n.d.")</f>
        <v>3162844.0</v>
      </c>
      <c r="Y56" s="6"/>
      <c r="Z56" s="6">
        <f>IF(ISNUMBER('GraphData'!B26),'GraphData'!B26,"n.d.")</f>
        <v>4107101.0</v>
      </c>
      <c r="AA56" s="6"/>
      <c r="AB56" s="6">
        <f>IF(ISNUMBER('GraphData'!B27),'GraphData'!B27,"n.d.")</f>
        <v>3892550.0</v>
      </c>
      <c r="AC56" s="6"/>
      <c r="AD56" s="6">
        <f>IF(ISNUMBER('GraphData'!B28),'GraphData'!B28,"n.d.")</f>
        <v>2506521.0</v>
      </c>
      <c r="AE56" s="6"/>
      <c r="AF56" s="6">
        <f>IF(ISNUMBER('GraphData'!B29),'GraphData'!B29,"n.d.")</f>
        <v>3356886.0</v>
      </c>
    </row>
    <row r="57" spans="1:32" ht="13.5" customHeight="1">
      <c r="A57" s="2"/>
      <c r="O57" s="5" t="s">
        <v>3092</v>
      </c>
      <c r="P57" s="5"/>
      <c r="Q57" s="5"/>
      <c r="R57" s="5"/>
      <c r="S57" s="5"/>
      <c r="T57" s="6">
        <f>IF(COUNT(IF(OR(COUNTIFS('Consolidation'!$A$6:$A$46,"2026Q3",'Consolidation'!$B$6:$B$46,"DE")&lt;&gt;1,COUNTIFS('Consolidation'!$A$6:$A$46,"2026Q3",'Consolidation'!$B$6:$B$46,"DE",'Consolidation'!$W$6:$W$46,"n.d.")&gt;0),"n.d.",SUMIFS('Consolidation'!$W$6:$W$46,'Consolidation'!$A$6:$A$46,"2026Q3",'Consolidation'!$B$6:$B$46,"DE")),IF(OR(COUNTIFS('Consolidation'!$A$6:$A$46,"2026Q3",'Consolidation'!$B$6:$B$46,"AT")&lt;&gt;1,COUNTIFS('Consolidation'!$A$6:$A$46,"2026Q3",'Consolidation'!$B$6:$B$46,"AT",'Consolidation'!$W$6:$W$46,"n.d.")&gt;0),"n.d.",SUMIFS('Consolidation'!$W$6:$W$46,'Consolidation'!$A$6:$A$46,"2026Q3",'Consolidation'!$B$6:$B$46,"AT")))=2,SUM(IF(OR(COUNTIFS('Consolidation'!$A$6:$A$46,"2026Q3",'Consolidation'!$B$6:$B$46,"DE")&lt;&gt;1,COUNTIFS('Consolidation'!$A$6:$A$46,"2026Q3",'Consolidation'!$B$6:$B$46,"DE",'Consolidation'!$W$6:$W$46,"n.d.")&gt;0),"n.d.",SUMIFS('Consolidation'!$W$6:$W$46,'Consolidation'!$A$6:$A$46,"2026Q3",'Consolidation'!$B$6:$B$46,"DE")),IF(OR(COUNTIFS('Consolidation'!$A$6:$A$46,"2026Q3",'Consolidation'!$B$6:$B$46,"AT")&lt;&gt;1,COUNTIFS('Consolidation'!$A$6:$A$46,"2026Q3",'Consolidation'!$B$6:$B$46,"AT",'Consolidation'!$W$6:$W$46,"n.d.")&gt;0),"n.d.",SUMIFS('Consolidation'!$W$6:$W$46,'Consolidation'!$A$6:$A$46,"2026Q3",'Consolidation'!$B$6:$B$46,"AT"))),"n.d.")</f>
        <v>843920.0</v>
      </c>
      <c r="U57" s="6"/>
      <c r="V57" s="6">
        <f>IF(ISNUMBER('GraphData'!C24),'GraphData'!C24,"n.d.")</f>
        <v>781466.0</v>
      </c>
      <c r="W57" s="6"/>
      <c r="X57" s="6">
        <f>IF(ISNUMBER('GraphData'!C25),'GraphData'!C25,"n.d.")</f>
        <v>689718.0</v>
      </c>
      <c r="Y57" s="6"/>
      <c r="Z57" s="6">
        <f>IF(ISNUMBER('GraphData'!C26),'GraphData'!C26,"n.d.")</f>
        <v>808135.0</v>
      </c>
      <c r="AA57" s="6"/>
      <c r="AB57" s="6">
        <f>IF(ISNUMBER('GraphData'!C27),'GraphData'!C27,"n.d.")</f>
        <v>954954.0</v>
      </c>
      <c r="AC57" s="6"/>
      <c r="AD57" s="6">
        <f>IF(ISNUMBER('GraphData'!C28),'GraphData'!C28,"n.d.")</f>
        <v>977254.0</v>
      </c>
      <c r="AE57" s="6"/>
      <c r="AF57" s="6">
        <f>IF(ISNUMBER('GraphData'!C29),'GraphData'!C29,"n.d.")</f>
        <v>851993.0</v>
      </c>
    </row>
    <row r="58" spans="1:32" ht="13.5" customHeight="1">
      <c r="A58" s="2"/>
      <c r="O58" s="5" t="s">
        <v>49</v>
      </c>
      <c r="P58" s="5"/>
      <c r="Q58" s="5"/>
      <c r="R58" s="5"/>
      <c r="S58" s="5"/>
      <c r="T58" s="6">
        <f>IF(OR(COUNTIFS('Consolidation'!$A$6:$A$46,"2026Q3",'Consolidation'!$B$6:$B$46,"BE")&lt;&gt;1,COUNTIFS('Consolidation'!$A$6:$A$46,"2026Q3",'Consolidation'!$B$6:$B$46,"BE",'Consolidation'!$W$6:$W$46,"n.d.")&gt;0),"n.d.",SUMIFS('Consolidation'!$W$6:$W$46,'Consolidation'!$A$6:$A$46,"2026Q3",'Consolidation'!$B$6:$B$46,"BE"))</f>
        <v>86982.16666666667</v>
      </c>
      <c r="U58" s="6"/>
      <c r="V58" s="6">
        <f>IF(ISNUMBER('GraphData'!D24),'GraphData'!D24,"n.d.")</f>
        <v>105005.0</v>
      </c>
      <c r="W58" s="6"/>
      <c r="X58" s="6">
        <f>IF(ISNUMBER('GraphData'!D25),'GraphData'!D25,"n.d.")</f>
        <v>68164.0</v>
      </c>
      <c r="Y58" s="6"/>
      <c r="Z58" s="6">
        <f>IF(ISNUMBER('GraphData'!D26),'GraphData'!D26,"n.d.")</f>
        <v>104341.0</v>
      </c>
      <c r="AA58" s="6"/>
      <c r="AB58" s="6">
        <f>IF(ISNUMBER('GraphData'!D27),'GraphData'!D27,"n.d.")</f>
        <v>71809.0</v>
      </c>
      <c r="AC58" s="6"/>
      <c r="AD58" s="6">
        <f>IF(ISNUMBER('GraphData'!D28),'GraphData'!D28,"n.d.")</f>
        <v>119870.0</v>
      </c>
      <c r="AE58" s="6"/>
      <c r="AF58" s="6">
        <f>IF(ISNUMBER('GraphData'!D29),'GraphData'!D29,"n.d.")</f>
        <v>52704.0</v>
      </c>
    </row>
    <row r="59" spans="1:32" ht="13.5" customHeight="1">
      <c r="A59" s="2"/>
      <c r="O59" s="5" t="s">
        <v>73</v>
      </c>
      <c r="P59" s="5"/>
      <c r="Q59" s="5"/>
      <c r="R59" s="5"/>
      <c r="S59" s="5"/>
      <c r="T59" s="6">
        <f>IF(OR(COUNTIFS('Consolidation'!$A$6:$A$46,"2026Q3",'Consolidation'!$B$6:$B$46,"IT")&lt;&gt;1,COUNTIFS('Consolidation'!$A$6:$A$46,"2026Q3",'Consolidation'!$B$6:$B$46,"IT",'Consolidation'!$W$6:$W$46,"n.d.")&gt;0),"n.d.",SUMIFS('Consolidation'!$W$6:$W$46,'Consolidation'!$A$6:$A$46,"2026Q3",'Consolidation'!$B$6:$B$46,"IT"))</f>
        <v>1092477.8333333333</v>
      </c>
      <c r="U59" s="6"/>
      <c r="V59" s="6">
        <f>IF(ISNUMBER('GraphData'!E24),'GraphData'!E24,"n.d.")</f>
        <v>1199204.0</v>
      </c>
      <c r="W59" s="6"/>
      <c r="X59" s="6">
        <f>IF(ISNUMBER('GraphData'!E25),'GraphData'!E25,"n.d.")</f>
        <v>1425617.0</v>
      </c>
      <c r="Y59" s="6"/>
      <c r="Z59" s="6">
        <f>IF(ISNUMBER('GraphData'!E26),'GraphData'!E26,"n.d.")</f>
        <v>977488.0</v>
      </c>
      <c r="AA59" s="6"/>
      <c r="AB59" s="6">
        <f>IF(ISNUMBER('GraphData'!E27),'GraphData'!E27,"n.d.")</f>
        <v>1234017.0</v>
      </c>
      <c r="AC59" s="6"/>
      <c r="AD59" s="6">
        <f>IF(ISNUMBER('GraphData'!E28),'GraphData'!E28,"n.d.")</f>
        <v>898183.0</v>
      </c>
      <c r="AE59" s="6"/>
      <c r="AF59" s="6">
        <f>IF(ISNUMBER('GraphData'!E29),'GraphData'!E29,"n.d.")</f>
        <v>820358.0</v>
      </c>
    </row>
    <row r="60" spans="1:32" ht="13.5" customHeight="1">
      <c r="A60" s="2"/>
      <c r="O60" s="5" t="s">
        <v>78</v>
      </c>
      <c r="P60" s="5"/>
      <c r="Q60" s="5"/>
      <c r="R60" s="5"/>
      <c r="S60" s="5"/>
      <c r="T60" s="6">
        <f>IF(OR(COUNTIFS('Consolidation'!$A$6:$A$46,"2026Q3",'Consolidation'!$B$6:$B$46,"PT")&lt;&gt;1,COUNTIFS('Consolidation'!$A$6:$A$46,"2026Q3",'Consolidation'!$B$6:$B$46,"PT",'Consolidation'!$W$6:$W$46,"n.d.")&gt;0),"n.d.",SUMIFS('Consolidation'!$W$6:$W$46,'Consolidation'!$A$6:$A$46,"2026Q3",'Consolidation'!$B$6:$B$46,"PT"))</f>
        <v>2355231.6666666665</v>
      </c>
      <c r="U60" s="6"/>
      <c r="V60" s="6">
        <f>IF(ISNUMBER('GraphData'!F24),'GraphData'!F24,"n.d.")</f>
        <v>4060466.0</v>
      </c>
      <c r="W60" s="6"/>
      <c r="X60" s="6">
        <f>IF(ISNUMBER('GraphData'!F25),'GraphData'!F25,"n.d.")</f>
        <v>3650675.0</v>
      </c>
      <c r="Y60" s="6"/>
      <c r="Z60" s="6">
        <f>IF(ISNUMBER('GraphData'!F26),'GraphData'!F26,"n.d.")</f>
        <v>2534318.0</v>
      </c>
      <c r="AA60" s="6"/>
      <c r="AB60" s="6">
        <f>IF(ISNUMBER('GraphData'!F27),'GraphData'!F27,"n.d.")</f>
        <v>1649935.0</v>
      </c>
      <c r="AC60" s="6"/>
      <c r="AD60" s="6">
        <f>IF(ISNUMBER('GraphData'!F28),'GraphData'!F28,"n.d.")</f>
        <v>1234586.0</v>
      </c>
      <c r="AE60" s="6"/>
      <c r="AF60" s="6">
        <f>IF(ISNUMBER('GraphData'!F29),'GraphData'!F29,"n.d.")</f>
        <v>1001410.0</v>
      </c>
    </row>
    <row r="61" spans="1:32" ht="13.5" customHeight="1">
      <c r="A61" s="2"/>
      <c r="O61" s="5" t="s">
        <v>63</v>
      </c>
      <c r="P61" s="5"/>
      <c r="Q61" s="5"/>
      <c r="R61" s="5"/>
      <c r="S61" s="5"/>
      <c r="T61" s="6">
        <f>IF(OR(COUNTIFS('Consolidation'!$A$6:$A$46,"2026Q3",'Consolidation'!$B$6:$B$46,"FR")&lt;&gt;1,COUNTIFS('Consolidation'!$A$6:$A$46,"2026Q3",'Consolidation'!$B$6:$B$46,"FR",'Consolidation'!$W$6:$W$46,"n.d.")&gt;0),"n.d.",SUMIFS('Consolidation'!$W$6:$W$46,'Consolidation'!$A$6:$A$46,"2026Q3",'Consolidation'!$B$6:$B$46,"FR"))</f>
        <v>1454671.6666666667</v>
      </c>
      <c r="U61" s="6"/>
      <c r="V61" s="6">
        <f>IF(ISNUMBER('GraphData'!G24),'GraphData'!G24,"n.d.")</f>
        <v>1825315.0</v>
      </c>
      <c r="W61" s="6"/>
      <c r="X61" s="6">
        <f>IF(ISNUMBER('GraphData'!G25),'GraphData'!G25,"n.d.")</f>
        <v>678076.0</v>
      </c>
      <c r="Y61" s="6"/>
      <c r="Z61" s="6">
        <f>IF(ISNUMBER('GraphData'!G26),'GraphData'!G26,"n.d.")</f>
        <v>1738908.0</v>
      </c>
      <c r="AA61" s="6"/>
      <c r="AB61" s="6">
        <f>IF(ISNUMBER('GraphData'!G27),'GraphData'!G27,"n.d.")</f>
        <v>1680101.0</v>
      </c>
      <c r="AC61" s="6"/>
      <c r="AD61" s="6">
        <f>IF(ISNUMBER('GraphData'!G28),'GraphData'!G28,"n.d.")</f>
        <v>1332153.0</v>
      </c>
      <c r="AE61" s="6"/>
      <c r="AF61" s="6">
        <f>IF(ISNUMBER('GraphData'!G29),'GraphData'!G29,"n.d.")</f>
        <v>1473477.0</v>
      </c>
    </row>
    <row r="62" spans="1:32" ht="13.5" customHeight="1">
      <c r="A62" s="2"/>
      <c r="O62" s="5" t="s">
        <v>82</v>
      </c>
      <c r="P62" s="5"/>
      <c r="Q62" s="5"/>
      <c r="R62" s="5"/>
      <c r="S62" s="5"/>
      <c r="T62" s="6">
        <f>IF(OR(COUNTIFS('Consolidation'!$A$6:$A$46,"2026Q3",'Consolidation'!$B$6:$B$46,"UK")&lt;&gt;1,COUNTIFS('Consolidation'!$A$6:$A$46,"2026Q3",'Consolidation'!$B$6:$B$46,"UK",'Consolidation'!$W$6:$W$46,"n.d.")&gt;0),"n.d.",SUMIFS('Consolidation'!$W$6:$W$46,'Consolidation'!$A$6:$A$46,"2026Q3",'Consolidation'!$B$6:$B$46,"UK"))</f>
        <v>211307.18130173243</v>
      </c>
      <c r="U62" s="6"/>
      <c r="V62" s="6">
        <f>IF(ISNUMBER('GraphData'!H24),'GraphData'!H24,"n.d.")</f>
        <v>120964.31436859925</v>
      </c>
      <c r="W62" s="6"/>
      <c r="X62" s="6">
        <f>IF(ISNUMBER('GraphData'!H25),'GraphData'!H25,"n.d.")</f>
        <v>170612.39652958023</v>
      </c>
      <c r="Y62" s="6"/>
      <c r="Z62" s="6">
        <f>IF(ISNUMBER('GraphData'!H26),'GraphData'!H26,"n.d.")</f>
        <v>93546.15777669192</v>
      </c>
      <c r="AA62" s="6"/>
      <c r="AB62" s="6">
        <f>IF(ISNUMBER('GraphData'!H27),'GraphData'!H27,"n.d.")</f>
        <v>134405.9641085598</v>
      </c>
      <c r="AC62" s="6"/>
      <c r="AD62" s="6">
        <f>IF(ISNUMBER('GraphData'!H28),'GraphData'!H28,"n.d.")</f>
        <v>157081.79899856725</v>
      </c>
      <c r="AE62" s="6"/>
      <c r="AF62" s="6">
        <f>IF(ISNUMBER('GraphData'!H29),'GraphData'!H29,"n.d.")</f>
        <v>591232.4560283961</v>
      </c>
    </row>
    <row r="63" spans="1:32" ht="13.5" customHeight="1">
      <c r="A63" s="2"/>
      <c r="O63" s="5" t="s">
        <v>112</v>
      </c>
      <c r="P63" s="5"/>
      <c r="Q63" s="5"/>
      <c r="R63" s="5"/>
      <c r="S63" s="5"/>
      <c r="T63" s="6">
        <f>IF(OR(COUNTIFS('Consolidation'!$A$6:$A$46,"2026Q3",'Consolidation'!$B$6:$B$46,"ZA")&lt;&gt;1,COUNTIFS('Consolidation'!$A$6:$A$46,"2026Q3",'Consolidation'!$B$6:$B$46,"ZA",'Consolidation'!$W$6:$W$46,"n.d.")&gt;0),"n.d.",SUMIFS('Consolidation'!$W$6:$W$46,'Consolidation'!$A$6:$A$46,"2026Q3",'Consolidation'!$B$6:$B$46,"ZA"))</f>
        <v>206027.81471800187</v>
      </c>
      <c r="U63" s="6"/>
      <c r="V63" s="6">
        <f>IF(ISNUMBER('GraphData'!I24),'GraphData'!I24,"n.d.")</f>
        <v>178090.78156742858</v>
      </c>
      <c r="W63" s="6"/>
      <c r="X63" s="6">
        <f>IF(ISNUMBER('GraphData'!I25),'GraphData'!I25,"n.d.")</f>
        <v>185044.78696990738</v>
      </c>
      <c r="Y63" s="6"/>
      <c r="Z63" s="6">
        <f>IF(ISNUMBER('GraphData'!I26),'GraphData'!I26,"n.d.")</f>
        <v>190318.60934937032</v>
      </c>
      <c r="AA63" s="6"/>
      <c r="AB63" s="6">
        <f>IF(ISNUMBER('GraphData'!I27),'GraphData'!I27,"n.d.")</f>
        <v>228755.46189623384</v>
      </c>
      <c r="AC63" s="6"/>
      <c r="AD63" s="6">
        <f>IF(ISNUMBER('GraphData'!I28),'GraphData'!I28,"n.d.")</f>
        <v>220324.51090989122</v>
      </c>
      <c r="AE63" s="6"/>
      <c r="AF63" s="6">
        <f>IF(ISNUMBER('GraphData'!I29),'GraphData'!I29,"n.d.")</f>
        <v>233632.7376151798</v>
      </c>
    </row>
    <row r="64" spans="1:32" ht="13.5" customHeight="1">
      <c r="A64" s="2"/>
      <c r="O64" s="5" t="s">
        <v>234</v>
      </c>
      <c r="P64" s="5"/>
      <c r="Q64" s="5"/>
      <c r="R64" s="5"/>
      <c r="S64" s="5"/>
      <c r="T64" s="6">
        <f>IF(OR(COUNTIFS('Consolidation'!$A$6:$A$46,"2026Q3",'Consolidation'!$B$6:$B$46,"BR")&lt;&gt;1,COUNTIFS('Consolidation'!$A$6:$A$46,"2026Q3",'Consolidation'!$B$6:$B$46,"BR",'Consolidation'!$W$6:$W$46,"n.d.")&gt;0),"n.d.",SUMIFS('Consolidation'!$W$6:$W$46,'Consolidation'!$A$6:$A$46,"2026Q3",'Consolidation'!$B$6:$B$46,"BR"))</f>
        <v>2094.2987143932305</v>
      </c>
      <c r="U64" s="6"/>
      <c r="V64" s="6">
        <f>IF(ISNUMBER('GraphData'!J24),'GraphData'!J24,"n.d.")</f>
        <v>3875.6448537628958</v>
      </c>
      <c r="W64" s="6"/>
      <c r="X64" s="6">
        <f>IF(ISNUMBER('GraphData'!J25),'GraphData'!J25,"n.d.")</f>
        <v>2540.0568331291265</v>
      </c>
      <c r="Y64" s="6"/>
      <c r="Z64" s="6">
        <f>IF(ISNUMBER('GraphData'!J26),'GraphData'!J26,"n.d.")</f>
        <v>1589.981347668489</v>
      </c>
      <c r="AA64" s="6"/>
      <c r="AB64" s="6">
        <f>IF(ISNUMBER('GraphData'!J27),'GraphData'!J27,"n.d.")</f>
        <v>1700.7757294769858</v>
      </c>
      <c r="AC64" s="6"/>
      <c r="AD64" s="6">
        <f>IF(ISNUMBER('GraphData'!J28),'GraphData'!J28,"n.d.")</f>
        <v>250.3239217965882</v>
      </c>
      <c r="AE64" s="6"/>
      <c r="AF64" s="6">
        <f>IF(ISNUMBER('GraphData'!J29),'GraphData'!J29,"n.d.")</f>
        <v>2609.0096005252976</v>
      </c>
    </row>
    <row r="65" spans="1:32" ht="13.5" customHeight="1">
      <c r="A65" s="2"/>
      <c r="O65" s="5" t="s">
        <v>92</v>
      </c>
      <c r="P65" s="5"/>
      <c r="Q65" s="5"/>
      <c r="R65" s="5"/>
      <c r="S65" s="5"/>
      <c r="T65" s="6">
        <f>IF(OR(COUNTIFS('Consolidation'!$A$6:$A$46,"2026Q3",'Consolidation'!$B$6:$B$46,"DK")&lt;&gt;1,COUNTIFS('Consolidation'!$A$6:$A$46,"2026Q3",'Consolidation'!$B$6:$B$46,"DK",'Consolidation'!$W$6:$W$46,"n.d.")&gt;0),"n.d.",SUMIFS('Consolidation'!$W$6:$W$46,'Consolidation'!$A$6:$A$46,"2026Q3",'Consolidation'!$B$6:$B$46,"DK"))</f>
        <v>12951.73622015745</v>
      </c>
      <c r="U65" s="6"/>
      <c r="V65" s="6">
        <f>IF(ISNUMBER('GraphData'!K24),'GraphData'!K24,"n.d.")</f>
        <v>15033.974612869479</v>
      </c>
      <c r="W65" s="6"/>
      <c r="X65" s="6">
        <f>IF(ISNUMBER('GraphData'!K25),'GraphData'!K25,"n.d.")</f>
        <v>22642.802333344032</v>
      </c>
      <c r="Y65" s="6"/>
      <c r="Z65" s="6">
        <f>IF(ISNUMBER('GraphData'!K26),'GraphData'!K26,"n.d.")</f>
        <v>11921.131730938301</v>
      </c>
      <c r="AA65" s="6"/>
      <c r="AB65" s="6">
        <f>IF(ISNUMBER('GraphData'!K27),'GraphData'!K27,"n.d.")</f>
        <v>9958.909408676853</v>
      </c>
      <c r="AC65" s="6"/>
      <c r="AD65" s="6">
        <f>IF(ISNUMBER('GraphData'!K28),'GraphData'!K28,"n.d.")</f>
        <v>10757.906765155854</v>
      </c>
      <c r="AE65" s="6"/>
      <c r="AF65" s="6">
        <f>IF(ISNUMBER('GraphData'!K29),'GraphData'!K29,"n.d.")</f>
        <v>7395.692469960186</v>
      </c>
    </row>
    <row r="66" spans="1:32" ht="13.5" customHeight="1">
      <c r="A66" s="2"/>
      <c r="O66" s="5" t="s">
        <v>100</v>
      </c>
      <c r="P66" s="5"/>
      <c r="Q66" s="5"/>
      <c r="R66" s="5"/>
      <c r="S66" s="5"/>
      <c r="T66" s="6">
        <f>IF(OR(COUNTIFS('Consolidation'!$A$6:$A$46,"2026Q3",'Consolidation'!$B$6:$B$46,"NO")&lt;&gt;1,COUNTIFS('Consolidation'!$A$6:$A$46,"2026Q3",'Consolidation'!$B$6:$B$46,"NO",'Consolidation'!$W$6:$W$46,"n.d.")&gt;0),"n.d.",SUMIFS('Consolidation'!$W$6:$W$46,'Consolidation'!$A$6:$A$46,"2026Q3",'Consolidation'!$B$6:$B$46,"NO"))</f>
        <v>6054.525116656991</v>
      </c>
      <c r="U66" s="6"/>
      <c r="V66" s="6">
        <f>IF(ISNUMBER('GraphData'!L24),'GraphData'!L24,"n.d.")</f>
        <v>5652.2176522836235</v>
      </c>
      <c r="W66" s="6"/>
      <c r="X66" s="6">
        <f>IF(ISNUMBER('GraphData'!L25),'GraphData'!L25,"n.d.")</f>
        <v>13480.900619813134</v>
      </c>
      <c r="Y66" s="6"/>
      <c r="Z66" s="6">
        <f>IF(ISNUMBER('GraphData'!L26),'GraphData'!L26,"n.d.")</f>
        <v>5095.5151720047725</v>
      </c>
      <c r="AA66" s="6"/>
      <c r="AB66" s="6">
        <f>IF(ISNUMBER('GraphData'!L27),'GraphData'!L27,"n.d.")</f>
        <v>3901.6092829580048</v>
      </c>
      <c r="AC66" s="6"/>
      <c r="AD66" s="6">
        <f>IF(ISNUMBER('GraphData'!L28),'GraphData'!L28,"n.d.")</f>
        <v>3950.379215573521</v>
      </c>
      <c r="AE66" s="6"/>
      <c r="AF66" s="6">
        <f>IF(ISNUMBER('GraphData'!L29),'GraphData'!L29,"n.d.")</f>
        <v>4246.528757308892</v>
      </c>
    </row>
    <row r="67" spans="1:32" ht="13.5" customHeight="1">
      <c r="A67" s="2"/>
      <c r="O67" s="5" t="s">
        <v>106</v>
      </c>
      <c r="P67" s="5"/>
      <c r="Q67" s="5"/>
      <c r="R67" s="5"/>
      <c r="S67" s="5"/>
      <c r="T67" s="6">
        <f>IF(OR(COUNTIFS('Consolidation'!$A$6:$A$46,"2026Q3",'Consolidation'!$B$6:$B$46,"SE")&lt;&gt;1,COUNTIFS('Consolidation'!$A$6:$A$46,"2026Q3",'Consolidation'!$B$6:$B$46,"SE",'Consolidation'!$W$6:$W$46,"n.d.")&gt;0),"n.d.",SUMIFS('Consolidation'!$W$6:$W$46,'Consolidation'!$A$6:$A$46,"2026Q3",'Consolidation'!$B$6:$B$46,"SE"))</f>
        <v>21207.907224547645</v>
      </c>
      <c r="U67" s="6"/>
      <c r="V67" s="6">
        <f>IF(ISNUMBER('GraphData'!M24),'GraphData'!M24,"n.d.")</f>
        <v>33888.15419430023</v>
      </c>
      <c r="W67" s="6"/>
      <c r="X67" s="6">
        <f>IF(ISNUMBER('GraphData'!M25),'GraphData'!M25,"n.d.")</f>
        <v>12290.640472865412</v>
      </c>
      <c r="Y67" s="6"/>
      <c r="Z67" s="6">
        <f>IF(ISNUMBER('GraphData'!M26),'GraphData'!M26,"n.d.")</f>
        <v>20551.693085751358</v>
      </c>
      <c r="AA67" s="6"/>
      <c r="AB67" s="6">
        <f>IF(ISNUMBER('GraphData'!M27),'GraphData'!M27,"n.d.")</f>
        <v>22068.183080670267</v>
      </c>
      <c r="AC67" s="6"/>
      <c r="AD67" s="6">
        <f>IF(ISNUMBER('GraphData'!M28),'GraphData'!M28,"n.d.")</f>
        <v>11056.327822071327</v>
      </c>
      <c r="AE67" s="6"/>
      <c r="AF67" s="6">
        <f>IF(ISNUMBER('GraphData'!M29),'GraphData'!M29,"n.d.")</f>
        <v>27392.444691627265</v>
      </c>
    </row>
    <row r="68" spans="1:32" ht="13.5" customHeight="1">
      <c r="A68" s="2"/>
    </row>
    <row r="69" spans="1:32" ht="13.5" customHeight="1">
      <c r="A69" s="2"/>
    </row>
    <row r="70" spans="1:32" ht="13.5" customHeight="1">
      <c r="A70" s="2"/>
      <c r="O70" s="4" t="s">
        <v>955</v>
      </c>
      <c r="P70" s="4"/>
      <c r="Q70" s="4"/>
      <c r="R70" s="4"/>
      <c r="S70" s="4"/>
      <c r="T70" s="4" t="s">
        <v>3118</v>
      </c>
      <c r="U70" s="4"/>
      <c r="V70" s="4"/>
      <c r="W70" s="4"/>
      <c r="X70" s="4"/>
      <c r="Y70" s="4"/>
      <c r="Z70" s="4" t="s">
        <v>3119</v>
      </c>
      <c r="AA70" s="4"/>
      <c r="AB70" s="4"/>
      <c r="AC70" s="4"/>
      <c r="AD70" s="4"/>
      <c r="AE70" s="4"/>
      <c r="AF70" s="4"/>
    </row>
    <row r="71" spans="1:32" ht="13.5" customHeight="1">
      <c r="A71" s="2"/>
      <c r="O71" s="4"/>
      <c r="P71" s="4"/>
      <c r="Q71" s="4"/>
      <c r="R71" s="4"/>
      <c r="S71" s="4"/>
      <c r="T71" s="4" t="s">
        <v>13</v>
      </c>
      <c r="U71" s="4"/>
      <c r="V71" s="4"/>
      <c r="W71" s="4" t="s">
        <v>27</v>
      </c>
      <c r="X71" s="4"/>
      <c r="Y71" s="4"/>
      <c r="Z71" s="4" t="s">
        <v>13</v>
      </c>
      <c r="AA71" s="4"/>
      <c r="AB71" s="4"/>
      <c r="AC71" s="4" t="s">
        <v>27</v>
      </c>
      <c r="AD71" s="4"/>
      <c r="AE71" s="4"/>
      <c r="AF71" s="4"/>
    </row>
    <row r="72" spans="1:32" ht="13.5" customHeight="1">
      <c r="A72" s="2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3.5" customHeight="1">
      <c r="A73" s="2"/>
      <c r="O73" s="5" t="s">
        <v>58</v>
      </c>
      <c r="P73" s="5"/>
      <c r="Q73" s="5"/>
      <c r="R73" s="5"/>
      <c r="S73" s="5"/>
      <c r="T73" s="7">
        <f>'GraphData'!D35</f>
        <v>0.9931642617902213</v>
      </c>
      <c r="U73" s="7"/>
      <c r="V73" s="7"/>
      <c r="W73" s="7">
        <f>'GraphData'!E35</f>
        <v>0.9859807948052636</v>
      </c>
      <c r="X73" s="7"/>
      <c r="Y73" s="7"/>
      <c r="Z73" s="7">
        <f>'GraphData'!B35</f>
        <v>0.9894054395951929</v>
      </c>
      <c r="AA73" s="7"/>
      <c r="AB73" s="7"/>
      <c r="AC73" s="7">
        <f>'GraphData'!C35</f>
        <v>0.9539307475107742</v>
      </c>
      <c r="AD73" s="7"/>
      <c r="AE73" s="7"/>
      <c r="AF73" s="7"/>
    </row>
    <row r="74" spans="1:32" ht="13.5" customHeight="1">
      <c r="A74" s="2"/>
      <c r="O74" s="5" t="s">
        <v>3092</v>
      </c>
      <c r="P74" s="5"/>
      <c r="Q74" s="5"/>
      <c r="R74" s="5"/>
      <c r="S74" s="5"/>
      <c r="T74" s="7">
        <f>'GraphData'!D36</f>
        <v>0.7104560896824842</v>
      </c>
      <c r="U74" s="7"/>
      <c r="V74" s="7"/>
      <c r="W74" s="7">
        <f>'GraphData'!E36</f>
        <v>0.8537773876278687</v>
      </c>
      <c r="X74" s="7"/>
      <c r="Y74" s="7"/>
      <c r="Z74" s="7">
        <f>'GraphData'!B36</f>
        <v>0.6015087641446638</v>
      </c>
      <c r="AA74" s="7"/>
      <c r="AB74" s="7"/>
      <c r="AC74" s="7">
        <f>'GraphData'!C36</f>
        <v>0.581422283993514</v>
      </c>
      <c r="AD74" s="7"/>
      <c r="AE74" s="7"/>
      <c r="AF74" s="7"/>
    </row>
    <row r="75" spans="1:32" ht="13.5" customHeight="1">
      <c r="A75" s="2"/>
      <c r="O75" s="5" t="s">
        <v>49</v>
      </c>
      <c r="P75" s="5"/>
      <c r="Q75" s="5"/>
      <c r="R75" s="5"/>
      <c r="S75" s="5"/>
      <c r="T75" s="7">
        <f>'GraphData'!D37</f>
        <v>1.0</v>
      </c>
      <c r="U75" s="7"/>
      <c r="V75" s="7"/>
      <c r="W75" s="7">
        <f>'GraphData'!E37</f>
        <v>1.0</v>
      </c>
      <c r="X75" s="7"/>
      <c r="Y75" s="7"/>
      <c r="Z75" s="7">
        <f>'GraphData'!B37</f>
        <v>1.0</v>
      </c>
      <c r="AA75" s="7"/>
      <c r="AB75" s="7"/>
      <c r="AC75" s="7">
        <f>'GraphData'!C37</f>
        <v>1.0</v>
      </c>
      <c r="AD75" s="7"/>
      <c r="AE75" s="7"/>
      <c r="AF75" s="7"/>
    </row>
    <row r="76" spans="1:32" ht="13.5" customHeight="1">
      <c r="A76" s="2"/>
      <c r="O76" s="5" t="s">
        <v>73</v>
      </c>
      <c r="P76" s="5"/>
      <c r="Q76" s="5"/>
      <c r="R76" s="5"/>
      <c r="S76" s="5"/>
      <c r="T76" s="7">
        <f>'GraphData'!D38</f>
        <v>0.984378465262362</v>
      </c>
      <c r="U76" s="7"/>
      <c r="V76" s="7"/>
      <c r="W76" s="7">
        <f>'GraphData'!E38</f>
        <v>0.97577393004026</v>
      </c>
      <c r="X76" s="7"/>
      <c r="Y76" s="7"/>
      <c r="Z76" s="7">
        <f>'GraphData'!B38</f>
        <v>0.9484958979033729</v>
      </c>
      <c r="AA76" s="7"/>
      <c r="AB76" s="7"/>
      <c r="AC76" s="7">
        <f>'GraphData'!C38</f>
        <v>0.9370393767108866</v>
      </c>
      <c r="AD76" s="7"/>
      <c r="AE76" s="7"/>
      <c r="AF76" s="7"/>
    </row>
    <row r="77" spans="1:32" ht="13.5" customHeight="1">
      <c r="A77" s="2"/>
      <c r="O77" s="5" t="s">
        <v>78</v>
      </c>
      <c r="P77" s="5"/>
      <c r="Q77" s="5"/>
      <c r="R77" s="5"/>
      <c r="S77" s="5"/>
      <c r="T77" s="7">
        <f>'GraphData'!D39</f>
        <v>0.9911539948773356</v>
      </c>
      <c r="U77" s="7"/>
      <c r="V77" s="7"/>
      <c r="W77" s="7">
        <f>'GraphData'!E39</f>
        <v>0.996970298482982</v>
      </c>
      <c r="X77" s="7"/>
      <c r="Y77" s="7"/>
      <c r="Z77" s="7">
        <f>'GraphData'!B39</f>
        <v>0.6078777189888301</v>
      </c>
      <c r="AA77" s="7"/>
      <c r="AB77" s="7"/>
      <c r="AC77" s="7">
        <f>'GraphData'!C39</f>
        <v>0.9398592450415867</v>
      </c>
      <c r="AD77" s="7"/>
      <c r="AE77" s="7"/>
      <c r="AF77" s="7"/>
    </row>
    <row r="78" spans="1:32" ht="13.5" customHeight="1">
      <c r="A78" s="2"/>
      <c r="O78" s="5" t="s">
        <v>63</v>
      </c>
      <c r="P78" s="5"/>
      <c r="Q78" s="5"/>
      <c r="R78" s="5"/>
      <c r="S78" s="5"/>
      <c r="T78" s="7">
        <f>'GraphData'!D40</f>
        <v>0.9777348442295094</v>
      </c>
      <c r="U78" s="7"/>
      <c r="V78" s="7"/>
      <c r="W78" s="7">
        <f>'GraphData'!E40</f>
        <v>0.994128136787349</v>
      </c>
      <c r="X78" s="7"/>
      <c r="Y78" s="7"/>
      <c r="Z78" s="7">
        <f>'GraphData'!B40</f>
        <v>0.9403706688154714</v>
      </c>
      <c r="AA78" s="7"/>
      <c r="AB78" s="7"/>
      <c r="AC78" s="7">
        <f>'GraphData'!C40</f>
        <v>0.965771458662454</v>
      </c>
      <c r="AD78" s="7"/>
      <c r="AE78" s="7"/>
      <c r="AF78" s="7"/>
    </row>
    <row r="79" spans="1:32" ht="13.5" customHeight="1">
      <c r="A79" s="2"/>
      <c r="O79" s="5" t="s">
        <v>82</v>
      </c>
      <c r="P79" s="5"/>
      <c r="Q79" s="5"/>
      <c r="R79" s="5"/>
      <c r="S79" s="5"/>
      <c r="T79" s="7">
        <f>'GraphData'!D41</f>
        <v>0.6731999072202525</v>
      </c>
      <c r="U79" s="7"/>
      <c r="V79" s="7"/>
      <c r="W79" s="7">
        <f>'GraphData'!E41</f>
        <v>0.793132474166957</v>
      </c>
      <c r="X79" s="7"/>
      <c r="Y79" s="7"/>
      <c r="Z79" s="7">
        <f>'GraphData'!B41</f>
        <v>0.30129752564876283</v>
      </c>
      <c r="AA79" s="7"/>
      <c r="AB79" s="7"/>
      <c r="AC79" s="7">
        <f>'GraphData'!C41</f>
        <v>0.6951945080091533</v>
      </c>
      <c r="AD79" s="7"/>
      <c r="AE79" s="7"/>
      <c r="AF79" s="7"/>
    </row>
    <row r="80" spans="1:32" ht="13.5" customHeight="1">
      <c r="A80" s="2"/>
      <c r="O80" s="5" t="s">
        <v>112</v>
      </c>
      <c r="P80" s="5"/>
      <c r="Q80" s="5"/>
      <c r="R80" s="5"/>
      <c r="S80" s="5"/>
      <c r="T80" s="7">
        <f>'GraphData'!D42</f>
        <v>0.6493430482328113</v>
      </c>
      <c r="U80" s="7"/>
      <c r="V80" s="7"/>
      <c r="W80" s="7">
        <f>'GraphData'!E42</f>
        <v>0.6926903849986122</v>
      </c>
      <c r="X80" s="7"/>
      <c r="Y80" s="7"/>
      <c r="Z80" s="7">
        <f>'GraphData'!B42</f>
        <v>0.8549981233579382</v>
      </c>
      <c r="AA80" s="7"/>
      <c r="AB80" s="7"/>
      <c r="AC80" s="7">
        <f>'GraphData'!C42</f>
        <v>0.8571001494768311</v>
      </c>
      <c r="AD80" s="7"/>
      <c r="AE80" s="7"/>
      <c r="AF80" s="7"/>
    </row>
    <row r="81" spans="1:32" ht="13.5" customHeight="1">
      <c r="A81" s="2"/>
      <c r="O81" s="5" t="s">
        <v>234</v>
      </c>
      <c r="P81" s="5"/>
      <c r="Q81" s="5"/>
      <c r="R81" s="5"/>
      <c r="S81" s="5"/>
      <c r="T81" s="7" t="s">
        <v>51</v>
      </c>
      <c r="U81" s="7"/>
      <c r="V81" s="7"/>
      <c r="W81" s="7" t="s">
        <v>51</v>
      </c>
      <c r="X81" s="7"/>
      <c r="Y81" s="7"/>
      <c r="Z81" s="7" t="s">
        <v>51</v>
      </c>
      <c r="AA81" s="7"/>
      <c r="AB81" s="7"/>
      <c r="AC81" s="7" t="s">
        <v>51</v>
      </c>
      <c r="AD81" s="7"/>
      <c r="AE81" s="7"/>
      <c r="AF81" s="7"/>
    </row>
    <row r="82" spans="1:32" ht="13.5" customHeight="1">
      <c r="A82" s="2"/>
      <c r="O82" s="5" t="s">
        <v>92</v>
      </c>
      <c r="P82" s="5"/>
      <c r="Q82" s="5"/>
      <c r="R82" s="5"/>
      <c r="S82" s="5"/>
      <c r="T82" s="7">
        <f>'GraphData'!D44</f>
        <v>1.0</v>
      </c>
      <c r="U82" s="7"/>
      <c r="V82" s="7"/>
      <c r="W82" s="7">
        <f>'GraphData'!E44</f>
        <v>0.9999999999999999</v>
      </c>
      <c r="X82" s="7"/>
      <c r="Y82" s="7"/>
      <c r="Z82" s="7">
        <f>'GraphData'!B44</f>
        <v>1.0</v>
      </c>
      <c r="AA82" s="7"/>
      <c r="AB82" s="7"/>
      <c r="AC82" s="7">
        <f>'GraphData'!C44</f>
        <v>1.0</v>
      </c>
      <c r="AD82" s="7"/>
      <c r="AE82" s="7"/>
      <c r="AF82" s="7"/>
    </row>
    <row r="83" spans="1:32" ht="13.5" customHeight="1">
      <c r="A83" s="2"/>
      <c r="O83" s="5" t="s">
        <v>100</v>
      </c>
      <c r="P83" s="5"/>
      <c r="Q83" s="5"/>
      <c r="R83" s="5"/>
      <c r="S83" s="5"/>
      <c r="T83" s="7">
        <f>'GraphData'!D45</f>
        <v>0.9410164877948007</v>
      </c>
      <c r="U83" s="7"/>
      <c r="V83" s="7"/>
      <c r="W83" s="7">
        <f>'GraphData'!E45</f>
        <v>0.9342711524878822</v>
      </c>
      <c r="X83" s="7"/>
      <c r="Y83" s="7"/>
      <c r="Z83" s="7">
        <f>'GraphData'!B45</f>
        <v>0.9924812030075187</v>
      </c>
      <c r="AA83" s="7"/>
      <c r="AB83" s="7"/>
      <c r="AC83" s="7">
        <f>'GraphData'!C45</f>
        <v>0.9932432432432432</v>
      </c>
      <c r="AD83" s="7"/>
      <c r="AE83" s="7"/>
      <c r="AF83" s="7"/>
    </row>
    <row r="84" spans="1:32" ht="13.5" customHeight="1">
      <c r="A84" s="2"/>
      <c r="O84" s="5" t="s">
        <v>106</v>
      </c>
      <c r="P84" s="5"/>
      <c r="Q84" s="5"/>
      <c r="R84" s="5"/>
      <c r="S84" s="5"/>
      <c r="T84" s="7">
        <f>'GraphData'!D46</f>
        <v>0.9999999999999999</v>
      </c>
      <c r="U84" s="7"/>
      <c r="V84" s="7"/>
      <c r="W84" s="7">
        <f>'GraphData'!E46</f>
        <v>1.0000000000000007</v>
      </c>
      <c r="X84" s="7"/>
      <c r="Y84" s="7"/>
      <c r="Z84" s="7">
        <f>'GraphData'!B46</f>
        <v>1.0</v>
      </c>
      <c r="AA84" s="7"/>
      <c r="AB84" s="7"/>
      <c r="AC84" s="7">
        <f>'GraphData'!C46</f>
        <v>1.0</v>
      </c>
      <c r="AD84" s="7"/>
      <c r="AE84" s="7"/>
      <c r="AF84" s="7"/>
    </row>
    <row r="85" spans="1:32" ht="13.5" customHeight="1">
      <c r="A85" s="2"/>
    </row>
    <row r="86" spans="1:32" ht="13.5" customHeight="1">
      <c r="A86" s="2"/>
      <c r="O86" s="1" t="s">
        <v>3120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3.5" customHeight="1">
      <c r="A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3.5" customHeight="1">
      <c r="A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3.5" customHeight="1">
      <c r="A89" s="2"/>
    </row>
    <row r="90" spans="1:32" ht="13.5" customHeight="1">
      <c r="A90" s="2"/>
    </row>
    <row r="91" spans="1:32" ht="13.5" customHeight="1">
      <c r="A91" s="2"/>
      <c r="B91" s="11" t="s">
        <v>3079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</sheetData>
  <mergeCells count="232">
    <mergeCell ref="B1:AF1"/>
    <mergeCell ref="B2:AF4"/>
    <mergeCell ref="B42:AF42"/>
    <mergeCell ref="B5:AF6"/>
    <mergeCell ref="B8:G10"/>
    <mergeCell ref="H8:J10"/>
    <mergeCell ref="K8:M10"/>
    <mergeCell ref="N8:P10"/>
    <mergeCell ref="B11:G11"/>
    <mergeCell ref="H11:J11"/>
    <mergeCell ref="K11:M11"/>
    <mergeCell ref="N11:P11"/>
    <mergeCell ref="B12:G12"/>
    <mergeCell ref="H12:J12"/>
    <mergeCell ref="K12:M12"/>
    <mergeCell ref="N12:P12"/>
    <mergeCell ref="B13:G13"/>
    <mergeCell ref="H13:J13"/>
    <mergeCell ref="K13:M13"/>
    <mergeCell ref="N13:P13"/>
    <mergeCell ref="B14:G14"/>
    <mergeCell ref="H14:J14"/>
    <mergeCell ref="K14:M14"/>
    <mergeCell ref="N14:P14"/>
    <mergeCell ref="B15:G15"/>
    <mergeCell ref="H15:J15"/>
    <mergeCell ref="K15:M15"/>
    <mergeCell ref="N15:P15"/>
    <mergeCell ref="B16:G16"/>
    <mergeCell ref="H16:J16"/>
    <mergeCell ref="K16:M16"/>
    <mergeCell ref="N16:P16"/>
    <mergeCell ref="B17:G17"/>
    <mergeCell ref="H17:J17"/>
    <mergeCell ref="K17:M17"/>
    <mergeCell ref="N17:P17"/>
    <mergeCell ref="B18:G18"/>
    <mergeCell ref="H18:J18"/>
    <mergeCell ref="K18:M18"/>
    <mergeCell ref="N18:P18"/>
    <mergeCell ref="B19:G19"/>
    <mergeCell ref="H19:J19"/>
    <mergeCell ref="K19:M19"/>
    <mergeCell ref="N19:P19"/>
    <mergeCell ref="B20:G20"/>
    <mergeCell ref="H20:J20"/>
    <mergeCell ref="K20:M20"/>
    <mergeCell ref="N20:P20"/>
    <mergeCell ref="B21:G21"/>
    <mergeCell ref="H21:J21"/>
    <mergeCell ref="K21:M21"/>
    <mergeCell ref="N21:P21"/>
    <mergeCell ref="B22:G22"/>
    <mergeCell ref="H22:J22"/>
    <mergeCell ref="K22:M22"/>
    <mergeCell ref="N22:P22"/>
    <mergeCell ref="B23:G23"/>
    <mergeCell ref="H23:J23"/>
    <mergeCell ref="K23:M23"/>
    <mergeCell ref="N23:P23"/>
    <mergeCell ref="B26:P27"/>
    <mergeCell ref="B28:P29"/>
    <mergeCell ref="B46:AF48"/>
    <mergeCell ref="B91:AF91"/>
    <mergeCell ref="B49:AF50"/>
    <mergeCell ref="O52:S54"/>
    <mergeCell ref="T52:U54"/>
    <mergeCell ref="V52:W54"/>
    <mergeCell ref="X52:Y54"/>
    <mergeCell ref="Z52:AA54"/>
    <mergeCell ref="AB52:AC54"/>
    <mergeCell ref="AD52:AE54"/>
    <mergeCell ref="AF52:AF54"/>
    <mergeCell ref="O55:S55"/>
    <mergeCell ref="T55:U55"/>
    <mergeCell ref="V55:W55"/>
    <mergeCell ref="X55:Y55"/>
    <mergeCell ref="Z55:AA55"/>
    <mergeCell ref="AB55:AC55"/>
    <mergeCell ref="AD55:AE55"/>
    <mergeCell ref="O56:S56"/>
    <mergeCell ref="T56:U56"/>
    <mergeCell ref="V56:W56"/>
    <mergeCell ref="X56:Y56"/>
    <mergeCell ref="Z56:AA56"/>
    <mergeCell ref="AB56:AC56"/>
    <mergeCell ref="AD56:AE56"/>
    <mergeCell ref="O57:S57"/>
    <mergeCell ref="T57:U57"/>
    <mergeCell ref="V57:W57"/>
    <mergeCell ref="X57:Y57"/>
    <mergeCell ref="Z57:AA57"/>
    <mergeCell ref="AB57:AC57"/>
    <mergeCell ref="AD57:AE57"/>
    <mergeCell ref="O58:S58"/>
    <mergeCell ref="T58:U58"/>
    <mergeCell ref="V58:W58"/>
    <mergeCell ref="X58:Y58"/>
    <mergeCell ref="Z58:AA58"/>
    <mergeCell ref="AB58:AC58"/>
    <mergeCell ref="AD58:AE58"/>
    <mergeCell ref="O59:S59"/>
    <mergeCell ref="T59:U59"/>
    <mergeCell ref="V59:W59"/>
    <mergeCell ref="X59:Y59"/>
    <mergeCell ref="Z59:AA59"/>
    <mergeCell ref="AB59:AC59"/>
    <mergeCell ref="AD59:AE59"/>
    <mergeCell ref="O60:S60"/>
    <mergeCell ref="T60:U60"/>
    <mergeCell ref="V60:W60"/>
    <mergeCell ref="X60:Y60"/>
    <mergeCell ref="Z60:AA60"/>
    <mergeCell ref="AB60:AC60"/>
    <mergeCell ref="AD60:AE60"/>
    <mergeCell ref="O61:S61"/>
    <mergeCell ref="T61:U61"/>
    <mergeCell ref="V61:W61"/>
    <mergeCell ref="X61:Y61"/>
    <mergeCell ref="Z61:AA61"/>
    <mergeCell ref="AB61:AC61"/>
    <mergeCell ref="AD61:AE61"/>
    <mergeCell ref="O62:S62"/>
    <mergeCell ref="T62:U62"/>
    <mergeCell ref="V62:W62"/>
    <mergeCell ref="X62:Y62"/>
    <mergeCell ref="Z62:AA62"/>
    <mergeCell ref="AB62:AC62"/>
    <mergeCell ref="AD62:AE62"/>
    <mergeCell ref="O63:S63"/>
    <mergeCell ref="T63:U63"/>
    <mergeCell ref="V63:W63"/>
    <mergeCell ref="X63:Y63"/>
    <mergeCell ref="Z63:AA63"/>
    <mergeCell ref="AB63:AC63"/>
    <mergeCell ref="AD63:AE63"/>
    <mergeCell ref="O64:S64"/>
    <mergeCell ref="T64:U64"/>
    <mergeCell ref="V64:W64"/>
    <mergeCell ref="X64:Y64"/>
    <mergeCell ref="Z64:AA64"/>
    <mergeCell ref="AB64:AC64"/>
    <mergeCell ref="AD64:AE64"/>
    <mergeCell ref="O65:S65"/>
    <mergeCell ref="T65:U65"/>
    <mergeCell ref="V65:W65"/>
    <mergeCell ref="X65:Y65"/>
    <mergeCell ref="Z65:AA65"/>
    <mergeCell ref="AB65:AC65"/>
    <mergeCell ref="AD65:AE65"/>
    <mergeCell ref="O66:S66"/>
    <mergeCell ref="T66:U66"/>
    <mergeCell ref="V66:W66"/>
    <mergeCell ref="X66:Y66"/>
    <mergeCell ref="Z66:AA66"/>
    <mergeCell ref="AB66:AC66"/>
    <mergeCell ref="AD66:AE66"/>
    <mergeCell ref="O67:S67"/>
    <mergeCell ref="T67:U67"/>
    <mergeCell ref="V67:W67"/>
    <mergeCell ref="X67:Y67"/>
    <mergeCell ref="Z67:AA67"/>
    <mergeCell ref="AB67:AC67"/>
    <mergeCell ref="AD67:AE67"/>
    <mergeCell ref="O70:S72"/>
    <mergeCell ref="T70:Y70"/>
    <mergeCell ref="Z70:AF70"/>
    <mergeCell ref="T71:V72"/>
    <mergeCell ref="W71:Y72"/>
    <mergeCell ref="Z71:AB72"/>
    <mergeCell ref="AC71:AF72"/>
    <mergeCell ref="O73:S73"/>
    <mergeCell ref="T73:V73"/>
    <mergeCell ref="W73:Y73"/>
    <mergeCell ref="Z73:AB73"/>
    <mergeCell ref="AC73:AF73"/>
    <mergeCell ref="O74:S74"/>
    <mergeCell ref="T74:V74"/>
    <mergeCell ref="W74:Y74"/>
    <mergeCell ref="Z74:AB74"/>
    <mergeCell ref="AC74:AF74"/>
    <mergeCell ref="O75:S75"/>
    <mergeCell ref="T75:V75"/>
    <mergeCell ref="W75:Y75"/>
    <mergeCell ref="Z75:AB75"/>
    <mergeCell ref="AC75:AF75"/>
    <mergeCell ref="O76:S76"/>
    <mergeCell ref="T76:V76"/>
    <mergeCell ref="W76:Y76"/>
    <mergeCell ref="Z76:AB76"/>
    <mergeCell ref="AC76:AF76"/>
    <mergeCell ref="O77:S77"/>
    <mergeCell ref="T77:V77"/>
    <mergeCell ref="W77:Y77"/>
    <mergeCell ref="Z77:AB77"/>
    <mergeCell ref="AC77:AF77"/>
    <mergeCell ref="O78:S78"/>
    <mergeCell ref="T78:V78"/>
    <mergeCell ref="W78:Y78"/>
    <mergeCell ref="Z78:AB78"/>
    <mergeCell ref="AC78:AF78"/>
    <mergeCell ref="O79:S79"/>
    <mergeCell ref="T79:V79"/>
    <mergeCell ref="W79:Y79"/>
    <mergeCell ref="Z79:AB79"/>
    <mergeCell ref="AC79:AF79"/>
    <mergeCell ref="O80:S80"/>
    <mergeCell ref="T80:V80"/>
    <mergeCell ref="W80:Y80"/>
    <mergeCell ref="Z80:AB80"/>
    <mergeCell ref="AC80:AF80"/>
    <mergeCell ref="O81:S81"/>
    <mergeCell ref="T81:V81"/>
    <mergeCell ref="W81:Y81"/>
    <mergeCell ref="Z81:AB81"/>
    <mergeCell ref="AC81:AF81"/>
    <mergeCell ref="O82:S82"/>
    <mergeCell ref="T82:V82"/>
    <mergeCell ref="W82:Y82"/>
    <mergeCell ref="Z82:AB82"/>
    <mergeCell ref="AC82:AF82"/>
    <mergeCell ref="O83:S83"/>
    <mergeCell ref="T83:V83"/>
    <mergeCell ref="W83:Y83"/>
    <mergeCell ref="Z83:AB83"/>
    <mergeCell ref="AC83:AF83"/>
    <mergeCell ref="O84:S84"/>
    <mergeCell ref="T84:V84"/>
    <mergeCell ref="W84:Y84"/>
    <mergeCell ref="Z84:AB84"/>
    <mergeCell ref="AC84:AF84"/>
    <mergeCell ref="O86:AF88"/>
  </mergeCells>
  <conditionalFormatting sqref="B26:P39">
    <cfRule type="notContainsBlanks" dxfId="2" priority="1">
      <formula>LEN(TRIM(B26))&gt;0</formula>
    </cfRule>
  </conditionalFormatting>
  <pageMargins left="0.15" right="0.15" top="0.2" bottom="0.2" header="0.3" footer="0.3"/>
  <pageSetup paperSize="9" fitToHeight="0" orientation="landscape"/>
  <rowBreaks count="1" manualBreakCount="1">
    <brk id="44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7B900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2"/>
      <c r="B2" s="3" t="s">
        <v>3121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3.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3.5" customHeight="1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3.5" customHeight="1">
      <c r="A5" s="2"/>
      <c r="B5" s="1" t="s">
        <v>3122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3.5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3.5" customHeight="1">
      <c r="A7" s="2"/>
    </row>
    <row r="8" spans="1:32" ht="13.5" customHeight="1">
      <c r="A8" s="2"/>
      <c r="B8" s="4" t="s">
        <v>3093</v>
      </c>
      <c r="C8" s="4"/>
      <c r="D8" s="4"/>
      <c r="E8" s="4"/>
      <c r="F8" s="4"/>
      <c r="G8" s="4"/>
      <c r="H8" s="4" t="s">
        <v>3098</v>
      </c>
      <c r="I8" s="4"/>
      <c r="J8" s="4"/>
      <c r="K8" s="4" t="s">
        <v>27</v>
      </c>
      <c r="L8" s="4"/>
      <c r="M8" s="4"/>
      <c r="N8" s="4" t="s">
        <v>3094</v>
      </c>
      <c r="O8" s="4"/>
      <c r="P8" s="4"/>
    </row>
    <row r="9" spans="1:32" ht="13.5" customHeight="1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2" ht="13.5" customHeight="1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32" ht="13.5" customHeight="1">
      <c r="A11" s="2"/>
      <c r="B11" s="5" t="s">
        <v>58</v>
      </c>
      <c r="C11" s="5"/>
      <c r="D11" s="5"/>
      <c r="E11" s="5"/>
      <c r="F11" s="5"/>
      <c r="G11" s="5"/>
      <c r="H11" s="6">
        <f>IF(ISNUMBER('GraphData'!B52),'GraphData'!B52,"n.d.")</f>
        <v>1787812.0</v>
      </c>
      <c r="I11" s="6"/>
      <c r="J11" s="6"/>
      <c r="K11" s="6">
        <f>IF(ISNUMBER('GraphData'!C52),'GraphData'!C52,"n.d.")</f>
        <v>1793165.0</v>
      </c>
      <c r="L11" s="6"/>
      <c r="M11" s="6"/>
      <c r="N11" s="7">
        <f>IF(ISNUMBER('GraphData'!D52),'GraphData'!D52,"n.d.")</f>
        <v>0.0029941626971963496</v>
      </c>
      <c r="O11" s="7"/>
      <c r="P11" s="7"/>
    </row>
    <row r="12" spans="1:32" ht="13.5" customHeight="1">
      <c r="A12" s="2"/>
      <c r="B12" s="5" t="s">
        <v>3092</v>
      </c>
      <c r="C12" s="5"/>
      <c r="D12" s="5"/>
      <c r="E12" s="5"/>
      <c r="F12" s="5"/>
      <c r="G12" s="5"/>
      <c r="H12" s="6">
        <f>IF(ISNUMBER('GraphData'!B53),'GraphData'!B53,"n.d.")</f>
        <v>3485465.29</v>
      </c>
      <c r="I12" s="6"/>
      <c r="J12" s="6"/>
      <c r="K12" s="6">
        <f>IF(ISNUMBER('GraphData'!C53),'GraphData'!C53,"n.d.")</f>
        <v>2793036.0</v>
      </c>
      <c r="L12" s="6"/>
      <c r="M12" s="6"/>
      <c r="N12" s="7">
        <f>IF(ISNUMBER('GraphData'!D53),'GraphData'!D53,"n.d.")</f>
        <v>-0.1986619381884592</v>
      </c>
      <c r="O12" s="7"/>
      <c r="P12" s="7"/>
    </row>
    <row r="13" spans="1:32" ht="13.5" customHeight="1">
      <c r="A13" s="2"/>
      <c r="B13" s="5" t="s">
        <v>49</v>
      </c>
      <c r="C13" s="5"/>
      <c r="D13" s="5"/>
      <c r="E13" s="5"/>
      <c r="F13" s="5"/>
      <c r="G13" s="5"/>
      <c r="H13" s="6">
        <f>IF(ISNUMBER('GraphData'!B54),'GraphData'!B54,"n.d.")</f>
        <v>136664.0</v>
      </c>
      <c r="I13" s="6"/>
      <c r="J13" s="6"/>
      <c r="K13" s="6">
        <f>IF(ISNUMBER('GraphData'!C54),'GraphData'!C54,"n.d.")</f>
        <v>147601.0</v>
      </c>
      <c r="L13" s="6"/>
      <c r="M13" s="6"/>
      <c r="N13" s="7">
        <f>IF(ISNUMBER('GraphData'!D54),'GraphData'!D54,"n.d.")</f>
        <v>0.08002839079786922</v>
      </c>
      <c r="O13" s="7"/>
      <c r="P13" s="7"/>
    </row>
    <row r="14" spans="1:32" ht="13.5" customHeight="1">
      <c r="A14" s="2"/>
      <c r="B14" s="5" t="s">
        <v>73</v>
      </c>
      <c r="C14" s="5"/>
      <c r="D14" s="5"/>
      <c r="E14" s="5"/>
      <c r="F14" s="5"/>
      <c r="G14" s="5"/>
      <c r="H14" s="6">
        <f>IF(ISNUMBER('GraphData'!B55),'GraphData'!B55,"n.d.")</f>
        <v>3023244.0</v>
      </c>
      <c r="I14" s="6"/>
      <c r="J14" s="6"/>
      <c r="K14" s="6">
        <f>IF(ISNUMBER('GraphData'!C55),'GraphData'!C55,"n.d.")</f>
        <v>3434403.0</v>
      </c>
      <c r="L14" s="6"/>
      <c r="M14" s="6"/>
      <c r="N14" s="7">
        <f>IF(ISNUMBER('GraphData'!D55),'GraphData'!D55,"n.d.")</f>
        <v>0.13599927759717706</v>
      </c>
      <c r="O14" s="7"/>
      <c r="P14" s="7"/>
    </row>
    <row r="15" spans="1:32" ht="13.5" customHeight="1">
      <c r="A15" s="2"/>
      <c r="B15" s="5" t="s">
        <v>78</v>
      </c>
      <c r="C15" s="5"/>
      <c r="D15" s="5"/>
      <c r="E15" s="5"/>
      <c r="F15" s="5"/>
      <c r="G15" s="5"/>
      <c r="H15" s="6">
        <f>IF(ISNUMBER('GraphData'!B56),'GraphData'!B56,"n.d.")</f>
        <v>593413.0</v>
      </c>
      <c r="I15" s="6"/>
      <c r="J15" s="6"/>
      <c r="K15" s="6">
        <f>IF(ISNUMBER('GraphData'!C56),'GraphData'!C56,"n.d.")</f>
        <v>607594.0</v>
      </c>
      <c r="L15" s="6"/>
      <c r="M15" s="6"/>
      <c r="N15" s="7">
        <f>IF(ISNUMBER('GraphData'!D56),'GraphData'!D56,"n.d.")</f>
        <v>0.023897353108206256</v>
      </c>
      <c r="O15" s="7"/>
      <c r="P15" s="7"/>
    </row>
    <row r="16" spans="1:32" ht="13.5" customHeight="1">
      <c r="A16" s="2"/>
      <c r="B16" s="5" t="s">
        <v>63</v>
      </c>
      <c r="C16" s="5"/>
      <c r="D16" s="5"/>
      <c r="E16" s="5"/>
      <c r="F16" s="5"/>
      <c r="G16" s="5"/>
      <c r="H16" s="6">
        <f>IF(ISNUMBER('GraphData'!B57),'GraphData'!B57,"n.d.")</f>
        <v>3317587.0</v>
      </c>
      <c r="I16" s="6"/>
      <c r="J16" s="6"/>
      <c r="K16" s="6">
        <f>IF(ISNUMBER('GraphData'!C57),'GraphData'!C57,"n.d.")</f>
        <v>2998937.0</v>
      </c>
      <c r="L16" s="6"/>
      <c r="M16" s="6"/>
      <c r="N16" s="7">
        <f>IF(ISNUMBER('GraphData'!D57),'GraphData'!D57,"n.d.")</f>
        <v>-0.0960487245699962</v>
      </c>
      <c r="O16" s="7"/>
      <c r="P16" s="7"/>
    </row>
    <row r="17" spans="1:16" ht="13.5" customHeight="1">
      <c r="A17" s="2"/>
      <c r="B17" s="5" t="s">
        <v>82</v>
      </c>
      <c r="C17" s="5"/>
      <c r="D17" s="5"/>
      <c r="E17" s="5"/>
      <c r="F17" s="5"/>
      <c r="G17" s="5"/>
      <c r="H17" s="6">
        <f>IF(ISNUMBER('GraphData'!B58),'GraphData'!B58,"n.d.")</f>
        <v>2860611.2859695945</v>
      </c>
      <c r="I17" s="6"/>
      <c r="J17" s="6"/>
      <c r="K17" s="6">
        <f>IF(ISNUMBER('GraphData'!C58),'GraphData'!C58,"n.d.")</f>
        <v>3483914.102135074</v>
      </c>
      <c r="L17" s="6"/>
      <c r="M17" s="6"/>
      <c r="N17" s="7">
        <f>IF(ISNUMBER('GraphData'!D58),'GraphData'!D58,"n.d.")</f>
        <v>0.21789147628081632</v>
      </c>
      <c r="O17" s="7"/>
      <c r="P17" s="7"/>
    </row>
    <row r="18" spans="1:16" ht="13.5" customHeight="1">
      <c r="A18" s="2"/>
      <c r="B18" s="5" t="s">
        <v>112</v>
      </c>
      <c r="C18" s="5"/>
      <c r="D18" s="5"/>
      <c r="E18" s="5"/>
      <c r="F18" s="5"/>
      <c r="G18" s="5"/>
      <c r="H18" s="6">
        <f>IF(ISNUMBER('GraphData'!B59),'GraphData'!B59,"n.d.")</f>
        <v>1918750.9251320725</v>
      </c>
      <c r="I18" s="6"/>
      <c r="J18" s="6"/>
      <c r="K18" s="6">
        <f>IF(ISNUMBER('GraphData'!C59),'GraphData'!C59,"n.d.")</f>
        <v>2048298.5804297782</v>
      </c>
      <c r="L18" s="6"/>
      <c r="M18" s="6"/>
      <c r="N18" s="7">
        <f>IF(ISNUMBER('GraphData'!D59),'GraphData'!D59,"n.d.")</f>
        <v>0.06751666076136931</v>
      </c>
      <c r="O18" s="7"/>
      <c r="P18" s="7"/>
    </row>
    <row r="19" spans="1:16" ht="13.5" customHeight="1">
      <c r="A19" s="2"/>
      <c r="B19" s="8" t="s">
        <v>3095</v>
      </c>
      <c r="C19" s="8"/>
      <c r="D19" s="8"/>
      <c r="E19" s="8"/>
      <c r="F19" s="8"/>
      <c r="G19" s="8"/>
      <c r="H19" s="8">
        <f>IF(COUNT(H11:H18)=8,SUM(H11:H18),"n.d.")</f>
        <v>17123547.501101665</v>
      </c>
      <c r="I19" s="8"/>
      <c r="J19" s="8"/>
      <c r="K19" s="8">
        <f>IF(COUNT(K11:K18)=8,SUM(K11:K18),"n.d.")</f>
        <v>17306948.68256485</v>
      </c>
      <c r="L19" s="8"/>
      <c r="M19" s="8"/>
      <c r="N19" s="9">
        <f>IF(OR(COUNT(H19,K19)&lt;&gt;2,H19=0),"n.d.",K19/H19-1)</f>
        <v>0.010710466476142653</v>
      </c>
      <c r="O19" s="9"/>
      <c r="P19" s="9"/>
    </row>
    <row r="20" spans="1:16" ht="13.5" customHeight="1">
      <c r="A20" s="2"/>
    </row>
    <row r="21" spans="1:16" ht="13.5" customHeight="1">
      <c r="A21" s="2"/>
    </row>
    <row r="22" spans="1:16" ht="13.5" customHeight="1">
      <c r="A22" s="2"/>
    </row>
    <row r="23" spans="1:16" ht="13.5" customHeight="1">
      <c r="A23" s="2"/>
    </row>
    <row r="24" spans="1:16" ht="13.5" customHeight="1">
      <c r="A24" s="2"/>
      <c r="B24" s="10" t="s">
        <v>3099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ht="13.5" customHeight="1">
      <c r="A25" s="2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ht="13.5" customHeight="1">
      <c r="A26" s="2"/>
      <c r="B26" s="10" t="s">
        <v>3100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13.5" customHeight="1">
      <c r="A27" s="2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ht="13.5" customHeight="1">
      <c r="A28" s="2"/>
    </row>
    <row r="29" spans="1:16" ht="13.5" customHeight="1">
      <c r="A29" s="2"/>
    </row>
    <row r="30" spans="1:16" ht="13.5" customHeight="1">
      <c r="A30" s="2"/>
    </row>
    <row r="31" spans="1:16" ht="13.5" customHeight="1">
      <c r="A31" s="2"/>
    </row>
    <row r="32" spans="1:16" ht="13.5" customHeight="1">
      <c r="A32" s="2"/>
    </row>
    <row r="33" spans="1:32" ht="13.5" customHeight="1">
      <c r="A33" s="2"/>
    </row>
    <row r="34" spans="1:32" ht="13.5" customHeight="1">
      <c r="A34" s="2"/>
    </row>
    <row r="35" spans="1:32" ht="13.5" customHeight="1">
      <c r="A35" s="2"/>
    </row>
    <row r="36" spans="1:32" ht="13.5" customHeight="1">
      <c r="A36" s="2"/>
    </row>
    <row r="37" spans="1:32" ht="13.5" customHeight="1">
      <c r="A37" s="2"/>
    </row>
    <row r="38" spans="1:32" ht="13.5" customHeight="1">
      <c r="A38" s="2"/>
    </row>
    <row r="39" spans="1:32" ht="13.5" customHeight="1">
      <c r="A39" s="2"/>
    </row>
    <row r="40" spans="1:32" ht="13.5" customHeight="1">
      <c r="A40" s="2"/>
    </row>
    <row r="41" spans="1:32" ht="13.5" customHeight="1">
      <c r="A41" s="2"/>
    </row>
    <row r="42" spans="1:32" ht="13.5" customHeight="1">
      <c r="A42" s="2"/>
      <c r="B42" s="11" t="s">
        <v>3079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45">
    <mergeCell ref="B2:AF4"/>
    <mergeCell ref="B42:AF42"/>
    <mergeCell ref="B5:AF6"/>
    <mergeCell ref="B8:G10"/>
    <mergeCell ref="H8:J10"/>
    <mergeCell ref="K8:M10"/>
    <mergeCell ref="N8:P10"/>
    <mergeCell ref="B11:G11"/>
    <mergeCell ref="H11:J11"/>
    <mergeCell ref="K11:M11"/>
    <mergeCell ref="N11:P11"/>
    <mergeCell ref="B12:G12"/>
    <mergeCell ref="H12:J12"/>
    <mergeCell ref="K12:M12"/>
    <mergeCell ref="N12:P12"/>
    <mergeCell ref="B13:G13"/>
    <mergeCell ref="H13:J13"/>
    <mergeCell ref="K13:M13"/>
    <mergeCell ref="N13:P13"/>
    <mergeCell ref="B14:G14"/>
    <mergeCell ref="H14:J14"/>
    <mergeCell ref="K14:M14"/>
    <mergeCell ref="N14:P14"/>
    <mergeCell ref="B15:G15"/>
    <mergeCell ref="H15:J15"/>
    <mergeCell ref="K15:M15"/>
    <mergeCell ref="N15:P15"/>
    <mergeCell ref="B16:G16"/>
    <mergeCell ref="H16:J16"/>
    <mergeCell ref="K16:M16"/>
    <mergeCell ref="N16:P16"/>
    <mergeCell ref="B17:G17"/>
    <mergeCell ref="H17:J17"/>
    <mergeCell ref="K17:M17"/>
    <mergeCell ref="N17:P17"/>
    <mergeCell ref="B18:G18"/>
    <mergeCell ref="H18:J18"/>
    <mergeCell ref="K18:M18"/>
    <mergeCell ref="N18:P18"/>
    <mergeCell ref="B19:G19"/>
    <mergeCell ref="H19:J19"/>
    <mergeCell ref="K19:M19"/>
    <mergeCell ref="N19:P19"/>
    <mergeCell ref="B24:P25"/>
    <mergeCell ref="B26:P27"/>
  </mergeCells>
  <conditionalFormatting sqref="B24:P39">
    <cfRule type="notContainsBlanks" dxfId="2" priority="1">
      <formula>LEN(TRIM(B24))&gt;0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7B900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1" width="6" customWidth="1"/>
    <col min="32" max="32" width="11.28515625" customWidth="1"/>
  </cols>
  <sheetData>
    <row r="2" spans="1:32" ht="13.5" customHeight="1">
      <c r="A2" s="2"/>
      <c r="B2" s="3" t="s">
        <v>3124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3.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3.5" customHeight="1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3.5" customHeight="1">
      <c r="A5" s="2"/>
      <c r="B5" s="1" t="s">
        <v>3125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3.5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3.5" customHeight="1">
      <c r="A7" s="2"/>
    </row>
    <row r="8" spans="1:32" ht="13.5" customHeight="1">
      <c r="A8" s="2"/>
      <c r="O8" s="4" t="s">
        <v>1165</v>
      </c>
      <c r="P8" s="4"/>
      <c r="Q8" s="4"/>
      <c r="R8" s="4"/>
      <c r="S8" s="4"/>
      <c r="T8" s="4" t="s">
        <v>3116</v>
      </c>
      <c r="U8" s="4"/>
      <c r="V8" s="4" t="s">
        <v>3105</v>
      </c>
      <c r="W8" s="4"/>
      <c r="X8" s="4" t="s">
        <v>3106</v>
      </c>
      <c r="Y8" s="4"/>
      <c r="Z8" s="4" t="s">
        <v>3107</v>
      </c>
      <c r="AA8" s="4"/>
      <c r="AB8" s="4" t="s">
        <v>3108</v>
      </c>
      <c r="AC8" s="4"/>
      <c r="AD8" s="4" t="s">
        <v>3109</v>
      </c>
      <c r="AE8" s="4"/>
      <c r="AF8" s="4" t="s">
        <v>3110</v>
      </c>
    </row>
    <row r="9" spans="1:32" ht="13.5" customHeight="1">
      <c r="A9" s="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3.5" customHeight="1">
      <c r="A10" s="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3.5" customHeight="1">
      <c r="A11" s="2"/>
      <c r="O11" s="8" t="s">
        <v>3117</v>
      </c>
      <c r="P11" s="8"/>
      <c r="Q11" s="8"/>
      <c r="R11" s="8"/>
      <c r="S11" s="8"/>
      <c r="T11" s="8">
        <f>IF(COUNT(T12,T13,T14,T15,T16,T17,T18,T19)=8,SUM(T12,T13,T14,T15,T16,T17,T18,T19),"n.d.")</f>
        <v>9667521.6626864</v>
      </c>
      <c r="U11" s="8"/>
      <c r="V11" s="8">
        <f>IF(COUNT('GraphData'!B65,'GraphData'!C65,'GraphData'!D65,'GraphData'!E65,'GraphData'!F65,'GraphData'!G65,'GraphData'!H65,'GraphData'!I65)=8,SUM('GraphData'!B65,'GraphData'!C65,'GraphData'!D65,'GraphData'!E65,'GraphData'!F65,'GraphData'!G65,'GraphData'!H65,'GraphData'!I65),"n.d.")</f>
        <v>11746029.095936028</v>
      </c>
      <c r="W11" s="8"/>
      <c r="X11" s="8">
        <f>IF(COUNT('GraphData'!B66,'GraphData'!C66,'GraphData'!D66,'GraphData'!E66,'GraphData'!F66,'GraphData'!G66,'GraphData'!H66,'GraphData'!I66)=8,SUM('GraphData'!B66,'GraphData'!C66,'GraphData'!D66,'GraphData'!E66,'GraphData'!F66,'GraphData'!G66,'GraphData'!H66,'GraphData'!I66),"n.d.")</f>
        <v>10030751.183499487</v>
      </c>
      <c r="Y11" s="8"/>
      <c r="Z11" s="8">
        <f>IF(COUNT('GraphData'!B67,'GraphData'!C67,'GraphData'!D67,'GraphData'!E67,'GraphData'!F67,'GraphData'!G67,'GraphData'!H67,'GraphData'!I67)=8,SUM('GraphData'!B67,'GraphData'!C67,'GraphData'!D67,'GraphData'!E67,'GraphData'!F67,'GraphData'!G67,'GraphData'!H67,'GraphData'!I67),"n.d.")</f>
        <v>10554155.767126063</v>
      </c>
      <c r="AA11" s="8"/>
      <c r="AB11" s="8">
        <f>IF(COUNT('GraphData'!B68,'GraphData'!C68,'GraphData'!D68,'GraphData'!E68,'GraphData'!F68,'GraphData'!G68,'GraphData'!H68,'GraphData'!I68)=8,SUM('GraphData'!B68,'GraphData'!C68,'GraphData'!D68,'GraphData'!E68,'GraphData'!F68,'GraphData'!G68,'GraphData'!H68,'GraphData'!I68),"n.d.")</f>
        <v>9846527.426004793</v>
      </c>
      <c r="AC11" s="8"/>
      <c r="AD11" s="8">
        <f>IF(COUNT('GraphData'!B69,'GraphData'!C69,'GraphData'!D69,'GraphData'!E69,'GraphData'!F69,'GraphData'!G69,'GraphData'!H69,'GraphData'!I69)=8,SUM('GraphData'!B69,'GraphData'!C69,'GraphData'!D69,'GraphData'!E69,'GraphData'!F69,'GraphData'!G69,'GraphData'!H69,'GraphData'!I69),"n.d.")</f>
        <v>7445973.309908458</v>
      </c>
      <c r="AE11" s="8"/>
      <c r="AF11" s="8">
        <f>IF(COUNT('GraphData'!B70,'GraphData'!C70,'GraphData'!D70,'GraphData'!E70,'GraphData'!F70,'GraphData'!G70,'GraphData'!H70,'GraphData'!I70)=8,SUM('GraphData'!B70,'GraphData'!C70,'GraphData'!D70,'GraphData'!E70,'GraphData'!F70,'GraphData'!G70,'GraphData'!H70,'GraphData'!I70),"n.d.")</f>
        <v>8381693.1936435755</v>
      </c>
    </row>
    <row r="12" spans="1:32" ht="13.5" customHeight="1">
      <c r="A12" s="2"/>
      <c r="O12" s="5" t="s">
        <v>58</v>
      </c>
      <c r="P12" s="5"/>
      <c r="Q12" s="5"/>
      <c r="R12" s="5"/>
      <c r="S12" s="5"/>
      <c r="T12" s="6">
        <f>IF(OR(COUNTIFS('Consolidation'!$A$6:$A$46,"2026Q3",'Consolidation'!$B$6:$B$46,"ES")&lt;&gt;1,COUNTIFS('Consolidation'!$A$6:$A$46,"2026Q3",'Consolidation'!$B$6:$B$46,"ES",'Consolidation'!$W$6:$W$46,"n.d.")&gt;0),"n.d.",SUMIFS('Consolidation'!$W$6:$W$46,'Consolidation'!$A$6:$A$46,"2026Q3",'Consolidation'!$B$6:$B$46,"ES"))</f>
        <v>3416903.3333333335</v>
      </c>
      <c r="U12" s="6"/>
      <c r="V12" s="6">
        <f>IF(ISNUMBER('GraphData'!B65),'GraphData'!B65,"n.d.")</f>
        <v>3475518.0</v>
      </c>
      <c r="W12" s="6"/>
      <c r="X12" s="6">
        <f>IF(ISNUMBER('GraphData'!B66),'GraphData'!B66,"n.d.")</f>
        <v>3162844.0</v>
      </c>
      <c r="Y12" s="6"/>
      <c r="Z12" s="6">
        <f>IF(ISNUMBER('GraphData'!B67),'GraphData'!B67,"n.d.")</f>
        <v>4107101.0</v>
      </c>
      <c r="AA12" s="6"/>
      <c r="AB12" s="6">
        <f>IF(ISNUMBER('GraphData'!B68),'GraphData'!B68,"n.d.")</f>
        <v>3892550.0</v>
      </c>
      <c r="AC12" s="6"/>
      <c r="AD12" s="6">
        <f>IF(ISNUMBER('GraphData'!B69),'GraphData'!B69,"n.d.")</f>
        <v>2506521.0</v>
      </c>
      <c r="AE12" s="6"/>
      <c r="AF12" s="6">
        <f>IF(ISNUMBER('GraphData'!B70),'GraphData'!B70,"n.d.")</f>
        <v>3356886.0</v>
      </c>
    </row>
    <row r="13" spans="1:32" ht="13.5" customHeight="1">
      <c r="A13" s="2"/>
      <c r="O13" s="5" t="s">
        <v>3092</v>
      </c>
      <c r="P13" s="5"/>
      <c r="Q13" s="5"/>
      <c r="R13" s="5"/>
      <c r="S13" s="5"/>
      <c r="T13" s="6">
        <f>IF(COUNT(IF(OR(COUNTIFS('Consolidation'!$A$6:$A$46,"2026Q3",'Consolidation'!$B$6:$B$46,"DE")&lt;&gt;1,COUNTIFS('Consolidation'!$A$6:$A$46,"2026Q3",'Consolidation'!$B$6:$B$46,"DE",'Consolidation'!$W$6:$W$46,"n.d.")&gt;0),"n.d.",SUMIFS('Consolidation'!$W$6:$W$46,'Consolidation'!$A$6:$A$46,"2026Q3",'Consolidation'!$B$6:$B$46,"DE")),IF(OR(COUNTIFS('Consolidation'!$A$6:$A$46,"2026Q3",'Consolidation'!$B$6:$B$46,"AT")&lt;&gt;1,COUNTIFS('Consolidation'!$A$6:$A$46,"2026Q3",'Consolidation'!$B$6:$B$46,"AT",'Consolidation'!$W$6:$W$46,"n.d.")&gt;0),"n.d.",SUMIFS('Consolidation'!$W$6:$W$46,'Consolidation'!$A$6:$A$46,"2026Q3",'Consolidation'!$B$6:$B$46,"AT")))=2,SUM(IF(OR(COUNTIFS('Consolidation'!$A$6:$A$46,"2026Q3",'Consolidation'!$B$6:$B$46,"DE")&lt;&gt;1,COUNTIFS('Consolidation'!$A$6:$A$46,"2026Q3",'Consolidation'!$B$6:$B$46,"DE",'Consolidation'!$W$6:$W$46,"n.d.")&gt;0),"n.d.",SUMIFS('Consolidation'!$W$6:$W$46,'Consolidation'!$A$6:$A$46,"2026Q3",'Consolidation'!$B$6:$B$46,"DE")),IF(OR(COUNTIFS('Consolidation'!$A$6:$A$46,"2026Q3",'Consolidation'!$B$6:$B$46,"AT")&lt;&gt;1,COUNTIFS('Consolidation'!$A$6:$A$46,"2026Q3",'Consolidation'!$B$6:$B$46,"AT",'Consolidation'!$W$6:$W$46,"n.d.")&gt;0),"n.d.",SUMIFS('Consolidation'!$W$6:$W$46,'Consolidation'!$A$6:$A$46,"2026Q3",'Consolidation'!$B$6:$B$46,"AT"))),"n.d.")</f>
        <v>843920.0</v>
      </c>
      <c r="U13" s="6"/>
      <c r="V13" s="6">
        <f>IF(ISNUMBER('GraphData'!C65),'GraphData'!C65,"n.d.")</f>
        <v>781466.0</v>
      </c>
      <c r="W13" s="6"/>
      <c r="X13" s="6">
        <f>IF(ISNUMBER('GraphData'!C66),'GraphData'!C66,"n.d.")</f>
        <v>689718.0</v>
      </c>
      <c r="Y13" s="6"/>
      <c r="Z13" s="6">
        <f>IF(ISNUMBER('GraphData'!C67),'GraphData'!C67,"n.d.")</f>
        <v>808135.0</v>
      </c>
      <c r="AA13" s="6"/>
      <c r="AB13" s="6">
        <f>IF(ISNUMBER('GraphData'!C68),'GraphData'!C68,"n.d.")</f>
        <v>954954.0</v>
      </c>
      <c r="AC13" s="6"/>
      <c r="AD13" s="6">
        <f>IF(ISNUMBER('GraphData'!C69),'GraphData'!C69,"n.d.")</f>
        <v>977254.0</v>
      </c>
      <c r="AE13" s="6"/>
      <c r="AF13" s="6">
        <f>IF(ISNUMBER('GraphData'!C70),'GraphData'!C70,"n.d.")</f>
        <v>851993.0</v>
      </c>
    </row>
    <row r="14" spans="1:32" ht="13.5" customHeight="1">
      <c r="A14" s="2"/>
      <c r="O14" s="5" t="s">
        <v>49</v>
      </c>
      <c r="P14" s="5"/>
      <c r="Q14" s="5"/>
      <c r="R14" s="5"/>
      <c r="S14" s="5"/>
      <c r="T14" s="6">
        <f>IF(OR(COUNTIFS('Consolidation'!$A$6:$A$46,"2026Q3",'Consolidation'!$B$6:$B$46,"BE")&lt;&gt;1,COUNTIFS('Consolidation'!$A$6:$A$46,"2026Q3",'Consolidation'!$B$6:$B$46,"BE",'Consolidation'!$W$6:$W$46,"n.d.")&gt;0),"n.d.",SUMIFS('Consolidation'!$W$6:$W$46,'Consolidation'!$A$6:$A$46,"2026Q3",'Consolidation'!$B$6:$B$46,"BE"))</f>
        <v>86982.16666666667</v>
      </c>
      <c r="U14" s="6"/>
      <c r="V14" s="6">
        <f>IF(ISNUMBER('GraphData'!D65),'GraphData'!D65,"n.d.")</f>
        <v>105005.0</v>
      </c>
      <c r="W14" s="6"/>
      <c r="X14" s="6">
        <f>IF(ISNUMBER('GraphData'!D66),'GraphData'!D66,"n.d.")</f>
        <v>68164.0</v>
      </c>
      <c r="Y14" s="6"/>
      <c r="Z14" s="6">
        <f>IF(ISNUMBER('GraphData'!D67),'GraphData'!D67,"n.d.")</f>
        <v>104341.0</v>
      </c>
      <c r="AA14" s="6"/>
      <c r="AB14" s="6">
        <f>IF(ISNUMBER('GraphData'!D68),'GraphData'!D68,"n.d.")</f>
        <v>71809.0</v>
      </c>
      <c r="AC14" s="6"/>
      <c r="AD14" s="6">
        <f>IF(ISNUMBER('GraphData'!D69),'GraphData'!D69,"n.d.")</f>
        <v>119870.0</v>
      </c>
      <c r="AE14" s="6"/>
      <c r="AF14" s="6">
        <f>IF(ISNUMBER('GraphData'!D70),'GraphData'!D70,"n.d.")</f>
        <v>52704.0</v>
      </c>
    </row>
    <row r="15" spans="1:32" ht="13.5" customHeight="1">
      <c r="A15" s="2"/>
      <c r="O15" s="5" t="s">
        <v>73</v>
      </c>
      <c r="P15" s="5"/>
      <c r="Q15" s="5"/>
      <c r="R15" s="5"/>
      <c r="S15" s="5"/>
      <c r="T15" s="6">
        <f>IF(OR(COUNTIFS('Consolidation'!$A$6:$A$46,"2026Q3",'Consolidation'!$B$6:$B$46,"IT")&lt;&gt;1,COUNTIFS('Consolidation'!$A$6:$A$46,"2026Q3",'Consolidation'!$B$6:$B$46,"IT",'Consolidation'!$W$6:$W$46,"n.d.")&gt;0),"n.d.",SUMIFS('Consolidation'!$W$6:$W$46,'Consolidation'!$A$6:$A$46,"2026Q3",'Consolidation'!$B$6:$B$46,"IT"))</f>
        <v>1092477.8333333333</v>
      </c>
      <c r="U15" s="6"/>
      <c r="V15" s="6">
        <f>IF(ISNUMBER('GraphData'!E65),'GraphData'!E65,"n.d.")</f>
        <v>1199204.0</v>
      </c>
      <c r="W15" s="6"/>
      <c r="X15" s="6">
        <f>IF(ISNUMBER('GraphData'!E66),'GraphData'!E66,"n.d.")</f>
        <v>1425617.0</v>
      </c>
      <c r="Y15" s="6"/>
      <c r="Z15" s="6">
        <f>IF(ISNUMBER('GraphData'!E67),'GraphData'!E67,"n.d.")</f>
        <v>977488.0</v>
      </c>
      <c r="AA15" s="6"/>
      <c r="AB15" s="6">
        <f>IF(ISNUMBER('GraphData'!E68),'GraphData'!E68,"n.d.")</f>
        <v>1234017.0</v>
      </c>
      <c r="AC15" s="6"/>
      <c r="AD15" s="6">
        <f>IF(ISNUMBER('GraphData'!E69),'GraphData'!E69,"n.d.")</f>
        <v>898183.0</v>
      </c>
      <c r="AE15" s="6"/>
      <c r="AF15" s="6">
        <f>IF(ISNUMBER('GraphData'!E70),'GraphData'!E70,"n.d.")</f>
        <v>820358.0</v>
      </c>
    </row>
    <row r="16" spans="1:32" ht="13.5" customHeight="1">
      <c r="A16" s="2"/>
      <c r="O16" s="5" t="s">
        <v>78</v>
      </c>
      <c r="P16" s="5"/>
      <c r="Q16" s="5"/>
      <c r="R16" s="5"/>
      <c r="S16" s="5"/>
      <c r="T16" s="6">
        <f>IF(OR(COUNTIFS('Consolidation'!$A$6:$A$46,"2026Q3",'Consolidation'!$B$6:$B$46,"PT")&lt;&gt;1,COUNTIFS('Consolidation'!$A$6:$A$46,"2026Q3",'Consolidation'!$B$6:$B$46,"PT",'Consolidation'!$W$6:$W$46,"n.d.")&gt;0),"n.d.",SUMIFS('Consolidation'!$W$6:$W$46,'Consolidation'!$A$6:$A$46,"2026Q3",'Consolidation'!$B$6:$B$46,"PT"))</f>
        <v>2355231.6666666665</v>
      </c>
      <c r="U16" s="6"/>
      <c r="V16" s="6">
        <f>IF(ISNUMBER('GraphData'!F65),'GraphData'!F65,"n.d.")</f>
        <v>4060466.0</v>
      </c>
      <c r="W16" s="6"/>
      <c r="X16" s="6">
        <f>IF(ISNUMBER('GraphData'!F66),'GraphData'!F66,"n.d.")</f>
        <v>3650675.0</v>
      </c>
      <c r="Y16" s="6"/>
      <c r="Z16" s="6">
        <f>IF(ISNUMBER('GraphData'!F67),'GraphData'!F67,"n.d.")</f>
        <v>2534318.0</v>
      </c>
      <c r="AA16" s="6"/>
      <c r="AB16" s="6">
        <f>IF(ISNUMBER('GraphData'!F68),'GraphData'!F68,"n.d.")</f>
        <v>1649935.0</v>
      </c>
      <c r="AC16" s="6"/>
      <c r="AD16" s="6">
        <f>IF(ISNUMBER('GraphData'!F69),'GraphData'!F69,"n.d.")</f>
        <v>1234586.0</v>
      </c>
      <c r="AE16" s="6"/>
      <c r="AF16" s="6">
        <f>IF(ISNUMBER('GraphData'!F70),'GraphData'!F70,"n.d.")</f>
        <v>1001410.0</v>
      </c>
    </row>
    <row r="17" spans="1:32" ht="13.5" customHeight="1">
      <c r="A17" s="2"/>
      <c r="O17" s="5" t="s">
        <v>63</v>
      </c>
      <c r="P17" s="5"/>
      <c r="Q17" s="5"/>
      <c r="R17" s="5"/>
      <c r="S17" s="5"/>
      <c r="T17" s="6">
        <f>IF(OR(COUNTIFS('Consolidation'!$A$6:$A$46,"2026Q3",'Consolidation'!$B$6:$B$46,"FR")&lt;&gt;1,COUNTIFS('Consolidation'!$A$6:$A$46,"2026Q3",'Consolidation'!$B$6:$B$46,"FR",'Consolidation'!$W$6:$W$46,"n.d.")&gt;0),"n.d.",SUMIFS('Consolidation'!$W$6:$W$46,'Consolidation'!$A$6:$A$46,"2026Q3",'Consolidation'!$B$6:$B$46,"FR"))</f>
        <v>1454671.6666666667</v>
      </c>
      <c r="U17" s="6"/>
      <c r="V17" s="6">
        <f>IF(ISNUMBER('GraphData'!G65),'GraphData'!G65,"n.d.")</f>
        <v>1825315.0</v>
      </c>
      <c r="W17" s="6"/>
      <c r="X17" s="6">
        <f>IF(ISNUMBER('GraphData'!G66),'GraphData'!G66,"n.d.")</f>
        <v>678076.0</v>
      </c>
      <c r="Y17" s="6"/>
      <c r="Z17" s="6">
        <f>IF(ISNUMBER('GraphData'!G67),'GraphData'!G67,"n.d.")</f>
        <v>1738908.0</v>
      </c>
      <c r="AA17" s="6"/>
      <c r="AB17" s="6">
        <f>IF(ISNUMBER('GraphData'!G68),'GraphData'!G68,"n.d.")</f>
        <v>1680101.0</v>
      </c>
      <c r="AC17" s="6"/>
      <c r="AD17" s="6">
        <f>IF(ISNUMBER('GraphData'!G69),'GraphData'!G69,"n.d.")</f>
        <v>1332153.0</v>
      </c>
      <c r="AE17" s="6"/>
      <c r="AF17" s="6">
        <f>IF(ISNUMBER('GraphData'!G70),'GraphData'!G70,"n.d.")</f>
        <v>1473477.0</v>
      </c>
    </row>
    <row r="18" spans="1:32" ht="13.5" customHeight="1">
      <c r="A18" s="2"/>
      <c r="O18" s="5" t="s">
        <v>82</v>
      </c>
      <c r="P18" s="5"/>
      <c r="Q18" s="5"/>
      <c r="R18" s="5"/>
      <c r="S18" s="5"/>
      <c r="T18" s="6">
        <f>IF(OR(COUNTIFS('Consolidation'!$A$6:$A$46,"2026Q3",'Consolidation'!$B$6:$B$46,"UK")&lt;&gt;1,COUNTIFS('Consolidation'!$A$6:$A$46,"2026Q3",'Consolidation'!$B$6:$B$46,"UK",'Consolidation'!$W$6:$W$46,"n.d.")&gt;0),"n.d.",SUMIFS('Consolidation'!$W$6:$W$46,'Consolidation'!$A$6:$A$46,"2026Q3",'Consolidation'!$B$6:$B$46,"UK"))</f>
        <v>211307.18130173243</v>
      </c>
      <c r="U18" s="6"/>
      <c r="V18" s="6">
        <f>IF(ISNUMBER('GraphData'!H65),'GraphData'!H65,"n.d.")</f>
        <v>120964.31436859925</v>
      </c>
      <c r="W18" s="6"/>
      <c r="X18" s="6">
        <f>IF(ISNUMBER('GraphData'!H66),'GraphData'!H66,"n.d.")</f>
        <v>170612.39652958023</v>
      </c>
      <c r="Y18" s="6"/>
      <c r="Z18" s="6">
        <f>IF(ISNUMBER('GraphData'!H67),'GraphData'!H67,"n.d.")</f>
        <v>93546.15777669192</v>
      </c>
      <c r="AA18" s="6"/>
      <c r="AB18" s="6">
        <f>IF(ISNUMBER('GraphData'!H68),'GraphData'!H68,"n.d.")</f>
        <v>134405.9641085598</v>
      </c>
      <c r="AC18" s="6"/>
      <c r="AD18" s="6">
        <f>IF(ISNUMBER('GraphData'!H69),'GraphData'!H69,"n.d.")</f>
        <v>157081.79899856725</v>
      </c>
      <c r="AE18" s="6"/>
      <c r="AF18" s="6">
        <f>IF(ISNUMBER('GraphData'!H70),'GraphData'!H70,"n.d.")</f>
        <v>591232.4560283961</v>
      </c>
    </row>
    <row r="19" spans="1:32" ht="13.5" customHeight="1">
      <c r="A19" s="2"/>
      <c r="O19" s="5" t="s">
        <v>112</v>
      </c>
      <c r="P19" s="5"/>
      <c r="Q19" s="5"/>
      <c r="R19" s="5"/>
      <c r="S19" s="5"/>
      <c r="T19" s="6">
        <f>IF(OR(COUNTIFS('Consolidation'!$A$6:$A$46,"2026Q3",'Consolidation'!$B$6:$B$46,"ZA")&lt;&gt;1,COUNTIFS('Consolidation'!$A$6:$A$46,"2026Q3",'Consolidation'!$B$6:$B$46,"ZA",'Consolidation'!$W$6:$W$46,"n.d.")&gt;0),"n.d.",SUMIFS('Consolidation'!$W$6:$W$46,'Consolidation'!$A$6:$A$46,"2026Q3",'Consolidation'!$B$6:$B$46,"ZA"))</f>
        <v>206027.81471800187</v>
      </c>
      <c r="U19" s="6"/>
      <c r="V19" s="6">
        <f>IF(ISNUMBER('GraphData'!I65),'GraphData'!I65,"n.d.")</f>
        <v>178090.78156742858</v>
      </c>
      <c r="W19" s="6"/>
      <c r="X19" s="6">
        <f>IF(ISNUMBER('GraphData'!I66),'GraphData'!I66,"n.d.")</f>
        <v>185044.78696990738</v>
      </c>
      <c r="Y19" s="6"/>
      <c r="Z19" s="6">
        <f>IF(ISNUMBER('GraphData'!I67),'GraphData'!I67,"n.d.")</f>
        <v>190318.60934937032</v>
      </c>
      <c r="AA19" s="6"/>
      <c r="AB19" s="6">
        <f>IF(ISNUMBER('GraphData'!I68),'GraphData'!I68,"n.d.")</f>
        <v>228755.46189623384</v>
      </c>
      <c r="AC19" s="6"/>
      <c r="AD19" s="6">
        <f>IF(ISNUMBER('GraphData'!I69),'GraphData'!I69,"n.d.")</f>
        <v>220324.51090989122</v>
      </c>
      <c r="AE19" s="6"/>
      <c r="AF19" s="6">
        <f>IF(ISNUMBER('GraphData'!I70),'GraphData'!I70,"n.d.")</f>
        <v>233632.7376151798</v>
      </c>
    </row>
    <row r="20" spans="1:32" ht="13.5" customHeight="1">
      <c r="A20" s="2"/>
    </row>
    <row r="21" spans="1:32" ht="13.5" customHeight="1">
      <c r="A21" s="2"/>
    </row>
    <row r="22" spans="1:32" ht="13.5" customHeight="1">
      <c r="A22" s="2"/>
      <c r="O22" s="4" t="s">
        <v>955</v>
      </c>
      <c r="P22" s="4"/>
      <c r="Q22" s="4"/>
      <c r="R22" s="4"/>
      <c r="S22" s="4"/>
      <c r="T22" s="4" t="s">
        <v>3118</v>
      </c>
      <c r="U22" s="4"/>
      <c r="V22" s="4"/>
      <c r="W22" s="4"/>
      <c r="X22" s="4"/>
      <c r="Y22" s="4"/>
      <c r="Z22" s="4" t="s">
        <v>3119</v>
      </c>
      <c r="AA22" s="4"/>
      <c r="AB22" s="4"/>
      <c r="AC22" s="4"/>
      <c r="AD22" s="4"/>
      <c r="AE22" s="4"/>
      <c r="AF22" s="4"/>
    </row>
    <row r="23" spans="1:32" ht="13.5" customHeight="1">
      <c r="A23" s="2"/>
      <c r="O23" s="4"/>
      <c r="P23" s="4"/>
      <c r="Q23" s="4"/>
      <c r="R23" s="4"/>
      <c r="S23" s="4"/>
      <c r="T23" s="4" t="s">
        <v>13</v>
      </c>
      <c r="U23" s="4"/>
      <c r="V23" s="4"/>
      <c r="W23" s="4" t="s">
        <v>27</v>
      </c>
      <c r="X23" s="4"/>
      <c r="Y23" s="4"/>
      <c r="Z23" s="4" t="s">
        <v>13</v>
      </c>
      <c r="AA23" s="4"/>
      <c r="AB23" s="4"/>
      <c r="AC23" s="4" t="s">
        <v>27</v>
      </c>
      <c r="AD23" s="4"/>
      <c r="AE23" s="4"/>
      <c r="AF23" s="4"/>
    </row>
    <row r="24" spans="1:32" ht="13.5" customHeight="1">
      <c r="A24" s="2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3.5" customHeight="1">
      <c r="A25" s="2"/>
      <c r="O25" s="5" t="s">
        <v>58</v>
      </c>
      <c r="P25" s="5"/>
      <c r="Q25" s="5"/>
      <c r="R25" s="5"/>
      <c r="S25" s="5"/>
      <c r="T25" s="7">
        <f>'GraphData'!D76</f>
        <v>0.9931642617902213</v>
      </c>
      <c r="U25" s="7"/>
      <c r="V25" s="7"/>
      <c r="W25" s="7">
        <f>'GraphData'!E76</f>
        <v>0.9859807948052636</v>
      </c>
      <c r="X25" s="7"/>
      <c r="Y25" s="7"/>
      <c r="Z25" s="7">
        <f>'GraphData'!B76</f>
        <v>0.9894054395951929</v>
      </c>
      <c r="AA25" s="7"/>
      <c r="AB25" s="7"/>
      <c r="AC25" s="7">
        <f>'GraphData'!C76</f>
        <v>0.9539307475107742</v>
      </c>
      <c r="AD25" s="7"/>
      <c r="AE25" s="7"/>
      <c r="AF25" s="7"/>
    </row>
    <row r="26" spans="1:32" ht="13.5" customHeight="1">
      <c r="A26" s="2"/>
      <c r="O26" s="5" t="s">
        <v>3092</v>
      </c>
      <c r="P26" s="5"/>
      <c r="Q26" s="5"/>
      <c r="R26" s="5"/>
      <c r="S26" s="5"/>
      <c r="T26" s="7">
        <f>'GraphData'!D77</f>
        <v>0.7104560896824842</v>
      </c>
      <c r="U26" s="7"/>
      <c r="V26" s="7"/>
      <c r="W26" s="7">
        <f>'GraphData'!E77</f>
        <v>0.8537773876278687</v>
      </c>
      <c r="X26" s="7"/>
      <c r="Y26" s="7"/>
      <c r="Z26" s="7">
        <f>'GraphData'!B77</f>
        <v>0.6015087641446638</v>
      </c>
      <c r="AA26" s="7"/>
      <c r="AB26" s="7"/>
      <c r="AC26" s="7">
        <f>'GraphData'!C77</f>
        <v>0.581422283993514</v>
      </c>
      <c r="AD26" s="7"/>
      <c r="AE26" s="7"/>
      <c r="AF26" s="7"/>
    </row>
    <row r="27" spans="1:32" ht="13.5" customHeight="1">
      <c r="A27" s="2"/>
      <c r="O27" s="5" t="s">
        <v>49</v>
      </c>
      <c r="P27" s="5"/>
      <c r="Q27" s="5"/>
      <c r="R27" s="5"/>
      <c r="S27" s="5"/>
      <c r="T27" s="7">
        <f>'GraphData'!D78</f>
        <v>1.0</v>
      </c>
      <c r="U27" s="7"/>
      <c r="V27" s="7"/>
      <c r="W27" s="7">
        <f>'GraphData'!E78</f>
        <v>1.0</v>
      </c>
      <c r="X27" s="7"/>
      <c r="Y27" s="7"/>
      <c r="Z27" s="7">
        <f>'GraphData'!B78</f>
        <v>1.0</v>
      </c>
      <c r="AA27" s="7"/>
      <c r="AB27" s="7"/>
      <c r="AC27" s="7">
        <f>'GraphData'!C78</f>
        <v>1.0</v>
      </c>
      <c r="AD27" s="7"/>
      <c r="AE27" s="7"/>
      <c r="AF27" s="7"/>
    </row>
    <row r="28" spans="1:32" ht="13.5" customHeight="1">
      <c r="A28" s="2"/>
      <c r="O28" s="5" t="s">
        <v>73</v>
      </c>
      <c r="P28" s="5"/>
      <c r="Q28" s="5"/>
      <c r="R28" s="5"/>
      <c r="S28" s="5"/>
      <c r="T28" s="7">
        <f>'GraphData'!D79</f>
        <v>0.984378465262362</v>
      </c>
      <c r="U28" s="7"/>
      <c r="V28" s="7"/>
      <c r="W28" s="7">
        <f>'GraphData'!E79</f>
        <v>0.97577393004026</v>
      </c>
      <c r="X28" s="7"/>
      <c r="Y28" s="7"/>
      <c r="Z28" s="7">
        <f>'GraphData'!B79</f>
        <v>0.9484958979033729</v>
      </c>
      <c r="AA28" s="7"/>
      <c r="AB28" s="7"/>
      <c r="AC28" s="7">
        <f>'GraphData'!C79</f>
        <v>0.9370393767108866</v>
      </c>
      <c r="AD28" s="7"/>
      <c r="AE28" s="7"/>
      <c r="AF28" s="7"/>
    </row>
    <row r="29" spans="1:32" ht="13.5" customHeight="1">
      <c r="A29" s="2"/>
      <c r="O29" s="5" t="s">
        <v>78</v>
      </c>
      <c r="P29" s="5"/>
      <c r="Q29" s="5"/>
      <c r="R29" s="5"/>
      <c r="S29" s="5"/>
      <c r="T29" s="7">
        <f>'GraphData'!D80</f>
        <v>0.9911539948773356</v>
      </c>
      <c r="U29" s="7"/>
      <c r="V29" s="7"/>
      <c r="W29" s="7">
        <f>'GraphData'!E80</f>
        <v>0.996970298482982</v>
      </c>
      <c r="X29" s="7"/>
      <c r="Y29" s="7"/>
      <c r="Z29" s="7">
        <f>'GraphData'!B80</f>
        <v>0.6078777189888301</v>
      </c>
      <c r="AA29" s="7"/>
      <c r="AB29" s="7"/>
      <c r="AC29" s="7">
        <f>'GraphData'!C80</f>
        <v>0.9398592450415867</v>
      </c>
      <c r="AD29" s="7"/>
      <c r="AE29" s="7"/>
      <c r="AF29" s="7"/>
    </row>
    <row r="30" spans="1:32" ht="13.5" customHeight="1">
      <c r="A30" s="2"/>
      <c r="O30" s="5" t="s">
        <v>63</v>
      </c>
      <c r="P30" s="5"/>
      <c r="Q30" s="5"/>
      <c r="R30" s="5"/>
      <c r="S30" s="5"/>
      <c r="T30" s="7">
        <f>'GraphData'!D81</f>
        <v>0.9777348442295094</v>
      </c>
      <c r="U30" s="7"/>
      <c r="V30" s="7"/>
      <c r="W30" s="7">
        <f>'GraphData'!E81</f>
        <v>0.994128136787349</v>
      </c>
      <c r="X30" s="7"/>
      <c r="Y30" s="7"/>
      <c r="Z30" s="7">
        <f>'GraphData'!B81</f>
        <v>0.9403706688154714</v>
      </c>
      <c r="AA30" s="7"/>
      <c r="AB30" s="7"/>
      <c r="AC30" s="7">
        <f>'GraphData'!C81</f>
        <v>0.965771458662454</v>
      </c>
      <c r="AD30" s="7"/>
      <c r="AE30" s="7"/>
      <c r="AF30" s="7"/>
    </row>
    <row r="31" spans="1:32" ht="13.5" customHeight="1">
      <c r="A31" s="2"/>
      <c r="O31" s="5" t="s">
        <v>82</v>
      </c>
      <c r="P31" s="5"/>
      <c r="Q31" s="5"/>
      <c r="R31" s="5"/>
      <c r="S31" s="5"/>
      <c r="T31" s="7">
        <f>'GraphData'!D82</f>
        <v>0.6731999072202525</v>
      </c>
      <c r="U31" s="7"/>
      <c r="V31" s="7"/>
      <c r="W31" s="7">
        <f>'GraphData'!E82</f>
        <v>0.793132474166957</v>
      </c>
      <c r="X31" s="7"/>
      <c r="Y31" s="7"/>
      <c r="Z31" s="7">
        <f>'GraphData'!B82</f>
        <v>0.30129752564876283</v>
      </c>
      <c r="AA31" s="7"/>
      <c r="AB31" s="7"/>
      <c r="AC31" s="7">
        <f>'GraphData'!C82</f>
        <v>0.6951945080091533</v>
      </c>
      <c r="AD31" s="7"/>
      <c r="AE31" s="7"/>
      <c r="AF31" s="7"/>
    </row>
    <row r="32" spans="1:32" ht="13.5" customHeight="1">
      <c r="A32" s="2"/>
      <c r="O32" s="5" t="s">
        <v>112</v>
      </c>
      <c r="P32" s="5"/>
      <c r="Q32" s="5"/>
      <c r="R32" s="5"/>
      <c r="S32" s="5"/>
      <c r="T32" s="7">
        <f>'GraphData'!D83</f>
        <v>0.6493430482328113</v>
      </c>
      <c r="U32" s="7"/>
      <c r="V32" s="7"/>
      <c r="W32" s="7">
        <f>'GraphData'!E83</f>
        <v>0.6926903849986122</v>
      </c>
      <c r="X32" s="7"/>
      <c r="Y32" s="7"/>
      <c r="Z32" s="7">
        <f>'GraphData'!B83</f>
        <v>0.8549981233579382</v>
      </c>
      <c r="AA32" s="7"/>
      <c r="AB32" s="7"/>
      <c r="AC32" s="7">
        <f>'GraphData'!C83</f>
        <v>0.8571001494768311</v>
      </c>
      <c r="AD32" s="7"/>
      <c r="AE32" s="7"/>
      <c r="AF32" s="7"/>
    </row>
    <row r="33" spans="1:32" ht="13.5" customHeight="1">
      <c r="A33" s="2"/>
    </row>
    <row r="34" spans="1:32" ht="13.5" customHeight="1">
      <c r="A34" s="2"/>
      <c r="O34" s="1" t="s">
        <v>3120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3.5" customHeight="1">
      <c r="A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3.5" customHeight="1">
      <c r="A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3.5" customHeight="1">
      <c r="A37" s="2"/>
    </row>
    <row r="38" spans="1:32" ht="13.5" customHeight="1">
      <c r="A38" s="2"/>
    </row>
    <row r="39" spans="1:32" ht="13.5" customHeight="1">
      <c r="A39" s="2"/>
    </row>
    <row r="40" spans="1:32" ht="13.5" customHeight="1">
      <c r="A40" s="2"/>
    </row>
    <row r="41" spans="1:32" ht="13.5" customHeight="1">
      <c r="A41" s="2"/>
    </row>
    <row r="42" spans="1:32" ht="13.5" customHeight="1">
      <c r="A42" s="2"/>
      <c r="B42" s="11" t="s">
        <v>3079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122">
    <mergeCell ref="B2:AF4"/>
    <mergeCell ref="B42:AF42"/>
    <mergeCell ref="B5:AF6"/>
    <mergeCell ref="O8:S10"/>
    <mergeCell ref="T8:U10"/>
    <mergeCell ref="V8:W10"/>
    <mergeCell ref="X8:Y10"/>
    <mergeCell ref="Z8:AA10"/>
    <mergeCell ref="AB8:AC10"/>
    <mergeCell ref="AD8:AE10"/>
    <mergeCell ref="AF8:AF10"/>
    <mergeCell ref="O11:S11"/>
    <mergeCell ref="T11:U11"/>
    <mergeCell ref="V11:W11"/>
    <mergeCell ref="X11:Y11"/>
    <mergeCell ref="Z11:AA11"/>
    <mergeCell ref="AB11:AC11"/>
    <mergeCell ref="AD11:AE11"/>
    <mergeCell ref="O12:S12"/>
    <mergeCell ref="T12:U12"/>
    <mergeCell ref="V12:W12"/>
    <mergeCell ref="X12:Y12"/>
    <mergeCell ref="Z12:AA12"/>
    <mergeCell ref="AB12:AC12"/>
    <mergeCell ref="AD12:AE12"/>
    <mergeCell ref="O13:S13"/>
    <mergeCell ref="T13:U13"/>
    <mergeCell ref="V13:W13"/>
    <mergeCell ref="X13:Y13"/>
    <mergeCell ref="Z13:AA13"/>
    <mergeCell ref="AB13:AC13"/>
    <mergeCell ref="AD13:AE13"/>
    <mergeCell ref="O14:S14"/>
    <mergeCell ref="T14:U14"/>
    <mergeCell ref="V14:W14"/>
    <mergeCell ref="X14:Y14"/>
    <mergeCell ref="Z14:AA14"/>
    <mergeCell ref="AB14:AC14"/>
    <mergeCell ref="AD14:AE14"/>
    <mergeCell ref="O15:S15"/>
    <mergeCell ref="T15:U15"/>
    <mergeCell ref="V15:W15"/>
    <mergeCell ref="X15:Y15"/>
    <mergeCell ref="Z15:AA15"/>
    <mergeCell ref="AB15:AC15"/>
    <mergeCell ref="AD15:AE15"/>
    <mergeCell ref="O16:S16"/>
    <mergeCell ref="T16:U16"/>
    <mergeCell ref="V16:W16"/>
    <mergeCell ref="X16:Y16"/>
    <mergeCell ref="Z16:AA16"/>
    <mergeCell ref="AB16:AC16"/>
    <mergeCell ref="AD16:AE16"/>
    <mergeCell ref="O17:S17"/>
    <mergeCell ref="T17:U17"/>
    <mergeCell ref="V17:W17"/>
    <mergeCell ref="X17:Y17"/>
    <mergeCell ref="Z17:AA17"/>
    <mergeCell ref="AB17:AC17"/>
    <mergeCell ref="AD17:AE17"/>
    <mergeCell ref="O18:S18"/>
    <mergeCell ref="T18:U18"/>
    <mergeCell ref="V18:W18"/>
    <mergeCell ref="X18:Y18"/>
    <mergeCell ref="Z18:AA18"/>
    <mergeCell ref="AB18:AC18"/>
    <mergeCell ref="AD18:AE18"/>
    <mergeCell ref="O19:S19"/>
    <mergeCell ref="T19:U19"/>
    <mergeCell ref="V19:W19"/>
    <mergeCell ref="X19:Y19"/>
    <mergeCell ref="Z19:AA19"/>
    <mergeCell ref="AB19:AC19"/>
    <mergeCell ref="AD19:AE19"/>
    <mergeCell ref="O22:S24"/>
    <mergeCell ref="T22:Y22"/>
    <mergeCell ref="Z22:AF22"/>
    <mergeCell ref="T23:V24"/>
    <mergeCell ref="W23:Y24"/>
    <mergeCell ref="Z23:AB24"/>
    <mergeCell ref="AC23:AF24"/>
    <mergeCell ref="O25:S25"/>
    <mergeCell ref="T25:V25"/>
    <mergeCell ref="W25:Y25"/>
    <mergeCell ref="Z25:AB25"/>
    <mergeCell ref="AC25:AF25"/>
    <mergeCell ref="O26:S26"/>
    <mergeCell ref="T26:V26"/>
    <mergeCell ref="W26:Y26"/>
    <mergeCell ref="Z26:AB26"/>
    <mergeCell ref="AC26:AF26"/>
    <mergeCell ref="O27:S27"/>
    <mergeCell ref="T27:V27"/>
    <mergeCell ref="W27:Y27"/>
    <mergeCell ref="Z27:AB27"/>
    <mergeCell ref="AC27:AF27"/>
    <mergeCell ref="O28:S28"/>
    <mergeCell ref="T28:V28"/>
    <mergeCell ref="W28:Y28"/>
    <mergeCell ref="Z28:AB28"/>
    <mergeCell ref="AC28:AF28"/>
    <mergeCell ref="O29:S29"/>
    <mergeCell ref="T29:V29"/>
    <mergeCell ref="W29:Y29"/>
    <mergeCell ref="Z29:AB29"/>
    <mergeCell ref="AC29:AF29"/>
    <mergeCell ref="O30:S30"/>
    <mergeCell ref="T30:V30"/>
    <mergeCell ref="W30:Y30"/>
    <mergeCell ref="Z30:AB30"/>
    <mergeCell ref="AC30:AF30"/>
    <mergeCell ref="O31:S31"/>
    <mergeCell ref="T31:V31"/>
    <mergeCell ref="W31:Y31"/>
    <mergeCell ref="Z31:AB31"/>
    <mergeCell ref="AC31:AF31"/>
    <mergeCell ref="O32:S32"/>
    <mergeCell ref="T32:V32"/>
    <mergeCell ref="W32:Y32"/>
    <mergeCell ref="Z32:AB32"/>
    <mergeCell ref="AC32:AF32"/>
    <mergeCell ref="O34:AF36"/>
  </mergeCells>
  <pageMargins left="0.15" right="0.15" top="0.2" bottom="0.2" header="0.3" footer="0.3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7B900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2"/>
      <c r="B2" s="3" t="s">
        <v>3128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3.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3.5" customHeight="1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3.5" customHeight="1">
      <c r="A5" s="2"/>
      <c r="B5" s="1" t="s">
        <v>3122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3.5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3.5" customHeight="1">
      <c r="A7" s="2"/>
    </row>
    <row r="8" spans="1:32" ht="13.5" customHeight="1">
      <c r="A8" s="2"/>
      <c r="B8" s="4" t="s">
        <v>3093</v>
      </c>
      <c r="C8" s="4"/>
      <c r="D8" s="4"/>
      <c r="E8" s="4"/>
      <c r="F8" s="4"/>
      <c r="G8" s="4"/>
      <c r="H8" s="4" t="s">
        <v>3098</v>
      </c>
      <c r="I8" s="4"/>
      <c r="J8" s="4"/>
      <c r="K8" s="4" t="s">
        <v>27</v>
      </c>
      <c r="L8" s="4"/>
      <c r="M8" s="4"/>
      <c r="N8" s="4" t="s">
        <v>3094</v>
      </c>
      <c r="O8" s="4"/>
      <c r="P8" s="4"/>
      <c r="R8" s="4" t="s">
        <v>3131</v>
      </c>
      <c r="S8" s="4"/>
      <c r="T8" s="4"/>
      <c r="U8" s="4"/>
      <c r="V8" s="4"/>
      <c r="W8" s="4" t="s">
        <v>1009</v>
      </c>
      <c r="X8" s="4"/>
      <c r="Y8" s="4"/>
      <c r="Z8" s="4" t="s">
        <v>50</v>
      </c>
      <c r="AA8" s="4"/>
      <c r="AB8" s="4" t="s">
        <v>53</v>
      </c>
      <c r="AC8" s="4"/>
      <c r="AD8" s="4" t="s">
        <v>55</v>
      </c>
      <c r="AE8" s="4"/>
      <c r="AF8" s="4"/>
    </row>
    <row r="9" spans="1:32" ht="13.5" customHeight="1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3.5" customHeight="1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3.5" customHeight="1">
      <c r="A11" s="2"/>
      <c r="B11" s="5" t="s">
        <v>234</v>
      </c>
      <c r="C11" s="5"/>
      <c r="D11" s="5"/>
      <c r="E11" s="5"/>
      <c r="F11" s="5"/>
      <c r="G11" s="5"/>
      <c r="H11" s="6">
        <f>IF(ISNUMBER('GraphData'!B89),'GraphData'!B89,"n.d.")</f>
        <v>3814713.4834877667</v>
      </c>
      <c r="I11" s="6"/>
      <c r="J11" s="6"/>
      <c r="K11" s="6">
        <f>IF(ISNUMBER('GraphData'!C89),'GraphData'!C89,"n.d.")</f>
        <v>3775169.5956442077</v>
      </c>
      <c r="L11" s="6"/>
      <c r="M11" s="6"/>
      <c r="N11" s="7">
        <f>IF(ISNUMBER('GraphData'!D89),'GraphData'!D89,"n.d.")</f>
        <v>-0.010366148864056842</v>
      </c>
      <c r="O11" s="7"/>
      <c r="P11" s="7"/>
      <c r="R11" s="5" t="s">
        <v>234</v>
      </c>
      <c r="S11" s="5"/>
      <c r="T11" s="5"/>
      <c r="U11" s="5"/>
      <c r="V11" s="5"/>
      <c r="W11" s="6">
        <f>IF(ISNUMBER('GraphData'!C89),'GraphData'!C89,"n.d.")</f>
        <v>3775169.5956442077</v>
      </c>
      <c r="X11" s="6"/>
      <c r="Y11" s="6"/>
      <c r="Z11" s="6">
        <f>IF(ISNUMBER('GraphData'!F89),'GraphData'!F89,"n.d.")</f>
        <v>3645132.5948545784</v>
      </c>
      <c r="AA11" s="6"/>
      <c r="AB11" s="6">
        <f>IF(ISNUMBER('GraphData'!G89),'GraphData'!G89,"n.d.")</f>
        <v>112194.00447354038</v>
      </c>
      <c r="AC11" s="6"/>
      <c r="AD11" s="6">
        <f>IF(ISNUMBER('GraphData'!H89),'GraphData'!H89,"n.d.")</f>
        <v>17842.996316089244</v>
      </c>
      <c r="AE11" s="6"/>
      <c r="AF11" s="6"/>
    </row>
    <row r="12" spans="1:32" ht="13.5" customHeight="1">
      <c r="A12" s="2"/>
      <c r="B12" s="5" t="s">
        <v>92</v>
      </c>
      <c r="C12" s="5"/>
      <c r="D12" s="5"/>
      <c r="E12" s="5"/>
      <c r="F12" s="5"/>
      <c r="G12" s="5"/>
      <c r="H12" s="6">
        <f>IF(ISNUMBER('GraphData'!B90),'GraphData'!B90,"n.d.")</f>
        <v>24384.544526181482</v>
      </c>
      <c r="I12" s="6"/>
      <c r="J12" s="6"/>
      <c r="K12" s="6">
        <f>IF(ISNUMBER('GraphData'!C90),'GraphData'!C90,"n.d.")</f>
        <v>2162.4936681183713</v>
      </c>
      <c r="L12" s="6"/>
      <c r="M12" s="6"/>
      <c r="N12" s="7">
        <f>IF(ISNUMBER('GraphData'!D90),'GraphData'!D90,"n.d.")</f>
        <v>-0.9113170366665443</v>
      </c>
      <c r="O12" s="7"/>
      <c r="P12" s="7"/>
      <c r="R12" s="5" t="s">
        <v>92</v>
      </c>
      <c r="S12" s="5"/>
      <c r="T12" s="5"/>
      <c r="U12" s="5"/>
      <c r="V12" s="5"/>
      <c r="W12" s="6">
        <f>IF(ISNUMBER('GraphData'!C90),'GraphData'!C90,"n.d.")</f>
        <v>2162.4936681183713</v>
      </c>
      <c r="X12" s="6"/>
      <c r="Y12" s="6"/>
      <c r="Z12" s="6">
        <f>IF(ISNUMBER('GraphData'!F90),'GraphData'!F90,"n.d.")</f>
        <v>0.0</v>
      </c>
      <c r="AA12" s="6"/>
      <c r="AB12" s="6">
        <f>IF(ISNUMBER('GraphData'!G90),'GraphData'!G90,"n.d.")</f>
        <v>0.0</v>
      </c>
      <c r="AC12" s="6"/>
      <c r="AD12" s="6">
        <f>IF(ISNUMBER('GraphData'!H90),'GraphData'!H90,"n.d.")</f>
        <v>2162.4936681183713</v>
      </c>
      <c r="AE12" s="6"/>
      <c r="AF12" s="6"/>
    </row>
    <row r="13" spans="1:32" ht="13.5" customHeight="1">
      <c r="A13" s="2"/>
      <c r="B13" s="5" t="s">
        <v>100</v>
      </c>
      <c r="C13" s="5"/>
      <c r="D13" s="5"/>
      <c r="E13" s="5"/>
      <c r="F13" s="5"/>
      <c r="G13" s="5"/>
      <c r="H13" s="6">
        <f>IF(ISNUMBER('GraphData'!B91),'GraphData'!B91,"n.d.")</f>
        <v>11211.458965318663</v>
      </c>
      <c r="I13" s="6"/>
      <c r="J13" s="6"/>
      <c r="K13" s="6">
        <f>IF(ISNUMBER('GraphData'!C91),'GraphData'!C91,"n.d.")</f>
        <v>2025.348040871968</v>
      </c>
      <c r="L13" s="6"/>
      <c r="M13" s="6"/>
      <c r="N13" s="7">
        <f>IF(ISNUMBER('GraphData'!D91),'GraphData'!D91,"n.d.")</f>
        <v>-0.8193501802809835</v>
      </c>
      <c r="O13" s="7"/>
      <c r="P13" s="7"/>
      <c r="R13" s="5" t="s">
        <v>100</v>
      </c>
      <c r="S13" s="5"/>
      <c r="T13" s="5"/>
      <c r="U13" s="5"/>
      <c r="V13" s="5"/>
      <c r="W13" s="6">
        <f>IF(ISNUMBER('GraphData'!C91),'GraphData'!C91,"n.d.")</f>
        <v>2025.348040871968</v>
      </c>
      <c r="X13" s="6"/>
      <c r="Y13" s="6"/>
      <c r="Z13" s="6">
        <f>IF(ISNUMBER('GraphData'!F91),'GraphData'!F91,"n.d.")</f>
        <v>0.0</v>
      </c>
      <c r="AA13" s="6"/>
      <c r="AB13" s="6">
        <f>IF(ISNUMBER('GraphData'!G91),'GraphData'!G91,"n.d.")</f>
        <v>0.0</v>
      </c>
      <c r="AC13" s="6"/>
      <c r="AD13" s="6">
        <f>IF(ISNUMBER('GraphData'!H91),'GraphData'!H91,"n.d.")</f>
        <v>2025.348040871968</v>
      </c>
      <c r="AE13" s="6"/>
      <c r="AF13" s="6"/>
    </row>
    <row r="14" spans="1:32" ht="13.5" customHeight="1">
      <c r="A14" s="2"/>
      <c r="B14" s="5" t="s">
        <v>106</v>
      </c>
      <c r="C14" s="5"/>
      <c r="D14" s="5"/>
      <c r="E14" s="5"/>
      <c r="F14" s="5"/>
      <c r="G14" s="5"/>
      <c r="H14" s="6">
        <f>IF(ISNUMBER('GraphData'!B92),'GraphData'!B92,"n.d.")</f>
        <v>13809.270919825338</v>
      </c>
      <c r="I14" s="6"/>
      <c r="J14" s="6"/>
      <c r="K14" s="6">
        <f>IF(ISNUMBER('GraphData'!C92),'GraphData'!C92,"n.d.")</f>
        <v>15218.245515046927</v>
      </c>
      <c r="L14" s="6"/>
      <c r="M14" s="6"/>
      <c r="N14" s="7">
        <f>IF(ISNUMBER('GraphData'!D92),'GraphData'!D92,"n.d.")</f>
        <v>0.10203106329087865</v>
      </c>
      <c r="O14" s="7"/>
      <c r="P14" s="7"/>
      <c r="R14" s="5" t="s">
        <v>106</v>
      </c>
      <c r="S14" s="5"/>
      <c r="T14" s="5"/>
      <c r="U14" s="5"/>
      <c r="V14" s="5"/>
      <c r="W14" s="6">
        <f>IF(ISNUMBER('GraphData'!C92),'GraphData'!C92,"n.d.")</f>
        <v>15218.245515046927</v>
      </c>
      <c r="X14" s="6"/>
      <c r="Y14" s="6"/>
      <c r="Z14" s="6">
        <f>IF(ISNUMBER('GraphData'!F92),'GraphData'!F92,"n.d.")</f>
        <v>0.0</v>
      </c>
      <c r="AA14" s="6"/>
      <c r="AB14" s="6">
        <f>IF(ISNUMBER('GraphData'!G92),'GraphData'!G92,"n.d.")</f>
        <v>0.0</v>
      </c>
      <c r="AC14" s="6"/>
      <c r="AD14" s="6">
        <f>IF(ISNUMBER('GraphData'!H92),'GraphData'!H92,"n.d.")</f>
        <v>15218.245515046927</v>
      </c>
      <c r="AE14" s="6"/>
      <c r="AF14" s="6"/>
    </row>
    <row r="15" spans="1:32" ht="13.5" customHeight="1">
      <c r="A15" s="2"/>
      <c r="B15" s="8" t="s">
        <v>3095</v>
      </c>
      <c r="C15" s="8"/>
      <c r="D15" s="8"/>
      <c r="E15" s="8"/>
      <c r="F15" s="8"/>
      <c r="G15" s="8"/>
      <c r="H15" s="8">
        <f>IF(COUNT(H11:H14)=4,SUM(H11:H14),"n.d.")</f>
        <v>3864118.757899092</v>
      </c>
      <c r="I15" s="8"/>
      <c r="J15" s="8"/>
      <c r="K15" s="8">
        <f>IF(COUNT(K11:K14)=4,SUM(K11:K14),"n.d.")</f>
        <v>3794575.682868245</v>
      </c>
      <c r="L15" s="8"/>
      <c r="M15" s="8"/>
      <c r="N15" s="9">
        <f>IF(OR(COUNT(H15,K15)&lt;&gt;2,H15=0),"n.d.",K15/H15-1)</f>
        <v>-0.017997137093337504</v>
      </c>
      <c r="O15" s="9"/>
      <c r="P15" s="9"/>
      <c r="R15" s="8" t="s">
        <v>3132</v>
      </c>
      <c r="S15" s="8"/>
      <c r="T15" s="8"/>
      <c r="U15" s="8"/>
      <c r="V15" s="8"/>
      <c r="W15" s="8">
        <f>IF(COUNT(W11:W14)=4,SUM(W11:W14),"n.d.")</f>
        <v>3794575.682868245</v>
      </c>
      <c r="X15" s="8"/>
      <c r="Y15" s="8"/>
      <c r="Z15" s="8">
        <f>IF(COUNT(Z11:Z14)=4,SUM(Z11:Z14),"n.d.")</f>
        <v>3645132.5948545784</v>
      </c>
      <c r="AA15" s="8"/>
      <c r="AB15" s="8">
        <f>IF(COUNT(AB11:AB14)=4,SUM(AB11:AB14),"n.d.")</f>
        <v>112194.00447354038</v>
      </c>
      <c r="AC15" s="8"/>
      <c r="AD15" s="8">
        <f>IF(COUNT(AD11:AD14)=4,SUM(AD11:AD14),"n.d.")</f>
        <v>37249.08354012651</v>
      </c>
      <c r="AE15" s="8"/>
      <c r="AF15" s="8"/>
    </row>
    <row r="16" spans="1:32" ht="13.5" customHeight="1">
      <c r="A16" s="2"/>
    </row>
    <row r="17" spans="1:32" ht="13.5" customHeight="1">
      <c r="A17" s="2"/>
    </row>
    <row r="18" spans="1:32" ht="13.5" customHeight="1">
      <c r="A18" s="2"/>
    </row>
    <row r="19" spans="1:32" ht="13.5" customHeight="1">
      <c r="A19" s="2"/>
    </row>
    <row r="20" spans="1:32" ht="13.5" customHeight="1">
      <c r="A20" s="2"/>
    </row>
    <row r="21" spans="1:32" ht="13.5" customHeight="1">
      <c r="A21" s="2"/>
      <c r="R21" s="4" t="s">
        <v>3133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3.5" customHeight="1">
      <c r="A22" s="2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3.5" customHeight="1">
      <c r="A23" s="2"/>
      <c r="R23" s="4" t="s">
        <v>955</v>
      </c>
      <c r="S23" s="4"/>
      <c r="T23" s="4"/>
      <c r="U23" s="4"/>
      <c r="V23" s="4"/>
      <c r="W23" s="4" t="s">
        <v>3134</v>
      </c>
      <c r="X23" s="4"/>
      <c r="Y23" s="4"/>
      <c r="Z23" s="4"/>
      <c r="AA23" s="4" t="s">
        <v>3135</v>
      </c>
      <c r="AB23" s="4"/>
      <c r="AC23" s="4"/>
      <c r="AD23" s="4"/>
      <c r="AE23" s="4" t="s">
        <v>3084</v>
      </c>
      <c r="AF23" s="4"/>
    </row>
    <row r="24" spans="1:32" ht="13.5" customHeight="1">
      <c r="A24" s="2"/>
      <c r="B24" s="10" t="s">
        <v>3099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3.5" customHeight="1">
      <c r="A25" s="2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3.5" customHeight="1">
      <c r="A26" s="2"/>
      <c r="B26" s="10" t="s">
        <v>3100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R26" s="5" t="s">
        <v>234</v>
      </c>
      <c r="S26" s="5"/>
      <c r="T26" s="5"/>
      <c r="U26" s="5"/>
      <c r="V26" s="5"/>
      <c r="W26" s="6" t="s">
        <v>51</v>
      </c>
      <c r="X26" s="6"/>
      <c r="Y26" s="6"/>
      <c r="Z26" s="6"/>
      <c r="AA26" s="6" t="s">
        <v>51</v>
      </c>
      <c r="AB26" s="6"/>
      <c r="AC26" s="6"/>
      <c r="AD26" s="6"/>
      <c r="AE26" s="7" t="s">
        <v>51</v>
      </c>
      <c r="AF26" s="7"/>
    </row>
    <row r="27" spans="1:32" ht="13.5" customHeight="1">
      <c r="A27" s="2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R27" s="5" t="s">
        <v>92</v>
      </c>
      <c r="S27" s="5"/>
      <c r="T27" s="5"/>
      <c r="U27" s="5"/>
      <c r="V27" s="5"/>
      <c r="W27" s="6" t="s">
        <v>51</v>
      </c>
      <c r="X27" s="6"/>
      <c r="Y27" s="6"/>
      <c r="Z27" s="6"/>
      <c r="AA27" s="6" t="s">
        <v>51</v>
      </c>
      <c r="AB27" s="6"/>
      <c r="AC27" s="6"/>
      <c r="AD27" s="6"/>
      <c r="AE27" s="7" t="s">
        <v>51</v>
      </c>
      <c r="AF27" s="7"/>
    </row>
    <row r="28" spans="1:32" ht="13.5" customHeight="1">
      <c r="A28" s="2"/>
      <c r="R28" s="5" t="s">
        <v>100</v>
      </c>
      <c r="S28" s="5"/>
      <c r="T28" s="5"/>
      <c r="U28" s="5"/>
      <c r="V28" s="5"/>
      <c r="W28" s="6" t="s">
        <v>51</v>
      </c>
      <c r="X28" s="6"/>
      <c r="Y28" s="6"/>
      <c r="Z28" s="6"/>
      <c r="AA28" s="6" t="s">
        <v>51</v>
      </c>
      <c r="AB28" s="6"/>
      <c r="AC28" s="6"/>
      <c r="AD28" s="6"/>
      <c r="AE28" s="7" t="s">
        <v>51</v>
      </c>
      <c r="AF28" s="7"/>
    </row>
    <row r="29" spans="1:32" ht="13.5" customHeight="1">
      <c r="A29" s="2"/>
      <c r="R29" s="5" t="s">
        <v>106</v>
      </c>
      <c r="S29" s="5"/>
      <c r="T29" s="5"/>
      <c r="U29" s="5"/>
      <c r="V29" s="5"/>
      <c r="W29" s="6" t="s">
        <v>51</v>
      </c>
      <c r="X29" s="6"/>
      <c r="Y29" s="6"/>
      <c r="Z29" s="6"/>
      <c r="AA29" s="6" t="s">
        <v>51</v>
      </c>
      <c r="AB29" s="6"/>
      <c r="AC29" s="6"/>
      <c r="AD29" s="6"/>
      <c r="AE29" s="7" t="s">
        <v>51</v>
      </c>
      <c r="AF29" s="7"/>
    </row>
    <row r="30" spans="1:32" ht="13.5" customHeight="1">
      <c r="A30" s="2"/>
    </row>
    <row r="31" spans="1:32" ht="13.5" customHeight="1">
      <c r="A31" s="2"/>
      <c r="R31" s="1" t="s">
        <v>3138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3.5" customHeight="1">
      <c r="A32" s="2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3.5" customHeight="1">
      <c r="A33" s="2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3.5" customHeight="1">
      <c r="A34" s="2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3.5" customHeight="1">
      <c r="A35" s="2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3.5" customHeight="1">
      <c r="A36" s="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3.5" customHeight="1">
      <c r="A37" s="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3.5" customHeight="1">
      <c r="A38" s="2"/>
    </row>
    <row r="39" spans="1:32" ht="13.5" customHeight="1">
      <c r="A39" s="2"/>
    </row>
    <row r="40" spans="1:32" ht="13.5" customHeight="1">
      <c r="A40" s="2"/>
    </row>
    <row r="41" spans="1:32" ht="13.5" customHeight="1">
      <c r="A41" s="2"/>
    </row>
    <row r="42" spans="1:32" ht="13.5" customHeight="1">
      <c r="A42" s="2"/>
      <c r="B42" s="11" t="s">
        <v>3079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81">
    <mergeCell ref="B2:AF4"/>
    <mergeCell ref="B42:AF42"/>
    <mergeCell ref="B5:AF6"/>
    <mergeCell ref="B8:G10"/>
    <mergeCell ref="H8:J10"/>
    <mergeCell ref="K8:M10"/>
    <mergeCell ref="N8:P10"/>
    <mergeCell ref="B11:G11"/>
    <mergeCell ref="H11:J11"/>
    <mergeCell ref="K11:M11"/>
    <mergeCell ref="N11:P11"/>
    <mergeCell ref="B12:G12"/>
    <mergeCell ref="H12:J12"/>
    <mergeCell ref="K12:M12"/>
    <mergeCell ref="N12:P12"/>
    <mergeCell ref="B13:G13"/>
    <mergeCell ref="H13:J13"/>
    <mergeCell ref="K13:M13"/>
    <mergeCell ref="N13:P13"/>
    <mergeCell ref="B14:G14"/>
    <mergeCell ref="H14:J14"/>
    <mergeCell ref="K14:M14"/>
    <mergeCell ref="N14:P14"/>
    <mergeCell ref="B15:G15"/>
    <mergeCell ref="H15:J15"/>
    <mergeCell ref="K15:M15"/>
    <mergeCell ref="N15:P15"/>
    <mergeCell ref="B24:P25"/>
    <mergeCell ref="B26:P27"/>
    <mergeCell ref="R8:V10"/>
    <mergeCell ref="W8:Y10"/>
    <mergeCell ref="Z8:AA10"/>
    <mergeCell ref="AB8:AC10"/>
    <mergeCell ref="AD8:AF10"/>
    <mergeCell ref="R11:V11"/>
    <mergeCell ref="W11:Y11"/>
    <mergeCell ref="Z11:AA11"/>
    <mergeCell ref="AB11:AC11"/>
    <mergeCell ref="AD11:AF11"/>
    <mergeCell ref="R12:V12"/>
    <mergeCell ref="W12:Y12"/>
    <mergeCell ref="Z12:AA12"/>
    <mergeCell ref="AB12:AC12"/>
    <mergeCell ref="AD12:AF12"/>
    <mergeCell ref="R13:V13"/>
    <mergeCell ref="W13:Y13"/>
    <mergeCell ref="Z13:AA13"/>
    <mergeCell ref="AB13:AC13"/>
    <mergeCell ref="AD13:AF13"/>
    <mergeCell ref="R14:V14"/>
    <mergeCell ref="W14:Y14"/>
    <mergeCell ref="Z14:AA14"/>
    <mergeCell ref="AB14:AC14"/>
    <mergeCell ref="AD14:AF14"/>
    <mergeCell ref="R15:V15"/>
    <mergeCell ref="W15:Y15"/>
    <mergeCell ref="Z15:AA15"/>
    <mergeCell ref="AB15:AC15"/>
    <mergeCell ref="AD15:AF15"/>
    <mergeCell ref="R21:AF22"/>
    <mergeCell ref="R23:V25"/>
    <mergeCell ref="W23:Z25"/>
    <mergeCell ref="AA23:AD25"/>
    <mergeCell ref="AE23:AF25"/>
    <mergeCell ref="R26:V26"/>
    <mergeCell ref="W26:Z26"/>
    <mergeCell ref="AA26:AD26"/>
    <mergeCell ref="AE26:AF26"/>
    <mergeCell ref="R27:V27"/>
    <mergeCell ref="W27:Z27"/>
    <mergeCell ref="AA27:AD27"/>
    <mergeCell ref="AE27:AF27"/>
    <mergeCell ref="R28:V28"/>
    <mergeCell ref="W28:Z28"/>
    <mergeCell ref="AA28:AD28"/>
    <mergeCell ref="AE28:AF28"/>
    <mergeCell ref="R29:V29"/>
    <mergeCell ref="W29:Z29"/>
    <mergeCell ref="AA29:AD29"/>
    <mergeCell ref="AE29:AF29"/>
    <mergeCell ref="R31:AF37"/>
  </mergeCells>
  <conditionalFormatting sqref="B24:P39">
    <cfRule type="notContainsBlanks" dxfId="2" priority="1">
      <formula>LEN(TRIM(B24))&gt;0</formula>
    </cfRule>
  </conditionalFormatting>
  <pageMargins left="0.15" right="0.15" top="0.2" bottom="0.2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58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3160</v>
      </c>
      <c r="S2" s="4"/>
      <c r="T2" s="4"/>
      <c r="U2" s="4"/>
      <c r="V2" s="4"/>
      <c r="W2" s="4"/>
      <c r="X2" s="14">
        <v>46295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3146</v>
      </c>
      <c r="Y3" s="4"/>
      <c r="Z3" s="4" t="s">
        <v>3147</v>
      </c>
      <c r="AA3" s="4"/>
      <c r="AB3" s="4"/>
      <c r="AC3" s="4" t="s">
        <v>3148</v>
      </c>
      <c r="AD3" s="4"/>
      <c r="AE3" s="4" t="s">
        <v>3149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1" t="s">
        <v>3161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2"/>
      <c r="R7" s="4" t="s">
        <v>1284</v>
      </c>
      <c r="S7" s="4"/>
      <c r="T7" s="4"/>
      <c r="U7" s="15" t="s">
        <v>377</v>
      </c>
      <c r="V7" s="15"/>
      <c r="W7" s="15"/>
      <c r="X7" s="16">
        <f>IF((IF(OR(SUMPRODUCT(--('Repartition stock'!$A$6:$A$423="2026Q3"),--('Repartition stock'!$B$6:$B$423="ES"),--('Repartition stock'!$E$6:$E$423="Tranche"),--('Repartition stock'!$F$6:$F$423="0 - 1 €"))=0,SUMPRODUCT(--('Repartition stock'!$A$6:$A$423="2026Q3"),--('Repartition stock'!$B$6:$B$423="ES"),--('Repartition stock'!$E$6:$E$423="Tranche"),--('Repartition stock'!$F$6:$F$423="0 - 1 €"),--('Repartition stock'!$G$6:$G$423="n.d."))&gt;0),"n.d.",SUMPRODUCT(--('Repartition stock'!$A$6:$A$423="2026Q3"),--('Repartition stock'!$B$6:$B$423="ES"),--('Repartition stock'!$E$6:$E$423="Tranche"),--('Repartition stock'!$F$6:$F$423="0 - 1 €"),'Repartition stock'!$G$6:$G$423)))="n.d.",0,IF(OR(SUMPRODUCT(--('Repartition stock'!$A$6:$A$423="2026Q3"),--('Repartition stock'!$B$6:$B$423="ES"),--('Repartition stock'!$E$6:$E$423="Tranche"),--('Repartition stock'!$F$6:$F$423="0 - 1 €"))=0,SUMPRODUCT(--('Repartition stock'!$A$6:$A$423="2026Q3"),--('Repartition stock'!$B$6:$B$423="ES"),--('Repartition stock'!$E$6:$E$423="Tranche"),--('Repartition stock'!$F$6:$F$423="0 - 1 €"),--('Repartition stock'!$G$6:$G$423="n.d."))&gt;0),"n.d.",SUMPRODUCT(--('Repartition stock'!$A$6:$A$423="2026Q3"),--('Repartition stock'!$B$6:$B$423="ES"),--('Repartition stock'!$E$6:$E$423="Tranche"),--('Repartition stock'!$F$6:$F$423="0 - 1 €"),'Repartition stock'!$G$6:$G$423)))</f>
        <v>183.0</v>
      </c>
      <c r="Y7" s="16"/>
      <c r="Z7" s="16">
        <f>IF((IF(OR(SUMPRODUCT(--('Repartition stock'!$A$6:$A$423="2026Q3"),--('Repartition stock'!$B$6:$B$423="ES"),--('Repartition stock'!$E$6:$E$423="Tranche"),--('Repartition stock'!$F$6:$F$423="0 - 1 €"))=0,SUMPRODUCT(--('Repartition stock'!$A$6:$A$423="2026Q3"),--('Repartition stock'!$B$6:$B$423="ES"),--('Repartition stock'!$E$6:$E$423="Tranche"),--('Repartition stock'!$F$6:$F$423="0 - 1 €"),--('Repartition stock'!$J$6:$J$423="n.d."))&gt;0),"n.d.",SUMPRODUCT(--('Repartition stock'!$A$6:$A$423="2026Q3"),--('Repartition stock'!$B$6:$B$423="ES"),--('Repartition stock'!$E$6:$E$423="Tranche"),--('Repartition stock'!$F$6:$F$423="0 - 1 €"),'Repartition stock'!$J$6:$J$423)))="n.d.",0,IF(OR(SUMPRODUCT(--('Repartition stock'!$A$6:$A$423="2026Q3"),--('Repartition stock'!$B$6:$B$423="ES"),--('Repartition stock'!$E$6:$E$423="Tranche"),--('Repartition stock'!$F$6:$F$423="0 - 1 €"))=0,SUMPRODUCT(--('Repartition stock'!$A$6:$A$423="2026Q3"),--('Repartition stock'!$B$6:$B$423="ES"),--('Repartition stock'!$E$6:$E$423="Tranche"),--('Repartition stock'!$F$6:$F$423="0 - 1 €"),--('Repartition stock'!$J$6:$J$423="n.d."))&gt;0),"n.d.",SUMPRODUCT(--('Repartition stock'!$A$6:$A$423="2026Q3"),--('Repartition stock'!$B$6:$B$423="ES"),--('Repartition stock'!$E$6:$E$423="Tranche"),--('Repartition stock'!$F$6:$F$423="0 - 1 €"),'Repartition stock'!$J$6:$J$423)))</f>
        <v>27.0</v>
      </c>
      <c r="AA7" s="16"/>
      <c r="AB7" s="16"/>
      <c r="AC7" s="7">
        <f>IF((IF(OR(COUNT(X7,X12)&lt;&gt;2,X12=0),"n.d.",X7/X12))="n.d.",0,IF(OR(COUNT(X7,X12)&lt;&gt;2,X12=0),"n.d.",X7/X12))</f>
        <v>0.023214512241532412</v>
      </c>
      <c r="AD7" s="7"/>
      <c r="AE7" s="7">
        <f>IF((IF(OR(COUNT(Z7,Z12)&lt;&gt;2,Z12=0),"n.d.",Z7/Z12))="n.d.",0,IF(OR(COUNT(Z7,Z12)&lt;&gt;2,Z12=0),"n.d.",Z7/Z12))</f>
        <v>1.8201760447304892e-05</v>
      </c>
      <c r="AF7" s="7"/>
    </row>
    <row r="8" spans="1:32" ht="13.5" customHeight="1">
      <c r="A8" s="12"/>
      <c r="R8" s="4"/>
      <c r="S8" s="4"/>
      <c r="T8" s="4"/>
      <c r="U8" s="15" t="s">
        <v>379</v>
      </c>
      <c r="V8" s="15"/>
      <c r="W8" s="15"/>
      <c r="X8" s="16">
        <f>IF((IF(OR(SUMPRODUCT(--('Repartition stock'!$A$6:$A$423="2026Q3"),--('Repartition stock'!$B$6:$B$423="ES"),--('Repartition stock'!$E$6:$E$423="Tranche"),--('Repartition stock'!$F$6:$F$423="1 - 10 €"))=0,SUMPRODUCT(--('Repartition stock'!$A$6:$A$423="2026Q3"),--('Repartition stock'!$B$6:$B$423="ES"),--('Repartition stock'!$E$6:$E$423="Tranche"),--('Repartition stock'!$F$6:$F$423="1 - 10 €"),--('Repartition stock'!$G$6:$G$423="n.d."))&gt;0),"n.d.",SUMPRODUCT(--('Repartition stock'!$A$6:$A$423="2026Q3"),--('Repartition stock'!$B$6:$B$423="ES"),--('Repartition stock'!$E$6:$E$423="Tranche"),--('Repartition stock'!$F$6:$F$423="1 - 10 €"),'Repartition stock'!$G$6:$G$423)))="n.d.",0,IF(OR(SUMPRODUCT(--('Repartition stock'!$A$6:$A$423="2026Q3"),--('Repartition stock'!$B$6:$B$423="ES"),--('Repartition stock'!$E$6:$E$423="Tranche"),--('Repartition stock'!$F$6:$F$423="1 - 10 €"))=0,SUMPRODUCT(--('Repartition stock'!$A$6:$A$423="2026Q3"),--('Repartition stock'!$B$6:$B$423="ES"),--('Repartition stock'!$E$6:$E$423="Tranche"),--('Repartition stock'!$F$6:$F$423="1 - 10 €"),--('Repartition stock'!$G$6:$G$423="n.d."))&gt;0),"n.d.",SUMPRODUCT(--('Repartition stock'!$A$6:$A$423="2026Q3"),--('Repartition stock'!$B$6:$B$423="ES"),--('Repartition stock'!$E$6:$E$423="Tranche"),--('Repartition stock'!$F$6:$F$423="1 - 10 €"),'Repartition stock'!$G$6:$G$423)))</f>
        <v>469.0</v>
      </c>
      <c r="Y8" s="16"/>
      <c r="Z8" s="16">
        <f>IF((IF(OR(SUMPRODUCT(--('Repartition stock'!$A$6:$A$423="2026Q3"),--('Repartition stock'!$B$6:$B$423="ES"),--('Repartition stock'!$E$6:$E$423="Tranche"),--('Repartition stock'!$F$6:$F$423="1 - 10 €"))=0,SUMPRODUCT(--('Repartition stock'!$A$6:$A$423="2026Q3"),--('Repartition stock'!$B$6:$B$423="ES"),--('Repartition stock'!$E$6:$E$423="Tranche"),--('Repartition stock'!$F$6:$F$423="1 - 10 €"),--('Repartition stock'!$J$6:$J$423="n.d."))&gt;0),"n.d.",SUMPRODUCT(--('Repartition stock'!$A$6:$A$423="2026Q3"),--('Repartition stock'!$B$6:$B$423="ES"),--('Repartition stock'!$E$6:$E$423="Tranche"),--('Repartition stock'!$F$6:$F$423="1 - 10 €"),'Repartition stock'!$J$6:$J$423)))="n.d.",0,IF(OR(SUMPRODUCT(--('Repartition stock'!$A$6:$A$423="2026Q3"),--('Repartition stock'!$B$6:$B$423="ES"),--('Repartition stock'!$E$6:$E$423="Tranche"),--('Repartition stock'!$F$6:$F$423="1 - 10 €"))=0,SUMPRODUCT(--('Repartition stock'!$A$6:$A$423="2026Q3"),--('Repartition stock'!$B$6:$B$423="ES"),--('Repartition stock'!$E$6:$E$423="Tranche"),--('Repartition stock'!$F$6:$F$423="1 - 10 €"),--('Repartition stock'!$J$6:$J$423="n.d."))&gt;0),"n.d.",SUMPRODUCT(--('Repartition stock'!$A$6:$A$423="2026Q3"),--('Repartition stock'!$B$6:$B$423="ES"),--('Repartition stock'!$E$6:$E$423="Tranche"),--('Repartition stock'!$F$6:$F$423="1 - 10 €"),'Repartition stock'!$J$6:$J$423)))</f>
        <v>2417.0</v>
      </c>
      <c r="AA8" s="16"/>
      <c r="AB8" s="16"/>
      <c r="AC8" s="7">
        <f>IF((IF(OR(COUNT(X8,X12)&lt;&gt;2,X12=0),"n.d.",X8/X12))="n.d.",0,IF(OR(COUNT(X8,X12)&lt;&gt;2,X12=0),"n.d.",X8/X12))</f>
        <v>0.05949511607256121</v>
      </c>
      <c r="AD8" s="7"/>
      <c r="AE8" s="7">
        <f>IF((IF(OR(COUNT(Z8,Z12)&lt;&gt;2,Z12=0),"n.d.",Z8/Z12))="n.d.",0,IF(OR(COUNT(Z8,Z12)&lt;&gt;2,Z12=0),"n.d.",Z8/Z12))</f>
        <v>0.001629394629671701</v>
      </c>
      <c r="AF8" s="7"/>
    </row>
    <row r="9" spans="1:32" ht="13.5" customHeight="1">
      <c r="A9" s="12"/>
      <c r="R9" s="4"/>
      <c r="S9" s="4"/>
      <c r="T9" s="4"/>
      <c r="U9" s="15" t="s">
        <v>381</v>
      </c>
      <c r="V9" s="15"/>
      <c r="W9" s="15"/>
      <c r="X9" s="16">
        <f>IF((IF(OR(SUMPRODUCT(--('Repartition stock'!$A$6:$A$423="2026Q3"),--('Repartition stock'!$B$6:$B$423="ES"),--('Repartition stock'!$E$6:$E$423="Tranche"),--('Repartition stock'!$F$6:$F$423="10 - 100 €"))=0,SUMPRODUCT(--('Repartition stock'!$A$6:$A$423="2026Q3"),--('Repartition stock'!$B$6:$B$423="ES"),--('Repartition stock'!$E$6:$E$423="Tranche"),--('Repartition stock'!$F$6:$F$423="10 - 100 €"),--('Repartition stock'!$G$6:$G$423="n.d."))&gt;0),"n.d.",SUMPRODUCT(--('Repartition stock'!$A$6:$A$423="2026Q3"),--('Repartition stock'!$B$6:$B$423="ES"),--('Repartition stock'!$E$6:$E$423="Tranche"),--('Repartition stock'!$F$6:$F$423="10 - 100 €"),'Repartition stock'!$G$6:$G$423)))="n.d.",0,IF(OR(SUMPRODUCT(--('Repartition stock'!$A$6:$A$423="2026Q3"),--('Repartition stock'!$B$6:$B$423="ES"),--('Repartition stock'!$E$6:$E$423="Tranche"),--('Repartition stock'!$F$6:$F$423="10 - 100 €"))=0,SUMPRODUCT(--('Repartition stock'!$A$6:$A$423="2026Q3"),--('Repartition stock'!$B$6:$B$423="ES"),--('Repartition stock'!$E$6:$E$423="Tranche"),--('Repartition stock'!$F$6:$F$423="10 - 100 €"),--('Repartition stock'!$G$6:$G$423="n.d."))&gt;0),"n.d.",SUMPRODUCT(--('Repartition stock'!$A$6:$A$423="2026Q3"),--('Repartition stock'!$B$6:$B$423="ES"),--('Repartition stock'!$E$6:$E$423="Tranche"),--('Repartition stock'!$F$6:$F$423="10 - 100 €"),'Repartition stock'!$G$6:$G$423)))</f>
        <v>4270.0</v>
      </c>
      <c r="Y9" s="16"/>
      <c r="Z9" s="16">
        <f>IF((IF(OR(SUMPRODUCT(--('Repartition stock'!$A$6:$A$423="2026Q3"),--('Repartition stock'!$B$6:$B$423="ES"),--('Repartition stock'!$E$6:$E$423="Tranche"),--('Repartition stock'!$F$6:$F$423="10 - 100 €"))=0,SUMPRODUCT(--('Repartition stock'!$A$6:$A$423="2026Q3"),--('Repartition stock'!$B$6:$B$423="ES"),--('Repartition stock'!$E$6:$E$423="Tranche"),--('Repartition stock'!$F$6:$F$423="10 - 100 €"),--('Repartition stock'!$J$6:$J$423="n.d."))&gt;0),"n.d.",SUMPRODUCT(--('Repartition stock'!$A$6:$A$423="2026Q3"),--('Repartition stock'!$B$6:$B$423="ES"),--('Repartition stock'!$E$6:$E$423="Tranche"),--('Repartition stock'!$F$6:$F$423="10 - 100 €"),'Repartition stock'!$J$6:$J$423)))="n.d.",0,IF(OR(SUMPRODUCT(--('Repartition stock'!$A$6:$A$423="2026Q3"),--('Repartition stock'!$B$6:$B$423="ES"),--('Repartition stock'!$E$6:$E$423="Tranche"),--('Repartition stock'!$F$6:$F$423="10 - 100 €"))=0,SUMPRODUCT(--('Repartition stock'!$A$6:$A$423="2026Q3"),--('Repartition stock'!$B$6:$B$423="ES"),--('Repartition stock'!$E$6:$E$423="Tranche"),--('Repartition stock'!$F$6:$F$423="10 - 100 €"),--('Repartition stock'!$J$6:$J$423="n.d."))&gt;0),"n.d.",SUMPRODUCT(--('Repartition stock'!$A$6:$A$423="2026Q3"),--('Repartition stock'!$B$6:$B$423="ES"),--('Repartition stock'!$E$6:$E$423="Tranche"),--('Repartition stock'!$F$6:$F$423="10 - 100 €"),'Repartition stock'!$J$6:$J$423)))</f>
        <v>203009.0</v>
      </c>
      <c r="AA9" s="16"/>
      <c r="AB9" s="16"/>
      <c r="AC9" s="7">
        <f>IF((IF(OR(COUNT(X9,X12)&lt;&gt;2,X12=0),"n.d.",X9/X12))="n.d.",0,IF(OR(COUNT(X9,X12)&lt;&gt;2,X12=0),"n.d.",X9/X12))</f>
        <v>0.5416719523024229</v>
      </c>
      <c r="AD9" s="7"/>
      <c r="AE9" s="7">
        <f>IF((IF(OR(COUNT(Z9,Z12)&lt;&gt;2,Z12=0),"n.d.",Z9/Z12))="n.d.",0,IF(OR(COUNT(Z9,Z12)&lt;&gt;2,Z12=0),"n.d.",Z9/Z12))</f>
        <v>0.13685634024618218</v>
      </c>
      <c r="AF9" s="7"/>
    </row>
    <row r="10" spans="1:32" ht="13.5" customHeight="1">
      <c r="A10" s="12"/>
      <c r="R10" s="4"/>
      <c r="S10" s="4"/>
      <c r="T10" s="4"/>
      <c r="U10" s="15" t="s">
        <v>383</v>
      </c>
      <c r="V10" s="15"/>
      <c r="W10" s="15"/>
      <c r="X10" s="16">
        <f>IF((IF(OR(SUMPRODUCT(--('Repartition stock'!$A$6:$A$423="2026Q3"),--('Repartition stock'!$B$6:$B$423="ES"),--('Repartition stock'!$E$6:$E$423="Tranche"),--('Repartition stock'!$F$6:$F$423="100 - 1 000 €"))=0,SUMPRODUCT(--('Repartition stock'!$A$6:$A$423="2026Q3"),--('Repartition stock'!$B$6:$B$423="ES"),--('Repartition stock'!$E$6:$E$423="Tranche"),--('Repartition stock'!$F$6:$F$423="100 - 1 000 €"),--('Repartition stock'!$G$6:$G$423="n.d."))&gt;0),"n.d.",SUMPRODUCT(--('Repartition stock'!$A$6:$A$423="2026Q3"),--('Repartition stock'!$B$6:$B$423="ES"),--('Repartition stock'!$E$6:$E$423="Tranche"),--('Repartition stock'!$F$6:$F$423="100 - 1 000 €"),'Repartition stock'!$G$6:$G$423)))="n.d.",0,IF(OR(SUMPRODUCT(--('Repartition stock'!$A$6:$A$423="2026Q3"),--('Repartition stock'!$B$6:$B$423="ES"),--('Repartition stock'!$E$6:$E$423="Tranche"),--('Repartition stock'!$F$6:$F$423="100 - 1 000 €"))=0,SUMPRODUCT(--('Repartition stock'!$A$6:$A$423="2026Q3"),--('Repartition stock'!$B$6:$B$423="ES"),--('Repartition stock'!$E$6:$E$423="Tranche"),--('Repartition stock'!$F$6:$F$423="100 - 1 000 €"),--('Repartition stock'!$G$6:$G$423="n.d."))&gt;0),"n.d.",SUMPRODUCT(--('Repartition stock'!$A$6:$A$423="2026Q3"),--('Repartition stock'!$B$6:$B$423="ES"),--('Repartition stock'!$E$6:$E$423="Tranche"),--('Repartition stock'!$F$6:$F$423="100 - 1 000 €"),'Repartition stock'!$G$6:$G$423)))</f>
        <v>2772.0</v>
      </c>
      <c r="Y10" s="16"/>
      <c r="Z10" s="16">
        <f>IF((IF(OR(SUMPRODUCT(--('Repartition stock'!$A$6:$A$423="2026Q3"),--('Repartition stock'!$B$6:$B$423="ES"),--('Repartition stock'!$E$6:$E$423="Tranche"),--('Repartition stock'!$F$6:$F$423="100 - 1 000 €"))=0,SUMPRODUCT(--('Repartition stock'!$A$6:$A$423="2026Q3"),--('Repartition stock'!$B$6:$B$423="ES"),--('Repartition stock'!$E$6:$E$423="Tranche"),--('Repartition stock'!$F$6:$F$423="100 - 1 000 €"),--('Repartition stock'!$J$6:$J$423="n.d."))&gt;0),"n.d.",SUMPRODUCT(--('Repartition stock'!$A$6:$A$423="2026Q3"),--('Repartition stock'!$B$6:$B$423="ES"),--('Repartition stock'!$E$6:$E$423="Tranche"),--('Repartition stock'!$F$6:$F$423="100 - 1 000 €"),'Repartition stock'!$J$6:$J$423)))="n.d.",0,IF(OR(SUMPRODUCT(--('Repartition stock'!$A$6:$A$423="2026Q3"),--('Repartition stock'!$B$6:$B$423="ES"),--('Repartition stock'!$E$6:$E$423="Tranche"),--('Repartition stock'!$F$6:$F$423="100 - 1 000 €"))=0,SUMPRODUCT(--('Repartition stock'!$A$6:$A$423="2026Q3"),--('Repartition stock'!$B$6:$B$423="ES"),--('Repartition stock'!$E$6:$E$423="Tranche"),--('Repartition stock'!$F$6:$F$423="100 - 1 000 €"),--('Repartition stock'!$J$6:$J$423="n.d."))&gt;0),"n.d.",SUMPRODUCT(--('Repartition stock'!$A$6:$A$423="2026Q3"),--('Repartition stock'!$B$6:$B$423="ES"),--('Repartition stock'!$E$6:$E$423="Tranche"),--('Repartition stock'!$F$6:$F$423="100 - 1 000 €"),'Repartition stock'!$J$6:$J$423)))</f>
        <v>686886.0</v>
      </c>
      <c r="AA10" s="16"/>
      <c r="AB10" s="16"/>
      <c r="AC10" s="7">
        <f>IF((IF(OR(COUNT(X10,X12)&lt;&gt;2,X12=0),"n.d.",X10/X12))="n.d.",0,IF(OR(COUNT(X10,X12)&lt;&gt;2,X12=0),"n.d.",X10/X12))</f>
        <v>0.35164277559304835</v>
      </c>
      <c r="AD10" s="7"/>
      <c r="AE10" s="7">
        <f>IF((IF(OR(COUNT(Z10,Z12)&lt;&gt;2,Z12=0),"n.d.",Z10/Z12))="n.d.",0,IF(OR(COUNT(Z10,Z12)&lt;&gt;2,Z12=0),"n.d.",Z10/Z12))</f>
        <v>0.4630568306150914</v>
      </c>
      <c r="AF10" s="7"/>
    </row>
    <row r="11" spans="1:32" ht="13.5" customHeight="1">
      <c r="A11" s="12"/>
      <c r="R11" s="4"/>
      <c r="S11" s="4"/>
      <c r="T11" s="4"/>
      <c r="U11" s="15" t="s">
        <v>385</v>
      </c>
      <c r="V11" s="15"/>
      <c r="W11" s="15"/>
      <c r="X11" s="16">
        <f>IF((IF(OR(SUMPRODUCT(--('Repartition stock'!$A$6:$A$423="2026Q3"),--('Repartition stock'!$B$6:$B$423="ES"),--('Repartition stock'!$E$6:$E$423="Tranche"),--('Repartition stock'!$F$6:$F$423="&gt; 1 000 €"))=0,SUMPRODUCT(--('Repartition stock'!$A$6:$A$423="2026Q3"),--('Repartition stock'!$B$6:$B$423="ES"),--('Repartition stock'!$E$6:$E$423="Tranche"),--('Repartition stock'!$F$6:$F$423="&gt; 1 000 €"),--('Repartition stock'!$G$6:$G$423="n.d."))&gt;0),"n.d.",SUMPRODUCT(--('Repartition stock'!$A$6:$A$423="2026Q3"),--('Repartition stock'!$B$6:$B$423="ES"),--('Repartition stock'!$E$6:$E$423="Tranche"),--('Repartition stock'!$F$6:$F$423="&gt; 1 000 €"),'Repartition stock'!$G$6:$G$423)))="n.d.",0,IF(OR(SUMPRODUCT(--('Repartition stock'!$A$6:$A$423="2026Q3"),--('Repartition stock'!$B$6:$B$423="ES"),--('Repartition stock'!$E$6:$E$423="Tranche"),--('Repartition stock'!$F$6:$F$423="&gt; 1 000 €"))=0,SUMPRODUCT(--('Repartition stock'!$A$6:$A$423="2026Q3"),--('Repartition stock'!$B$6:$B$423="ES"),--('Repartition stock'!$E$6:$E$423="Tranche"),--('Repartition stock'!$F$6:$F$423="&gt; 1 000 €"),--('Repartition stock'!$G$6:$G$423="n.d."))&gt;0),"n.d.",SUMPRODUCT(--('Repartition stock'!$A$6:$A$423="2026Q3"),--('Repartition stock'!$B$6:$B$423="ES"),--('Repartition stock'!$E$6:$E$423="Tranche"),--('Repartition stock'!$F$6:$F$423="&gt; 1 000 €"),'Repartition stock'!$G$6:$G$423)))</f>
        <v>189.0</v>
      </c>
      <c r="Y11" s="16"/>
      <c r="Z11" s="16">
        <f>IF((IF(OR(SUMPRODUCT(--('Repartition stock'!$A$6:$A$423="2026Q3"),--('Repartition stock'!$B$6:$B$423="ES"),--('Repartition stock'!$E$6:$E$423="Tranche"),--('Repartition stock'!$F$6:$F$423="&gt; 1 000 €"))=0,SUMPRODUCT(--('Repartition stock'!$A$6:$A$423="2026Q3"),--('Repartition stock'!$B$6:$B$423="ES"),--('Repartition stock'!$E$6:$E$423="Tranche"),--('Repartition stock'!$F$6:$F$423="&gt; 1 000 €"),--('Repartition stock'!$J$6:$J$423="n.d."))&gt;0),"n.d.",SUMPRODUCT(--('Repartition stock'!$A$6:$A$423="2026Q3"),--('Repartition stock'!$B$6:$B$423="ES"),--('Repartition stock'!$E$6:$E$423="Tranche"),--('Repartition stock'!$F$6:$F$423="&gt; 1 000 €"),'Repartition stock'!$J$6:$J$423)))="n.d.",0,IF(OR(SUMPRODUCT(--('Repartition stock'!$A$6:$A$423="2026Q3"),--('Repartition stock'!$B$6:$B$423="ES"),--('Repartition stock'!$E$6:$E$423="Tranche"),--('Repartition stock'!$F$6:$F$423="&gt; 1 000 €"))=0,SUMPRODUCT(--('Repartition stock'!$A$6:$A$423="2026Q3"),--('Repartition stock'!$B$6:$B$423="ES"),--('Repartition stock'!$E$6:$E$423="Tranche"),--('Repartition stock'!$F$6:$F$423="&gt; 1 000 €"),--('Repartition stock'!$J$6:$J$423="n.d."))&gt;0),"n.d.",SUMPRODUCT(--('Repartition stock'!$A$6:$A$423="2026Q3"),--('Repartition stock'!$B$6:$B$423="ES"),--('Repartition stock'!$E$6:$E$423="Tranche"),--('Repartition stock'!$F$6:$F$423="&gt; 1 000 €"),'Repartition stock'!$J$6:$J$423)))</f>
        <v>591034.0</v>
      </c>
      <c r="AA11" s="16"/>
      <c r="AB11" s="16"/>
      <c r="AC11" s="7">
        <f>IF((IF(OR(COUNT(X11,X12)&lt;&gt;2,X12=0),"n.d.",X11/X12))="n.d.",0,IF(OR(COUNT(X11,X12)&lt;&gt;2,X12=0),"n.d.",X11/X12))</f>
        <v>0.023975643790435115</v>
      </c>
      <c r="AD11" s="7"/>
      <c r="AE11" s="7">
        <f>IF((IF(OR(COUNT(Z11,Z12)&lt;&gt;2,Z12=0),"n.d.",Z11/Z12))="n.d.",0,IF(OR(COUNT(Z11,Z12)&lt;&gt;2,Z12=0),"n.d.",Z11/Z12))</f>
        <v>0.3984392327486074</v>
      </c>
      <c r="AF11" s="7"/>
    </row>
    <row r="12" spans="1:32" ht="13.5" customHeight="1">
      <c r="A12" s="12"/>
      <c r="R12" s="17" t="s">
        <v>3150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7883.0</v>
      </c>
      <c r="Y12" s="17"/>
      <c r="Z12" s="17">
        <f>IF((IF(COUNT(Z7:Z11)=5,SUM(Z7:Z11),"n.d."))="n.d.",0,IF(COUNT(Z7:Z11)=5,SUM(Z7:Z11),"n.d."))</f>
        <v>1483373.0</v>
      </c>
      <c r="AA12" s="17"/>
      <c r="AB12" s="17"/>
      <c r="AC12" s="9">
        <f>IF((IF(OR(NOT(ISNUMBER(X12)),X12=0),"n.d.",1))="n.d.",0,IF(OR(NOT(ISNUMBER(X12)),X12=0),"n.d.",1))</f>
        <v>1.0</v>
      </c>
      <c r="AD12" s="9"/>
      <c r="AE12" s="9">
        <f>IF((IF(OR(NOT(ISNUMBER(Z12)),Z12=0),"n.d.",1))="n.d.",0,IF(OR(NOT(ISNUMBER(Z12)),Z12=0),"n.d.",1))</f>
        <v>1.0</v>
      </c>
      <c r="AF12" s="9"/>
    </row>
    <row r="13" spans="1:32" ht="13.5" customHeight="1">
      <c r="A13" s="12"/>
    </row>
    <row r="14" spans="1:32" ht="13.5" customHeight="1">
      <c r="A14" s="12"/>
      <c r="R14" s="4" t="s">
        <v>3151</v>
      </c>
      <c r="S14" s="4"/>
      <c r="T14" s="4"/>
      <c r="U14" s="15" t="s">
        <v>387</v>
      </c>
      <c r="V14" s="15"/>
      <c r="W14" s="15"/>
      <c r="X14" s="16">
        <f>IF((IF(OR(SUMPRODUCT(--('Repartition stock'!$A$6:$A$423="2026Q3"),--('Repartition stock'!$B$6:$B$423="ES"),--('Repartition stock'!$E$6:$E$423="Millésime"),--('Repartition stock'!$F$6:$F$423="&lt;2018"))=0,SUMPRODUCT(--('Repartition stock'!$A$6:$A$423="2026Q3"),--('Repartition stock'!$B$6:$B$423="ES"),--('Repartition stock'!$E$6:$E$423="Millésime"),--('Repartition stock'!$F$6:$F$423="&lt;2018"),--('Repartition stock'!$G$6:$G$423="n.d."))&gt;0),"n.d.",SUMPRODUCT(--('Repartition stock'!$A$6:$A$423="2026Q3"),--('Repartition stock'!$B$6:$B$423="ES"),--('Repartition stock'!$E$6:$E$423="Millésime"),--('Repartition stock'!$F$6:$F$423="&lt;2018"),'Repartition stock'!$G$6:$G$423)))="n.d.",0,IF(OR(SUMPRODUCT(--('Repartition stock'!$A$6:$A$423="2026Q3"),--('Repartition stock'!$B$6:$B$423="ES"),--('Repartition stock'!$E$6:$E$423="Millésime"),--('Repartition stock'!$F$6:$F$423="&lt;2018"))=0,SUMPRODUCT(--('Repartition stock'!$A$6:$A$423="2026Q3"),--('Repartition stock'!$B$6:$B$423="ES"),--('Repartition stock'!$E$6:$E$423="Millésime"),--('Repartition stock'!$F$6:$F$423="&lt;2018"),--('Repartition stock'!$G$6:$G$423="n.d."))&gt;0),"n.d.",SUMPRODUCT(--('Repartition stock'!$A$6:$A$423="2026Q3"),--('Repartition stock'!$B$6:$B$423="ES"),--('Repartition stock'!$E$6:$E$423="Millésime"),--('Repartition stock'!$F$6:$F$423="&lt;2018"),'Repartition stock'!$G$6:$G$423)))</f>
        <v>0</v>
      </c>
      <c r="Y14" s="16"/>
      <c r="Z14" s="16">
        <f>IF((IF(OR(SUMPRODUCT(--('Repartition stock'!$A$6:$A$423="2026Q3"),--('Repartition stock'!$B$6:$B$423="ES"),--('Repartition stock'!$E$6:$E$423="Millésime"),--('Repartition stock'!$F$6:$F$423="&lt;2018"))=0,SUMPRODUCT(--('Repartition stock'!$A$6:$A$423="2026Q3"),--('Repartition stock'!$B$6:$B$423="ES"),--('Repartition stock'!$E$6:$E$423="Millésime"),--('Repartition stock'!$F$6:$F$423="&lt;2018"),--('Repartition stock'!$J$6:$J$423="n.d."))&gt;0),"n.d.",SUMPRODUCT(--('Repartition stock'!$A$6:$A$423="2026Q3"),--('Repartition stock'!$B$6:$B$423="ES"),--('Repartition stock'!$E$6:$E$423="Millésime"),--('Repartition stock'!$F$6:$F$423="&lt;2018"),'Repartition stock'!$J$6:$J$423)))="n.d.",0,IF(OR(SUMPRODUCT(--('Repartition stock'!$A$6:$A$423="2026Q3"),--('Repartition stock'!$B$6:$B$423="ES"),--('Repartition stock'!$E$6:$E$423="Millésime"),--('Repartition stock'!$F$6:$F$423="&lt;2018"))=0,SUMPRODUCT(--('Repartition stock'!$A$6:$A$423="2026Q3"),--('Repartition stock'!$B$6:$B$423="ES"),--('Repartition stock'!$E$6:$E$423="Millésime"),--('Repartition stock'!$F$6:$F$423="&lt;2018"),--('Repartition stock'!$J$6:$J$423="n.d."))&gt;0),"n.d.",SUMPRODUCT(--('Repartition stock'!$A$6:$A$423="2026Q3"),--('Repartition stock'!$B$6:$B$423="ES"),--('Repartition stock'!$E$6:$E$423="Millésime"),--('Repartition stock'!$F$6:$F$423="&lt;2018"),'Repartition stock'!$J$6:$J$423)))</f>
        <v>0</v>
      </c>
      <c r="AA14" s="16"/>
      <c r="AB14" s="16"/>
      <c r="AC14" s="7">
        <f>IF((IF(OR(COUNT(X14,X24)&lt;&gt;2,X24=0),"n.d.",X14/X24))="n.d.",0,IF(OR(COUNT(X14,X24)&lt;&gt;2,X24=0),"n.d.",X14/X24))</f>
        <v>0</v>
      </c>
      <c r="AD14" s="7"/>
      <c r="AE14" s="7">
        <f>IF((IF(OR(COUNT(Z14,Z24)&lt;&gt;2,Z24=0),"n.d.",Z14/Z24))="n.d.",0,IF(OR(COUNT(Z14,Z24)&lt;&gt;2,Z24=0),"n.d.",Z14/Z24))</f>
        <v>0</v>
      </c>
      <c r="AF14" s="7"/>
    </row>
    <row r="15" spans="1:32" ht="13.5" customHeight="1">
      <c r="A15" s="12"/>
      <c r="R15" s="4"/>
      <c r="S15" s="4"/>
      <c r="T15" s="4"/>
      <c r="U15" s="15" t="s">
        <v>389</v>
      </c>
      <c r="V15" s="15"/>
      <c r="W15" s="15"/>
      <c r="X15" s="16">
        <f>IF((IF(OR(SUMPRODUCT(--('Repartition stock'!$A$6:$A$423="2026Q3"),--('Repartition stock'!$B$6:$B$423="ES"),--('Repartition stock'!$E$6:$E$423="Millésime"),--('Repartition stock'!$F$6:$F$423="2018"))=0,SUMPRODUCT(--('Repartition stock'!$A$6:$A$423="2026Q3"),--('Repartition stock'!$B$6:$B$423="ES"),--('Repartition stock'!$E$6:$E$423="Millésime"),--('Repartition stock'!$F$6:$F$423="2018"),--('Repartition stock'!$G$6:$G$423="n.d."))&gt;0),"n.d.",SUMPRODUCT(--('Repartition stock'!$A$6:$A$423="2026Q3"),--('Repartition stock'!$B$6:$B$423="ES"),--('Repartition stock'!$E$6:$E$423="Millésime"),--('Repartition stock'!$F$6:$F$423="2018"),'Repartition stock'!$G$6:$G$423)))="n.d.",0,IF(OR(SUMPRODUCT(--('Repartition stock'!$A$6:$A$423="2026Q3"),--('Repartition stock'!$B$6:$B$423="ES"),--('Repartition stock'!$E$6:$E$423="Millésime"),--('Repartition stock'!$F$6:$F$423="2018"))=0,SUMPRODUCT(--('Repartition stock'!$A$6:$A$423="2026Q3"),--('Repartition stock'!$B$6:$B$423="ES"),--('Repartition stock'!$E$6:$E$423="Millésime"),--('Repartition stock'!$F$6:$F$423="2018"),--('Repartition stock'!$G$6:$G$423="n.d."))&gt;0),"n.d.",SUMPRODUCT(--('Repartition stock'!$A$6:$A$423="2026Q3"),--('Repartition stock'!$B$6:$B$423="ES"),--('Repartition stock'!$E$6:$E$423="Millésime"),--('Repartition stock'!$F$6:$F$423="2018"),'Repartition stock'!$G$6:$G$423)))</f>
        <v>0</v>
      </c>
      <c r="Y15" s="16"/>
      <c r="Z15" s="16">
        <f>IF((IF(OR(SUMPRODUCT(--('Repartition stock'!$A$6:$A$423="2026Q3"),--('Repartition stock'!$B$6:$B$423="ES"),--('Repartition stock'!$E$6:$E$423="Millésime"),--('Repartition stock'!$F$6:$F$423="2018"))=0,SUMPRODUCT(--('Repartition stock'!$A$6:$A$423="2026Q3"),--('Repartition stock'!$B$6:$B$423="ES"),--('Repartition stock'!$E$6:$E$423="Millésime"),--('Repartition stock'!$F$6:$F$423="2018"),--('Repartition stock'!$J$6:$J$423="n.d."))&gt;0),"n.d.",SUMPRODUCT(--('Repartition stock'!$A$6:$A$423="2026Q3"),--('Repartition stock'!$B$6:$B$423="ES"),--('Repartition stock'!$E$6:$E$423="Millésime"),--('Repartition stock'!$F$6:$F$423="2018"),'Repartition stock'!$J$6:$J$423)))="n.d.",0,IF(OR(SUMPRODUCT(--('Repartition stock'!$A$6:$A$423="2026Q3"),--('Repartition stock'!$B$6:$B$423="ES"),--('Repartition stock'!$E$6:$E$423="Millésime"),--('Repartition stock'!$F$6:$F$423="2018"))=0,SUMPRODUCT(--('Repartition stock'!$A$6:$A$423="2026Q3"),--('Repartition stock'!$B$6:$B$423="ES"),--('Repartition stock'!$E$6:$E$423="Millésime"),--('Repartition stock'!$F$6:$F$423="2018"),--('Repartition stock'!$J$6:$J$423="n.d."))&gt;0),"n.d.",SUMPRODUCT(--('Repartition stock'!$A$6:$A$423="2026Q3"),--('Repartition stock'!$B$6:$B$423="ES"),--('Repartition stock'!$E$6:$E$423="Millésime"),--('Repartition stock'!$F$6:$F$423="2018"),'Repartition stock'!$J$6:$J$423)))</f>
        <v>0</v>
      </c>
      <c r="AA15" s="16"/>
      <c r="AB15" s="16"/>
      <c r="AC15" s="7">
        <f>IF((IF(OR(COUNT(X15,X24)&lt;&gt;2,X24=0),"n.d.",X15/X24))="n.d.",0,IF(OR(COUNT(X15,X24)&lt;&gt;2,X24=0),"n.d.",X15/X24))</f>
        <v>0</v>
      </c>
      <c r="AD15" s="7"/>
      <c r="AE15" s="7">
        <f>IF((IF(OR(COUNT(Z15,Z24)&lt;&gt;2,Z24=0),"n.d.",Z15/Z24))="n.d.",0,IF(OR(COUNT(Z15,Z24)&lt;&gt;2,Z24=0),"n.d.",Z15/Z24))</f>
        <v>0</v>
      </c>
      <c r="AF15" s="7"/>
    </row>
    <row r="16" spans="1:32" ht="13.5" customHeight="1">
      <c r="A16" s="12"/>
      <c r="R16" s="4"/>
      <c r="S16" s="4"/>
      <c r="T16" s="4"/>
      <c r="U16" s="15" t="s">
        <v>391</v>
      </c>
      <c r="V16" s="15"/>
      <c r="W16" s="15"/>
      <c r="X16" s="16">
        <f>IF((IF(OR(SUMPRODUCT(--('Repartition stock'!$A$6:$A$423="2026Q3"),--('Repartition stock'!$B$6:$B$423="ES"),--('Repartition stock'!$E$6:$E$423="Millésime"),--('Repartition stock'!$F$6:$F$423="2019"))=0,SUMPRODUCT(--('Repartition stock'!$A$6:$A$423="2026Q3"),--('Repartition stock'!$B$6:$B$423="ES"),--('Repartition stock'!$E$6:$E$423="Millésime"),--('Repartition stock'!$F$6:$F$423="2019"),--('Repartition stock'!$G$6:$G$423="n.d."))&gt;0),"n.d.",SUMPRODUCT(--('Repartition stock'!$A$6:$A$423="2026Q3"),--('Repartition stock'!$B$6:$B$423="ES"),--('Repartition stock'!$E$6:$E$423="Millésime"),--('Repartition stock'!$F$6:$F$423="2019"),'Repartition stock'!$G$6:$G$423)))="n.d.",0,IF(OR(SUMPRODUCT(--('Repartition stock'!$A$6:$A$423="2026Q3"),--('Repartition stock'!$B$6:$B$423="ES"),--('Repartition stock'!$E$6:$E$423="Millésime"),--('Repartition stock'!$F$6:$F$423="2019"))=0,SUMPRODUCT(--('Repartition stock'!$A$6:$A$423="2026Q3"),--('Repartition stock'!$B$6:$B$423="ES"),--('Repartition stock'!$E$6:$E$423="Millésime"),--('Repartition stock'!$F$6:$F$423="2019"),--('Repartition stock'!$G$6:$G$423="n.d."))&gt;0),"n.d.",SUMPRODUCT(--('Repartition stock'!$A$6:$A$423="2026Q3"),--('Repartition stock'!$B$6:$B$423="ES"),--('Repartition stock'!$E$6:$E$423="Millésime"),--('Repartition stock'!$F$6:$F$423="2019"),'Repartition stock'!$G$6:$G$423)))</f>
        <v>0</v>
      </c>
      <c r="Y16" s="16"/>
      <c r="Z16" s="16">
        <f>IF((IF(OR(SUMPRODUCT(--('Repartition stock'!$A$6:$A$423="2026Q3"),--('Repartition stock'!$B$6:$B$423="ES"),--('Repartition stock'!$E$6:$E$423="Millésime"),--('Repartition stock'!$F$6:$F$423="2019"))=0,SUMPRODUCT(--('Repartition stock'!$A$6:$A$423="2026Q3"),--('Repartition stock'!$B$6:$B$423="ES"),--('Repartition stock'!$E$6:$E$423="Millésime"),--('Repartition stock'!$F$6:$F$423="2019"),--('Repartition stock'!$J$6:$J$423="n.d."))&gt;0),"n.d.",SUMPRODUCT(--('Repartition stock'!$A$6:$A$423="2026Q3"),--('Repartition stock'!$B$6:$B$423="ES"),--('Repartition stock'!$E$6:$E$423="Millésime"),--('Repartition stock'!$F$6:$F$423="2019"),'Repartition stock'!$J$6:$J$423)))="n.d.",0,IF(OR(SUMPRODUCT(--('Repartition stock'!$A$6:$A$423="2026Q3"),--('Repartition stock'!$B$6:$B$423="ES"),--('Repartition stock'!$E$6:$E$423="Millésime"),--('Repartition stock'!$F$6:$F$423="2019"))=0,SUMPRODUCT(--('Repartition stock'!$A$6:$A$423="2026Q3"),--('Repartition stock'!$B$6:$B$423="ES"),--('Repartition stock'!$E$6:$E$423="Millésime"),--('Repartition stock'!$F$6:$F$423="2019"),--('Repartition stock'!$J$6:$J$423="n.d."))&gt;0),"n.d.",SUMPRODUCT(--('Repartition stock'!$A$6:$A$423="2026Q3"),--('Repartition stock'!$B$6:$B$423="ES"),--('Repartition stock'!$E$6:$E$423="Millésime"),--('Repartition stock'!$F$6:$F$423="2019"),'Repartition stock'!$J$6:$J$423)))</f>
        <v>0</v>
      </c>
      <c r="AA16" s="16"/>
      <c r="AB16" s="16"/>
      <c r="AC16" s="7">
        <f>IF((IF(OR(COUNT(X16,X24)&lt;&gt;2,X24=0),"n.d.",X16/X24))="n.d.",0,IF(OR(COUNT(X16,X24)&lt;&gt;2,X24=0),"n.d.",X16/X24))</f>
        <v>0</v>
      </c>
      <c r="AD16" s="7"/>
      <c r="AE16" s="7">
        <f>IF((IF(OR(COUNT(Z16,Z24)&lt;&gt;2,Z24=0),"n.d.",Z16/Z24))="n.d.",0,IF(OR(COUNT(Z16,Z24)&lt;&gt;2,Z24=0),"n.d.",Z16/Z24))</f>
        <v>0</v>
      </c>
      <c r="AF16" s="7"/>
    </row>
    <row r="17" spans="1:32" ht="13.5" customHeight="1">
      <c r="A17" s="12"/>
      <c r="R17" s="4"/>
      <c r="S17" s="4"/>
      <c r="T17" s="4"/>
      <c r="U17" s="15" t="s">
        <v>393</v>
      </c>
      <c r="V17" s="15"/>
      <c r="W17" s="15"/>
      <c r="X17" s="16">
        <f>IF((IF(OR(SUMPRODUCT(--('Repartition stock'!$A$6:$A$423="2026Q3"),--('Repartition stock'!$B$6:$B$423="ES"),--('Repartition stock'!$E$6:$E$423="Millésime"),--('Repartition stock'!$F$6:$F$423="2020"))=0,SUMPRODUCT(--('Repartition stock'!$A$6:$A$423="2026Q3"),--('Repartition stock'!$B$6:$B$423="ES"),--('Repartition stock'!$E$6:$E$423="Millésime"),--('Repartition stock'!$F$6:$F$423="2020"),--('Repartition stock'!$G$6:$G$423="n.d."))&gt;0),"n.d.",SUMPRODUCT(--('Repartition stock'!$A$6:$A$423="2026Q3"),--('Repartition stock'!$B$6:$B$423="ES"),--('Repartition stock'!$E$6:$E$423="Millésime"),--('Repartition stock'!$F$6:$F$423="2020"),'Repartition stock'!$G$6:$G$423)))="n.d.",0,IF(OR(SUMPRODUCT(--('Repartition stock'!$A$6:$A$423="2026Q3"),--('Repartition stock'!$B$6:$B$423="ES"),--('Repartition stock'!$E$6:$E$423="Millésime"),--('Repartition stock'!$F$6:$F$423="2020"))=0,SUMPRODUCT(--('Repartition stock'!$A$6:$A$423="2026Q3"),--('Repartition stock'!$B$6:$B$423="ES"),--('Repartition stock'!$E$6:$E$423="Millésime"),--('Repartition stock'!$F$6:$F$423="2020"),--('Repartition stock'!$G$6:$G$423="n.d."))&gt;0),"n.d.",SUMPRODUCT(--('Repartition stock'!$A$6:$A$423="2026Q3"),--('Repartition stock'!$B$6:$B$423="ES"),--('Repartition stock'!$E$6:$E$423="Millésime"),--('Repartition stock'!$F$6:$F$423="2020"),'Repartition stock'!$G$6:$G$423)))</f>
        <v>1.0</v>
      </c>
      <c r="Y17" s="16"/>
      <c r="Z17" s="16">
        <f>IF((IF(OR(SUMPRODUCT(--('Repartition stock'!$A$6:$A$423="2026Q3"),--('Repartition stock'!$B$6:$B$423="ES"),--('Repartition stock'!$E$6:$E$423="Millésime"),--('Repartition stock'!$F$6:$F$423="2020"))=0,SUMPRODUCT(--('Repartition stock'!$A$6:$A$423="2026Q3"),--('Repartition stock'!$B$6:$B$423="ES"),--('Repartition stock'!$E$6:$E$423="Millésime"),--('Repartition stock'!$F$6:$F$423="2020"),--('Repartition stock'!$J$6:$J$423="n.d."))&gt;0),"n.d.",SUMPRODUCT(--('Repartition stock'!$A$6:$A$423="2026Q3"),--('Repartition stock'!$B$6:$B$423="ES"),--('Repartition stock'!$E$6:$E$423="Millésime"),--('Repartition stock'!$F$6:$F$423="2020"),'Repartition stock'!$J$6:$J$423)))="n.d.",0,IF(OR(SUMPRODUCT(--('Repartition stock'!$A$6:$A$423="2026Q3"),--('Repartition stock'!$B$6:$B$423="ES"),--('Repartition stock'!$E$6:$E$423="Millésime"),--('Repartition stock'!$F$6:$F$423="2020"))=0,SUMPRODUCT(--('Repartition stock'!$A$6:$A$423="2026Q3"),--('Repartition stock'!$B$6:$B$423="ES"),--('Repartition stock'!$E$6:$E$423="Millésime"),--('Repartition stock'!$F$6:$F$423="2020"),--('Repartition stock'!$J$6:$J$423="n.d."))&gt;0),"n.d.",SUMPRODUCT(--('Repartition stock'!$A$6:$A$423="2026Q3"),--('Repartition stock'!$B$6:$B$423="ES"),--('Repartition stock'!$E$6:$E$423="Millésime"),--('Repartition stock'!$F$6:$F$423="2020"),'Repartition stock'!$J$6:$J$423)))</f>
        <v>9.0</v>
      </c>
      <c r="AA17" s="16"/>
      <c r="AB17" s="16"/>
      <c r="AC17" s="7">
        <f>IF((IF(OR(COUNT(X17,X24)&lt;&gt;2,X24=0),"n.d.",X17/X24))="n.d.",0,IF(OR(COUNT(X17,X24)&lt;&gt;2,X24=0),"n.d.",X17/X24))</f>
        <v>0.00012685525815045033</v>
      </c>
      <c r="AD17" s="7"/>
      <c r="AE17" s="7">
        <f>IF((IF(OR(COUNT(Z17,Z24)&lt;&gt;2,Z24=0),"n.d.",Z17/Z24))="n.d.",0,IF(OR(COUNT(Z17,Z24)&lt;&gt;2,Z24=0),"n.d.",Z17/Z24))</f>
        <v>6.06725757261159e-06</v>
      </c>
      <c r="AF17" s="7"/>
    </row>
    <row r="18" spans="1:32" ht="13.5" customHeight="1">
      <c r="A18" s="12"/>
      <c r="R18" s="4"/>
      <c r="S18" s="4"/>
      <c r="T18" s="4"/>
      <c r="U18" s="15" t="s">
        <v>395</v>
      </c>
      <c r="V18" s="15"/>
      <c r="W18" s="15"/>
      <c r="X18" s="16">
        <f>IF((IF(OR(SUMPRODUCT(--('Repartition stock'!$A$6:$A$423="2026Q3"),--('Repartition stock'!$B$6:$B$423="ES"),--('Repartition stock'!$E$6:$E$423="Millésime"),--('Repartition stock'!$F$6:$F$423="2021"))=0,SUMPRODUCT(--('Repartition stock'!$A$6:$A$423="2026Q3"),--('Repartition stock'!$B$6:$B$423="ES"),--('Repartition stock'!$E$6:$E$423="Millésime"),--('Repartition stock'!$F$6:$F$423="2021"),--('Repartition stock'!$G$6:$G$423="n.d."))&gt;0),"n.d.",SUMPRODUCT(--('Repartition stock'!$A$6:$A$423="2026Q3"),--('Repartition stock'!$B$6:$B$423="ES"),--('Repartition stock'!$E$6:$E$423="Millésime"),--('Repartition stock'!$F$6:$F$423="2021"),'Repartition stock'!$G$6:$G$423)))="n.d.",0,IF(OR(SUMPRODUCT(--('Repartition stock'!$A$6:$A$423="2026Q3"),--('Repartition stock'!$B$6:$B$423="ES"),--('Repartition stock'!$E$6:$E$423="Millésime"),--('Repartition stock'!$F$6:$F$423="2021"))=0,SUMPRODUCT(--('Repartition stock'!$A$6:$A$423="2026Q3"),--('Repartition stock'!$B$6:$B$423="ES"),--('Repartition stock'!$E$6:$E$423="Millésime"),--('Repartition stock'!$F$6:$F$423="2021"),--('Repartition stock'!$G$6:$G$423="n.d."))&gt;0),"n.d.",SUMPRODUCT(--('Repartition stock'!$A$6:$A$423="2026Q3"),--('Repartition stock'!$B$6:$B$423="ES"),--('Repartition stock'!$E$6:$E$423="Millésime"),--('Repartition stock'!$F$6:$F$423="2021"),'Repartition stock'!$G$6:$G$423)))</f>
        <v>3.0</v>
      </c>
      <c r="Y18" s="16"/>
      <c r="Z18" s="16">
        <f>IF((IF(OR(SUMPRODUCT(--('Repartition stock'!$A$6:$A$423="2026Q3"),--('Repartition stock'!$B$6:$B$423="ES"),--('Repartition stock'!$E$6:$E$423="Millésime"),--('Repartition stock'!$F$6:$F$423="2021"))=0,SUMPRODUCT(--('Repartition stock'!$A$6:$A$423="2026Q3"),--('Repartition stock'!$B$6:$B$423="ES"),--('Repartition stock'!$E$6:$E$423="Millésime"),--('Repartition stock'!$F$6:$F$423="2021"),--('Repartition stock'!$J$6:$J$423="n.d."))&gt;0),"n.d.",SUMPRODUCT(--('Repartition stock'!$A$6:$A$423="2026Q3"),--('Repartition stock'!$B$6:$B$423="ES"),--('Repartition stock'!$E$6:$E$423="Millésime"),--('Repartition stock'!$F$6:$F$423="2021"),'Repartition stock'!$J$6:$J$423)))="n.d.",0,IF(OR(SUMPRODUCT(--('Repartition stock'!$A$6:$A$423="2026Q3"),--('Repartition stock'!$B$6:$B$423="ES"),--('Repartition stock'!$E$6:$E$423="Millésime"),--('Repartition stock'!$F$6:$F$423="2021"))=0,SUMPRODUCT(--('Repartition stock'!$A$6:$A$423="2026Q3"),--('Repartition stock'!$B$6:$B$423="ES"),--('Repartition stock'!$E$6:$E$423="Millésime"),--('Repartition stock'!$F$6:$F$423="2021"),--('Repartition stock'!$J$6:$J$423="n.d."))&gt;0),"n.d.",SUMPRODUCT(--('Repartition stock'!$A$6:$A$423="2026Q3"),--('Repartition stock'!$B$6:$B$423="ES"),--('Repartition stock'!$E$6:$E$423="Millésime"),--('Repartition stock'!$F$6:$F$423="2021"),'Repartition stock'!$J$6:$J$423)))</f>
        <v>273.0</v>
      </c>
      <c r="AA18" s="16"/>
      <c r="AB18" s="16"/>
      <c r="AC18" s="7">
        <f>IF((IF(OR(COUNT(X18,X24)&lt;&gt;2,X24=0),"n.d.",X18/X24))="n.d.",0,IF(OR(COUNT(X18,X24)&lt;&gt;2,X24=0),"n.d.",X18/X24))</f>
        <v>0.000380565774451351</v>
      </c>
      <c r="AD18" s="7"/>
      <c r="AE18" s="7">
        <f>IF((IF(OR(COUNT(Z18,Z24)&lt;&gt;2,Z24=0),"n.d.",Z18/Z24))="n.d.",0,IF(OR(COUNT(Z18,Z24)&lt;&gt;2,Z24=0),"n.d.",Z18/Z24))</f>
        <v>0.00018404014636921824</v>
      </c>
      <c r="AF18" s="7"/>
    </row>
    <row r="19" spans="1:32" ht="13.5" customHeight="1">
      <c r="A19" s="12"/>
      <c r="R19" s="4"/>
      <c r="S19" s="4"/>
      <c r="T19" s="4"/>
      <c r="U19" s="15" t="s">
        <v>397</v>
      </c>
      <c r="V19" s="15"/>
      <c r="W19" s="15"/>
      <c r="X19" s="16">
        <f>IF((IF(OR(SUMPRODUCT(--('Repartition stock'!$A$6:$A$423="2026Q3"),--('Repartition stock'!$B$6:$B$423="ES"),--('Repartition stock'!$E$6:$E$423="Millésime"),--('Repartition stock'!$F$6:$F$423="2022"))=0,SUMPRODUCT(--('Repartition stock'!$A$6:$A$423="2026Q3"),--('Repartition stock'!$B$6:$B$423="ES"),--('Repartition stock'!$E$6:$E$423="Millésime"),--('Repartition stock'!$F$6:$F$423="2022"),--('Repartition stock'!$G$6:$G$423="n.d."))&gt;0),"n.d.",SUMPRODUCT(--('Repartition stock'!$A$6:$A$423="2026Q3"),--('Repartition stock'!$B$6:$B$423="ES"),--('Repartition stock'!$E$6:$E$423="Millésime"),--('Repartition stock'!$F$6:$F$423="2022"),'Repartition stock'!$G$6:$G$423)))="n.d.",0,IF(OR(SUMPRODUCT(--('Repartition stock'!$A$6:$A$423="2026Q3"),--('Repartition stock'!$B$6:$B$423="ES"),--('Repartition stock'!$E$6:$E$423="Millésime"),--('Repartition stock'!$F$6:$F$423="2022"))=0,SUMPRODUCT(--('Repartition stock'!$A$6:$A$423="2026Q3"),--('Repartition stock'!$B$6:$B$423="ES"),--('Repartition stock'!$E$6:$E$423="Millésime"),--('Repartition stock'!$F$6:$F$423="2022"),--('Repartition stock'!$G$6:$G$423="n.d."))&gt;0),"n.d.",SUMPRODUCT(--('Repartition stock'!$A$6:$A$423="2026Q3"),--('Repartition stock'!$B$6:$B$423="ES"),--('Repartition stock'!$E$6:$E$423="Millésime"),--('Repartition stock'!$F$6:$F$423="2022"),'Repartition stock'!$G$6:$G$423)))</f>
        <v>4.0</v>
      </c>
      <c r="Y19" s="16"/>
      <c r="Z19" s="16">
        <f>IF((IF(OR(SUMPRODUCT(--('Repartition stock'!$A$6:$A$423="2026Q3"),--('Repartition stock'!$B$6:$B$423="ES"),--('Repartition stock'!$E$6:$E$423="Millésime"),--('Repartition stock'!$F$6:$F$423="2022"))=0,SUMPRODUCT(--('Repartition stock'!$A$6:$A$423="2026Q3"),--('Repartition stock'!$B$6:$B$423="ES"),--('Repartition stock'!$E$6:$E$423="Millésime"),--('Repartition stock'!$F$6:$F$423="2022"),--('Repartition stock'!$J$6:$J$423="n.d."))&gt;0),"n.d.",SUMPRODUCT(--('Repartition stock'!$A$6:$A$423="2026Q3"),--('Repartition stock'!$B$6:$B$423="ES"),--('Repartition stock'!$E$6:$E$423="Millésime"),--('Repartition stock'!$F$6:$F$423="2022"),'Repartition stock'!$J$6:$J$423)))="n.d.",0,IF(OR(SUMPRODUCT(--('Repartition stock'!$A$6:$A$423="2026Q3"),--('Repartition stock'!$B$6:$B$423="ES"),--('Repartition stock'!$E$6:$E$423="Millésime"),--('Repartition stock'!$F$6:$F$423="2022"))=0,SUMPRODUCT(--('Repartition stock'!$A$6:$A$423="2026Q3"),--('Repartition stock'!$B$6:$B$423="ES"),--('Repartition stock'!$E$6:$E$423="Millésime"),--('Repartition stock'!$F$6:$F$423="2022"),--('Repartition stock'!$J$6:$J$423="n.d."))&gt;0),"n.d.",SUMPRODUCT(--('Repartition stock'!$A$6:$A$423="2026Q3"),--('Repartition stock'!$B$6:$B$423="ES"),--('Repartition stock'!$E$6:$E$423="Millésime"),--('Repartition stock'!$F$6:$F$423="2022"),'Repartition stock'!$J$6:$J$423)))</f>
        <v>640.0</v>
      </c>
      <c r="AA19" s="16"/>
      <c r="AB19" s="16"/>
      <c r="AC19" s="7">
        <f>IF((IF(OR(COUNT(X19,X24)&lt;&gt;2,X24=0),"n.d.",X19/X24))="n.d.",0,IF(OR(COUNT(X19,X24)&lt;&gt;2,X24=0),"n.d.",X19/X24))</f>
        <v>0.0005074210326018013</v>
      </c>
      <c r="AD19" s="7"/>
      <c r="AE19" s="7">
        <f>IF((IF(OR(COUNT(Z19,Z24)&lt;&gt;2,Z24=0),"n.d.",Z19/Z24))="n.d.",0,IF(OR(COUNT(Z19,Z24)&lt;&gt;2,Z24=0),"n.d.",Z19/Z24))</f>
        <v>0.00043144942738571306</v>
      </c>
      <c r="AF19" s="7"/>
    </row>
    <row r="20" spans="1:32" ht="13.5" customHeight="1">
      <c r="A20" s="12"/>
      <c r="R20" s="4"/>
      <c r="S20" s="4"/>
      <c r="T20" s="4"/>
      <c r="U20" s="15" t="s">
        <v>399</v>
      </c>
      <c r="V20" s="15"/>
      <c r="W20" s="15"/>
      <c r="X20" s="16">
        <f>IF((IF(OR(SUMPRODUCT(--('Repartition stock'!$A$6:$A$423="2026Q3"),--('Repartition stock'!$B$6:$B$423="ES"),--('Repartition stock'!$E$6:$E$423="Millésime"),--('Repartition stock'!$F$6:$F$423="2023"))=0,SUMPRODUCT(--('Repartition stock'!$A$6:$A$423="2026Q3"),--('Repartition stock'!$B$6:$B$423="ES"),--('Repartition stock'!$E$6:$E$423="Millésime"),--('Repartition stock'!$F$6:$F$423="2023"),--('Repartition stock'!$G$6:$G$423="n.d."))&gt;0),"n.d.",SUMPRODUCT(--('Repartition stock'!$A$6:$A$423="2026Q3"),--('Repartition stock'!$B$6:$B$423="ES"),--('Repartition stock'!$E$6:$E$423="Millésime"),--('Repartition stock'!$F$6:$F$423="2023"),'Repartition stock'!$G$6:$G$423)))="n.d.",0,IF(OR(SUMPRODUCT(--('Repartition stock'!$A$6:$A$423="2026Q3"),--('Repartition stock'!$B$6:$B$423="ES"),--('Repartition stock'!$E$6:$E$423="Millésime"),--('Repartition stock'!$F$6:$F$423="2023"))=0,SUMPRODUCT(--('Repartition stock'!$A$6:$A$423="2026Q3"),--('Repartition stock'!$B$6:$B$423="ES"),--('Repartition stock'!$E$6:$E$423="Millésime"),--('Repartition stock'!$F$6:$F$423="2023"),--('Repartition stock'!$G$6:$G$423="n.d."))&gt;0),"n.d.",SUMPRODUCT(--('Repartition stock'!$A$6:$A$423="2026Q3"),--('Repartition stock'!$B$6:$B$423="ES"),--('Repartition stock'!$E$6:$E$423="Millésime"),--('Repartition stock'!$F$6:$F$423="2023"),'Repartition stock'!$G$6:$G$423)))</f>
        <v>7.0</v>
      </c>
      <c r="Y20" s="16"/>
      <c r="Z20" s="16">
        <f>IF((IF(OR(SUMPRODUCT(--('Repartition stock'!$A$6:$A$423="2026Q3"),--('Repartition stock'!$B$6:$B$423="ES"),--('Repartition stock'!$E$6:$E$423="Millésime"),--('Repartition stock'!$F$6:$F$423="2023"))=0,SUMPRODUCT(--('Repartition stock'!$A$6:$A$423="2026Q3"),--('Repartition stock'!$B$6:$B$423="ES"),--('Repartition stock'!$E$6:$E$423="Millésime"),--('Repartition stock'!$F$6:$F$423="2023"),--('Repartition stock'!$J$6:$J$423="n.d."))&gt;0),"n.d.",SUMPRODUCT(--('Repartition stock'!$A$6:$A$423="2026Q3"),--('Repartition stock'!$B$6:$B$423="ES"),--('Repartition stock'!$E$6:$E$423="Millésime"),--('Repartition stock'!$F$6:$F$423="2023"),'Repartition stock'!$J$6:$J$423)))="n.d.",0,IF(OR(SUMPRODUCT(--('Repartition stock'!$A$6:$A$423="2026Q3"),--('Repartition stock'!$B$6:$B$423="ES"),--('Repartition stock'!$E$6:$E$423="Millésime"),--('Repartition stock'!$F$6:$F$423="2023"))=0,SUMPRODUCT(--('Repartition stock'!$A$6:$A$423="2026Q3"),--('Repartition stock'!$B$6:$B$423="ES"),--('Repartition stock'!$E$6:$E$423="Millésime"),--('Repartition stock'!$F$6:$F$423="2023"),--('Repartition stock'!$J$6:$J$423="n.d."))&gt;0),"n.d.",SUMPRODUCT(--('Repartition stock'!$A$6:$A$423="2026Q3"),--('Repartition stock'!$B$6:$B$423="ES"),--('Repartition stock'!$E$6:$E$423="Millésime"),--('Repartition stock'!$F$6:$F$423="2023"),'Repartition stock'!$J$6:$J$423)))</f>
        <v>100.0</v>
      </c>
      <c r="AA20" s="16"/>
      <c r="AB20" s="16"/>
      <c r="AC20" s="7">
        <f>IF((IF(OR(COUNT(X20,X24)&lt;&gt;2,X24=0),"n.d.",X20/X24))="n.d.",0,IF(OR(COUNT(X20,X24)&lt;&gt;2,X24=0),"n.d.",X20/X24))</f>
        <v>0.0008879868070531524</v>
      </c>
      <c r="AD20" s="7"/>
      <c r="AE20" s="7">
        <f>IF((IF(OR(COUNT(Z20,Z24)&lt;&gt;2,Z24=0),"n.d.",Z20/Z24))="n.d.",0,IF(OR(COUNT(Z20,Z24)&lt;&gt;2,Z24=0),"n.d.",Z20/Z24))</f>
        <v>6.741397302901767e-05</v>
      </c>
      <c r="AF20" s="7"/>
    </row>
    <row r="21" spans="1:32" ht="13.5" customHeight="1">
      <c r="A21" s="12"/>
      <c r="R21" s="4"/>
      <c r="S21" s="4"/>
      <c r="T21" s="4"/>
      <c r="U21" s="15" t="s">
        <v>95</v>
      </c>
      <c r="V21" s="15"/>
      <c r="W21" s="15"/>
      <c r="X21" s="16">
        <f>IF((IF(OR(SUMPRODUCT(--('Repartition stock'!$A$6:$A$423="2026Q3"),--('Repartition stock'!$B$6:$B$423="ES"),--('Repartition stock'!$E$6:$E$423="Millésime"),--('Repartition stock'!$F$6:$F$423="2024"))=0,SUMPRODUCT(--('Repartition stock'!$A$6:$A$423="2026Q3"),--('Repartition stock'!$B$6:$B$423="ES"),--('Repartition stock'!$E$6:$E$423="Millésime"),--('Repartition stock'!$F$6:$F$423="2024"),--('Repartition stock'!$G$6:$G$423="n.d."))&gt;0),"n.d.",SUMPRODUCT(--('Repartition stock'!$A$6:$A$423="2026Q3"),--('Repartition stock'!$B$6:$B$423="ES"),--('Repartition stock'!$E$6:$E$423="Millésime"),--('Repartition stock'!$F$6:$F$423="2024"),'Repartition stock'!$G$6:$G$423)))="n.d.",0,IF(OR(SUMPRODUCT(--('Repartition stock'!$A$6:$A$423="2026Q3"),--('Repartition stock'!$B$6:$B$423="ES"),--('Repartition stock'!$E$6:$E$423="Millésime"),--('Repartition stock'!$F$6:$F$423="2024"))=0,SUMPRODUCT(--('Repartition stock'!$A$6:$A$423="2026Q3"),--('Repartition stock'!$B$6:$B$423="ES"),--('Repartition stock'!$E$6:$E$423="Millésime"),--('Repartition stock'!$F$6:$F$423="2024"),--('Repartition stock'!$G$6:$G$423="n.d."))&gt;0),"n.d.",SUMPRODUCT(--('Repartition stock'!$A$6:$A$423="2026Q3"),--('Repartition stock'!$B$6:$B$423="ES"),--('Repartition stock'!$E$6:$E$423="Millésime"),--('Repartition stock'!$F$6:$F$423="2024"),'Repartition stock'!$G$6:$G$423)))</f>
        <v>0</v>
      </c>
      <c r="Y21" s="16"/>
      <c r="Z21" s="16">
        <f>IF((IF(OR(SUMPRODUCT(--('Repartition stock'!$A$6:$A$423="2026Q3"),--('Repartition stock'!$B$6:$B$423="ES"),--('Repartition stock'!$E$6:$E$423="Millésime"),--('Repartition stock'!$F$6:$F$423="2024"))=0,SUMPRODUCT(--('Repartition stock'!$A$6:$A$423="2026Q3"),--('Repartition stock'!$B$6:$B$423="ES"),--('Repartition stock'!$E$6:$E$423="Millésime"),--('Repartition stock'!$F$6:$F$423="2024"),--('Repartition stock'!$J$6:$J$423="n.d."))&gt;0),"n.d.",SUMPRODUCT(--('Repartition stock'!$A$6:$A$423="2026Q3"),--('Repartition stock'!$B$6:$B$423="ES"),--('Repartition stock'!$E$6:$E$423="Millésime"),--('Repartition stock'!$F$6:$F$423="2024"),'Repartition stock'!$J$6:$J$423)))="n.d.",0,IF(OR(SUMPRODUCT(--('Repartition stock'!$A$6:$A$423="2026Q3"),--('Repartition stock'!$B$6:$B$423="ES"),--('Repartition stock'!$E$6:$E$423="Millésime"),--('Repartition stock'!$F$6:$F$423="2024"))=0,SUMPRODUCT(--('Repartition stock'!$A$6:$A$423="2026Q3"),--('Repartition stock'!$B$6:$B$423="ES"),--('Repartition stock'!$E$6:$E$423="Millésime"),--('Repartition stock'!$F$6:$F$423="2024"),--('Repartition stock'!$J$6:$J$423="n.d."))&gt;0),"n.d.",SUMPRODUCT(--('Repartition stock'!$A$6:$A$423="2026Q3"),--('Repartition stock'!$B$6:$B$423="ES"),--('Repartition stock'!$E$6:$E$423="Millésime"),--('Repartition stock'!$F$6:$F$423="2024"),'Repartition stock'!$J$6:$J$423)))</f>
        <v>0</v>
      </c>
      <c r="AA21" s="16"/>
      <c r="AB21" s="16"/>
      <c r="AC21" s="7">
        <f>IF((IF(OR(COUNT(X21,X24)&lt;&gt;2,X24=0),"n.d.",X21/X24))="n.d.",0,IF(OR(COUNT(X21,X24)&lt;&gt;2,X24=0),"n.d.",X21/X24))</f>
        <v>0</v>
      </c>
      <c r="AD21" s="7"/>
      <c r="AE21" s="7">
        <f>IF((IF(OR(COUNT(Z21,Z24)&lt;&gt;2,Z24=0),"n.d.",Z21/Z24))="n.d.",0,IF(OR(COUNT(Z21,Z24)&lt;&gt;2,Z24=0),"n.d.",Z21/Z24))</f>
        <v>0</v>
      </c>
      <c r="AF21" s="7"/>
    </row>
    <row r="22" spans="1:32" ht="13.5" customHeight="1">
      <c r="A22" s="12"/>
      <c r="R22" s="4"/>
      <c r="S22" s="4"/>
      <c r="T22" s="4"/>
      <c r="U22" s="15" t="s">
        <v>53</v>
      </c>
      <c r="V22" s="15"/>
      <c r="W22" s="15"/>
      <c r="X22" s="16">
        <f>IF((IF(OR(SUMPRODUCT(--('Repartition stock'!$A$6:$A$423="2026Q3"),--('Repartition stock'!$B$6:$B$423="ES"),--('Repartition stock'!$E$6:$E$423="Millésime"),--('Repartition stock'!$F$6:$F$423="2025"))=0,SUMPRODUCT(--('Repartition stock'!$A$6:$A$423="2026Q3"),--('Repartition stock'!$B$6:$B$423="ES"),--('Repartition stock'!$E$6:$E$423="Millésime"),--('Repartition stock'!$F$6:$F$423="2025"),--('Repartition stock'!$G$6:$G$423="n.d."))&gt;0),"n.d.",SUMPRODUCT(--('Repartition stock'!$A$6:$A$423="2026Q3"),--('Repartition stock'!$B$6:$B$423="ES"),--('Repartition stock'!$E$6:$E$423="Millésime"),--('Repartition stock'!$F$6:$F$423="2025"),'Repartition stock'!$G$6:$G$423)))="n.d.",0,IF(OR(SUMPRODUCT(--('Repartition stock'!$A$6:$A$423="2026Q3"),--('Repartition stock'!$B$6:$B$423="ES"),--('Repartition stock'!$E$6:$E$423="Millésime"),--('Repartition stock'!$F$6:$F$423="2025"))=0,SUMPRODUCT(--('Repartition stock'!$A$6:$A$423="2026Q3"),--('Repartition stock'!$B$6:$B$423="ES"),--('Repartition stock'!$E$6:$E$423="Millésime"),--('Repartition stock'!$F$6:$F$423="2025"),--('Repartition stock'!$G$6:$G$423="n.d."))&gt;0),"n.d.",SUMPRODUCT(--('Repartition stock'!$A$6:$A$423="2026Q3"),--('Repartition stock'!$B$6:$B$423="ES"),--('Repartition stock'!$E$6:$E$423="Millésime"),--('Repartition stock'!$F$6:$F$423="2025"),'Repartition stock'!$G$6:$G$423)))</f>
        <v>110.0</v>
      </c>
      <c r="Y22" s="16"/>
      <c r="Z22" s="16">
        <f>IF((IF(OR(SUMPRODUCT(--('Repartition stock'!$A$6:$A$423="2026Q3"),--('Repartition stock'!$B$6:$B$423="ES"),--('Repartition stock'!$E$6:$E$423="Millésime"),--('Repartition stock'!$F$6:$F$423="2025"))=0,SUMPRODUCT(--('Repartition stock'!$A$6:$A$423="2026Q3"),--('Repartition stock'!$B$6:$B$423="ES"),--('Repartition stock'!$E$6:$E$423="Millésime"),--('Repartition stock'!$F$6:$F$423="2025"),--('Repartition stock'!$J$6:$J$423="n.d."))&gt;0),"n.d.",SUMPRODUCT(--('Repartition stock'!$A$6:$A$423="2026Q3"),--('Repartition stock'!$B$6:$B$423="ES"),--('Repartition stock'!$E$6:$E$423="Millésime"),--('Repartition stock'!$F$6:$F$423="2025"),'Repartition stock'!$J$6:$J$423)))="n.d.",0,IF(OR(SUMPRODUCT(--('Repartition stock'!$A$6:$A$423="2026Q3"),--('Repartition stock'!$B$6:$B$423="ES"),--('Repartition stock'!$E$6:$E$423="Millésime"),--('Repartition stock'!$F$6:$F$423="2025"))=0,SUMPRODUCT(--('Repartition stock'!$A$6:$A$423="2026Q3"),--('Repartition stock'!$B$6:$B$423="ES"),--('Repartition stock'!$E$6:$E$423="Millésime"),--('Repartition stock'!$F$6:$F$423="2025"),--('Repartition stock'!$J$6:$J$423="n.d."))&gt;0),"n.d.",SUMPRODUCT(--('Repartition stock'!$A$6:$A$423="2026Q3"),--('Repartition stock'!$B$6:$B$423="ES"),--('Repartition stock'!$E$6:$E$423="Millésime"),--('Repartition stock'!$F$6:$F$423="2025"),'Repartition stock'!$J$6:$J$423)))</f>
        <v>15001.0</v>
      </c>
      <c r="AA22" s="16"/>
      <c r="AB22" s="16"/>
      <c r="AC22" s="7">
        <f>IF((IF(OR(COUNT(X22,X24)&lt;&gt;2,X24=0),"n.d.",X22/X24))="n.d.",0,IF(OR(COUNT(X22,X24)&lt;&gt;2,X24=0),"n.d.",X22/X24))</f>
        <v>0.013954078396549536</v>
      </c>
      <c r="AD22" s="7"/>
      <c r="AE22" s="7">
        <f>IF((IF(OR(COUNT(Z22,Z24)&lt;&gt;2,Z24=0),"n.d.",Z22/Z24))="n.d.",0,IF(OR(COUNT(Z22,Z24)&lt;&gt;2,Z24=0),"n.d.",Z22/Z24))</f>
        <v>0.010112770094082941</v>
      </c>
      <c r="AF22" s="7"/>
    </row>
    <row r="23" spans="1:32" ht="13.5" customHeight="1">
      <c r="A23" s="12"/>
      <c r="R23" s="4"/>
      <c r="S23" s="4"/>
      <c r="T23" s="4"/>
      <c r="U23" s="15" t="s">
        <v>55</v>
      </c>
      <c r="V23" s="15"/>
      <c r="W23" s="15"/>
      <c r="X23" s="16">
        <f>IF((IF(OR(SUMPRODUCT(--('Repartition stock'!$A$6:$A$423="2026Q3"),--('Repartition stock'!$B$6:$B$423="ES"),--('Repartition stock'!$E$6:$E$423="Millésime"),--('Repartition stock'!$F$6:$F$423="2026"))=0,SUMPRODUCT(--('Repartition stock'!$A$6:$A$423="2026Q3"),--('Repartition stock'!$B$6:$B$423="ES"),--('Repartition stock'!$E$6:$E$423="Millésime"),--('Repartition stock'!$F$6:$F$423="2026"),--('Repartition stock'!$G$6:$G$423="n.d."))&gt;0),"n.d.",SUMPRODUCT(--('Repartition stock'!$A$6:$A$423="2026Q3"),--('Repartition stock'!$B$6:$B$423="ES"),--('Repartition stock'!$E$6:$E$423="Millésime"),--('Repartition stock'!$F$6:$F$423="2026"),'Repartition stock'!$G$6:$G$423)))="n.d.",0,IF(OR(SUMPRODUCT(--('Repartition stock'!$A$6:$A$423="2026Q3"),--('Repartition stock'!$B$6:$B$423="ES"),--('Repartition stock'!$E$6:$E$423="Millésime"),--('Repartition stock'!$F$6:$F$423="2026"))=0,SUMPRODUCT(--('Repartition stock'!$A$6:$A$423="2026Q3"),--('Repartition stock'!$B$6:$B$423="ES"),--('Repartition stock'!$E$6:$E$423="Millésime"),--('Repartition stock'!$F$6:$F$423="2026"),--('Repartition stock'!$G$6:$G$423="n.d."))&gt;0),"n.d.",SUMPRODUCT(--('Repartition stock'!$A$6:$A$423="2026Q3"),--('Repartition stock'!$B$6:$B$423="ES"),--('Repartition stock'!$E$6:$E$423="Millésime"),--('Repartition stock'!$F$6:$F$423="2026"),'Repartition stock'!$G$6:$G$423)))</f>
        <v>7758.0</v>
      </c>
      <c r="Y23" s="16"/>
      <c r="Z23" s="16">
        <f>IF((IF(OR(SUMPRODUCT(--('Repartition stock'!$A$6:$A$423="2026Q3"),--('Repartition stock'!$B$6:$B$423="ES"),--('Repartition stock'!$E$6:$E$423="Millésime"),--('Repartition stock'!$F$6:$F$423="2026"))=0,SUMPRODUCT(--('Repartition stock'!$A$6:$A$423="2026Q3"),--('Repartition stock'!$B$6:$B$423="ES"),--('Repartition stock'!$E$6:$E$423="Millésime"),--('Repartition stock'!$F$6:$F$423="2026"),--('Repartition stock'!$J$6:$J$423="n.d."))&gt;0),"n.d.",SUMPRODUCT(--('Repartition stock'!$A$6:$A$423="2026Q3"),--('Repartition stock'!$B$6:$B$423="ES"),--('Repartition stock'!$E$6:$E$423="Millésime"),--('Repartition stock'!$F$6:$F$423="2026"),'Repartition stock'!$J$6:$J$423)))="n.d.",0,IF(OR(SUMPRODUCT(--('Repartition stock'!$A$6:$A$423="2026Q3"),--('Repartition stock'!$B$6:$B$423="ES"),--('Repartition stock'!$E$6:$E$423="Millésime"),--('Repartition stock'!$F$6:$F$423="2026"))=0,SUMPRODUCT(--('Repartition stock'!$A$6:$A$423="2026Q3"),--('Repartition stock'!$B$6:$B$423="ES"),--('Repartition stock'!$E$6:$E$423="Millésime"),--('Repartition stock'!$F$6:$F$423="2026"),--('Repartition stock'!$J$6:$J$423="n.d."))&gt;0),"n.d.",SUMPRODUCT(--('Repartition stock'!$A$6:$A$423="2026Q3"),--('Repartition stock'!$B$6:$B$423="ES"),--('Repartition stock'!$E$6:$E$423="Millésime"),--('Repartition stock'!$F$6:$F$423="2026"),'Repartition stock'!$J$6:$J$423)))</f>
        <v>1467349.0</v>
      </c>
      <c r="AA23" s="16"/>
      <c r="AB23" s="16"/>
      <c r="AC23" s="7">
        <f>IF((IF(OR(COUNT(X23,X24)&lt;&gt;2,X24=0),"n.d.",X23/X24))="n.d.",0,IF(OR(COUNT(X23,X24)&lt;&gt;2,X24=0),"n.d.",X23/X24))</f>
        <v>0.9841430927311937</v>
      </c>
      <c r="AD23" s="7"/>
      <c r="AE23" s="7">
        <f>IF((IF(OR(COUNT(Z23,Z24)&lt;&gt;2,Z24=0),"n.d.",Z23/Z24))="n.d.",0,IF(OR(COUNT(Z23,Z24)&lt;&gt;2,Z24=0),"n.d.",Z23/Z24))</f>
        <v>0.9891982591015605</v>
      </c>
      <c r="AF23" s="7"/>
    </row>
    <row r="24" spans="1:32" ht="13.5" customHeight="1">
      <c r="A24" s="12"/>
      <c r="R24" s="17" t="s">
        <v>3150</v>
      </c>
      <c r="S24" s="17"/>
      <c r="T24" s="17"/>
      <c r="U24" s="17"/>
      <c r="V24" s="17"/>
      <c r="W24" s="17"/>
      <c r="X24" s="17">
        <f>IF(('Presentation inputs'!D7)="n.d.",0,'Presentation inputs'!D7)</f>
        <v>7883.0</v>
      </c>
      <c r="Y24" s="17"/>
      <c r="Z24" s="17">
        <f>IF((IF(ISNUMBER('Presentation inputs'!E7),'Presentation inputs'!E7/(IF(OR(COUNTIFS('Consolidation'!$A$6:$A$46,"2026Q3",'Consolidation'!$B$6:$B$46,"ES")&lt;&gt;1,COUNTIFS('Consolidation'!$A$6:$A$46,"2026Q3",'Consolidation'!$B$6:$B$46,"ES",'Consolidation'!$E$6:$E$46,"n.d.")&gt;0),"n.d.",SUMIFS('Consolidation'!$E$6:$E$46,'Consolidation'!$A$6:$A$46,"2026Q3",'Consolidation'!$B$6:$B$46,"ES"))),"n.d."))="n.d.",0,IF(ISNUMBER('Presentation inputs'!E7),'Presentation inputs'!E7/(IF(OR(COUNTIFS('Consolidation'!$A$6:$A$46,"2026Q3",'Consolidation'!$B$6:$B$46,"ES")&lt;&gt;1,COUNTIFS('Consolidation'!$A$6:$A$46,"2026Q3",'Consolidation'!$B$6:$B$46,"ES",'Consolidation'!$E$6:$E$46,"n.d.")&gt;0),"n.d.",SUMIFS('Consolidation'!$E$6:$E$46,'Consolidation'!$A$6:$A$46,"2026Q3",'Consolidation'!$B$6:$B$46,"ES"))),"n.d."))</f>
        <v>1483372.0</v>
      </c>
      <c r="AA24" s="17"/>
      <c r="AB24" s="17"/>
      <c r="AC24" s="9">
        <f>IF((IF(OR(NOT(ISNUMBER(X24)),X24=0),"n.d.",1))="n.d.",0,IF(OR(NOT(ISNUMBER(X24)),X24=0),"n.d.",1))</f>
        <v>1.0</v>
      </c>
      <c r="AD24" s="9"/>
      <c r="AE24" s="9">
        <f>IF((IF(OR(NOT(ISNUMBER(Z24)),Z24=0),"n.d.",1))="n.d.",0,IF(OR(NOT(ISNUMBER(Z24)),Z24=0),"n.d.",1))</f>
        <v>1.0</v>
      </c>
      <c r="AF24" s="9"/>
    </row>
    <row r="25" spans="1:32" ht="13.5" customHeight="1">
      <c r="A25" s="12"/>
    </row>
    <row r="26" spans="1:32" ht="13.5" customHeight="1">
      <c r="A26" s="12"/>
      <c r="R26" s="1" t="s">
        <v>3152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3.5" customHeight="1">
      <c r="A27" s="1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3.5" customHeight="1">
      <c r="A28" s="1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"&amp;IF(ISNUMBER('GraphData'!A109),TEXT('GraphData'!A109,"#,##0"),"0")&amp;" EUR. Average balance per contract: "&amp;IF(ISNUMBER('GraphData'!B109),TEXT('GraphData'!B109,"#,##0"),"0")&amp;" EUR."</f>
        <v>Average monthly new flow: 3,416,903 EUR. Average balance per contract: 480 EUR.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"&amp;IF(ISNUMBER('GraphData'!C109),TEXT('GraphData'!C109,"0.0%"),"0")&amp;" treated in amount and "&amp;IF(ISNUMBER('GraphData'!D109),TEXT('GraphData'!D109,"0.0%"),"0")&amp;" in number."</f>
        <v>Oldest cohort (M-5): 98.6% treated in amount and 95.4%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"&amp;IF(ISNUMBER('GraphData'!E109),TEXT('GraphData'!E109,"#,##0"),"0")&amp;" EUR. Identified stock: "&amp;IF(ISNUMBER('GraphData'!F109),TEXT('GraphData'!F109,"#,##0"),"0")&amp;" EUR."</f>
        <v>Stock to process: 1,480,318 EUR. Identified stock: 1,793,165 EUR.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3159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3079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101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R26:AF28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3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68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3160</v>
      </c>
      <c r="S2" s="4"/>
      <c r="T2" s="4"/>
      <c r="U2" s="4"/>
      <c r="V2" s="4"/>
      <c r="W2" s="4"/>
      <c r="X2" s="14">
        <v>46295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3146</v>
      </c>
      <c r="Y3" s="4"/>
      <c r="Z3" s="4" t="s">
        <v>3147</v>
      </c>
      <c r="AA3" s="4"/>
      <c r="AB3" s="4"/>
      <c r="AC3" s="4" t="s">
        <v>3148</v>
      </c>
      <c r="AD3" s="4"/>
      <c r="AE3" s="4" t="s">
        <v>3149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1" t="s">
        <v>3161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2"/>
      <c r="R7" s="4" t="s">
        <v>1284</v>
      </c>
      <c r="S7" s="4"/>
      <c r="T7" s="4"/>
      <c r="U7" s="15" t="s">
        <v>377</v>
      </c>
      <c r="V7" s="15"/>
      <c r="W7" s="15"/>
      <c r="X7" s="16">
        <f>IF((IF(OR(SUMPRODUCT(--('Repartition stock'!$A$6:$A$423="2026Q3"),--('Repartition stock'!$B$6:$B$423="DE"),--('Repartition stock'!$E$6:$E$423="Tranche"),--('Repartition stock'!$F$6:$F$423="0 - 1 €"))=0,SUMPRODUCT(--('Repartition stock'!$A$6:$A$423="2026Q3"),--('Repartition stock'!$B$6:$B$423="DE"),--('Repartition stock'!$E$6:$E$423="Tranche"),--('Repartition stock'!$F$6:$F$423="0 - 1 €"),--('Repartition stock'!$G$6:$G$423="n.d."))&gt;0),"n.d.",SUMPRODUCT(--('Repartition stock'!$A$6:$A$423="2026Q3"),--('Repartition stock'!$B$6:$B$423="DE"),--('Repartition stock'!$E$6:$E$423="Tranche"),--('Repartition stock'!$F$6:$F$423="0 - 1 €"),'Repartition stock'!$G$6:$G$423)))="n.d.",0,IF(OR(SUMPRODUCT(--('Repartition stock'!$A$6:$A$423="2026Q3"),--('Repartition stock'!$B$6:$B$423="DE"),--('Repartition stock'!$E$6:$E$423="Tranche"),--('Repartition stock'!$F$6:$F$423="0 - 1 €"))=0,SUMPRODUCT(--('Repartition stock'!$A$6:$A$423="2026Q3"),--('Repartition stock'!$B$6:$B$423="DE"),--('Repartition stock'!$E$6:$E$423="Tranche"),--('Repartition stock'!$F$6:$F$423="0 - 1 €"),--('Repartition stock'!$G$6:$G$423="n.d."))&gt;0),"n.d.",SUMPRODUCT(--('Repartition stock'!$A$6:$A$423="2026Q3"),--('Repartition stock'!$B$6:$B$423="DE"),--('Repartition stock'!$E$6:$E$423="Tranche"),--('Repartition stock'!$F$6:$F$423="0 - 1 €"),'Repartition stock'!$G$6:$G$423)))</f>
        <v>2403.0</v>
      </c>
      <c r="Y7" s="16"/>
      <c r="Z7" s="16">
        <f>IF((IF(OR(SUMPRODUCT(--('Repartition stock'!$A$6:$A$423="2026Q3"),--('Repartition stock'!$B$6:$B$423="DE"),--('Repartition stock'!$E$6:$E$423="Tranche"),--('Repartition stock'!$F$6:$F$423="0 - 1 €"))=0,SUMPRODUCT(--('Repartition stock'!$A$6:$A$423="2026Q3"),--('Repartition stock'!$B$6:$B$423="DE"),--('Repartition stock'!$E$6:$E$423="Tranche"),--('Repartition stock'!$F$6:$F$423="0 - 1 €"),--('Repartition stock'!$J$6:$J$423="n.d."))&gt;0),"n.d.",SUMPRODUCT(--('Repartition stock'!$A$6:$A$423="2026Q3"),--('Repartition stock'!$B$6:$B$423="DE"),--('Repartition stock'!$E$6:$E$423="Tranche"),--('Repartition stock'!$F$6:$F$423="0 - 1 €"),'Repartition stock'!$J$6:$J$423)))="n.d.",0,IF(OR(SUMPRODUCT(--('Repartition stock'!$A$6:$A$423="2026Q3"),--('Repartition stock'!$B$6:$B$423="DE"),--('Repartition stock'!$E$6:$E$423="Tranche"),--('Repartition stock'!$F$6:$F$423="0 - 1 €"))=0,SUMPRODUCT(--('Repartition stock'!$A$6:$A$423="2026Q3"),--('Repartition stock'!$B$6:$B$423="DE"),--('Repartition stock'!$E$6:$E$423="Tranche"),--('Repartition stock'!$F$6:$F$423="0 - 1 €"),--('Repartition stock'!$J$6:$J$423="n.d."))&gt;0),"n.d.",SUMPRODUCT(--('Repartition stock'!$A$6:$A$423="2026Q3"),--('Repartition stock'!$B$6:$B$423="DE"),--('Repartition stock'!$E$6:$E$423="Tranche"),--('Repartition stock'!$F$6:$F$423="0 - 1 €"),'Repartition stock'!$J$6:$J$423)))</f>
        <v>953.0</v>
      </c>
      <c r="AA7" s="16"/>
      <c r="AB7" s="16"/>
      <c r="AC7" s="7">
        <f>IF((IF(OR(COUNT(X7,X13)&lt;&gt;2,X13=0),"n.d.",X7/X13))="n.d.",0,IF(OR(COUNT(X7,X13)&lt;&gt;2,X13=0),"n.d.",X7/X13))</f>
        <v>0.10118746841839313</v>
      </c>
      <c r="AD7" s="7"/>
      <c r="AE7" s="7">
        <f>IF((IF(OR(COUNT(Z7,Z13)&lt;&gt;2,Z13=0),"n.d.",Z7/Z13))="n.d.",0,IF(OR(COUNT(Z7,Z13)&lt;&gt;2,Z13=0),"n.d.",Z7/Z13))</f>
        <v>0.00034663974055488547</v>
      </c>
      <c r="AF7" s="7"/>
    </row>
    <row r="8" spans="1:32" ht="13.5" customHeight="1">
      <c r="A8" s="12"/>
      <c r="R8" s="4"/>
      <c r="S8" s="4"/>
      <c r="T8" s="4"/>
      <c r="U8" s="15" t="s">
        <v>379</v>
      </c>
      <c r="V8" s="15"/>
      <c r="W8" s="15"/>
      <c r="X8" s="16">
        <f>IF((IF(OR(SUMPRODUCT(--('Repartition stock'!$A$6:$A$423="2026Q3"),--('Repartition stock'!$B$6:$B$423="DE"),--('Repartition stock'!$E$6:$E$423="Tranche"),--('Repartition stock'!$F$6:$F$423="1 - 10 €"))=0,SUMPRODUCT(--('Repartition stock'!$A$6:$A$423="2026Q3"),--('Repartition stock'!$B$6:$B$423="DE"),--('Repartition stock'!$E$6:$E$423="Tranche"),--('Repartition stock'!$F$6:$F$423="1 - 10 €"),--('Repartition stock'!$G$6:$G$423="n.d."))&gt;0),"n.d.",SUMPRODUCT(--('Repartition stock'!$A$6:$A$423="2026Q3"),--('Repartition stock'!$B$6:$B$423="DE"),--('Repartition stock'!$E$6:$E$423="Tranche"),--('Repartition stock'!$F$6:$F$423="1 - 10 €"),'Repartition stock'!$G$6:$G$423)))="n.d.",0,IF(OR(SUMPRODUCT(--('Repartition stock'!$A$6:$A$423="2026Q3"),--('Repartition stock'!$B$6:$B$423="DE"),--('Repartition stock'!$E$6:$E$423="Tranche"),--('Repartition stock'!$F$6:$F$423="1 - 10 €"))=0,SUMPRODUCT(--('Repartition stock'!$A$6:$A$423="2026Q3"),--('Repartition stock'!$B$6:$B$423="DE"),--('Repartition stock'!$E$6:$E$423="Tranche"),--('Repartition stock'!$F$6:$F$423="1 - 10 €"),--('Repartition stock'!$G$6:$G$423="n.d."))&gt;0),"n.d.",SUMPRODUCT(--('Repartition stock'!$A$6:$A$423="2026Q3"),--('Repartition stock'!$B$6:$B$423="DE"),--('Repartition stock'!$E$6:$E$423="Tranche"),--('Repartition stock'!$F$6:$F$423="1 - 10 €"),'Repartition stock'!$G$6:$G$423)))</f>
        <v>4235.0</v>
      </c>
      <c r="Y8" s="16"/>
      <c r="Z8" s="16">
        <f>IF((IF(OR(SUMPRODUCT(--('Repartition stock'!$A$6:$A$423="2026Q3"),--('Repartition stock'!$B$6:$B$423="DE"),--('Repartition stock'!$E$6:$E$423="Tranche"),--('Repartition stock'!$F$6:$F$423="1 - 10 €"))=0,SUMPRODUCT(--('Repartition stock'!$A$6:$A$423="2026Q3"),--('Repartition stock'!$B$6:$B$423="DE"),--('Repartition stock'!$E$6:$E$423="Tranche"),--('Repartition stock'!$F$6:$F$423="1 - 10 €"),--('Repartition stock'!$J$6:$J$423="n.d."))&gt;0),"n.d.",SUMPRODUCT(--('Repartition stock'!$A$6:$A$423="2026Q3"),--('Repartition stock'!$B$6:$B$423="DE"),--('Repartition stock'!$E$6:$E$423="Tranche"),--('Repartition stock'!$F$6:$F$423="1 - 10 €"),'Repartition stock'!$J$6:$J$423)))="n.d.",0,IF(OR(SUMPRODUCT(--('Repartition stock'!$A$6:$A$423="2026Q3"),--('Repartition stock'!$B$6:$B$423="DE"),--('Repartition stock'!$E$6:$E$423="Tranche"),--('Repartition stock'!$F$6:$F$423="1 - 10 €"))=0,SUMPRODUCT(--('Repartition stock'!$A$6:$A$423="2026Q3"),--('Repartition stock'!$B$6:$B$423="DE"),--('Repartition stock'!$E$6:$E$423="Tranche"),--('Repartition stock'!$F$6:$F$423="1 - 10 €"),--('Repartition stock'!$J$6:$J$423="n.d."))&gt;0),"n.d.",SUMPRODUCT(--('Repartition stock'!$A$6:$A$423="2026Q3"),--('Repartition stock'!$B$6:$B$423="DE"),--('Repartition stock'!$E$6:$E$423="Tranche"),--('Repartition stock'!$F$6:$F$423="1 - 10 €"),'Repartition stock'!$J$6:$J$423)))</f>
        <v>22237.0</v>
      </c>
      <c r="AA8" s="16"/>
      <c r="AB8" s="16"/>
      <c r="AC8" s="7">
        <f>IF((IF(OR(COUNT(X8,X13)&lt;&gt;2,X13=0),"n.d.",X8/X13))="n.d.",0,IF(OR(COUNT(X8,X13)&lt;&gt;2,X13=0),"n.d.",X8/X13))</f>
        <v>0.17833080680478355</v>
      </c>
      <c r="AD8" s="7"/>
      <c r="AE8" s="7">
        <f>IF((IF(OR(COUNT(Z8,Z13)&lt;&gt;2,Z13=0),"n.d.",Z8/Z13))="n.d.",0,IF(OR(COUNT(Z8,Z13)&lt;&gt;2,Z13=0),"n.d.",Z8/Z13))</f>
        <v>0.008088381858047207</v>
      </c>
      <c r="AF8" s="7"/>
    </row>
    <row r="9" spans="1:32" ht="13.5" customHeight="1">
      <c r="A9" s="12"/>
      <c r="R9" s="4"/>
      <c r="S9" s="4"/>
      <c r="T9" s="4"/>
      <c r="U9" s="15" t="s">
        <v>381</v>
      </c>
      <c r="V9" s="15"/>
      <c r="W9" s="15"/>
      <c r="X9" s="16">
        <f>IF((IF(OR(SUMPRODUCT(--('Repartition stock'!$A$6:$A$423="2026Q3"),--('Repartition stock'!$B$6:$B$423="DE"),--('Repartition stock'!$E$6:$E$423="Tranche"),--('Repartition stock'!$F$6:$F$423="10 - 100 €"))=0,SUMPRODUCT(--('Repartition stock'!$A$6:$A$423="2026Q3"),--('Repartition stock'!$B$6:$B$423="DE"),--('Repartition stock'!$E$6:$E$423="Tranche"),--('Repartition stock'!$F$6:$F$423="10 - 100 €"),--('Repartition stock'!$G$6:$G$423="n.d."))&gt;0),"n.d.",SUMPRODUCT(--('Repartition stock'!$A$6:$A$423="2026Q3"),--('Repartition stock'!$B$6:$B$423="DE"),--('Repartition stock'!$E$6:$E$423="Tranche"),--('Repartition stock'!$F$6:$F$423="10 - 100 €"),'Repartition stock'!$G$6:$G$423)))="n.d.",0,IF(OR(SUMPRODUCT(--('Repartition stock'!$A$6:$A$423="2026Q3"),--('Repartition stock'!$B$6:$B$423="DE"),--('Repartition stock'!$E$6:$E$423="Tranche"),--('Repartition stock'!$F$6:$F$423="10 - 100 €"))=0,SUMPRODUCT(--('Repartition stock'!$A$6:$A$423="2026Q3"),--('Repartition stock'!$B$6:$B$423="DE"),--('Repartition stock'!$E$6:$E$423="Tranche"),--('Repartition stock'!$F$6:$F$423="10 - 100 €"),--('Repartition stock'!$G$6:$G$423="n.d."))&gt;0),"n.d.",SUMPRODUCT(--('Repartition stock'!$A$6:$A$423="2026Q3"),--('Repartition stock'!$B$6:$B$423="DE"),--('Repartition stock'!$E$6:$E$423="Tranche"),--('Repartition stock'!$F$6:$F$423="10 - 100 €"),'Repartition stock'!$G$6:$G$423)))</f>
        <v>12403.0</v>
      </c>
      <c r="Y9" s="16"/>
      <c r="Z9" s="16">
        <f>IF((IF(OR(SUMPRODUCT(--('Repartition stock'!$A$6:$A$423="2026Q3"),--('Repartition stock'!$B$6:$B$423="DE"),--('Repartition stock'!$E$6:$E$423="Tranche"),--('Repartition stock'!$F$6:$F$423="10 - 100 €"))=0,SUMPRODUCT(--('Repartition stock'!$A$6:$A$423="2026Q3"),--('Repartition stock'!$B$6:$B$423="DE"),--('Repartition stock'!$E$6:$E$423="Tranche"),--('Repartition stock'!$F$6:$F$423="10 - 100 €"),--('Repartition stock'!$J$6:$J$423="n.d."))&gt;0),"n.d.",SUMPRODUCT(--('Repartition stock'!$A$6:$A$423="2026Q3"),--('Repartition stock'!$B$6:$B$423="DE"),--('Repartition stock'!$E$6:$E$423="Tranche"),--('Repartition stock'!$F$6:$F$423="10 - 100 €"),'Repartition stock'!$J$6:$J$423)))="n.d.",0,IF(OR(SUMPRODUCT(--('Repartition stock'!$A$6:$A$423="2026Q3"),--('Repartition stock'!$B$6:$B$423="DE"),--('Repartition stock'!$E$6:$E$423="Tranche"),--('Repartition stock'!$F$6:$F$423="10 - 100 €"))=0,SUMPRODUCT(--('Repartition stock'!$A$6:$A$423="2026Q3"),--('Repartition stock'!$B$6:$B$423="DE"),--('Repartition stock'!$E$6:$E$423="Tranche"),--('Repartition stock'!$F$6:$F$423="10 - 100 €"),--('Repartition stock'!$J$6:$J$423="n.d."))&gt;0),"n.d.",SUMPRODUCT(--('Repartition stock'!$A$6:$A$423="2026Q3"),--('Repartition stock'!$B$6:$B$423="DE"),--('Repartition stock'!$E$6:$E$423="Tranche"),--('Repartition stock'!$F$6:$F$423="10 - 100 €"),'Repartition stock'!$J$6:$J$423)))</f>
        <v>494708.0</v>
      </c>
      <c r="AA9" s="16"/>
      <c r="AB9" s="16"/>
      <c r="AC9" s="7">
        <f>IF((IF(OR(COUNT(X9,X13)&lt;&gt;2,X13=0),"n.d.",X9/X13))="n.d.",0,IF(OR(COUNT(X9,X13)&lt;&gt;2,X13=0),"n.d.",X9/X13))</f>
        <v>0.5222755600471619</v>
      </c>
      <c r="AD9" s="7"/>
      <c r="AE9" s="7">
        <f>IF((IF(OR(COUNT(Z9,Z13)&lt;&gt;2,Z13=0),"n.d.",Z9/Z13))="n.d.",0,IF(OR(COUNT(Z9,Z13)&lt;&gt;2,Z13=0),"n.d.",Z9/Z13))</f>
        <v>0.17994276261324899</v>
      </c>
      <c r="AF9" s="7"/>
    </row>
    <row r="10" spans="1:32" ht="13.5" customHeight="1">
      <c r="A10" s="12"/>
      <c r="R10" s="4"/>
      <c r="S10" s="4"/>
      <c r="T10" s="4"/>
      <c r="U10" s="15" t="s">
        <v>437</v>
      </c>
      <c r="V10" s="15"/>
      <c r="W10" s="15"/>
      <c r="X10" s="16">
        <f>IF((IF(OR(SUMPRODUCT(--('Repartition stock'!$A$6:$A$423="2026Q3"),--('Repartition stock'!$B$6:$B$423="DE"),--('Repartition stock'!$E$6:$E$423="Tranche"),--('Repartition stock'!$F$6:$F$423="100 - 500 €"))=0,SUMPRODUCT(--('Repartition stock'!$A$6:$A$423="2026Q3"),--('Repartition stock'!$B$6:$B$423="DE"),--('Repartition stock'!$E$6:$E$423="Tranche"),--('Repartition stock'!$F$6:$F$423="100 - 500 €"),--('Repartition stock'!$G$6:$G$423="n.d."))&gt;0),"n.d.",SUMPRODUCT(--('Repartition stock'!$A$6:$A$423="2026Q3"),--('Repartition stock'!$B$6:$B$423="DE"),--('Repartition stock'!$E$6:$E$423="Tranche"),--('Repartition stock'!$F$6:$F$423="100 - 500 €"),'Repartition stock'!$G$6:$G$423)))="n.d.",0,IF(OR(SUMPRODUCT(--('Repartition stock'!$A$6:$A$423="2026Q3"),--('Repartition stock'!$B$6:$B$423="DE"),--('Repartition stock'!$E$6:$E$423="Tranche"),--('Repartition stock'!$F$6:$F$423="100 - 500 €"))=0,SUMPRODUCT(--('Repartition stock'!$A$6:$A$423="2026Q3"),--('Repartition stock'!$B$6:$B$423="DE"),--('Repartition stock'!$E$6:$E$423="Tranche"),--('Repartition stock'!$F$6:$F$423="100 - 500 €"),--('Repartition stock'!$G$6:$G$423="n.d."))&gt;0),"n.d.",SUMPRODUCT(--('Repartition stock'!$A$6:$A$423="2026Q3"),--('Repartition stock'!$B$6:$B$423="DE"),--('Repartition stock'!$E$6:$E$423="Tranche"),--('Repartition stock'!$F$6:$F$423="100 - 500 €"),'Repartition stock'!$G$6:$G$423)))</f>
        <v>3657.0</v>
      </c>
      <c r="Y10" s="16"/>
      <c r="Z10" s="16">
        <f>IF((IF(OR(SUMPRODUCT(--('Repartition stock'!$A$6:$A$423="2026Q3"),--('Repartition stock'!$B$6:$B$423="DE"),--('Repartition stock'!$E$6:$E$423="Tranche"),--('Repartition stock'!$F$6:$F$423="100 - 500 €"))=0,SUMPRODUCT(--('Repartition stock'!$A$6:$A$423="2026Q3"),--('Repartition stock'!$B$6:$B$423="DE"),--('Repartition stock'!$E$6:$E$423="Tranche"),--('Repartition stock'!$F$6:$F$423="100 - 500 €"),--('Repartition stock'!$J$6:$J$423="n.d."))&gt;0),"n.d.",SUMPRODUCT(--('Repartition stock'!$A$6:$A$423="2026Q3"),--('Repartition stock'!$B$6:$B$423="DE"),--('Repartition stock'!$E$6:$E$423="Tranche"),--('Repartition stock'!$F$6:$F$423="100 - 500 €"),'Repartition stock'!$J$6:$J$423)))="n.d.",0,IF(OR(SUMPRODUCT(--('Repartition stock'!$A$6:$A$423="2026Q3"),--('Repartition stock'!$B$6:$B$423="DE"),--('Repartition stock'!$E$6:$E$423="Tranche"),--('Repartition stock'!$F$6:$F$423="100 - 500 €"))=0,SUMPRODUCT(--('Repartition stock'!$A$6:$A$423="2026Q3"),--('Repartition stock'!$B$6:$B$423="DE"),--('Repartition stock'!$E$6:$E$423="Tranche"),--('Repartition stock'!$F$6:$F$423="100 - 500 €"),--('Repartition stock'!$J$6:$J$423="n.d."))&gt;0),"n.d.",SUMPRODUCT(--('Repartition stock'!$A$6:$A$423="2026Q3"),--('Repartition stock'!$B$6:$B$423="DE"),--('Repartition stock'!$E$6:$E$423="Tranche"),--('Repartition stock'!$F$6:$F$423="100 - 500 €"),'Repartition stock'!$J$6:$J$423)))</f>
        <v>773945.0</v>
      </c>
      <c r="AA10" s="16"/>
      <c r="AB10" s="16"/>
      <c r="AC10" s="7">
        <f>IF((IF(OR(COUNT(X10,X13)&lt;&gt;2,X13=0),"n.d.",X10/X13))="n.d.",0,IF(OR(COUNT(X10,X13)&lt;&gt;2,X13=0),"n.d.",X10/X13))</f>
        <v>0.15399191510864071</v>
      </c>
      <c r="AD10" s="7"/>
      <c r="AE10" s="7">
        <f>IF((IF(OR(COUNT(Z10,Z13)&lt;&gt;2,Z13=0),"n.d.",Z10/Z13))="n.d.",0,IF(OR(COUNT(Z10,Z13)&lt;&gt;2,Z13=0),"n.d.",Z10/Z13))</f>
        <v>0.2815111164782275</v>
      </c>
      <c r="AF10" s="7"/>
    </row>
    <row r="11" spans="1:32" ht="13.5" customHeight="1">
      <c r="A11" s="12"/>
      <c r="R11" s="4"/>
      <c r="S11" s="4"/>
      <c r="T11" s="4"/>
      <c r="U11" s="15" t="s">
        <v>439</v>
      </c>
      <c r="V11" s="15"/>
      <c r="W11" s="15"/>
      <c r="X11" s="16">
        <f>IF((IF(OR(SUMPRODUCT(--('Repartition stock'!$A$6:$A$423="2026Q3"),--('Repartition stock'!$B$6:$B$423="DE"),--('Repartition stock'!$E$6:$E$423="Tranche"),--('Repartition stock'!$F$6:$F$423="500 - 1 000 €"))=0,SUMPRODUCT(--('Repartition stock'!$A$6:$A$423="2026Q3"),--('Repartition stock'!$B$6:$B$423="DE"),--('Repartition stock'!$E$6:$E$423="Tranche"),--('Repartition stock'!$F$6:$F$423="500 - 1 000 €"),--('Repartition stock'!$G$6:$G$423="n.d."))&gt;0),"n.d.",SUMPRODUCT(--('Repartition stock'!$A$6:$A$423="2026Q3"),--('Repartition stock'!$B$6:$B$423="DE"),--('Repartition stock'!$E$6:$E$423="Tranche"),--('Repartition stock'!$F$6:$F$423="500 - 1 000 €"),'Repartition stock'!$G$6:$G$423)))="n.d.",0,IF(OR(SUMPRODUCT(--('Repartition stock'!$A$6:$A$423="2026Q3"),--('Repartition stock'!$B$6:$B$423="DE"),--('Repartition stock'!$E$6:$E$423="Tranche"),--('Repartition stock'!$F$6:$F$423="500 - 1 000 €"))=0,SUMPRODUCT(--('Repartition stock'!$A$6:$A$423="2026Q3"),--('Repartition stock'!$B$6:$B$423="DE"),--('Repartition stock'!$E$6:$E$423="Tranche"),--('Repartition stock'!$F$6:$F$423="500 - 1 000 €"),--('Repartition stock'!$G$6:$G$423="n.d."))&gt;0),"n.d.",SUMPRODUCT(--('Repartition stock'!$A$6:$A$423="2026Q3"),--('Repartition stock'!$B$6:$B$423="DE"),--('Repartition stock'!$E$6:$E$423="Tranche"),--('Repartition stock'!$F$6:$F$423="500 - 1 000 €"),'Repartition stock'!$G$6:$G$423)))</f>
        <v>384.0</v>
      </c>
      <c r="Y11" s="16"/>
      <c r="Z11" s="16">
        <f>IF((IF(OR(SUMPRODUCT(--('Repartition stock'!$A$6:$A$423="2026Q3"),--('Repartition stock'!$B$6:$B$423="DE"),--('Repartition stock'!$E$6:$E$423="Tranche"),--('Repartition stock'!$F$6:$F$423="500 - 1 000 €"))=0,SUMPRODUCT(--('Repartition stock'!$A$6:$A$423="2026Q3"),--('Repartition stock'!$B$6:$B$423="DE"),--('Repartition stock'!$E$6:$E$423="Tranche"),--('Repartition stock'!$F$6:$F$423="500 - 1 000 €"),--('Repartition stock'!$J$6:$J$423="n.d."))&gt;0),"n.d.",SUMPRODUCT(--('Repartition stock'!$A$6:$A$423="2026Q3"),--('Repartition stock'!$B$6:$B$423="DE"),--('Repartition stock'!$E$6:$E$423="Tranche"),--('Repartition stock'!$F$6:$F$423="500 - 1 000 €"),'Repartition stock'!$J$6:$J$423)))="n.d.",0,IF(OR(SUMPRODUCT(--('Repartition stock'!$A$6:$A$423="2026Q3"),--('Repartition stock'!$B$6:$B$423="DE"),--('Repartition stock'!$E$6:$E$423="Tranche"),--('Repartition stock'!$F$6:$F$423="500 - 1 000 €"))=0,SUMPRODUCT(--('Repartition stock'!$A$6:$A$423="2026Q3"),--('Repartition stock'!$B$6:$B$423="DE"),--('Repartition stock'!$E$6:$E$423="Tranche"),--('Repartition stock'!$F$6:$F$423="500 - 1 000 €"),--('Repartition stock'!$J$6:$J$423="n.d."))&gt;0),"n.d.",SUMPRODUCT(--('Repartition stock'!$A$6:$A$423="2026Q3"),--('Repartition stock'!$B$6:$B$423="DE"),--('Repartition stock'!$E$6:$E$423="Tranche"),--('Repartition stock'!$F$6:$F$423="500 - 1 000 €"),'Repartition stock'!$J$6:$J$423)))</f>
        <v>268082.0</v>
      </c>
      <c r="AA11" s="16"/>
      <c r="AB11" s="16"/>
      <c r="AC11" s="7">
        <f>IF((IF(OR(COUNT(X11,X13)&lt;&gt;2,X13=0),"n.d.",X11/X13))="n.d.",0,IF(OR(COUNT(X11,X13)&lt;&gt;2,X13=0),"n.d.",X11/X13))</f>
        <v>0.01616978271854472</v>
      </c>
      <c r="AD11" s="7"/>
      <c r="AE11" s="7">
        <f>IF((IF(OR(COUNT(Z11,Z13)&lt;&gt;2,Z13=0),"n.d.",Z11/Z13))="n.d.",0,IF(OR(COUNT(Z11,Z13)&lt;&gt;2,Z13=0),"n.d.",Z11/Z13))</f>
        <v>0.09751088659751816</v>
      </c>
      <c r="AF11" s="7"/>
    </row>
    <row r="12" spans="1:32" ht="13.5" customHeight="1">
      <c r="A12" s="12"/>
      <c r="R12" s="4"/>
      <c r="S12" s="4"/>
      <c r="T12" s="4"/>
      <c r="U12" s="15" t="s">
        <v>385</v>
      </c>
      <c r="V12" s="15"/>
      <c r="W12" s="15"/>
      <c r="X12" s="16">
        <f>IF((IF(OR(SUMPRODUCT(--('Repartition stock'!$A$6:$A$423="2026Q3"),--('Repartition stock'!$B$6:$B$423="DE"),--('Repartition stock'!$E$6:$E$423="Tranche"),--('Repartition stock'!$F$6:$F$423="&gt; 1 000 €"))=0,SUMPRODUCT(--('Repartition stock'!$A$6:$A$423="2026Q3"),--('Repartition stock'!$B$6:$B$423="DE"),--('Repartition stock'!$E$6:$E$423="Tranche"),--('Repartition stock'!$F$6:$F$423="&gt; 1 000 €"),--('Repartition stock'!$G$6:$G$423="n.d."))&gt;0),"n.d.",SUMPRODUCT(--('Repartition stock'!$A$6:$A$423="2026Q3"),--('Repartition stock'!$B$6:$B$423="DE"),--('Repartition stock'!$E$6:$E$423="Tranche"),--('Repartition stock'!$F$6:$F$423="&gt; 1 000 €"),'Repartition stock'!$G$6:$G$423)))="n.d.",0,IF(OR(SUMPRODUCT(--('Repartition stock'!$A$6:$A$423="2026Q3"),--('Repartition stock'!$B$6:$B$423="DE"),--('Repartition stock'!$E$6:$E$423="Tranche"),--('Repartition stock'!$F$6:$F$423="&gt; 1 000 €"))=0,SUMPRODUCT(--('Repartition stock'!$A$6:$A$423="2026Q3"),--('Repartition stock'!$B$6:$B$423="DE"),--('Repartition stock'!$E$6:$E$423="Tranche"),--('Repartition stock'!$F$6:$F$423="&gt; 1 000 €"),--('Repartition stock'!$G$6:$G$423="n.d."))&gt;0),"n.d.",SUMPRODUCT(--('Repartition stock'!$A$6:$A$423="2026Q3"),--('Repartition stock'!$B$6:$B$423="DE"),--('Repartition stock'!$E$6:$E$423="Tranche"),--('Repartition stock'!$F$6:$F$423="&gt; 1 000 €"),'Repartition stock'!$G$6:$G$423)))</f>
        <v>666.0</v>
      </c>
      <c r="Y12" s="16"/>
      <c r="Z12" s="16">
        <f>IF((IF(OR(SUMPRODUCT(--('Repartition stock'!$A$6:$A$423="2026Q3"),--('Repartition stock'!$B$6:$B$423="DE"),--('Repartition stock'!$E$6:$E$423="Tranche"),--('Repartition stock'!$F$6:$F$423="&gt; 1 000 €"))=0,SUMPRODUCT(--('Repartition stock'!$A$6:$A$423="2026Q3"),--('Repartition stock'!$B$6:$B$423="DE"),--('Repartition stock'!$E$6:$E$423="Tranche"),--('Repartition stock'!$F$6:$F$423="&gt; 1 000 €"),--('Repartition stock'!$J$6:$J$423="n.d."))&gt;0),"n.d.",SUMPRODUCT(--('Repartition stock'!$A$6:$A$423="2026Q3"),--('Repartition stock'!$B$6:$B$423="DE"),--('Repartition stock'!$E$6:$E$423="Tranche"),--('Repartition stock'!$F$6:$F$423="&gt; 1 000 €"),'Repartition stock'!$J$6:$J$423)))="n.d.",0,IF(OR(SUMPRODUCT(--('Repartition stock'!$A$6:$A$423="2026Q3"),--('Repartition stock'!$B$6:$B$423="DE"),--('Repartition stock'!$E$6:$E$423="Tranche"),--('Repartition stock'!$F$6:$F$423="&gt; 1 000 €"))=0,SUMPRODUCT(--('Repartition stock'!$A$6:$A$423="2026Q3"),--('Repartition stock'!$B$6:$B$423="DE"),--('Repartition stock'!$E$6:$E$423="Tranche"),--('Repartition stock'!$F$6:$F$423="&gt; 1 000 €"),--('Repartition stock'!$J$6:$J$423="n.d."))&gt;0),"n.d.",SUMPRODUCT(--('Repartition stock'!$A$6:$A$423="2026Q3"),--('Repartition stock'!$B$6:$B$423="DE"),--('Repartition stock'!$E$6:$E$423="Tranche"),--('Repartition stock'!$F$6:$F$423="&gt; 1 000 €"),'Repartition stock'!$J$6:$J$423)))</f>
        <v>1189327.0</v>
      </c>
      <c r="AA12" s="16"/>
      <c r="AB12" s="16"/>
      <c r="AC12" s="7">
        <f>IF((IF(OR(COUNT(X12,X13)&lt;&gt;2,X13=0),"n.d.",X12/X13))="n.d.",0,IF(OR(COUNT(X12,X13)&lt;&gt;2,X13=0),"n.d.",X12/X13))</f>
        <v>0.028044466902475997</v>
      </c>
      <c r="AD12" s="7"/>
      <c r="AE12" s="7">
        <f>IF((IF(OR(COUNT(Z12,Z13)&lt;&gt;2,Z13=0),"n.d.",Z12/Z13))="n.d.",0,IF(OR(COUNT(Z12,Z13)&lt;&gt;2,Z13=0),"n.d.",Z12/Z13))</f>
        <v>0.43260021271240323</v>
      </c>
      <c r="AF12" s="7"/>
    </row>
    <row r="13" spans="1:32" ht="13.5" customHeight="1">
      <c r="A13" s="12"/>
      <c r="R13" s="17" t="s">
        <v>3150</v>
      </c>
      <c r="S13" s="17"/>
      <c r="T13" s="17"/>
      <c r="U13" s="17"/>
      <c r="V13" s="17"/>
      <c r="W13" s="17"/>
      <c r="X13" s="17">
        <f>IF((IF(COUNT(X7:X12)=6,SUM(X7:X12),"n.d."))="n.d.",0,IF(COUNT(X7:X12)=6,SUM(X7:X12),"n.d."))</f>
        <v>23748.0</v>
      </c>
      <c r="Y13" s="17"/>
      <c r="Z13" s="17">
        <f>IF((IF(COUNT(Z7:Z12)=6,SUM(Z7:Z12),"n.d."))="n.d.",0,IF(COUNT(Z7:Z12)=6,SUM(Z7:Z12),"n.d."))</f>
        <v>2749252.0</v>
      </c>
      <c r="AA13" s="17"/>
      <c r="AB13" s="17"/>
      <c r="AC13" s="9">
        <f>IF((IF(OR(NOT(ISNUMBER(X13)),X13=0),"n.d.",1))="n.d.",0,IF(OR(NOT(ISNUMBER(X13)),X13=0),"n.d.",1))</f>
        <v>1.0</v>
      </c>
      <c r="AD13" s="9"/>
      <c r="AE13" s="9">
        <f>IF((IF(OR(NOT(ISNUMBER(Z13)),Z13=0),"n.d.",1))="n.d.",0,IF(OR(NOT(ISNUMBER(Z13)),Z13=0),"n.d.",1))</f>
        <v>1.0</v>
      </c>
      <c r="AF13" s="9"/>
    </row>
    <row r="14" spans="1:32" ht="13.5" customHeight="1">
      <c r="A14" s="12"/>
    </row>
    <row r="15" spans="1:32" ht="13.5" customHeight="1">
      <c r="A15" s="12"/>
      <c r="R15" s="4" t="s">
        <v>3151</v>
      </c>
      <c r="S15" s="4"/>
      <c r="T15" s="4"/>
      <c r="U15" s="15" t="s">
        <v>387</v>
      </c>
      <c r="V15" s="15"/>
      <c r="W15" s="15"/>
      <c r="X15" s="16">
        <f>IF((IF(OR(SUMPRODUCT(--('Repartition stock'!$A$6:$A$423="2026Q3"),--('Repartition stock'!$B$6:$B$423="DE"),--('Repartition stock'!$E$6:$E$423="Millésime"),--('Repartition stock'!$F$6:$F$423="&lt;2018"))=0,SUMPRODUCT(--('Repartition stock'!$A$6:$A$423="2026Q3"),--('Repartition stock'!$B$6:$B$423="DE"),--('Repartition stock'!$E$6:$E$423="Millésime"),--('Repartition stock'!$F$6:$F$423="&lt;2018"),--('Repartition stock'!$G$6:$G$423="n.d."))&gt;0),"n.d.",SUMPRODUCT(--('Repartition stock'!$A$6:$A$423="2026Q3"),--('Repartition stock'!$B$6:$B$423="DE"),--('Repartition stock'!$E$6:$E$423="Millésime"),--('Repartition stock'!$F$6:$F$423="&lt;2018"),'Repartition stock'!$G$6:$G$423)))="n.d.",0,IF(OR(SUMPRODUCT(--('Repartition stock'!$A$6:$A$423="2026Q3"),--('Repartition stock'!$B$6:$B$423="DE"),--('Repartition stock'!$E$6:$E$423="Millésime"),--('Repartition stock'!$F$6:$F$423="&lt;2018"))=0,SUMPRODUCT(--('Repartition stock'!$A$6:$A$423="2026Q3"),--('Repartition stock'!$B$6:$B$423="DE"),--('Repartition stock'!$E$6:$E$423="Millésime"),--('Repartition stock'!$F$6:$F$423="&lt;2018"),--('Repartition stock'!$G$6:$G$423="n.d."))&gt;0),"n.d.",SUMPRODUCT(--('Repartition stock'!$A$6:$A$423="2026Q3"),--('Repartition stock'!$B$6:$B$423="DE"),--('Repartition stock'!$E$6:$E$423="Millésime"),--('Repartition stock'!$F$6:$F$423="&lt;2018"),'Repartition stock'!$G$6:$G$423)))</f>
        <v>2355.0</v>
      </c>
      <c r="Y15" s="16"/>
      <c r="Z15" s="16">
        <f>IF((IF(OR(SUMPRODUCT(--('Repartition stock'!$A$6:$A$423="2026Q3"),--('Repartition stock'!$B$6:$B$423="DE"),--('Repartition stock'!$E$6:$E$423="Millésime"),--('Repartition stock'!$F$6:$F$423="&lt;2018"))=0,SUMPRODUCT(--('Repartition stock'!$A$6:$A$423="2026Q3"),--('Repartition stock'!$B$6:$B$423="DE"),--('Repartition stock'!$E$6:$E$423="Millésime"),--('Repartition stock'!$F$6:$F$423="&lt;2018"),--('Repartition stock'!$J$6:$J$423="n.d."))&gt;0),"n.d.",SUMPRODUCT(--('Repartition stock'!$A$6:$A$423="2026Q3"),--('Repartition stock'!$B$6:$B$423="DE"),--('Repartition stock'!$E$6:$E$423="Millésime"),--('Repartition stock'!$F$6:$F$423="&lt;2018"),'Repartition stock'!$J$6:$J$423)))="n.d.",0,IF(OR(SUMPRODUCT(--('Repartition stock'!$A$6:$A$423="2026Q3"),--('Repartition stock'!$B$6:$B$423="DE"),--('Repartition stock'!$E$6:$E$423="Millésime"),--('Repartition stock'!$F$6:$F$423="&lt;2018"))=0,SUMPRODUCT(--('Repartition stock'!$A$6:$A$423="2026Q3"),--('Repartition stock'!$B$6:$B$423="DE"),--('Repartition stock'!$E$6:$E$423="Millésime"),--('Repartition stock'!$F$6:$F$423="&lt;2018"),--('Repartition stock'!$J$6:$J$423="n.d."))&gt;0),"n.d.",SUMPRODUCT(--('Repartition stock'!$A$6:$A$423="2026Q3"),--('Repartition stock'!$B$6:$B$423="DE"),--('Repartition stock'!$E$6:$E$423="Millésime"),--('Repartition stock'!$F$6:$F$423="&lt;2018"),'Repartition stock'!$J$6:$J$423)))</f>
        <v>97381.0</v>
      </c>
      <c r="AA15" s="16"/>
      <c r="AB15" s="16"/>
      <c r="AC15" s="7">
        <f>IF((IF(OR(COUNT(X15,X25)&lt;&gt;2,X25=0),"n.d.",X15/X25))="n.d.",0,IF(OR(COUNT(X15,X25)&lt;&gt;2,X25=0),"n.d.",X15/X25))</f>
        <v>0.10030667007411194</v>
      </c>
      <c r="AD15" s="7"/>
      <c r="AE15" s="7">
        <f>IF((IF(OR(COUNT(Z15,Z25)&lt;&gt;2,Z25=0),"n.d.",Z15/Z25))="n.d.",0,IF(OR(COUNT(Z15,Z25)&lt;&gt;2,Z25=0),"n.d.",Z15/Z25))</f>
        <v>0.035420907214034944</v>
      </c>
      <c r="AF15" s="7"/>
    </row>
    <row r="16" spans="1:32" ht="13.5" customHeight="1">
      <c r="A16" s="12"/>
      <c r="R16" s="4"/>
      <c r="S16" s="4"/>
      <c r="T16" s="4"/>
      <c r="U16" s="15" t="s">
        <v>389</v>
      </c>
      <c r="V16" s="15"/>
      <c r="W16" s="15"/>
      <c r="X16" s="16">
        <f>IF((IF(OR(SUMPRODUCT(--('Repartition stock'!$A$6:$A$423="2026Q3"),--('Repartition stock'!$B$6:$B$423="DE"),--('Repartition stock'!$E$6:$E$423="Millésime"),--('Repartition stock'!$F$6:$F$423="2018"))=0,SUMPRODUCT(--('Repartition stock'!$A$6:$A$423="2026Q3"),--('Repartition stock'!$B$6:$B$423="DE"),--('Repartition stock'!$E$6:$E$423="Millésime"),--('Repartition stock'!$F$6:$F$423="2018"),--('Repartition stock'!$G$6:$G$423="n.d."))&gt;0),"n.d.",SUMPRODUCT(--('Repartition stock'!$A$6:$A$423="2026Q3"),--('Repartition stock'!$B$6:$B$423="DE"),--('Repartition stock'!$E$6:$E$423="Millésime"),--('Repartition stock'!$F$6:$F$423="2018"),'Repartition stock'!$G$6:$G$423)))="n.d.",0,IF(OR(SUMPRODUCT(--('Repartition stock'!$A$6:$A$423="2026Q3"),--('Repartition stock'!$B$6:$B$423="DE"),--('Repartition stock'!$E$6:$E$423="Millésime"),--('Repartition stock'!$F$6:$F$423="2018"))=0,SUMPRODUCT(--('Repartition stock'!$A$6:$A$423="2026Q3"),--('Repartition stock'!$B$6:$B$423="DE"),--('Repartition stock'!$E$6:$E$423="Millésime"),--('Repartition stock'!$F$6:$F$423="2018"),--('Repartition stock'!$G$6:$G$423="n.d."))&gt;0),"n.d.",SUMPRODUCT(--('Repartition stock'!$A$6:$A$423="2026Q3"),--('Repartition stock'!$B$6:$B$423="DE"),--('Repartition stock'!$E$6:$E$423="Millésime"),--('Repartition stock'!$F$6:$F$423="2018"),'Repartition stock'!$G$6:$G$423)))</f>
        <v>218.0</v>
      </c>
      <c r="Y16" s="16"/>
      <c r="Z16" s="16">
        <f>IF((IF(OR(SUMPRODUCT(--('Repartition stock'!$A$6:$A$423="2026Q3"),--('Repartition stock'!$B$6:$B$423="DE"),--('Repartition stock'!$E$6:$E$423="Millésime"),--('Repartition stock'!$F$6:$F$423="2018"))=0,SUMPRODUCT(--('Repartition stock'!$A$6:$A$423="2026Q3"),--('Repartition stock'!$B$6:$B$423="DE"),--('Repartition stock'!$E$6:$E$423="Millésime"),--('Repartition stock'!$F$6:$F$423="2018"),--('Repartition stock'!$J$6:$J$423="n.d."))&gt;0),"n.d.",SUMPRODUCT(--('Repartition stock'!$A$6:$A$423="2026Q3"),--('Repartition stock'!$B$6:$B$423="DE"),--('Repartition stock'!$E$6:$E$423="Millésime"),--('Repartition stock'!$F$6:$F$423="2018"),'Repartition stock'!$J$6:$J$423)))="n.d.",0,IF(OR(SUMPRODUCT(--('Repartition stock'!$A$6:$A$423="2026Q3"),--('Repartition stock'!$B$6:$B$423="DE"),--('Repartition stock'!$E$6:$E$423="Millésime"),--('Repartition stock'!$F$6:$F$423="2018"))=0,SUMPRODUCT(--('Repartition stock'!$A$6:$A$423="2026Q3"),--('Repartition stock'!$B$6:$B$423="DE"),--('Repartition stock'!$E$6:$E$423="Millésime"),--('Repartition stock'!$F$6:$F$423="2018"),--('Repartition stock'!$J$6:$J$423="n.d."))&gt;0),"n.d.",SUMPRODUCT(--('Repartition stock'!$A$6:$A$423="2026Q3"),--('Repartition stock'!$B$6:$B$423="DE"),--('Repartition stock'!$E$6:$E$423="Millésime"),--('Repartition stock'!$F$6:$F$423="2018"),'Repartition stock'!$J$6:$J$423)))</f>
        <v>13021.0</v>
      </c>
      <c r="AA16" s="16"/>
      <c r="AB16" s="16"/>
      <c r="AC16" s="7">
        <f>IF((IF(OR(COUNT(X16,X25)&lt;&gt;2,X25=0),"n.d.",X16/X25))="n.d.",0,IF(OR(COUNT(X16,X25)&lt;&gt;2,X25=0),"n.d.",X16/X25))</f>
        <v>0.009285288355055796</v>
      </c>
      <c r="AD16" s="7"/>
      <c r="AE16" s="7">
        <f>IF((IF(OR(COUNT(Z16,Z25)&lt;&gt;2,Z25=0),"n.d.",Z16/Z25))="n.d.",0,IF(OR(COUNT(Z16,Z25)&lt;&gt;2,Z25=0),"n.d.",Z16/Z25))</f>
        <v>0.004736197336584642</v>
      </c>
      <c r="AF16" s="7"/>
    </row>
    <row r="17" spans="1:32" ht="13.5" customHeight="1">
      <c r="A17" s="12"/>
      <c r="R17" s="4"/>
      <c r="S17" s="4"/>
      <c r="T17" s="4"/>
      <c r="U17" s="15" t="s">
        <v>391</v>
      </c>
      <c r="V17" s="15"/>
      <c r="W17" s="15"/>
      <c r="X17" s="16">
        <f>IF((IF(OR(SUMPRODUCT(--('Repartition stock'!$A$6:$A$423="2026Q3"),--('Repartition stock'!$B$6:$B$423="DE"),--('Repartition stock'!$E$6:$E$423="Millésime"),--('Repartition stock'!$F$6:$F$423="2019"))=0,SUMPRODUCT(--('Repartition stock'!$A$6:$A$423="2026Q3"),--('Repartition stock'!$B$6:$B$423="DE"),--('Repartition stock'!$E$6:$E$423="Millésime"),--('Repartition stock'!$F$6:$F$423="2019"),--('Repartition stock'!$G$6:$G$423="n.d."))&gt;0),"n.d.",SUMPRODUCT(--('Repartition stock'!$A$6:$A$423="2026Q3"),--('Repartition stock'!$B$6:$B$423="DE"),--('Repartition stock'!$E$6:$E$423="Millésime"),--('Repartition stock'!$F$6:$F$423="2019"),'Repartition stock'!$G$6:$G$423)))="n.d.",0,IF(OR(SUMPRODUCT(--('Repartition stock'!$A$6:$A$423="2026Q3"),--('Repartition stock'!$B$6:$B$423="DE"),--('Repartition stock'!$E$6:$E$423="Millésime"),--('Repartition stock'!$F$6:$F$423="2019"))=0,SUMPRODUCT(--('Repartition stock'!$A$6:$A$423="2026Q3"),--('Repartition stock'!$B$6:$B$423="DE"),--('Repartition stock'!$E$6:$E$423="Millésime"),--('Repartition stock'!$F$6:$F$423="2019"),--('Repartition stock'!$G$6:$G$423="n.d."))&gt;0),"n.d.",SUMPRODUCT(--('Repartition stock'!$A$6:$A$423="2026Q3"),--('Repartition stock'!$B$6:$B$423="DE"),--('Repartition stock'!$E$6:$E$423="Millésime"),--('Repartition stock'!$F$6:$F$423="2019"),'Repartition stock'!$G$6:$G$423)))</f>
        <v>141.0</v>
      </c>
      <c r="Y17" s="16"/>
      <c r="Z17" s="16">
        <f>IF((IF(OR(SUMPRODUCT(--('Repartition stock'!$A$6:$A$423="2026Q3"),--('Repartition stock'!$B$6:$B$423="DE"),--('Repartition stock'!$E$6:$E$423="Millésime"),--('Repartition stock'!$F$6:$F$423="2019"))=0,SUMPRODUCT(--('Repartition stock'!$A$6:$A$423="2026Q3"),--('Repartition stock'!$B$6:$B$423="DE"),--('Repartition stock'!$E$6:$E$423="Millésime"),--('Repartition stock'!$F$6:$F$423="2019"),--('Repartition stock'!$J$6:$J$423="n.d."))&gt;0),"n.d.",SUMPRODUCT(--('Repartition stock'!$A$6:$A$423="2026Q3"),--('Repartition stock'!$B$6:$B$423="DE"),--('Repartition stock'!$E$6:$E$423="Millésime"),--('Repartition stock'!$F$6:$F$423="2019"),'Repartition stock'!$J$6:$J$423)))="n.d.",0,IF(OR(SUMPRODUCT(--('Repartition stock'!$A$6:$A$423="2026Q3"),--('Repartition stock'!$B$6:$B$423="DE"),--('Repartition stock'!$E$6:$E$423="Millésime"),--('Repartition stock'!$F$6:$F$423="2019"))=0,SUMPRODUCT(--('Repartition stock'!$A$6:$A$423="2026Q3"),--('Repartition stock'!$B$6:$B$423="DE"),--('Repartition stock'!$E$6:$E$423="Millésime"),--('Repartition stock'!$F$6:$F$423="2019"),--('Repartition stock'!$J$6:$J$423="n.d."))&gt;0),"n.d.",SUMPRODUCT(--('Repartition stock'!$A$6:$A$423="2026Q3"),--('Repartition stock'!$B$6:$B$423="DE"),--('Repartition stock'!$E$6:$E$423="Millésime"),--('Repartition stock'!$F$6:$F$423="2019"),'Repartition stock'!$J$6:$J$423)))</f>
        <v>22544.0</v>
      </c>
      <c r="AA17" s="16"/>
      <c r="AB17" s="16"/>
      <c r="AC17" s="7">
        <f>IF((IF(OR(COUNT(X17,X25)&lt;&gt;2,X25=0),"n.d.",X17/X25))="n.d.",0,IF(OR(COUNT(X17,X25)&lt;&gt;2,X25=0),"n.d.",X17/X25))</f>
        <v>0.0060056222846920524</v>
      </c>
      <c r="AD17" s="7"/>
      <c r="AE17" s="7">
        <f>IF((IF(OR(COUNT(Z17,Z25)&lt;&gt;2,Z25=0),"n.d.",Z17/Z25))="n.d.",0,IF(OR(COUNT(Z17,Z25)&lt;&gt;2,Z25=0),"n.d.",Z17/Z25))</f>
        <v>0.008200048595036032</v>
      </c>
      <c r="AF17" s="7"/>
    </row>
    <row r="18" spans="1:32" ht="13.5" customHeight="1">
      <c r="A18" s="12"/>
      <c r="R18" s="4"/>
      <c r="S18" s="4"/>
      <c r="T18" s="4"/>
      <c r="U18" s="15" t="s">
        <v>393</v>
      </c>
      <c r="V18" s="15"/>
      <c r="W18" s="15"/>
      <c r="X18" s="16">
        <f>IF((IF(OR(SUMPRODUCT(--('Repartition stock'!$A$6:$A$423="2026Q3"),--('Repartition stock'!$B$6:$B$423="DE"),--('Repartition stock'!$E$6:$E$423="Millésime"),--('Repartition stock'!$F$6:$F$423="2020"))=0,SUMPRODUCT(--('Repartition stock'!$A$6:$A$423="2026Q3"),--('Repartition stock'!$B$6:$B$423="DE"),--('Repartition stock'!$E$6:$E$423="Millésime"),--('Repartition stock'!$F$6:$F$423="2020"),--('Repartition stock'!$G$6:$G$423="n.d."))&gt;0),"n.d.",SUMPRODUCT(--('Repartition stock'!$A$6:$A$423="2026Q3"),--('Repartition stock'!$B$6:$B$423="DE"),--('Repartition stock'!$E$6:$E$423="Millésime"),--('Repartition stock'!$F$6:$F$423="2020"),'Repartition stock'!$G$6:$G$423)))="n.d.",0,IF(OR(SUMPRODUCT(--('Repartition stock'!$A$6:$A$423="2026Q3"),--('Repartition stock'!$B$6:$B$423="DE"),--('Repartition stock'!$E$6:$E$423="Millésime"),--('Repartition stock'!$F$6:$F$423="2020"))=0,SUMPRODUCT(--('Repartition stock'!$A$6:$A$423="2026Q3"),--('Repartition stock'!$B$6:$B$423="DE"),--('Repartition stock'!$E$6:$E$423="Millésime"),--('Repartition stock'!$F$6:$F$423="2020"),--('Repartition stock'!$G$6:$G$423="n.d."))&gt;0),"n.d.",SUMPRODUCT(--('Repartition stock'!$A$6:$A$423="2026Q3"),--('Repartition stock'!$B$6:$B$423="DE"),--('Repartition stock'!$E$6:$E$423="Millésime"),--('Repartition stock'!$F$6:$F$423="2020"),'Repartition stock'!$G$6:$G$423)))</f>
        <v>378.0</v>
      </c>
      <c r="Y18" s="16"/>
      <c r="Z18" s="16">
        <f>IF((IF(OR(SUMPRODUCT(--('Repartition stock'!$A$6:$A$423="2026Q3"),--('Repartition stock'!$B$6:$B$423="DE"),--('Repartition stock'!$E$6:$E$423="Millésime"),--('Repartition stock'!$F$6:$F$423="2020"))=0,SUMPRODUCT(--('Repartition stock'!$A$6:$A$423="2026Q3"),--('Repartition stock'!$B$6:$B$423="DE"),--('Repartition stock'!$E$6:$E$423="Millésime"),--('Repartition stock'!$F$6:$F$423="2020"),--('Repartition stock'!$J$6:$J$423="n.d."))&gt;0),"n.d.",SUMPRODUCT(--('Repartition stock'!$A$6:$A$423="2026Q3"),--('Repartition stock'!$B$6:$B$423="DE"),--('Repartition stock'!$E$6:$E$423="Millésime"),--('Repartition stock'!$F$6:$F$423="2020"),'Repartition stock'!$J$6:$J$423)))="n.d.",0,IF(OR(SUMPRODUCT(--('Repartition stock'!$A$6:$A$423="2026Q3"),--('Repartition stock'!$B$6:$B$423="DE"),--('Repartition stock'!$E$6:$E$423="Millésime"),--('Repartition stock'!$F$6:$F$423="2020"))=0,SUMPRODUCT(--('Repartition stock'!$A$6:$A$423="2026Q3"),--('Repartition stock'!$B$6:$B$423="DE"),--('Repartition stock'!$E$6:$E$423="Millésime"),--('Repartition stock'!$F$6:$F$423="2020"),--('Repartition stock'!$J$6:$J$423="n.d."))&gt;0),"n.d.",SUMPRODUCT(--('Repartition stock'!$A$6:$A$423="2026Q3"),--('Repartition stock'!$B$6:$B$423="DE"),--('Repartition stock'!$E$6:$E$423="Millésime"),--('Repartition stock'!$F$6:$F$423="2020"),'Repartition stock'!$J$6:$J$423)))</f>
        <v>27140.0</v>
      </c>
      <c r="AA18" s="16"/>
      <c r="AB18" s="16"/>
      <c r="AC18" s="7">
        <f>IF((IF(OR(COUNT(X18,X25)&lt;&gt;2,X25=0),"n.d.",X18/X25))="n.d.",0,IF(OR(COUNT(X18,X25)&lt;&gt;2,X25=0),"n.d.",X18/X25))</f>
        <v>0.016100178890876567</v>
      </c>
      <c r="AD18" s="7"/>
      <c r="AE18" s="7">
        <f>IF((IF(OR(COUNT(Z18,Z25)&lt;&gt;2,Z25=0),"n.d.",Z18/Z25))="n.d.",0,IF(OR(COUNT(Z18,Z25)&lt;&gt;2,Z25=0),"n.d.",Z18/Z25))</f>
        <v>0.00987177603217166</v>
      </c>
      <c r="AF18" s="7"/>
    </row>
    <row r="19" spans="1:32" ht="13.5" customHeight="1">
      <c r="A19" s="12"/>
      <c r="R19" s="4"/>
      <c r="S19" s="4"/>
      <c r="T19" s="4"/>
      <c r="U19" s="15" t="s">
        <v>395</v>
      </c>
      <c r="V19" s="15"/>
      <c r="W19" s="15"/>
      <c r="X19" s="16">
        <f>IF((IF(OR(SUMPRODUCT(--('Repartition stock'!$A$6:$A$423="2026Q3"),--('Repartition stock'!$B$6:$B$423="DE"),--('Repartition stock'!$E$6:$E$423="Millésime"),--('Repartition stock'!$F$6:$F$423="2021"))=0,SUMPRODUCT(--('Repartition stock'!$A$6:$A$423="2026Q3"),--('Repartition stock'!$B$6:$B$423="DE"),--('Repartition stock'!$E$6:$E$423="Millésime"),--('Repartition stock'!$F$6:$F$423="2021"),--('Repartition stock'!$G$6:$G$423="n.d."))&gt;0),"n.d.",SUMPRODUCT(--('Repartition stock'!$A$6:$A$423="2026Q3"),--('Repartition stock'!$B$6:$B$423="DE"),--('Repartition stock'!$E$6:$E$423="Millésime"),--('Repartition stock'!$F$6:$F$423="2021"),'Repartition stock'!$G$6:$G$423)))="n.d.",0,IF(OR(SUMPRODUCT(--('Repartition stock'!$A$6:$A$423="2026Q3"),--('Repartition stock'!$B$6:$B$423="DE"),--('Repartition stock'!$E$6:$E$423="Millésime"),--('Repartition stock'!$F$6:$F$423="2021"))=0,SUMPRODUCT(--('Repartition stock'!$A$6:$A$423="2026Q3"),--('Repartition stock'!$B$6:$B$423="DE"),--('Repartition stock'!$E$6:$E$423="Millésime"),--('Repartition stock'!$F$6:$F$423="2021"),--('Repartition stock'!$G$6:$G$423="n.d."))&gt;0),"n.d.",SUMPRODUCT(--('Repartition stock'!$A$6:$A$423="2026Q3"),--('Repartition stock'!$B$6:$B$423="DE"),--('Repartition stock'!$E$6:$E$423="Millésime"),--('Repartition stock'!$F$6:$F$423="2021"),'Repartition stock'!$G$6:$G$423)))</f>
        <v>377.0</v>
      </c>
      <c r="Y19" s="16"/>
      <c r="Z19" s="16">
        <f>IF((IF(OR(SUMPRODUCT(--('Repartition stock'!$A$6:$A$423="2026Q3"),--('Repartition stock'!$B$6:$B$423="DE"),--('Repartition stock'!$E$6:$E$423="Millésime"),--('Repartition stock'!$F$6:$F$423="2021"))=0,SUMPRODUCT(--('Repartition stock'!$A$6:$A$423="2026Q3"),--('Repartition stock'!$B$6:$B$423="DE"),--('Repartition stock'!$E$6:$E$423="Millésime"),--('Repartition stock'!$F$6:$F$423="2021"),--('Repartition stock'!$J$6:$J$423="n.d."))&gt;0),"n.d.",SUMPRODUCT(--('Repartition stock'!$A$6:$A$423="2026Q3"),--('Repartition stock'!$B$6:$B$423="DE"),--('Repartition stock'!$E$6:$E$423="Millésime"),--('Repartition stock'!$F$6:$F$423="2021"),'Repartition stock'!$J$6:$J$423)))="n.d.",0,IF(OR(SUMPRODUCT(--('Repartition stock'!$A$6:$A$423="2026Q3"),--('Repartition stock'!$B$6:$B$423="DE"),--('Repartition stock'!$E$6:$E$423="Millésime"),--('Repartition stock'!$F$6:$F$423="2021"))=0,SUMPRODUCT(--('Repartition stock'!$A$6:$A$423="2026Q3"),--('Repartition stock'!$B$6:$B$423="DE"),--('Repartition stock'!$E$6:$E$423="Millésime"),--('Repartition stock'!$F$6:$F$423="2021"),--('Repartition stock'!$J$6:$J$423="n.d."))&gt;0),"n.d.",SUMPRODUCT(--('Repartition stock'!$A$6:$A$423="2026Q3"),--('Repartition stock'!$B$6:$B$423="DE"),--('Repartition stock'!$E$6:$E$423="Millésime"),--('Repartition stock'!$F$6:$F$423="2021"),'Repartition stock'!$J$6:$J$423)))</f>
        <v>25847.0</v>
      </c>
      <c r="AA19" s="16"/>
      <c r="AB19" s="16"/>
      <c r="AC19" s="7">
        <f>IF((IF(OR(COUNT(X19,X25)&lt;&gt;2,X25=0),"n.d.",X19/X25))="n.d.",0,IF(OR(COUNT(X19,X25)&lt;&gt;2,X25=0),"n.d.",X19/X25))</f>
        <v>0.016057585825027684</v>
      </c>
      <c r="AD19" s="7"/>
      <c r="AE19" s="7">
        <f>IF((IF(OR(COUNT(Z19,Z25)&lt;&gt;2,Z25=0),"n.d.",Z19/Z25))="n.d.",0,IF(OR(COUNT(Z19,Z25)&lt;&gt;2,Z25=0),"n.d.",Z19/Z25))</f>
        <v>0.0094014662897399</v>
      </c>
      <c r="AF19" s="7"/>
    </row>
    <row r="20" spans="1:32" ht="13.5" customHeight="1">
      <c r="A20" s="12"/>
      <c r="R20" s="4"/>
      <c r="S20" s="4"/>
      <c r="T20" s="4"/>
      <c r="U20" s="15" t="s">
        <v>397</v>
      </c>
      <c r="V20" s="15"/>
      <c r="W20" s="15"/>
      <c r="X20" s="16">
        <f>IF((IF(OR(SUMPRODUCT(--('Repartition stock'!$A$6:$A$423="2026Q3"),--('Repartition stock'!$B$6:$B$423="DE"),--('Repartition stock'!$E$6:$E$423="Millésime"),--('Repartition stock'!$F$6:$F$423="2022"))=0,SUMPRODUCT(--('Repartition stock'!$A$6:$A$423="2026Q3"),--('Repartition stock'!$B$6:$B$423="DE"),--('Repartition stock'!$E$6:$E$423="Millésime"),--('Repartition stock'!$F$6:$F$423="2022"),--('Repartition stock'!$G$6:$G$423="n.d."))&gt;0),"n.d.",SUMPRODUCT(--('Repartition stock'!$A$6:$A$423="2026Q3"),--('Repartition stock'!$B$6:$B$423="DE"),--('Repartition stock'!$E$6:$E$423="Millésime"),--('Repartition stock'!$F$6:$F$423="2022"),'Repartition stock'!$G$6:$G$423)))="n.d.",0,IF(OR(SUMPRODUCT(--('Repartition stock'!$A$6:$A$423="2026Q3"),--('Repartition stock'!$B$6:$B$423="DE"),--('Repartition stock'!$E$6:$E$423="Millésime"),--('Repartition stock'!$F$6:$F$423="2022"))=0,SUMPRODUCT(--('Repartition stock'!$A$6:$A$423="2026Q3"),--('Repartition stock'!$B$6:$B$423="DE"),--('Repartition stock'!$E$6:$E$423="Millésime"),--('Repartition stock'!$F$6:$F$423="2022"),--('Repartition stock'!$G$6:$G$423="n.d."))&gt;0),"n.d.",SUMPRODUCT(--('Repartition stock'!$A$6:$A$423="2026Q3"),--('Repartition stock'!$B$6:$B$423="DE"),--('Repartition stock'!$E$6:$E$423="Millésime"),--('Repartition stock'!$F$6:$F$423="2022"),'Repartition stock'!$G$6:$G$423)))</f>
        <v>538.0</v>
      </c>
      <c r="Y20" s="16"/>
      <c r="Z20" s="16">
        <f>IF((IF(OR(SUMPRODUCT(--('Repartition stock'!$A$6:$A$423="2026Q3"),--('Repartition stock'!$B$6:$B$423="DE"),--('Repartition stock'!$E$6:$E$423="Millésime"),--('Repartition stock'!$F$6:$F$423="2022"))=0,SUMPRODUCT(--('Repartition stock'!$A$6:$A$423="2026Q3"),--('Repartition stock'!$B$6:$B$423="DE"),--('Repartition stock'!$E$6:$E$423="Millésime"),--('Repartition stock'!$F$6:$F$423="2022"),--('Repartition stock'!$J$6:$J$423="n.d."))&gt;0),"n.d.",SUMPRODUCT(--('Repartition stock'!$A$6:$A$423="2026Q3"),--('Repartition stock'!$B$6:$B$423="DE"),--('Repartition stock'!$E$6:$E$423="Millésime"),--('Repartition stock'!$F$6:$F$423="2022"),'Repartition stock'!$J$6:$J$423)))="n.d.",0,IF(OR(SUMPRODUCT(--('Repartition stock'!$A$6:$A$423="2026Q3"),--('Repartition stock'!$B$6:$B$423="DE"),--('Repartition stock'!$E$6:$E$423="Millésime"),--('Repartition stock'!$F$6:$F$423="2022"))=0,SUMPRODUCT(--('Repartition stock'!$A$6:$A$423="2026Q3"),--('Repartition stock'!$B$6:$B$423="DE"),--('Repartition stock'!$E$6:$E$423="Millésime"),--('Repartition stock'!$F$6:$F$423="2022"),--('Repartition stock'!$J$6:$J$423="n.d."))&gt;0),"n.d.",SUMPRODUCT(--('Repartition stock'!$A$6:$A$423="2026Q3"),--('Repartition stock'!$B$6:$B$423="DE"),--('Repartition stock'!$E$6:$E$423="Millésime"),--('Repartition stock'!$F$6:$F$423="2022"),'Repartition stock'!$J$6:$J$423)))</f>
        <v>259900.0</v>
      </c>
      <c r="AA20" s="16"/>
      <c r="AB20" s="16"/>
      <c r="AC20" s="7">
        <f>IF((IF(OR(COUNT(X20,X25)&lt;&gt;2,X25=0),"n.d.",X20/X25))="n.d.",0,IF(OR(COUNT(X20,X25)&lt;&gt;2,X25=0),"n.d.",X20/X25))</f>
        <v>0.022915069426697333</v>
      </c>
      <c r="AD20" s="7"/>
      <c r="AE20" s="7">
        <f>IF((IF(OR(COUNT(Z20,Z25)&lt;&gt;2,Z25=0),"n.d.",Z20/Z25))="n.d.",0,IF(OR(COUNT(Z20,Z25)&lt;&gt;2,Z25=0),"n.d.",Z20/Z25))</f>
        <v>0.09453480437588115</v>
      </c>
      <c r="AF20" s="7"/>
    </row>
    <row r="21" spans="1:32" ht="13.5" customHeight="1">
      <c r="A21" s="12"/>
      <c r="R21" s="4"/>
      <c r="S21" s="4"/>
      <c r="T21" s="4"/>
      <c r="U21" s="15" t="s">
        <v>399</v>
      </c>
      <c r="V21" s="15"/>
      <c r="W21" s="15"/>
      <c r="X21" s="16">
        <f>IF((IF(OR(SUMPRODUCT(--('Repartition stock'!$A$6:$A$423="2026Q3"),--('Repartition stock'!$B$6:$B$423="DE"),--('Repartition stock'!$E$6:$E$423="Millésime"),--('Repartition stock'!$F$6:$F$423="2023"))=0,SUMPRODUCT(--('Repartition stock'!$A$6:$A$423="2026Q3"),--('Repartition stock'!$B$6:$B$423="DE"),--('Repartition stock'!$E$6:$E$423="Millésime"),--('Repartition stock'!$F$6:$F$423="2023"),--('Repartition stock'!$G$6:$G$423="n.d."))&gt;0),"n.d.",SUMPRODUCT(--('Repartition stock'!$A$6:$A$423="2026Q3"),--('Repartition stock'!$B$6:$B$423="DE"),--('Repartition stock'!$E$6:$E$423="Millésime"),--('Repartition stock'!$F$6:$F$423="2023"),'Repartition stock'!$G$6:$G$423)))="n.d.",0,IF(OR(SUMPRODUCT(--('Repartition stock'!$A$6:$A$423="2026Q3"),--('Repartition stock'!$B$6:$B$423="DE"),--('Repartition stock'!$E$6:$E$423="Millésime"),--('Repartition stock'!$F$6:$F$423="2023"))=0,SUMPRODUCT(--('Repartition stock'!$A$6:$A$423="2026Q3"),--('Repartition stock'!$B$6:$B$423="DE"),--('Repartition stock'!$E$6:$E$423="Millésime"),--('Repartition stock'!$F$6:$F$423="2023"),--('Repartition stock'!$G$6:$G$423="n.d."))&gt;0),"n.d.",SUMPRODUCT(--('Repartition stock'!$A$6:$A$423="2026Q3"),--('Repartition stock'!$B$6:$B$423="DE"),--('Repartition stock'!$E$6:$E$423="Millésime"),--('Repartition stock'!$F$6:$F$423="2023"),'Repartition stock'!$G$6:$G$423)))</f>
        <v>805.0</v>
      </c>
      <c r="Y21" s="16"/>
      <c r="Z21" s="16">
        <f>IF((IF(OR(SUMPRODUCT(--('Repartition stock'!$A$6:$A$423="2026Q3"),--('Repartition stock'!$B$6:$B$423="DE"),--('Repartition stock'!$E$6:$E$423="Millésime"),--('Repartition stock'!$F$6:$F$423="2023"))=0,SUMPRODUCT(--('Repartition stock'!$A$6:$A$423="2026Q3"),--('Repartition stock'!$B$6:$B$423="DE"),--('Repartition stock'!$E$6:$E$423="Millésime"),--('Repartition stock'!$F$6:$F$423="2023"),--('Repartition stock'!$J$6:$J$423="n.d."))&gt;0),"n.d.",SUMPRODUCT(--('Repartition stock'!$A$6:$A$423="2026Q3"),--('Repartition stock'!$B$6:$B$423="DE"),--('Repartition stock'!$E$6:$E$423="Millésime"),--('Repartition stock'!$F$6:$F$423="2023"),'Repartition stock'!$J$6:$J$423)))="n.d.",0,IF(OR(SUMPRODUCT(--('Repartition stock'!$A$6:$A$423="2026Q3"),--('Repartition stock'!$B$6:$B$423="DE"),--('Repartition stock'!$E$6:$E$423="Millésime"),--('Repartition stock'!$F$6:$F$423="2023"))=0,SUMPRODUCT(--('Repartition stock'!$A$6:$A$423="2026Q3"),--('Repartition stock'!$B$6:$B$423="DE"),--('Repartition stock'!$E$6:$E$423="Millésime"),--('Repartition stock'!$F$6:$F$423="2023"),--('Repartition stock'!$J$6:$J$423="n.d."))&gt;0),"n.d.",SUMPRODUCT(--('Repartition stock'!$A$6:$A$423="2026Q3"),--('Repartition stock'!$B$6:$B$423="DE"),--('Repartition stock'!$E$6:$E$423="Millésime"),--('Repartition stock'!$F$6:$F$423="2023"),'Repartition stock'!$J$6:$J$423)))</f>
        <v>191046.0</v>
      </c>
      <c r="AA21" s="16"/>
      <c r="AB21" s="16"/>
      <c r="AC21" s="7">
        <f>IF((IF(OR(COUNT(X21,X25)&lt;&gt;2,X25=0),"n.d.",X21/X25))="n.d.",0,IF(OR(COUNT(X21,X25)&lt;&gt;2,X25=0),"n.d.",X21/X25))</f>
        <v>0.03428741800834824</v>
      </c>
      <c r="AD21" s="7"/>
      <c r="AE21" s="7">
        <f>IF((IF(OR(COUNT(Z21,Z25)&lt;&gt;2,Z25=0),"n.d.",Z21/Z25))="n.d.",0,IF(OR(COUNT(Z21,Z25)&lt;&gt;2,Z25=0),"n.d.",Z21/Z25))</f>
        <v>0.06949017405461558</v>
      </c>
      <c r="AF21" s="7"/>
    </row>
    <row r="22" spans="1:32" ht="13.5" customHeight="1">
      <c r="A22" s="12"/>
      <c r="R22" s="4"/>
      <c r="S22" s="4"/>
      <c r="T22" s="4"/>
      <c r="U22" s="15" t="s">
        <v>95</v>
      </c>
      <c r="V22" s="15"/>
      <c r="W22" s="15"/>
      <c r="X22" s="16">
        <f>IF((IF(OR(SUMPRODUCT(--('Repartition stock'!$A$6:$A$423="2026Q3"),--('Repartition stock'!$B$6:$B$423="DE"),--('Repartition stock'!$E$6:$E$423="Millésime"),--('Repartition stock'!$F$6:$F$423="2024"))=0,SUMPRODUCT(--('Repartition stock'!$A$6:$A$423="2026Q3"),--('Repartition stock'!$B$6:$B$423="DE"),--('Repartition stock'!$E$6:$E$423="Millésime"),--('Repartition stock'!$F$6:$F$423="2024"),--('Repartition stock'!$G$6:$G$423="n.d."))&gt;0),"n.d.",SUMPRODUCT(--('Repartition stock'!$A$6:$A$423="2026Q3"),--('Repartition stock'!$B$6:$B$423="DE"),--('Repartition stock'!$E$6:$E$423="Millésime"),--('Repartition stock'!$F$6:$F$423="2024"),'Repartition stock'!$G$6:$G$423)))="n.d.",0,IF(OR(SUMPRODUCT(--('Repartition stock'!$A$6:$A$423="2026Q3"),--('Repartition stock'!$B$6:$B$423="DE"),--('Repartition stock'!$E$6:$E$423="Millésime"),--('Repartition stock'!$F$6:$F$423="2024"))=0,SUMPRODUCT(--('Repartition stock'!$A$6:$A$423="2026Q3"),--('Repartition stock'!$B$6:$B$423="DE"),--('Repartition stock'!$E$6:$E$423="Millésime"),--('Repartition stock'!$F$6:$F$423="2024"),--('Repartition stock'!$G$6:$G$423="n.d."))&gt;0),"n.d.",SUMPRODUCT(--('Repartition stock'!$A$6:$A$423="2026Q3"),--('Repartition stock'!$B$6:$B$423="DE"),--('Repartition stock'!$E$6:$E$423="Millésime"),--('Repartition stock'!$F$6:$F$423="2024"),'Repartition stock'!$G$6:$G$423)))</f>
        <v>1969.0</v>
      </c>
      <c r="Y22" s="16"/>
      <c r="Z22" s="16">
        <f>IF((IF(OR(SUMPRODUCT(--('Repartition stock'!$A$6:$A$423="2026Q3"),--('Repartition stock'!$B$6:$B$423="DE"),--('Repartition stock'!$E$6:$E$423="Millésime"),--('Repartition stock'!$F$6:$F$423="2024"))=0,SUMPRODUCT(--('Repartition stock'!$A$6:$A$423="2026Q3"),--('Repartition stock'!$B$6:$B$423="DE"),--('Repartition stock'!$E$6:$E$423="Millésime"),--('Repartition stock'!$F$6:$F$423="2024"),--('Repartition stock'!$J$6:$J$423="n.d."))&gt;0),"n.d.",SUMPRODUCT(--('Repartition stock'!$A$6:$A$423="2026Q3"),--('Repartition stock'!$B$6:$B$423="DE"),--('Repartition stock'!$E$6:$E$423="Millésime"),--('Repartition stock'!$F$6:$F$423="2024"),'Repartition stock'!$J$6:$J$423)))="n.d.",0,IF(OR(SUMPRODUCT(--('Repartition stock'!$A$6:$A$423="2026Q3"),--('Repartition stock'!$B$6:$B$423="DE"),--('Repartition stock'!$E$6:$E$423="Millésime"),--('Repartition stock'!$F$6:$F$423="2024"))=0,SUMPRODUCT(--('Repartition stock'!$A$6:$A$423="2026Q3"),--('Repartition stock'!$B$6:$B$423="DE"),--('Repartition stock'!$E$6:$E$423="Millésime"),--('Repartition stock'!$F$6:$F$423="2024"),--('Repartition stock'!$J$6:$J$423="n.d."))&gt;0),"n.d.",SUMPRODUCT(--('Repartition stock'!$A$6:$A$423="2026Q3"),--('Repartition stock'!$B$6:$B$423="DE"),--('Repartition stock'!$E$6:$E$423="Millésime"),--('Repartition stock'!$F$6:$F$423="2024"),'Repartition stock'!$J$6:$J$423)))</f>
        <v>173800.0</v>
      </c>
      <c r="AA22" s="16"/>
      <c r="AB22" s="16"/>
      <c r="AC22" s="7">
        <f>IF((IF(OR(COUNT(X22,X25)&lt;&gt;2,X25=0),"n.d.",X22/X25))="n.d.",0,IF(OR(COUNT(X22,X25)&lt;&gt;2,X25=0),"n.d.",X22/X25))</f>
        <v>0.08386574665644433</v>
      </c>
      <c r="AD22" s="7"/>
      <c r="AE22" s="7">
        <f>IF((IF(OR(COUNT(Z22,Z25)&lt;&gt;2,Z25=0),"n.d.",Z22/Z25))="n.d.",0,IF(OR(COUNT(Z22,Z25)&lt;&gt;2,Z25=0),"n.d.",Z22/Z25))</f>
        <v>0.06321719507706096</v>
      </c>
      <c r="AF22" s="7"/>
    </row>
    <row r="23" spans="1:32" ht="13.5" customHeight="1">
      <c r="A23" s="12"/>
      <c r="R23" s="4"/>
      <c r="S23" s="4"/>
      <c r="T23" s="4"/>
      <c r="U23" s="15" t="s">
        <v>53</v>
      </c>
      <c r="V23" s="15"/>
      <c r="W23" s="15"/>
      <c r="X23" s="16">
        <f>IF((IF(OR(SUMPRODUCT(--('Repartition stock'!$A$6:$A$423="2026Q3"),--('Repartition stock'!$B$6:$B$423="DE"),--('Repartition stock'!$E$6:$E$423="Millésime"),--('Repartition stock'!$F$6:$F$423="2025"))=0,SUMPRODUCT(--('Repartition stock'!$A$6:$A$423="2026Q3"),--('Repartition stock'!$B$6:$B$423="DE"),--('Repartition stock'!$E$6:$E$423="Millésime"),--('Repartition stock'!$F$6:$F$423="2025"),--('Repartition stock'!$G$6:$G$423="n.d."))&gt;0),"n.d.",SUMPRODUCT(--('Repartition stock'!$A$6:$A$423="2026Q3"),--('Repartition stock'!$B$6:$B$423="DE"),--('Repartition stock'!$E$6:$E$423="Millésime"),--('Repartition stock'!$F$6:$F$423="2025"),'Repartition stock'!$G$6:$G$423)))="n.d.",0,IF(OR(SUMPRODUCT(--('Repartition stock'!$A$6:$A$423="2026Q3"),--('Repartition stock'!$B$6:$B$423="DE"),--('Repartition stock'!$E$6:$E$423="Millésime"),--('Repartition stock'!$F$6:$F$423="2025"))=0,SUMPRODUCT(--('Repartition stock'!$A$6:$A$423="2026Q3"),--('Repartition stock'!$B$6:$B$423="DE"),--('Repartition stock'!$E$6:$E$423="Millésime"),--('Repartition stock'!$F$6:$F$423="2025"),--('Repartition stock'!$G$6:$G$423="n.d."))&gt;0),"n.d.",SUMPRODUCT(--('Repartition stock'!$A$6:$A$423="2026Q3"),--('Repartition stock'!$B$6:$B$423="DE"),--('Repartition stock'!$E$6:$E$423="Millésime"),--('Repartition stock'!$F$6:$F$423="2025"),'Repartition stock'!$G$6:$G$423)))</f>
        <v>2544.0</v>
      </c>
      <c r="Y23" s="16"/>
      <c r="Z23" s="16">
        <f>IF((IF(OR(SUMPRODUCT(--('Repartition stock'!$A$6:$A$423="2026Q3"),--('Repartition stock'!$B$6:$B$423="DE"),--('Repartition stock'!$E$6:$E$423="Millésime"),--('Repartition stock'!$F$6:$F$423="2025"))=0,SUMPRODUCT(--('Repartition stock'!$A$6:$A$423="2026Q3"),--('Repartition stock'!$B$6:$B$423="DE"),--('Repartition stock'!$E$6:$E$423="Millésime"),--('Repartition stock'!$F$6:$F$423="2025"),--('Repartition stock'!$J$6:$J$423="n.d."))&gt;0),"n.d.",SUMPRODUCT(--('Repartition stock'!$A$6:$A$423="2026Q3"),--('Repartition stock'!$B$6:$B$423="DE"),--('Repartition stock'!$E$6:$E$423="Millésime"),--('Repartition stock'!$F$6:$F$423="2025"),'Repartition stock'!$J$6:$J$423)))="n.d.",0,IF(OR(SUMPRODUCT(--('Repartition stock'!$A$6:$A$423="2026Q3"),--('Repartition stock'!$B$6:$B$423="DE"),--('Repartition stock'!$E$6:$E$423="Millésime"),--('Repartition stock'!$F$6:$F$423="2025"))=0,SUMPRODUCT(--('Repartition stock'!$A$6:$A$423="2026Q3"),--('Repartition stock'!$B$6:$B$423="DE"),--('Repartition stock'!$E$6:$E$423="Millésime"),--('Repartition stock'!$F$6:$F$423="2025"),--('Repartition stock'!$J$6:$J$423="n.d."))&gt;0),"n.d.",SUMPRODUCT(--('Repartition stock'!$A$6:$A$423="2026Q3"),--('Repartition stock'!$B$6:$B$423="DE"),--('Repartition stock'!$E$6:$E$423="Millésime"),--('Repartition stock'!$F$6:$F$423="2025"),'Repartition stock'!$J$6:$J$423)))</f>
        <v>303678.0</v>
      </c>
      <c r="AA23" s="16"/>
      <c r="AB23" s="16"/>
      <c r="AC23" s="7">
        <f>IF((IF(OR(COUNT(X23,X25)&lt;&gt;2,X25=0),"n.d.",X23/X25))="n.d.",0,IF(OR(COUNT(X23,X25)&lt;&gt;2,X25=0),"n.d.",X23/X25))</f>
        <v>0.10835675951955022</v>
      </c>
      <c r="AD23" s="7"/>
      <c r="AE23" s="7">
        <f>IF((IF(OR(COUNT(Z23,Z25)&lt;&gt;2,Z25=0),"n.d.",Z23/Z25))="n.d.",0,IF(OR(COUNT(Z23,Z25)&lt;&gt;2,Z25=0),"n.d.",Z23/Z25))</f>
        <v>0.11045840832342761</v>
      </c>
      <c r="AF23" s="7"/>
    </row>
    <row r="24" spans="1:32" ht="13.5" customHeight="1">
      <c r="A24" s="12"/>
      <c r="R24" s="4"/>
      <c r="S24" s="4"/>
      <c r="T24" s="4"/>
      <c r="U24" s="15" t="s">
        <v>55</v>
      </c>
      <c r="V24" s="15"/>
      <c r="W24" s="15"/>
      <c r="X24" s="16">
        <f>IF((IF(OR(SUMPRODUCT(--('Repartition stock'!$A$6:$A$423="2026Q3"),--('Repartition stock'!$B$6:$B$423="DE"),--('Repartition stock'!$E$6:$E$423="Millésime"),--('Repartition stock'!$F$6:$F$423="2026"))=0,SUMPRODUCT(--('Repartition stock'!$A$6:$A$423="2026Q3"),--('Repartition stock'!$B$6:$B$423="DE"),--('Repartition stock'!$E$6:$E$423="Millésime"),--('Repartition stock'!$F$6:$F$423="2026"),--('Repartition stock'!$G$6:$G$423="n.d."))&gt;0),"n.d.",SUMPRODUCT(--('Repartition stock'!$A$6:$A$423="2026Q3"),--('Repartition stock'!$B$6:$B$423="DE"),--('Repartition stock'!$E$6:$E$423="Millésime"),--('Repartition stock'!$F$6:$F$423="2026"),'Repartition stock'!$G$6:$G$423)))="n.d.",0,IF(OR(SUMPRODUCT(--('Repartition stock'!$A$6:$A$423="2026Q3"),--('Repartition stock'!$B$6:$B$423="DE"),--('Repartition stock'!$E$6:$E$423="Millésime"),--('Repartition stock'!$F$6:$F$423="2026"))=0,SUMPRODUCT(--('Repartition stock'!$A$6:$A$423="2026Q3"),--('Repartition stock'!$B$6:$B$423="DE"),--('Repartition stock'!$E$6:$E$423="Millésime"),--('Repartition stock'!$F$6:$F$423="2026"),--('Repartition stock'!$G$6:$G$423="n.d."))&gt;0),"n.d.",SUMPRODUCT(--('Repartition stock'!$A$6:$A$423="2026Q3"),--('Repartition stock'!$B$6:$B$423="DE"),--('Repartition stock'!$E$6:$E$423="Millésime"),--('Repartition stock'!$F$6:$F$423="2026"),'Repartition stock'!$G$6:$G$423)))</f>
        <v>14153.0</v>
      </c>
      <c r="Y24" s="16"/>
      <c r="Z24" s="16">
        <f>IF((IF(OR(SUMPRODUCT(--('Repartition stock'!$A$6:$A$423="2026Q3"),--('Repartition stock'!$B$6:$B$423="DE"),--('Repartition stock'!$E$6:$E$423="Millésime"),--('Repartition stock'!$F$6:$F$423="2026"))=0,SUMPRODUCT(--('Repartition stock'!$A$6:$A$423="2026Q3"),--('Repartition stock'!$B$6:$B$423="DE"),--('Repartition stock'!$E$6:$E$423="Millésime"),--('Repartition stock'!$F$6:$F$423="2026"),--('Repartition stock'!$J$6:$J$423="n.d."))&gt;0),"n.d.",SUMPRODUCT(--('Repartition stock'!$A$6:$A$423="2026Q3"),--('Repartition stock'!$B$6:$B$423="DE"),--('Repartition stock'!$E$6:$E$423="Millésime"),--('Repartition stock'!$F$6:$F$423="2026"),'Repartition stock'!$J$6:$J$423)))="n.d.",0,IF(OR(SUMPRODUCT(--('Repartition stock'!$A$6:$A$423="2026Q3"),--('Repartition stock'!$B$6:$B$423="DE"),--('Repartition stock'!$E$6:$E$423="Millésime"),--('Repartition stock'!$F$6:$F$423="2026"))=0,SUMPRODUCT(--('Repartition stock'!$A$6:$A$423="2026Q3"),--('Repartition stock'!$B$6:$B$423="DE"),--('Repartition stock'!$E$6:$E$423="Millésime"),--('Repartition stock'!$F$6:$F$423="2026"),--('Repartition stock'!$J$6:$J$423="n.d."))&gt;0),"n.d.",SUMPRODUCT(--('Repartition stock'!$A$6:$A$423="2026Q3"),--('Repartition stock'!$B$6:$B$423="DE"),--('Repartition stock'!$E$6:$E$423="Millésime"),--('Repartition stock'!$F$6:$F$423="2026"),'Repartition stock'!$J$6:$J$423)))</f>
        <v>1634895.0</v>
      </c>
      <c r="AA24" s="16"/>
      <c r="AB24" s="16"/>
      <c r="AC24" s="7">
        <f>IF((IF(OR(COUNT(X24,X25)&lt;&gt;2,X25=0),"n.d.",X24/X25))="n.d.",0,IF(OR(COUNT(X24,X25)&lt;&gt;2,X25=0),"n.d.",X24/X25))</f>
        <v>0.6028196609591958</v>
      </c>
      <c r="AD24" s="7"/>
      <c r="AE24" s="7">
        <f>IF((IF(OR(COUNT(Z24,Z25)&lt;&gt;2,Z25=0),"n.d.",Z24/Z25))="n.d.",0,IF(OR(COUNT(Z24,Z25)&lt;&gt;2,Z25=0),"n.d.",Z24/Z25))</f>
        <v>0.5946690227014475</v>
      </c>
      <c r="AF24" s="7"/>
    </row>
    <row r="25" spans="1:32" ht="13.5" customHeight="1">
      <c r="A25" s="12"/>
      <c r="R25" s="17" t="s">
        <v>3150</v>
      </c>
      <c r="S25" s="17"/>
      <c r="T25" s="17"/>
      <c r="U25" s="17"/>
      <c r="V25" s="17"/>
      <c r="W25" s="17"/>
      <c r="X25" s="17">
        <f>IF((IF(COUNT(X15:X24)=10,SUM(X15:X24),"n.d."))="n.d.",0,IF(COUNT(X15:X24)=10,SUM(X15:X24),"n.d."))</f>
        <v>23478.0</v>
      </c>
      <c r="Y25" s="17"/>
      <c r="Z25" s="17">
        <f>IF((IF(COUNT(Z15:Z24)=10,SUM(Z15:Z24),"n.d."))="n.d.",0,IF(COUNT(Z15:Z24)=10,SUM(Z15:Z24),"n.d."))</f>
        <v>2749252.0</v>
      </c>
      <c r="AA25" s="17"/>
      <c r="AB25" s="17"/>
      <c r="AC25" s="9">
        <f>IF((IF(OR(NOT(ISNUMBER(X25)),X25=0),"n.d.",1))="n.d.",0,IF(OR(NOT(ISNUMBER(X25)),X25=0),"n.d.",1))</f>
        <v>1.0</v>
      </c>
      <c r="AD25" s="9"/>
      <c r="AE25" s="9">
        <f>IF((IF(OR(NOT(ISNUMBER(Z25)),Z25=0),"n.d.",1))="n.d.",0,IF(OR(NOT(ISNUMBER(Z25)),Z25=0),"n.d.",1))</f>
        <v>1.0</v>
      </c>
      <c r="AF25" s="9"/>
    </row>
    <row r="26" spans="1:32" ht="13.5" customHeight="1">
      <c r="A26" s="12"/>
    </row>
    <row r="27" spans="1:32" ht="13.5" customHeight="1">
      <c r="A27" s="12"/>
    </row>
    <row r="28" spans="1:32" ht="13.5" customHeight="1">
      <c r="A28" s="12"/>
    </row>
    <row r="29" spans="1:32" ht="13.5" customHeight="1">
      <c r="A29" s="12"/>
    </row>
    <row r="30" spans="1:32" ht="13.5" customHeight="1">
      <c r="A30" s="12"/>
    </row>
    <row r="31" spans="1:32" ht="13.5" customHeight="1">
      <c r="A31" s="12"/>
      <c r="B31" s="10" t="str">
        <f>"Average monthly new flow: "&amp;IF(ISNUMBER('GraphData'!A126),TEXT('GraphData'!A126,"#,##0"),"0")&amp;" EUR. Average balance per contract: "&amp;IF(ISNUMBER('GraphData'!B126),TEXT('GraphData'!B126,"#,##0"),"0")&amp;" EUR."</f>
        <v>Average monthly new flow: 836,063 EUR. Average balance per contract: 221 EUR.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 t="str">
        <f>"Oldest cohort (M-5): "&amp;IF(ISNUMBER('GraphData'!C126),TEXT('GraphData'!C126,"0.0%"),"0")&amp;" treated in amount and "&amp;IF(ISNUMBER('GraphData'!D126),TEXT('GraphData'!D126,"0.0%"),"0")&amp;" in number."</f>
        <v>Oldest cohort (M-5): 85.3% treated in amount and 57.4% in number.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 t="str">
        <f>"Stock to process: "&amp;IF(ISNUMBER('GraphData'!E126),TEXT('GraphData'!E126,"#,##0"),"0")&amp;" EUR. Identified stock: "&amp;IF(ISNUMBER('GraphData'!F126),TEXT('GraphData'!F126,"#,##0"),"0")&amp;" EUR."</f>
        <v>Stock to process: 2,749,252 EUR. Identified stock: 2,778,926 EUR.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 t="s">
        <v>3164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</row>
    <row r="43" spans="1:32" ht="13.5" customHeight="1">
      <c r="A43" s="12"/>
      <c r="B43" s="11" t="s">
        <v>3079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</sheetData>
  <mergeCells count="105">
    <mergeCell ref="B2:M4"/>
    <mergeCell ref="B43:AF43"/>
    <mergeCell ref="B5:P6"/>
    <mergeCell ref="R2:W5"/>
    <mergeCell ref="X2:AF2"/>
    <mergeCell ref="X3:Y5"/>
    <mergeCell ref="Z3:AB5"/>
    <mergeCell ref="AC3:AD5"/>
    <mergeCell ref="AE3:AF5"/>
    <mergeCell ref="R7:T12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U12:W12"/>
    <mergeCell ref="X12:Y12"/>
    <mergeCell ref="Z12:AB12"/>
    <mergeCell ref="AC12:AD12"/>
    <mergeCell ref="AE12:AF12"/>
    <mergeCell ref="R13:W13"/>
    <mergeCell ref="X13:Y13"/>
    <mergeCell ref="Z13:AB13"/>
    <mergeCell ref="AC13:AD13"/>
    <mergeCell ref="AE13:AF13"/>
    <mergeCell ref="R15:T2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U24:W24"/>
    <mergeCell ref="X24:Y24"/>
    <mergeCell ref="Z24:AB24"/>
    <mergeCell ref="AC24:AD24"/>
    <mergeCell ref="AE24:AF24"/>
    <mergeCell ref="R25:W25"/>
    <mergeCell ref="X25:Y25"/>
    <mergeCell ref="Z25:AB25"/>
    <mergeCell ref="AC25:AD25"/>
    <mergeCell ref="AE25:AF25"/>
    <mergeCell ref="B31:AF32"/>
    <mergeCell ref="B33:AF34"/>
    <mergeCell ref="B35:AF36"/>
    <mergeCell ref="B37:AF38"/>
  </mergeCells>
  <conditionalFormatting sqref="B31:AF41">
    <cfRule type="notContainsBlanks" dxfId="2" priority="1">
      <formula>LEN(TRIM(B31))&gt;0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87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3160</v>
      </c>
      <c r="S2" s="4"/>
      <c r="T2" s="4"/>
      <c r="U2" s="4"/>
      <c r="V2" s="4"/>
      <c r="W2" s="4"/>
      <c r="X2" s="14">
        <v>46295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3146</v>
      </c>
      <c r="Y3" s="4"/>
      <c r="Z3" s="4" t="s">
        <v>3147</v>
      </c>
      <c r="AA3" s="4"/>
      <c r="AB3" s="4"/>
      <c r="AC3" s="4" t="s">
        <v>3148</v>
      </c>
      <c r="AD3" s="4"/>
      <c r="AE3" s="4" t="s">
        <v>3149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1" t="s">
        <v>3161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2"/>
      <c r="R7" s="4" t="s">
        <v>1284</v>
      </c>
      <c r="S7" s="4"/>
      <c r="T7" s="4"/>
      <c r="U7" s="15" t="s">
        <v>377</v>
      </c>
      <c r="V7" s="15"/>
      <c r="W7" s="15"/>
      <c r="X7" s="16">
        <f>IF((IF(OR(SUMPRODUCT(--('Repartition stock'!$A$6:$A$423="2026Q3"),--('Repartition stock'!$B$6:$B$423="AT"),--('Repartition stock'!$E$6:$E$423="Tranche"),--('Repartition stock'!$F$6:$F$423="0 - 1 €"))=0,SUMPRODUCT(--('Repartition stock'!$A$6:$A$423="2026Q3"),--('Repartition stock'!$B$6:$B$423="AT"),--('Repartition stock'!$E$6:$E$423="Tranche"),--('Repartition stock'!$F$6:$F$423="0 - 1 €"),--('Repartition stock'!$G$6:$G$423="n.d."))&gt;0),"n.d.",SUMPRODUCT(--('Repartition stock'!$A$6:$A$423="2026Q3"),--('Repartition stock'!$B$6:$B$423="AT"),--('Repartition stock'!$E$6:$E$423="Tranche"),--('Repartition stock'!$F$6:$F$423="0 - 1 €"),'Repartition stock'!$G$6:$G$423)))="n.d.",0,IF(OR(SUMPRODUCT(--('Repartition stock'!$A$6:$A$423="2026Q3"),--('Repartition stock'!$B$6:$B$423="AT"),--('Repartition stock'!$E$6:$E$423="Tranche"),--('Repartition stock'!$F$6:$F$423="0 - 1 €"))=0,SUMPRODUCT(--('Repartition stock'!$A$6:$A$423="2026Q3"),--('Repartition stock'!$B$6:$B$423="AT"),--('Repartition stock'!$E$6:$E$423="Tranche"),--('Repartition stock'!$F$6:$F$423="0 - 1 €"),--('Repartition stock'!$G$6:$G$423="n.d."))&gt;0),"n.d.",SUMPRODUCT(--('Repartition stock'!$A$6:$A$423="2026Q3"),--('Repartition stock'!$B$6:$B$423="AT"),--('Repartition stock'!$E$6:$E$423="Tranche"),--('Repartition stock'!$F$6:$F$423="0 - 1 €"),'Repartition stock'!$G$6:$G$423)))</f>
        <v>8.0</v>
      </c>
      <c r="Y7" s="16"/>
      <c r="Z7" s="16">
        <f>IF((IF(OR(SUMPRODUCT(--('Repartition stock'!$A$6:$A$423="2026Q3"),--('Repartition stock'!$B$6:$B$423="AT"),--('Repartition stock'!$E$6:$E$423="Tranche"),--('Repartition stock'!$F$6:$F$423="0 - 1 €"))=0,SUMPRODUCT(--('Repartition stock'!$A$6:$A$423="2026Q3"),--('Repartition stock'!$B$6:$B$423="AT"),--('Repartition stock'!$E$6:$E$423="Tranche"),--('Repartition stock'!$F$6:$F$423="0 - 1 €"),--('Repartition stock'!$J$6:$J$423="n.d."))&gt;0),"n.d.",SUMPRODUCT(--('Repartition stock'!$A$6:$A$423="2026Q3"),--('Repartition stock'!$B$6:$B$423="AT"),--('Repartition stock'!$E$6:$E$423="Tranche"),--('Repartition stock'!$F$6:$F$423="0 - 1 €"),'Repartition stock'!$J$6:$J$423)))="n.d.",0,IF(OR(SUMPRODUCT(--('Repartition stock'!$A$6:$A$423="2026Q3"),--('Repartition stock'!$B$6:$B$423="AT"),--('Repartition stock'!$E$6:$E$423="Tranche"),--('Repartition stock'!$F$6:$F$423="0 - 1 €"))=0,SUMPRODUCT(--('Repartition stock'!$A$6:$A$423="2026Q3"),--('Repartition stock'!$B$6:$B$423="AT"),--('Repartition stock'!$E$6:$E$423="Tranche"),--('Repartition stock'!$F$6:$F$423="0 - 1 €"),--('Repartition stock'!$J$6:$J$423="n.d."))&gt;0),"n.d.",SUMPRODUCT(--('Repartition stock'!$A$6:$A$423="2026Q3"),--('Repartition stock'!$B$6:$B$423="AT"),--('Repartition stock'!$E$6:$E$423="Tranche"),--('Repartition stock'!$F$6:$F$423="0 - 1 €"),'Repartition stock'!$J$6:$J$423)))</f>
        <v>3.0</v>
      </c>
      <c r="AA7" s="16"/>
      <c r="AB7" s="16"/>
      <c r="AC7" s="7">
        <f>IF((IF(OR(COUNT(X7,X12)&lt;&gt;2,X12=0),"n.d.",X7/X12))="n.d.",0,IF(OR(COUNT(X7,X12)&lt;&gt;2,X12=0),"n.d.",X7/X12))</f>
        <v>0.10810810810810811</v>
      </c>
      <c r="AD7" s="7"/>
      <c r="AE7" s="7">
        <f>IF((IF(OR(COUNT(Z7,Z12)&lt;&gt;2,Z12=0),"n.d.",Z7/Z12))="n.d.",0,IF(OR(COUNT(Z7,Z12)&lt;&gt;2,Z12=0),"n.d.",Z7/Z12))</f>
        <v>0.00021261516654854713</v>
      </c>
      <c r="AF7" s="7"/>
    </row>
    <row r="8" spans="1:32" ht="13.5" customHeight="1">
      <c r="A8" s="12"/>
      <c r="R8" s="4"/>
      <c r="S8" s="4"/>
      <c r="T8" s="4"/>
      <c r="U8" s="15" t="s">
        <v>379</v>
      </c>
      <c r="V8" s="15"/>
      <c r="W8" s="15"/>
      <c r="X8" s="16">
        <f>IF((IF(OR(SUMPRODUCT(--('Repartition stock'!$A$6:$A$423="2026Q3"),--('Repartition stock'!$B$6:$B$423="AT"),--('Repartition stock'!$E$6:$E$423="Tranche"),--('Repartition stock'!$F$6:$F$423="1 - 10 €"))=0,SUMPRODUCT(--('Repartition stock'!$A$6:$A$423="2026Q3"),--('Repartition stock'!$B$6:$B$423="AT"),--('Repartition stock'!$E$6:$E$423="Tranche"),--('Repartition stock'!$F$6:$F$423="1 - 10 €"),--('Repartition stock'!$G$6:$G$423="n.d."))&gt;0),"n.d.",SUMPRODUCT(--('Repartition stock'!$A$6:$A$423="2026Q3"),--('Repartition stock'!$B$6:$B$423="AT"),--('Repartition stock'!$E$6:$E$423="Tranche"),--('Repartition stock'!$F$6:$F$423="1 - 10 €"),'Repartition stock'!$G$6:$G$423)))="n.d.",0,IF(OR(SUMPRODUCT(--('Repartition stock'!$A$6:$A$423="2026Q3"),--('Repartition stock'!$B$6:$B$423="AT"),--('Repartition stock'!$E$6:$E$423="Tranche"),--('Repartition stock'!$F$6:$F$423="1 - 10 €"))=0,SUMPRODUCT(--('Repartition stock'!$A$6:$A$423="2026Q3"),--('Repartition stock'!$B$6:$B$423="AT"),--('Repartition stock'!$E$6:$E$423="Tranche"),--('Repartition stock'!$F$6:$F$423="1 - 10 €"),--('Repartition stock'!$G$6:$G$423="n.d."))&gt;0),"n.d.",SUMPRODUCT(--('Repartition stock'!$A$6:$A$423="2026Q3"),--('Repartition stock'!$B$6:$B$423="AT"),--('Repartition stock'!$E$6:$E$423="Tranche"),--('Repartition stock'!$F$6:$F$423="1 - 10 €"),'Repartition stock'!$G$6:$G$423)))</f>
        <v>14.0</v>
      </c>
      <c r="Y8" s="16"/>
      <c r="Z8" s="16">
        <f>IF((IF(OR(SUMPRODUCT(--('Repartition stock'!$A$6:$A$423="2026Q3"),--('Repartition stock'!$B$6:$B$423="AT"),--('Repartition stock'!$E$6:$E$423="Tranche"),--('Repartition stock'!$F$6:$F$423="1 - 10 €"))=0,SUMPRODUCT(--('Repartition stock'!$A$6:$A$423="2026Q3"),--('Repartition stock'!$B$6:$B$423="AT"),--('Repartition stock'!$E$6:$E$423="Tranche"),--('Repartition stock'!$F$6:$F$423="1 - 10 €"),--('Repartition stock'!$J$6:$J$423="n.d."))&gt;0),"n.d.",SUMPRODUCT(--('Repartition stock'!$A$6:$A$423="2026Q3"),--('Repartition stock'!$B$6:$B$423="AT"),--('Repartition stock'!$E$6:$E$423="Tranche"),--('Repartition stock'!$F$6:$F$423="1 - 10 €"),'Repartition stock'!$J$6:$J$423)))="n.d.",0,IF(OR(SUMPRODUCT(--('Repartition stock'!$A$6:$A$423="2026Q3"),--('Repartition stock'!$B$6:$B$423="AT"),--('Repartition stock'!$E$6:$E$423="Tranche"),--('Repartition stock'!$F$6:$F$423="1 - 10 €"))=0,SUMPRODUCT(--('Repartition stock'!$A$6:$A$423="2026Q3"),--('Repartition stock'!$B$6:$B$423="AT"),--('Repartition stock'!$E$6:$E$423="Tranche"),--('Repartition stock'!$F$6:$F$423="1 - 10 €"),--('Repartition stock'!$J$6:$J$423="n.d."))&gt;0),"n.d.",SUMPRODUCT(--('Repartition stock'!$A$6:$A$423="2026Q3"),--('Repartition stock'!$B$6:$B$423="AT"),--('Repartition stock'!$E$6:$E$423="Tranche"),--('Repartition stock'!$F$6:$F$423="1 - 10 €"),'Repartition stock'!$J$6:$J$423)))</f>
        <v>82.0</v>
      </c>
      <c r="AA8" s="16"/>
      <c r="AB8" s="16"/>
      <c r="AC8" s="7">
        <f>IF((IF(OR(COUNT(X8,X12)&lt;&gt;2,X12=0),"n.d.",X8/X12))="n.d.",0,IF(OR(COUNT(X8,X12)&lt;&gt;2,X12=0),"n.d.",X8/X12))</f>
        <v>0.1891891891891892</v>
      </c>
      <c r="AD8" s="7"/>
      <c r="AE8" s="7">
        <f>IF((IF(OR(COUNT(Z8,Z12)&lt;&gt;2,Z12=0),"n.d.",Z8/Z12))="n.d.",0,IF(OR(COUNT(Z8,Z12)&lt;&gt;2,Z12=0),"n.d.",Z8/Z12))</f>
        <v>0.005811481218993621</v>
      </c>
      <c r="AF8" s="7"/>
    </row>
    <row r="9" spans="1:32" ht="13.5" customHeight="1">
      <c r="A9" s="12"/>
      <c r="R9" s="4"/>
      <c r="S9" s="4"/>
      <c r="T9" s="4"/>
      <c r="U9" s="15" t="s">
        <v>381</v>
      </c>
      <c r="V9" s="15"/>
      <c r="W9" s="15"/>
      <c r="X9" s="16">
        <f>IF((IF(OR(SUMPRODUCT(--('Repartition stock'!$A$6:$A$423="2026Q3"),--('Repartition stock'!$B$6:$B$423="AT"),--('Repartition stock'!$E$6:$E$423="Tranche"),--('Repartition stock'!$F$6:$F$423="10 - 100 €"))=0,SUMPRODUCT(--('Repartition stock'!$A$6:$A$423="2026Q3"),--('Repartition stock'!$B$6:$B$423="AT"),--('Repartition stock'!$E$6:$E$423="Tranche"),--('Repartition stock'!$F$6:$F$423="10 - 100 €"),--('Repartition stock'!$G$6:$G$423="n.d."))&gt;0),"n.d.",SUMPRODUCT(--('Repartition stock'!$A$6:$A$423="2026Q3"),--('Repartition stock'!$B$6:$B$423="AT"),--('Repartition stock'!$E$6:$E$423="Tranche"),--('Repartition stock'!$F$6:$F$423="10 - 100 €"),'Repartition stock'!$G$6:$G$423)))="n.d.",0,IF(OR(SUMPRODUCT(--('Repartition stock'!$A$6:$A$423="2026Q3"),--('Repartition stock'!$B$6:$B$423="AT"),--('Repartition stock'!$E$6:$E$423="Tranche"),--('Repartition stock'!$F$6:$F$423="10 - 100 €"))=0,SUMPRODUCT(--('Repartition stock'!$A$6:$A$423="2026Q3"),--('Repartition stock'!$B$6:$B$423="AT"),--('Repartition stock'!$E$6:$E$423="Tranche"),--('Repartition stock'!$F$6:$F$423="10 - 100 €"),--('Repartition stock'!$G$6:$G$423="n.d."))&gt;0),"n.d.",SUMPRODUCT(--('Repartition stock'!$A$6:$A$423="2026Q3"),--('Repartition stock'!$B$6:$B$423="AT"),--('Repartition stock'!$E$6:$E$423="Tranche"),--('Repartition stock'!$F$6:$F$423="10 - 100 €"),'Repartition stock'!$G$6:$G$423)))</f>
        <v>34.0</v>
      </c>
      <c r="Y9" s="16"/>
      <c r="Z9" s="16">
        <f>IF((IF(OR(SUMPRODUCT(--('Repartition stock'!$A$6:$A$423="2026Q3"),--('Repartition stock'!$B$6:$B$423="AT"),--('Repartition stock'!$E$6:$E$423="Tranche"),--('Repartition stock'!$F$6:$F$423="10 - 100 €"))=0,SUMPRODUCT(--('Repartition stock'!$A$6:$A$423="2026Q3"),--('Repartition stock'!$B$6:$B$423="AT"),--('Repartition stock'!$E$6:$E$423="Tranche"),--('Repartition stock'!$F$6:$F$423="10 - 100 €"),--('Repartition stock'!$J$6:$J$423="n.d."))&gt;0),"n.d.",SUMPRODUCT(--('Repartition stock'!$A$6:$A$423="2026Q3"),--('Repartition stock'!$B$6:$B$423="AT"),--('Repartition stock'!$E$6:$E$423="Tranche"),--('Repartition stock'!$F$6:$F$423="10 - 100 €"),'Repartition stock'!$J$6:$J$423)))="n.d.",0,IF(OR(SUMPRODUCT(--('Repartition stock'!$A$6:$A$423="2026Q3"),--('Repartition stock'!$B$6:$B$423="AT"),--('Repartition stock'!$E$6:$E$423="Tranche"),--('Repartition stock'!$F$6:$F$423="10 - 100 €"))=0,SUMPRODUCT(--('Repartition stock'!$A$6:$A$423="2026Q3"),--('Repartition stock'!$B$6:$B$423="AT"),--('Repartition stock'!$E$6:$E$423="Tranche"),--('Repartition stock'!$F$6:$F$423="10 - 100 €"),--('Repartition stock'!$J$6:$J$423="n.d."))&gt;0),"n.d.",SUMPRODUCT(--('Repartition stock'!$A$6:$A$423="2026Q3"),--('Repartition stock'!$B$6:$B$423="AT"),--('Repartition stock'!$E$6:$E$423="Tranche"),--('Repartition stock'!$F$6:$F$423="10 - 100 €"),'Repartition stock'!$J$6:$J$423)))</f>
        <v>1617.0</v>
      </c>
      <c r="AA9" s="16"/>
      <c r="AB9" s="16"/>
      <c r="AC9" s="7">
        <f>IF((IF(OR(COUNT(X9,X12)&lt;&gt;2,X12=0),"n.d.",X9/X12))="n.d.",0,IF(OR(COUNT(X9,X12)&lt;&gt;2,X12=0),"n.d.",X9/X12))</f>
        <v>0.4594594594594595</v>
      </c>
      <c r="AD9" s="7"/>
      <c r="AE9" s="7">
        <f>IF((IF(OR(COUNT(Z9,Z12)&lt;&gt;2,Z12=0),"n.d.",Z9/Z12))="n.d.",0,IF(OR(COUNT(Z9,Z12)&lt;&gt;2,Z12=0),"n.d.",Z9/Z12))</f>
        <v>0.11459957476966691</v>
      </c>
      <c r="AF9" s="7"/>
    </row>
    <row r="10" spans="1:32" ht="13.5" customHeight="1">
      <c r="A10" s="12"/>
      <c r="R10" s="4"/>
      <c r="S10" s="4"/>
      <c r="T10" s="4"/>
      <c r="U10" s="15" t="s">
        <v>383</v>
      </c>
      <c r="V10" s="15"/>
      <c r="W10" s="15"/>
      <c r="X10" s="16">
        <f>IF((IF(OR(SUMPRODUCT(--('Repartition stock'!$A$6:$A$423="2026Q3"),--('Repartition stock'!$B$6:$B$423="AT"),--('Repartition stock'!$E$6:$E$423="Tranche"),--('Repartition stock'!$F$6:$F$423="100 - 1 000 €"))=0,SUMPRODUCT(--('Repartition stock'!$A$6:$A$423="2026Q3"),--('Repartition stock'!$B$6:$B$423="AT"),--('Repartition stock'!$E$6:$E$423="Tranche"),--('Repartition stock'!$F$6:$F$423="100 - 1 000 €"),--('Repartition stock'!$G$6:$G$423="n.d."))&gt;0),"n.d.",SUMPRODUCT(--('Repartition stock'!$A$6:$A$423="2026Q3"),--('Repartition stock'!$B$6:$B$423="AT"),--('Repartition stock'!$E$6:$E$423="Tranche"),--('Repartition stock'!$F$6:$F$423="100 - 1 000 €"),'Repartition stock'!$G$6:$G$423)))="n.d.",0,IF(OR(SUMPRODUCT(--('Repartition stock'!$A$6:$A$423="2026Q3"),--('Repartition stock'!$B$6:$B$423="AT"),--('Repartition stock'!$E$6:$E$423="Tranche"),--('Repartition stock'!$F$6:$F$423="100 - 1 000 €"))=0,SUMPRODUCT(--('Repartition stock'!$A$6:$A$423="2026Q3"),--('Repartition stock'!$B$6:$B$423="AT"),--('Repartition stock'!$E$6:$E$423="Tranche"),--('Repartition stock'!$F$6:$F$423="100 - 1 000 €"),--('Repartition stock'!$G$6:$G$423="n.d."))&gt;0),"n.d.",SUMPRODUCT(--('Repartition stock'!$A$6:$A$423="2026Q3"),--('Repartition stock'!$B$6:$B$423="AT"),--('Repartition stock'!$E$6:$E$423="Tranche"),--('Repartition stock'!$F$6:$F$423="100 - 1 000 €"),'Repartition stock'!$G$6:$G$423)))</f>
        <v>14.0</v>
      </c>
      <c r="Y10" s="16"/>
      <c r="Z10" s="16">
        <f>IF((IF(OR(SUMPRODUCT(--('Repartition stock'!$A$6:$A$423="2026Q3"),--('Repartition stock'!$B$6:$B$423="AT"),--('Repartition stock'!$E$6:$E$423="Tranche"),--('Repartition stock'!$F$6:$F$423="100 - 1 000 €"))=0,SUMPRODUCT(--('Repartition stock'!$A$6:$A$423="2026Q3"),--('Repartition stock'!$B$6:$B$423="AT"),--('Repartition stock'!$E$6:$E$423="Tranche"),--('Repartition stock'!$F$6:$F$423="100 - 1 000 €"),--('Repartition stock'!$J$6:$J$423="n.d."))&gt;0),"n.d.",SUMPRODUCT(--('Repartition stock'!$A$6:$A$423="2026Q3"),--('Repartition stock'!$B$6:$B$423="AT"),--('Repartition stock'!$E$6:$E$423="Tranche"),--('Repartition stock'!$F$6:$F$423="100 - 1 000 €"),'Repartition stock'!$J$6:$J$423)))="n.d.",0,IF(OR(SUMPRODUCT(--('Repartition stock'!$A$6:$A$423="2026Q3"),--('Repartition stock'!$B$6:$B$423="AT"),--('Repartition stock'!$E$6:$E$423="Tranche"),--('Repartition stock'!$F$6:$F$423="100 - 1 000 €"))=0,SUMPRODUCT(--('Repartition stock'!$A$6:$A$423="2026Q3"),--('Repartition stock'!$B$6:$B$423="AT"),--('Repartition stock'!$E$6:$E$423="Tranche"),--('Repartition stock'!$F$6:$F$423="100 - 1 000 €"),--('Repartition stock'!$J$6:$J$423="n.d."))&gt;0),"n.d.",SUMPRODUCT(--('Repartition stock'!$A$6:$A$423="2026Q3"),--('Repartition stock'!$B$6:$B$423="AT"),--('Repartition stock'!$E$6:$E$423="Tranche"),--('Repartition stock'!$F$6:$F$423="100 - 1 000 €"),'Repartition stock'!$J$6:$J$423)))</f>
        <v>2676.0</v>
      </c>
      <c r="AA10" s="16"/>
      <c r="AB10" s="16"/>
      <c r="AC10" s="7">
        <f>IF((IF(OR(COUNT(X10,X12)&lt;&gt;2,X12=0),"n.d.",X10/X12))="n.d.",0,IF(OR(COUNT(X10,X12)&lt;&gt;2,X12=0),"n.d.",X10/X12))</f>
        <v>0.1891891891891892</v>
      </c>
      <c r="AD10" s="7"/>
      <c r="AE10" s="7">
        <f>IF((IF(OR(COUNT(Z10,Z12)&lt;&gt;2,Z12=0),"n.d.",Z10/Z12))="n.d.",0,IF(OR(COUNT(Z10,Z12)&lt;&gt;2,Z12=0),"n.d.",Z10/Z12))</f>
        <v>0.18965272856130405</v>
      </c>
      <c r="AF10" s="7"/>
    </row>
    <row r="11" spans="1:32" ht="13.5" customHeight="1">
      <c r="A11" s="12"/>
      <c r="R11" s="4"/>
      <c r="S11" s="4"/>
      <c r="T11" s="4"/>
      <c r="U11" s="15" t="s">
        <v>385</v>
      </c>
      <c r="V11" s="15"/>
      <c r="W11" s="15"/>
      <c r="X11" s="16">
        <f>IF((IF(OR(SUMPRODUCT(--('Repartition stock'!$A$6:$A$423="2026Q3"),--('Repartition stock'!$B$6:$B$423="AT"),--('Repartition stock'!$E$6:$E$423="Tranche"),--('Repartition stock'!$F$6:$F$423="&gt; 1 000 €"))=0,SUMPRODUCT(--('Repartition stock'!$A$6:$A$423="2026Q3"),--('Repartition stock'!$B$6:$B$423="AT"),--('Repartition stock'!$E$6:$E$423="Tranche"),--('Repartition stock'!$F$6:$F$423="&gt; 1 000 €"),--('Repartition stock'!$G$6:$G$423="n.d."))&gt;0),"n.d.",SUMPRODUCT(--('Repartition stock'!$A$6:$A$423="2026Q3"),--('Repartition stock'!$B$6:$B$423="AT"),--('Repartition stock'!$E$6:$E$423="Tranche"),--('Repartition stock'!$F$6:$F$423="&gt; 1 000 €"),'Repartition stock'!$G$6:$G$423)))="n.d.",0,IF(OR(SUMPRODUCT(--('Repartition stock'!$A$6:$A$423="2026Q3"),--('Repartition stock'!$B$6:$B$423="AT"),--('Repartition stock'!$E$6:$E$423="Tranche"),--('Repartition stock'!$F$6:$F$423="&gt; 1 000 €"))=0,SUMPRODUCT(--('Repartition stock'!$A$6:$A$423="2026Q3"),--('Repartition stock'!$B$6:$B$423="AT"),--('Repartition stock'!$E$6:$E$423="Tranche"),--('Repartition stock'!$F$6:$F$423="&gt; 1 000 €"),--('Repartition stock'!$G$6:$G$423="n.d."))&gt;0),"n.d.",SUMPRODUCT(--('Repartition stock'!$A$6:$A$423="2026Q3"),--('Repartition stock'!$B$6:$B$423="AT"),--('Repartition stock'!$E$6:$E$423="Tranche"),--('Repartition stock'!$F$6:$F$423="&gt; 1 000 €"),'Repartition stock'!$G$6:$G$423)))</f>
        <v>4.0</v>
      </c>
      <c r="Y11" s="16"/>
      <c r="Z11" s="16">
        <f>IF((IF(OR(SUMPRODUCT(--('Repartition stock'!$A$6:$A$423="2026Q3"),--('Repartition stock'!$B$6:$B$423="AT"),--('Repartition stock'!$E$6:$E$423="Tranche"),--('Repartition stock'!$F$6:$F$423="&gt; 1 000 €"))=0,SUMPRODUCT(--('Repartition stock'!$A$6:$A$423="2026Q3"),--('Repartition stock'!$B$6:$B$423="AT"),--('Repartition stock'!$E$6:$E$423="Tranche"),--('Repartition stock'!$F$6:$F$423="&gt; 1 000 €"),--('Repartition stock'!$J$6:$J$423="n.d."))&gt;0),"n.d.",SUMPRODUCT(--('Repartition stock'!$A$6:$A$423="2026Q3"),--('Repartition stock'!$B$6:$B$423="AT"),--('Repartition stock'!$E$6:$E$423="Tranche"),--('Repartition stock'!$F$6:$F$423="&gt; 1 000 €"),'Repartition stock'!$J$6:$J$423)))="n.d.",0,IF(OR(SUMPRODUCT(--('Repartition stock'!$A$6:$A$423="2026Q3"),--('Repartition stock'!$B$6:$B$423="AT"),--('Repartition stock'!$E$6:$E$423="Tranche"),--('Repartition stock'!$F$6:$F$423="&gt; 1 000 €"))=0,SUMPRODUCT(--('Repartition stock'!$A$6:$A$423="2026Q3"),--('Repartition stock'!$B$6:$B$423="AT"),--('Repartition stock'!$E$6:$E$423="Tranche"),--('Repartition stock'!$F$6:$F$423="&gt; 1 000 €"),--('Repartition stock'!$J$6:$J$423="n.d."))&gt;0),"n.d.",SUMPRODUCT(--('Repartition stock'!$A$6:$A$423="2026Q3"),--('Repartition stock'!$B$6:$B$423="AT"),--('Repartition stock'!$E$6:$E$423="Tranche"),--('Repartition stock'!$F$6:$F$423="&gt; 1 000 €"),'Repartition stock'!$J$6:$J$423)))</f>
        <v>9732.0</v>
      </c>
      <c r="AA11" s="16"/>
      <c r="AB11" s="16"/>
      <c r="AC11" s="7">
        <f>IF((IF(OR(COUNT(X11,X12)&lt;&gt;2,X12=0),"n.d.",X11/X12))="n.d.",0,IF(OR(COUNT(X11,X12)&lt;&gt;2,X12=0),"n.d.",X11/X12))</f>
        <v>0.05405405405405406</v>
      </c>
      <c r="AD11" s="7"/>
      <c r="AE11" s="7">
        <f>IF((IF(OR(COUNT(Z11,Z12)&lt;&gt;2,Z12=0),"n.d.",Z11/Z12))="n.d.",0,IF(OR(COUNT(Z11,Z12)&lt;&gt;2,Z12=0),"n.d.",Z11/Z12))</f>
        <v>0.6897236002834869</v>
      </c>
      <c r="AF11" s="7"/>
    </row>
    <row r="12" spans="1:32" ht="13.5" customHeight="1">
      <c r="A12" s="12"/>
      <c r="R12" s="17" t="s">
        <v>3150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74.0</v>
      </c>
      <c r="Y12" s="17"/>
      <c r="Z12" s="17">
        <f>IF((IF(COUNT(Z7:Z11)=5,SUM(Z7:Z11),"n.d."))="n.d.",0,IF(COUNT(Z7:Z11)=5,SUM(Z7:Z11),"n.d."))</f>
        <v>14110.0</v>
      </c>
      <c r="AA12" s="17"/>
      <c r="AB12" s="17"/>
      <c r="AC12" s="9">
        <f>IF((IF(OR(NOT(ISNUMBER(X12)),X12=0),"n.d.",1))="n.d.",0,IF(OR(NOT(ISNUMBER(X12)),X12=0),"n.d.",1))</f>
        <v>1.0</v>
      </c>
      <c r="AD12" s="9"/>
      <c r="AE12" s="9">
        <f>IF((IF(OR(NOT(ISNUMBER(Z12)),Z12=0),"n.d.",1))="n.d.",0,IF(OR(NOT(ISNUMBER(Z12)),Z12=0),"n.d.",1))</f>
        <v>1.0</v>
      </c>
      <c r="AF12" s="9"/>
    </row>
    <row r="13" spans="1:32" ht="13.5" customHeight="1">
      <c r="A13" s="12"/>
    </row>
    <row r="14" spans="1:32" ht="13.5" customHeight="1">
      <c r="A14" s="12"/>
      <c r="R14" s="4" t="s">
        <v>3151</v>
      </c>
      <c r="S14" s="4"/>
      <c r="T14" s="4"/>
      <c r="U14" s="15" t="s">
        <v>387</v>
      </c>
      <c r="V14" s="15"/>
      <c r="W14" s="15"/>
      <c r="X14" s="16">
        <f>IF((IF(OR(SUMPRODUCT(--('Repartition stock'!$A$6:$A$423="2026Q3"),--('Repartition stock'!$B$6:$B$423="AT"),--('Repartition stock'!$E$6:$E$423="Millésime"),--('Repartition stock'!$F$6:$F$423="&lt;2018"))=0,SUMPRODUCT(--('Repartition stock'!$A$6:$A$423="2026Q3"),--('Repartition stock'!$B$6:$B$423="AT"),--('Repartition stock'!$E$6:$E$423="Millésime"),--('Repartition stock'!$F$6:$F$423="&lt;2018"),--('Repartition stock'!$G$6:$G$423="n.d."))&gt;0),"n.d.",SUMPRODUCT(--('Repartition stock'!$A$6:$A$423="2026Q3"),--('Repartition stock'!$B$6:$B$423="AT"),--('Repartition stock'!$E$6:$E$423="Millésime"),--('Repartition stock'!$F$6:$F$423="&lt;2018"),'Repartition stock'!$G$6:$G$423)))="n.d.",0,IF(OR(SUMPRODUCT(--('Repartition stock'!$A$6:$A$423="2026Q3"),--('Repartition stock'!$B$6:$B$423="AT"),--('Repartition stock'!$E$6:$E$423="Millésime"),--('Repartition stock'!$F$6:$F$423="&lt;2018"))=0,SUMPRODUCT(--('Repartition stock'!$A$6:$A$423="2026Q3"),--('Repartition stock'!$B$6:$B$423="AT"),--('Repartition stock'!$E$6:$E$423="Millésime"),--('Repartition stock'!$F$6:$F$423="&lt;2018"),--('Repartition stock'!$G$6:$G$423="n.d."))&gt;0),"n.d.",SUMPRODUCT(--('Repartition stock'!$A$6:$A$423="2026Q3"),--('Repartition stock'!$B$6:$B$423="AT"),--('Repartition stock'!$E$6:$E$423="Millésime"),--('Repartition stock'!$F$6:$F$423="&lt;2018"),'Repartition stock'!$G$6:$G$423)))</f>
        <v>0</v>
      </c>
      <c r="Y14" s="16"/>
      <c r="Z14" s="16">
        <f>IF((IF(OR(SUMPRODUCT(--('Repartition stock'!$A$6:$A$423="2026Q3"),--('Repartition stock'!$B$6:$B$423="AT"),--('Repartition stock'!$E$6:$E$423="Millésime"),--('Repartition stock'!$F$6:$F$423="&lt;2018"))=0,SUMPRODUCT(--('Repartition stock'!$A$6:$A$423="2026Q3"),--('Repartition stock'!$B$6:$B$423="AT"),--('Repartition stock'!$E$6:$E$423="Millésime"),--('Repartition stock'!$F$6:$F$423="&lt;2018"),--('Repartition stock'!$J$6:$J$423="n.d."))&gt;0),"n.d.",SUMPRODUCT(--('Repartition stock'!$A$6:$A$423="2026Q3"),--('Repartition stock'!$B$6:$B$423="AT"),--('Repartition stock'!$E$6:$E$423="Millésime"),--('Repartition stock'!$F$6:$F$423="&lt;2018"),'Repartition stock'!$J$6:$J$423)))="n.d.",0,IF(OR(SUMPRODUCT(--('Repartition stock'!$A$6:$A$423="2026Q3"),--('Repartition stock'!$B$6:$B$423="AT"),--('Repartition stock'!$E$6:$E$423="Millésime"),--('Repartition stock'!$F$6:$F$423="&lt;2018"))=0,SUMPRODUCT(--('Repartition stock'!$A$6:$A$423="2026Q3"),--('Repartition stock'!$B$6:$B$423="AT"),--('Repartition stock'!$E$6:$E$423="Millésime"),--('Repartition stock'!$F$6:$F$423="&lt;2018"),--('Repartition stock'!$J$6:$J$423="n.d."))&gt;0),"n.d.",SUMPRODUCT(--('Repartition stock'!$A$6:$A$423="2026Q3"),--('Repartition stock'!$B$6:$B$423="AT"),--('Repartition stock'!$E$6:$E$423="Millésime"),--('Repartition stock'!$F$6:$F$423="&lt;2018"),'Repartition stock'!$J$6:$J$423)))</f>
        <v>0</v>
      </c>
      <c r="AA14" s="16"/>
      <c r="AB14" s="16"/>
      <c r="AC14" s="7">
        <f>IF((IF(OR(COUNT(X14,X24)&lt;&gt;2,X24=0),"n.d.",X14/X24))="n.d.",0,IF(OR(COUNT(X14,X24)&lt;&gt;2,X24=0),"n.d.",X14/X24))</f>
        <v>0</v>
      </c>
      <c r="AD14" s="7"/>
      <c r="AE14" s="7">
        <f>IF((IF(OR(COUNT(Z14,Z24)&lt;&gt;2,Z24=0),"n.d.",Z14/Z24))="n.d.",0,IF(OR(COUNT(Z14,Z24)&lt;&gt;2,Z24=0),"n.d.",Z14/Z24))</f>
        <v>0</v>
      </c>
      <c r="AF14" s="7"/>
    </row>
    <row r="15" spans="1:32" ht="13.5" customHeight="1">
      <c r="A15" s="12"/>
      <c r="R15" s="4"/>
      <c r="S15" s="4"/>
      <c r="T15" s="4"/>
      <c r="U15" s="15" t="s">
        <v>389</v>
      </c>
      <c r="V15" s="15"/>
      <c r="W15" s="15"/>
      <c r="X15" s="16">
        <f>IF((IF(OR(SUMPRODUCT(--('Repartition stock'!$A$6:$A$423="2026Q3"),--('Repartition stock'!$B$6:$B$423="AT"),--('Repartition stock'!$E$6:$E$423="Millésime"),--('Repartition stock'!$F$6:$F$423="2018"))=0,SUMPRODUCT(--('Repartition stock'!$A$6:$A$423="2026Q3"),--('Repartition stock'!$B$6:$B$423="AT"),--('Repartition stock'!$E$6:$E$423="Millésime"),--('Repartition stock'!$F$6:$F$423="2018"),--('Repartition stock'!$G$6:$G$423="n.d."))&gt;0),"n.d.",SUMPRODUCT(--('Repartition stock'!$A$6:$A$423="2026Q3"),--('Repartition stock'!$B$6:$B$423="AT"),--('Repartition stock'!$E$6:$E$423="Millésime"),--('Repartition stock'!$F$6:$F$423="2018"),'Repartition stock'!$G$6:$G$423)))="n.d.",0,IF(OR(SUMPRODUCT(--('Repartition stock'!$A$6:$A$423="2026Q3"),--('Repartition stock'!$B$6:$B$423="AT"),--('Repartition stock'!$E$6:$E$423="Millésime"),--('Repartition stock'!$F$6:$F$423="2018"))=0,SUMPRODUCT(--('Repartition stock'!$A$6:$A$423="2026Q3"),--('Repartition stock'!$B$6:$B$423="AT"),--('Repartition stock'!$E$6:$E$423="Millésime"),--('Repartition stock'!$F$6:$F$423="2018"),--('Repartition stock'!$G$6:$G$423="n.d."))&gt;0),"n.d.",SUMPRODUCT(--('Repartition stock'!$A$6:$A$423="2026Q3"),--('Repartition stock'!$B$6:$B$423="AT"),--('Repartition stock'!$E$6:$E$423="Millésime"),--('Repartition stock'!$F$6:$F$423="2018"),'Repartition stock'!$G$6:$G$423)))</f>
        <v>0</v>
      </c>
      <c r="Y15" s="16"/>
      <c r="Z15" s="16">
        <f>IF((IF(OR(SUMPRODUCT(--('Repartition stock'!$A$6:$A$423="2026Q3"),--('Repartition stock'!$B$6:$B$423="AT"),--('Repartition stock'!$E$6:$E$423="Millésime"),--('Repartition stock'!$F$6:$F$423="2018"))=0,SUMPRODUCT(--('Repartition stock'!$A$6:$A$423="2026Q3"),--('Repartition stock'!$B$6:$B$423="AT"),--('Repartition stock'!$E$6:$E$423="Millésime"),--('Repartition stock'!$F$6:$F$423="2018"),--('Repartition stock'!$J$6:$J$423="n.d."))&gt;0),"n.d.",SUMPRODUCT(--('Repartition stock'!$A$6:$A$423="2026Q3"),--('Repartition stock'!$B$6:$B$423="AT"),--('Repartition stock'!$E$6:$E$423="Millésime"),--('Repartition stock'!$F$6:$F$423="2018"),'Repartition stock'!$J$6:$J$423)))="n.d.",0,IF(OR(SUMPRODUCT(--('Repartition stock'!$A$6:$A$423="2026Q3"),--('Repartition stock'!$B$6:$B$423="AT"),--('Repartition stock'!$E$6:$E$423="Millésime"),--('Repartition stock'!$F$6:$F$423="2018"))=0,SUMPRODUCT(--('Repartition stock'!$A$6:$A$423="2026Q3"),--('Repartition stock'!$B$6:$B$423="AT"),--('Repartition stock'!$E$6:$E$423="Millésime"),--('Repartition stock'!$F$6:$F$423="2018"),--('Repartition stock'!$J$6:$J$423="n.d."))&gt;0),"n.d.",SUMPRODUCT(--('Repartition stock'!$A$6:$A$423="2026Q3"),--('Repartition stock'!$B$6:$B$423="AT"),--('Repartition stock'!$E$6:$E$423="Millésime"),--('Repartition stock'!$F$6:$F$423="2018"),'Repartition stock'!$J$6:$J$423)))</f>
        <v>0</v>
      </c>
      <c r="AA15" s="16"/>
      <c r="AB15" s="16"/>
      <c r="AC15" s="7">
        <f>IF((IF(OR(COUNT(X15,X24)&lt;&gt;2,X24=0),"n.d.",X15/X24))="n.d.",0,IF(OR(COUNT(X15,X24)&lt;&gt;2,X24=0),"n.d.",X15/X24))</f>
        <v>0</v>
      </c>
      <c r="AD15" s="7"/>
      <c r="AE15" s="7">
        <f>IF((IF(OR(COUNT(Z15,Z24)&lt;&gt;2,Z24=0),"n.d.",Z15/Z24))="n.d.",0,IF(OR(COUNT(Z15,Z24)&lt;&gt;2,Z24=0),"n.d.",Z15/Z24))</f>
        <v>0</v>
      </c>
      <c r="AF15" s="7"/>
    </row>
    <row r="16" spans="1:32" ht="13.5" customHeight="1">
      <c r="A16" s="12"/>
      <c r="R16" s="4"/>
      <c r="S16" s="4"/>
      <c r="T16" s="4"/>
      <c r="U16" s="15" t="s">
        <v>391</v>
      </c>
      <c r="V16" s="15"/>
      <c r="W16" s="15"/>
      <c r="X16" s="16">
        <f>IF((IF(OR(SUMPRODUCT(--('Repartition stock'!$A$6:$A$423="2026Q3"),--('Repartition stock'!$B$6:$B$423="AT"),--('Repartition stock'!$E$6:$E$423="Millésime"),--('Repartition stock'!$F$6:$F$423="2019"))=0,SUMPRODUCT(--('Repartition stock'!$A$6:$A$423="2026Q3"),--('Repartition stock'!$B$6:$B$423="AT"),--('Repartition stock'!$E$6:$E$423="Millésime"),--('Repartition stock'!$F$6:$F$423="2019"),--('Repartition stock'!$G$6:$G$423="n.d."))&gt;0),"n.d.",SUMPRODUCT(--('Repartition stock'!$A$6:$A$423="2026Q3"),--('Repartition stock'!$B$6:$B$423="AT"),--('Repartition stock'!$E$6:$E$423="Millésime"),--('Repartition stock'!$F$6:$F$423="2019"),'Repartition stock'!$G$6:$G$423)))="n.d.",0,IF(OR(SUMPRODUCT(--('Repartition stock'!$A$6:$A$423="2026Q3"),--('Repartition stock'!$B$6:$B$423="AT"),--('Repartition stock'!$E$6:$E$423="Millésime"),--('Repartition stock'!$F$6:$F$423="2019"))=0,SUMPRODUCT(--('Repartition stock'!$A$6:$A$423="2026Q3"),--('Repartition stock'!$B$6:$B$423="AT"),--('Repartition stock'!$E$6:$E$423="Millésime"),--('Repartition stock'!$F$6:$F$423="2019"),--('Repartition stock'!$G$6:$G$423="n.d."))&gt;0),"n.d.",SUMPRODUCT(--('Repartition stock'!$A$6:$A$423="2026Q3"),--('Repartition stock'!$B$6:$B$423="AT"),--('Repartition stock'!$E$6:$E$423="Millésime"),--('Repartition stock'!$F$6:$F$423="2019"),'Repartition stock'!$G$6:$G$423)))</f>
        <v>1.0</v>
      </c>
      <c r="Y16" s="16"/>
      <c r="Z16" s="16">
        <f>IF((IF(OR(SUMPRODUCT(--('Repartition stock'!$A$6:$A$423="2026Q3"),--('Repartition stock'!$B$6:$B$423="AT"),--('Repartition stock'!$E$6:$E$423="Millésime"),--('Repartition stock'!$F$6:$F$423="2019"))=0,SUMPRODUCT(--('Repartition stock'!$A$6:$A$423="2026Q3"),--('Repartition stock'!$B$6:$B$423="AT"),--('Repartition stock'!$E$6:$E$423="Millésime"),--('Repartition stock'!$F$6:$F$423="2019"),--('Repartition stock'!$J$6:$J$423="n.d."))&gt;0),"n.d.",SUMPRODUCT(--('Repartition stock'!$A$6:$A$423="2026Q3"),--('Repartition stock'!$B$6:$B$423="AT"),--('Repartition stock'!$E$6:$E$423="Millésime"),--('Repartition stock'!$F$6:$F$423="2019"),'Repartition stock'!$J$6:$J$423)))="n.d.",0,IF(OR(SUMPRODUCT(--('Repartition stock'!$A$6:$A$423="2026Q3"),--('Repartition stock'!$B$6:$B$423="AT"),--('Repartition stock'!$E$6:$E$423="Millésime"),--('Repartition stock'!$F$6:$F$423="2019"))=0,SUMPRODUCT(--('Repartition stock'!$A$6:$A$423="2026Q3"),--('Repartition stock'!$B$6:$B$423="AT"),--('Repartition stock'!$E$6:$E$423="Millésime"),--('Repartition stock'!$F$6:$F$423="2019"),--('Repartition stock'!$J$6:$J$423="n.d."))&gt;0),"n.d.",SUMPRODUCT(--('Repartition stock'!$A$6:$A$423="2026Q3"),--('Repartition stock'!$B$6:$B$423="AT"),--('Repartition stock'!$E$6:$E$423="Millésime"),--('Repartition stock'!$F$6:$F$423="2019"),'Repartition stock'!$J$6:$J$423)))</f>
        <v>2315.0</v>
      </c>
      <c r="AA16" s="16"/>
      <c r="AB16" s="16"/>
      <c r="AC16" s="7">
        <f>IF((IF(OR(COUNT(X16,X24)&lt;&gt;2,X24=0),"n.d.",X16/X24))="n.d.",0,IF(OR(COUNT(X16,X24)&lt;&gt;2,X24=0),"n.d.",X16/X24))</f>
        <v>0.013513513513513514</v>
      </c>
      <c r="AD16" s="7"/>
      <c r="AE16" s="7">
        <f>IF((IF(OR(COUNT(Z16,Z24)&lt;&gt;2,Z24=0),"n.d.",Z16/Z24))="n.d.",0,IF(OR(COUNT(Z16,Z24)&lt;&gt;2,Z24=0),"n.d.",Z16/Z24))</f>
        <v>0.16406803685329555</v>
      </c>
      <c r="AF16" s="7"/>
    </row>
    <row r="17" spans="1:32" ht="13.5" customHeight="1">
      <c r="A17" s="12"/>
      <c r="R17" s="4"/>
      <c r="S17" s="4"/>
      <c r="T17" s="4"/>
      <c r="U17" s="15" t="s">
        <v>393</v>
      </c>
      <c r="V17" s="15"/>
      <c r="W17" s="15"/>
      <c r="X17" s="16">
        <f>IF((IF(OR(SUMPRODUCT(--('Repartition stock'!$A$6:$A$423="2026Q3"),--('Repartition stock'!$B$6:$B$423="AT"),--('Repartition stock'!$E$6:$E$423="Millésime"),--('Repartition stock'!$F$6:$F$423="2020"))=0,SUMPRODUCT(--('Repartition stock'!$A$6:$A$423="2026Q3"),--('Repartition stock'!$B$6:$B$423="AT"),--('Repartition stock'!$E$6:$E$423="Millésime"),--('Repartition stock'!$F$6:$F$423="2020"),--('Repartition stock'!$G$6:$G$423="n.d."))&gt;0),"n.d.",SUMPRODUCT(--('Repartition stock'!$A$6:$A$423="2026Q3"),--('Repartition stock'!$B$6:$B$423="AT"),--('Repartition stock'!$E$6:$E$423="Millésime"),--('Repartition stock'!$F$6:$F$423="2020"),'Repartition stock'!$G$6:$G$423)))="n.d.",0,IF(OR(SUMPRODUCT(--('Repartition stock'!$A$6:$A$423="2026Q3"),--('Repartition stock'!$B$6:$B$423="AT"),--('Repartition stock'!$E$6:$E$423="Millésime"),--('Repartition stock'!$F$6:$F$423="2020"))=0,SUMPRODUCT(--('Repartition stock'!$A$6:$A$423="2026Q3"),--('Repartition stock'!$B$6:$B$423="AT"),--('Repartition stock'!$E$6:$E$423="Millésime"),--('Repartition stock'!$F$6:$F$423="2020"),--('Repartition stock'!$G$6:$G$423="n.d."))&gt;0),"n.d.",SUMPRODUCT(--('Repartition stock'!$A$6:$A$423="2026Q3"),--('Repartition stock'!$B$6:$B$423="AT"),--('Repartition stock'!$E$6:$E$423="Millésime"),--('Repartition stock'!$F$6:$F$423="2020"),'Repartition stock'!$G$6:$G$423)))</f>
        <v>0</v>
      </c>
      <c r="Y17" s="16"/>
      <c r="Z17" s="16">
        <f>IF((IF(OR(SUMPRODUCT(--('Repartition stock'!$A$6:$A$423="2026Q3"),--('Repartition stock'!$B$6:$B$423="AT"),--('Repartition stock'!$E$6:$E$423="Millésime"),--('Repartition stock'!$F$6:$F$423="2020"))=0,SUMPRODUCT(--('Repartition stock'!$A$6:$A$423="2026Q3"),--('Repartition stock'!$B$6:$B$423="AT"),--('Repartition stock'!$E$6:$E$423="Millésime"),--('Repartition stock'!$F$6:$F$423="2020"),--('Repartition stock'!$J$6:$J$423="n.d."))&gt;0),"n.d.",SUMPRODUCT(--('Repartition stock'!$A$6:$A$423="2026Q3"),--('Repartition stock'!$B$6:$B$423="AT"),--('Repartition stock'!$E$6:$E$423="Millésime"),--('Repartition stock'!$F$6:$F$423="2020"),'Repartition stock'!$J$6:$J$423)))="n.d.",0,IF(OR(SUMPRODUCT(--('Repartition stock'!$A$6:$A$423="2026Q3"),--('Repartition stock'!$B$6:$B$423="AT"),--('Repartition stock'!$E$6:$E$423="Millésime"),--('Repartition stock'!$F$6:$F$423="2020"))=0,SUMPRODUCT(--('Repartition stock'!$A$6:$A$423="2026Q3"),--('Repartition stock'!$B$6:$B$423="AT"),--('Repartition stock'!$E$6:$E$423="Millésime"),--('Repartition stock'!$F$6:$F$423="2020"),--('Repartition stock'!$J$6:$J$423="n.d."))&gt;0),"n.d.",SUMPRODUCT(--('Repartition stock'!$A$6:$A$423="2026Q3"),--('Repartition stock'!$B$6:$B$423="AT"),--('Repartition stock'!$E$6:$E$423="Millésime"),--('Repartition stock'!$F$6:$F$423="2020"),'Repartition stock'!$J$6:$J$423)))</f>
        <v>0</v>
      </c>
      <c r="AA17" s="16"/>
      <c r="AB17" s="16"/>
      <c r="AC17" s="7">
        <f>IF((IF(OR(COUNT(X17,X24)&lt;&gt;2,X24=0),"n.d.",X17/X24))="n.d.",0,IF(OR(COUNT(X17,X24)&lt;&gt;2,X24=0),"n.d.",X17/X24))</f>
        <v>0</v>
      </c>
      <c r="AD17" s="7"/>
      <c r="AE17" s="7">
        <f>IF((IF(OR(COUNT(Z17,Z24)&lt;&gt;2,Z24=0),"n.d.",Z17/Z24))="n.d.",0,IF(OR(COUNT(Z17,Z24)&lt;&gt;2,Z24=0),"n.d.",Z17/Z24))</f>
        <v>0</v>
      </c>
      <c r="AF17" s="7"/>
    </row>
    <row r="18" spans="1:32" ht="13.5" customHeight="1">
      <c r="A18" s="12"/>
      <c r="R18" s="4"/>
      <c r="S18" s="4"/>
      <c r="T18" s="4"/>
      <c r="U18" s="15" t="s">
        <v>395</v>
      </c>
      <c r="V18" s="15"/>
      <c r="W18" s="15"/>
      <c r="X18" s="16">
        <f>IF((IF(OR(SUMPRODUCT(--('Repartition stock'!$A$6:$A$423="2026Q3"),--('Repartition stock'!$B$6:$B$423="AT"),--('Repartition stock'!$E$6:$E$423="Millésime"),--('Repartition stock'!$F$6:$F$423="2021"))=0,SUMPRODUCT(--('Repartition stock'!$A$6:$A$423="2026Q3"),--('Repartition stock'!$B$6:$B$423="AT"),--('Repartition stock'!$E$6:$E$423="Millésime"),--('Repartition stock'!$F$6:$F$423="2021"),--('Repartition stock'!$G$6:$G$423="n.d."))&gt;0),"n.d.",SUMPRODUCT(--('Repartition stock'!$A$6:$A$423="2026Q3"),--('Repartition stock'!$B$6:$B$423="AT"),--('Repartition stock'!$E$6:$E$423="Millésime"),--('Repartition stock'!$F$6:$F$423="2021"),'Repartition stock'!$G$6:$G$423)))="n.d.",0,IF(OR(SUMPRODUCT(--('Repartition stock'!$A$6:$A$423="2026Q3"),--('Repartition stock'!$B$6:$B$423="AT"),--('Repartition stock'!$E$6:$E$423="Millésime"),--('Repartition stock'!$F$6:$F$423="2021"))=0,SUMPRODUCT(--('Repartition stock'!$A$6:$A$423="2026Q3"),--('Repartition stock'!$B$6:$B$423="AT"),--('Repartition stock'!$E$6:$E$423="Millésime"),--('Repartition stock'!$F$6:$F$423="2021"),--('Repartition stock'!$G$6:$G$423="n.d."))&gt;0),"n.d.",SUMPRODUCT(--('Repartition stock'!$A$6:$A$423="2026Q3"),--('Repartition stock'!$B$6:$B$423="AT"),--('Repartition stock'!$E$6:$E$423="Millésime"),--('Repartition stock'!$F$6:$F$423="2021"),'Repartition stock'!$G$6:$G$423)))</f>
        <v>1.0</v>
      </c>
      <c r="Y18" s="16"/>
      <c r="Z18" s="16">
        <f>IF((IF(OR(SUMPRODUCT(--('Repartition stock'!$A$6:$A$423="2026Q3"),--('Repartition stock'!$B$6:$B$423="AT"),--('Repartition stock'!$E$6:$E$423="Millésime"),--('Repartition stock'!$F$6:$F$423="2021"))=0,SUMPRODUCT(--('Repartition stock'!$A$6:$A$423="2026Q3"),--('Repartition stock'!$B$6:$B$423="AT"),--('Repartition stock'!$E$6:$E$423="Millésime"),--('Repartition stock'!$F$6:$F$423="2021"),--('Repartition stock'!$J$6:$J$423="n.d."))&gt;0),"n.d.",SUMPRODUCT(--('Repartition stock'!$A$6:$A$423="2026Q3"),--('Repartition stock'!$B$6:$B$423="AT"),--('Repartition stock'!$E$6:$E$423="Millésime"),--('Repartition stock'!$F$6:$F$423="2021"),'Repartition stock'!$J$6:$J$423)))="n.d.",0,IF(OR(SUMPRODUCT(--('Repartition stock'!$A$6:$A$423="2026Q3"),--('Repartition stock'!$B$6:$B$423="AT"),--('Repartition stock'!$E$6:$E$423="Millésime"),--('Repartition stock'!$F$6:$F$423="2021"))=0,SUMPRODUCT(--('Repartition stock'!$A$6:$A$423="2026Q3"),--('Repartition stock'!$B$6:$B$423="AT"),--('Repartition stock'!$E$6:$E$423="Millésime"),--('Repartition stock'!$F$6:$F$423="2021"),--('Repartition stock'!$J$6:$J$423="n.d."))&gt;0),"n.d.",SUMPRODUCT(--('Repartition stock'!$A$6:$A$423="2026Q3"),--('Repartition stock'!$B$6:$B$423="AT"),--('Repartition stock'!$E$6:$E$423="Millésime"),--('Repartition stock'!$F$6:$F$423="2021"),'Repartition stock'!$J$6:$J$423)))</f>
        <v>81.0</v>
      </c>
      <c r="AA18" s="16"/>
      <c r="AB18" s="16"/>
      <c r="AC18" s="7">
        <f>IF((IF(OR(COUNT(X18,X24)&lt;&gt;2,X24=0),"n.d.",X18/X24))="n.d.",0,IF(OR(COUNT(X18,X24)&lt;&gt;2,X24=0),"n.d.",X18/X24))</f>
        <v>0.013513513513513514</v>
      </c>
      <c r="AD18" s="7"/>
      <c r="AE18" s="7">
        <f>IF((IF(OR(COUNT(Z18,Z24)&lt;&gt;2,Z24=0),"n.d.",Z18/Z24))="n.d.",0,IF(OR(COUNT(Z18,Z24)&lt;&gt;2,Z24=0),"n.d.",Z18/Z24))</f>
        <v>0.005740609496810773</v>
      </c>
      <c r="AF18" s="7"/>
    </row>
    <row r="19" spans="1:32" ht="13.5" customHeight="1">
      <c r="A19" s="12"/>
      <c r="R19" s="4"/>
      <c r="S19" s="4"/>
      <c r="T19" s="4"/>
      <c r="U19" s="15" t="s">
        <v>397</v>
      </c>
      <c r="V19" s="15"/>
      <c r="W19" s="15"/>
      <c r="X19" s="16">
        <f>IF((IF(OR(SUMPRODUCT(--('Repartition stock'!$A$6:$A$423="2026Q3"),--('Repartition stock'!$B$6:$B$423="AT"),--('Repartition stock'!$E$6:$E$423="Millésime"),--('Repartition stock'!$F$6:$F$423="2022"))=0,SUMPRODUCT(--('Repartition stock'!$A$6:$A$423="2026Q3"),--('Repartition stock'!$B$6:$B$423="AT"),--('Repartition stock'!$E$6:$E$423="Millésime"),--('Repartition stock'!$F$6:$F$423="2022"),--('Repartition stock'!$G$6:$G$423="n.d."))&gt;0),"n.d.",SUMPRODUCT(--('Repartition stock'!$A$6:$A$423="2026Q3"),--('Repartition stock'!$B$6:$B$423="AT"),--('Repartition stock'!$E$6:$E$423="Millésime"),--('Repartition stock'!$F$6:$F$423="2022"),'Repartition stock'!$G$6:$G$423)))="n.d.",0,IF(OR(SUMPRODUCT(--('Repartition stock'!$A$6:$A$423="2026Q3"),--('Repartition stock'!$B$6:$B$423="AT"),--('Repartition stock'!$E$6:$E$423="Millésime"),--('Repartition stock'!$F$6:$F$423="2022"))=0,SUMPRODUCT(--('Repartition stock'!$A$6:$A$423="2026Q3"),--('Repartition stock'!$B$6:$B$423="AT"),--('Repartition stock'!$E$6:$E$423="Millésime"),--('Repartition stock'!$F$6:$F$423="2022"),--('Repartition stock'!$G$6:$G$423="n.d."))&gt;0),"n.d.",SUMPRODUCT(--('Repartition stock'!$A$6:$A$423="2026Q3"),--('Repartition stock'!$B$6:$B$423="AT"),--('Repartition stock'!$E$6:$E$423="Millésime"),--('Repartition stock'!$F$6:$F$423="2022"),'Repartition stock'!$G$6:$G$423)))</f>
        <v>0</v>
      </c>
      <c r="Y19" s="16"/>
      <c r="Z19" s="16">
        <f>IF((IF(OR(SUMPRODUCT(--('Repartition stock'!$A$6:$A$423="2026Q3"),--('Repartition stock'!$B$6:$B$423="AT"),--('Repartition stock'!$E$6:$E$423="Millésime"),--('Repartition stock'!$F$6:$F$423="2022"))=0,SUMPRODUCT(--('Repartition stock'!$A$6:$A$423="2026Q3"),--('Repartition stock'!$B$6:$B$423="AT"),--('Repartition stock'!$E$6:$E$423="Millésime"),--('Repartition stock'!$F$6:$F$423="2022"),--('Repartition stock'!$J$6:$J$423="n.d."))&gt;0),"n.d.",SUMPRODUCT(--('Repartition stock'!$A$6:$A$423="2026Q3"),--('Repartition stock'!$B$6:$B$423="AT"),--('Repartition stock'!$E$6:$E$423="Millésime"),--('Repartition stock'!$F$6:$F$423="2022"),'Repartition stock'!$J$6:$J$423)))="n.d.",0,IF(OR(SUMPRODUCT(--('Repartition stock'!$A$6:$A$423="2026Q3"),--('Repartition stock'!$B$6:$B$423="AT"),--('Repartition stock'!$E$6:$E$423="Millésime"),--('Repartition stock'!$F$6:$F$423="2022"))=0,SUMPRODUCT(--('Repartition stock'!$A$6:$A$423="2026Q3"),--('Repartition stock'!$B$6:$B$423="AT"),--('Repartition stock'!$E$6:$E$423="Millésime"),--('Repartition stock'!$F$6:$F$423="2022"),--('Repartition stock'!$J$6:$J$423="n.d."))&gt;0),"n.d.",SUMPRODUCT(--('Repartition stock'!$A$6:$A$423="2026Q3"),--('Repartition stock'!$B$6:$B$423="AT"),--('Repartition stock'!$E$6:$E$423="Millésime"),--('Repartition stock'!$F$6:$F$423="2022"),'Repartition stock'!$J$6:$J$423)))</f>
        <v>0</v>
      </c>
      <c r="AA19" s="16"/>
      <c r="AB19" s="16"/>
      <c r="AC19" s="7">
        <f>IF((IF(OR(COUNT(X19,X24)&lt;&gt;2,X24=0),"n.d.",X19/X24))="n.d.",0,IF(OR(COUNT(X19,X24)&lt;&gt;2,X24=0),"n.d.",X19/X24))</f>
        <v>0</v>
      </c>
      <c r="AD19" s="7"/>
      <c r="AE19" s="7">
        <f>IF((IF(OR(COUNT(Z19,Z24)&lt;&gt;2,Z24=0),"n.d.",Z19/Z24))="n.d.",0,IF(OR(COUNT(Z19,Z24)&lt;&gt;2,Z24=0),"n.d.",Z19/Z24))</f>
        <v>0</v>
      </c>
      <c r="AF19" s="7"/>
    </row>
    <row r="20" spans="1:32" ht="13.5" customHeight="1">
      <c r="A20" s="12"/>
      <c r="R20" s="4"/>
      <c r="S20" s="4"/>
      <c r="T20" s="4"/>
      <c r="U20" s="15" t="s">
        <v>399</v>
      </c>
      <c r="V20" s="15"/>
      <c r="W20" s="15"/>
      <c r="X20" s="16">
        <f>IF((IF(OR(SUMPRODUCT(--('Repartition stock'!$A$6:$A$423="2026Q3"),--('Repartition stock'!$B$6:$B$423="AT"),--('Repartition stock'!$E$6:$E$423="Millésime"),--('Repartition stock'!$F$6:$F$423="2023"))=0,SUMPRODUCT(--('Repartition stock'!$A$6:$A$423="2026Q3"),--('Repartition stock'!$B$6:$B$423="AT"),--('Repartition stock'!$E$6:$E$423="Millésime"),--('Repartition stock'!$F$6:$F$423="2023"),--('Repartition stock'!$G$6:$G$423="n.d."))&gt;0),"n.d.",SUMPRODUCT(--('Repartition stock'!$A$6:$A$423="2026Q3"),--('Repartition stock'!$B$6:$B$423="AT"),--('Repartition stock'!$E$6:$E$423="Millésime"),--('Repartition stock'!$F$6:$F$423="2023"),'Repartition stock'!$G$6:$G$423)))="n.d.",0,IF(OR(SUMPRODUCT(--('Repartition stock'!$A$6:$A$423="2026Q3"),--('Repartition stock'!$B$6:$B$423="AT"),--('Repartition stock'!$E$6:$E$423="Millésime"),--('Repartition stock'!$F$6:$F$423="2023"))=0,SUMPRODUCT(--('Repartition stock'!$A$6:$A$423="2026Q3"),--('Repartition stock'!$B$6:$B$423="AT"),--('Repartition stock'!$E$6:$E$423="Millésime"),--('Repartition stock'!$F$6:$F$423="2023"),--('Repartition stock'!$G$6:$G$423="n.d."))&gt;0),"n.d.",SUMPRODUCT(--('Repartition stock'!$A$6:$A$423="2026Q3"),--('Repartition stock'!$B$6:$B$423="AT"),--('Repartition stock'!$E$6:$E$423="Millésime"),--('Repartition stock'!$F$6:$F$423="2023"),'Repartition stock'!$G$6:$G$423)))</f>
        <v>1.0</v>
      </c>
      <c r="Y20" s="16"/>
      <c r="Z20" s="16">
        <f>IF((IF(OR(SUMPRODUCT(--('Repartition stock'!$A$6:$A$423="2026Q3"),--('Repartition stock'!$B$6:$B$423="AT"),--('Repartition stock'!$E$6:$E$423="Millésime"),--('Repartition stock'!$F$6:$F$423="2023"))=0,SUMPRODUCT(--('Repartition stock'!$A$6:$A$423="2026Q3"),--('Repartition stock'!$B$6:$B$423="AT"),--('Repartition stock'!$E$6:$E$423="Millésime"),--('Repartition stock'!$F$6:$F$423="2023"),--('Repartition stock'!$J$6:$J$423="n.d."))&gt;0),"n.d.",SUMPRODUCT(--('Repartition stock'!$A$6:$A$423="2026Q3"),--('Repartition stock'!$B$6:$B$423="AT"),--('Repartition stock'!$E$6:$E$423="Millésime"),--('Repartition stock'!$F$6:$F$423="2023"),'Repartition stock'!$J$6:$J$423)))="n.d.",0,IF(OR(SUMPRODUCT(--('Repartition stock'!$A$6:$A$423="2026Q3"),--('Repartition stock'!$B$6:$B$423="AT"),--('Repartition stock'!$E$6:$E$423="Millésime"),--('Repartition stock'!$F$6:$F$423="2023"))=0,SUMPRODUCT(--('Repartition stock'!$A$6:$A$423="2026Q3"),--('Repartition stock'!$B$6:$B$423="AT"),--('Repartition stock'!$E$6:$E$423="Millésime"),--('Repartition stock'!$F$6:$F$423="2023"),--('Repartition stock'!$J$6:$J$423="n.d."))&gt;0),"n.d.",SUMPRODUCT(--('Repartition stock'!$A$6:$A$423="2026Q3"),--('Repartition stock'!$B$6:$B$423="AT"),--('Repartition stock'!$E$6:$E$423="Millésime"),--('Repartition stock'!$F$6:$F$423="2023"),'Repartition stock'!$J$6:$J$423)))</f>
        <v>47.0</v>
      </c>
      <c r="AA20" s="16"/>
      <c r="AB20" s="16"/>
      <c r="AC20" s="7">
        <f>IF((IF(OR(COUNT(X20,X24)&lt;&gt;2,X24=0),"n.d.",X20/X24))="n.d.",0,IF(OR(COUNT(X20,X24)&lt;&gt;2,X24=0),"n.d.",X20/X24))</f>
        <v>0.013513513513513514</v>
      </c>
      <c r="AD20" s="7"/>
      <c r="AE20" s="7">
        <f>IF((IF(OR(COUNT(Z20,Z24)&lt;&gt;2,Z24=0),"n.d.",Z20/Z24))="n.d.",0,IF(OR(COUNT(Z20,Z24)&lt;&gt;2,Z24=0),"n.d.",Z20/Z24))</f>
        <v>0.003330970942593905</v>
      </c>
      <c r="AF20" s="7"/>
    </row>
    <row r="21" spans="1:32" ht="13.5" customHeight="1">
      <c r="A21" s="12"/>
      <c r="R21" s="4"/>
      <c r="S21" s="4"/>
      <c r="T21" s="4"/>
      <c r="U21" s="15" t="s">
        <v>95</v>
      </c>
      <c r="V21" s="15"/>
      <c r="W21" s="15"/>
      <c r="X21" s="16">
        <f>IF((IF(OR(SUMPRODUCT(--('Repartition stock'!$A$6:$A$423="2026Q3"),--('Repartition stock'!$B$6:$B$423="AT"),--('Repartition stock'!$E$6:$E$423="Millésime"),--('Repartition stock'!$F$6:$F$423="2024"))=0,SUMPRODUCT(--('Repartition stock'!$A$6:$A$423="2026Q3"),--('Repartition stock'!$B$6:$B$423="AT"),--('Repartition stock'!$E$6:$E$423="Millésime"),--('Repartition stock'!$F$6:$F$423="2024"),--('Repartition stock'!$G$6:$G$423="n.d."))&gt;0),"n.d.",SUMPRODUCT(--('Repartition stock'!$A$6:$A$423="2026Q3"),--('Repartition stock'!$B$6:$B$423="AT"),--('Repartition stock'!$E$6:$E$423="Millésime"),--('Repartition stock'!$F$6:$F$423="2024"),'Repartition stock'!$G$6:$G$423)))="n.d.",0,IF(OR(SUMPRODUCT(--('Repartition stock'!$A$6:$A$423="2026Q3"),--('Repartition stock'!$B$6:$B$423="AT"),--('Repartition stock'!$E$6:$E$423="Millésime"),--('Repartition stock'!$F$6:$F$423="2024"))=0,SUMPRODUCT(--('Repartition stock'!$A$6:$A$423="2026Q3"),--('Repartition stock'!$B$6:$B$423="AT"),--('Repartition stock'!$E$6:$E$423="Millésime"),--('Repartition stock'!$F$6:$F$423="2024"),--('Repartition stock'!$G$6:$G$423="n.d."))&gt;0),"n.d.",SUMPRODUCT(--('Repartition stock'!$A$6:$A$423="2026Q3"),--('Repartition stock'!$B$6:$B$423="AT"),--('Repartition stock'!$E$6:$E$423="Millésime"),--('Repartition stock'!$F$6:$F$423="2024"),'Repartition stock'!$G$6:$G$423)))</f>
        <v>3.0</v>
      </c>
      <c r="Y21" s="16"/>
      <c r="Z21" s="16">
        <f>IF((IF(OR(SUMPRODUCT(--('Repartition stock'!$A$6:$A$423="2026Q3"),--('Repartition stock'!$B$6:$B$423="AT"),--('Repartition stock'!$E$6:$E$423="Millésime"),--('Repartition stock'!$F$6:$F$423="2024"))=0,SUMPRODUCT(--('Repartition stock'!$A$6:$A$423="2026Q3"),--('Repartition stock'!$B$6:$B$423="AT"),--('Repartition stock'!$E$6:$E$423="Millésime"),--('Repartition stock'!$F$6:$F$423="2024"),--('Repartition stock'!$J$6:$J$423="n.d."))&gt;0),"n.d.",SUMPRODUCT(--('Repartition stock'!$A$6:$A$423="2026Q3"),--('Repartition stock'!$B$6:$B$423="AT"),--('Repartition stock'!$E$6:$E$423="Millésime"),--('Repartition stock'!$F$6:$F$423="2024"),'Repartition stock'!$J$6:$J$423)))="n.d.",0,IF(OR(SUMPRODUCT(--('Repartition stock'!$A$6:$A$423="2026Q3"),--('Repartition stock'!$B$6:$B$423="AT"),--('Repartition stock'!$E$6:$E$423="Millésime"),--('Repartition stock'!$F$6:$F$423="2024"))=0,SUMPRODUCT(--('Repartition stock'!$A$6:$A$423="2026Q3"),--('Repartition stock'!$B$6:$B$423="AT"),--('Repartition stock'!$E$6:$E$423="Millésime"),--('Repartition stock'!$F$6:$F$423="2024"),--('Repartition stock'!$J$6:$J$423="n.d."))&gt;0),"n.d.",SUMPRODUCT(--('Repartition stock'!$A$6:$A$423="2026Q3"),--('Repartition stock'!$B$6:$B$423="AT"),--('Repartition stock'!$E$6:$E$423="Millésime"),--('Repartition stock'!$F$6:$F$423="2024"),'Repartition stock'!$J$6:$J$423)))</f>
        <v>3734.0</v>
      </c>
      <c r="AA21" s="16"/>
      <c r="AB21" s="16"/>
      <c r="AC21" s="7">
        <f>IF((IF(OR(COUNT(X21,X24)&lt;&gt;2,X24=0),"n.d.",X21/X24))="n.d.",0,IF(OR(COUNT(X21,X24)&lt;&gt;2,X24=0),"n.d.",X21/X24))</f>
        <v>0.04054054054054054</v>
      </c>
      <c r="AD21" s="7"/>
      <c r="AE21" s="7">
        <f>IF((IF(OR(COUNT(Z21,Z24)&lt;&gt;2,Z24=0),"n.d.",Z21/Z24))="n.d.",0,IF(OR(COUNT(Z21,Z24)&lt;&gt;2,Z24=0),"n.d.",Z21/Z24))</f>
        <v>0.26463501063075834</v>
      </c>
      <c r="AF21" s="7"/>
    </row>
    <row r="22" spans="1:32" ht="13.5" customHeight="1">
      <c r="A22" s="12"/>
      <c r="R22" s="4"/>
      <c r="S22" s="4"/>
      <c r="T22" s="4"/>
      <c r="U22" s="15" t="s">
        <v>53</v>
      </c>
      <c r="V22" s="15"/>
      <c r="W22" s="15"/>
      <c r="X22" s="16">
        <f>IF((IF(OR(SUMPRODUCT(--('Repartition stock'!$A$6:$A$423="2026Q3"),--('Repartition stock'!$B$6:$B$423="AT"),--('Repartition stock'!$E$6:$E$423="Millésime"),--('Repartition stock'!$F$6:$F$423="2025"))=0,SUMPRODUCT(--('Repartition stock'!$A$6:$A$423="2026Q3"),--('Repartition stock'!$B$6:$B$423="AT"),--('Repartition stock'!$E$6:$E$423="Millésime"),--('Repartition stock'!$F$6:$F$423="2025"),--('Repartition stock'!$G$6:$G$423="n.d."))&gt;0),"n.d.",SUMPRODUCT(--('Repartition stock'!$A$6:$A$423="2026Q3"),--('Repartition stock'!$B$6:$B$423="AT"),--('Repartition stock'!$E$6:$E$423="Millésime"),--('Repartition stock'!$F$6:$F$423="2025"),'Repartition stock'!$G$6:$G$423)))="n.d.",0,IF(OR(SUMPRODUCT(--('Repartition stock'!$A$6:$A$423="2026Q3"),--('Repartition stock'!$B$6:$B$423="AT"),--('Repartition stock'!$E$6:$E$423="Millésime"),--('Repartition stock'!$F$6:$F$423="2025"))=0,SUMPRODUCT(--('Repartition stock'!$A$6:$A$423="2026Q3"),--('Repartition stock'!$B$6:$B$423="AT"),--('Repartition stock'!$E$6:$E$423="Millésime"),--('Repartition stock'!$F$6:$F$423="2025"),--('Repartition stock'!$G$6:$G$423="n.d."))&gt;0),"n.d.",SUMPRODUCT(--('Repartition stock'!$A$6:$A$423="2026Q3"),--('Repartition stock'!$B$6:$B$423="AT"),--('Repartition stock'!$E$6:$E$423="Millésime"),--('Repartition stock'!$F$6:$F$423="2025"),'Repartition stock'!$G$6:$G$423)))</f>
        <v>9.0</v>
      </c>
      <c r="Y22" s="16"/>
      <c r="Z22" s="16">
        <f>IF((IF(OR(SUMPRODUCT(--('Repartition stock'!$A$6:$A$423="2026Q3"),--('Repartition stock'!$B$6:$B$423="AT"),--('Repartition stock'!$E$6:$E$423="Millésime"),--('Repartition stock'!$F$6:$F$423="2025"))=0,SUMPRODUCT(--('Repartition stock'!$A$6:$A$423="2026Q3"),--('Repartition stock'!$B$6:$B$423="AT"),--('Repartition stock'!$E$6:$E$423="Millésime"),--('Repartition stock'!$F$6:$F$423="2025"),--('Repartition stock'!$J$6:$J$423="n.d."))&gt;0),"n.d.",SUMPRODUCT(--('Repartition stock'!$A$6:$A$423="2026Q3"),--('Repartition stock'!$B$6:$B$423="AT"),--('Repartition stock'!$E$6:$E$423="Millésime"),--('Repartition stock'!$F$6:$F$423="2025"),'Repartition stock'!$J$6:$J$423)))="n.d.",0,IF(OR(SUMPRODUCT(--('Repartition stock'!$A$6:$A$423="2026Q3"),--('Repartition stock'!$B$6:$B$423="AT"),--('Repartition stock'!$E$6:$E$423="Millésime"),--('Repartition stock'!$F$6:$F$423="2025"))=0,SUMPRODUCT(--('Repartition stock'!$A$6:$A$423="2026Q3"),--('Repartition stock'!$B$6:$B$423="AT"),--('Repartition stock'!$E$6:$E$423="Millésime"),--('Repartition stock'!$F$6:$F$423="2025"),--('Repartition stock'!$J$6:$J$423="n.d."))&gt;0),"n.d.",SUMPRODUCT(--('Repartition stock'!$A$6:$A$423="2026Q3"),--('Repartition stock'!$B$6:$B$423="AT"),--('Repartition stock'!$E$6:$E$423="Millésime"),--('Repartition stock'!$F$6:$F$423="2025"),'Repartition stock'!$J$6:$J$423)))</f>
        <v>1125.0</v>
      </c>
      <c r="AA22" s="16"/>
      <c r="AB22" s="16"/>
      <c r="AC22" s="7">
        <f>IF((IF(OR(COUNT(X22,X24)&lt;&gt;2,X24=0),"n.d.",X22/X24))="n.d.",0,IF(OR(COUNT(X22,X24)&lt;&gt;2,X24=0),"n.d.",X22/X24))</f>
        <v>0.12162162162162163</v>
      </c>
      <c r="AD22" s="7"/>
      <c r="AE22" s="7">
        <f>IF((IF(OR(COUNT(Z22,Z24)&lt;&gt;2,Z24=0),"n.d.",Z22/Z24))="n.d.",0,IF(OR(COUNT(Z22,Z24)&lt;&gt;2,Z24=0),"n.d.",Z22/Z24))</f>
        <v>0.07973068745570518</v>
      </c>
      <c r="AF22" s="7"/>
    </row>
    <row r="23" spans="1:32" ht="13.5" customHeight="1">
      <c r="A23" s="12"/>
      <c r="R23" s="4"/>
      <c r="S23" s="4"/>
      <c r="T23" s="4"/>
      <c r="U23" s="15" t="s">
        <v>55</v>
      </c>
      <c r="V23" s="15"/>
      <c r="W23" s="15"/>
      <c r="X23" s="16">
        <f>IF((IF(OR(SUMPRODUCT(--('Repartition stock'!$A$6:$A$423="2026Q3"),--('Repartition stock'!$B$6:$B$423="AT"),--('Repartition stock'!$E$6:$E$423="Millésime"),--('Repartition stock'!$F$6:$F$423="2026"))=0,SUMPRODUCT(--('Repartition stock'!$A$6:$A$423="2026Q3"),--('Repartition stock'!$B$6:$B$423="AT"),--('Repartition stock'!$E$6:$E$423="Millésime"),--('Repartition stock'!$F$6:$F$423="2026"),--('Repartition stock'!$G$6:$G$423="n.d."))&gt;0),"n.d.",SUMPRODUCT(--('Repartition stock'!$A$6:$A$423="2026Q3"),--('Repartition stock'!$B$6:$B$423="AT"),--('Repartition stock'!$E$6:$E$423="Millésime"),--('Repartition stock'!$F$6:$F$423="2026"),'Repartition stock'!$G$6:$G$423)))="n.d.",0,IF(OR(SUMPRODUCT(--('Repartition stock'!$A$6:$A$423="2026Q3"),--('Repartition stock'!$B$6:$B$423="AT"),--('Repartition stock'!$E$6:$E$423="Millésime"),--('Repartition stock'!$F$6:$F$423="2026"))=0,SUMPRODUCT(--('Repartition stock'!$A$6:$A$423="2026Q3"),--('Repartition stock'!$B$6:$B$423="AT"),--('Repartition stock'!$E$6:$E$423="Millésime"),--('Repartition stock'!$F$6:$F$423="2026"),--('Repartition stock'!$G$6:$G$423="n.d."))&gt;0),"n.d.",SUMPRODUCT(--('Repartition stock'!$A$6:$A$423="2026Q3"),--('Repartition stock'!$B$6:$B$423="AT"),--('Repartition stock'!$E$6:$E$423="Millésime"),--('Repartition stock'!$F$6:$F$423="2026"),'Repartition stock'!$G$6:$G$423)))</f>
        <v>59.0</v>
      </c>
      <c r="Y23" s="16"/>
      <c r="Z23" s="16">
        <f>IF((IF(OR(SUMPRODUCT(--('Repartition stock'!$A$6:$A$423="2026Q3"),--('Repartition stock'!$B$6:$B$423="AT"),--('Repartition stock'!$E$6:$E$423="Millésime"),--('Repartition stock'!$F$6:$F$423="2026"))=0,SUMPRODUCT(--('Repartition stock'!$A$6:$A$423="2026Q3"),--('Repartition stock'!$B$6:$B$423="AT"),--('Repartition stock'!$E$6:$E$423="Millésime"),--('Repartition stock'!$F$6:$F$423="2026"),--('Repartition stock'!$J$6:$J$423="n.d."))&gt;0),"n.d.",SUMPRODUCT(--('Repartition stock'!$A$6:$A$423="2026Q3"),--('Repartition stock'!$B$6:$B$423="AT"),--('Repartition stock'!$E$6:$E$423="Millésime"),--('Repartition stock'!$F$6:$F$423="2026"),'Repartition stock'!$J$6:$J$423)))="n.d.",0,IF(OR(SUMPRODUCT(--('Repartition stock'!$A$6:$A$423="2026Q3"),--('Repartition stock'!$B$6:$B$423="AT"),--('Repartition stock'!$E$6:$E$423="Millésime"),--('Repartition stock'!$F$6:$F$423="2026"))=0,SUMPRODUCT(--('Repartition stock'!$A$6:$A$423="2026Q3"),--('Repartition stock'!$B$6:$B$423="AT"),--('Repartition stock'!$E$6:$E$423="Millésime"),--('Repartition stock'!$F$6:$F$423="2026"),--('Repartition stock'!$J$6:$J$423="n.d."))&gt;0),"n.d.",SUMPRODUCT(--('Repartition stock'!$A$6:$A$423="2026Q3"),--('Repartition stock'!$B$6:$B$423="AT"),--('Repartition stock'!$E$6:$E$423="Millésime"),--('Repartition stock'!$F$6:$F$423="2026"),'Repartition stock'!$J$6:$J$423)))</f>
        <v>6808.0</v>
      </c>
      <c r="AA23" s="16"/>
      <c r="AB23" s="16"/>
      <c r="AC23" s="7">
        <f>IF((IF(OR(COUNT(X23,X24)&lt;&gt;2,X24=0),"n.d.",X23/X24))="n.d.",0,IF(OR(COUNT(X23,X24)&lt;&gt;2,X24=0),"n.d.",X23/X24))</f>
        <v>0.7972972972972973</v>
      </c>
      <c r="AD23" s="7"/>
      <c r="AE23" s="7">
        <f>IF((IF(OR(COUNT(Z23,Z24)&lt;&gt;2,Z24=0),"n.d.",Z23/Z24))="n.d.",0,IF(OR(COUNT(Z23,Z24)&lt;&gt;2,Z24=0),"n.d.",Z23/Z24))</f>
        <v>0.4824946846208363</v>
      </c>
      <c r="AF23" s="7"/>
    </row>
    <row r="24" spans="1:32" ht="13.5" customHeight="1">
      <c r="A24" s="12"/>
      <c r="R24" s="17" t="s">
        <v>3150</v>
      </c>
      <c r="S24" s="17"/>
      <c r="T24" s="17"/>
      <c r="U24" s="17"/>
      <c r="V24" s="17"/>
      <c r="W24" s="17"/>
      <c r="X24" s="17">
        <f>IF(('Presentation inputs'!D11)="n.d.",0,'Presentation inputs'!D11)</f>
        <v>74.0</v>
      </c>
      <c r="Y24" s="17"/>
      <c r="Z24" s="17">
        <f>IF((IF(ISNUMBER('Presentation inputs'!E11),'Presentation inputs'!E11/(IF(OR(COUNTIFS('Consolidation'!$A$6:$A$46,"2026Q3",'Consolidation'!$B$6:$B$46,"AT")&lt;&gt;1,COUNTIFS('Consolidation'!$A$6:$A$46,"2026Q3",'Consolidation'!$B$6:$B$46,"AT",'Consolidation'!$E$6:$E$46,"n.d.")&gt;0),"n.d.",SUMIFS('Consolidation'!$E$6:$E$46,'Consolidation'!$A$6:$A$46,"2026Q3",'Consolidation'!$B$6:$B$46,"AT"))),"n.d."))="n.d.",0,IF(ISNUMBER('Presentation inputs'!E11),'Presentation inputs'!E11/(IF(OR(COUNTIFS('Consolidation'!$A$6:$A$46,"2026Q3",'Consolidation'!$B$6:$B$46,"AT")&lt;&gt;1,COUNTIFS('Consolidation'!$A$6:$A$46,"2026Q3",'Consolidation'!$B$6:$B$46,"AT",'Consolidation'!$E$6:$E$46,"n.d.")&gt;0),"n.d.",SUMIFS('Consolidation'!$E$6:$E$46,'Consolidation'!$A$6:$A$46,"2026Q3",'Consolidation'!$B$6:$B$46,"AT"))),"n.d."))</f>
        <v>14110.0</v>
      </c>
      <c r="AA24" s="17"/>
      <c r="AB24" s="17"/>
      <c r="AC24" s="9">
        <f>IF((IF(OR(NOT(ISNUMBER(X24)),X24=0),"n.d.",1))="n.d.",0,IF(OR(NOT(ISNUMBER(X24)),X24=0),"n.d.",1))</f>
        <v>1.0</v>
      </c>
      <c r="AD24" s="9"/>
      <c r="AE24" s="9">
        <f>IF((IF(OR(NOT(ISNUMBER(Z24)),Z24=0),"n.d.",1))="n.d.",0,IF(OR(NOT(ISNUMBER(Z24)),Z24=0),"n.d.",1))</f>
        <v>1.0</v>
      </c>
      <c r="AF24" s="9"/>
    </row>
    <row r="25" spans="1:32" ht="13.5" customHeight="1">
      <c r="A25" s="12"/>
    </row>
    <row r="26" spans="1:32" ht="13.5" customHeight="1">
      <c r="A26" s="12"/>
      <c r="R26" s="1" t="s">
        <v>3152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3.5" customHeight="1">
      <c r="A27" s="1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3.5" customHeight="1">
      <c r="A28" s="1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"&amp;IF(ISNUMBER('GraphData'!A143),TEXT('GraphData'!A143,"#,##0"),"0")&amp;" EUR. Average balance per contract: "&amp;IF(ISNUMBER('GraphData'!B143),TEXT('GraphData'!B143,"#,##0"),"0")&amp;" EUR."</f>
        <v>Average monthly new flow: 7,857 EUR. Average balance per contract: 113 EUR.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"&amp;IF(ISNUMBER('GraphData'!C143),TEXT('GraphData'!C143,"0.0%"),"0")&amp;" treated in amount and "&amp;IF(ISNUMBER('GraphData'!D143),TEXT('GraphData'!D143,"0.0%"),"0")&amp;" in number."</f>
        <v>Oldest cohort (M-5): 100.0% treated in amount and 100.0%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"&amp;IF(ISNUMBER('GraphData'!E143),TEXT('GraphData'!E143,"#,##0"),"0")&amp;" EUR. Identified stock: "&amp;IF(ISNUMBER('GraphData'!F143),TEXT('GraphData'!F143,"#,##0"),"0")&amp;" EUR."</f>
        <v>Stock to process: 14,110 EUR. Identified stock: 14,110 EUR.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3167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3079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101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R26:AF28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49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3160</v>
      </c>
      <c r="S2" s="4"/>
      <c r="T2" s="4"/>
      <c r="U2" s="4"/>
      <c r="V2" s="4"/>
      <c r="W2" s="4"/>
      <c r="X2" s="14">
        <v>46295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3146</v>
      </c>
      <c r="Y3" s="4"/>
      <c r="Z3" s="4" t="s">
        <v>3147</v>
      </c>
      <c r="AA3" s="4"/>
      <c r="AB3" s="4"/>
      <c r="AC3" s="4" t="s">
        <v>3148</v>
      </c>
      <c r="AD3" s="4"/>
      <c r="AE3" s="4" t="s">
        <v>3149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1" t="s">
        <v>3161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2"/>
      <c r="R7" s="4" t="s">
        <v>1284</v>
      </c>
      <c r="S7" s="4"/>
      <c r="T7" s="4"/>
      <c r="U7" s="15" t="s">
        <v>377</v>
      </c>
      <c r="V7" s="15"/>
      <c r="W7" s="15"/>
      <c r="X7" s="16">
        <f>IF((IF(OR(SUMPRODUCT(--('Repartition stock'!$A$6:$A$423="2026Q3"),--('Repartition stock'!$B$6:$B$423="BE"),--('Repartition stock'!$E$6:$E$423="Tranche"),--('Repartition stock'!$F$6:$F$423="0 - 1 €"))=0,SUMPRODUCT(--('Repartition stock'!$A$6:$A$423="2026Q3"),--('Repartition stock'!$B$6:$B$423="BE"),--('Repartition stock'!$E$6:$E$423="Tranche"),--('Repartition stock'!$F$6:$F$423="0 - 1 €"),--('Repartition stock'!$G$6:$G$423="n.d."))&gt;0),"n.d.",SUMPRODUCT(--('Repartition stock'!$A$6:$A$423="2026Q3"),--('Repartition stock'!$B$6:$B$423="BE"),--('Repartition stock'!$E$6:$E$423="Tranche"),--('Repartition stock'!$F$6:$F$423="0 - 1 €"),'Repartition stock'!$G$6:$G$423)))="n.d.",0,IF(OR(SUMPRODUCT(--('Repartition stock'!$A$6:$A$423="2026Q3"),--('Repartition stock'!$B$6:$B$423="BE"),--('Repartition stock'!$E$6:$E$423="Tranche"),--('Repartition stock'!$F$6:$F$423="0 - 1 €"))=0,SUMPRODUCT(--('Repartition stock'!$A$6:$A$423="2026Q3"),--('Repartition stock'!$B$6:$B$423="BE"),--('Repartition stock'!$E$6:$E$423="Tranche"),--('Repartition stock'!$F$6:$F$423="0 - 1 €"),--('Repartition stock'!$G$6:$G$423="n.d."))&gt;0),"n.d.",SUMPRODUCT(--('Repartition stock'!$A$6:$A$423="2026Q3"),--('Repartition stock'!$B$6:$B$423="BE"),--('Repartition stock'!$E$6:$E$423="Tranche"),--('Repartition stock'!$F$6:$F$423="0 - 1 €"),'Repartition stock'!$G$6:$G$423)))</f>
        <v>5.0</v>
      </c>
      <c r="Y7" s="16"/>
      <c r="Z7" s="16">
        <f>IF((IF(OR(SUMPRODUCT(--('Repartition stock'!$A$6:$A$423="2026Q3"),--('Repartition stock'!$B$6:$B$423="BE"),--('Repartition stock'!$E$6:$E$423="Tranche"),--('Repartition stock'!$F$6:$F$423="0 - 1 €"))=0,SUMPRODUCT(--('Repartition stock'!$A$6:$A$423="2026Q3"),--('Repartition stock'!$B$6:$B$423="BE"),--('Repartition stock'!$E$6:$E$423="Tranche"),--('Repartition stock'!$F$6:$F$423="0 - 1 €"),--('Repartition stock'!$J$6:$J$423="n.d."))&gt;0),"n.d.",SUMPRODUCT(--('Repartition stock'!$A$6:$A$423="2026Q3"),--('Repartition stock'!$B$6:$B$423="BE"),--('Repartition stock'!$E$6:$E$423="Tranche"),--('Repartition stock'!$F$6:$F$423="0 - 1 €"),'Repartition stock'!$J$6:$J$423)))="n.d.",0,IF(OR(SUMPRODUCT(--('Repartition stock'!$A$6:$A$423="2026Q3"),--('Repartition stock'!$B$6:$B$423="BE"),--('Repartition stock'!$E$6:$E$423="Tranche"),--('Repartition stock'!$F$6:$F$423="0 - 1 €"))=0,SUMPRODUCT(--('Repartition stock'!$A$6:$A$423="2026Q3"),--('Repartition stock'!$B$6:$B$423="BE"),--('Repartition stock'!$E$6:$E$423="Tranche"),--('Repartition stock'!$F$6:$F$423="0 - 1 €"),--('Repartition stock'!$J$6:$J$423="n.d."))&gt;0),"n.d.",SUMPRODUCT(--('Repartition stock'!$A$6:$A$423="2026Q3"),--('Repartition stock'!$B$6:$B$423="BE"),--('Repartition stock'!$E$6:$E$423="Tranche"),--('Repartition stock'!$F$6:$F$423="0 - 1 €"),'Repartition stock'!$J$6:$J$423)))</f>
        <v>2.0</v>
      </c>
      <c r="AA7" s="16"/>
      <c r="AB7" s="16"/>
      <c r="AC7" s="7">
        <f>IF((IF(OR(COUNT(X7,X12)&lt;&gt;2,X12=0),"n.d.",X7/X12))="n.d.",0,IF(OR(COUNT(X7,X12)&lt;&gt;2,X12=0),"n.d.",X7/X12))</f>
        <v>0.02109704641350211</v>
      </c>
      <c r="AD7" s="7"/>
      <c r="AE7" s="7">
        <f>IF((IF(OR(COUNT(Z7,Z12)&lt;&gt;2,Z12=0),"n.d.",Z7/Z12))="n.d.",0,IF(OR(COUNT(Z7,Z12)&lt;&gt;2,Z12=0),"n.d.",Z7/Z12))</f>
        <v>1.8859740112781245e-05</v>
      </c>
      <c r="AF7" s="7"/>
    </row>
    <row r="8" spans="1:32" ht="13.5" customHeight="1">
      <c r="A8" s="12"/>
      <c r="R8" s="4"/>
      <c r="S8" s="4"/>
      <c r="T8" s="4"/>
      <c r="U8" s="15" t="s">
        <v>379</v>
      </c>
      <c r="V8" s="15"/>
      <c r="W8" s="15"/>
      <c r="X8" s="16">
        <f>IF((IF(OR(SUMPRODUCT(--('Repartition stock'!$A$6:$A$423="2026Q3"),--('Repartition stock'!$B$6:$B$423="BE"),--('Repartition stock'!$E$6:$E$423="Tranche"),--('Repartition stock'!$F$6:$F$423="1 - 10 €"))=0,SUMPRODUCT(--('Repartition stock'!$A$6:$A$423="2026Q3"),--('Repartition stock'!$B$6:$B$423="BE"),--('Repartition stock'!$E$6:$E$423="Tranche"),--('Repartition stock'!$F$6:$F$423="1 - 10 €"),--('Repartition stock'!$G$6:$G$423="n.d."))&gt;0),"n.d.",SUMPRODUCT(--('Repartition stock'!$A$6:$A$423="2026Q3"),--('Repartition stock'!$B$6:$B$423="BE"),--('Repartition stock'!$E$6:$E$423="Tranche"),--('Repartition stock'!$F$6:$F$423="1 - 10 €"),'Repartition stock'!$G$6:$G$423)))="n.d.",0,IF(OR(SUMPRODUCT(--('Repartition stock'!$A$6:$A$423="2026Q3"),--('Repartition stock'!$B$6:$B$423="BE"),--('Repartition stock'!$E$6:$E$423="Tranche"),--('Repartition stock'!$F$6:$F$423="1 - 10 €"))=0,SUMPRODUCT(--('Repartition stock'!$A$6:$A$423="2026Q3"),--('Repartition stock'!$B$6:$B$423="BE"),--('Repartition stock'!$E$6:$E$423="Tranche"),--('Repartition stock'!$F$6:$F$423="1 - 10 €"),--('Repartition stock'!$G$6:$G$423="n.d."))&gt;0),"n.d.",SUMPRODUCT(--('Repartition stock'!$A$6:$A$423="2026Q3"),--('Repartition stock'!$B$6:$B$423="BE"),--('Repartition stock'!$E$6:$E$423="Tranche"),--('Repartition stock'!$F$6:$F$423="1 - 10 €"),'Repartition stock'!$G$6:$G$423)))</f>
        <v>11.0</v>
      </c>
      <c r="Y8" s="16"/>
      <c r="Z8" s="16">
        <f>IF((IF(OR(SUMPRODUCT(--('Repartition stock'!$A$6:$A$423="2026Q3"),--('Repartition stock'!$B$6:$B$423="BE"),--('Repartition stock'!$E$6:$E$423="Tranche"),--('Repartition stock'!$F$6:$F$423="1 - 10 €"))=0,SUMPRODUCT(--('Repartition stock'!$A$6:$A$423="2026Q3"),--('Repartition stock'!$B$6:$B$423="BE"),--('Repartition stock'!$E$6:$E$423="Tranche"),--('Repartition stock'!$F$6:$F$423="1 - 10 €"),--('Repartition stock'!$J$6:$J$423="n.d."))&gt;0),"n.d.",SUMPRODUCT(--('Repartition stock'!$A$6:$A$423="2026Q3"),--('Repartition stock'!$B$6:$B$423="BE"),--('Repartition stock'!$E$6:$E$423="Tranche"),--('Repartition stock'!$F$6:$F$423="1 - 10 €"),'Repartition stock'!$J$6:$J$423)))="n.d.",0,IF(OR(SUMPRODUCT(--('Repartition stock'!$A$6:$A$423="2026Q3"),--('Repartition stock'!$B$6:$B$423="BE"),--('Repartition stock'!$E$6:$E$423="Tranche"),--('Repartition stock'!$F$6:$F$423="1 - 10 €"))=0,SUMPRODUCT(--('Repartition stock'!$A$6:$A$423="2026Q3"),--('Repartition stock'!$B$6:$B$423="BE"),--('Repartition stock'!$E$6:$E$423="Tranche"),--('Repartition stock'!$F$6:$F$423="1 - 10 €"),--('Repartition stock'!$J$6:$J$423="n.d."))&gt;0),"n.d.",SUMPRODUCT(--('Repartition stock'!$A$6:$A$423="2026Q3"),--('Repartition stock'!$B$6:$B$423="BE"),--('Repartition stock'!$E$6:$E$423="Tranche"),--('Repartition stock'!$F$6:$F$423="1 - 10 €"),'Repartition stock'!$J$6:$J$423)))</f>
        <v>72.0</v>
      </c>
      <c r="AA8" s="16"/>
      <c r="AB8" s="16"/>
      <c r="AC8" s="7">
        <f>IF((IF(OR(COUNT(X8,X12)&lt;&gt;2,X12=0),"n.d.",X8/X12))="n.d.",0,IF(OR(COUNT(X8,X12)&lt;&gt;2,X12=0),"n.d.",X8/X12))</f>
        <v>0.046413502109704644</v>
      </c>
      <c r="AD8" s="7"/>
      <c r="AE8" s="7">
        <f>IF((IF(OR(COUNT(Z8,Z12)&lt;&gt;2,Z12=0),"n.d.",Z8/Z12))="n.d.",0,IF(OR(COUNT(Z8,Z12)&lt;&gt;2,Z12=0),"n.d.",Z8/Z12))</f>
        <v>0.0006789506440601249</v>
      </c>
      <c r="AF8" s="7"/>
    </row>
    <row r="9" spans="1:32" ht="13.5" customHeight="1">
      <c r="A9" s="12"/>
      <c r="R9" s="4"/>
      <c r="S9" s="4"/>
      <c r="T9" s="4"/>
      <c r="U9" s="15" t="s">
        <v>381</v>
      </c>
      <c r="V9" s="15"/>
      <c r="W9" s="15"/>
      <c r="X9" s="16">
        <f>IF((IF(OR(SUMPRODUCT(--('Repartition stock'!$A$6:$A$423="2026Q3"),--('Repartition stock'!$B$6:$B$423="BE"),--('Repartition stock'!$E$6:$E$423="Tranche"),--('Repartition stock'!$F$6:$F$423="10 - 100 €"))=0,SUMPRODUCT(--('Repartition stock'!$A$6:$A$423="2026Q3"),--('Repartition stock'!$B$6:$B$423="BE"),--('Repartition stock'!$E$6:$E$423="Tranche"),--('Repartition stock'!$F$6:$F$423="10 - 100 €"),--('Repartition stock'!$G$6:$G$423="n.d."))&gt;0),"n.d.",SUMPRODUCT(--('Repartition stock'!$A$6:$A$423="2026Q3"),--('Repartition stock'!$B$6:$B$423="BE"),--('Repartition stock'!$E$6:$E$423="Tranche"),--('Repartition stock'!$F$6:$F$423="10 - 100 €"),'Repartition stock'!$G$6:$G$423)))="n.d.",0,IF(OR(SUMPRODUCT(--('Repartition stock'!$A$6:$A$423="2026Q3"),--('Repartition stock'!$B$6:$B$423="BE"),--('Repartition stock'!$E$6:$E$423="Tranche"),--('Repartition stock'!$F$6:$F$423="10 - 100 €"))=0,SUMPRODUCT(--('Repartition stock'!$A$6:$A$423="2026Q3"),--('Repartition stock'!$B$6:$B$423="BE"),--('Repartition stock'!$E$6:$E$423="Tranche"),--('Repartition stock'!$F$6:$F$423="10 - 100 €"),--('Repartition stock'!$G$6:$G$423="n.d."))&gt;0),"n.d.",SUMPRODUCT(--('Repartition stock'!$A$6:$A$423="2026Q3"),--('Repartition stock'!$B$6:$B$423="BE"),--('Repartition stock'!$E$6:$E$423="Tranche"),--('Repartition stock'!$F$6:$F$423="10 - 100 €"),'Repartition stock'!$G$6:$G$423)))</f>
        <v>54.0</v>
      </c>
      <c r="Y9" s="16"/>
      <c r="Z9" s="16">
        <f>IF((IF(OR(SUMPRODUCT(--('Repartition stock'!$A$6:$A$423="2026Q3"),--('Repartition stock'!$B$6:$B$423="BE"),--('Repartition stock'!$E$6:$E$423="Tranche"),--('Repartition stock'!$F$6:$F$423="10 - 100 €"))=0,SUMPRODUCT(--('Repartition stock'!$A$6:$A$423="2026Q3"),--('Repartition stock'!$B$6:$B$423="BE"),--('Repartition stock'!$E$6:$E$423="Tranche"),--('Repartition stock'!$F$6:$F$423="10 - 100 €"),--('Repartition stock'!$J$6:$J$423="n.d."))&gt;0),"n.d.",SUMPRODUCT(--('Repartition stock'!$A$6:$A$423="2026Q3"),--('Repartition stock'!$B$6:$B$423="BE"),--('Repartition stock'!$E$6:$E$423="Tranche"),--('Repartition stock'!$F$6:$F$423="10 - 100 €"),'Repartition stock'!$J$6:$J$423)))="n.d.",0,IF(OR(SUMPRODUCT(--('Repartition stock'!$A$6:$A$423="2026Q3"),--('Repartition stock'!$B$6:$B$423="BE"),--('Repartition stock'!$E$6:$E$423="Tranche"),--('Repartition stock'!$F$6:$F$423="10 - 100 €"))=0,SUMPRODUCT(--('Repartition stock'!$A$6:$A$423="2026Q3"),--('Repartition stock'!$B$6:$B$423="BE"),--('Repartition stock'!$E$6:$E$423="Tranche"),--('Repartition stock'!$F$6:$F$423="10 - 100 €"),--('Repartition stock'!$J$6:$J$423="n.d."))&gt;0),"n.d.",SUMPRODUCT(--('Repartition stock'!$A$6:$A$423="2026Q3"),--('Repartition stock'!$B$6:$B$423="BE"),--('Repartition stock'!$E$6:$E$423="Tranche"),--('Repartition stock'!$F$6:$F$423="10 - 100 €"),'Repartition stock'!$J$6:$J$423)))</f>
        <v>2685.0</v>
      </c>
      <c r="AA9" s="16"/>
      <c r="AB9" s="16"/>
      <c r="AC9" s="7">
        <f>IF((IF(OR(COUNT(X9,X12)&lt;&gt;2,X12=0),"n.d.",X9/X12))="n.d.",0,IF(OR(COUNT(X9,X12)&lt;&gt;2,X12=0),"n.d.",X9/X12))</f>
        <v>0.22784810126582278</v>
      </c>
      <c r="AD9" s="7"/>
      <c r="AE9" s="7">
        <f>IF((IF(OR(COUNT(Z9,Z12)&lt;&gt;2,Z12=0),"n.d.",Z9/Z12))="n.d.",0,IF(OR(COUNT(Z9,Z12)&lt;&gt;2,Z12=0),"n.d.",Z9/Z12))</f>
        <v>0.025319201101408822</v>
      </c>
      <c r="AF9" s="7"/>
    </row>
    <row r="10" spans="1:32" ht="13.5" customHeight="1">
      <c r="A10" s="12"/>
      <c r="R10" s="4"/>
      <c r="S10" s="4"/>
      <c r="T10" s="4"/>
      <c r="U10" s="15" t="s">
        <v>383</v>
      </c>
      <c r="V10" s="15"/>
      <c r="W10" s="15"/>
      <c r="X10" s="16">
        <f>IF((IF(OR(SUMPRODUCT(--('Repartition stock'!$A$6:$A$423="2026Q3"),--('Repartition stock'!$B$6:$B$423="BE"),--('Repartition stock'!$E$6:$E$423="Tranche"),--('Repartition stock'!$F$6:$F$423="100 - 1 000 €"))=0,SUMPRODUCT(--('Repartition stock'!$A$6:$A$423="2026Q3"),--('Repartition stock'!$B$6:$B$423="BE"),--('Repartition stock'!$E$6:$E$423="Tranche"),--('Repartition stock'!$F$6:$F$423="100 - 1 000 €"),--('Repartition stock'!$G$6:$G$423="n.d."))&gt;0),"n.d.",SUMPRODUCT(--('Repartition stock'!$A$6:$A$423="2026Q3"),--('Repartition stock'!$B$6:$B$423="BE"),--('Repartition stock'!$E$6:$E$423="Tranche"),--('Repartition stock'!$F$6:$F$423="100 - 1 000 €"),'Repartition stock'!$G$6:$G$423)))="n.d.",0,IF(OR(SUMPRODUCT(--('Repartition stock'!$A$6:$A$423="2026Q3"),--('Repartition stock'!$B$6:$B$423="BE"),--('Repartition stock'!$E$6:$E$423="Tranche"),--('Repartition stock'!$F$6:$F$423="100 - 1 000 €"))=0,SUMPRODUCT(--('Repartition stock'!$A$6:$A$423="2026Q3"),--('Repartition stock'!$B$6:$B$423="BE"),--('Repartition stock'!$E$6:$E$423="Tranche"),--('Repartition stock'!$F$6:$F$423="100 - 1 000 €"),--('Repartition stock'!$G$6:$G$423="n.d."))&gt;0),"n.d.",SUMPRODUCT(--('Repartition stock'!$A$6:$A$423="2026Q3"),--('Repartition stock'!$B$6:$B$423="BE"),--('Repartition stock'!$E$6:$E$423="Tranche"),--('Repartition stock'!$F$6:$F$423="100 - 1 000 €"),'Repartition stock'!$G$6:$G$423)))</f>
        <v>157.0</v>
      </c>
      <c r="Y10" s="16"/>
      <c r="Z10" s="16">
        <f>IF((IF(OR(SUMPRODUCT(--('Repartition stock'!$A$6:$A$423="2026Q3"),--('Repartition stock'!$B$6:$B$423="BE"),--('Repartition stock'!$E$6:$E$423="Tranche"),--('Repartition stock'!$F$6:$F$423="100 - 1 000 €"))=0,SUMPRODUCT(--('Repartition stock'!$A$6:$A$423="2026Q3"),--('Repartition stock'!$B$6:$B$423="BE"),--('Repartition stock'!$E$6:$E$423="Tranche"),--('Repartition stock'!$F$6:$F$423="100 - 1 000 €"),--('Repartition stock'!$J$6:$J$423="n.d."))&gt;0),"n.d.",SUMPRODUCT(--('Repartition stock'!$A$6:$A$423="2026Q3"),--('Repartition stock'!$B$6:$B$423="BE"),--('Repartition stock'!$E$6:$E$423="Tranche"),--('Repartition stock'!$F$6:$F$423="100 - 1 000 €"),'Repartition stock'!$J$6:$J$423)))="n.d.",0,IF(OR(SUMPRODUCT(--('Repartition stock'!$A$6:$A$423="2026Q3"),--('Repartition stock'!$B$6:$B$423="BE"),--('Repartition stock'!$E$6:$E$423="Tranche"),--('Repartition stock'!$F$6:$F$423="100 - 1 000 €"))=0,SUMPRODUCT(--('Repartition stock'!$A$6:$A$423="2026Q3"),--('Repartition stock'!$B$6:$B$423="BE"),--('Repartition stock'!$E$6:$E$423="Tranche"),--('Repartition stock'!$F$6:$F$423="100 - 1 000 €"),--('Repartition stock'!$J$6:$J$423="n.d."))&gt;0),"n.d.",SUMPRODUCT(--('Repartition stock'!$A$6:$A$423="2026Q3"),--('Repartition stock'!$B$6:$B$423="BE"),--('Repartition stock'!$E$6:$E$423="Tranche"),--('Repartition stock'!$F$6:$F$423="100 - 1 000 €"),'Repartition stock'!$J$6:$J$423)))</f>
        <v>44176.0</v>
      </c>
      <c r="AA10" s="16"/>
      <c r="AB10" s="16"/>
      <c r="AC10" s="7">
        <f>IF((IF(OR(COUNT(X10,X12)&lt;&gt;2,X12=0),"n.d.",X10/X12))="n.d.",0,IF(OR(COUNT(X10,X12)&lt;&gt;2,X12=0),"n.d.",X10/X12))</f>
        <v>0.6624472573839663</v>
      </c>
      <c r="AD10" s="7"/>
      <c r="AE10" s="7">
        <f>IF((IF(OR(COUNT(Z10,Z12)&lt;&gt;2,Z12=0),"n.d.",Z10/Z12))="n.d.",0,IF(OR(COUNT(Z10,Z12)&lt;&gt;2,Z12=0),"n.d.",Z10/Z12))</f>
        <v>0.41657393961111217</v>
      </c>
      <c r="AF10" s="7"/>
    </row>
    <row r="11" spans="1:32" ht="13.5" customHeight="1">
      <c r="A11" s="12"/>
      <c r="R11" s="4"/>
      <c r="S11" s="4"/>
      <c r="T11" s="4"/>
      <c r="U11" s="15" t="s">
        <v>385</v>
      </c>
      <c r="V11" s="15"/>
      <c r="W11" s="15"/>
      <c r="X11" s="16">
        <f>IF((IF(OR(SUMPRODUCT(--('Repartition stock'!$A$6:$A$423="2026Q3"),--('Repartition stock'!$B$6:$B$423="BE"),--('Repartition stock'!$E$6:$E$423="Tranche"),--('Repartition stock'!$F$6:$F$423="&gt; 1 000 €"))=0,SUMPRODUCT(--('Repartition stock'!$A$6:$A$423="2026Q3"),--('Repartition stock'!$B$6:$B$423="BE"),--('Repartition stock'!$E$6:$E$423="Tranche"),--('Repartition stock'!$F$6:$F$423="&gt; 1 000 €"),--('Repartition stock'!$G$6:$G$423="n.d."))&gt;0),"n.d.",SUMPRODUCT(--('Repartition stock'!$A$6:$A$423="2026Q3"),--('Repartition stock'!$B$6:$B$423="BE"),--('Repartition stock'!$E$6:$E$423="Tranche"),--('Repartition stock'!$F$6:$F$423="&gt; 1 000 €"),'Repartition stock'!$G$6:$G$423)))="n.d.",0,IF(OR(SUMPRODUCT(--('Repartition stock'!$A$6:$A$423="2026Q3"),--('Repartition stock'!$B$6:$B$423="BE"),--('Repartition stock'!$E$6:$E$423="Tranche"),--('Repartition stock'!$F$6:$F$423="&gt; 1 000 €"))=0,SUMPRODUCT(--('Repartition stock'!$A$6:$A$423="2026Q3"),--('Repartition stock'!$B$6:$B$423="BE"),--('Repartition stock'!$E$6:$E$423="Tranche"),--('Repartition stock'!$F$6:$F$423="&gt; 1 000 €"),--('Repartition stock'!$G$6:$G$423="n.d."))&gt;0),"n.d.",SUMPRODUCT(--('Repartition stock'!$A$6:$A$423="2026Q3"),--('Repartition stock'!$B$6:$B$423="BE"),--('Repartition stock'!$E$6:$E$423="Tranche"),--('Repartition stock'!$F$6:$F$423="&gt; 1 000 €"),'Repartition stock'!$G$6:$G$423)))</f>
        <v>10.0</v>
      </c>
      <c r="Y11" s="16"/>
      <c r="Z11" s="16">
        <f>IF((IF(OR(SUMPRODUCT(--('Repartition stock'!$A$6:$A$423="2026Q3"),--('Repartition stock'!$B$6:$B$423="BE"),--('Repartition stock'!$E$6:$E$423="Tranche"),--('Repartition stock'!$F$6:$F$423="&gt; 1 000 €"))=0,SUMPRODUCT(--('Repartition stock'!$A$6:$A$423="2026Q3"),--('Repartition stock'!$B$6:$B$423="BE"),--('Repartition stock'!$E$6:$E$423="Tranche"),--('Repartition stock'!$F$6:$F$423="&gt; 1 000 €"),--('Repartition stock'!$J$6:$J$423="n.d."))&gt;0),"n.d.",SUMPRODUCT(--('Repartition stock'!$A$6:$A$423="2026Q3"),--('Repartition stock'!$B$6:$B$423="BE"),--('Repartition stock'!$E$6:$E$423="Tranche"),--('Repartition stock'!$F$6:$F$423="&gt; 1 000 €"),'Repartition stock'!$J$6:$J$423)))="n.d.",0,IF(OR(SUMPRODUCT(--('Repartition stock'!$A$6:$A$423="2026Q3"),--('Repartition stock'!$B$6:$B$423="BE"),--('Repartition stock'!$E$6:$E$423="Tranche"),--('Repartition stock'!$F$6:$F$423="&gt; 1 000 €"))=0,SUMPRODUCT(--('Repartition stock'!$A$6:$A$423="2026Q3"),--('Repartition stock'!$B$6:$B$423="BE"),--('Repartition stock'!$E$6:$E$423="Tranche"),--('Repartition stock'!$F$6:$F$423="&gt; 1 000 €"),--('Repartition stock'!$J$6:$J$423="n.d."))&gt;0),"n.d.",SUMPRODUCT(--('Repartition stock'!$A$6:$A$423="2026Q3"),--('Repartition stock'!$B$6:$B$423="BE"),--('Repartition stock'!$E$6:$E$423="Tranche"),--('Repartition stock'!$F$6:$F$423="&gt; 1 000 €"),'Repartition stock'!$J$6:$J$423)))</f>
        <v>59111.0</v>
      </c>
      <c r="AA11" s="16"/>
      <c r="AB11" s="16"/>
      <c r="AC11" s="7">
        <f>IF((IF(OR(COUNT(X11,X12)&lt;&gt;2,X12=0),"n.d.",X11/X12))="n.d.",0,IF(OR(COUNT(X11,X12)&lt;&gt;2,X12=0),"n.d.",X11/X12))</f>
        <v>0.04219409282700422</v>
      </c>
      <c r="AD11" s="7"/>
      <c r="AE11" s="7">
        <f>IF((IF(OR(COUNT(Z11,Z12)&lt;&gt;2,Z12=0),"n.d.",Z11/Z12))="n.d.",0,IF(OR(COUNT(Z11,Z12)&lt;&gt;2,Z12=0),"n.d.",Z11/Z12))</f>
        <v>0.5574090489033061</v>
      </c>
      <c r="AF11" s="7"/>
    </row>
    <row r="12" spans="1:32" ht="13.5" customHeight="1">
      <c r="A12" s="12"/>
      <c r="R12" s="17" t="s">
        <v>3150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237.0</v>
      </c>
      <c r="Y12" s="17"/>
      <c r="Z12" s="17">
        <f>IF((IF(COUNT(Z7:Z11)=5,SUM(Z7:Z11),"n.d."))="n.d.",0,IF(COUNT(Z7:Z11)=5,SUM(Z7:Z11),"n.d."))</f>
        <v>106046.0</v>
      </c>
      <c r="AA12" s="17"/>
      <c r="AB12" s="17"/>
      <c r="AC12" s="9">
        <f>IF((IF(OR(NOT(ISNUMBER(X12)),X12=0),"n.d.",1))="n.d.",0,IF(OR(NOT(ISNUMBER(X12)),X12=0),"n.d.",1))</f>
        <v>1.0</v>
      </c>
      <c r="AD12" s="9"/>
      <c r="AE12" s="9">
        <f>IF((IF(OR(NOT(ISNUMBER(Z12)),Z12=0),"n.d.",1))="n.d.",0,IF(OR(NOT(ISNUMBER(Z12)),Z12=0),"n.d.",1))</f>
        <v>1.0</v>
      </c>
      <c r="AF12" s="9"/>
    </row>
    <row r="13" spans="1:32" ht="13.5" customHeight="1">
      <c r="A13" s="12"/>
    </row>
    <row r="14" spans="1:32" ht="13.5" customHeight="1">
      <c r="A14" s="12"/>
      <c r="R14" s="4" t="s">
        <v>3151</v>
      </c>
      <c r="S14" s="4"/>
      <c r="T14" s="4"/>
      <c r="U14" s="15" t="s">
        <v>387</v>
      </c>
      <c r="V14" s="15"/>
      <c r="W14" s="15"/>
      <c r="X14" s="16">
        <f>IF((IF(OR(SUMPRODUCT(--('Repartition stock'!$A$6:$A$423="2026Q3"),--('Repartition stock'!$B$6:$B$423="BE"),--('Repartition stock'!$E$6:$E$423="Millésime"),--('Repartition stock'!$F$6:$F$423="&lt;2018"))=0,SUMPRODUCT(--('Repartition stock'!$A$6:$A$423="2026Q3"),--('Repartition stock'!$B$6:$B$423="BE"),--('Repartition stock'!$E$6:$E$423="Millésime"),--('Repartition stock'!$F$6:$F$423="&lt;2018"),--('Repartition stock'!$G$6:$G$423="n.d."))&gt;0),"n.d.",SUMPRODUCT(--('Repartition stock'!$A$6:$A$423="2026Q3"),--('Repartition stock'!$B$6:$B$423="BE"),--('Repartition stock'!$E$6:$E$423="Millésime"),--('Repartition stock'!$F$6:$F$423="&lt;2018"),'Repartition stock'!$G$6:$G$423)))="n.d.",0,IF(OR(SUMPRODUCT(--('Repartition stock'!$A$6:$A$423="2026Q3"),--('Repartition stock'!$B$6:$B$423="BE"),--('Repartition stock'!$E$6:$E$423="Millésime"),--('Repartition stock'!$F$6:$F$423="&lt;2018"))=0,SUMPRODUCT(--('Repartition stock'!$A$6:$A$423="2026Q3"),--('Repartition stock'!$B$6:$B$423="BE"),--('Repartition stock'!$E$6:$E$423="Millésime"),--('Repartition stock'!$F$6:$F$423="&lt;2018"),--('Repartition stock'!$G$6:$G$423="n.d."))&gt;0),"n.d.",SUMPRODUCT(--('Repartition stock'!$A$6:$A$423="2026Q3"),--('Repartition stock'!$B$6:$B$423="BE"),--('Repartition stock'!$E$6:$E$423="Millésime"),--('Repartition stock'!$F$6:$F$423="&lt;2018"),'Repartition stock'!$G$6:$G$423)))</f>
        <v>0</v>
      </c>
      <c r="Y14" s="16"/>
      <c r="Z14" s="16">
        <f>IF((IF(OR(SUMPRODUCT(--('Repartition stock'!$A$6:$A$423="2026Q3"),--('Repartition stock'!$B$6:$B$423="BE"),--('Repartition stock'!$E$6:$E$423="Millésime"),--('Repartition stock'!$F$6:$F$423="&lt;2018"))=0,SUMPRODUCT(--('Repartition stock'!$A$6:$A$423="2026Q3"),--('Repartition stock'!$B$6:$B$423="BE"),--('Repartition stock'!$E$6:$E$423="Millésime"),--('Repartition stock'!$F$6:$F$423="&lt;2018"),--('Repartition stock'!$J$6:$J$423="n.d."))&gt;0),"n.d.",SUMPRODUCT(--('Repartition stock'!$A$6:$A$423="2026Q3"),--('Repartition stock'!$B$6:$B$423="BE"),--('Repartition stock'!$E$6:$E$423="Millésime"),--('Repartition stock'!$F$6:$F$423="&lt;2018"),'Repartition stock'!$J$6:$J$423)))="n.d.",0,IF(OR(SUMPRODUCT(--('Repartition stock'!$A$6:$A$423="2026Q3"),--('Repartition stock'!$B$6:$B$423="BE"),--('Repartition stock'!$E$6:$E$423="Millésime"),--('Repartition stock'!$F$6:$F$423="&lt;2018"))=0,SUMPRODUCT(--('Repartition stock'!$A$6:$A$423="2026Q3"),--('Repartition stock'!$B$6:$B$423="BE"),--('Repartition stock'!$E$6:$E$423="Millésime"),--('Repartition stock'!$F$6:$F$423="&lt;2018"),--('Repartition stock'!$J$6:$J$423="n.d."))&gt;0),"n.d.",SUMPRODUCT(--('Repartition stock'!$A$6:$A$423="2026Q3"),--('Repartition stock'!$B$6:$B$423="BE"),--('Repartition stock'!$E$6:$E$423="Millésime"),--('Repartition stock'!$F$6:$F$423="&lt;2018"),'Repartition stock'!$J$6:$J$423)))</f>
        <v>0</v>
      </c>
      <c r="AA14" s="16"/>
      <c r="AB14" s="16"/>
      <c r="AC14" s="7">
        <f>IF((IF(OR(COUNT(X14,X24)&lt;&gt;2,X24=0),"n.d.",X14/X24))="n.d.",0,IF(OR(COUNT(X14,X24)&lt;&gt;2,X24=0),"n.d.",X14/X24))</f>
        <v>0</v>
      </c>
      <c r="AD14" s="7"/>
      <c r="AE14" s="7">
        <f>IF((IF(OR(COUNT(Z14,Z24)&lt;&gt;2,Z24=0),"n.d.",Z14/Z24))="n.d.",0,IF(OR(COUNT(Z14,Z24)&lt;&gt;2,Z24=0),"n.d.",Z14/Z24))</f>
        <v>0</v>
      </c>
      <c r="AF14" s="7"/>
    </row>
    <row r="15" spans="1:32" ht="13.5" customHeight="1">
      <c r="A15" s="12"/>
      <c r="R15" s="4"/>
      <c r="S15" s="4"/>
      <c r="T15" s="4"/>
      <c r="U15" s="15" t="s">
        <v>389</v>
      </c>
      <c r="V15" s="15"/>
      <c r="W15" s="15"/>
      <c r="X15" s="16">
        <f>IF((IF(OR(SUMPRODUCT(--('Repartition stock'!$A$6:$A$423="2026Q3"),--('Repartition stock'!$B$6:$B$423="BE"),--('Repartition stock'!$E$6:$E$423="Millésime"),--('Repartition stock'!$F$6:$F$423="2018"))=0,SUMPRODUCT(--('Repartition stock'!$A$6:$A$423="2026Q3"),--('Repartition stock'!$B$6:$B$423="BE"),--('Repartition stock'!$E$6:$E$423="Millésime"),--('Repartition stock'!$F$6:$F$423="2018"),--('Repartition stock'!$G$6:$G$423="n.d."))&gt;0),"n.d.",SUMPRODUCT(--('Repartition stock'!$A$6:$A$423="2026Q3"),--('Repartition stock'!$B$6:$B$423="BE"),--('Repartition stock'!$E$6:$E$423="Millésime"),--('Repartition stock'!$F$6:$F$423="2018"),'Repartition stock'!$G$6:$G$423)))="n.d.",0,IF(OR(SUMPRODUCT(--('Repartition stock'!$A$6:$A$423="2026Q3"),--('Repartition stock'!$B$6:$B$423="BE"),--('Repartition stock'!$E$6:$E$423="Millésime"),--('Repartition stock'!$F$6:$F$423="2018"))=0,SUMPRODUCT(--('Repartition stock'!$A$6:$A$423="2026Q3"),--('Repartition stock'!$B$6:$B$423="BE"),--('Repartition stock'!$E$6:$E$423="Millésime"),--('Repartition stock'!$F$6:$F$423="2018"),--('Repartition stock'!$G$6:$G$423="n.d."))&gt;0),"n.d.",SUMPRODUCT(--('Repartition stock'!$A$6:$A$423="2026Q3"),--('Repartition stock'!$B$6:$B$423="BE"),--('Repartition stock'!$E$6:$E$423="Millésime"),--('Repartition stock'!$F$6:$F$423="2018"),'Repartition stock'!$G$6:$G$423)))</f>
        <v>0</v>
      </c>
      <c r="Y15" s="16"/>
      <c r="Z15" s="16">
        <f>IF((IF(OR(SUMPRODUCT(--('Repartition stock'!$A$6:$A$423="2026Q3"),--('Repartition stock'!$B$6:$B$423="BE"),--('Repartition stock'!$E$6:$E$423="Millésime"),--('Repartition stock'!$F$6:$F$423="2018"))=0,SUMPRODUCT(--('Repartition stock'!$A$6:$A$423="2026Q3"),--('Repartition stock'!$B$6:$B$423="BE"),--('Repartition stock'!$E$6:$E$423="Millésime"),--('Repartition stock'!$F$6:$F$423="2018"),--('Repartition stock'!$J$6:$J$423="n.d."))&gt;0),"n.d.",SUMPRODUCT(--('Repartition stock'!$A$6:$A$423="2026Q3"),--('Repartition stock'!$B$6:$B$423="BE"),--('Repartition stock'!$E$6:$E$423="Millésime"),--('Repartition stock'!$F$6:$F$423="2018"),'Repartition stock'!$J$6:$J$423)))="n.d.",0,IF(OR(SUMPRODUCT(--('Repartition stock'!$A$6:$A$423="2026Q3"),--('Repartition stock'!$B$6:$B$423="BE"),--('Repartition stock'!$E$6:$E$423="Millésime"),--('Repartition stock'!$F$6:$F$423="2018"))=0,SUMPRODUCT(--('Repartition stock'!$A$6:$A$423="2026Q3"),--('Repartition stock'!$B$6:$B$423="BE"),--('Repartition stock'!$E$6:$E$423="Millésime"),--('Repartition stock'!$F$6:$F$423="2018"),--('Repartition stock'!$J$6:$J$423="n.d."))&gt;0),"n.d.",SUMPRODUCT(--('Repartition stock'!$A$6:$A$423="2026Q3"),--('Repartition stock'!$B$6:$B$423="BE"),--('Repartition stock'!$E$6:$E$423="Millésime"),--('Repartition stock'!$F$6:$F$423="2018"),'Repartition stock'!$J$6:$J$423)))</f>
        <v>0</v>
      </c>
      <c r="AA15" s="16"/>
      <c r="AB15" s="16"/>
      <c r="AC15" s="7">
        <f>IF((IF(OR(COUNT(X15,X24)&lt;&gt;2,X24=0),"n.d.",X15/X24))="n.d.",0,IF(OR(COUNT(X15,X24)&lt;&gt;2,X24=0),"n.d.",X15/X24))</f>
        <v>0</v>
      </c>
      <c r="AD15" s="7"/>
      <c r="AE15" s="7">
        <f>IF((IF(OR(COUNT(Z15,Z24)&lt;&gt;2,Z24=0),"n.d.",Z15/Z24))="n.d.",0,IF(OR(COUNT(Z15,Z24)&lt;&gt;2,Z24=0),"n.d.",Z15/Z24))</f>
        <v>0</v>
      </c>
      <c r="AF15" s="7"/>
    </row>
    <row r="16" spans="1:32" ht="13.5" customHeight="1">
      <c r="A16" s="12"/>
      <c r="R16" s="4"/>
      <c r="S16" s="4"/>
      <c r="T16" s="4"/>
      <c r="U16" s="15" t="s">
        <v>391</v>
      </c>
      <c r="V16" s="15"/>
      <c r="W16" s="15"/>
      <c r="X16" s="16">
        <f>IF((IF(OR(SUMPRODUCT(--('Repartition stock'!$A$6:$A$423="2026Q3"),--('Repartition stock'!$B$6:$B$423="BE"),--('Repartition stock'!$E$6:$E$423="Millésime"),--('Repartition stock'!$F$6:$F$423="2019"))=0,SUMPRODUCT(--('Repartition stock'!$A$6:$A$423="2026Q3"),--('Repartition stock'!$B$6:$B$423="BE"),--('Repartition stock'!$E$6:$E$423="Millésime"),--('Repartition stock'!$F$6:$F$423="2019"),--('Repartition stock'!$G$6:$G$423="n.d."))&gt;0),"n.d.",SUMPRODUCT(--('Repartition stock'!$A$6:$A$423="2026Q3"),--('Repartition stock'!$B$6:$B$423="BE"),--('Repartition stock'!$E$6:$E$423="Millésime"),--('Repartition stock'!$F$6:$F$423="2019"),'Repartition stock'!$G$6:$G$423)))="n.d.",0,IF(OR(SUMPRODUCT(--('Repartition stock'!$A$6:$A$423="2026Q3"),--('Repartition stock'!$B$6:$B$423="BE"),--('Repartition stock'!$E$6:$E$423="Millésime"),--('Repartition stock'!$F$6:$F$423="2019"))=0,SUMPRODUCT(--('Repartition stock'!$A$6:$A$423="2026Q3"),--('Repartition stock'!$B$6:$B$423="BE"),--('Repartition stock'!$E$6:$E$423="Millésime"),--('Repartition stock'!$F$6:$F$423="2019"),--('Repartition stock'!$G$6:$G$423="n.d."))&gt;0),"n.d.",SUMPRODUCT(--('Repartition stock'!$A$6:$A$423="2026Q3"),--('Repartition stock'!$B$6:$B$423="BE"),--('Repartition stock'!$E$6:$E$423="Millésime"),--('Repartition stock'!$F$6:$F$423="2019"),'Repartition stock'!$G$6:$G$423)))</f>
        <v>0</v>
      </c>
      <c r="Y16" s="16"/>
      <c r="Z16" s="16">
        <f>IF((IF(OR(SUMPRODUCT(--('Repartition stock'!$A$6:$A$423="2026Q3"),--('Repartition stock'!$B$6:$B$423="BE"),--('Repartition stock'!$E$6:$E$423="Millésime"),--('Repartition stock'!$F$6:$F$423="2019"))=0,SUMPRODUCT(--('Repartition stock'!$A$6:$A$423="2026Q3"),--('Repartition stock'!$B$6:$B$423="BE"),--('Repartition stock'!$E$6:$E$423="Millésime"),--('Repartition stock'!$F$6:$F$423="2019"),--('Repartition stock'!$J$6:$J$423="n.d."))&gt;0),"n.d.",SUMPRODUCT(--('Repartition stock'!$A$6:$A$423="2026Q3"),--('Repartition stock'!$B$6:$B$423="BE"),--('Repartition stock'!$E$6:$E$423="Millésime"),--('Repartition stock'!$F$6:$F$423="2019"),'Repartition stock'!$J$6:$J$423)))="n.d.",0,IF(OR(SUMPRODUCT(--('Repartition stock'!$A$6:$A$423="2026Q3"),--('Repartition stock'!$B$6:$B$423="BE"),--('Repartition stock'!$E$6:$E$423="Millésime"),--('Repartition stock'!$F$6:$F$423="2019"))=0,SUMPRODUCT(--('Repartition stock'!$A$6:$A$423="2026Q3"),--('Repartition stock'!$B$6:$B$423="BE"),--('Repartition stock'!$E$6:$E$423="Millésime"),--('Repartition stock'!$F$6:$F$423="2019"),--('Repartition stock'!$J$6:$J$423="n.d."))&gt;0),"n.d.",SUMPRODUCT(--('Repartition stock'!$A$6:$A$423="2026Q3"),--('Repartition stock'!$B$6:$B$423="BE"),--('Repartition stock'!$E$6:$E$423="Millésime"),--('Repartition stock'!$F$6:$F$423="2019"),'Repartition stock'!$J$6:$J$423)))</f>
        <v>0</v>
      </c>
      <c r="AA16" s="16"/>
      <c r="AB16" s="16"/>
      <c r="AC16" s="7">
        <f>IF((IF(OR(COUNT(X16,X24)&lt;&gt;2,X24=0),"n.d.",X16/X24))="n.d.",0,IF(OR(COUNT(X16,X24)&lt;&gt;2,X24=0),"n.d.",X16/X24))</f>
        <v>0</v>
      </c>
      <c r="AD16" s="7"/>
      <c r="AE16" s="7">
        <f>IF((IF(OR(COUNT(Z16,Z24)&lt;&gt;2,Z24=0),"n.d.",Z16/Z24))="n.d.",0,IF(OR(COUNT(Z16,Z24)&lt;&gt;2,Z24=0),"n.d.",Z16/Z24))</f>
        <v>0</v>
      </c>
      <c r="AF16" s="7"/>
    </row>
    <row r="17" spans="1:32" ht="13.5" customHeight="1">
      <c r="A17" s="12"/>
      <c r="R17" s="4"/>
      <c r="S17" s="4"/>
      <c r="T17" s="4"/>
      <c r="U17" s="15" t="s">
        <v>393</v>
      </c>
      <c r="V17" s="15"/>
      <c r="W17" s="15"/>
      <c r="X17" s="16">
        <f>IF((IF(OR(SUMPRODUCT(--('Repartition stock'!$A$6:$A$423="2026Q3"),--('Repartition stock'!$B$6:$B$423="BE"),--('Repartition stock'!$E$6:$E$423="Millésime"),--('Repartition stock'!$F$6:$F$423="2020"))=0,SUMPRODUCT(--('Repartition stock'!$A$6:$A$423="2026Q3"),--('Repartition stock'!$B$6:$B$423="BE"),--('Repartition stock'!$E$6:$E$423="Millésime"),--('Repartition stock'!$F$6:$F$423="2020"),--('Repartition stock'!$G$6:$G$423="n.d."))&gt;0),"n.d.",SUMPRODUCT(--('Repartition stock'!$A$6:$A$423="2026Q3"),--('Repartition stock'!$B$6:$B$423="BE"),--('Repartition stock'!$E$6:$E$423="Millésime"),--('Repartition stock'!$F$6:$F$423="2020"),'Repartition stock'!$G$6:$G$423)))="n.d.",0,IF(OR(SUMPRODUCT(--('Repartition stock'!$A$6:$A$423="2026Q3"),--('Repartition stock'!$B$6:$B$423="BE"),--('Repartition stock'!$E$6:$E$423="Millésime"),--('Repartition stock'!$F$6:$F$423="2020"))=0,SUMPRODUCT(--('Repartition stock'!$A$6:$A$423="2026Q3"),--('Repartition stock'!$B$6:$B$423="BE"),--('Repartition stock'!$E$6:$E$423="Millésime"),--('Repartition stock'!$F$6:$F$423="2020"),--('Repartition stock'!$G$6:$G$423="n.d."))&gt;0),"n.d.",SUMPRODUCT(--('Repartition stock'!$A$6:$A$423="2026Q3"),--('Repartition stock'!$B$6:$B$423="BE"),--('Repartition stock'!$E$6:$E$423="Millésime"),--('Repartition stock'!$F$6:$F$423="2020"),'Repartition stock'!$G$6:$G$423)))</f>
        <v>0</v>
      </c>
      <c r="Y17" s="16"/>
      <c r="Z17" s="16">
        <f>IF((IF(OR(SUMPRODUCT(--('Repartition stock'!$A$6:$A$423="2026Q3"),--('Repartition stock'!$B$6:$B$423="BE"),--('Repartition stock'!$E$6:$E$423="Millésime"),--('Repartition stock'!$F$6:$F$423="2020"))=0,SUMPRODUCT(--('Repartition stock'!$A$6:$A$423="2026Q3"),--('Repartition stock'!$B$6:$B$423="BE"),--('Repartition stock'!$E$6:$E$423="Millésime"),--('Repartition stock'!$F$6:$F$423="2020"),--('Repartition stock'!$J$6:$J$423="n.d."))&gt;0),"n.d.",SUMPRODUCT(--('Repartition stock'!$A$6:$A$423="2026Q3"),--('Repartition stock'!$B$6:$B$423="BE"),--('Repartition stock'!$E$6:$E$423="Millésime"),--('Repartition stock'!$F$6:$F$423="2020"),'Repartition stock'!$J$6:$J$423)))="n.d.",0,IF(OR(SUMPRODUCT(--('Repartition stock'!$A$6:$A$423="2026Q3"),--('Repartition stock'!$B$6:$B$423="BE"),--('Repartition stock'!$E$6:$E$423="Millésime"),--('Repartition stock'!$F$6:$F$423="2020"))=0,SUMPRODUCT(--('Repartition stock'!$A$6:$A$423="2026Q3"),--('Repartition stock'!$B$6:$B$423="BE"),--('Repartition stock'!$E$6:$E$423="Millésime"),--('Repartition stock'!$F$6:$F$423="2020"),--('Repartition stock'!$J$6:$J$423="n.d."))&gt;0),"n.d.",SUMPRODUCT(--('Repartition stock'!$A$6:$A$423="2026Q3"),--('Repartition stock'!$B$6:$B$423="BE"),--('Repartition stock'!$E$6:$E$423="Millésime"),--('Repartition stock'!$F$6:$F$423="2020"),'Repartition stock'!$J$6:$J$423)))</f>
        <v>0</v>
      </c>
      <c r="AA17" s="16"/>
      <c r="AB17" s="16"/>
      <c r="AC17" s="7">
        <f>IF((IF(OR(COUNT(X17,X24)&lt;&gt;2,X24=0),"n.d.",X17/X24))="n.d.",0,IF(OR(COUNT(X17,X24)&lt;&gt;2,X24=0),"n.d.",X17/X24))</f>
        <v>0</v>
      </c>
      <c r="AD17" s="7"/>
      <c r="AE17" s="7">
        <f>IF((IF(OR(COUNT(Z17,Z24)&lt;&gt;2,Z24=0),"n.d.",Z17/Z24))="n.d.",0,IF(OR(COUNT(Z17,Z24)&lt;&gt;2,Z24=0),"n.d.",Z17/Z24))</f>
        <v>0</v>
      </c>
      <c r="AF17" s="7"/>
    </row>
    <row r="18" spans="1:32" ht="13.5" customHeight="1">
      <c r="A18" s="12"/>
      <c r="R18" s="4"/>
      <c r="S18" s="4"/>
      <c r="T18" s="4"/>
      <c r="U18" s="15" t="s">
        <v>395</v>
      </c>
      <c r="V18" s="15"/>
      <c r="W18" s="15"/>
      <c r="X18" s="16">
        <f>IF((IF(OR(SUMPRODUCT(--('Repartition stock'!$A$6:$A$423="2026Q3"),--('Repartition stock'!$B$6:$B$423="BE"),--('Repartition stock'!$E$6:$E$423="Millésime"),--('Repartition stock'!$F$6:$F$423="2021"))=0,SUMPRODUCT(--('Repartition stock'!$A$6:$A$423="2026Q3"),--('Repartition stock'!$B$6:$B$423="BE"),--('Repartition stock'!$E$6:$E$423="Millésime"),--('Repartition stock'!$F$6:$F$423="2021"),--('Repartition stock'!$G$6:$G$423="n.d."))&gt;0),"n.d.",SUMPRODUCT(--('Repartition stock'!$A$6:$A$423="2026Q3"),--('Repartition stock'!$B$6:$B$423="BE"),--('Repartition stock'!$E$6:$E$423="Millésime"),--('Repartition stock'!$F$6:$F$423="2021"),'Repartition stock'!$G$6:$G$423)))="n.d.",0,IF(OR(SUMPRODUCT(--('Repartition stock'!$A$6:$A$423="2026Q3"),--('Repartition stock'!$B$6:$B$423="BE"),--('Repartition stock'!$E$6:$E$423="Millésime"),--('Repartition stock'!$F$6:$F$423="2021"))=0,SUMPRODUCT(--('Repartition stock'!$A$6:$A$423="2026Q3"),--('Repartition stock'!$B$6:$B$423="BE"),--('Repartition stock'!$E$6:$E$423="Millésime"),--('Repartition stock'!$F$6:$F$423="2021"),--('Repartition stock'!$G$6:$G$423="n.d."))&gt;0),"n.d.",SUMPRODUCT(--('Repartition stock'!$A$6:$A$423="2026Q3"),--('Repartition stock'!$B$6:$B$423="BE"),--('Repartition stock'!$E$6:$E$423="Millésime"),--('Repartition stock'!$F$6:$F$423="2021"),'Repartition stock'!$G$6:$G$423)))</f>
        <v>0</v>
      </c>
      <c r="Y18" s="16"/>
      <c r="Z18" s="16">
        <f>IF((IF(OR(SUMPRODUCT(--('Repartition stock'!$A$6:$A$423="2026Q3"),--('Repartition stock'!$B$6:$B$423="BE"),--('Repartition stock'!$E$6:$E$423="Millésime"),--('Repartition stock'!$F$6:$F$423="2021"))=0,SUMPRODUCT(--('Repartition stock'!$A$6:$A$423="2026Q3"),--('Repartition stock'!$B$6:$B$423="BE"),--('Repartition stock'!$E$6:$E$423="Millésime"),--('Repartition stock'!$F$6:$F$423="2021"),--('Repartition stock'!$J$6:$J$423="n.d."))&gt;0),"n.d.",SUMPRODUCT(--('Repartition stock'!$A$6:$A$423="2026Q3"),--('Repartition stock'!$B$6:$B$423="BE"),--('Repartition stock'!$E$6:$E$423="Millésime"),--('Repartition stock'!$F$6:$F$423="2021"),'Repartition stock'!$J$6:$J$423)))="n.d.",0,IF(OR(SUMPRODUCT(--('Repartition stock'!$A$6:$A$423="2026Q3"),--('Repartition stock'!$B$6:$B$423="BE"),--('Repartition stock'!$E$6:$E$423="Millésime"),--('Repartition stock'!$F$6:$F$423="2021"))=0,SUMPRODUCT(--('Repartition stock'!$A$6:$A$423="2026Q3"),--('Repartition stock'!$B$6:$B$423="BE"),--('Repartition stock'!$E$6:$E$423="Millésime"),--('Repartition stock'!$F$6:$F$423="2021"),--('Repartition stock'!$J$6:$J$423="n.d."))&gt;0),"n.d.",SUMPRODUCT(--('Repartition stock'!$A$6:$A$423="2026Q3"),--('Repartition stock'!$B$6:$B$423="BE"),--('Repartition stock'!$E$6:$E$423="Millésime"),--('Repartition stock'!$F$6:$F$423="2021"),'Repartition stock'!$J$6:$J$423)))</f>
        <v>0</v>
      </c>
      <c r="AA18" s="16"/>
      <c r="AB18" s="16"/>
      <c r="AC18" s="7">
        <f>IF((IF(OR(COUNT(X18,X24)&lt;&gt;2,X24=0),"n.d.",X18/X24))="n.d.",0,IF(OR(COUNT(X18,X24)&lt;&gt;2,X24=0),"n.d.",X18/X24))</f>
        <v>0</v>
      </c>
      <c r="AD18" s="7"/>
      <c r="AE18" s="7">
        <f>IF((IF(OR(COUNT(Z18,Z24)&lt;&gt;2,Z24=0),"n.d.",Z18/Z24))="n.d.",0,IF(OR(COUNT(Z18,Z24)&lt;&gt;2,Z24=0),"n.d.",Z18/Z24))</f>
        <v>0</v>
      </c>
      <c r="AF18" s="7"/>
    </row>
    <row r="19" spans="1:32" ht="13.5" customHeight="1">
      <c r="A19" s="12"/>
      <c r="R19" s="4"/>
      <c r="S19" s="4"/>
      <c r="T19" s="4"/>
      <c r="U19" s="15" t="s">
        <v>397</v>
      </c>
      <c r="V19" s="15"/>
      <c r="W19" s="15"/>
      <c r="X19" s="16">
        <f>IF((IF(OR(SUMPRODUCT(--('Repartition stock'!$A$6:$A$423="2026Q3"),--('Repartition stock'!$B$6:$B$423="BE"),--('Repartition stock'!$E$6:$E$423="Millésime"),--('Repartition stock'!$F$6:$F$423="2022"))=0,SUMPRODUCT(--('Repartition stock'!$A$6:$A$423="2026Q3"),--('Repartition stock'!$B$6:$B$423="BE"),--('Repartition stock'!$E$6:$E$423="Millésime"),--('Repartition stock'!$F$6:$F$423="2022"),--('Repartition stock'!$G$6:$G$423="n.d."))&gt;0),"n.d.",SUMPRODUCT(--('Repartition stock'!$A$6:$A$423="2026Q3"),--('Repartition stock'!$B$6:$B$423="BE"),--('Repartition stock'!$E$6:$E$423="Millésime"),--('Repartition stock'!$F$6:$F$423="2022"),'Repartition stock'!$G$6:$G$423)))="n.d.",0,IF(OR(SUMPRODUCT(--('Repartition stock'!$A$6:$A$423="2026Q3"),--('Repartition stock'!$B$6:$B$423="BE"),--('Repartition stock'!$E$6:$E$423="Millésime"),--('Repartition stock'!$F$6:$F$423="2022"))=0,SUMPRODUCT(--('Repartition stock'!$A$6:$A$423="2026Q3"),--('Repartition stock'!$B$6:$B$423="BE"),--('Repartition stock'!$E$6:$E$423="Millésime"),--('Repartition stock'!$F$6:$F$423="2022"),--('Repartition stock'!$G$6:$G$423="n.d."))&gt;0),"n.d.",SUMPRODUCT(--('Repartition stock'!$A$6:$A$423="2026Q3"),--('Repartition stock'!$B$6:$B$423="BE"),--('Repartition stock'!$E$6:$E$423="Millésime"),--('Repartition stock'!$F$6:$F$423="2022"),'Repartition stock'!$G$6:$G$423)))</f>
        <v>0</v>
      </c>
      <c r="Y19" s="16"/>
      <c r="Z19" s="16">
        <f>IF((IF(OR(SUMPRODUCT(--('Repartition stock'!$A$6:$A$423="2026Q3"),--('Repartition stock'!$B$6:$B$423="BE"),--('Repartition stock'!$E$6:$E$423="Millésime"),--('Repartition stock'!$F$6:$F$423="2022"))=0,SUMPRODUCT(--('Repartition stock'!$A$6:$A$423="2026Q3"),--('Repartition stock'!$B$6:$B$423="BE"),--('Repartition stock'!$E$6:$E$423="Millésime"),--('Repartition stock'!$F$6:$F$423="2022"),--('Repartition stock'!$J$6:$J$423="n.d."))&gt;0),"n.d.",SUMPRODUCT(--('Repartition stock'!$A$6:$A$423="2026Q3"),--('Repartition stock'!$B$6:$B$423="BE"),--('Repartition stock'!$E$6:$E$423="Millésime"),--('Repartition stock'!$F$6:$F$423="2022"),'Repartition stock'!$J$6:$J$423)))="n.d.",0,IF(OR(SUMPRODUCT(--('Repartition stock'!$A$6:$A$423="2026Q3"),--('Repartition stock'!$B$6:$B$423="BE"),--('Repartition stock'!$E$6:$E$423="Millésime"),--('Repartition stock'!$F$6:$F$423="2022"))=0,SUMPRODUCT(--('Repartition stock'!$A$6:$A$423="2026Q3"),--('Repartition stock'!$B$6:$B$423="BE"),--('Repartition stock'!$E$6:$E$423="Millésime"),--('Repartition stock'!$F$6:$F$423="2022"),--('Repartition stock'!$J$6:$J$423="n.d."))&gt;0),"n.d.",SUMPRODUCT(--('Repartition stock'!$A$6:$A$423="2026Q3"),--('Repartition stock'!$B$6:$B$423="BE"),--('Repartition stock'!$E$6:$E$423="Millésime"),--('Repartition stock'!$F$6:$F$423="2022"),'Repartition stock'!$J$6:$J$423)))</f>
        <v>0</v>
      </c>
      <c r="AA19" s="16"/>
      <c r="AB19" s="16"/>
      <c r="AC19" s="7">
        <f>IF((IF(OR(COUNT(X19,X24)&lt;&gt;2,X24=0),"n.d.",X19/X24))="n.d.",0,IF(OR(COUNT(X19,X24)&lt;&gt;2,X24=0),"n.d.",X19/X24))</f>
        <v>0</v>
      </c>
      <c r="AD19" s="7"/>
      <c r="AE19" s="7">
        <f>IF((IF(OR(COUNT(Z19,Z24)&lt;&gt;2,Z24=0),"n.d.",Z19/Z24))="n.d.",0,IF(OR(COUNT(Z19,Z24)&lt;&gt;2,Z24=0),"n.d.",Z19/Z24))</f>
        <v>0</v>
      </c>
      <c r="AF19" s="7"/>
    </row>
    <row r="20" spans="1:32" ht="13.5" customHeight="1">
      <c r="A20" s="12"/>
      <c r="R20" s="4"/>
      <c r="S20" s="4"/>
      <c r="T20" s="4"/>
      <c r="U20" s="15" t="s">
        <v>399</v>
      </c>
      <c r="V20" s="15"/>
      <c r="W20" s="15"/>
      <c r="X20" s="16">
        <f>IF((IF(OR(SUMPRODUCT(--('Repartition stock'!$A$6:$A$423="2026Q3"),--('Repartition stock'!$B$6:$B$423="BE"),--('Repartition stock'!$E$6:$E$423="Millésime"),--('Repartition stock'!$F$6:$F$423="2023"))=0,SUMPRODUCT(--('Repartition stock'!$A$6:$A$423="2026Q3"),--('Repartition stock'!$B$6:$B$423="BE"),--('Repartition stock'!$E$6:$E$423="Millésime"),--('Repartition stock'!$F$6:$F$423="2023"),--('Repartition stock'!$G$6:$G$423="n.d."))&gt;0),"n.d.",SUMPRODUCT(--('Repartition stock'!$A$6:$A$423="2026Q3"),--('Repartition stock'!$B$6:$B$423="BE"),--('Repartition stock'!$E$6:$E$423="Millésime"),--('Repartition stock'!$F$6:$F$423="2023"),'Repartition stock'!$G$6:$G$423)))="n.d.",0,IF(OR(SUMPRODUCT(--('Repartition stock'!$A$6:$A$423="2026Q3"),--('Repartition stock'!$B$6:$B$423="BE"),--('Repartition stock'!$E$6:$E$423="Millésime"),--('Repartition stock'!$F$6:$F$423="2023"))=0,SUMPRODUCT(--('Repartition stock'!$A$6:$A$423="2026Q3"),--('Repartition stock'!$B$6:$B$423="BE"),--('Repartition stock'!$E$6:$E$423="Millésime"),--('Repartition stock'!$F$6:$F$423="2023"),--('Repartition stock'!$G$6:$G$423="n.d."))&gt;0),"n.d.",SUMPRODUCT(--('Repartition stock'!$A$6:$A$423="2026Q3"),--('Repartition stock'!$B$6:$B$423="BE"),--('Repartition stock'!$E$6:$E$423="Millésime"),--('Repartition stock'!$F$6:$F$423="2023"),'Repartition stock'!$G$6:$G$423)))</f>
        <v>1.0</v>
      </c>
      <c r="Y20" s="16"/>
      <c r="Z20" s="16">
        <f>IF((IF(OR(SUMPRODUCT(--('Repartition stock'!$A$6:$A$423="2026Q3"),--('Repartition stock'!$B$6:$B$423="BE"),--('Repartition stock'!$E$6:$E$423="Millésime"),--('Repartition stock'!$F$6:$F$423="2023"))=0,SUMPRODUCT(--('Repartition stock'!$A$6:$A$423="2026Q3"),--('Repartition stock'!$B$6:$B$423="BE"),--('Repartition stock'!$E$6:$E$423="Millésime"),--('Repartition stock'!$F$6:$F$423="2023"),--('Repartition stock'!$J$6:$J$423="n.d."))&gt;0),"n.d.",SUMPRODUCT(--('Repartition stock'!$A$6:$A$423="2026Q3"),--('Repartition stock'!$B$6:$B$423="BE"),--('Repartition stock'!$E$6:$E$423="Millésime"),--('Repartition stock'!$F$6:$F$423="2023"),'Repartition stock'!$J$6:$J$423)))="n.d.",0,IF(OR(SUMPRODUCT(--('Repartition stock'!$A$6:$A$423="2026Q3"),--('Repartition stock'!$B$6:$B$423="BE"),--('Repartition stock'!$E$6:$E$423="Millésime"),--('Repartition stock'!$F$6:$F$423="2023"))=0,SUMPRODUCT(--('Repartition stock'!$A$6:$A$423="2026Q3"),--('Repartition stock'!$B$6:$B$423="BE"),--('Repartition stock'!$E$6:$E$423="Millésime"),--('Repartition stock'!$F$6:$F$423="2023"),--('Repartition stock'!$J$6:$J$423="n.d."))&gt;0),"n.d.",SUMPRODUCT(--('Repartition stock'!$A$6:$A$423="2026Q3"),--('Repartition stock'!$B$6:$B$423="BE"),--('Repartition stock'!$E$6:$E$423="Millésime"),--('Repartition stock'!$F$6:$F$423="2023"),'Repartition stock'!$J$6:$J$423)))</f>
        <v>0.0</v>
      </c>
      <c r="AA20" s="16"/>
      <c r="AB20" s="16"/>
      <c r="AC20" s="7">
        <f>IF((IF(OR(COUNT(X20,X24)&lt;&gt;2,X24=0),"n.d.",X20/X24))="n.d.",0,IF(OR(COUNT(X20,X24)&lt;&gt;2,X24=0),"n.d.",X20/X24))</f>
        <v>0.004219409282700422</v>
      </c>
      <c r="AD20" s="7"/>
      <c r="AE20" s="7">
        <f>IF((IF(OR(COUNT(Z20,Z24)&lt;&gt;2,Z24=0),"n.d.",Z20/Z24))="n.d.",0,IF(OR(COUNT(Z20,Z24)&lt;&gt;2,Z24=0),"n.d.",Z20/Z24))</f>
        <v>0.0</v>
      </c>
      <c r="AF20" s="7"/>
    </row>
    <row r="21" spans="1:32" ht="13.5" customHeight="1">
      <c r="A21" s="12"/>
      <c r="R21" s="4"/>
      <c r="S21" s="4"/>
      <c r="T21" s="4"/>
      <c r="U21" s="15" t="s">
        <v>95</v>
      </c>
      <c r="V21" s="15"/>
      <c r="W21" s="15"/>
      <c r="X21" s="16">
        <f>IF((IF(OR(SUMPRODUCT(--('Repartition stock'!$A$6:$A$423="2026Q3"),--('Repartition stock'!$B$6:$B$423="BE"),--('Repartition stock'!$E$6:$E$423="Millésime"),--('Repartition stock'!$F$6:$F$423="2024"))=0,SUMPRODUCT(--('Repartition stock'!$A$6:$A$423="2026Q3"),--('Repartition stock'!$B$6:$B$423="BE"),--('Repartition stock'!$E$6:$E$423="Millésime"),--('Repartition stock'!$F$6:$F$423="2024"),--('Repartition stock'!$G$6:$G$423="n.d."))&gt;0),"n.d.",SUMPRODUCT(--('Repartition stock'!$A$6:$A$423="2026Q3"),--('Repartition stock'!$B$6:$B$423="BE"),--('Repartition stock'!$E$6:$E$423="Millésime"),--('Repartition stock'!$F$6:$F$423="2024"),'Repartition stock'!$G$6:$G$423)))="n.d.",0,IF(OR(SUMPRODUCT(--('Repartition stock'!$A$6:$A$423="2026Q3"),--('Repartition stock'!$B$6:$B$423="BE"),--('Repartition stock'!$E$6:$E$423="Millésime"),--('Repartition stock'!$F$6:$F$423="2024"))=0,SUMPRODUCT(--('Repartition stock'!$A$6:$A$423="2026Q3"),--('Repartition stock'!$B$6:$B$423="BE"),--('Repartition stock'!$E$6:$E$423="Millésime"),--('Repartition stock'!$F$6:$F$423="2024"),--('Repartition stock'!$G$6:$G$423="n.d."))&gt;0),"n.d.",SUMPRODUCT(--('Repartition stock'!$A$6:$A$423="2026Q3"),--('Repartition stock'!$B$6:$B$423="BE"),--('Repartition stock'!$E$6:$E$423="Millésime"),--('Repartition stock'!$F$6:$F$423="2024"),'Repartition stock'!$G$6:$G$423)))</f>
        <v>0</v>
      </c>
      <c r="Y21" s="16"/>
      <c r="Z21" s="16">
        <f>IF((IF(OR(SUMPRODUCT(--('Repartition stock'!$A$6:$A$423="2026Q3"),--('Repartition stock'!$B$6:$B$423="BE"),--('Repartition stock'!$E$6:$E$423="Millésime"),--('Repartition stock'!$F$6:$F$423="2024"))=0,SUMPRODUCT(--('Repartition stock'!$A$6:$A$423="2026Q3"),--('Repartition stock'!$B$6:$B$423="BE"),--('Repartition stock'!$E$6:$E$423="Millésime"),--('Repartition stock'!$F$6:$F$423="2024"),--('Repartition stock'!$J$6:$J$423="n.d."))&gt;0),"n.d.",SUMPRODUCT(--('Repartition stock'!$A$6:$A$423="2026Q3"),--('Repartition stock'!$B$6:$B$423="BE"),--('Repartition stock'!$E$6:$E$423="Millésime"),--('Repartition stock'!$F$6:$F$423="2024"),'Repartition stock'!$J$6:$J$423)))="n.d.",0,IF(OR(SUMPRODUCT(--('Repartition stock'!$A$6:$A$423="2026Q3"),--('Repartition stock'!$B$6:$B$423="BE"),--('Repartition stock'!$E$6:$E$423="Millésime"),--('Repartition stock'!$F$6:$F$423="2024"))=0,SUMPRODUCT(--('Repartition stock'!$A$6:$A$423="2026Q3"),--('Repartition stock'!$B$6:$B$423="BE"),--('Repartition stock'!$E$6:$E$423="Millésime"),--('Repartition stock'!$F$6:$F$423="2024"),--('Repartition stock'!$J$6:$J$423="n.d."))&gt;0),"n.d.",SUMPRODUCT(--('Repartition stock'!$A$6:$A$423="2026Q3"),--('Repartition stock'!$B$6:$B$423="BE"),--('Repartition stock'!$E$6:$E$423="Millésime"),--('Repartition stock'!$F$6:$F$423="2024"),'Repartition stock'!$J$6:$J$423)))</f>
        <v>0</v>
      </c>
      <c r="AA21" s="16"/>
      <c r="AB21" s="16"/>
      <c r="AC21" s="7">
        <f>IF((IF(OR(COUNT(X21,X24)&lt;&gt;2,X24=0),"n.d.",X21/X24))="n.d.",0,IF(OR(COUNT(X21,X24)&lt;&gt;2,X24=0),"n.d.",X21/X24))</f>
        <v>0</v>
      </c>
      <c r="AD21" s="7"/>
      <c r="AE21" s="7">
        <f>IF((IF(OR(COUNT(Z21,Z24)&lt;&gt;2,Z24=0),"n.d.",Z21/Z24))="n.d.",0,IF(OR(COUNT(Z21,Z24)&lt;&gt;2,Z24=0),"n.d.",Z21/Z24))</f>
        <v>0</v>
      </c>
      <c r="AF21" s="7"/>
    </row>
    <row r="22" spans="1:32" ht="13.5" customHeight="1">
      <c r="A22" s="12"/>
      <c r="R22" s="4"/>
      <c r="S22" s="4"/>
      <c r="T22" s="4"/>
      <c r="U22" s="15" t="s">
        <v>53</v>
      </c>
      <c r="V22" s="15"/>
      <c r="W22" s="15"/>
      <c r="X22" s="16">
        <f>IF((IF(OR(SUMPRODUCT(--('Repartition stock'!$A$6:$A$423="2026Q3"),--('Repartition stock'!$B$6:$B$423="BE"),--('Repartition stock'!$E$6:$E$423="Millésime"),--('Repartition stock'!$F$6:$F$423="2025"))=0,SUMPRODUCT(--('Repartition stock'!$A$6:$A$423="2026Q3"),--('Repartition stock'!$B$6:$B$423="BE"),--('Repartition stock'!$E$6:$E$423="Millésime"),--('Repartition stock'!$F$6:$F$423="2025"),--('Repartition stock'!$G$6:$G$423="n.d."))&gt;0),"n.d.",SUMPRODUCT(--('Repartition stock'!$A$6:$A$423="2026Q3"),--('Repartition stock'!$B$6:$B$423="BE"),--('Repartition stock'!$E$6:$E$423="Millésime"),--('Repartition stock'!$F$6:$F$423="2025"),'Repartition stock'!$G$6:$G$423)))="n.d.",0,IF(OR(SUMPRODUCT(--('Repartition stock'!$A$6:$A$423="2026Q3"),--('Repartition stock'!$B$6:$B$423="BE"),--('Repartition stock'!$E$6:$E$423="Millésime"),--('Repartition stock'!$F$6:$F$423="2025"))=0,SUMPRODUCT(--('Repartition stock'!$A$6:$A$423="2026Q3"),--('Repartition stock'!$B$6:$B$423="BE"),--('Repartition stock'!$E$6:$E$423="Millésime"),--('Repartition stock'!$F$6:$F$423="2025"),--('Repartition stock'!$G$6:$G$423="n.d."))&gt;0),"n.d.",SUMPRODUCT(--('Repartition stock'!$A$6:$A$423="2026Q3"),--('Repartition stock'!$B$6:$B$423="BE"),--('Repartition stock'!$E$6:$E$423="Millésime"),--('Repartition stock'!$F$6:$F$423="2025"),'Repartition stock'!$G$6:$G$423)))</f>
        <v>2.0</v>
      </c>
      <c r="Y22" s="16"/>
      <c r="Z22" s="16">
        <f>IF((IF(OR(SUMPRODUCT(--('Repartition stock'!$A$6:$A$423="2026Q3"),--('Repartition stock'!$B$6:$B$423="BE"),--('Repartition stock'!$E$6:$E$423="Millésime"),--('Repartition stock'!$F$6:$F$423="2025"))=0,SUMPRODUCT(--('Repartition stock'!$A$6:$A$423="2026Q3"),--('Repartition stock'!$B$6:$B$423="BE"),--('Repartition stock'!$E$6:$E$423="Millésime"),--('Repartition stock'!$F$6:$F$423="2025"),--('Repartition stock'!$J$6:$J$423="n.d."))&gt;0),"n.d.",SUMPRODUCT(--('Repartition stock'!$A$6:$A$423="2026Q3"),--('Repartition stock'!$B$6:$B$423="BE"),--('Repartition stock'!$E$6:$E$423="Millésime"),--('Repartition stock'!$F$6:$F$423="2025"),'Repartition stock'!$J$6:$J$423)))="n.d.",0,IF(OR(SUMPRODUCT(--('Repartition stock'!$A$6:$A$423="2026Q3"),--('Repartition stock'!$B$6:$B$423="BE"),--('Repartition stock'!$E$6:$E$423="Millésime"),--('Repartition stock'!$F$6:$F$423="2025"))=0,SUMPRODUCT(--('Repartition stock'!$A$6:$A$423="2026Q3"),--('Repartition stock'!$B$6:$B$423="BE"),--('Repartition stock'!$E$6:$E$423="Millésime"),--('Repartition stock'!$F$6:$F$423="2025"),--('Repartition stock'!$J$6:$J$423="n.d."))&gt;0),"n.d.",SUMPRODUCT(--('Repartition stock'!$A$6:$A$423="2026Q3"),--('Repartition stock'!$B$6:$B$423="BE"),--('Repartition stock'!$E$6:$E$423="Millésime"),--('Repartition stock'!$F$6:$F$423="2025"),'Repartition stock'!$J$6:$J$423)))</f>
        <v>1390.0</v>
      </c>
      <c r="AA22" s="16"/>
      <c r="AB22" s="16"/>
      <c r="AC22" s="7">
        <f>IF((IF(OR(COUNT(X22,X24)&lt;&gt;2,X24=0),"n.d.",X22/X24))="n.d.",0,IF(OR(COUNT(X22,X24)&lt;&gt;2,X24=0),"n.d.",X22/X24))</f>
        <v>0.008438818565400843</v>
      </c>
      <c r="AD22" s="7"/>
      <c r="AE22" s="7">
        <f>IF((IF(OR(COUNT(Z22,Z24)&lt;&gt;2,Z24=0),"n.d.",Z22/Z24))="n.d.",0,IF(OR(COUNT(Z22,Z24)&lt;&gt;2,Z24=0),"n.d.",Z22/Z24))</f>
        <v>0.013107519378382965</v>
      </c>
      <c r="AF22" s="7"/>
    </row>
    <row r="23" spans="1:32" ht="13.5" customHeight="1">
      <c r="A23" s="12"/>
      <c r="R23" s="4"/>
      <c r="S23" s="4"/>
      <c r="T23" s="4"/>
      <c r="U23" s="15" t="s">
        <v>55</v>
      </c>
      <c r="V23" s="15"/>
      <c r="W23" s="15"/>
      <c r="X23" s="16">
        <f>IF((IF(OR(SUMPRODUCT(--('Repartition stock'!$A$6:$A$423="2026Q3"),--('Repartition stock'!$B$6:$B$423="BE"),--('Repartition stock'!$E$6:$E$423="Millésime"),--('Repartition stock'!$F$6:$F$423="2026"))=0,SUMPRODUCT(--('Repartition stock'!$A$6:$A$423="2026Q3"),--('Repartition stock'!$B$6:$B$423="BE"),--('Repartition stock'!$E$6:$E$423="Millésime"),--('Repartition stock'!$F$6:$F$423="2026"),--('Repartition stock'!$G$6:$G$423="n.d."))&gt;0),"n.d.",SUMPRODUCT(--('Repartition stock'!$A$6:$A$423="2026Q3"),--('Repartition stock'!$B$6:$B$423="BE"),--('Repartition stock'!$E$6:$E$423="Millésime"),--('Repartition stock'!$F$6:$F$423="2026"),'Repartition stock'!$G$6:$G$423)))="n.d.",0,IF(OR(SUMPRODUCT(--('Repartition stock'!$A$6:$A$423="2026Q3"),--('Repartition stock'!$B$6:$B$423="BE"),--('Repartition stock'!$E$6:$E$423="Millésime"),--('Repartition stock'!$F$6:$F$423="2026"))=0,SUMPRODUCT(--('Repartition stock'!$A$6:$A$423="2026Q3"),--('Repartition stock'!$B$6:$B$423="BE"),--('Repartition stock'!$E$6:$E$423="Millésime"),--('Repartition stock'!$F$6:$F$423="2026"),--('Repartition stock'!$G$6:$G$423="n.d."))&gt;0),"n.d.",SUMPRODUCT(--('Repartition stock'!$A$6:$A$423="2026Q3"),--('Repartition stock'!$B$6:$B$423="BE"),--('Repartition stock'!$E$6:$E$423="Millésime"),--('Repartition stock'!$F$6:$F$423="2026"),'Repartition stock'!$G$6:$G$423)))</f>
        <v>234.0</v>
      </c>
      <c r="Y23" s="16"/>
      <c r="Z23" s="16">
        <f>IF((IF(OR(SUMPRODUCT(--('Repartition stock'!$A$6:$A$423="2026Q3"),--('Repartition stock'!$B$6:$B$423="BE"),--('Repartition stock'!$E$6:$E$423="Millésime"),--('Repartition stock'!$F$6:$F$423="2026"))=0,SUMPRODUCT(--('Repartition stock'!$A$6:$A$423="2026Q3"),--('Repartition stock'!$B$6:$B$423="BE"),--('Repartition stock'!$E$6:$E$423="Millésime"),--('Repartition stock'!$F$6:$F$423="2026"),--('Repartition stock'!$J$6:$J$423="n.d."))&gt;0),"n.d.",SUMPRODUCT(--('Repartition stock'!$A$6:$A$423="2026Q3"),--('Repartition stock'!$B$6:$B$423="BE"),--('Repartition stock'!$E$6:$E$423="Millésime"),--('Repartition stock'!$F$6:$F$423="2026"),'Repartition stock'!$J$6:$J$423)))="n.d.",0,IF(OR(SUMPRODUCT(--('Repartition stock'!$A$6:$A$423="2026Q3"),--('Repartition stock'!$B$6:$B$423="BE"),--('Repartition stock'!$E$6:$E$423="Millésime"),--('Repartition stock'!$F$6:$F$423="2026"))=0,SUMPRODUCT(--('Repartition stock'!$A$6:$A$423="2026Q3"),--('Repartition stock'!$B$6:$B$423="BE"),--('Repartition stock'!$E$6:$E$423="Millésime"),--('Repartition stock'!$F$6:$F$423="2026"),--('Repartition stock'!$J$6:$J$423="n.d."))&gt;0),"n.d.",SUMPRODUCT(--('Repartition stock'!$A$6:$A$423="2026Q3"),--('Repartition stock'!$B$6:$B$423="BE"),--('Repartition stock'!$E$6:$E$423="Millésime"),--('Repartition stock'!$F$6:$F$423="2026"),'Repartition stock'!$J$6:$J$423)))</f>
        <v>104655.0</v>
      </c>
      <c r="AA23" s="16"/>
      <c r="AB23" s="16"/>
      <c r="AC23" s="7">
        <f>IF((IF(OR(COUNT(X23,X24)&lt;&gt;2,X24=0),"n.d.",X23/X24))="n.d.",0,IF(OR(COUNT(X23,X24)&lt;&gt;2,X24=0),"n.d.",X23/X24))</f>
        <v>0.9873417721518988</v>
      </c>
      <c r="AD23" s="7"/>
      <c r="AE23" s="7">
        <f>IF((IF(OR(COUNT(Z23,Z24)&lt;&gt;2,Z24=0),"n.d.",Z23/Z24))="n.d.",0,IF(OR(COUNT(Z23,Z24)&lt;&gt;2,Z24=0),"n.d.",Z23/Z24))</f>
        <v>0.9868830507515607</v>
      </c>
      <c r="AF23" s="7"/>
    </row>
    <row r="24" spans="1:32" ht="13.5" customHeight="1">
      <c r="A24" s="12"/>
      <c r="R24" s="17" t="s">
        <v>3150</v>
      </c>
      <c r="S24" s="17"/>
      <c r="T24" s="17"/>
      <c r="U24" s="17"/>
      <c r="V24" s="17"/>
      <c r="W24" s="17"/>
      <c r="X24" s="17">
        <f>IF(('Presentation inputs'!D13)="n.d.",0,'Presentation inputs'!D13)</f>
        <v>237.0</v>
      </c>
      <c r="Y24" s="17"/>
      <c r="Z24" s="17">
        <f>IF((IF(ISNUMBER('Presentation inputs'!E13),'Presentation inputs'!E13/(IF(OR(COUNTIFS('Consolidation'!$A$6:$A$46,"2026Q3",'Consolidation'!$B$6:$B$46,"BE")&lt;&gt;1,COUNTIFS('Consolidation'!$A$6:$A$46,"2026Q3",'Consolidation'!$B$6:$B$46,"BE",'Consolidation'!$E$6:$E$46,"n.d.")&gt;0),"n.d.",SUMIFS('Consolidation'!$E$6:$E$46,'Consolidation'!$A$6:$A$46,"2026Q3",'Consolidation'!$B$6:$B$46,"BE"))),"n.d."))="n.d.",0,IF(ISNUMBER('Presentation inputs'!E13),'Presentation inputs'!E13/(IF(OR(COUNTIFS('Consolidation'!$A$6:$A$46,"2026Q3",'Consolidation'!$B$6:$B$46,"BE")&lt;&gt;1,COUNTIFS('Consolidation'!$A$6:$A$46,"2026Q3",'Consolidation'!$B$6:$B$46,"BE",'Consolidation'!$E$6:$E$46,"n.d.")&gt;0),"n.d.",SUMIFS('Consolidation'!$E$6:$E$46,'Consolidation'!$A$6:$A$46,"2026Q3",'Consolidation'!$B$6:$B$46,"BE"))),"n.d."))</f>
        <v>106046.0</v>
      </c>
      <c r="AA24" s="17"/>
      <c r="AB24" s="17"/>
      <c r="AC24" s="9">
        <f>IF((IF(OR(NOT(ISNUMBER(X24)),X24=0),"n.d.",1))="n.d.",0,IF(OR(NOT(ISNUMBER(X24)),X24=0),"n.d.",1))</f>
        <v>1.0</v>
      </c>
      <c r="AD24" s="9"/>
      <c r="AE24" s="9">
        <f>IF((IF(OR(NOT(ISNUMBER(Z24)),Z24=0),"n.d.",1))="n.d.",0,IF(OR(NOT(ISNUMBER(Z24)),Z24=0),"n.d.",1))</f>
        <v>1.0</v>
      </c>
      <c r="AF24" s="9"/>
    </row>
    <row r="25" spans="1:32" ht="13.5" customHeight="1">
      <c r="A25" s="12"/>
    </row>
    <row r="26" spans="1:32" ht="13.5" customHeight="1">
      <c r="A26" s="12"/>
      <c r="R26" s="1" t="s">
        <v>3152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3.5" customHeight="1">
      <c r="A27" s="1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3.5" customHeight="1">
      <c r="A28" s="1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"&amp;IF(ISNUMBER('GraphData'!A160),TEXT('GraphData'!A160,"#,##0"),"0")&amp;" EUR. Average balance per contract: "&amp;IF(ISNUMBER('GraphData'!B160),TEXT('GraphData'!B160,"#,##0"),"0")&amp;" EUR."</f>
        <v>Average monthly new flow: 86,982 EUR. Average balance per contract: 451 EUR.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"&amp;IF(ISNUMBER('GraphData'!C160),TEXT('GraphData'!C160,"0.0%"),"0")&amp;" treated in amount and "&amp;IF(ISNUMBER('GraphData'!D160),TEXT('GraphData'!D160,"0.0%"),"0")&amp;" in number."</f>
        <v>Oldest cohort (M-5): 100.0% treated in amount and 100.0%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"&amp;IF(ISNUMBER('GraphData'!E160),TEXT('GraphData'!E160,"#,##0"),"0")&amp;" EUR. Identified stock: "&amp;IF(ISNUMBER('GraphData'!F160),TEXT('GraphData'!F160,"#,##0"),"0")&amp;" EUR."</f>
        <v>Stock to process: 106,046 EUR. Identified stock: 147,601 EUR.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3171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3079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101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R26:AF28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73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3160</v>
      </c>
      <c r="S2" s="4"/>
      <c r="T2" s="4"/>
      <c r="U2" s="4"/>
      <c r="V2" s="4"/>
      <c r="W2" s="4"/>
      <c r="X2" s="14">
        <v>46295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3146</v>
      </c>
      <c r="Y3" s="4"/>
      <c r="Z3" s="4" t="s">
        <v>3147</v>
      </c>
      <c r="AA3" s="4"/>
      <c r="AB3" s="4"/>
      <c r="AC3" s="4" t="s">
        <v>3148</v>
      </c>
      <c r="AD3" s="4"/>
      <c r="AE3" s="4" t="s">
        <v>3149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1" t="s">
        <v>3161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2"/>
      <c r="R7" s="4" t="s">
        <v>1284</v>
      </c>
      <c r="S7" s="4"/>
      <c r="T7" s="4"/>
      <c r="U7" s="15" t="s">
        <v>377</v>
      </c>
      <c r="V7" s="15"/>
      <c r="W7" s="15"/>
      <c r="X7" s="16">
        <f>IF((IF(OR(SUMPRODUCT(--('Repartition stock'!$A$6:$A$423="2026Q3"),--('Repartition stock'!$B$6:$B$423="IT"),--('Repartition stock'!$E$6:$E$423="Tranche"),--('Repartition stock'!$F$6:$F$423="0 - 1 €"))=0,SUMPRODUCT(--('Repartition stock'!$A$6:$A$423="2026Q3"),--('Repartition stock'!$B$6:$B$423="IT"),--('Repartition stock'!$E$6:$E$423="Tranche"),--('Repartition stock'!$F$6:$F$423="0 - 1 €"),--('Repartition stock'!$G$6:$G$423="n.d."))&gt;0),"n.d.",SUMPRODUCT(--('Repartition stock'!$A$6:$A$423="2026Q3"),--('Repartition stock'!$B$6:$B$423="IT"),--('Repartition stock'!$E$6:$E$423="Tranche"),--('Repartition stock'!$F$6:$F$423="0 - 1 €"),'Repartition stock'!$G$6:$G$423)))="n.d.",0,IF(OR(SUMPRODUCT(--('Repartition stock'!$A$6:$A$423="2026Q3"),--('Repartition stock'!$B$6:$B$423="IT"),--('Repartition stock'!$E$6:$E$423="Tranche"),--('Repartition stock'!$F$6:$F$423="0 - 1 €"))=0,SUMPRODUCT(--('Repartition stock'!$A$6:$A$423="2026Q3"),--('Repartition stock'!$B$6:$B$423="IT"),--('Repartition stock'!$E$6:$E$423="Tranche"),--('Repartition stock'!$F$6:$F$423="0 - 1 €"),--('Repartition stock'!$G$6:$G$423="n.d."))&gt;0),"n.d.",SUMPRODUCT(--('Repartition stock'!$A$6:$A$423="2026Q3"),--('Repartition stock'!$B$6:$B$423="IT"),--('Repartition stock'!$E$6:$E$423="Tranche"),--('Repartition stock'!$F$6:$F$423="0 - 1 €"),'Repartition stock'!$G$6:$G$423)))</f>
        <v>18250.0</v>
      </c>
      <c r="Y7" s="16"/>
      <c r="Z7" s="16">
        <f>IF((IF(OR(SUMPRODUCT(--('Repartition stock'!$A$6:$A$423="2026Q3"),--('Repartition stock'!$B$6:$B$423="IT"),--('Repartition stock'!$E$6:$E$423="Tranche"),--('Repartition stock'!$F$6:$F$423="0 - 1 €"))=0,SUMPRODUCT(--('Repartition stock'!$A$6:$A$423="2026Q3"),--('Repartition stock'!$B$6:$B$423="IT"),--('Repartition stock'!$E$6:$E$423="Tranche"),--('Repartition stock'!$F$6:$F$423="0 - 1 €"),--('Repartition stock'!$J$6:$J$423="n.d."))&gt;0),"n.d.",SUMPRODUCT(--('Repartition stock'!$A$6:$A$423="2026Q3"),--('Repartition stock'!$B$6:$B$423="IT"),--('Repartition stock'!$E$6:$E$423="Tranche"),--('Repartition stock'!$F$6:$F$423="0 - 1 €"),'Repartition stock'!$J$6:$J$423)))="n.d.",0,IF(OR(SUMPRODUCT(--('Repartition stock'!$A$6:$A$423="2026Q3"),--('Repartition stock'!$B$6:$B$423="IT"),--('Repartition stock'!$E$6:$E$423="Tranche"),--('Repartition stock'!$F$6:$F$423="0 - 1 €"))=0,SUMPRODUCT(--('Repartition stock'!$A$6:$A$423="2026Q3"),--('Repartition stock'!$B$6:$B$423="IT"),--('Repartition stock'!$E$6:$E$423="Tranche"),--('Repartition stock'!$F$6:$F$423="0 - 1 €"),--('Repartition stock'!$J$6:$J$423="n.d."))&gt;0),"n.d.",SUMPRODUCT(--('Repartition stock'!$A$6:$A$423="2026Q3"),--('Repartition stock'!$B$6:$B$423="IT"),--('Repartition stock'!$E$6:$E$423="Tranche"),--('Repartition stock'!$F$6:$F$423="0 - 1 €"),'Repartition stock'!$J$6:$J$423)))</f>
        <v>7959.0</v>
      </c>
      <c r="AA7" s="16"/>
      <c r="AB7" s="16"/>
      <c r="AC7" s="7">
        <f>IF((IF(OR(COUNT(X7,X12)&lt;&gt;2,X12=0),"n.d.",X7/X12))="n.d.",0,IF(OR(COUNT(X7,X12)&lt;&gt;2,X12=0),"n.d.",X7/X12))</f>
        <v>0.16582467107654286</v>
      </c>
      <c r="AD7" s="7"/>
      <c r="AE7" s="7">
        <f>IF((IF(OR(COUNT(Z7,Z12)&lt;&gt;2,Z12=0),"n.d.",Z7/Z12))="n.d.",0,IF(OR(COUNT(Z7,Z12)&lt;&gt;2,Z12=0),"n.d.",Z7/Z12))</f>
        <v>0.0023174333355753533</v>
      </c>
      <c r="AF7" s="7"/>
    </row>
    <row r="8" spans="1:32" ht="13.5" customHeight="1">
      <c r="A8" s="12"/>
      <c r="R8" s="4"/>
      <c r="S8" s="4"/>
      <c r="T8" s="4"/>
      <c r="U8" s="15" t="s">
        <v>379</v>
      </c>
      <c r="V8" s="15"/>
      <c r="W8" s="15"/>
      <c r="X8" s="16">
        <f>IF((IF(OR(SUMPRODUCT(--('Repartition stock'!$A$6:$A$423="2026Q3"),--('Repartition stock'!$B$6:$B$423="IT"),--('Repartition stock'!$E$6:$E$423="Tranche"),--('Repartition stock'!$F$6:$F$423="1 - 10 €"))=0,SUMPRODUCT(--('Repartition stock'!$A$6:$A$423="2026Q3"),--('Repartition stock'!$B$6:$B$423="IT"),--('Repartition stock'!$E$6:$E$423="Tranche"),--('Repartition stock'!$F$6:$F$423="1 - 10 €"),--('Repartition stock'!$G$6:$G$423="n.d."))&gt;0),"n.d.",SUMPRODUCT(--('Repartition stock'!$A$6:$A$423="2026Q3"),--('Repartition stock'!$B$6:$B$423="IT"),--('Repartition stock'!$E$6:$E$423="Tranche"),--('Repartition stock'!$F$6:$F$423="1 - 10 €"),'Repartition stock'!$G$6:$G$423)))="n.d.",0,IF(OR(SUMPRODUCT(--('Repartition stock'!$A$6:$A$423="2026Q3"),--('Repartition stock'!$B$6:$B$423="IT"),--('Repartition stock'!$E$6:$E$423="Tranche"),--('Repartition stock'!$F$6:$F$423="1 - 10 €"))=0,SUMPRODUCT(--('Repartition stock'!$A$6:$A$423="2026Q3"),--('Repartition stock'!$B$6:$B$423="IT"),--('Repartition stock'!$E$6:$E$423="Tranche"),--('Repartition stock'!$F$6:$F$423="1 - 10 €"),--('Repartition stock'!$G$6:$G$423="n.d."))&gt;0),"n.d.",SUMPRODUCT(--('Repartition stock'!$A$6:$A$423="2026Q3"),--('Repartition stock'!$B$6:$B$423="IT"),--('Repartition stock'!$E$6:$E$423="Tranche"),--('Repartition stock'!$F$6:$F$423="1 - 10 €"),'Repartition stock'!$G$6:$G$423)))</f>
        <v>75932.0</v>
      </c>
      <c r="Y8" s="16"/>
      <c r="Z8" s="16">
        <f>IF((IF(OR(SUMPRODUCT(--('Repartition stock'!$A$6:$A$423="2026Q3"),--('Repartition stock'!$B$6:$B$423="IT"),--('Repartition stock'!$E$6:$E$423="Tranche"),--('Repartition stock'!$F$6:$F$423="1 - 10 €"))=0,SUMPRODUCT(--('Repartition stock'!$A$6:$A$423="2026Q3"),--('Repartition stock'!$B$6:$B$423="IT"),--('Repartition stock'!$E$6:$E$423="Tranche"),--('Repartition stock'!$F$6:$F$423="1 - 10 €"),--('Repartition stock'!$J$6:$J$423="n.d."))&gt;0),"n.d.",SUMPRODUCT(--('Repartition stock'!$A$6:$A$423="2026Q3"),--('Repartition stock'!$B$6:$B$423="IT"),--('Repartition stock'!$E$6:$E$423="Tranche"),--('Repartition stock'!$F$6:$F$423="1 - 10 €"),'Repartition stock'!$J$6:$J$423)))="n.d.",0,IF(OR(SUMPRODUCT(--('Repartition stock'!$A$6:$A$423="2026Q3"),--('Repartition stock'!$B$6:$B$423="IT"),--('Repartition stock'!$E$6:$E$423="Tranche"),--('Repartition stock'!$F$6:$F$423="1 - 10 €"))=0,SUMPRODUCT(--('Repartition stock'!$A$6:$A$423="2026Q3"),--('Repartition stock'!$B$6:$B$423="IT"),--('Repartition stock'!$E$6:$E$423="Tranche"),--('Repartition stock'!$F$6:$F$423="1 - 10 €"),--('Repartition stock'!$J$6:$J$423="n.d."))&gt;0),"n.d.",SUMPRODUCT(--('Repartition stock'!$A$6:$A$423="2026Q3"),--('Repartition stock'!$B$6:$B$423="IT"),--('Repartition stock'!$E$6:$E$423="Tranche"),--('Repartition stock'!$F$6:$F$423="1 - 10 €"),'Repartition stock'!$J$6:$J$423)))</f>
        <v>206829.0</v>
      </c>
      <c r="AA8" s="16"/>
      <c r="AB8" s="16"/>
      <c r="AC8" s="7">
        <f>IF((IF(OR(COUNT(X8,X12)&lt;&gt;2,X12=0),"n.d.",X8/X12))="n.d.",0,IF(OR(COUNT(X8,X12)&lt;&gt;2,X12=0),"n.d.",X8/X12))</f>
        <v>0.6899396670785782</v>
      </c>
      <c r="AD8" s="7"/>
      <c r="AE8" s="7">
        <f>IF((IF(OR(COUNT(Z8,Z12)&lt;&gt;2,Z12=0),"n.d.",Z8/Z12))="n.d.",0,IF(OR(COUNT(Z8,Z12)&lt;&gt;2,Z12=0),"n.d.",Z8/Z12))</f>
        <v>0.060222693725809115</v>
      </c>
      <c r="AF8" s="7"/>
    </row>
    <row r="9" spans="1:32" ht="13.5" customHeight="1">
      <c r="A9" s="12"/>
      <c r="R9" s="4"/>
      <c r="S9" s="4"/>
      <c r="T9" s="4"/>
      <c r="U9" s="15" t="s">
        <v>381</v>
      </c>
      <c r="V9" s="15"/>
      <c r="W9" s="15"/>
      <c r="X9" s="16">
        <f>IF((IF(OR(SUMPRODUCT(--('Repartition stock'!$A$6:$A$423="2026Q3"),--('Repartition stock'!$B$6:$B$423="IT"),--('Repartition stock'!$E$6:$E$423="Tranche"),--('Repartition stock'!$F$6:$F$423="10 - 100 €"))=0,SUMPRODUCT(--('Repartition stock'!$A$6:$A$423="2026Q3"),--('Repartition stock'!$B$6:$B$423="IT"),--('Repartition stock'!$E$6:$E$423="Tranche"),--('Repartition stock'!$F$6:$F$423="10 - 100 €"),--('Repartition stock'!$G$6:$G$423="n.d."))&gt;0),"n.d.",SUMPRODUCT(--('Repartition stock'!$A$6:$A$423="2026Q3"),--('Repartition stock'!$B$6:$B$423="IT"),--('Repartition stock'!$E$6:$E$423="Tranche"),--('Repartition stock'!$F$6:$F$423="10 - 100 €"),'Repartition stock'!$G$6:$G$423)))="n.d.",0,IF(OR(SUMPRODUCT(--('Repartition stock'!$A$6:$A$423="2026Q3"),--('Repartition stock'!$B$6:$B$423="IT"),--('Repartition stock'!$E$6:$E$423="Tranche"),--('Repartition stock'!$F$6:$F$423="10 - 100 €"))=0,SUMPRODUCT(--('Repartition stock'!$A$6:$A$423="2026Q3"),--('Repartition stock'!$B$6:$B$423="IT"),--('Repartition stock'!$E$6:$E$423="Tranche"),--('Repartition stock'!$F$6:$F$423="10 - 100 €"),--('Repartition stock'!$G$6:$G$423="n.d."))&gt;0),"n.d.",SUMPRODUCT(--('Repartition stock'!$A$6:$A$423="2026Q3"),--('Repartition stock'!$B$6:$B$423="IT"),--('Repartition stock'!$E$6:$E$423="Tranche"),--('Repartition stock'!$F$6:$F$423="10 - 100 €"),'Repartition stock'!$G$6:$G$423)))</f>
        <v>8710.0</v>
      </c>
      <c r="Y9" s="16"/>
      <c r="Z9" s="16">
        <f>IF((IF(OR(SUMPRODUCT(--('Repartition stock'!$A$6:$A$423="2026Q3"),--('Repartition stock'!$B$6:$B$423="IT"),--('Repartition stock'!$E$6:$E$423="Tranche"),--('Repartition stock'!$F$6:$F$423="10 - 100 €"))=0,SUMPRODUCT(--('Repartition stock'!$A$6:$A$423="2026Q3"),--('Repartition stock'!$B$6:$B$423="IT"),--('Repartition stock'!$E$6:$E$423="Tranche"),--('Repartition stock'!$F$6:$F$423="10 - 100 €"),--('Repartition stock'!$J$6:$J$423="n.d."))&gt;0),"n.d.",SUMPRODUCT(--('Repartition stock'!$A$6:$A$423="2026Q3"),--('Repartition stock'!$B$6:$B$423="IT"),--('Repartition stock'!$E$6:$E$423="Tranche"),--('Repartition stock'!$F$6:$F$423="10 - 100 €"),'Repartition stock'!$J$6:$J$423)))="n.d.",0,IF(OR(SUMPRODUCT(--('Repartition stock'!$A$6:$A$423="2026Q3"),--('Repartition stock'!$B$6:$B$423="IT"),--('Repartition stock'!$E$6:$E$423="Tranche"),--('Repartition stock'!$F$6:$F$423="10 - 100 €"))=0,SUMPRODUCT(--('Repartition stock'!$A$6:$A$423="2026Q3"),--('Repartition stock'!$B$6:$B$423="IT"),--('Repartition stock'!$E$6:$E$423="Tranche"),--('Repartition stock'!$F$6:$F$423="10 - 100 €"),--('Repartition stock'!$J$6:$J$423="n.d."))&gt;0),"n.d.",SUMPRODUCT(--('Repartition stock'!$A$6:$A$423="2026Q3"),--('Repartition stock'!$B$6:$B$423="IT"),--('Repartition stock'!$E$6:$E$423="Tranche"),--('Repartition stock'!$F$6:$F$423="10 - 100 €"),'Repartition stock'!$J$6:$J$423)))</f>
        <v>316895.0</v>
      </c>
      <c r="AA9" s="16"/>
      <c r="AB9" s="16"/>
      <c r="AC9" s="7">
        <f>IF((IF(OR(COUNT(X9,X12)&lt;&gt;2,X12=0),"n.d.",X9/X12))="n.d.",0,IF(OR(COUNT(X9,X12)&lt;&gt;2,X12=0),"n.d.",X9/X12))</f>
        <v>0.07914152794940757</v>
      </c>
      <c r="AD9" s="7"/>
      <c r="AE9" s="7">
        <f>IF((IF(OR(COUNT(Z9,Z12)&lt;&gt;2,Z12=0),"n.d.",Z9/Z12))="n.d.",0,IF(OR(COUNT(Z9,Z12)&lt;&gt;2,Z12=0),"n.d.",Z9/Z12))</f>
        <v>0.09227076729201553</v>
      </c>
      <c r="AF9" s="7"/>
    </row>
    <row r="10" spans="1:32" ht="13.5" customHeight="1">
      <c r="A10" s="12"/>
      <c r="R10" s="4"/>
      <c r="S10" s="4"/>
      <c r="T10" s="4"/>
      <c r="U10" s="15" t="s">
        <v>383</v>
      </c>
      <c r="V10" s="15"/>
      <c r="W10" s="15"/>
      <c r="X10" s="16">
        <f>IF((IF(OR(SUMPRODUCT(--('Repartition stock'!$A$6:$A$423="2026Q3"),--('Repartition stock'!$B$6:$B$423="IT"),--('Repartition stock'!$E$6:$E$423="Tranche"),--('Repartition stock'!$F$6:$F$423="100 - 1 000 €"))=0,SUMPRODUCT(--('Repartition stock'!$A$6:$A$423="2026Q3"),--('Repartition stock'!$B$6:$B$423="IT"),--('Repartition stock'!$E$6:$E$423="Tranche"),--('Repartition stock'!$F$6:$F$423="100 - 1 000 €"),--('Repartition stock'!$G$6:$G$423="n.d."))&gt;0),"n.d.",SUMPRODUCT(--('Repartition stock'!$A$6:$A$423="2026Q3"),--('Repartition stock'!$B$6:$B$423="IT"),--('Repartition stock'!$E$6:$E$423="Tranche"),--('Repartition stock'!$F$6:$F$423="100 - 1 000 €"),'Repartition stock'!$G$6:$G$423)))="n.d.",0,IF(OR(SUMPRODUCT(--('Repartition stock'!$A$6:$A$423="2026Q3"),--('Repartition stock'!$B$6:$B$423="IT"),--('Repartition stock'!$E$6:$E$423="Tranche"),--('Repartition stock'!$F$6:$F$423="100 - 1 000 €"))=0,SUMPRODUCT(--('Repartition stock'!$A$6:$A$423="2026Q3"),--('Repartition stock'!$B$6:$B$423="IT"),--('Repartition stock'!$E$6:$E$423="Tranche"),--('Repartition stock'!$F$6:$F$423="100 - 1 000 €"),--('Repartition stock'!$G$6:$G$423="n.d."))&gt;0),"n.d.",SUMPRODUCT(--('Repartition stock'!$A$6:$A$423="2026Q3"),--('Repartition stock'!$B$6:$B$423="IT"),--('Repartition stock'!$E$6:$E$423="Tranche"),--('Repartition stock'!$F$6:$F$423="100 - 1 000 €"),'Repartition stock'!$G$6:$G$423)))</f>
        <v>6783.0</v>
      </c>
      <c r="Y10" s="16"/>
      <c r="Z10" s="16">
        <f>IF((IF(OR(SUMPRODUCT(--('Repartition stock'!$A$6:$A$423="2026Q3"),--('Repartition stock'!$B$6:$B$423="IT"),--('Repartition stock'!$E$6:$E$423="Tranche"),--('Repartition stock'!$F$6:$F$423="100 - 1 000 €"))=0,SUMPRODUCT(--('Repartition stock'!$A$6:$A$423="2026Q3"),--('Repartition stock'!$B$6:$B$423="IT"),--('Repartition stock'!$E$6:$E$423="Tranche"),--('Repartition stock'!$F$6:$F$423="100 - 1 000 €"),--('Repartition stock'!$J$6:$J$423="n.d."))&gt;0),"n.d.",SUMPRODUCT(--('Repartition stock'!$A$6:$A$423="2026Q3"),--('Repartition stock'!$B$6:$B$423="IT"),--('Repartition stock'!$E$6:$E$423="Tranche"),--('Repartition stock'!$F$6:$F$423="100 - 1 000 €"),'Repartition stock'!$J$6:$J$423)))="n.d.",0,IF(OR(SUMPRODUCT(--('Repartition stock'!$A$6:$A$423="2026Q3"),--('Repartition stock'!$B$6:$B$423="IT"),--('Repartition stock'!$E$6:$E$423="Tranche"),--('Repartition stock'!$F$6:$F$423="100 - 1 000 €"))=0,SUMPRODUCT(--('Repartition stock'!$A$6:$A$423="2026Q3"),--('Repartition stock'!$B$6:$B$423="IT"),--('Repartition stock'!$E$6:$E$423="Tranche"),--('Repartition stock'!$F$6:$F$423="100 - 1 000 €"),--('Repartition stock'!$J$6:$J$423="n.d."))&gt;0),"n.d.",SUMPRODUCT(--('Repartition stock'!$A$6:$A$423="2026Q3"),--('Repartition stock'!$B$6:$B$423="IT"),--('Repartition stock'!$E$6:$E$423="Tranche"),--('Repartition stock'!$F$6:$F$423="100 - 1 000 €"),'Repartition stock'!$J$6:$J$423)))</f>
        <v>1951658.0</v>
      </c>
      <c r="AA10" s="16"/>
      <c r="AB10" s="16"/>
      <c r="AC10" s="7">
        <f>IF((IF(OR(COUNT(X10,X12)&lt;&gt;2,X12=0),"n.d.",X10/X12))="n.d.",0,IF(OR(COUNT(X10,X12)&lt;&gt;2,X12=0),"n.d.",X10/X12))</f>
        <v>0.06163225994039398</v>
      </c>
      <c r="AD10" s="7"/>
      <c r="AE10" s="7">
        <f>IF((IF(OR(COUNT(Z10,Z12)&lt;&gt;2,Z12=0),"n.d.",Z10/Z12))="n.d.",0,IF(OR(COUNT(Z10,Z12)&lt;&gt;2,Z12=0),"n.d.",Z10/Z12))</f>
        <v>0.5682670321450336</v>
      </c>
      <c r="AF10" s="7"/>
    </row>
    <row r="11" spans="1:32" ht="13.5" customHeight="1">
      <c r="A11" s="12"/>
      <c r="R11" s="4"/>
      <c r="S11" s="4"/>
      <c r="T11" s="4"/>
      <c r="U11" s="15" t="s">
        <v>385</v>
      </c>
      <c r="V11" s="15"/>
      <c r="W11" s="15"/>
      <c r="X11" s="16">
        <f>IF((IF(OR(SUMPRODUCT(--('Repartition stock'!$A$6:$A$423="2026Q3"),--('Repartition stock'!$B$6:$B$423="IT"),--('Repartition stock'!$E$6:$E$423="Tranche"),--('Repartition stock'!$F$6:$F$423="&gt; 1 000 €"))=0,SUMPRODUCT(--('Repartition stock'!$A$6:$A$423="2026Q3"),--('Repartition stock'!$B$6:$B$423="IT"),--('Repartition stock'!$E$6:$E$423="Tranche"),--('Repartition stock'!$F$6:$F$423="&gt; 1 000 €"),--('Repartition stock'!$G$6:$G$423="n.d."))&gt;0),"n.d.",SUMPRODUCT(--('Repartition stock'!$A$6:$A$423="2026Q3"),--('Repartition stock'!$B$6:$B$423="IT"),--('Repartition stock'!$E$6:$E$423="Tranche"),--('Repartition stock'!$F$6:$F$423="&gt; 1 000 €"),'Repartition stock'!$G$6:$G$423)))="n.d.",0,IF(OR(SUMPRODUCT(--('Repartition stock'!$A$6:$A$423="2026Q3"),--('Repartition stock'!$B$6:$B$423="IT"),--('Repartition stock'!$E$6:$E$423="Tranche"),--('Repartition stock'!$F$6:$F$423="&gt; 1 000 €"))=0,SUMPRODUCT(--('Repartition stock'!$A$6:$A$423="2026Q3"),--('Repartition stock'!$B$6:$B$423="IT"),--('Repartition stock'!$E$6:$E$423="Tranche"),--('Repartition stock'!$F$6:$F$423="&gt; 1 000 €"),--('Repartition stock'!$G$6:$G$423="n.d."))&gt;0),"n.d.",SUMPRODUCT(--('Repartition stock'!$A$6:$A$423="2026Q3"),--('Repartition stock'!$B$6:$B$423="IT"),--('Repartition stock'!$E$6:$E$423="Tranche"),--('Repartition stock'!$F$6:$F$423="&gt; 1 000 €"),'Repartition stock'!$G$6:$G$423)))</f>
        <v>381.0</v>
      </c>
      <c r="Y11" s="16"/>
      <c r="Z11" s="16">
        <f>IF((IF(OR(SUMPRODUCT(--('Repartition stock'!$A$6:$A$423="2026Q3"),--('Repartition stock'!$B$6:$B$423="IT"),--('Repartition stock'!$E$6:$E$423="Tranche"),--('Repartition stock'!$F$6:$F$423="&gt; 1 000 €"))=0,SUMPRODUCT(--('Repartition stock'!$A$6:$A$423="2026Q3"),--('Repartition stock'!$B$6:$B$423="IT"),--('Repartition stock'!$E$6:$E$423="Tranche"),--('Repartition stock'!$F$6:$F$423="&gt; 1 000 €"),--('Repartition stock'!$J$6:$J$423="n.d."))&gt;0),"n.d.",SUMPRODUCT(--('Repartition stock'!$A$6:$A$423="2026Q3"),--('Repartition stock'!$B$6:$B$423="IT"),--('Repartition stock'!$E$6:$E$423="Tranche"),--('Repartition stock'!$F$6:$F$423="&gt; 1 000 €"),'Repartition stock'!$J$6:$J$423)))="n.d.",0,IF(OR(SUMPRODUCT(--('Repartition stock'!$A$6:$A$423="2026Q3"),--('Repartition stock'!$B$6:$B$423="IT"),--('Repartition stock'!$E$6:$E$423="Tranche"),--('Repartition stock'!$F$6:$F$423="&gt; 1 000 €"))=0,SUMPRODUCT(--('Repartition stock'!$A$6:$A$423="2026Q3"),--('Repartition stock'!$B$6:$B$423="IT"),--('Repartition stock'!$E$6:$E$423="Tranche"),--('Repartition stock'!$F$6:$F$423="&gt; 1 000 €"),--('Repartition stock'!$J$6:$J$423="n.d."))&gt;0),"n.d.",SUMPRODUCT(--('Repartition stock'!$A$6:$A$423="2026Q3"),--('Repartition stock'!$B$6:$B$423="IT"),--('Repartition stock'!$E$6:$E$423="Tranche"),--('Repartition stock'!$F$6:$F$423="&gt; 1 000 €"),'Repartition stock'!$J$6:$J$423)))</f>
        <v>951062.0</v>
      </c>
      <c r="AA11" s="16"/>
      <c r="AB11" s="16"/>
      <c r="AC11" s="7">
        <f>IF((IF(OR(COUNT(X11,X12)&lt;&gt;2,X12=0),"n.d.",X11/X12))="n.d.",0,IF(OR(COUNT(X11,X12)&lt;&gt;2,X12=0),"n.d.",X11/X12))</f>
        <v>0.003461873955077415</v>
      </c>
      <c r="AD11" s="7"/>
      <c r="AE11" s="7">
        <f>IF((IF(OR(COUNT(Z11,Z12)&lt;&gt;2,Z12=0),"n.d.",Z11/Z12))="n.d.",0,IF(OR(COUNT(Z11,Z12)&lt;&gt;2,Z12=0),"n.d.",Z11/Z12))</f>
        <v>0.27692207350156633</v>
      </c>
      <c r="AF11" s="7"/>
    </row>
    <row r="12" spans="1:32" ht="13.5" customHeight="1">
      <c r="A12" s="12"/>
      <c r="R12" s="17" t="s">
        <v>3150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110056.0</v>
      </c>
      <c r="Y12" s="17"/>
      <c r="Z12" s="17">
        <f>IF((IF(COUNT(Z7:Z11)=5,SUM(Z7:Z11),"n.d."))="n.d.",0,IF(COUNT(Z7:Z11)=5,SUM(Z7:Z11),"n.d."))</f>
        <v>3434403.0</v>
      </c>
      <c r="AA12" s="17"/>
      <c r="AB12" s="17"/>
      <c r="AC12" s="9">
        <f>IF((IF(OR(NOT(ISNUMBER(X12)),X12=0),"n.d.",1))="n.d.",0,IF(OR(NOT(ISNUMBER(X12)),X12=0),"n.d.",1))</f>
        <v>1.0</v>
      </c>
      <c r="AD12" s="9"/>
      <c r="AE12" s="9">
        <f>IF((IF(OR(NOT(ISNUMBER(Z12)),Z12=0),"n.d.",1))="n.d.",0,IF(OR(NOT(ISNUMBER(Z12)),Z12=0),"n.d.",1))</f>
        <v>1.0</v>
      </c>
      <c r="AF12" s="9"/>
    </row>
    <row r="13" spans="1:32" ht="13.5" customHeight="1">
      <c r="A13" s="12"/>
    </row>
    <row r="14" spans="1:32" ht="13.5" customHeight="1">
      <c r="A14" s="12"/>
      <c r="R14" s="4" t="s">
        <v>3151</v>
      </c>
      <c r="S14" s="4"/>
      <c r="T14" s="4"/>
      <c r="U14" s="15" t="s">
        <v>387</v>
      </c>
      <c r="V14" s="15"/>
      <c r="W14" s="15"/>
      <c r="X14" s="16">
        <f>IF((IF(OR(SUMPRODUCT(--('Repartition stock'!$A$6:$A$423="2026Q3"),--('Repartition stock'!$B$6:$B$423="IT"),--('Repartition stock'!$E$6:$E$423="Millésime"),--('Repartition stock'!$F$6:$F$423="&lt;2018"))=0,SUMPRODUCT(--('Repartition stock'!$A$6:$A$423="2026Q3"),--('Repartition stock'!$B$6:$B$423="IT"),--('Repartition stock'!$E$6:$E$423="Millésime"),--('Repartition stock'!$F$6:$F$423="&lt;2018"),--('Repartition stock'!$G$6:$G$423="n.d."))&gt;0),"n.d.",SUMPRODUCT(--('Repartition stock'!$A$6:$A$423="2026Q3"),--('Repartition stock'!$B$6:$B$423="IT"),--('Repartition stock'!$E$6:$E$423="Millésime"),--('Repartition stock'!$F$6:$F$423="&lt;2018"),'Repartition stock'!$G$6:$G$423)))="n.d.",0,IF(OR(SUMPRODUCT(--('Repartition stock'!$A$6:$A$423="2026Q3"),--('Repartition stock'!$B$6:$B$423="IT"),--('Repartition stock'!$E$6:$E$423="Millésime"),--('Repartition stock'!$F$6:$F$423="&lt;2018"))=0,SUMPRODUCT(--('Repartition stock'!$A$6:$A$423="2026Q3"),--('Repartition stock'!$B$6:$B$423="IT"),--('Repartition stock'!$E$6:$E$423="Millésime"),--('Repartition stock'!$F$6:$F$423="&lt;2018"),--('Repartition stock'!$G$6:$G$423="n.d."))&gt;0),"n.d.",SUMPRODUCT(--('Repartition stock'!$A$6:$A$423="2026Q3"),--('Repartition stock'!$B$6:$B$423="IT"),--('Repartition stock'!$E$6:$E$423="Millésime"),--('Repartition stock'!$F$6:$F$423="&lt;2018"),'Repartition stock'!$G$6:$G$423)))</f>
        <v>8232.0</v>
      </c>
      <c r="Y14" s="16"/>
      <c r="Z14" s="16">
        <f>IF((IF(OR(SUMPRODUCT(--('Repartition stock'!$A$6:$A$423="2026Q3"),--('Repartition stock'!$B$6:$B$423="IT"),--('Repartition stock'!$E$6:$E$423="Millésime"),--('Repartition stock'!$F$6:$F$423="&lt;2018"))=0,SUMPRODUCT(--('Repartition stock'!$A$6:$A$423="2026Q3"),--('Repartition stock'!$B$6:$B$423="IT"),--('Repartition stock'!$E$6:$E$423="Millésime"),--('Repartition stock'!$F$6:$F$423="&lt;2018"),--('Repartition stock'!$J$6:$J$423="n.d."))&gt;0),"n.d.",SUMPRODUCT(--('Repartition stock'!$A$6:$A$423="2026Q3"),--('Repartition stock'!$B$6:$B$423="IT"),--('Repartition stock'!$E$6:$E$423="Millésime"),--('Repartition stock'!$F$6:$F$423="&lt;2018"),'Repartition stock'!$J$6:$J$423)))="n.d.",0,IF(OR(SUMPRODUCT(--('Repartition stock'!$A$6:$A$423="2026Q3"),--('Repartition stock'!$B$6:$B$423="IT"),--('Repartition stock'!$E$6:$E$423="Millésime"),--('Repartition stock'!$F$6:$F$423="&lt;2018"))=0,SUMPRODUCT(--('Repartition stock'!$A$6:$A$423="2026Q3"),--('Repartition stock'!$B$6:$B$423="IT"),--('Repartition stock'!$E$6:$E$423="Millésime"),--('Repartition stock'!$F$6:$F$423="&lt;2018"),--('Repartition stock'!$J$6:$J$423="n.d."))&gt;0),"n.d.",SUMPRODUCT(--('Repartition stock'!$A$6:$A$423="2026Q3"),--('Repartition stock'!$B$6:$B$423="IT"),--('Repartition stock'!$E$6:$E$423="Millésime"),--('Repartition stock'!$F$6:$F$423="&lt;2018"),'Repartition stock'!$J$6:$J$423)))</f>
        <v>527322.0</v>
      </c>
      <c r="AA14" s="16"/>
      <c r="AB14" s="16"/>
      <c r="AC14" s="7">
        <f>IF((IF(OR(COUNT(X14,X24)&lt;&gt;2,X24=0),"n.d.",X14/X24))="n.d.",0,IF(OR(COUNT(X14,X24)&lt;&gt;2,X24=0),"n.d.",X14/X24))</f>
        <v>0.07479828450970415</v>
      </c>
      <c r="AD14" s="7"/>
      <c r="AE14" s="7">
        <f>IF((IF(OR(COUNT(Z14,Z24)&lt;&gt;2,Z24=0),"n.d.",Z14/Z24))="n.d.",0,IF(OR(COUNT(Z14,Z24)&lt;&gt;2,Z24=0),"n.d.",Z14/Z24))</f>
        <v>0.15354114049549236</v>
      </c>
      <c r="AF14" s="7"/>
    </row>
    <row r="15" spans="1:32" ht="13.5" customHeight="1">
      <c r="A15" s="12"/>
      <c r="R15" s="4"/>
      <c r="S15" s="4"/>
      <c r="T15" s="4"/>
      <c r="U15" s="15" t="s">
        <v>389</v>
      </c>
      <c r="V15" s="15"/>
      <c r="W15" s="15"/>
      <c r="X15" s="16">
        <f>IF((IF(OR(SUMPRODUCT(--('Repartition stock'!$A$6:$A$423="2026Q3"),--('Repartition stock'!$B$6:$B$423="IT"),--('Repartition stock'!$E$6:$E$423="Millésime"),--('Repartition stock'!$F$6:$F$423="2018"))=0,SUMPRODUCT(--('Repartition stock'!$A$6:$A$423="2026Q3"),--('Repartition stock'!$B$6:$B$423="IT"),--('Repartition stock'!$E$6:$E$423="Millésime"),--('Repartition stock'!$F$6:$F$423="2018"),--('Repartition stock'!$G$6:$G$423="n.d."))&gt;0),"n.d.",SUMPRODUCT(--('Repartition stock'!$A$6:$A$423="2026Q3"),--('Repartition stock'!$B$6:$B$423="IT"),--('Repartition stock'!$E$6:$E$423="Millésime"),--('Repartition stock'!$F$6:$F$423="2018"),'Repartition stock'!$G$6:$G$423)))="n.d.",0,IF(OR(SUMPRODUCT(--('Repartition stock'!$A$6:$A$423="2026Q3"),--('Repartition stock'!$B$6:$B$423="IT"),--('Repartition stock'!$E$6:$E$423="Millésime"),--('Repartition stock'!$F$6:$F$423="2018"))=0,SUMPRODUCT(--('Repartition stock'!$A$6:$A$423="2026Q3"),--('Repartition stock'!$B$6:$B$423="IT"),--('Repartition stock'!$E$6:$E$423="Millésime"),--('Repartition stock'!$F$6:$F$423="2018"),--('Repartition stock'!$G$6:$G$423="n.d."))&gt;0),"n.d.",SUMPRODUCT(--('Repartition stock'!$A$6:$A$423="2026Q3"),--('Repartition stock'!$B$6:$B$423="IT"),--('Repartition stock'!$E$6:$E$423="Millésime"),--('Repartition stock'!$F$6:$F$423="2018"),'Repartition stock'!$G$6:$G$423)))</f>
        <v>6189.0</v>
      </c>
      <c r="Y15" s="16"/>
      <c r="Z15" s="16">
        <f>IF((IF(OR(SUMPRODUCT(--('Repartition stock'!$A$6:$A$423="2026Q3"),--('Repartition stock'!$B$6:$B$423="IT"),--('Repartition stock'!$E$6:$E$423="Millésime"),--('Repartition stock'!$F$6:$F$423="2018"))=0,SUMPRODUCT(--('Repartition stock'!$A$6:$A$423="2026Q3"),--('Repartition stock'!$B$6:$B$423="IT"),--('Repartition stock'!$E$6:$E$423="Millésime"),--('Repartition stock'!$F$6:$F$423="2018"),--('Repartition stock'!$J$6:$J$423="n.d."))&gt;0),"n.d.",SUMPRODUCT(--('Repartition stock'!$A$6:$A$423="2026Q3"),--('Repartition stock'!$B$6:$B$423="IT"),--('Repartition stock'!$E$6:$E$423="Millésime"),--('Repartition stock'!$F$6:$F$423="2018"),'Repartition stock'!$J$6:$J$423)))="n.d.",0,IF(OR(SUMPRODUCT(--('Repartition stock'!$A$6:$A$423="2026Q3"),--('Repartition stock'!$B$6:$B$423="IT"),--('Repartition stock'!$E$6:$E$423="Millésime"),--('Repartition stock'!$F$6:$F$423="2018"))=0,SUMPRODUCT(--('Repartition stock'!$A$6:$A$423="2026Q3"),--('Repartition stock'!$B$6:$B$423="IT"),--('Repartition stock'!$E$6:$E$423="Millésime"),--('Repartition stock'!$F$6:$F$423="2018"),--('Repartition stock'!$J$6:$J$423="n.d."))&gt;0),"n.d.",SUMPRODUCT(--('Repartition stock'!$A$6:$A$423="2026Q3"),--('Repartition stock'!$B$6:$B$423="IT"),--('Repartition stock'!$E$6:$E$423="Millésime"),--('Repartition stock'!$F$6:$F$423="2018"),'Repartition stock'!$J$6:$J$423)))</f>
        <v>112535.0</v>
      </c>
      <c r="AA15" s="16"/>
      <c r="AB15" s="16"/>
      <c r="AC15" s="7">
        <f>IF((IF(OR(COUNT(X15,X24)&lt;&gt;2,X24=0),"n.d.",X15/X24))="n.d.",0,IF(OR(COUNT(X15,X24)&lt;&gt;2,X24=0),"n.d.",X15/X24))</f>
        <v>0.05623500763247801</v>
      </c>
      <c r="AD15" s="7"/>
      <c r="AE15" s="7">
        <f>IF((IF(OR(COUNT(Z15,Z24)&lt;&gt;2,Z24=0),"n.d.",Z15/Z24))="n.d.",0,IF(OR(COUNT(Z15,Z24)&lt;&gt;2,Z24=0),"n.d.",Z15/Z24))</f>
        <v>0.03276698534417345</v>
      </c>
      <c r="AF15" s="7"/>
    </row>
    <row r="16" spans="1:32" ht="13.5" customHeight="1">
      <c r="A16" s="12"/>
      <c r="R16" s="4"/>
      <c r="S16" s="4"/>
      <c r="T16" s="4"/>
      <c r="U16" s="15" t="s">
        <v>391</v>
      </c>
      <c r="V16" s="15"/>
      <c r="W16" s="15"/>
      <c r="X16" s="16">
        <f>IF((IF(OR(SUMPRODUCT(--('Repartition stock'!$A$6:$A$423="2026Q3"),--('Repartition stock'!$B$6:$B$423="IT"),--('Repartition stock'!$E$6:$E$423="Millésime"),--('Repartition stock'!$F$6:$F$423="2019"))=0,SUMPRODUCT(--('Repartition stock'!$A$6:$A$423="2026Q3"),--('Repartition stock'!$B$6:$B$423="IT"),--('Repartition stock'!$E$6:$E$423="Millésime"),--('Repartition stock'!$F$6:$F$423="2019"),--('Repartition stock'!$G$6:$G$423="n.d."))&gt;0),"n.d.",SUMPRODUCT(--('Repartition stock'!$A$6:$A$423="2026Q3"),--('Repartition stock'!$B$6:$B$423="IT"),--('Repartition stock'!$E$6:$E$423="Millésime"),--('Repartition stock'!$F$6:$F$423="2019"),'Repartition stock'!$G$6:$G$423)))="n.d.",0,IF(OR(SUMPRODUCT(--('Repartition stock'!$A$6:$A$423="2026Q3"),--('Repartition stock'!$B$6:$B$423="IT"),--('Repartition stock'!$E$6:$E$423="Millésime"),--('Repartition stock'!$F$6:$F$423="2019"))=0,SUMPRODUCT(--('Repartition stock'!$A$6:$A$423="2026Q3"),--('Repartition stock'!$B$6:$B$423="IT"),--('Repartition stock'!$E$6:$E$423="Millésime"),--('Repartition stock'!$F$6:$F$423="2019"),--('Repartition stock'!$G$6:$G$423="n.d."))&gt;0),"n.d.",SUMPRODUCT(--('Repartition stock'!$A$6:$A$423="2026Q3"),--('Repartition stock'!$B$6:$B$423="IT"),--('Repartition stock'!$E$6:$E$423="Millésime"),--('Repartition stock'!$F$6:$F$423="2019"),'Repartition stock'!$G$6:$G$423)))</f>
        <v>15718.0</v>
      </c>
      <c r="Y16" s="16"/>
      <c r="Z16" s="16">
        <f>IF((IF(OR(SUMPRODUCT(--('Repartition stock'!$A$6:$A$423="2026Q3"),--('Repartition stock'!$B$6:$B$423="IT"),--('Repartition stock'!$E$6:$E$423="Millésime"),--('Repartition stock'!$F$6:$F$423="2019"))=0,SUMPRODUCT(--('Repartition stock'!$A$6:$A$423="2026Q3"),--('Repartition stock'!$B$6:$B$423="IT"),--('Repartition stock'!$E$6:$E$423="Millésime"),--('Repartition stock'!$F$6:$F$423="2019"),--('Repartition stock'!$J$6:$J$423="n.d."))&gt;0),"n.d.",SUMPRODUCT(--('Repartition stock'!$A$6:$A$423="2026Q3"),--('Repartition stock'!$B$6:$B$423="IT"),--('Repartition stock'!$E$6:$E$423="Millésime"),--('Repartition stock'!$F$6:$F$423="2019"),'Repartition stock'!$J$6:$J$423)))="n.d.",0,IF(OR(SUMPRODUCT(--('Repartition stock'!$A$6:$A$423="2026Q3"),--('Repartition stock'!$B$6:$B$423="IT"),--('Repartition stock'!$E$6:$E$423="Millésime"),--('Repartition stock'!$F$6:$F$423="2019"))=0,SUMPRODUCT(--('Repartition stock'!$A$6:$A$423="2026Q3"),--('Repartition stock'!$B$6:$B$423="IT"),--('Repartition stock'!$E$6:$E$423="Millésime"),--('Repartition stock'!$F$6:$F$423="2019"),--('Repartition stock'!$J$6:$J$423="n.d."))&gt;0),"n.d.",SUMPRODUCT(--('Repartition stock'!$A$6:$A$423="2026Q3"),--('Repartition stock'!$B$6:$B$423="IT"),--('Repartition stock'!$E$6:$E$423="Millésime"),--('Repartition stock'!$F$6:$F$423="2019"),'Repartition stock'!$J$6:$J$423)))</f>
        <v>169399.0</v>
      </c>
      <c r="AA16" s="16"/>
      <c r="AB16" s="16"/>
      <c r="AC16" s="7">
        <f>IF((IF(OR(COUNT(X16,X24)&lt;&gt;2,X24=0),"n.d.",X16/X24))="n.d.",0,IF(OR(COUNT(X16,X24)&lt;&gt;2,X24=0),"n.d.",X16/X24))</f>
        <v>0.14281820164280004</v>
      </c>
      <c r="AD16" s="7"/>
      <c r="AE16" s="7">
        <f>IF((IF(OR(COUNT(Z16,Z24)&lt;&gt;2,Z24=0),"n.d.",Z16/Z24))="n.d.",0,IF(OR(COUNT(Z16,Z24)&lt;&gt;2,Z24=0),"n.d.",Z16/Z24))</f>
        <v>0.04932416181914639</v>
      </c>
      <c r="AF16" s="7"/>
    </row>
    <row r="17" spans="1:32" ht="13.5" customHeight="1">
      <c r="A17" s="12"/>
      <c r="R17" s="4"/>
      <c r="S17" s="4"/>
      <c r="T17" s="4"/>
      <c r="U17" s="15" t="s">
        <v>393</v>
      </c>
      <c r="V17" s="15"/>
      <c r="W17" s="15"/>
      <c r="X17" s="16">
        <f>IF((IF(OR(SUMPRODUCT(--('Repartition stock'!$A$6:$A$423="2026Q3"),--('Repartition stock'!$B$6:$B$423="IT"),--('Repartition stock'!$E$6:$E$423="Millésime"),--('Repartition stock'!$F$6:$F$423="2020"))=0,SUMPRODUCT(--('Repartition stock'!$A$6:$A$423="2026Q3"),--('Repartition stock'!$B$6:$B$423="IT"),--('Repartition stock'!$E$6:$E$423="Millésime"),--('Repartition stock'!$F$6:$F$423="2020"),--('Repartition stock'!$G$6:$G$423="n.d."))&gt;0),"n.d.",SUMPRODUCT(--('Repartition stock'!$A$6:$A$423="2026Q3"),--('Repartition stock'!$B$6:$B$423="IT"),--('Repartition stock'!$E$6:$E$423="Millésime"),--('Repartition stock'!$F$6:$F$423="2020"),'Repartition stock'!$G$6:$G$423)))="n.d.",0,IF(OR(SUMPRODUCT(--('Repartition stock'!$A$6:$A$423="2026Q3"),--('Repartition stock'!$B$6:$B$423="IT"),--('Repartition stock'!$E$6:$E$423="Millésime"),--('Repartition stock'!$F$6:$F$423="2020"))=0,SUMPRODUCT(--('Repartition stock'!$A$6:$A$423="2026Q3"),--('Repartition stock'!$B$6:$B$423="IT"),--('Repartition stock'!$E$6:$E$423="Millésime"),--('Repartition stock'!$F$6:$F$423="2020"),--('Repartition stock'!$G$6:$G$423="n.d."))&gt;0),"n.d.",SUMPRODUCT(--('Repartition stock'!$A$6:$A$423="2026Q3"),--('Repartition stock'!$B$6:$B$423="IT"),--('Repartition stock'!$E$6:$E$423="Millésime"),--('Repartition stock'!$F$6:$F$423="2020"),'Repartition stock'!$G$6:$G$423)))</f>
        <v>15750.0</v>
      </c>
      <c r="Y17" s="16"/>
      <c r="Z17" s="16">
        <f>IF((IF(OR(SUMPRODUCT(--('Repartition stock'!$A$6:$A$423="2026Q3"),--('Repartition stock'!$B$6:$B$423="IT"),--('Repartition stock'!$E$6:$E$423="Millésime"),--('Repartition stock'!$F$6:$F$423="2020"))=0,SUMPRODUCT(--('Repartition stock'!$A$6:$A$423="2026Q3"),--('Repartition stock'!$B$6:$B$423="IT"),--('Repartition stock'!$E$6:$E$423="Millésime"),--('Repartition stock'!$F$6:$F$423="2020"),--('Repartition stock'!$J$6:$J$423="n.d."))&gt;0),"n.d.",SUMPRODUCT(--('Repartition stock'!$A$6:$A$423="2026Q3"),--('Repartition stock'!$B$6:$B$423="IT"),--('Repartition stock'!$E$6:$E$423="Millésime"),--('Repartition stock'!$F$6:$F$423="2020"),'Repartition stock'!$J$6:$J$423)))="n.d.",0,IF(OR(SUMPRODUCT(--('Repartition stock'!$A$6:$A$423="2026Q3"),--('Repartition stock'!$B$6:$B$423="IT"),--('Repartition stock'!$E$6:$E$423="Millésime"),--('Repartition stock'!$F$6:$F$423="2020"))=0,SUMPRODUCT(--('Repartition stock'!$A$6:$A$423="2026Q3"),--('Repartition stock'!$B$6:$B$423="IT"),--('Repartition stock'!$E$6:$E$423="Millésime"),--('Repartition stock'!$F$6:$F$423="2020"),--('Repartition stock'!$J$6:$J$423="n.d."))&gt;0),"n.d.",SUMPRODUCT(--('Repartition stock'!$A$6:$A$423="2026Q3"),--('Repartition stock'!$B$6:$B$423="IT"),--('Repartition stock'!$E$6:$E$423="Millésime"),--('Repartition stock'!$F$6:$F$423="2020"),'Repartition stock'!$J$6:$J$423)))</f>
        <v>197087.0</v>
      </c>
      <c r="AA17" s="16"/>
      <c r="AB17" s="16"/>
      <c r="AC17" s="7">
        <f>IF((IF(OR(COUNT(X17,X24)&lt;&gt;2,X24=0),"n.d.",X17/X24))="n.d.",0,IF(OR(COUNT(X17,X24)&lt;&gt;2,X24=0),"n.d.",X17/X24))</f>
        <v>0.14310896270989315</v>
      </c>
      <c r="AD17" s="7"/>
      <c r="AE17" s="7">
        <f>IF((IF(OR(COUNT(Z17,Z24)&lt;&gt;2,Z24=0),"n.d.",Z17/Z24))="n.d.",0,IF(OR(COUNT(Z17,Z24)&lt;&gt;2,Z24=0),"n.d.",Z17/Z24))</f>
        <v>0.05738611845672114</v>
      </c>
      <c r="AF17" s="7"/>
    </row>
    <row r="18" spans="1:32" ht="13.5" customHeight="1">
      <c r="A18" s="12"/>
      <c r="R18" s="4"/>
      <c r="S18" s="4"/>
      <c r="T18" s="4"/>
      <c r="U18" s="15" t="s">
        <v>395</v>
      </c>
      <c r="V18" s="15"/>
      <c r="W18" s="15"/>
      <c r="X18" s="16">
        <f>IF((IF(OR(SUMPRODUCT(--('Repartition stock'!$A$6:$A$423="2026Q3"),--('Repartition stock'!$B$6:$B$423="IT"),--('Repartition stock'!$E$6:$E$423="Millésime"),--('Repartition stock'!$F$6:$F$423="2021"))=0,SUMPRODUCT(--('Repartition stock'!$A$6:$A$423="2026Q3"),--('Repartition stock'!$B$6:$B$423="IT"),--('Repartition stock'!$E$6:$E$423="Millésime"),--('Repartition stock'!$F$6:$F$423="2021"),--('Repartition stock'!$G$6:$G$423="n.d."))&gt;0),"n.d.",SUMPRODUCT(--('Repartition stock'!$A$6:$A$423="2026Q3"),--('Repartition stock'!$B$6:$B$423="IT"),--('Repartition stock'!$E$6:$E$423="Millésime"),--('Repartition stock'!$F$6:$F$423="2021"),'Repartition stock'!$G$6:$G$423)))="n.d.",0,IF(OR(SUMPRODUCT(--('Repartition stock'!$A$6:$A$423="2026Q3"),--('Repartition stock'!$B$6:$B$423="IT"),--('Repartition stock'!$E$6:$E$423="Millésime"),--('Repartition stock'!$F$6:$F$423="2021"))=0,SUMPRODUCT(--('Repartition stock'!$A$6:$A$423="2026Q3"),--('Repartition stock'!$B$6:$B$423="IT"),--('Repartition stock'!$E$6:$E$423="Millésime"),--('Repartition stock'!$F$6:$F$423="2021"),--('Repartition stock'!$G$6:$G$423="n.d."))&gt;0),"n.d.",SUMPRODUCT(--('Repartition stock'!$A$6:$A$423="2026Q3"),--('Repartition stock'!$B$6:$B$423="IT"),--('Repartition stock'!$E$6:$E$423="Millésime"),--('Repartition stock'!$F$6:$F$423="2021"),'Repartition stock'!$G$6:$G$423)))</f>
        <v>12911.0</v>
      </c>
      <c r="Y18" s="16"/>
      <c r="Z18" s="16">
        <f>IF((IF(OR(SUMPRODUCT(--('Repartition stock'!$A$6:$A$423="2026Q3"),--('Repartition stock'!$B$6:$B$423="IT"),--('Repartition stock'!$E$6:$E$423="Millésime"),--('Repartition stock'!$F$6:$F$423="2021"))=0,SUMPRODUCT(--('Repartition stock'!$A$6:$A$423="2026Q3"),--('Repartition stock'!$B$6:$B$423="IT"),--('Repartition stock'!$E$6:$E$423="Millésime"),--('Repartition stock'!$F$6:$F$423="2021"),--('Repartition stock'!$J$6:$J$423="n.d."))&gt;0),"n.d.",SUMPRODUCT(--('Repartition stock'!$A$6:$A$423="2026Q3"),--('Repartition stock'!$B$6:$B$423="IT"),--('Repartition stock'!$E$6:$E$423="Millésime"),--('Repartition stock'!$F$6:$F$423="2021"),'Repartition stock'!$J$6:$J$423)))="n.d.",0,IF(OR(SUMPRODUCT(--('Repartition stock'!$A$6:$A$423="2026Q3"),--('Repartition stock'!$B$6:$B$423="IT"),--('Repartition stock'!$E$6:$E$423="Millésime"),--('Repartition stock'!$F$6:$F$423="2021"))=0,SUMPRODUCT(--('Repartition stock'!$A$6:$A$423="2026Q3"),--('Repartition stock'!$B$6:$B$423="IT"),--('Repartition stock'!$E$6:$E$423="Millésime"),--('Repartition stock'!$F$6:$F$423="2021"),--('Repartition stock'!$J$6:$J$423="n.d."))&gt;0),"n.d.",SUMPRODUCT(--('Repartition stock'!$A$6:$A$423="2026Q3"),--('Repartition stock'!$B$6:$B$423="IT"),--('Repartition stock'!$E$6:$E$423="Millésime"),--('Repartition stock'!$F$6:$F$423="2021"),'Repartition stock'!$J$6:$J$423)))</f>
        <v>151747.0</v>
      </c>
      <c r="AA18" s="16"/>
      <c r="AB18" s="16"/>
      <c r="AC18" s="7">
        <f>IF((IF(OR(COUNT(X18,X24)&lt;&gt;2,X24=0),"n.d.",X18/X24))="n.d.",0,IF(OR(COUNT(X18,X24)&lt;&gt;2,X24=0),"n.d.",X18/X24))</f>
        <v>0.11731300428872574</v>
      </c>
      <c r="AD18" s="7"/>
      <c r="AE18" s="7">
        <f>IF((IF(OR(COUNT(Z18,Z24)&lt;&gt;2,Z24=0),"n.d.",Z18/Z24))="n.d.",0,IF(OR(COUNT(Z18,Z24)&lt;&gt;2,Z24=0),"n.d.",Z18/Z24))</f>
        <v>0.04418440240833776</v>
      </c>
      <c r="AF18" s="7"/>
    </row>
    <row r="19" spans="1:32" ht="13.5" customHeight="1">
      <c r="A19" s="12"/>
      <c r="R19" s="4"/>
      <c r="S19" s="4"/>
      <c r="T19" s="4"/>
      <c r="U19" s="15" t="s">
        <v>397</v>
      </c>
      <c r="V19" s="15"/>
      <c r="W19" s="15"/>
      <c r="X19" s="16">
        <f>IF((IF(OR(SUMPRODUCT(--('Repartition stock'!$A$6:$A$423="2026Q3"),--('Repartition stock'!$B$6:$B$423="IT"),--('Repartition stock'!$E$6:$E$423="Millésime"),--('Repartition stock'!$F$6:$F$423="2022"))=0,SUMPRODUCT(--('Repartition stock'!$A$6:$A$423="2026Q3"),--('Repartition stock'!$B$6:$B$423="IT"),--('Repartition stock'!$E$6:$E$423="Millésime"),--('Repartition stock'!$F$6:$F$423="2022"),--('Repartition stock'!$G$6:$G$423="n.d."))&gt;0),"n.d.",SUMPRODUCT(--('Repartition stock'!$A$6:$A$423="2026Q3"),--('Repartition stock'!$B$6:$B$423="IT"),--('Repartition stock'!$E$6:$E$423="Millésime"),--('Repartition stock'!$F$6:$F$423="2022"),'Repartition stock'!$G$6:$G$423)))="n.d.",0,IF(OR(SUMPRODUCT(--('Repartition stock'!$A$6:$A$423="2026Q3"),--('Repartition stock'!$B$6:$B$423="IT"),--('Repartition stock'!$E$6:$E$423="Millésime"),--('Repartition stock'!$F$6:$F$423="2022"))=0,SUMPRODUCT(--('Repartition stock'!$A$6:$A$423="2026Q3"),--('Repartition stock'!$B$6:$B$423="IT"),--('Repartition stock'!$E$6:$E$423="Millésime"),--('Repartition stock'!$F$6:$F$423="2022"),--('Repartition stock'!$G$6:$G$423="n.d."))&gt;0),"n.d.",SUMPRODUCT(--('Repartition stock'!$A$6:$A$423="2026Q3"),--('Repartition stock'!$B$6:$B$423="IT"),--('Repartition stock'!$E$6:$E$423="Millésime"),--('Repartition stock'!$F$6:$F$423="2022"),'Repartition stock'!$G$6:$G$423)))</f>
        <v>10802.0</v>
      </c>
      <c r="Y19" s="16"/>
      <c r="Z19" s="16">
        <f>IF((IF(OR(SUMPRODUCT(--('Repartition stock'!$A$6:$A$423="2026Q3"),--('Repartition stock'!$B$6:$B$423="IT"),--('Repartition stock'!$E$6:$E$423="Millésime"),--('Repartition stock'!$F$6:$F$423="2022"))=0,SUMPRODUCT(--('Repartition stock'!$A$6:$A$423="2026Q3"),--('Repartition stock'!$B$6:$B$423="IT"),--('Repartition stock'!$E$6:$E$423="Millésime"),--('Repartition stock'!$F$6:$F$423="2022"),--('Repartition stock'!$J$6:$J$423="n.d."))&gt;0),"n.d.",SUMPRODUCT(--('Repartition stock'!$A$6:$A$423="2026Q3"),--('Repartition stock'!$B$6:$B$423="IT"),--('Repartition stock'!$E$6:$E$423="Millésime"),--('Repartition stock'!$F$6:$F$423="2022"),'Repartition stock'!$J$6:$J$423)))="n.d.",0,IF(OR(SUMPRODUCT(--('Repartition stock'!$A$6:$A$423="2026Q3"),--('Repartition stock'!$B$6:$B$423="IT"),--('Repartition stock'!$E$6:$E$423="Millésime"),--('Repartition stock'!$F$6:$F$423="2022"))=0,SUMPRODUCT(--('Repartition stock'!$A$6:$A$423="2026Q3"),--('Repartition stock'!$B$6:$B$423="IT"),--('Repartition stock'!$E$6:$E$423="Millésime"),--('Repartition stock'!$F$6:$F$423="2022"),--('Repartition stock'!$J$6:$J$423="n.d."))&gt;0),"n.d.",SUMPRODUCT(--('Repartition stock'!$A$6:$A$423="2026Q3"),--('Repartition stock'!$B$6:$B$423="IT"),--('Repartition stock'!$E$6:$E$423="Millésime"),--('Repartition stock'!$F$6:$F$423="2022"),'Repartition stock'!$J$6:$J$423)))</f>
        <v>137964.0</v>
      </c>
      <c r="AA19" s="16"/>
      <c r="AB19" s="16"/>
      <c r="AC19" s="7">
        <f>IF((IF(OR(COUNT(X19,X24)&lt;&gt;2,X24=0),"n.d.",X19/X24))="n.d.",0,IF(OR(COUNT(X19,X24)&lt;&gt;2,X24=0),"n.d.",X19/X24))</f>
        <v>0.09815003271062005</v>
      </c>
      <c r="AD19" s="7"/>
      <c r="AE19" s="7">
        <f>IF((IF(OR(COUNT(Z19,Z24)&lt;&gt;2,Z24=0),"n.d.",Z19/Z24))="n.d.",0,IF(OR(COUNT(Z19,Z24)&lt;&gt;2,Z24=0),"n.d.",Z19/Z24))</f>
        <v>0.0401711855513711</v>
      </c>
      <c r="AF19" s="7"/>
    </row>
    <row r="20" spans="1:32" ht="13.5" customHeight="1">
      <c r="A20" s="12"/>
      <c r="R20" s="4"/>
      <c r="S20" s="4"/>
      <c r="T20" s="4"/>
      <c r="U20" s="15" t="s">
        <v>399</v>
      </c>
      <c r="V20" s="15"/>
      <c r="W20" s="15"/>
      <c r="X20" s="16">
        <f>IF((IF(OR(SUMPRODUCT(--('Repartition stock'!$A$6:$A$423="2026Q3"),--('Repartition stock'!$B$6:$B$423="IT"),--('Repartition stock'!$E$6:$E$423="Millésime"),--('Repartition stock'!$F$6:$F$423="2023"))=0,SUMPRODUCT(--('Repartition stock'!$A$6:$A$423="2026Q3"),--('Repartition stock'!$B$6:$B$423="IT"),--('Repartition stock'!$E$6:$E$423="Millésime"),--('Repartition stock'!$F$6:$F$423="2023"),--('Repartition stock'!$G$6:$G$423="n.d."))&gt;0),"n.d.",SUMPRODUCT(--('Repartition stock'!$A$6:$A$423="2026Q3"),--('Repartition stock'!$B$6:$B$423="IT"),--('Repartition stock'!$E$6:$E$423="Millésime"),--('Repartition stock'!$F$6:$F$423="2023"),'Repartition stock'!$G$6:$G$423)))="n.d.",0,IF(OR(SUMPRODUCT(--('Repartition stock'!$A$6:$A$423="2026Q3"),--('Repartition stock'!$B$6:$B$423="IT"),--('Repartition stock'!$E$6:$E$423="Millésime"),--('Repartition stock'!$F$6:$F$423="2023"))=0,SUMPRODUCT(--('Repartition stock'!$A$6:$A$423="2026Q3"),--('Repartition stock'!$B$6:$B$423="IT"),--('Repartition stock'!$E$6:$E$423="Millésime"),--('Repartition stock'!$F$6:$F$423="2023"),--('Repartition stock'!$G$6:$G$423="n.d."))&gt;0),"n.d.",SUMPRODUCT(--('Repartition stock'!$A$6:$A$423="2026Q3"),--('Repartition stock'!$B$6:$B$423="IT"),--('Repartition stock'!$E$6:$E$423="Millésime"),--('Repartition stock'!$F$6:$F$423="2023"),'Repartition stock'!$G$6:$G$423)))</f>
        <v>11891.0</v>
      </c>
      <c r="Y20" s="16"/>
      <c r="Z20" s="16">
        <f>IF((IF(OR(SUMPRODUCT(--('Repartition stock'!$A$6:$A$423="2026Q3"),--('Repartition stock'!$B$6:$B$423="IT"),--('Repartition stock'!$E$6:$E$423="Millésime"),--('Repartition stock'!$F$6:$F$423="2023"))=0,SUMPRODUCT(--('Repartition stock'!$A$6:$A$423="2026Q3"),--('Repartition stock'!$B$6:$B$423="IT"),--('Repartition stock'!$E$6:$E$423="Millésime"),--('Repartition stock'!$F$6:$F$423="2023"),--('Repartition stock'!$J$6:$J$423="n.d."))&gt;0),"n.d.",SUMPRODUCT(--('Repartition stock'!$A$6:$A$423="2026Q3"),--('Repartition stock'!$B$6:$B$423="IT"),--('Repartition stock'!$E$6:$E$423="Millésime"),--('Repartition stock'!$F$6:$F$423="2023"),'Repartition stock'!$J$6:$J$423)))="n.d.",0,IF(OR(SUMPRODUCT(--('Repartition stock'!$A$6:$A$423="2026Q3"),--('Repartition stock'!$B$6:$B$423="IT"),--('Repartition stock'!$E$6:$E$423="Millésime"),--('Repartition stock'!$F$6:$F$423="2023"))=0,SUMPRODUCT(--('Repartition stock'!$A$6:$A$423="2026Q3"),--('Repartition stock'!$B$6:$B$423="IT"),--('Repartition stock'!$E$6:$E$423="Millésime"),--('Repartition stock'!$F$6:$F$423="2023"),--('Repartition stock'!$J$6:$J$423="n.d."))&gt;0),"n.d.",SUMPRODUCT(--('Repartition stock'!$A$6:$A$423="2026Q3"),--('Repartition stock'!$B$6:$B$423="IT"),--('Repartition stock'!$E$6:$E$423="Millésime"),--('Repartition stock'!$F$6:$F$423="2023"),'Repartition stock'!$J$6:$J$423)))</f>
        <v>169085.0</v>
      </c>
      <c r="AA20" s="16"/>
      <c r="AB20" s="16"/>
      <c r="AC20" s="7">
        <f>IF((IF(OR(COUNT(X20,X24)&lt;&gt;2,X24=0),"n.d.",X20/X24))="n.d.",0,IF(OR(COUNT(X20,X24)&lt;&gt;2,X24=0),"n.d.",X20/X24))</f>
        <v>0.10804499527513266</v>
      </c>
      <c r="AD20" s="7"/>
      <c r="AE20" s="7">
        <f>IF((IF(OR(COUNT(Z20,Z24)&lt;&gt;2,Z24=0),"n.d.",Z20/Z24))="n.d.",0,IF(OR(COUNT(Z20,Z24)&lt;&gt;2,Z24=0),"n.d.",Z20/Z24))</f>
        <v>0.049232733966495475</v>
      </c>
      <c r="AF20" s="7"/>
    </row>
    <row r="21" spans="1:32" ht="13.5" customHeight="1">
      <c r="A21" s="12"/>
      <c r="R21" s="4"/>
      <c r="S21" s="4"/>
      <c r="T21" s="4"/>
      <c r="U21" s="15" t="s">
        <v>95</v>
      </c>
      <c r="V21" s="15"/>
      <c r="W21" s="15"/>
      <c r="X21" s="16">
        <f>IF((IF(OR(SUMPRODUCT(--('Repartition stock'!$A$6:$A$423="2026Q3"),--('Repartition stock'!$B$6:$B$423="IT"),--('Repartition stock'!$E$6:$E$423="Millésime"),--('Repartition stock'!$F$6:$F$423="2024"))=0,SUMPRODUCT(--('Repartition stock'!$A$6:$A$423="2026Q3"),--('Repartition stock'!$B$6:$B$423="IT"),--('Repartition stock'!$E$6:$E$423="Millésime"),--('Repartition stock'!$F$6:$F$423="2024"),--('Repartition stock'!$G$6:$G$423="n.d."))&gt;0),"n.d.",SUMPRODUCT(--('Repartition stock'!$A$6:$A$423="2026Q3"),--('Repartition stock'!$B$6:$B$423="IT"),--('Repartition stock'!$E$6:$E$423="Millésime"),--('Repartition stock'!$F$6:$F$423="2024"),'Repartition stock'!$G$6:$G$423)))="n.d.",0,IF(OR(SUMPRODUCT(--('Repartition stock'!$A$6:$A$423="2026Q3"),--('Repartition stock'!$B$6:$B$423="IT"),--('Repartition stock'!$E$6:$E$423="Millésime"),--('Repartition stock'!$F$6:$F$423="2024"))=0,SUMPRODUCT(--('Repartition stock'!$A$6:$A$423="2026Q3"),--('Repartition stock'!$B$6:$B$423="IT"),--('Repartition stock'!$E$6:$E$423="Millésime"),--('Repartition stock'!$F$6:$F$423="2024"),--('Repartition stock'!$G$6:$G$423="n.d."))&gt;0),"n.d.",SUMPRODUCT(--('Repartition stock'!$A$6:$A$423="2026Q3"),--('Repartition stock'!$B$6:$B$423="IT"),--('Repartition stock'!$E$6:$E$423="Millésime"),--('Repartition stock'!$F$6:$F$423="2024"),'Repartition stock'!$G$6:$G$423)))</f>
        <v>12689.0</v>
      </c>
      <c r="Y21" s="16"/>
      <c r="Z21" s="16">
        <f>IF((IF(OR(SUMPRODUCT(--('Repartition stock'!$A$6:$A$423="2026Q3"),--('Repartition stock'!$B$6:$B$423="IT"),--('Repartition stock'!$E$6:$E$423="Millésime"),--('Repartition stock'!$F$6:$F$423="2024"))=0,SUMPRODUCT(--('Repartition stock'!$A$6:$A$423="2026Q3"),--('Repartition stock'!$B$6:$B$423="IT"),--('Repartition stock'!$E$6:$E$423="Millésime"),--('Repartition stock'!$F$6:$F$423="2024"),--('Repartition stock'!$J$6:$J$423="n.d."))&gt;0),"n.d.",SUMPRODUCT(--('Repartition stock'!$A$6:$A$423="2026Q3"),--('Repartition stock'!$B$6:$B$423="IT"),--('Repartition stock'!$E$6:$E$423="Millésime"),--('Repartition stock'!$F$6:$F$423="2024"),'Repartition stock'!$J$6:$J$423)))="n.d.",0,IF(OR(SUMPRODUCT(--('Repartition stock'!$A$6:$A$423="2026Q3"),--('Repartition stock'!$B$6:$B$423="IT"),--('Repartition stock'!$E$6:$E$423="Millésime"),--('Repartition stock'!$F$6:$F$423="2024"))=0,SUMPRODUCT(--('Repartition stock'!$A$6:$A$423="2026Q3"),--('Repartition stock'!$B$6:$B$423="IT"),--('Repartition stock'!$E$6:$E$423="Millésime"),--('Repartition stock'!$F$6:$F$423="2024"),--('Repartition stock'!$J$6:$J$423="n.d."))&gt;0),"n.d.",SUMPRODUCT(--('Repartition stock'!$A$6:$A$423="2026Q3"),--('Repartition stock'!$B$6:$B$423="IT"),--('Repartition stock'!$E$6:$E$423="Millésime"),--('Repartition stock'!$F$6:$F$423="2024"),'Repartition stock'!$J$6:$J$423)))</f>
        <v>296076.0</v>
      </c>
      <c r="AA21" s="16"/>
      <c r="AB21" s="16"/>
      <c r="AC21" s="7">
        <f>IF((IF(OR(COUNT(X21,X24)&lt;&gt;2,X24=0),"n.d.",X21/X24))="n.d.",0,IF(OR(COUNT(X21,X24)&lt;&gt;2,X24=0),"n.d.",X21/X24))</f>
        <v>0.11529584938576724</v>
      </c>
      <c r="AD21" s="7"/>
      <c r="AE21" s="7">
        <f>IF((IF(OR(COUNT(Z21,Z24)&lt;&gt;2,Z24=0),"n.d.",Z21/Z24))="n.d.",0,IF(OR(COUNT(Z21,Z24)&lt;&gt;2,Z24=0),"n.d.",Z21/Z24))</f>
        <v>0.086208894590674</v>
      </c>
      <c r="AF21" s="7"/>
    </row>
    <row r="22" spans="1:32" ht="13.5" customHeight="1">
      <c r="A22" s="12"/>
      <c r="R22" s="4"/>
      <c r="S22" s="4"/>
      <c r="T22" s="4"/>
      <c r="U22" s="15" t="s">
        <v>53</v>
      </c>
      <c r="V22" s="15"/>
      <c r="W22" s="15"/>
      <c r="X22" s="16">
        <f>IF((IF(OR(SUMPRODUCT(--('Repartition stock'!$A$6:$A$423="2026Q3"),--('Repartition stock'!$B$6:$B$423="IT"),--('Repartition stock'!$E$6:$E$423="Millésime"),--('Repartition stock'!$F$6:$F$423="2025"))=0,SUMPRODUCT(--('Repartition stock'!$A$6:$A$423="2026Q3"),--('Repartition stock'!$B$6:$B$423="IT"),--('Repartition stock'!$E$6:$E$423="Millésime"),--('Repartition stock'!$F$6:$F$423="2025"),--('Repartition stock'!$G$6:$G$423="n.d."))&gt;0),"n.d.",SUMPRODUCT(--('Repartition stock'!$A$6:$A$423="2026Q3"),--('Repartition stock'!$B$6:$B$423="IT"),--('Repartition stock'!$E$6:$E$423="Millésime"),--('Repartition stock'!$F$6:$F$423="2025"),'Repartition stock'!$G$6:$G$423)))="n.d.",0,IF(OR(SUMPRODUCT(--('Repartition stock'!$A$6:$A$423="2026Q3"),--('Repartition stock'!$B$6:$B$423="IT"),--('Repartition stock'!$E$6:$E$423="Millésime"),--('Repartition stock'!$F$6:$F$423="2025"))=0,SUMPRODUCT(--('Repartition stock'!$A$6:$A$423="2026Q3"),--('Repartition stock'!$B$6:$B$423="IT"),--('Repartition stock'!$E$6:$E$423="Millésime"),--('Repartition stock'!$F$6:$F$423="2025"),--('Repartition stock'!$G$6:$G$423="n.d."))&gt;0),"n.d.",SUMPRODUCT(--('Repartition stock'!$A$6:$A$423="2026Q3"),--('Repartition stock'!$B$6:$B$423="IT"),--('Repartition stock'!$E$6:$E$423="Millésime"),--('Repartition stock'!$F$6:$F$423="2025"),'Repartition stock'!$G$6:$G$423)))</f>
        <v>7968.0</v>
      </c>
      <c r="Y22" s="16"/>
      <c r="Z22" s="16">
        <f>IF((IF(OR(SUMPRODUCT(--('Repartition stock'!$A$6:$A$423="2026Q3"),--('Repartition stock'!$B$6:$B$423="IT"),--('Repartition stock'!$E$6:$E$423="Millésime"),--('Repartition stock'!$F$6:$F$423="2025"))=0,SUMPRODUCT(--('Repartition stock'!$A$6:$A$423="2026Q3"),--('Repartition stock'!$B$6:$B$423="IT"),--('Repartition stock'!$E$6:$E$423="Millésime"),--('Repartition stock'!$F$6:$F$423="2025"),--('Repartition stock'!$J$6:$J$423="n.d."))&gt;0),"n.d.",SUMPRODUCT(--('Repartition stock'!$A$6:$A$423="2026Q3"),--('Repartition stock'!$B$6:$B$423="IT"),--('Repartition stock'!$E$6:$E$423="Millésime"),--('Repartition stock'!$F$6:$F$423="2025"),'Repartition stock'!$J$6:$J$423)))="n.d.",0,IF(OR(SUMPRODUCT(--('Repartition stock'!$A$6:$A$423="2026Q3"),--('Repartition stock'!$B$6:$B$423="IT"),--('Repartition stock'!$E$6:$E$423="Millésime"),--('Repartition stock'!$F$6:$F$423="2025"))=0,SUMPRODUCT(--('Repartition stock'!$A$6:$A$423="2026Q3"),--('Repartition stock'!$B$6:$B$423="IT"),--('Repartition stock'!$E$6:$E$423="Millésime"),--('Repartition stock'!$F$6:$F$423="2025"),--('Repartition stock'!$J$6:$J$423="n.d."))&gt;0),"n.d.",SUMPRODUCT(--('Repartition stock'!$A$6:$A$423="2026Q3"),--('Repartition stock'!$B$6:$B$423="IT"),--('Repartition stock'!$E$6:$E$423="Millésime"),--('Repartition stock'!$F$6:$F$423="2025"),'Repartition stock'!$J$6:$J$423)))</f>
        <v>339318.0</v>
      </c>
      <c r="AA22" s="16"/>
      <c r="AB22" s="16"/>
      <c r="AC22" s="7">
        <f>IF((IF(OR(COUNT(X22,X24)&lt;&gt;2,X24=0),"n.d.",X22/X24))="n.d.",0,IF(OR(COUNT(X22,X24)&lt;&gt;2,X24=0),"n.d.",X22/X24))</f>
        <v>0.07239950570618595</v>
      </c>
      <c r="AD22" s="7"/>
      <c r="AE22" s="7">
        <f>IF((IF(OR(COUNT(Z22,Z24)&lt;&gt;2,Z24=0),"n.d.",Z22/Z24))="n.d.",0,IF(OR(COUNT(Z22,Z24)&lt;&gt;2,Z24=0),"n.d.",Z22/Z24))</f>
        <v>0.09879973282102678</v>
      </c>
      <c r="AF22" s="7"/>
    </row>
    <row r="23" spans="1:32" ht="13.5" customHeight="1">
      <c r="A23" s="12"/>
      <c r="R23" s="4"/>
      <c r="S23" s="4"/>
      <c r="T23" s="4"/>
      <c r="U23" s="15" t="s">
        <v>55</v>
      </c>
      <c r="V23" s="15"/>
      <c r="W23" s="15"/>
      <c r="X23" s="16">
        <f>IF((IF(OR(SUMPRODUCT(--('Repartition stock'!$A$6:$A$423="2026Q3"),--('Repartition stock'!$B$6:$B$423="IT"),--('Repartition stock'!$E$6:$E$423="Millésime"),--('Repartition stock'!$F$6:$F$423="2026"))=0,SUMPRODUCT(--('Repartition stock'!$A$6:$A$423="2026Q3"),--('Repartition stock'!$B$6:$B$423="IT"),--('Repartition stock'!$E$6:$E$423="Millésime"),--('Repartition stock'!$F$6:$F$423="2026"),--('Repartition stock'!$G$6:$G$423="n.d."))&gt;0),"n.d.",SUMPRODUCT(--('Repartition stock'!$A$6:$A$423="2026Q3"),--('Repartition stock'!$B$6:$B$423="IT"),--('Repartition stock'!$E$6:$E$423="Millésime"),--('Repartition stock'!$F$6:$F$423="2026"),'Repartition stock'!$G$6:$G$423)))="n.d.",0,IF(OR(SUMPRODUCT(--('Repartition stock'!$A$6:$A$423="2026Q3"),--('Repartition stock'!$B$6:$B$423="IT"),--('Repartition stock'!$E$6:$E$423="Millésime"),--('Repartition stock'!$F$6:$F$423="2026"))=0,SUMPRODUCT(--('Repartition stock'!$A$6:$A$423="2026Q3"),--('Repartition stock'!$B$6:$B$423="IT"),--('Repartition stock'!$E$6:$E$423="Millésime"),--('Repartition stock'!$F$6:$F$423="2026"),--('Repartition stock'!$G$6:$G$423="n.d."))&gt;0),"n.d.",SUMPRODUCT(--('Repartition stock'!$A$6:$A$423="2026Q3"),--('Repartition stock'!$B$6:$B$423="IT"),--('Repartition stock'!$E$6:$E$423="Millésime"),--('Repartition stock'!$F$6:$F$423="2026"),'Repartition stock'!$G$6:$G$423)))</f>
        <v>7906.0</v>
      </c>
      <c r="Y23" s="16"/>
      <c r="Z23" s="16">
        <f>IF((IF(OR(SUMPRODUCT(--('Repartition stock'!$A$6:$A$423="2026Q3"),--('Repartition stock'!$B$6:$B$423="IT"),--('Repartition stock'!$E$6:$E$423="Millésime"),--('Repartition stock'!$F$6:$F$423="2026"))=0,SUMPRODUCT(--('Repartition stock'!$A$6:$A$423="2026Q3"),--('Repartition stock'!$B$6:$B$423="IT"),--('Repartition stock'!$E$6:$E$423="Millésime"),--('Repartition stock'!$F$6:$F$423="2026"),--('Repartition stock'!$J$6:$J$423="n.d."))&gt;0),"n.d.",SUMPRODUCT(--('Repartition stock'!$A$6:$A$423="2026Q3"),--('Repartition stock'!$B$6:$B$423="IT"),--('Repartition stock'!$E$6:$E$423="Millésime"),--('Repartition stock'!$F$6:$F$423="2026"),'Repartition stock'!$J$6:$J$423)))="n.d.",0,IF(OR(SUMPRODUCT(--('Repartition stock'!$A$6:$A$423="2026Q3"),--('Repartition stock'!$B$6:$B$423="IT"),--('Repartition stock'!$E$6:$E$423="Millésime"),--('Repartition stock'!$F$6:$F$423="2026"))=0,SUMPRODUCT(--('Repartition stock'!$A$6:$A$423="2026Q3"),--('Repartition stock'!$B$6:$B$423="IT"),--('Repartition stock'!$E$6:$E$423="Millésime"),--('Repartition stock'!$F$6:$F$423="2026"),--('Repartition stock'!$J$6:$J$423="n.d."))&gt;0),"n.d.",SUMPRODUCT(--('Repartition stock'!$A$6:$A$423="2026Q3"),--('Repartition stock'!$B$6:$B$423="IT"),--('Repartition stock'!$E$6:$E$423="Millésime"),--('Repartition stock'!$F$6:$F$423="2026"),'Repartition stock'!$J$6:$J$423)))</f>
        <v>1333869.0</v>
      </c>
      <c r="AA23" s="16"/>
      <c r="AB23" s="16"/>
      <c r="AC23" s="7">
        <f>IF((IF(OR(COUNT(X23,X24)&lt;&gt;2,X24=0),"n.d.",X23/X24))="n.d.",0,IF(OR(COUNT(X23,X24)&lt;&gt;2,X24=0),"n.d.",X23/X24))</f>
        <v>0.07183615613869303</v>
      </c>
      <c r="AD23" s="7"/>
      <c r="AE23" s="7">
        <f>IF((IF(OR(COUNT(Z23,Z24)&lt;&gt;2,Z24=0),"n.d.",Z23/Z24))="n.d.",0,IF(OR(COUNT(Z23,Z24)&lt;&gt;2,Z24=0),"n.d.",Z23/Z24))</f>
        <v>0.3883846445465615</v>
      </c>
      <c r="AF23" s="7"/>
    </row>
    <row r="24" spans="1:32" ht="13.5" customHeight="1">
      <c r="A24" s="12"/>
      <c r="R24" s="17" t="s">
        <v>3150</v>
      </c>
      <c r="S24" s="17"/>
      <c r="T24" s="17"/>
      <c r="U24" s="17"/>
      <c r="V24" s="17"/>
      <c r="W24" s="17"/>
      <c r="X24" s="17">
        <f>IF((IF(COUNT(X14:X23)=10,SUM(X14:X23),"n.d."))="n.d.",0,IF(COUNT(X14:X23)=10,SUM(X14:X23),"n.d."))</f>
        <v>110056.0</v>
      </c>
      <c r="Y24" s="17"/>
      <c r="Z24" s="17">
        <f>IF((IF(COUNT(Z14:Z23)=10,SUM(Z14:Z23),"n.d."))="n.d.",0,IF(COUNT(Z14:Z23)=10,SUM(Z14:Z23),"n.d."))</f>
        <v>3434402.0</v>
      </c>
      <c r="AA24" s="17"/>
      <c r="AB24" s="17"/>
      <c r="AC24" s="9">
        <f>IF((IF(OR(NOT(ISNUMBER(X24)),X24=0),"n.d.",1))="n.d.",0,IF(OR(NOT(ISNUMBER(X24)),X24=0),"n.d.",1))</f>
        <v>1.0</v>
      </c>
      <c r="AD24" s="9"/>
      <c r="AE24" s="9">
        <f>IF((IF(OR(NOT(ISNUMBER(Z24)),Z24=0),"n.d.",1))="n.d.",0,IF(OR(NOT(ISNUMBER(Z24)),Z24=0),"n.d.",1))</f>
        <v>1.0</v>
      </c>
      <c r="AF24" s="9"/>
    </row>
    <row r="25" spans="1:32" ht="13.5" customHeight="1">
      <c r="A25" s="12"/>
    </row>
    <row r="26" spans="1:32" ht="13.5" customHeight="1">
      <c r="A26" s="12"/>
    </row>
    <row r="27" spans="1:32" ht="13.5" customHeight="1">
      <c r="A27" s="12"/>
    </row>
    <row r="28" spans="1:32" ht="13.5" customHeight="1">
      <c r="A28" s="12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"&amp;IF(ISNUMBER('GraphData'!A177),TEXT('GraphData'!A177,"#,##0"),"0")&amp;" EUR. Average balance per contract: "&amp;IF(ISNUMBER('GraphData'!B177),TEXT('GraphData'!B177,"#,##0"),"0")&amp;" EUR."</f>
        <v>Average monthly new flow: 1,092,478 EUR. Average balance per contract: 243 EUR.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"&amp;IF(ISNUMBER('GraphData'!C177),TEXT('GraphData'!C177,"0.0%"),"0")&amp;" treated in amount and "&amp;IF(ISNUMBER('GraphData'!D177),TEXT('GraphData'!D177,"0.0%"),"0")&amp;" in number."</f>
        <v>Oldest cohort (M-5): 97.6% treated in amount and 93.7%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"&amp;IF(ISNUMBER('GraphData'!E177),TEXT('GraphData'!E177,"#,##0"),"0")&amp;" EUR. Identified stock: "&amp;IF(ISNUMBER('GraphData'!F177),TEXT('GraphData'!F177,"#,##0"),"0")&amp;" EUR."</f>
        <v>Stock to process: 1,200,347 EUR. Identified stock: 3,434,403 EUR.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3174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3079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100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78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3160</v>
      </c>
      <c r="S2" s="4"/>
      <c r="T2" s="4"/>
      <c r="U2" s="4"/>
      <c r="V2" s="4"/>
      <c r="W2" s="4"/>
      <c r="X2" s="14">
        <v>46295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3146</v>
      </c>
      <c r="Y3" s="4"/>
      <c r="Z3" s="4" t="s">
        <v>3147</v>
      </c>
      <c r="AA3" s="4"/>
      <c r="AB3" s="4"/>
      <c r="AC3" s="4" t="s">
        <v>3148</v>
      </c>
      <c r="AD3" s="4"/>
      <c r="AE3" s="4" t="s">
        <v>3149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1" t="s">
        <v>3161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2"/>
      <c r="R7" s="4" t="s">
        <v>1284</v>
      </c>
      <c r="S7" s="4"/>
      <c r="T7" s="4"/>
      <c r="U7" s="15" t="s">
        <v>377</v>
      </c>
      <c r="V7" s="15"/>
      <c r="W7" s="15"/>
      <c r="X7" s="16">
        <f>IF((IF(OR(SUMPRODUCT(--('Repartition stock'!$A$6:$A$423="2026Q3"),--('Repartition stock'!$B$6:$B$423="PT"),--('Repartition stock'!$E$6:$E$423="Tranche"),--('Repartition stock'!$F$6:$F$423="0 - 1 €"))=0,SUMPRODUCT(--('Repartition stock'!$A$6:$A$423="2026Q3"),--('Repartition stock'!$B$6:$B$423="PT"),--('Repartition stock'!$E$6:$E$423="Tranche"),--('Repartition stock'!$F$6:$F$423="0 - 1 €"),--('Repartition stock'!$G$6:$G$423="n.d."))&gt;0),"n.d.",SUMPRODUCT(--('Repartition stock'!$A$6:$A$423="2026Q3"),--('Repartition stock'!$B$6:$B$423="PT"),--('Repartition stock'!$E$6:$E$423="Tranche"),--('Repartition stock'!$F$6:$F$423="0 - 1 €"),'Repartition stock'!$G$6:$G$423)))="n.d.",0,IF(OR(SUMPRODUCT(--('Repartition stock'!$A$6:$A$423="2026Q3"),--('Repartition stock'!$B$6:$B$423="PT"),--('Repartition stock'!$E$6:$E$423="Tranche"),--('Repartition stock'!$F$6:$F$423="0 - 1 €"))=0,SUMPRODUCT(--('Repartition stock'!$A$6:$A$423="2026Q3"),--('Repartition stock'!$B$6:$B$423="PT"),--('Repartition stock'!$E$6:$E$423="Tranche"),--('Repartition stock'!$F$6:$F$423="0 - 1 €"),--('Repartition stock'!$G$6:$G$423="n.d."))&gt;0),"n.d.",SUMPRODUCT(--('Repartition stock'!$A$6:$A$423="2026Q3"),--('Repartition stock'!$B$6:$B$423="PT"),--('Repartition stock'!$E$6:$E$423="Tranche"),--('Repartition stock'!$F$6:$F$423="0 - 1 €"),'Repartition stock'!$G$6:$G$423)))</f>
        <v>3811.0</v>
      </c>
      <c r="Y7" s="16"/>
      <c r="Z7" s="16">
        <f>IF((IF(OR(SUMPRODUCT(--('Repartition stock'!$A$6:$A$423="2026Q3"),--('Repartition stock'!$B$6:$B$423="PT"),--('Repartition stock'!$E$6:$E$423="Tranche"),--('Repartition stock'!$F$6:$F$423="0 - 1 €"))=0,SUMPRODUCT(--('Repartition stock'!$A$6:$A$423="2026Q3"),--('Repartition stock'!$B$6:$B$423="PT"),--('Repartition stock'!$E$6:$E$423="Tranche"),--('Repartition stock'!$F$6:$F$423="0 - 1 €"),--('Repartition stock'!$J$6:$J$423="n.d."))&gt;0),"n.d.",SUMPRODUCT(--('Repartition stock'!$A$6:$A$423="2026Q3"),--('Repartition stock'!$B$6:$B$423="PT"),--('Repartition stock'!$E$6:$E$423="Tranche"),--('Repartition stock'!$F$6:$F$423="0 - 1 €"),'Repartition stock'!$J$6:$J$423)))="n.d.",0,IF(OR(SUMPRODUCT(--('Repartition stock'!$A$6:$A$423="2026Q3"),--('Repartition stock'!$B$6:$B$423="PT"),--('Repartition stock'!$E$6:$E$423="Tranche"),--('Repartition stock'!$F$6:$F$423="0 - 1 €"))=0,SUMPRODUCT(--('Repartition stock'!$A$6:$A$423="2026Q3"),--('Repartition stock'!$B$6:$B$423="PT"),--('Repartition stock'!$E$6:$E$423="Tranche"),--('Repartition stock'!$F$6:$F$423="0 - 1 €"),--('Repartition stock'!$J$6:$J$423="n.d."))&gt;0),"n.d.",SUMPRODUCT(--('Repartition stock'!$A$6:$A$423="2026Q3"),--('Repartition stock'!$B$6:$B$423="PT"),--('Repartition stock'!$E$6:$E$423="Tranche"),--('Repartition stock'!$F$6:$F$423="0 - 1 €"),'Repartition stock'!$J$6:$J$423)))</f>
        <v>1102.0</v>
      </c>
      <c r="AA7" s="16"/>
      <c r="AB7" s="16"/>
      <c r="AC7" s="7">
        <f>IF((IF(OR(COUNT(X7,X12)&lt;&gt;2,X12=0),"n.d.",X7/X12))="n.d.",0,IF(OR(COUNT(X7,X12)&lt;&gt;2,X12=0),"n.d.",X7/X12))</f>
        <v>0.29986623652529704</v>
      </c>
      <c r="AD7" s="7"/>
      <c r="AE7" s="7">
        <f>IF((IF(OR(COUNT(Z7,Z12)&lt;&gt;2,Z12=0),"n.d.",Z7/Z12))="n.d.",0,IF(OR(COUNT(Z7,Z12)&lt;&gt;2,Z12=0),"n.d.",Z7/Z12))</f>
        <v>0.0019730187007081026</v>
      </c>
      <c r="AF7" s="7"/>
    </row>
    <row r="8" spans="1:32" ht="13.5" customHeight="1">
      <c r="A8" s="12"/>
      <c r="R8" s="4"/>
      <c r="S8" s="4"/>
      <c r="T8" s="4"/>
      <c r="U8" s="15" t="s">
        <v>379</v>
      </c>
      <c r="V8" s="15"/>
      <c r="W8" s="15"/>
      <c r="X8" s="16">
        <f>IF((IF(OR(SUMPRODUCT(--('Repartition stock'!$A$6:$A$423="2026Q3"),--('Repartition stock'!$B$6:$B$423="PT"),--('Repartition stock'!$E$6:$E$423="Tranche"),--('Repartition stock'!$F$6:$F$423="1 - 10 €"))=0,SUMPRODUCT(--('Repartition stock'!$A$6:$A$423="2026Q3"),--('Repartition stock'!$B$6:$B$423="PT"),--('Repartition stock'!$E$6:$E$423="Tranche"),--('Repartition stock'!$F$6:$F$423="1 - 10 €"),--('Repartition stock'!$G$6:$G$423="n.d."))&gt;0),"n.d.",SUMPRODUCT(--('Repartition stock'!$A$6:$A$423="2026Q3"),--('Repartition stock'!$B$6:$B$423="PT"),--('Repartition stock'!$E$6:$E$423="Tranche"),--('Repartition stock'!$F$6:$F$423="1 - 10 €"),'Repartition stock'!$G$6:$G$423)))="n.d.",0,IF(OR(SUMPRODUCT(--('Repartition stock'!$A$6:$A$423="2026Q3"),--('Repartition stock'!$B$6:$B$423="PT"),--('Repartition stock'!$E$6:$E$423="Tranche"),--('Repartition stock'!$F$6:$F$423="1 - 10 €"))=0,SUMPRODUCT(--('Repartition stock'!$A$6:$A$423="2026Q3"),--('Repartition stock'!$B$6:$B$423="PT"),--('Repartition stock'!$E$6:$E$423="Tranche"),--('Repartition stock'!$F$6:$F$423="1 - 10 €"),--('Repartition stock'!$G$6:$G$423="n.d."))&gt;0),"n.d.",SUMPRODUCT(--('Repartition stock'!$A$6:$A$423="2026Q3"),--('Repartition stock'!$B$6:$B$423="PT"),--('Repartition stock'!$E$6:$E$423="Tranche"),--('Repartition stock'!$F$6:$F$423="1 - 10 €"),'Repartition stock'!$G$6:$G$423)))</f>
        <v>2952.0</v>
      </c>
      <c r="Y8" s="16"/>
      <c r="Z8" s="16">
        <f>IF((IF(OR(SUMPRODUCT(--('Repartition stock'!$A$6:$A$423="2026Q3"),--('Repartition stock'!$B$6:$B$423="PT"),--('Repartition stock'!$E$6:$E$423="Tranche"),--('Repartition stock'!$F$6:$F$423="1 - 10 €"))=0,SUMPRODUCT(--('Repartition stock'!$A$6:$A$423="2026Q3"),--('Repartition stock'!$B$6:$B$423="PT"),--('Repartition stock'!$E$6:$E$423="Tranche"),--('Repartition stock'!$F$6:$F$423="1 - 10 €"),--('Repartition stock'!$J$6:$J$423="n.d."))&gt;0),"n.d.",SUMPRODUCT(--('Repartition stock'!$A$6:$A$423="2026Q3"),--('Repartition stock'!$B$6:$B$423="PT"),--('Repartition stock'!$E$6:$E$423="Tranche"),--('Repartition stock'!$F$6:$F$423="1 - 10 €"),'Repartition stock'!$J$6:$J$423)))="n.d.",0,IF(OR(SUMPRODUCT(--('Repartition stock'!$A$6:$A$423="2026Q3"),--('Repartition stock'!$B$6:$B$423="PT"),--('Repartition stock'!$E$6:$E$423="Tranche"),--('Repartition stock'!$F$6:$F$423="1 - 10 €"))=0,SUMPRODUCT(--('Repartition stock'!$A$6:$A$423="2026Q3"),--('Repartition stock'!$B$6:$B$423="PT"),--('Repartition stock'!$E$6:$E$423="Tranche"),--('Repartition stock'!$F$6:$F$423="1 - 10 €"),--('Repartition stock'!$J$6:$J$423="n.d."))&gt;0),"n.d.",SUMPRODUCT(--('Repartition stock'!$A$6:$A$423="2026Q3"),--('Repartition stock'!$B$6:$B$423="PT"),--('Repartition stock'!$E$6:$E$423="Tranche"),--('Repartition stock'!$F$6:$F$423="1 - 10 €"),'Repartition stock'!$J$6:$J$423)))</f>
        <v>11915.0</v>
      </c>
      <c r="AA8" s="16"/>
      <c r="AB8" s="16"/>
      <c r="AC8" s="7">
        <f>IF((IF(OR(COUNT(X8,X12)&lt;&gt;2,X12=0),"n.d.",X8/X12))="n.d.",0,IF(OR(COUNT(X8,X12)&lt;&gt;2,X12=0),"n.d.",X8/X12))</f>
        <v>0.23227633960185695</v>
      </c>
      <c r="AD8" s="7"/>
      <c r="AE8" s="7">
        <f>IF((IF(OR(COUNT(Z8,Z12)&lt;&gt;2,Z12=0),"n.d.",Z8/Z12))="n.d.",0,IF(OR(COUNT(Z8,Z12)&lt;&gt;2,Z12=0),"n.d.",Z8/Z12))</f>
        <v>0.021332593302120728</v>
      </c>
      <c r="AF8" s="7"/>
    </row>
    <row r="9" spans="1:32" ht="13.5" customHeight="1">
      <c r="A9" s="12"/>
      <c r="R9" s="4"/>
      <c r="S9" s="4"/>
      <c r="T9" s="4"/>
      <c r="U9" s="15" t="s">
        <v>381</v>
      </c>
      <c r="V9" s="15"/>
      <c r="W9" s="15"/>
      <c r="X9" s="16">
        <f>IF((IF(OR(SUMPRODUCT(--('Repartition stock'!$A$6:$A$423="2026Q3"),--('Repartition stock'!$B$6:$B$423="PT"),--('Repartition stock'!$E$6:$E$423="Tranche"),--('Repartition stock'!$F$6:$F$423="10 - 100 €"))=0,SUMPRODUCT(--('Repartition stock'!$A$6:$A$423="2026Q3"),--('Repartition stock'!$B$6:$B$423="PT"),--('Repartition stock'!$E$6:$E$423="Tranche"),--('Repartition stock'!$F$6:$F$423="10 - 100 €"),--('Repartition stock'!$G$6:$G$423="n.d."))&gt;0),"n.d.",SUMPRODUCT(--('Repartition stock'!$A$6:$A$423="2026Q3"),--('Repartition stock'!$B$6:$B$423="PT"),--('Repartition stock'!$E$6:$E$423="Tranche"),--('Repartition stock'!$F$6:$F$423="10 - 100 €"),'Repartition stock'!$G$6:$G$423)))="n.d.",0,IF(OR(SUMPRODUCT(--('Repartition stock'!$A$6:$A$423="2026Q3"),--('Repartition stock'!$B$6:$B$423="PT"),--('Repartition stock'!$E$6:$E$423="Tranche"),--('Repartition stock'!$F$6:$F$423="10 - 100 €"))=0,SUMPRODUCT(--('Repartition stock'!$A$6:$A$423="2026Q3"),--('Repartition stock'!$B$6:$B$423="PT"),--('Repartition stock'!$E$6:$E$423="Tranche"),--('Repartition stock'!$F$6:$F$423="10 - 100 €"),--('Repartition stock'!$G$6:$G$423="n.d."))&gt;0),"n.d.",SUMPRODUCT(--('Repartition stock'!$A$6:$A$423="2026Q3"),--('Repartition stock'!$B$6:$B$423="PT"),--('Repartition stock'!$E$6:$E$423="Tranche"),--('Repartition stock'!$F$6:$F$423="10 - 100 €"),'Repartition stock'!$G$6:$G$423)))</f>
        <v>4828.0</v>
      </c>
      <c r="Y9" s="16"/>
      <c r="Z9" s="16">
        <f>IF((IF(OR(SUMPRODUCT(--('Repartition stock'!$A$6:$A$423="2026Q3"),--('Repartition stock'!$B$6:$B$423="PT"),--('Repartition stock'!$E$6:$E$423="Tranche"),--('Repartition stock'!$F$6:$F$423="10 - 100 €"))=0,SUMPRODUCT(--('Repartition stock'!$A$6:$A$423="2026Q3"),--('Repartition stock'!$B$6:$B$423="PT"),--('Repartition stock'!$E$6:$E$423="Tranche"),--('Repartition stock'!$F$6:$F$423="10 - 100 €"),--('Repartition stock'!$J$6:$J$423="n.d."))&gt;0),"n.d.",SUMPRODUCT(--('Repartition stock'!$A$6:$A$423="2026Q3"),--('Repartition stock'!$B$6:$B$423="PT"),--('Repartition stock'!$E$6:$E$423="Tranche"),--('Repartition stock'!$F$6:$F$423="10 - 100 €"),'Repartition stock'!$J$6:$J$423)))="n.d.",0,IF(OR(SUMPRODUCT(--('Repartition stock'!$A$6:$A$423="2026Q3"),--('Repartition stock'!$B$6:$B$423="PT"),--('Repartition stock'!$E$6:$E$423="Tranche"),--('Repartition stock'!$F$6:$F$423="10 - 100 €"))=0,SUMPRODUCT(--('Repartition stock'!$A$6:$A$423="2026Q3"),--('Repartition stock'!$B$6:$B$423="PT"),--('Repartition stock'!$E$6:$E$423="Tranche"),--('Repartition stock'!$F$6:$F$423="10 - 100 €"),--('Repartition stock'!$J$6:$J$423="n.d."))&gt;0),"n.d.",SUMPRODUCT(--('Repartition stock'!$A$6:$A$423="2026Q3"),--('Repartition stock'!$B$6:$B$423="PT"),--('Repartition stock'!$E$6:$E$423="Tranche"),--('Repartition stock'!$F$6:$F$423="10 - 100 €"),'Repartition stock'!$J$6:$J$423)))</f>
        <v>175661.0</v>
      </c>
      <c r="AA9" s="16"/>
      <c r="AB9" s="16"/>
      <c r="AC9" s="7">
        <f>IF((IF(OR(COUNT(X9,X12)&lt;&gt;2,X12=0),"n.d.",X9/X12))="n.d.",0,IF(OR(COUNT(X9,X12)&lt;&gt;2,X12=0),"n.d.",X9/X12))</f>
        <v>0.37988826815642457</v>
      </c>
      <c r="AD9" s="7"/>
      <c r="AE9" s="7">
        <f>IF((IF(OR(COUNT(Z9,Z12)&lt;&gt;2,Z12=0),"n.d.",Z9/Z12))="n.d.",0,IF(OR(COUNT(Z9,Z12)&lt;&gt;2,Z12=0),"n.d.",Z9/Z12))</f>
        <v>0.31450311976868056</v>
      </c>
      <c r="AF9" s="7"/>
    </row>
    <row r="10" spans="1:32" ht="13.5" customHeight="1">
      <c r="A10" s="12"/>
      <c r="R10" s="4"/>
      <c r="S10" s="4"/>
      <c r="T10" s="4"/>
      <c r="U10" s="15" t="s">
        <v>383</v>
      </c>
      <c r="V10" s="15"/>
      <c r="W10" s="15"/>
      <c r="X10" s="16">
        <f>IF((IF(OR(SUMPRODUCT(--('Repartition stock'!$A$6:$A$423="2026Q3"),--('Repartition stock'!$B$6:$B$423="PT"),--('Repartition stock'!$E$6:$E$423="Tranche"),--('Repartition stock'!$F$6:$F$423="100 - 1 000 €"))=0,SUMPRODUCT(--('Repartition stock'!$A$6:$A$423="2026Q3"),--('Repartition stock'!$B$6:$B$423="PT"),--('Repartition stock'!$E$6:$E$423="Tranche"),--('Repartition stock'!$F$6:$F$423="100 - 1 000 €"),--('Repartition stock'!$G$6:$G$423="n.d."))&gt;0),"n.d.",SUMPRODUCT(--('Repartition stock'!$A$6:$A$423="2026Q3"),--('Repartition stock'!$B$6:$B$423="PT"),--('Repartition stock'!$E$6:$E$423="Tranche"),--('Repartition stock'!$F$6:$F$423="100 - 1 000 €"),'Repartition stock'!$G$6:$G$423)))="n.d.",0,IF(OR(SUMPRODUCT(--('Repartition stock'!$A$6:$A$423="2026Q3"),--('Repartition stock'!$B$6:$B$423="PT"),--('Repartition stock'!$E$6:$E$423="Tranche"),--('Repartition stock'!$F$6:$F$423="100 - 1 000 €"))=0,SUMPRODUCT(--('Repartition stock'!$A$6:$A$423="2026Q3"),--('Repartition stock'!$B$6:$B$423="PT"),--('Repartition stock'!$E$6:$E$423="Tranche"),--('Repartition stock'!$F$6:$F$423="100 - 1 000 €"),--('Repartition stock'!$G$6:$G$423="n.d."))&gt;0),"n.d.",SUMPRODUCT(--('Repartition stock'!$A$6:$A$423="2026Q3"),--('Repartition stock'!$B$6:$B$423="PT"),--('Repartition stock'!$E$6:$E$423="Tranche"),--('Repartition stock'!$F$6:$F$423="100 - 1 000 €"),'Repartition stock'!$G$6:$G$423)))</f>
        <v>1069.0</v>
      </c>
      <c r="Y10" s="16"/>
      <c r="Z10" s="16">
        <f>IF((IF(OR(SUMPRODUCT(--('Repartition stock'!$A$6:$A$423="2026Q3"),--('Repartition stock'!$B$6:$B$423="PT"),--('Repartition stock'!$E$6:$E$423="Tranche"),--('Repartition stock'!$F$6:$F$423="100 - 1 000 €"))=0,SUMPRODUCT(--('Repartition stock'!$A$6:$A$423="2026Q3"),--('Repartition stock'!$B$6:$B$423="PT"),--('Repartition stock'!$E$6:$E$423="Tranche"),--('Repartition stock'!$F$6:$F$423="100 - 1 000 €"),--('Repartition stock'!$J$6:$J$423="n.d."))&gt;0),"n.d.",SUMPRODUCT(--('Repartition stock'!$A$6:$A$423="2026Q3"),--('Repartition stock'!$B$6:$B$423="PT"),--('Repartition stock'!$E$6:$E$423="Tranche"),--('Repartition stock'!$F$6:$F$423="100 - 1 000 €"),'Repartition stock'!$J$6:$J$423)))="n.d.",0,IF(OR(SUMPRODUCT(--('Repartition stock'!$A$6:$A$423="2026Q3"),--('Repartition stock'!$B$6:$B$423="PT"),--('Repartition stock'!$E$6:$E$423="Tranche"),--('Repartition stock'!$F$6:$F$423="100 - 1 000 €"))=0,SUMPRODUCT(--('Repartition stock'!$A$6:$A$423="2026Q3"),--('Repartition stock'!$B$6:$B$423="PT"),--('Repartition stock'!$E$6:$E$423="Tranche"),--('Repartition stock'!$F$6:$F$423="100 - 1 000 €"),--('Repartition stock'!$J$6:$J$423="n.d."))&gt;0),"n.d.",SUMPRODUCT(--('Repartition stock'!$A$6:$A$423="2026Q3"),--('Repartition stock'!$B$6:$B$423="PT"),--('Repartition stock'!$E$6:$E$423="Tranche"),--('Repartition stock'!$F$6:$F$423="100 - 1 000 €"),'Repartition stock'!$J$6:$J$423)))</f>
        <v>236826.0</v>
      </c>
      <c r="AA10" s="16"/>
      <c r="AB10" s="16"/>
      <c r="AC10" s="7">
        <f>IF((IF(OR(COUNT(X10,X12)&lt;&gt;2,X12=0),"n.d.",X10/X12))="n.d.",0,IF(OR(COUNT(X10,X12)&lt;&gt;2,X12=0),"n.d.",X10/X12))</f>
        <v>0.08411362026910063</v>
      </c>
      <c r="AD10" s="7"/>
      <c r="AE10" s="7">
        <f>IF((IF(OR(COUNT(Z10,Z12)&lt;&gt;2,Z12=0),"n.d.",Z10/Z12))="n.d.",0,IF(OR(COUNT(Z10,Z12)&lt;&gt;2,Z12=0),"n.d.",Z10/Z12))</f>
        <v>0.42401281925036033</v>
      </c>
      <c r="AF10" s="7"/>
    </row>
    <row r="11" spans="1:32" ht="13.5" customHeight="1">
      <c r="A11" s="12"/>
      <c r="R11" s="4"/>
      <c r="S11" s="4"/>
      <c r="T11" s="4"/>
      <c r="U11" s="15" t="s">
        <v>385</v>
      </c>
      <c r="V11" s="15"/>
      <c r="W11" s="15"/>
      <c r="X11" s="16">
        <f>IF((IF(OR(SUMPRODUCT(--('Repartition stock'!$A$6:$A$423="2026Q3"),--('Repartition stock'!$B$6:$B$423="PT"),--('Repartition stock'!$E$6:$E$423="Tranche"),--('Repartition stock'!$F$6:$F$423="&gt; 1 000 €"))=0,SUMPRODUCT(--('Repartition stock'!$A$6:$A$423="2026Q3"),--('Repartition stock'!$B$6:$B$423="PT"),--('Repartition stock'!$E$6:$E$423="Tranche"),--('Repartition stock'!$F$6:$F$423="&gt; 1 000 €"),--('Repartition stock'!$G$6:$G$423="n.d."))&gt;0),"n.d.",SUMPRODUCT(--('Repartition stock'!$A$6:$A$423="2026Q3"),--('Repartition stock'!$B$6:$B$423="PT"),--('Repartition stock'!$E$6:$E$423="Tranche"),--('Repartition stock'!$F$6:$F$423="&gt; 1 000 €"),'Repartition stock'!$G$6:$G$423)))="n.d.",0,IF(OR(SUMPRODUCT(--('Repartition stock'!$A$6:$A$423="2026Q3"),--('Repartition stock'!$B$6:$B$423="PT"),--('Repartition stock'!$E$6:$E$423="Tranche"),--('Repartition stock'!$F$6:$F$423="&gt; 1 000 €"))=0,SUMPRODUCT(--('Repartition stock'!$A$6:$A$423="2026Q3"),--('Repartition stock'!$B$6:$B$423="PT"),--('Repartition stock'!$E$6:$E$423="Tranche"),--('Repartition stock'!$F$6:$F$423="&gt; 1 000 €"),--('Repartition stock'!$G$6:$G$423="n.d."))&gt;0),"n.d.",SUMPRODUCT(--('Repartition stock'!$A$6:$A$423="2026Q3"),--('Repartition stock'!$B$6:$B$423="PT"),--('Repartition stock'!$E$6:$E$423="Tranche"),--('Repartition stock'!$F$6:$F$423="&gt; 1 000 €"),'Repartition stock'!$G$6:$G$423)))</f>
        <v>49.0</v>
      </c>
      <c r="Y11" s="16"/>
      <c r="Z11" s="16">
        <f>IF((IF(OR(SUMPRODUCT(--('Repartition stock'!$A$6:$A$423="2026Q3"),--('Repartition stock'!$B$6:$B$423="PT"),--('Repartition stock'!$E$6:$E$423="Tranche"),--('Repartition stock'!$F$6:$F$423="&gt; 1 000 €"))=0,SUMPRODUCT(--('Repartition stock'!$A$6:$A$423="2026Q3"),--('Repartition stock'!$B$6:$B$423="PT"),--('Repartition stock'!$E$6:$E$423="Tranche"),--('Repartition stock'!$F$6:$F$423="&gt; 1 000 €"),--('Repartition stock'!$J$6:$J$423="n.d."))&gt;0),"n.d.",SUMPRODUCT(--('Repartition stock'!$A$6:$A$423="2026Q3"),--('Repartition stock'!$B$6:$B$423="PT"),--('Repartition stock'!$E$6:$E$423="Tranche"),--('Repartition stock'!$F$6:$F$423="&gt; 1 000 €"),'Repartition stock'!$J$6:$J$423)))="n.d.",0,IF(OR(SUMPRODUCT(--('Repartition stock'!$A$6:$A$423="2026Q3"),--('Repartition stock'!$B$6:$B$423="PT"),--('Repartition stock'!$E$6:$E$423="Tranche"),--('Repartition stock'!$F$6:$F$423="&gt; 1 000 €"))=0,SUMPRODUCT(--('Repartition stock'!$A$6:$A$423="2026Q3"),--('Repartition stock'!$B$6:$B$423="PT"),--('Repartition stock'!$E$6:$E$423="Tranche"),--('Repartition stock'!$F$6:$F$423="&gt; 1 000 €"),--('Repartition stock'!$J$6:$J$423="n.d."))&gt;0),"n.d.",SUMPRODUCT(--('Repartition stock'!$A$6:$A$423="2026Q3"),--('Repartition stock'!$B$6:$B$423="PT"),--('Repartition stock'!$E$6:$E$423="Tranche"),--('Repartition stock'!$F$6:$F$423="&gt; 1 000 €"),'Repartition stock'!$J$6:$J$423)))</f>
        <v>133031.0</v>
      </c>
      <c r="AA11" s="16"/>
      <c r="AB11" s="16"/>
      <c r="AC11" s="7">
        <f>IF((IF(OR(COUNT(X11,X12)&lt;&gt;2,X12=0),"n.d.",X11/X12))="n.d.",0,IF(OR(COUNT(X11,X12)&lt;&gt;2,X12=0),"n.d.",X11/X12))</f>
        <v>0.0038555354473207965</v>
      </c>
      <c r="AD11" s="7"/>
      <c r="AE11" s="7">
        <f>IF((IF(OR(COUNT(Z11,Z12)&lt;&gt;2,Z12=0),"n.d.",Z11/Z12))="n.d.",0,IF(OR(COUNT(Z11,Z12)&lt;&gt;2,Z12=0),"n.d.",Z11/Z12))</f>
        <v>0.23817844897813029</v>
      </c>
      <c r="AF11" s="7"/>
    </row>
    <row r="12" spans="1:32" ht="13.5" customHeight="1">
      <c r="A12" s="12"/>
      <c r="R12" s="17" t="s">
        <v>3150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12709.0</v>
      </c>
      <c r="Y12" s="17"/>
      <c r="Z12" s="17">
        <f>IF((IF(COUNT(Z7:Z11)=5,SUM(Z7:Z11),"n.d."))="n.d.",0,IF(COUNT(Z7:Z11)=5,SUM(Z7:Z11),"n.d."))</f>
        <v>558535.0</v>
      </c>
      <c r="AA12" s="17"/>
      <c r="AB12" s="17"/>
      <c r="AC12" s="9">
        <f>IF((IF(OR(NOT(ISNUMBER(X12)),X12=0),"n.d.",1))="n.d.",0,IF(OR(NOT(ISNUMBER(X12)),X12=0),"n.d.",1))</f>
        <v>1.0</v>
      </c>
      <c r="AD12" s="9"/>
      <c r="AE12" s="9">
        <f>IF((IF(OR(NOT(ISNUMBER(Z12)),Z12=0),"n.d.",1))="n.d.",0,IF(OR(NOT(ISNUMBER(Z12)),Z12=0),"n.d.",1))</f>
        <v>1.0</v>
      </c>
      <c r="AF12" s="9"/>
    </row>
    <row r="13" spans="1:32" ht="13.5" customHeight="1">
      <c r="A13" s="12"/>
    </row>
    <row r="14" spans="1:32" ht="13.5" customHeight="1">
      <c r="A14" s="12"/>
      <c r="R14" s="4" t="s">
        <v>3151</v>
      </c>
      <c r="S14" s="4"/>
      <c r="T14" s="4"/>
      <c r="U14" s="15" t="s">
        <v>95</v>
      </c>
      <c r="V14" s="15"/>
      <c r="W14" s="15"/>
      <c r="X14" s="16">
        <f>IF((IF(OR(SUMPRODUCT(--('Repartition stock'!$A$6:$A$423="2026Q3"),--('Repartition stock'!$B$6:$B$423="PT"),--('Repartition stock'!$E$6:$E$423="Millésime"),--('Repartition stock'!$F$6:$F$423="2024"))=0,SUMPRODUCT(--('Repartition stock'!$A$6:$A$423="2026Q3"),--('Repartition stock'!$B$6:$B$423="PT"),--('Repartition stock'!$E$6:$E$423="Millésime"),--('Repartition stock'!$F$6:$F$423="2024"),--('Repartition stock'!$G$6:$G$423="n.d."))&gt;0),"n.d.",SUMPRODUCT(--('Repartition stock'!$A$6:$A$423="2026Q3"),--('Repartition stock'!$B$6:$B$423="PT"),--('Repartition stock'!$E$6:$E$423="Millésime"),--('Repartition stock'!$F$6:$F$423="2024"),'Repartition stock'!$G$6:$G$423)))="n.d.",0,IF(OR(SUMPRODUCT(--('Repartition stock'!$A$6:$A$423="2026Q3"),--('Repartition stock'!$B$6:$B$423="PT"),--('Repartition stock'!$E$6:$E$423="Millésime"),--('Repartition stock'!$F$6:$F$423="2024"))=0,SUMPRODUCT(--('Repartition stock'!$A$6:$A$423="2026Q3"),--('Repartition stock'!$B$6:$B$423="PT"),--('Repartition stock'!$E$6:$E$423="Millésime"),--('Repartition stock'!$F$6:$F$423="2024"),--('Repartition stock'!$G$6:$G$423="n.d."))&gt;0),"n.d.",SUMPRODUCT(--('Repartition stock'!$A$6:$A$423="2026Q3"),--('Repartition stock'!$B$6:$B$423="PT"),--('Repartition stock'!$E$6:$E$423="Millésime"),--('Repartition stock'!$F$6:$F$423="2024"),'Repartition stock'!$G$6:$G$423)))</f>
        <v>113.0</v>
      </c>
      <c r="Y14" s="16"/>
      <c r="Z14" s="16">
        <f>IF((IF(OR(SUMPRODUCT(--('Repartition stock'!$A$6:$A$423="2026Q3"),--('Repartition stock'!$B$6:$B$423="PT"),--('Repartition stock'!$E$6:$E$423="Millésime"),--('Repartition stock'!$F$6:$F$423="2024"))=0,SUMPRODUCT(--('Repartition stock'!$A$6:$A$423="2026Q3"),--('Repartition stock'!$B$6:$B$423="PT"),--('Repartition stock'!$E$6:$E$423="Millésime"),--('Repartition stock'!$F$6:$F$423="2024"),--('Repartition stock'!$J$6:$J$423="n.d."))&gt;0),"n.d.",SUMPRODUCT(--('Repartition stock'!$A$6:$A$423="2026Q3"),--('Repartition stock'!$B$6:$B$423="PT"),--('Repartition stock'!$E$6:$E$423="Millésime"),--('Repartition stock'!$F$6:$F$423="2024"),'Repartition stock'!$J$6:$J$423)))="n.d.",0,IF(OR(SUMPRODUCT(--('Repartition stock'!$A$6:$A$423="2026Q3"),--('Repartition stock'!$B$6:$B$423="PT"),--('Repartition stock'!$E$6:$E$423="Millésime"),--('Repartition stock'!$F$6:$F$423="2024"))=0,SUMPRODUCT(--('Repartition stock'!$A$6:$A$423="2026Q3"),--('Repartition stock'!$B$6:$B$423="PT"),--('Repartition stock'!$E$6:$E$423="Millésime"),--('Repartition stock'!$F$6:$F$423="2024"),--('Repartition stock'!$J$6:$J$423="n.d."))&gt;0),"n.d.",SUMPRODUCT(--('Repartition stock'!$A$6:$A$423="2026Q3"),--('Repartition stock'!$B$6:$B$423="PT"),--('Repartition stock'!$E$6:$E$423="Millésime"),--('Repartition stock'!$F$6:$F$423="2024"),'Repartition stock'!$J$6:$J$423)))</f>
        <v>7029.0</v>
      </c>
      <c r="AA14" s="16"/>
      <c r="AB14" s="16"/>
      <c r="AC14" s="7">
        <f>IF((IF(OR(COUNT(X14,X17)&lt;&gt;2,X17=0),"n.d.",X14/X17))="n.d.",0,IF(OR(COUNT(X14,X17)&lt;&gt;2,X17=0),"n.d.",X14/X17))</f>
        <v>0.008891336847903062</v>
      </c>
      <c r="AD14" s="7"/>
      <c r="AE14" s="7">
        <f>IF((IF(OR(COUNT(Z14,Z17)&lt;&gt;2,Z17=0),"n.d.",Z14/Z17))="n.d.",0,IF(OR(COUNT(Z14,Z17)&lt;&gt;2,Z17=0),"n.d.",Z14/Z17))</f>
        <v>0.01258473074154841</v>
      </c>
      <c r="AF14" s="7"/>
    </row>
    <row r="15" spans="1:32" ht="13.5" customHeight="1">
      <c r="A15" s="12"/>
      <c r="R15" s="4"/>
      <c r="S15" s="4"/>
      <c r="T15" s="4"/>
      <c r="U15" s="15" t="s">
        <v>53</v>
      </c>
      <c r="V15" s="15"/>
      <c r="W15" s="15"/>
      <c r="X15" s="16">
        <f>IF((IF(OR(SUMPRODUCT(--('Repartition stock'!$A$6:$A$423="2026Q3"),--('Repartition stock'!$B$6:$B$423="PT"),--('Repartition stock'!$E$6:$E$423="Millésime"),--('Repartition stock'!$F$6:$F$423="2025"))=0,SUMPRODUCT(--('Repartition stock'!$A$6:$A$423="2026Q3"),--('Repartition stock'!$B$6:$B$423="PT"),--('Repartition stock'!$E$6:$E$423="Millésime"),--('Repartition stock'!$F$6:$F$423="2025"),--('Repartition stock'!$G$6:$G$423="n.d."))&gt;0),"n.d.",SUMPRODUCT(--('Repartition stock'!$A$6:$A$423="2026Q3"),--('Repartition stock'!$B$6:$B$423="PT"),--('Repartition stock'!$E$6:$E$423="Millésime"),--('Repartition stock'!$F$6:$F$423="2025"),'Repartition stock'!$G$6:$G$423)))="n.d.",0,IF(OR(SUMPRODUCT(--('Repartition stock'!$A$6:$A$423="2026Q3"),--('Repartition stock'!$B$6:$B$423="PT"),--('Repartition stock'!$E$6:$E$423="Millésime"),--('Repartition stock'!$F$6:$F$423="2025"))=0,SUMPRODUCT(--('Repartition stock'!$A$6:$A$423="2026Q3"),--('Repartition stock'!$B$6:$B$423="PT"),--('Repartition stock'!$E$6:$E$423="Millésime"),--('Repartition stock'!$F$6:$F$423="2025"),--('Repartition stock'!$G$6:$G$423="n.d."))&gt;0),"n.d.",SUMPRODUCT(--('Repartition stock'!$A$6:$A$423="2026Q3"),--('Repartition stock'!$B$6:$B$423="PT"),--('Repartition stock'!$E$6:$E$423="Millésime"),--('Repartition stock'!$F$6:$F$423="2025"),'Repartition stock'!$G$6:$G$423)))</f>
        <v>808.0</v>
      </c>
      <c r="Y15" s="16"/>
      <c r="Z15" s="16">
        <f>IF((IF(OR(SUMPRODUCT(--('Repartition stock'!$A$6:$A$423="2026Q3"),--('Repartition stock'!$B$6:$B$423="PT"),--('Repartition stock'!$E$6:$E$423="Millésime"),--('Repartition stock'!$F$6:$F$423="2025"))=0,SUMPRODUCT(--('Repartition stock'!$A$6:$A$423="2026Q3"),--('Repartition stock'!$B$6:$B$423="PT"),--('Repartition stock'!$E$6:$E$423="Millésime"),--('Repartition stock'!$F$6:$F$423="2025"),--('Repartition stock'!$J$6:$J$423="n.d."))&gt;0),"n.d.",SUMPRODUCT(--('Repartition stock'!$A$6:$A$423="2026Q3"),--('Repartition stock'!$B$6:$B$423="PT"),--('Repartition stock'!$E$6:$E$423="Millésime"),--('Repartition stock'!$F$6:$F$423="2025"),'Repartition stock'!$J$6:$J$423)))="n.d.",0,IF(OR(SUMPRODUCT(--('Repartition stock'!$A$6:$A$423="2026Q3"),--('Repartition stock'!$B$6:$B$423="PT"),--('Repartition stock'!$E$6:$E$423="Millésime"),--('Repartition stock'!$F$6:$F$423="2025"))=0,SUMPRODUCT(--('Repartition stock'!$A$6:$A$423="2026Q3"),--('Repartition stock'!$B$6:$B$423="PT"),--('Repartition stock'!$E$6:$E$423="Millésime"),--('Repartition stock'!$F$6:$F$423="2025"),--('Repartition stock'!$J$6:$J$423="n.d."))&gt;0),"n.d.",SUMPRODUCT(--('Repartition stock'!$A$6:$A$423="2026Q3"),--('Repartition stock'!$B$6:$B$423="PT"),--('Repartition stock'!$E$6:$E$423="Millésime"),--('Repartition stock'!$F$6:$F$423="2025"),'Repartition stock'!$J$6:$J$423)))</f>
        <v>47517.0</v>
      </c>
      <c r="AA15" s="16"/>
      <c r="AB15" s="16"/>
      <c r="AC15" s="7">
        <f>IF((IF(OR(COUNT(X15,X17)&lt;&gt;2,X17=0),"n.d.",X15/X17))="n.d.",0,IF(OR(COUNT(X15,X17)&lt;&gt;2,X17=0),"n.d.",X15/X17))</f>
        <v>0.06357699268235109</v>
      </c>
      <c r="AD15" s="7"/>
      <c r="AE15" s="7">
        <f>IF((IF(OR(COUNT(Z15,Z17)&lt;&gt;2,Z17=0),"n.d.",Z15/Z17))="n.d.",0,IF(OR(COUNT(Z15,Z17)&lt;&gt;2,Z17=0),"n.d.",Z15/Z17))</f>
        <v>0.08507449859811578</v>
      </c>
      <c r="AF15" s="7"/>
    </row>
    <row r="16" spans="1:32" ht="13.5" customHeight="1">
      <c r="A16" s="12"/>
      <c r="R16" s="4"/>
      <c r="S16" s="4"/>
      <c r="T16" s="4"/>
      <c r="U16" s="15" t="s">
        <v>55</v>
      </c>
      <c r="V16" s="15"/>
      <c r="W16" s="15"/>
      <c r="X16" s="16">
        <f>IF((IF(OR(SUMPRODUCT(--('Repartition stock'!$A$6:$A$423="2026Q3"),--('Repartition stock'!$B$6:$B$423="PT"),--('Repartition stock'!$E$6:$E$423="Millésime"),--('Repartition stock'!$F$6:$F$423="2026"))=0,SUMPRODUCT(--('Repartition stock'!$A$6:$A$423="2026Q3"),--('Repartition stock'!$B$6:$B$423="PT"),--('Repartition stock'!$E$6:$E$423="Millésime"),--('Repartition stock'!$F$6:$F$423="2026"),--('Repartition stock'!$G$6:$G$423="n.d."))&gt;0),"n.d.",SUMPRODUCT(--('Repartition stock'!$A$6:$A$423="2026Q3"),--('Repartition stock'!$B$6:$B$423="PT"),--('Repartition stock'!$E$6:$E$423="Millésime"),--('Repartition stock'!$F$6:$F$423="2026"),'Repartition stock'!$G$6:$G$423)))="n.d.",0,IF(OR(SUMPRODUCT(--('Repartition stock'!$A$6:$A$423="2026Q3"),--('Repartition stock'!$B$6:$B$423="PT"),--('Repartition stock'!$E$6:$E$423="Millésime"),--('Repartition stock'!$F$6:$F$423="2026"))=0,SUMPRODUCT(--('Repartition stock'!$A$6:$A$423="2026Q3"),--('Repartition stock'!$B$6:$B$423="PT"),--('Repartition stock'!$E$6:$E$423="Millésime"),--('Repartition stock'!$F$6:$F$423="2026"),--('Repartition stock'!$G$6:$G$423="n.d."))&gt;0),"n.d.",SUMPRODUCT(--('Repartition stock'!$A$6:$A$423="2026Q3"),--('Repartition stock'!$B$6:$B$423="PT"),--('Repartition stock'!$E$6:$E$423="Millésime"),--('Repartition stock'!$F$6:$F$423="2026"),'Repartition stock'!$G$6:$G$423)))</f>
        <v>11788.0</v>
      </c>
      <c r="Y16" s="16"/>
      <c r="Z16" s="16">
        <f>IF((IF(OR(SUMPRODUCT(--('Repartition stock'!$A$6:$A$423="2026Q3"),--('Repartition stock'!$B$6:$B$423="PT"),--('Repartition stock'!$E$6:$E$423="Millésime"),--('Repartition stock'!$F$6:$F$423="2026"))=0,SUMPRODUCT(--('Repartition stock'!$A$6:$A$423="2026Q3"),--('Repartition stock'!$B$6:$B$423="PT"),--('Repartition stock'!$E$6:$E$423="Millésime"),--('Repartition stock'!$F$6:$F$423="2026"),--('Repartition stock'!$J$6:$J$423="n.d."))&gt;0),"n.d.",SUMPRODUCT(--('Repartition stock'!$A$6:$A$423="2026Q3"),--('Repartition stock'!$B$6:$B$423="PT"),--('Repartition stock'!$E$6:$E$423="Millésime"),--('Repartition stock'!$F$6:$F$423="2026"),'Repartition stock'!$J$6:$J$423)))="n.d.",0,IF(OR(SUMPRODUCT(--('Repartition stock'!$A$6:$A$423="2026Q3"),--('Repartition stock'!$B$6:$B$423="PT"),--('Repartition stock'!$E$6:$E$423="Millésime"),--('Repartition stock'!$F$6:$F$423="2026"))=0,SUMPRODUCT(--('Repartition stock'!$A$6:$A$423="2026Q3"),--('Repartition stock'!$B$6:$B$423="PT"),--('Repartition stock'!$E$6:$E$423="Millésime"),--('Repartition stock'!$F$6:$F$423="2026"),--('Repartition stock'!$J$6:$J$423="n.d."))&gt;0),"n.d.",SUMPRODUCT(--('Repartition stock'!$A$6:$A$423="2026Q3"),--('Repartition stock'!$B$6:$B$423="PT"),--('Repartition stock'!$E$6:$E$423="Millésime"),--('Repartition stock'!$F$6:$F$423="2026"),'Repartition stock'!$J$6:$J$423)))</f>
        <v>503988.0</v>
      </c>
      <c r="AA16" s="16"/>
      <c r="AB16" s="16"/>
      <c r="AC16" s="7">
        <f>IF((IF(OR(COUNT(X16,X17)&lt;&gt;2,X17=0),"n.d.",X16/X17))="n.d.",0,IF(OR(COUNT(X16,X17)&lt;&gt;2,X17=0),"n.d.",X16/X17))</f>
        <v>0.9275316704697458</v>
      </c>
      <c r="AD16" s="7"/>
      <c r="AE16" s="7">
        <f>IF((IF(OR(COUNT(Z16,Z17)&lt;&gt;2,Z17=0),"n.d.",Z16/Z17))="n.d.",0,IF(OR(COUNT(Z16,Z17)&lt;&gt;2,Z17=0),"n.d.",Z16/Z17))</f>
        <v>0.9023407706603358</v>
      </c>
      <c r="AF16" s="7"/>
    </row>
    <row r="17" spans="1:32" ht="13.5" customHeight="1">
      <c r="A17" s="12"/>
      <c r="R17" s="17" t="s">
        <v>3150</v>
      </c>
      <c r="S17" s="17"/>
      <c r="T17" s="17"/>
      <c r="U17" s="17"/>
      <c r="V17" s="17"/>
      <c r="W17" s="17"/>
      <c r="X17" s="17">
        <f>IF((IF(COUNT(X14:X16)=3,SUM(X14:X16),"n.d."))="n.d.",0,IF(COUNT(X14:X16)=3,SUM(X14:X16),"n.d."))</f>
        <v>12709.0</v>
      </c>
      <c r="Y17" s="17"/>
      <c r="Z17" s="17">
        <f>IF((IF(COUNT(Z14:Z16)=3,SUM(Z14:Z16),"n.d."))="n.d.",0,IF(COUNT(Z14:Z16)=3,SUM(Z14:Z16),"n.d."))</f>
        <v>558534.0</v>
      </c>
      <c r="AA17" s="17"/>
      <c r="AB17" s="17"/>
      <c r="AC17" s="9">
        <f>IF((IF(OR(NOT(ISNUMBER(X17)),X17=0),"n.d.",1))="n.d.",0,IF(OR(NOT(ISNUMBER(X17)),X17=0),"n.d.",1))</f>
        <v>1.0</v>
      </c>
      <c r="AD17" s="9"/>
      <c r="AE17" s="9">
        <f>IF((IF(OR(NOT(ISNUMBER(Z17)),Z17=0),"n.d.",1))="n.d.",0,IF(OR(NOT(ISNUMBER(Z17)),Z17=0),"n.d.",1))</f>
        <v>1.0</v>
      </c>
      <c r="AF17" s="9"/>
    </row>
    <row r="18" spans="1:32" ht="13.5" customHeight="1">
      <c r="A18" s="12"/>
    </row>
    <row r="19" spans="1:32" ht="13.5" customHeight="1">
      <c r="A19" s="12"/>
    </row>
    <row r="20" spans="1:32" ht="13.5" customHeight="1">
      <c r="A20" s="12"/>
    </row>
    <row r="21" spans="1:32" ht="13.5" customHeight="1">
      <c r="A21" s="12"/>
    </row>
    <row r="22" spans="1:32" ht="13.5" customHeight="1">
      <c r="A22" s="12"/>
    </row>
    <row r="23" spans="1:32" ht="13.5" customHeight="1">
      <c r="A23" s="12"/>
    </row>
    <row r="24" spans="1:32" ht="13.5" customHeight="1">
      <c r="A24" s="12"/>
    </row>
    <row r="25" spans="1:32" ht="13.5" customHeight="1">
      <c r="A25" s="12"/>
    </row>
    <row r="26" spans="1:32" ht="13.5" customHeight="1">
      <c r="A26" s="12"/>
    </row>
    <row r="27" spans="1:32" ht="13.5" customHeight="1">
      <c r="A27" s="12"/>
    </row>
    <row r="28" spans="1:32" ht="13.5" customHeight="1">
      <c r="A28" s="12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"&amp;IF(ISNUMBER('GraphData'!A194),TEXT('GraphData'!A194,"#,##0"),"0")&amp;" EUR. Average balance per contract: "&amp;IF(ISNUMBER('GraphData'!B194),TEXT('GraphData'!B194,"#,##0"),"0")&amp;" EUR."</f>
        <v>Average monthly new flow: 2,355,232 EUR. Average balance per contract: 803 EUR.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"&amp;IF(ISNUMBER('GraphData'!C194),TEXT('GraphData'!C194,"0.0%"),"0")&amp;" treated in amount and "&amp;IF(ISNUMBER('GraphData'!D194),TEXT('GraphData'!D194,"0.0%"),"0")&amp;" in number."</f>
        <v>Oldest cohort (M-5): 99.7% treated in amount and 94.0%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"&amp;IF(ISNUMBER('GraphData'!E194),TEXT('GraphData'!E194,"#,##0"),"0")&amp;" EUR. Identified stock: "&amp;IF(ISNUMBER('GraphData'!F194),TEXT('GraphData'!F194,"#,##0"),"0")&amp;" EUR."</f>
        <v>Stock to process: 542,133 EUR. Identified stock: 607,594 EUR.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3177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3079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65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16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R17:W17"/>
    <mergeCell ref="X17:Y17"/>
    <mergeCell ref="Z17:AB17"/>
    <mergeCell ref="AC17:AD17"/>
    <mergeCell ref="AE17:AF17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63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3160</v>
      </c>
      <c r="S2" s="4"/>
      <c r="T2" s="4"/>
      <c r="U2" s="4"/>
      <c r="V2" s="4"/>
      <c r="W2" s="4"/>
      <c r="X2" s="14">
        <v>46295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3146</v>
      </c>
      <c r="Y3" s="4"/>
      <c r="Z3" s="4" t="s">
        <v>3147</v>
      </c>
      <c r="AA3" s="4"/>
      <c r="AB3" s="4"/>
      <c r="AC3" s="4" t="s">
        <v>3148</v>
      </c>
      <c r="AD3" s="4"/>
      <c r="AE3" s="4" t="s">
        <v>3149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1" t="s">
        <v>3161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2"/>
      <c r="R7" s="4" t="s">
        <v>1284</v>
      </c>
      <c r="S7" s="4"/>
      <c r="T7" s="4"/>
      <c r="U7" s="15" t="s">
        <v>377</v>
      </c>
      <c r="V7" s="15"/>
      <c r="W7" s="15"/>
      <c r="X7" s="16">
        <f>IF((IF(OR(SUMPRODUCT(--('Repartition stock'!$A$6:$A$423="2026Q3"),--('Repartition stock'!$B$6:$B$423="FR"),--('Repartition stock'!$E$6:$E$423="Tranche"),--('Repartition stock'!$F$6:$F$423="0 - 1 €"))=0,SUMPRODUCT(--('Repartition stock'!$A$6:$A$423="2026Q3"),--('Repartition stock'!$B$6:$B$423="FR"),--('Repartition stock'!$E$6:$E$423="Tranche"),--('Repartition stock'!$F$6:$F$423="0 - 1 €"),--('Repartition stock'!$G$6:$G$423="n.d."))&gt;0),"n.d.",SUMPRODUCT(--('Repartition stock'!$A$6:$A$423="2026Q3"),--('Repartition stock'!$B$6:$B$423="FR"),--('Repartition stock'!$E$6:$E$423="Tranche"),--('Repartition stock'!$F$6:$F$423="0 - 1 €"),'Repartition stock'!$G$6:$G$423)))="n.d.",0,IF(OR(SUMPRODUCT(--('Repartition stock'!$A$6:$A$423="2026Q3"),--('Repartition stock'!$B$6:$B$423="FR"),--('Repartition stock'!$E$6:$E$423="Tranche"),--('Repartition stock'!$F$6:$F$423="0 - 1 €"))=0,SUMPRODUCT(--('Repartition stock'!$A$6:$A$423="2026Q3"),--('Repartition stock'!$B$6:$B$423="FR"),--('Repartition stock'!$E$6:$E$423="Tranche"),--('Repartition stock'!$F$6:$F$423="0 - 1 €"),--('Repartition stock'!$G$6:$G$423="n.d."))&gt;0),"n.d.",SUMPRODUCT(--('Repartition stock'!$A$6:$A$423="2026Q3"),--('Repartition stock'!$B$6:$B$423="FR"),--('Repartition stock'!$E$6:$E$423="Tranche"),--('Repartition stock'!$F$6:$F$423="0 - 1 €"),'Repartition stock'!$G$6:$G$423)))</f>
        <v>2792.0</v>
      </c>
      <c r="Y7" s="16"/>
      <c r="Z7" s="16">
        <f>IF((IF(OR(SUMPRODUCT(--('Repartition stock'!$A$6:$A$423="2026Q3"),--('Repartition stock'!$B$6:$B$423="FR"),--('Repartition stock'!$E$6:$E$423="Tranche"),--('Repartition stock'!$F$6:$F$423="0 - 1 €"))=0,SUMPRODUCT(--('Repartition stock'!$A$6:$A$423="2026Q3"),--('Repartition stock'!$B$6:$B$423="FR"),--('Repartition stock'!$E$6:$E$423="Tranche"),--('Repartition stock'!$F$6:$F$423="0 - 1 €"),--('Repartition stock'!$J$6:$J$423="n.d."))&gt;0),"n.d.",SUMPRODUCT(--('Repartition stock'!$A$6:$A$423="2026Q3"),--('Repartition stock'!$B$6:$B$423="FR"),--('Repartition stock'!$E$6:$E$423="Tranche"),--('Repartition stock'!$F$6:$F$423="0 - 1 €"),'Repartition stock'!$J$6:$J$423)))="n.d.",0,IF(OR(SUMPRODUCT(--('Repartition stock'!$A$6:$A$423="2026Q3"),--('Repartition stock'!$B$6:$B$423="FR"),--('Repartition stock'!$E$6:$E$423="Tranche"),--('Repartition stock'!$F$6:$F$423="0 - 1 €"))=0,SUMPRODUCT(--('Repartition stock'!$A$6:$A$423="2026Q3"),--('Repartition stock'!$B$6:$B$423="FR"),--('Repartition stock'!$E$6:$E$423="Tranche"),--('Repartition stock'!$F$6:$F$423="0 - 1 €"),--('Repartition stock'!$J$6:$J$423="n.d."))&gt;0),"n.d.",SUMPRODUCT(--('Repartition stock'!$A$6:$A$423="2026Q3"),--('Repartition stock'!$B$6:$B$423="FR"),--('Repartition stock'!$E$6:$E$423="Tranche"),--('Repartition stock'!$F$6:$F$423="0 - 1 €"),'Repartition stock'!$J$6:$J$423)))</f>
        <v>837.0</v>
      </c>
      <c r="AA7" s="16"/>
      <c r="AB7" s="16"/>
      <c r="AC7" s="7">
        <f>IF((IF(OR(COUNT(X7,X12)&lt;&gt;2,X12=0),"n.d.",X7/X12))="n.d.",0,IF(OR(COUNT(X7,X12)&lt;&gt;2,X12=0),"n.d.",X7/X12))</f>
        <v>0.16761721798643214</v>
      </c>
      <c r="AD7" s="7"/>
      <c r="AE7" s="7">
        <f>IF((IF(OR(COUNT(Z7,Z12)&lt;&gt;2,Z12=0),"n.d.",Z7/Z12))="n.d.",0,IF(OR(COUNT(Z7,Z12)&lt;&gt;2,Z12=0),"n.d.",Z7/Z12))</f>
        <v>0.0002887577998242614</v>
      </c>
      <c r="AF7" s="7"/>
    </row>
    <row r="8" spans="1:32" ht="13.5" customHeight="1">
      <c r="A8" s="12"/>
      <c r="R8" s="4"/>
      <c r="S8" s="4"/>
      <c r="T8" s="4"/>
      <c r="U8" s="15" t="s">
        <v>379</v>
      </c>
      <c r="V8" s="15"/>
      <c r="W8" s="15"/>
      <c r="X8" s="16">
        <f>IF((IF(OR(SUMPRODUCT(--('Repartition stock'!$A$6:$A$423="2026Q3"),--('Repartition stock'!$B$6:$B$423="FR"),--('Repartition stock'!$E$6:$E$423="Tranche"),--('Repartition stock'!$F$6:$F$423="1 - 10 €"))=0,SUMPRODUCT(--('Repartition stock'!$A$6:$A$423="2026Q3"),--('Repartition stock'!$B$6:$B$423="FR"),--('Repartition stock'!$E$6:$E$423="Tranche"),--('Repartition stock'!$F$6:$F$423="1 - 10 €"),--('Repartition stock'!$G$6:$G$423="n.d."))&gt;0),"n.d.",SUMPRODUCT(--('Repartition stock'!$A$6:$A$423="2026Q3"),--('Repartition stock'!$B$6:$B$423="FR"),--('Repartition stock'!$E$6:$E$423="Tranche"),--('Repartition stock'!$F$6:$F$423="1 - 10 €"),'Repartition stock'!$G$6:$G$423)))="n.d.",0,IF(OR(SUMPRODUCT(--('Repartition stock'!$A$6:$A$423="2026Q3"),--('Repartition stock'!$B$6:$B$423="FR"),--('Repartition stock'!$E$6:$E$423="Tranche"),--('Repartition stock'!$F$6:$F$423="1 - 10 €"))=0,SUMPRODUCT(--('Repartition stock'!$A$6:$A$423="2026Q3"),--('Repartition stock'!$B$6:$B$423="FR"),--('Repartition stock'!$E$6:$E$423="Tranche"),--('Repartition stock'!$F$6:$F$423="1 - 10 €"),--('Repartition stock'!$G$6:$G$423="n.d."))&gt;0),"n.d.",SUMPRODUCT(--('Repartition stock'!$A$6:$A$423="2026Q3"),--('Repartition stock'!$B$6:$B$423="FR"),--('Repartition stock'!$E$6:$E$423="Tranche"),--('Repartition stock'!$F$6:$F$423="1 - 10 €"),'Repartition stock'!$G$6:$G$423)))</f>
        <v>2663.0</v>
      </c>
      <c r="Y8" s="16"/>
      <c r="Z8" s="16">
        <f>IF((IF(OR(SUMPRODUCT(--('Repartition stock'!$A$6:$A$423="2026Q3"),--('Repartition stock'!$B$6:$B$423="FR"),--('Repartition stock'!$E$6:$E$423="Tranche"),--('Repartition stock'!$F$6:$F$423="1 - 10 €"))=0,SUMPRODUCT(--('Repartition stock'!$A$6:$A$423="2026Q3"),--('Repartition stock'!$B$6:$B$423="FR"),--('Repartition stock'!$E$6:$E$423="Tranche"),--('Repartition stock'!$F$6:$F$423="1 - 10 €"),--('Repartition stock'!$J$6:$J$423="n.d."))&gt;0),"n.d.",SUMPRODUCT(--('Repartition stock'!$A$6:$A$423="2026Q3"),--('Repartition stock'!$B$6:$B$423="FR"),--('Repartition stock'!$E$6:$E$423="Tranche"),--('Repartition stock'!$F$6:$F$423="1 - 10 €"),'Repartition stock'!$J$6:$J$423)))="n.d.",0,IF(OR(SUMPRODUCT(--('Repartition stock'!$A$6:$A$423="2026Q3"),--('Repartition stock'!$B$6:$B$423="FR"),--('Repartition stock'!$E$6:$E$423="Tranche"),--('Repartition stock'!$F$6:$F$423="1 - 10 €"))=0,SUMPRODUCT(--('Repartition stock'!$A$6:$A$423="2026Q3"),--('Repartition stock'!$B$6:$B$423="FR"),--('Repartition stock'!$E$6:$E$423="Tranche"),--('Repartition stock'!$F$6:$F$423="1 - 10 €"),--('Repartition stock'!$J$6:$J$423="n.d."))&gt;0),"n.d.",SUMPRODUCT(--('Repartition stock'!$A$6:$A$423="2026Q3"),--('Repartition stock'!$B$6:$B$423="FR"),--('Repartition stock'!$E$6:$E$423="Tranche"),--('Repartition stock'!$F$6:$F$423="1 - 10 €"),'Repartition stock'!$J$6:$J$423)))</f>
        <v>12443.0</v>
      </c>
      <c r="AA8" s="16"/>
      <c r="AB8" s="16"/>
      <c r="AC8" s="7">
        <f>IF((IF(OR(COUNT(X8,X12)&lt;&gt;2,X12=0),"n.d.",X8/X12))="n.d.",0,IF(OR(COUNT(X8,X12)&lt;&gt;2,X12=0),"n.d.",X8/X12))</f>
        <v>0.1598727261811851</v>
      </c>
      <c r="AD8" s="7"/>
      <c r="AE8" s="7">
        <f>IF((IF(OR(COUNT(Z8,Z12)&lt;&gt;2,Z12=0),"n.d.",Z8/Z12))="n.d.",0,IF(OR(COUNT(Z8,Z12)&lt;&gt;2,Z12=0),"n.d.",Z8/Z12))</f>
        <v>0.004292727960828297</v>
      </c>
      <c r="AF8" s="7"/>
    </row>
    <row r="9" spans="1:32" ht="13.5" customHeight="1">
      <c r="A9" s="12"/>
      <c r="R9" s="4"/>
      <c r="S9" s="4"/>
      <c r="T9" s="4"/>
      <c r="U9" s="15" t="s">
        <v>381</v>
      </c>
      <c r="V9" s="15"/>
      <c r="W9" s="15"/>
      <c r="X9" s="16">
        <f>IF((IF(OR(SUMPRODUCT(--('Repartition stock'!$A$6:$A$423="2026Q3"),--('Repartition stock'!$B$6:$B$423="FR"),--('Repartition stock'!$E$6:$E$423="Tranche"),--('Repartition stock'!$F$6:$F$423="10 - 100 €"))=0,SUMPRODUCT(--('Repartition stock'!$A$6:$A$423="2026Q3"),--('Repartition stock'!$B$6:$B$423="FR"),--('Repartition stock'!$E$6:$E$423="Tranche"),--('Repartition stock'!$F$6:$F$423="10 - 100 €"),--('Repartition stock'!$G$6:$G$423="n.d."))&gt;0),"n.d.",SUMPRODUCT(--('Repartition stock'!$A$6:$A$423="2026Q3"),--('Repartition stock'!$B$6:$B$423="FR"),--('Repartition stock'!$E$6:$E$423="Tranche"),--('Repartition stock'!$F$6:$F$423="10 - 100 €"),'Repartition stock'!$G$6:$G$423)))="n.d.",0,IF(OR(SUMPRODUCT(--('Repartition stock'!$A$6:$A$423="2026Q3"),--('Repartition stock'!$B$6:$B$423="FR"),--('Repartition stock'!$E$6:$E$423="Tranche"),--('Repartition stock'!$F$6:$F$423="10 - 100 €"))=0,SUMPRODUCT(--('Repartition stock'!$A$6:$A$423="2026Q3"),--('Repartition stock'!$B$6:$B$423="FR"),--('Repartition stock'!$E$6:$E$423="Tranche"),--('Repartition stock'!$F$6:$F$423="10 - 100 €"),--('Repartition stock'!$G$6:$G$423="n.d."))&gt;0),"n.d.",SUMPRODUCT(--('Repartition stock'!$A$6:$A$423="2026Q3"),--('Repartition stock'!$B$6:$B$423="FR"),--('Repartition stock'!$E$6:$E$423="Tranche"),--('Repartition stock'!$F$6:$F$423="10 - 100 €"),'Repartition stock'!$G$6:$G$423)))</f>
        <v>5947.0</v>
      </c>
      <c r="Y9" s="16"/>
      <c r="Z9" s="16">
        <f>IF((IF(OR(SUMPRODUCT(--('Repartition stock'!$A$6:$A$423="2026Q3"),--('Repartition stock'!$B$6:$B$423="FR"),--('Repartition stock'!$E$6:$E$423="Tranche"),--('Repartition stock'!$F$6:$F$423="10 - 100 €"))=0,SUMPRODUCT(--('Repartition stock'!$A$6:$A$423="2026Q3"),--('Repartition stock'!$B$6:$B$423="FR"),--('Repartition stock'!$E$6:$E$423="Tranche"),--('Repartition stock'!$F$6:$F$423="10 - 100 €"),--('Repartition stock'!$J$6:$J$423="n.d."))&gt;0),"n.d.",SUMPRODUCT(--('Repartition stock'!$A$6:$A$423="2026Q3"),--('Repartition stock'!$B$6:$B$423="FR"),--('Repartition stock'!$E$6:$E$423="Tranche"),--('Repartition stock'!$F$6:$F$423="10 - 100 €"),'Repartition stock'!$J$6:$J$423)))="n.d.",0,IF(OR(SUMPRODUCT(--('Repartition stock'!$A$6:$A$423="2026Q3"),--('Repartition stock'!$B$6:$B$423="FR"),--('Repartition stock'!$E$6:$E$423="Tranche"),--('Repartition stock'!$F$6:$F$423="10 - 100 €"))=0,SUMPRODUCT(--('Repartition stock'!$A$6:$A$423="2026Q3"),--('Repartition stock'!$B$6:$B$423="FR"),--('Repartition stock'!$E$6:$E$423="Tranche"),--('Repartition stock'!$F$6:$F$423="10 - 100 €"),--('Repartition stock'!$J$6:$J$423="n.d."))&gt;0),"n.d.",SUMPRODUCT(--('Repartition stock'!$A$6:$A$423="2026Q3"),--('Repartition stock'!$B$6:$B$423="FR"),--('Repartition stock'!$E$6:$E$423="Tranche"),--('Repartition stock'!$F$6:$F$423="10 - 100 €"),'Repartition stock'!$J$6:$J$423)))</f>
        <v>265714.0</v>
      </c>
      <c r="AA9" s="16"/>
      <c r="AB9" s="16"/>
      <c r="AC9" s="7">
        <f>IF((IF(OR(COUNT(X9,X12)&lt;&gt;2,X12=0),"n.d.",X9/X12))="n.d.",0,IF(OR(COUNT(X9,X12)&lt;&gt;2,X12=0),"n.d.",X9/X12))</f>
        <v>0.3570270757039083</v>
      </c>
      <c r="AD9" s="7"/>
      <c r="AE9" s="7">
        <f>IF((IF(OR(COUNT(Z9,Z12)&lt;&gt;2,Z12=0),"n.d.",Z9/Z12))="n.d.",0,IF(OR(COUNT(Z9,Z12)&lt;&gt;2,Z12=0),"n.d.",Z9/Z12))</f>
        <v>0.09166904423238206</v>
      </c>
      <c r="AF9" s="7"/>
    </row>
    <row r="10" spans="1:32" ht="13.5" customHeight="1">
      <c r="A10" s="12"/>
      <c r="R10" s="4"/>
      <c r="S10" s="4"/>
      <c r="T10" s="4"/>
      <c r="U10" s="15" t="s">
        <v>383</v>
      </c>
      <c r="V10" s="15"/>
      <c r="W10" s="15"/>
      <c r="X10" s="16">
        <f>IF((IF(OR(SUMPRODUCT(--('Repartition stock'!$A$6:$A$423="2026Q3"),--('Repartition stock'!$B$6:$B$423="FR"),--('Repartition stock'!$E$6:$E$423="Tranche"),--('Repartition stock'!$F$6:$F$423="100 - 1 000 €"))=0,SUMPRODUCT(--('Repartition stock'!$A$6:$A$423="2026Q3"),--('Repartition stock'!$B$6:$B$423="FR"),--('Repartition stock'!$E$6:$E$423="Tranche"),--('Repartition stock'!$F$6:$F$423="100 - 1 000 €"),--('Repartition stock'!$G$6:$G$423="n.d."))&gt;0),"n.d.",SUMPRODUCT(--('Repartition stock'!$A$6:$A$423="2026Q3"),--('Repartition stock'!$B$6:$B$423="FR"),--('Repartition stock'!$E$6:$E$423="Tranche"),--('Repartition stock'!$F$6:$F$423="100 - 1 000 €"),'Repartition stock'!$G$6:$G$423)))="n.d.",0,IF(OR(SUMPRODUCT(--('Repartition stock'!$A$6:$A$423="2026Q3"),--('Repartition stock'!$B$6:$B$423="FR"),--('Repartition stock'!$E$6:$E$423="Tranche"),--('Repartition stock'!$F$6:$F$423="100 - 1 000 €"))=0,SUMPRODUCT(--('Repartition stock'!$A$6:$A$423="2026Q3"),--('Repartition stock'!$B$6:$B$423="FR"),--('Repartition stock'!$E$6:$E$423="Tranche"),--('Repartition stock'!$F$6:$F$423="100 - 1 000 €"),--('Repartition stock'!$G$6:$G$423="n.d."))&gt;0),"n.d.",SUMPRODUCT(--('Repartition stock'!$A$6:$A$423="2026Q3"),--('Repartition stock'!$B$6:$B$423="FR"),--('Repartition stock'!$E$6:$E$423="Tranche"),--('Repartition stock'!$F$6:$F$423="100 - 1 000 €"),'Repartition stock'!$G$6:$G$423)))</f>
        <v>4692.0</v>
      </c>
      <c r="Y10" s="16"/>
      <c r="Z10" s="16">
        <f>IF((IF(OR(SUMPRODUCT(--('Repartition stock'!$A$6:$A$423="2026Q3"),--('Repartition stock'!$B$6:$B$423="FR"),--('Repartition stock'!$E$6:$E$423="Tranche"),--('Repartition stock'!$F$6:$F$423="100 - 1 000 €"))=0,SUMPRODUCT(--('Repartition stock'!$A$6:$A$423="2026Q3"),--('Repartition stock'!$B$6:$B$423="FR"),--('Repartition stock'!$E$6:$E$423="Tranche"),--('Repartition stock'!$F$6:$F$423="100 - 1 000 €"),--('Repartition stock'!$J$6:$J$423="n.d."))&gt;0),"n.d.",SUMPRODUCT(--('Repartition stock'!$A$6:$A$423="2026Q3"),--('Repartition stock'!$B$6:$B$423="FR"),--('Repartition stock'!$E$6:$E$423="Tranche"),--('Repartition stock'!$F$6:$F$423="100 - 1 000 €"),'Repartition stock'!$J$6:$J$423)))="n.d.",0,IF(OR(SUMPRODUCT(--('Repartition stock'!$A$6:$A$423="2026Q3"),--('Repartition stock'!$B$6:$B$423="FR"),--('Repartition stock'!$E$6:$E$423="Tranche"),--('Repartition stock'!$F$6:$F$423="100 - 1 000 €"))=0,SUMPRODUCT(--('Repartition stock'!$A$6:$A$423="2026Q3"),--('Repartition stock'!$B$6:$B$423="FR"),--('Repartition stock'!$E$6:$E$423="Tranche"),--('Repartition stock'!$F$6:$F$423="100 - 1 000 €"),--('Repartition stock'!$J$6:$J$423="n.d."))&gt;0),"n.d.",SUMPRODUCT(--('Repartition stock'!$A$6:$A$423="2026Q3"),--('Repartition stock'!$B$6:$B$423="FR"),--('Repartition stock'!$E$6:$E$423="Tranche"),--('Repartition stock'!$F$6:$F$423="100 - 1 000 €"),'Repartition stock'!$J$6:$J$423)))</f>
        <v>1359598.0</v>
      </c>
      <c r="AA10" s="16"/>
      <c r="AB10" s="16"/>
      <c r="AC10" s="7">
        <f>IF((IF(OR(COUNT(X10,X12)&lt;&gt;2,X12=0),"n.d.",X10/X12))="n.d.",0,IF(OR(COUNT(X10,X12)&lt;&gt;2,X12=0),"n.d.",X10/X12))</f>
        <v>0.28168337635828783</v>
      </c>
      <c r="AD10" s="7"/>
      <c r="AE10" s="7">
        <f>IF((IF(OR(COUNT(Z10,Z12)&lt;&gt;2,Z12=0),"n.d.",Z10/Z12))="n.d.",0,IF(OR(COUNT(Z10,Z12)&lt;&gt;2,Z12=0),"n.d.",Z10/Z12))</f>
        <v>0.46904961424786873</v>
      </c>
      <c r="AF10" s="7"/>
    </row>
    <row r="11" spans="1:32" ht="13.5" customHeight="1">
      <c r="A11" s="12"/>
      <c r="R11" s="4"/>
      <c r="S11" s="4"/>
      <c r="T11" s="4"/>
      <c r="U11" s="15" t="s">
        <v>385</v>
      </c>
      <c r="V11" s="15"/>
      <c r="W11" s="15"/>
      <c r="X11" s="16">
        <f>IF((IF(OR(SUMPRODUCT(--('Repartition stock'!$A$6:$A$423="2026Q3"),--('Repartition stock'!$B$6:$B$423="FR"),--('Repartition stock'!$E$6:$E$423="Tranche"),--('Repartition stock'!$F$6:$F$423="&gt; 1 000 €"))=0,SUMPRODUCT(--('Repartition stock'!$A$6:$A$423="2026Q3"),--('Repartition stock'!$B$6:$B$423="FR"),--('Repartition stock'!$E$6:$E$423="Tranche"),--('Repartition stock'!$F$6:$F$423="&gt; 1 000 €"),--('Repartition stock'!$G$6:$G$423="n.d."))&gt;0),"n.d.",SUMPRODUCT(--('Repartition stock'!$A$6:$A$423="2026Q3"),--('Repartition stock'!$B$6:$B$423="FR"),--('Repartition stock'!$E$6:$E$423="Tranche"),--('Repartition stock'!$F$6:$F$423="&gt; 1 000 €"),'Repartition stock'!$G$6:$G$423)))="n.d.",0,IF(OR(SUMPRODUCT(--('Repartition stock'!$A$6:$A$423="2026Q3"),--('Repartition stock'!$B$6:$B$423="FR"),--('Repartition stock'!$E$6:$E$423="Tranche"),--('Repartition stock'!$F$6:$F$423="&gt; 1 000 €"))=0,SUMPRODUCT(--('Repartition stock'!$A$6:$A$423="2026Q3"),--('Repartition stock'!$B$6:$B$423="FR"),--('Repartition stock'!$E$6:$E$423="Tranche"),--('Repartition stock'!$F$6:$F$423="&gt; 1 000 €"),--('Repartition stock'!$G$6:$G$423="n.d."))&gt;0),"n.d.",SUMPRODUCT(--('Repartition stock'!$A$6:$A$423="2026Q3"),--('Repartition stock'!$B$6:$B$423="FR"),--('Repartition stock'!$E$6:$E$423="Tranche"),--('Repartition stock'!$F$6:$F$423="&gt; 1 000 €"),'Repartition stock'!$G$6:$G$423)))</f>
        <v>563.0</v>
      </c>
      <c r="Y11" s="16"/>
      <c r="Z11" s="16">
        <f>IF((IF(OR(SUMPRODUCT(--('Repartition stock'!$A$6:$A$423="2026Q3"),--('Repartition stock'!$B$6:$B$423="FR"),--('Repartition stock'!$E$6:$E$423="Tranche"),--('Repartition stock'!$F$6:$F$423="&gt; 1 000 €"))=0,SUMPRODUCT(--('Repartition stock'!$A$6:$A$423="2026Q3"),--('Repartition stock'!$B$6:$B$423="FR"),--('Repartition stock'!$E$6:$E$423="Tranche"),--('Repartition stock'!$F$6:$F$423="&gt; 1 000 €"),--('Repartition stock'!$J$6:$J$423="n.d."))&gt;0),"n.d.",SUMPRODUCT(--('Repartition stock'!$A$6:$A$423="2026Q3"),--('Repartition stock'!$B$6:$B$423="FR"),--('Repartition stock'!$E$6:$E$423="Tranche"),--('Repartition stock'!$F$6:$F$423="&gt; 1 000 €"),'Repartition stock'!$J$6:$J$423)))="n.d.",0,IF(OR(SUMPRODUCT(--('Repartition stock'!$A$6:$A$423="2026Q3"),--('Repartition stock'!$B$6:$B$423="FR"),--('Repartition stock'!$E$6:$E$423="Tranche"),--('Repartition stock'!$F$6:$F$423="&gt; 1 000 €"))=0,SUMPRODUCT(--('Repartition stock'!$A$6:$A$423="2026Q3"),--('Repartition stock'!$B$6:$B$423="FR"),--('Repartition stock'!$E$6:$E$423="Tranche"),--('Repartition stock'!$F$6:$F$423="&gt; 1 000 €"),--('Repartition stock'!$J$6:$J$423="n.d."))&gt;0),"n.d.",SUMPRODUCT(--('Repartition stock'!$A$6:$A$423="2026Q3"),--('Repartition stock'!$B$6:$B$423="FR"),--('Repartition stock'!$E$6:$E$423="Tranche"),--('Repartition stock'!$F$6:$F$423="&gt; 1 000 €"),'Repartition stock'!$J$6:$J$423)))</f>
        <v>1260031.0</v>
      </c>
      <c r="AA11" s="16"/>
      <c r="AB11" s="16"/>
      <c r="AC11" s="7">
        <f>IF((IF(OR(COUNT(X11,X12)&lt;&gt;2,X12=0),"n.d.",X11/X12))="n.d.",0,IF(OR(COUNT(X11,X12)&lt;&gt;2,X12=0),"n.d.",X11/X12))</f>
        <v>0.03379960377018671</v>
      </c>
      <c r="AD11" s="7"/>
      <c r="AE11" s="7">
        <f>IF((IF(OR(COUNT(Z11,Z12)&lt;&gt;2,Z12=0),"n.d.",Z11/Z12))="n.d.",0,IF(OR(COUNT(Z11,Z12)&lt;&gt;2,Z12=0),"n.d.",Z11/Z12))</f>
        <v>0.43469985575909664</v>
      </c>
      <c r="AF11" s="7"/>
    </row>
    <row r="12" spans="1:32" ht="13.5" customHeight="1">
      <c r="A12" s="12"/>
      <c r="R12" s="17" t="s">
        <v>3150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16657.0</v>
      </c>
      <c r="Y12" s="17"/>
      <c r="Z12" s="17">
        <f>IF((IF(COUNT(Z7:Z11)=5,SUM(Z7:Z11),"n.d."))="n.d.",0,IF(COUNT(Z7:Z11)=5,SUM(Z7:Z11),"n.d."))</f>
        <v>2898623.0</v>
      </c>
      <c r="AA12" s="17"/>
      <c r="AB12" s="17"/>
      <c r="AC12" s="9">
        <f>IF((IF(OR(NOT(ISNUMBER(X12)),X12=0),"n.d.",1))="n.d.",0,IF(OR(NOT(ISNUMBER(X12)),X12=0),"n.d.",1))</f>
        <v>1.0</v>
      </c>
      <c r="AD12" s="9"/>
      <c r="AE12" s="9">
        <f>IF((IF(OR(NOT(ISNUMBER(Z12)),Z12=0),"n.d.",1))="n.d.",0,IF(OR(NOT(ISNUMBER(Z12)),Z12=0),"n.d.",1))</f>
        <v>1.0</v>
      </c>
      <c r="AF12" s="9"/>
    </row>
    <row r="13" spans="1:32" ht="13.5" customHeight="1">
      <c r="A13" s="12"/>
    </row>
    <row r="14" spans="1:32" ht="13.5" customHeight="1">
      <c r="A14" s="12"/>
      <c r="R14" s="4" t="s">
        <v>3151</v>
      </c>
      <c r="S14" s="4"/>
      <c r="T14" s="4"/>
      <c r="U14" s="15" t="s">
        <v>387</v>
      </c>
      <c r="V14" s="15"/>
      <c r="W14" s="15"/>
      <c r="X14" s="16">
        <f>IF((IF(OR(SUMPRODUCT(--('Repartition stock'!$A$6:$A$423="2026Q3"),--('Repartition stock'!$B$6:$B$423="FR"),--('Repartition stock'!$E$6:$E$423="Millésime"),--('Repartition stock'!$F$6:$F$423="&lt;2018"))=0,SUMPRODUCT(--('Repartition stock'!$A$6:$A$423="2026Q3"),--('Repartition stock'!$B$6:$B$423="FR"),--('Repartition stock'!$E$6:$E$423="Millésime"),--('Repartition stock'!$F$6:$F$423="&lt;2018"),--('Repartition stock'!$G$6:$G$423="n.d."))&gt;0),"n.d.",SUMPRODUCT(--('Repartition stock'!$A$6:$A$423="2026Q3"),--('Repartition stock'!$B$6:$B$423="FR"),--('Repartition stock'!$E$6:$E$423="Millésime"),--('Repartition stock'!$F$6:$F$423="&lt;2018"),'Repartition stock'!$G$6:$G$423)))="n.d.",0,IF(OR(SUMPRODUCT(--('Repartition stock'!$A$6:$A$423="2026Q3"),--('Repartition stock'!$B$6:$B$423="FR"),--('Repartition stock'!$E$6:$E$423="Millésime"),--('Repartition stock'!$F$6:$F$423="&lt;2018"))=0,SUMPRODUCT(--('Repartition stock'!$A$6:$A$423="2026Q3"),--('Repartition stock'!$B$6:$B$423="FR"),--('Repartition stock'!$E$6:$E$423="Millésime"),--('Repartition stock'!$F$6:$F$423="&lt;2018"),--('Repartition stock'!$G$6:$G$423="n.d."))&gt;0),"n.d.",SUMPRODUCT(--('Repartition stock'!$A$6:$A$423="2026Q3"),--('Repartition stock'!$B$6:$B$423="FR"),--('Repartition stock'!$E$6:$E$423="Millésime"),--('Repartition stock'!$F$6:$F$423="&lt;2018"),'Repartition stock'!$G$6:$G$423)))</f>
        <v>0</v>
      </c>
      <c r="Y14" s="16"/>
      <c r="Z14" s="16">
        <f>IF((IF(OR(SUMPRODUCT(--('Repartition stock'!$A$6:$A$423="2026Q3"),--('Repartition stock'!$B$6:$B$423="FR"),--('Repartition stock'!$E$6:$E$423="Millésime"),--('Repartition stock'!$F$6:$F$423="&lt;2018"))=0,SUMPRODUCT(--('Repartition stock'!$A$6:$A$423="2026Q3"),--('Repartition stock'!$B$6:$B$423="FR"),--('Repartition stock'!$E$6:$E$423="Millésime"),--('Repartition stock'!$F$6:$F$423="&lt;2018"),--('Repartition stock'!$J$6:$J$423="n.d."))&gt;0),"n.d.",SUMPRODUCT(--('Repartition stock'!$A$6:$A$423="2026Q3"),--('Repartition stock'!$B$6:$B$423="FR"),--('Repartition stock'!$E$6:$E$423="Millésime"),--('Repartition stock'!$F$6:$F$423="&lt;2018"),'Repartition stock'!$J$6:$J$423)))="n.d.",0,IF(OR(SUMPRODUCT(--('Repartition stock'!$A$6:$A$423="2026Q3"),--('Repartition stock'!$B$6:$B$423="FR"),--('Repartition stock'!$E$6:$E$423="Millésime"),--('Repartition stock'!$F$6:$F$423="&lt;2018"))=0,SUMPRODUCT(--('Repartition stock'!$A$6:$A$423="2026Q3"),--('Repartition stock'!$B$6:$B$423="FR"),--('Repartition stock'!$E$6:$E$423="Millésime"),--('Repartition stock'!$F$6:$F$423="&lt;2018"),--('Repartition stock'!$J$6:$J$423="n.d."))&gt;0),"n.d.",SUMPRODUCT(--('Repartition stock'!$A$6:$A$423="2026Q3"),--('Repartition stock'!$B$6:$B$423="FR"),--('Repartition stock'!$E$6:$E$423="Millésime"),--('Repartition stock'!$F$6:$F$423="&lt;2018"),'Repartition stock'!$J$6:$J$423)))</f>
        <v>0</v>
      </c>
      <c r="AA14" s="16"/>
      <c r="AB14" s="16"/>
      <c r="AC14" s="7">
        <f>IF((IF(OR(COUNT(X14,X24)&lt;&gt;2,X24=0),"n.d.",X14/X24))="n.d.",0,IF(OR(COUNT(X14,X24)&lt;&gt;2,X24=0),"n.d.",X14/X24))</f>
        <v>0</v>
      </c>
      <c r="AD14" s="7"/>
      <c r="AE14" s="7">
        <f>IF((IF(OR(COUNT(Z14,Z24)&lt;&gt;2,Z24=0),"n.d.",Z14/Z24))="n.d.",0,IF(OR(COUNT(Z14,Z24)&lt;&gt;2,Z24=0),"n.d.",Z14/Z24))</f>
        <v>0</v>
      </c>
      <c r="AF14" s="7"/>
    </row>
    <row r="15" spans="1:32" ht="13.5" customHeight="1">
      <c r="A15" s="12"/>
      <c r="R15" s="4"/>
      <c r="S15" s="4"/>
      <c r="T15" s="4"/>
      <c r="U15" s="15" t="s">
        <v>389</v>
      </c>
      <c r="V15" s="15"/>
      <c r="W15" s="15"/>
      <c r="X15" s="16">
        <f>IF((IF(OR(SUMPRODUCT(--('Repartition stock'!$A$6:$A$423="2026Q3"),--('Repartition stock'!$B$6:$B$423="FR"),--('Repartition stock'!$E$6:$E$423="Millésime"),--('Repartition stock'!$F$6:$F$423="2018"))=0,SUMPRODUCT(--('Repartition stock'!$A$6:$A$423="2026Q3"),--('Repartition stock'!$B$6:$B$423="FR"),--('Repartition stock'!$E$6:$E$423="Millésime"),--('Repartition stock'!$F$6:$F$423="2018"),--('Repartition stock'!$G$6:$G$423="n.d."))&gt;0),"n.d.",SUMPRODUCT(--('Repartition stock'!$A$6:$A$423="2026Q3"),--('Repartition stock'!$B$6:$B$423="FR"),--('Repartition stock'!$E$6:$E$423="Millésime"),--('Repartition stock'!$F$6:$F$423="2018"),'Repartition stock'!$G$6:$G$423)))="n.d.",0,IF(OR(SUMPRODUCT(--('Repartition stock'!$A$6:$A$423="2026Q3"),--('Repartition stock'!$B$6:$B$423="FR"),--('Repartition stock'!$E$6:$E$423="Millésime"),--('Repartition stock'!$F$6:$F$423="2018"))=0,SUMPRODUCT(--('Repartition stock'!$A$6:$A$423="2026Q3"),--('Repartition stock'!$B$6:$B$423="FR"),--('Repartition stock'!$E$6:$E$423="Millésime"),--('Repartition stock'!$F$6:$F$423="2018"),--('Repartition stock'!$G$6:$G$423="n.d."))&gt;0),"n.d.",SUMPRODUCT(--('Repartition stock'!$A$6:$A$423="2026Q3"),--('Repartition stock'!$B$6:$B$423="FR"),--('Repartition stock'!$E$6:$E$423="Millésime"),--('Repartition stock'!$F$6:$F$423="2018"),'Repartition stock'!$G$6:$G$423)))</f>
        <v>0</v>
      </c>
      <c r="Y15" s="16"/>
      <c r="Z15" s="16">
        <f>IF((IF(OR(SUMPRODUCT(--('Repartition stock'!$A$6:$A$423="2026Q3"),--('Repartition stock'!$B$6:$B$423="FR"),--('Repartition stock'!$E$6:$E$423="Millésime"),--('Repartition stock'!$F$6:$F$423="2018"))=0,SUMPRODUCT(--('Repartition stock'!$A$6:$A$423="2026Q3"),--('Repartition stock'!$B$6:$B$423="FR"),--('Repartition stock'!$E$6:$E$423="Millésime"),--('Repartition stock'!$F$6:$F$423="2018"),--('Repartition stock'!$J$6:$J$423="n.d."))&gt;0),"n.d.",SUMPRODUCT(--('Repartition stock'!$A$6:$A$423="2026Q3"),--('Repartition stock'!$B$6:$B$423="FR"),--('Repartition stock'!$E$6:$E$423="Millésime"),--('Repartition stock'!$F$6:$F$423="2018"),'Repartition stock'!$J$6:$J$423)))="n.d.",0,IF(OR(SUMPRODUCT(--('Repartition stock'!$A$6:$A$423="2026Q3"),--('Repartition stock'!$B$6:$B$423="FR"),--('Repartition stock'!$E$6:$E$423="Millésime"),--('Repartition stock'!$F$6:$F$423="2018"))=0,SUMPRODUCT(--('Repartition stock'!$A$6:$A$423="2026Q3"),--('Repartition stock'!$B$6:$B$423="FR"),--('Repartition stock'!$E$6:$E$423="Millésime"),--('Repartition stock'!$F$6:$F$423="2018"),--('Repartition stock'!$J$6:$J$423="n.d."))&gt;0),"n.d.",SUMPRODUCT(--('Repartition stock'!$A$6:$A$423="2026Q3"),--('Repartition stock'!$B$6:$B$423="FR"),--('Repartition stock'!$E$6:$E$423="Millésime"),--('Repartition stock'!$F$6:$F$423="2018"),'Repartition stock'!$J$6:$J$423)))</f>
        <v>0</v>
      </c>
      <c r="AA15" s="16"/>
      <c r="AB15" s="16"/>
      <c r="AC15" s="7">
        <f>IF((IF(OR(COUNT(X15,X24)&lt;&gt;2,X24=0),"n.d.",X15/X24))="n.d.",0,IF(OR(COUNT(X15,X24)&lt;&gt;2,X24=0),"n.d.",X15/X24))</f>
        <v>0</v>
      </c>
      <c r="AD15" s="7"/>
      <c r="AE15" s="7">
        <f>IF((IF(OR(COUNT(Z15,Z24)&lt;&gt;2,Z24=0),"n.d.",Z15/Z24))="n.d.",0,IF(OR(COUNT(Z15,Z24)&lt;&gt;2,Z24=0),"n.d.",Z15/Z24))</f>
        <v>0</v>
      </c>
      <c r="AF15" s="7"/>
    </row>
    <row r="16" spans="1:32" ht="13.5" customHeight="1">
      <c r="A16" s="12"/>
      <c r="R16" s="4"/>
      <c r="S16" s="4"/>
      <c r="T16" s="4"/>
      <c r="U16" s="15" t="s">
        <v>391</v>
      </c>
      <c r="V16" s="15"/>
      <c r="W16" s="15"/>
      <c r="X16" s="16">
        <f>IF((IF(OR(SUMPRODUCT(--('Repartition stock'!$A$6:$A$423="2026Q3"),--('Repartition stock'!$B$6:$B$423="FR"),--('Repartition stock'!$E$6:$E$423="Millésime"),--('Repartition stock'!$F$6:$F$423="2019"))=0,SUMPRODUCT(--('Repartition stock'!$A$6:$A$423="2026Q3"),--('Repartition stock'!$B$6:$B$423="FR"),--('Repartition stock'!$E$6:$E$423="Millésime"),--('Repartition stock'!$F$6:$F$423="2019"),--('Repartition stock'!$G$6:$G$423="n.d."))&gt;0),"n.d.",SUMPRODUCT(--('Repartition stock'!$A$6:$A$423="2026Q3"),--('Repartition stock'!$B$6:$B$423="FR"),--('Repartition stock'!$E$6:$E$423="Millésime"),--('Repartition stock'!$F$6:$F$423="2019"),'Repartition stock'!$G$6:$G$423)))="n.d.",0,IF(OR(SUMPRODUCT(--('Repartition stock'!$A$6:$A$423="2026Q3"),--('Repartition stock'!$B$6:$B$423="FR"),--('Repartition stock'!$E$6:$E$423="Millésime"),--('Repartition stock'!$F$6:$F$423="2019"))=0,SUMPRODUCT(--('Repartition stock'!$A$6:$A$423="2026Q3"),--('Repartition stock'!$B$6:$B$423="FR"),--('Repartition stock'!$E$6:$E$423="Millésime"),--('Repartition stock'!$F$6:$F$423="2019"),--('Repartition stock'!$G$6:$G$423="n.d."))&gt;0),"n.d.",SUMPRODUCT(--('Repartition stock'!$A$6:$A$423="2026Q3"),--('Repartition stock'!$B$6:$B$423="FR"),--('Repartition stock'!$E$6:$E$423="Millésime"),--('Repartition stock'!$F$6:$F$423="2019"),'Repartition stock'!$G$6:$G$423)))</f>
        <v>0</v>
      </c>
      <c r="Y16" s="16"/>
      <c r="Z16" s="16">
        <f>IF((IF(OR(SUMPRODUCT(--('Repartition stock'!$A$6:$A$423="2026Q3"),--('Repartition stock'!$B$6:$B$423="FR"),--('Repartition stock'!$E$6:$E$423="Millésime"),--('Repartition stock'!$F$6:$F$423="2019"))=0,SUMPRODUCT(--('Repartition stock'!$A$6:$A$423="2026Q3"),--('Repartition stock'!$B$6:$B$423="FR"),--('Repartition stock'!$E$6:$E$423="Millésime"),--('Repartition stock'!$F$6:$F$423="2019"),--('Repartition stock'!$J$6:$J$423="n.d."))&gt;0),"n.d.",SUMPRODUCT(--('Repartition stock'!$A$6:$A$423="2026Q3"),--('Repartition stock'!$B$6:$B$423="FR"),--('Repartition stock'!$E$6:$E$423="Millésime"),--('Repartition stock'!$F$6:$F$423="2019"),'Repartition stock'!$J$6:$J$423)))="n.d.",0,IF(OR(SUMPRODUCT(--('Repartition stock'!$A$6:$A$423="2026Q3"),--('Repartition stock'!$B$6:$B$423="FR"),--('Repartition stock'!$E$6:$E$423="Millésime"),--('Repartition stock'!$F$6:$F$423="2019"))=0,SUMPRODUCT(--('Repartition stock'!$A$6:$A$423="2026Q3"),--('Repartition stock'!$B$6:$B$423="FR"),--('Repartition stock'!$E$6:$E$423="Millésime"),--('Repartition stock'!$F$6:$F$423="2019"),--('Repartition stock'!$J$6:$J$423="n.d."))&gt;0),"n.d.",SUMPRODUCT(--('Repartition stock'!$A$6:$A$423="2026Q3"),--('Repartition stock'!$B$6:$B$423="FR"),--('Repartition stock'!$E$6:$E$423="Millésime"),--('Repartition stock'!$F$6:$F$423="2019"),'Repartition stock'!$J$6:$J$423)))</f>
        <v>0</v>
      </c>
      <c r="AA16" s="16"/>
      <c r="AB16" s="16"/>
      <c r="AC16" s="7">
        <f>IF((IF(OR(COUNT(X16,X24)&lt;&gt;2,X24=0),"n.d.",X16/X24))="n.d.",0,IF(OR(COUNT(X16,X24)&lt;&gt;2,X24=0),"n.d.",X16/X24))</f>
        <v>0</v>
      </c>
      <c r="AD16" s="7"/>
      <c r="AE16" s="7">
        <f>IF((IF(OR(COUNT(Z16,Z24)&lt;&gt;2,Z24=0),"n.d.",Z16/Z24))="n.d.",0,IF(OR(COUNT(Z16,Z24)&lt;&gt;2,Z24=0),"n.d.",Z16/Z24))</f>
        <v>0</v>
      </c>
      <c r="AF16" s="7"/>
    </row>
    <row r="17" spans="1:32" ht="13.5" customHeight="1">
      <c r="A17" s="12"/>
      <c r="R17" s="4"/>
      <c r="S17" s="4"/>
      <c r="T17" s="4"/>
      <c r="U17" s="15" t="s">
        <v>393</v>
      </c>
      <c r="V17" s="15"/>
      <c r="W17" s="15"/>
      <c r="X17" s="16">
        <f>IF((IF(OR(SUMPRODUCT(--('Repartition stock'!$A$6:$A$423="2026Q3"),--('Repartition stock'!$B$6:$B$423="FR"),--('Repartition stock'!$E$6:$E$423="Millésime"),--('Repartition stock'!$F$6:$F$423="2020"))=0,SUMPRODUCT(--('Repartition stock'!$A$6:$A$423="2026Q3"),--('Repartition stock'!$B$6:$B$423="FR"),--('Repartition stock'!$E$6:$E$423="Millésime"),--('Repartition stock'!$F$6:$F$423="2020"),--('Repartition stock'!$G$6:$G$423="n.d."))&gt;0),"n.d.",SUMPRODUCT(--('Repartition stock'!$A$6:$A$423="2026Q3"),--('Repartition stock'!$B$6:$B$423="FR"),--('Repartition stock'!$E$6:$E$423="Millésime"),--('Repartition stock'!$F$6:$F$423="2020"),'Repartition stock'!$G$6:$G$423)))="n.d.",0,IF(OR(SUMPRODUCT(--('Repartition stock'!$A$6:$A$423="2026Q3"),--('Repartition stock'!$B$6:$B$423="FR"),--('Repartition stock'!$E$6:$E$423="Millésime"),--('Repartition stock'!$F$6:$F$423="2020"))=0,SUMPRODUCT(--('Repartition stock'!$A$6:$A$423="2026Q3"),--('Repartition stock'!$B$6:$B$423="FR"),--('Repartition stock'!$E$6:$E$423="Millésime"),--('Repartition stock'!$F$6:$F$423="2020"),--('Repartition stock'!$G$6:$G$423="n.d."))&gt;0),"n.d.",SUMPRODUCT(--('Repartition stock'!$A$6:$A$423="2026Q3"),--('Repartition stock'!$B$6:$B$423="FR"),--('Repartition stock'!$E$6:$E$423="Millésime"),--('Repartition stock'!$F$6:$F$423="2020"),'Repartition stock'!$G$6:$G$423)))</f>
        <v>0</v>
      </c>
      <c r="Y17" s="16"/>
      <c r="Z17" s="16">
        <f>IF((IF(OR(SUMPRODUCT(--('Repartition stock'!$A$6:$A$423="2026Q3"),--('Repartition stock'!$B$6:$B$423="FR"),--('Repartition stock'!$E$6:$E$423="Millésime"),--('Repartition stock'!$F$6:$F$423="2020"))=0,SUMPRODUCT(--('Repartition stock'!$A$6:$A$423="2026Q3"),--('Repartition stock'!$B$6:$B$423="FR"),--('Repartition stock'!$E$6:$E$423="Millésime"),--('Repartition stock'!$F$6:$F$423="2020"),--('Repartition stock'!$J$6:$J$423="n.d."))&gt;0),"n.d.",SUMPRODUCT(--('Repartition stock'!$A$6:$A$423="2026Q3"),--('Repartition stock'!$B$6:$B$423="FR"),--('Repartition stock'!$E$6:$E$423="Millésime"),--('Repartition stock'!$F$6:$F$423="2020"),'Repartition stock'!$J$6:$J$423)))="n.d.",0,IF(OR(SUMPRODUCT(--('Repartition stock'!$A$6:$A$423="2026Q3"),--('Repartition stock'!$B$6:$B$423="FR"),--('Repartition stock'!$E$6:$E$423="Millésime"),--('Repartition stock'!$F$6:$F$423="2020"))=0,SUMPRODUCT(--('Repartition stock'!$A$6:$A$423="2026Q3"),--('Repartition stock'!$B$6:$B$423="FR"),--('Repartition stock'!$E$6:$E$423="Millésime"),--('Repartition stock'!$F$6:$F$423="2020"),--('Repartition stock'!$J$6:$J$423="n.d."))&gt;0),"n.d.",SUMPRODUCT(--('Repartition stock'!$A$6:$A$423="2026Q3"),--('Repartition stock'!$B$6:$B$423="FR"),--('Repartition stock'!$E$6:$E$423="Millésime"),--('Repartition stock'!$F$6:$F$423="2020"),'Repartition stock'!$J$6:$J$423)))</f>
        <v>0</v>
      </c>
      <c r="AA17" s="16"/>
      <c r="AB17" s="16"/>
      <c r="AC17" s="7">
        <f>IF((IF(OR(COUNT(X17,X24)&lt;&gt;2,X24=0),"n.d.",X17/X24))="n.d.",0,IF(OR(COUNT(X17,X24)&lt;&gt;2,X24=0),"n.d.",X17/X24))</f>
        <v>0</v>
      </c>
      <c r="AD17" s="7"/>
      <c r="AE17" s="7">
        <f>IF((IF(OR(COUNT(Z17,Z24)&lt;&gt;2,Z24=0),"n.d.",Z17/Z24))="n.d.",0,IF(OR(COUNT(Z17,Z24)&lt;&gt;2,Z24=0),"n.d.",Z17/Z24))</f>
        <v>0</v>
      </c>
      <c r="AF17" s="7"/>
    </row>
    <row r="18" spans="1:32" ht="13.5" customHeight="1">
      <c r="A18" s="12"/>
      <c r="R18" s="4"/>
      <c r="S18" s="4"/>
      <c r="T18" s="4"/>
      <c r="U18" s="15" t="s">
        <v>395</v>
      </c>
      <c r="V18" s="15"/>
      <c r="W18" s="15"/>
      <c r="X18" s="16">
        <f>IF((IF(OR(SUMPRODUCT(--('Repartition stock'!$A$6:$A$423="2026Q3"),--('Repartition stock'!$B$6:$B$423="FR"),--('Repartition stock'!$E$6:$E$423="Millésime"),--('Repartition stock'!$F$6:$F$423="2021"))=0,SUMPRODUCT(--('Repartition stock'!$A$6:$A$423="2026Q3"),--('Repartition stock'!$B$6:$B$423="FR"),--('Repartition stock'!$E$6:$E$423="Millésime"),--('Repartition stock'!$F$6:$F$423="2021"),--('Repartition stock'!$G$6:$G$423="n.d."))&gt;0),"n.d.",SUMPRODUCT(--('Repartition stock'!$A$6:$A$423="2026Q3"),--('Repartition stock'!$B$6:$B$423="FR"),--('Repartition stock'!$E$6:$E$423="Millésime"),--('Repartition stock'!$F$6:$F$423="2021"),'Repartition stock'!$G$6:$G$423)))="n.d.",0,IF(OR(SUMPRODUCT(--('Repartition stock'!$A$6:$A$423="2026Q3"),--('Repartition stock'!$B$6:$B$423="FR"),--('Repartition stock'!$E$6:$E$423="Millésime"),--('Repartition stock'!$F$6:$F$423="2021"))=0,SUMPRODUCT(--('Repartition stock'!$A$6:$A$423="2026Q3"),--('Repartition stock'!$B$6:$B$423="FR"),--('Repartition stock'!$E$6:$E$423="Millésime"),--('Repartition stock'!$F$6:$F$423="2021"),--('Repartition stock'!$G$6:$G$423="n.d."))&gt;0),"n.d.",SUMPRODUCT(--('Repartition stock'!$A$6:$A$423="2026Q3"),--('Repartition stock'!$B$6:$B$423="FR"),--('Repartition stock'!$E$6:$E$423="Millésime"),--('Repartition stock'!$F$6:$F$423="2021"),'Repartition stock'!$G$6:$G$423)))</f>
        <v>0</v>
      </c>
      <c r="Y18" s="16"/>
      <c r="Z18" s="16">
        <f>IF((IF(OR(SUMPRODUCT(--('Repartition stock'!$A$6:$A$423="2026Q3"),--('Repartition stock'!$B$6:$B$423="FR"),--('Repartition stock'!$E$6:$E$423="Millésime"),--('Repartition stock'!$F$6:$F$423="2021"))=0,SUMPRODUCT(--('Repartition stock'!$A$6:$A$423="2026Q3"),--('Repartition stock'!$B$6:$B$423="FR"),--('Repartition stock'!$E$6:$E$423="Millésime"),--('Repartition stock'!$F$6:$F$423="2021"),--('Repartition stock'!$J$6:$J$423="n.d."))&gt;0),"n.d.",SUMPRODUCT(--('Repartition stock'!$A$6:$A$423="2026Q3"),--('Repartition stock'!$B$6:$B$423="FR"),--('Repartition stock'!$E$6:$E$423="Millésime"),--('Repartition stock'!$F$6:$F$423="2021"),'Repartition stock'!$J$6:$J$423)))="n.d.",0,IF(OR(SUMPRODUCT(--('Repartition stock'!$A$6:$A$423="2026Q3"),--('Repartition stock'!$B$6:$B$423="FR"),--('Repartition stock'!$E$6:$E$423="Millésime"),--('Repartition stock'!$F$6:$F$423="2021"))=0,SUMPRODUCT(--('Repartition stock'!$A$6:$A$423="2026Q3"),--('Repartition stock'!$B$6:$B$423="FR"),--('Repartition stock'!$E$6:$E$423="Millésime"),--('Repartition stock'!$F$6:$F$423="2021"),--('Repartition stock'!$J$6:$J$423="n.d."))&gt;0),"n.d.",SUMPRODUCT(--('Repartition stock'!$A$6:$A$423="2026Q3"),--('Repartition stock'!$B$6:$B$423="FR"),--('Repartition stock'!$E$6:$E$423="Millésime"),--('Repartition stock'!$F$6:$F$423="2021"),'Repartition stock'!$J$6:$J$423)))</f>
        <v>0</v>
      </c>
      <c r="AA18" s="16"/>
      <c r="AB18" s="16"/>
      <c r="AC18" s="7">
        <f>IF((IF(OR(COUNT(X18,X24)&lt;&gt;2,X24=0),"n.d.",X18/X24))="n.d.",0,IF(OR(COUNT(X18,X24)&lt;&gt;2,X24=0),"n.d.",X18/X24))</f>
        <v>0</v>
      </c>
      <c r="AD18" s="7"/>
      <c r="AE18" s="7">
        <f>IF((IF(OR(COUNT(Z18,Z24)&lt;&gt;2,Z24=0),"n.d.",Z18/Z24))="n.d.",0,IF(OR(COUNT(Z18,Z24)&lt;&gt;2,Z24=0),"n.d.",Z18/Z24))</f>
        <v>0</v>
      </c>
      <c r="AF18" s="7"/>
    </row>
    <row r="19" spans="1:32" ht="13.5" customHeight="1">
      <c r="A19" s="12"/>
      <c r="R19" s="4"/>
      <c r="S19" s="4"/>
      <c r="T19" s="4"/>
      <c r="U19" s="15" t="s">
        <v>397</v>
      </c>
      <c r="V19" s="15"/>
      <c r="W19" s="15"/>
      <c r="X19" s="16">
        <f>IF((IF(OR(SUMPRODUCT(--('Repartition stock'!$A$6:$A$423="2026Q3"),--('Repartition stock'!$B$6:$B$423="FR"),--('Repartition stock'!$E$6:$E$423="Millésime"),--('Repartition stock'!$F$6:$F$423="2022"))=0,SUMPRODUCT(--('Repartition stock'!$A$6:$A$423="2026Q3"),--('Repartition stock'!$B$6:$B$423="FR"),--('Repartition stock'!$E$6:$E$423="Millésime"),--('Repartition stock'!$F$6:$F$423="2022"),--('Repartition stock'!$G$6:$G$423="n.d."))&gt;0),"n.d.",SUMPRODUCT(--('Repartition stock'!$A$6:$A$423="2026Q3"),--('Repartition stock'!$B$6:$B$423="FR"),--('Repartition stock'!$E$6:$E$423="Millésime"),--('Repartition stock'!$F$6:$F$423="2022"),'Repartition stock'!$G$6:$G$423)))="n.d.",0,IF(OR(SUMPRODUCT(--('Repartition stock'!$A$6:$A$423="2026Q3"),--('Repartition stock'!$B$6:$B$423="FR"),--('Repartition stock'!$E$6:$E$423="Millésime"),--('Repartition stock'!$F$6:$F$423="2022"))=0,SUMPRODUCT(--('Repartition stock'!$A$6:$A$423="2026Q3"),--('Repartition stock'!$B$6:$B$423="FR"),--('Repartition stock'!$E$6:$E$423="Millésime"),--('Repartition stock'!$F$6:$F$423="2022"),--('Repartition stock'!$G$6:$G$423="n.d."))&gt;0),"n.d.",SUMPRODUCT(--('Repartition stock'!$A$6:$A$423="2026Q3"),--('Repartition stock'!$B$6:$B$423="FR"),--('Repartition stock'!$E$6:$E$423="Millésime"),--('Repartition stock'!$F$6:$F$423="2022"),'Repartition stock'!$G$6:$G$423)))</f>
        <v>0</v>
      </c>
      <c r="Y19" s="16"/>
      <c r="Z19" s="16">
        <f>IF((IF(OR(SUMPRODUCT(--('Repartition stock'!$A$6:$A$423="2026Q3"),--('Repartition stock'!$B$6:$B$423="FR"),--('Repartition stock'!$E$6:$E$423="Millésime"),--('Repartition stock'!$F$6:$F$423="2022"))=0,SUMPRODUCT(--('Repartition stock'!$A$6:$A$423="2026Q3"),--('Repartition stock'!$B$6:$B$423="FR"),--('Repartition stock'!$E$6:$E$423="Millésime"),--('Repartition stock'!$F$6:$F$423="2022"),--('Repartition stock'!$J$6:$J$423="n.d."))&gt;0),"n.d.",SUMPRODUCT(--('Repartition stock'!$A$6:$A$423="2026Q3"),--('Repartition stock'!$B$6:$B$423="FR"),--('Repartition stock'!$E$6:$E$423="Millésime"),--('Repartition stock'!$F$6:$F$423="2022"),'Repartition stock'!$J$6:$J$423)))="n.d.",0,IF(OR(SUMPRODUCT(--('Repartition stock'!$A$6:$A$423="2026Q3"),--('Repartition stock'!$B$6:$B$423="FR"),--('Repartition stock'!$E$6:$E$423="Millésime"),--('Repartition stock'!$F$6:$F$423="2022"))=0,SUMPRODUCT(--('Repartition stock'!$A$6:$A$423="2026Q3"),--('Repartition stock'!$B$6:$B$423="FR"),--('Repartition stock'!$E$6:$E$423="Millésime"),--('Repartition stock'!$F$6:$F$423="2022"),--('Repartition stock'!$J$6:$J$423="n.d."))&gt;0),"n.d.",SUMPRODUCT(--('Repartition stock'!$A$6:$A$423="2026Q3"),--('Repartition stock'!$B$6:$B$423="FR"),--('Repartition stock'!$E$6:$E$423="Millésime"),--('Repartition stock'!$F$6:$F$423="2022"),'Repartition stock'!$J$6:$J$423)))</f>
        <v>0</v>
      </c>
      <c r="AA19" s="16"/>
      <c r="AB19" s="16"/>
      <c r="AC19" s="7">
        <f>IF((IF(OR(COUNT(X19,X24)&lt;&gt;2,X24=0),"n.d.",X19/X24))="n.d.",0,IF(OR(COUNT(X19,X24)&lt;&gt;2,X24=0),"n.d.",X19/X24))</f>
        <v>0</v>
      </c>
      <c r="AD19" s="7"/>
      <c r="AE19" s="7">
        <f>IF((IF(OR(COUNT(Z19,Z24)&lt;&gt;2,Z24=0),"n.d.",Z19/Z24))="n.d.",0,IF(OR(COUNT(Z19,Z24)&lt;&gt;2,Z24=0),"n.d.",Z19/Z24))</f>
        <v>0</v>
      </c>
      <c r="AF19" s="7"/>
    </row>
    <row r="20" spans="1:32" ht="13.5" customHeight="1">
      <c r="A20" s="12"/>
      <c r="R20" s="4"/>
      <c r="S20" s="4"/>
      <c r="T20" s="4"/>
      <c r="U20" s="15" t="s">
        <v>399</v>
      </c>
      <c r="V20" s="15"/>
      <c r="W20" s="15"/>
      <c r="X20" s="16">
        <f>IF((IF(OR(SUMPRODUCT(--('Repartition stock'!$A$6:$A$423="2026Q3"),--('Repartition stock'!$B$6:$B$423="FR"),--('Repartition stock'!$E$6:$E$423="Millésime"),--('Repartition stock'!$F$6:$F$423="2023"))=0,SUMPRODUCT(--('Repartition stock'!$A$6:$A$423="2026Q3"),--('Repartition stock'!$B$6:$B$423="FR"),--('Repartition stock'!$E$6:$E$423="Millésime"),--('Repartition stock'!$F$6:$F$423="2023"),--('Repartition stock'!$G$6:$G$423="n.d."))&gt;0),"n.d.",SUMPRODUCT(--('Repartition stock'!$A$6:$A$423="2026Q3"),--('Repartition stock'!$B$6:$B$423="FR"),--('Repartition stock'!$E$6:$E$423="Millésime"),--('Repartition stock'!$F$6:$F$423="2023"),'Repartition stock'!$G$6:$G$423)))="n.d.",0,IF(OR(SUMPRODUCT(--('Repartition stock'!$A$6:$A$423="2026Q3"),--('Repartition stock'!$B$6:$B$423="FR"),--('Repartition stock'!$E$6:$E$423="Millésime"),--('Repartition stock'!$F$6:$F$423="2023"))=0,SUMPRODUCT(--('Repartition stock'!$A$6:$A$423="2026Q3"),--('Repartition stock'!$B$6:$B$423="FR"),--('Repartition stock'!$E$6:$E$423="Millésime"),--('Repartition stock'!$F$6:$F$423="2023"),--('Repartition stock'!$G$6:$G$423="n.d."))&gt;0),"n.d.",SUMPRODUCT(--('Repartition stock'!$A$6:$A$423="2026Q3"),--('Repartition stock'!$B$6:$B$423="FR"),--('Repartition stock'!$E$6:$E$423="Millésime"),--('Repartition stock'!$F$6:$F$423="2023"),'Repartition stock'!$G$6:$G$423)))</f>
        <v>0</v>
      </c>
      <c r="Y20" s="16"/>
      <c r="Z20" s="16">
        <f>IF((IF(OR(SUMPRODUCT(--('Repartition stock'!$A$6:$A$423="2026Q3"),--('Repartition stock'!$B$6:$B$423="FR"),--('Repartition stock'!$E$6:$E$423="Millésime"),--('Repartition stock'!$F$6:$F$423="2023"))=0,SUMPRODUCT(--('Repartition stock'!$A$6:$A$423="2026Q3"),--('Repartition stock'!$B$6:$B$423="FR"),--('Repartition stock'!$E$6:$E$423="Millésime"),--('Repartition stock'!$F$6:$F$423="2023"),--('Repartition stock'!$J$6:$J$423="n.d."))&gt;0),"n.d.",SUMPRODUCT(--('Repartition stock'!$A$6:$A$423="2026Q3"),--('Repartition stock'!$B$6:$B$423="FR"),--('Repartition stock'!$E$6:$E$423="Millésime"),--('Repartition stock'!$F$6:$F$423="2023"),'Repartition stock'!$J$6:$J$423)))="n.d.",0,IF(OR(SUMPRODUCT(--('Repartition stock'!$A$6:$A$423="2026Q3"),--('Repartition stock'!$B$6:$B$423="FR"),--('Repartition stock'!$E$6:$E$423="Millésime"),--('Repartition stock'!$F$6:$F$423="2023"))=0,SUMPRODUCT(--('Repartition stock'!$A$6:$A$423="2026Q3"),--('Repartition stock'!$B$6:$B$423="FR"),--('Repartition stock'!$E$6:$E$423="Millésime"),--('Repartition stock'!$F$6:$F$423="2023"),--('Repartition stock'!$J$6:$J$423="n.d."))&gt;0),"n.d.",SUMPRODUCT(--('Repartition stock'!$A$6:$A$423="2026Q3"),--('Repartition stock'!$B$6:$B$423="FR"),--('Repartition stock'!$E$6:$E$423="Millésime"),--('Repartition stock'!$F$6:$F$423="2023"),'Repartition stock'!$J$6:$J$423)))</f>
        <v>0</v>
      </c>
      <c r="AA20" s="16"/>
      <c r="AB20" s="16"/>
      <c r="AC20" s="7">
        <f>IF((IF(OR(COUNT(X20,X24)&lt;&gt;2,X24=0),"n.d.",X20/X24))="n.d.",0,IF(OR(COUNT(X20,X24)&lt;&gt;2,X24=0),"n.d.",X20/X24))</f>
        <v>0</v>
      </c>
      <c r="AD20" s="7"/>
      <c r="AE20" s="7">
        <f>IF((IF(OR(COUNT(Z20,Z24)&lt;&gt;2,Z24=0),"n.d.",Z20/Z24))="n.d.",0,IF(OR(COUNT(Z20,Z24)&lt;&gt;2,Z24=0),"n.d.",Z20/Z24))</f>
        <v>0</v>
      </c>
      <c r="AF20" s="7"/>
    </row>
    <row r="21" spans="1:32" ht="13.5" customHeight="1">
      <c r="A21" s="12"/>
      <c r="R21" s="4"/>
      <c r="S21" s="4"/>
      <c r="T21" s="4"/>
      <c r="U21" s="15" t="s">
        <v>95</v>
      </c>
      <c r="V21" s="15"/>
      <c r="W21" s="15"/>
      <c r="X21" s="16">
        <f>IF((IF(OR(SUMPRODUCT(--('Repartition stock'!$A$6:$A$423="2026Q3"),--('Repartition stock'!$B$6:$B$423="FR"),--('Repartition stock'!$E$6:$E$423="Millésime"),--('Repartition stock'!$F$6:$F$423="2024"))=0,SUMPRODUCT(--('Repartition stock'!$A$6:$A$423="2026Q3"),--('Repartition stock'!$B$6:$B$423="FR"),--('Repartition stock'!$E$6:$E$423="Millésime"),--('Repartition stock'!$F$6:$F$423="2024"),--('Repartition stock'!$G$6:$G$423="n.d."))&gt;0),"n.d.",SUMPRODUCT(--('Repartition stock'!$A$6:$A$423="2026Q3"),--('Repartition stock'!$B$6:$B$423="FR"),--('Repartition stock'!$E$6:$E$423="Millésime"),--('Repartition stock'!$F$6:$F$423="2024"),'Repartition stock'!$G$6:$G$423)))="n.d.",0,IF(OR(SUMPRODUCT(--('Repartition stock'!$A$6:$A$423="2026Q3"),--('Repartition stock'!$B$6:$B$423="FR"),--('Repartition stock'!$E$6:$E$423="Millésime"),--('Repartition stock'!$F$6:$F$423="2024"))=0,SUMPRODUCT(--('Repartition stock'!$A$6:$A$423="2026Q3"),--('Repartition stock'!$B$6:$B$423="FR"),--('Repartition stock'!$E$6:$E$423="Millésime"),--('Repartition stock'!$F$6:$F$423="2024"),--('Repartition stock'!$G$6:$G$423="n.d."))&gt;0),"n.d.",SUMPRODUCT(--('Repartition stock'!$A$6:$A$423="2026Q3"),--('Repartition stock'!$B$6:$B$423="FR"),--('Repartition stock'!$E$6:$E$423="Millésime"),--('Repartition stock'!$F$6:$F$423="2024"),'Repartition stock'!$G$6:$G$423)))</f>
        <v>0</v>
      </c>
      <c r="Y21" s="16"/>
      <c r="Z21" s="16">
        <f>IF((IF(OR(SUMPRODUCT(--('Repartition stock'!$A$6:$A$423="2026Q3"),--('Repartition stock'!$B$6:$B$423="FR"),--('Repartition stock'!$E$6:$E$423="Millésime"),--('Repartition stock'!$F$6:$F$423="2024"))=0,SUMPRODUCT(--('Repartition stock'!$A$6:$A$423="2026Q3"),--('Repartition stock'!$B$6:$B$423="FR"),--('Repartition stock'!$E$6:$E$423="Millésime"),--('Repartition stock'!$F$6:$F$423="2024"),--('Repartition stock'!$J$6:$J$423="n.d."))&gt;0),"n.d.",SUMPRODUCT(--('Repartition stock'!$A$6:$A$423="2026Q3"),--('Repartition stock'!$B$6:$B$423="FR"),--('Repartition stock'!$E$6:$E$423="Millésime"),--('Repartition stock'!$F$6:$F$423="2024"),'Repartition stock'!$J$6:$J$423)))="n.d.",0,IF(OR(SUMPRODUCT(--('Repartition stock'!$A$6:$A$423="2026Q3"),--('Repartition stock'!$B$6:$B$423="FR"),--('Repartition stock'!$E$6:$E$423="Millésime"),--('Repartition stock'!$F$6:$F$423="2024"))=0,SUMPRODUCT(--('Repartition stock'!$A$6:$A$423="2026Q3"),--('Repartition stock'!$B$6:$B$423="FR"),--('Repartition stock'!$E$6:$E$423="Millésime"),--('Repartition stock'!$F$6:$F$423="2024"),--('Repartition stock'!$J$6:$J$423="n.d."))&gt;0),"n.d.",SUMPRODUCT(--('Repartition stock'!$A$6:$A$423="2026Q3"),--('Repartition stock'!$B$6:$B$423="FR"),--('Repartition stock'!$E$6:$E$423="Millésime"),--('Repartition stock'!$F$6:$F$423="2024"),'Repartition stock'!$J$6:$J$423)))</f>
        <v>0</v>
      </c>
      <c r="AA21" s="16"/>
      <c r="AB21" s="16"/>
      <c r="AC21" s="7">
        <f>IF((IF(OR(COUNT(X21,X24)&lt;&gt;2,X24=0),"n.d.",X21/X24))="n.d.",0,IF(OR(COUNT(X21,X24)&lt;&gt;2,X24=0),"n.d.",X21/X24))</f>
        <v>0</v>
      </c>
      <c r="AD21" s="7"/>
      <c r="AE21" s="7">
        <f>IF((IF(OR(COUNT(Z21,Z24)&lt;&gt;2,Z24=0),"n.d.",Z21/Z24))="n.d.",0,IF(OR(COUNT(Z21,Z24)&lt;&gt;2,Z24=0),"n.d.",Z21/Z24))</f>
        <v>0</v>
      </c>
      <c r="AF21" s="7"/>
    </row>
    <row r="22" spans="1:32" ht="13.5" customHeight="1">
      <c r="A22" s="12"/>
      <c r="R22" s="4"/>
      <c r="S22" s="4"/>
      <c r="T22" s="4"/>
      <c r="U22" s="15" t="s">
        <v>53</v>
      </c>
      <c r="V22" s="15"/>
      <c r="W22" s="15"/>
      <c r="X22" s="16">
        <f>IF((IF(OR(SUMPRODUCT(--('Repartition stock'!$A$6:$A$423="2026Q3"),--('Repartition stock'!$B$6:$B$423="FR"),--('Repartition stock'!$E$6:$E$423="Millésime"),--('Repartition stock'!$F$6:$F$423="2025"))=0,SUMPRODUCT(--('Repartition stock'!$A$6:$A$423="2026Q3"),--('Repartition stock'!$B$6:$B$423="FR"),--('Repartition stock'!$E$6:$E$423="Millésime"),--('Repartition stock'!$F$6:$F$423="2025"),--('Repartition stock'!$G$6:$G$423="n.d."))&gt;0),"n.d.",SUMPRODUCT(--('Repartition stock'!$A$6:$A$423="2026Q3"),--('Repartition stock'!$B$6:$B$423="FR"),--('Repartition stock'!$E$6:$E$423="Millésime"),--('Repartition stock'!$F$6:$F$423="2025"),'Repartition stock'!$G$6:$G$423)))="n.d.",0,IF(OR(SUMPRODUCT(--('Repartition stock'!$A$6:$A$423="2026Q3"),--('Repartition stock'!$B$6:$B$423="FR"),--('Repartition stock'!$E$6:$E$423="Millésime"),--('Repartition stock'!$F$6:$F$423="2025"))=0,SUMPRODUCT(--('Repartition stock'!$A$6:$A$423="2026Q3"),--('Repartition stock'!$B$6:$B$423="FR"),--('Repartition stock'!$E$6:$E$423="Millésime"),--('Repartition stock'!$F$6:$F$423="2025"),--('Repartition stock'!$G$6:$G$423="n.d."))&gt;0),"n.d.",SUMPRODUCT(--('Repartition stock'!$A$6:$A$423="2026Q3"),--('Repartition stock'!$B$6:$B$423="FR"),--('Repartition stock'!$E$6:$E$423="Millésime"),--('Repartition stock'!$F$6:$F$423="2025"),'Repartition stock'!$G$6:$G$423)))</f>
        <v>978.0</v>
      </c>
      <c r="Y22" s="16"/>
      <c r="Z22" s="16">
        <f>IF((IF(OR(SUMPRODUCT(--('Repartition stock'!$A$6:$A$423="2026Q3"),--('Repartition stock'!$B$6:$B$423="FR"),--('Repartition stock'!$E$6:$E$423="Millésime"),--('Repartition stock'!$F$6:$F$423="2025"))=0,SUMPRODUCT(--('Repartition stock'!$A$6:$A$423="2026Q3"),--('Repartition stock'!$B$6:$B$423="FR"),--('Repartition stock'!$E$6:$E$423="Millésime"),--('Repartition stock'!$F$6:$F$423="2025"),--('Repartition stock'!$J$6:$J$423="n.d."))&gt;0),"n.d.",SUMPRODUCT(--('Repartition stock'!$A$6:$A$423="2026Q3"),--('Repartition stock'!$B$6:$B$423="FR"),--('Repartition stock'!$E$6:$E$423="Millésime"),--('Repartition stock'!$F$6:$F$423="2025"),'Repartition stock'!$J$6:$J$423)))="n.d.",0,IF(OR(SUMPRODUCT(--('Repartition stock'!$A$6:$A$423="2026Q3"),--('Repartition stock'!$B$6:$B$423="FR"),--('Repartition stock'!$E$6:$E$423="Millésime"),--('Repartition stock'!$F$6:$F$423="2025"))=0,SUMPRODUCT(--('Repartition stock'!$A$6:$A$423="2026Q3"),--('Repartition stock'!$B$6:$B$423="FR"),--('Repartition stock'!$E$6:$E$423="Millésime"),--('Repartition stock'!$F$6:$F$423="2025"),--('Repartition stock'!$J$6:$J$423="n.d."))&gt;0),"n.d.",SUMPRODUCT(--('Repartition stock'!$A$6:$A$423="2026Q3"),--('Repartition stock'!$B$6:$B$423="FR"),--('Repartition stock'!$E$6:$E$423="Millésime"),--('Repartition stock'!$F$6:$F$423="2025"),'Repartition stock'!$J$6:$J$423)))</f>
        <v>237048.0</v>
      </c>
      <c r="AA22" s="16"/>
      <c r="AB22" s="16"/>
      <c r="AC22" s="7">
        <f>IF((IF(OR(COUNT(X22,X24)&lt;&gt;2,X24=0),"n.d.",X22/X24))="n.d.",0,IF(OR(COUNT(X22,X24)&lt;&gt;2,X24=0),"n.d.",X22/X24))</f>
        <v>0.05871405415140782</v>
      </c>
      <c r="AD22" s="7"/>
      <c r="AE22" s="7">
        <f>IF((IF(OR(COUNT(Z22,Z24)&lt;&gt;2,Z24=0),"n.d.",Z22/Z24))="n.d.",0,IF(OR(COUNT(Z22,Z24)&lt;&gt;2,Z24=0),"n.d.",Z22/Z24))</f>
        <v>0.08177954904088909</v>
      </c>
      <c r="AF22" s="7"/>
    </row>
    <row r="23" spans="1:32" ht="13.5" customHeight="1">
      <c r="A23" s="12"/>
      <c r="R23" s="4"/>
      <c r="S23" s="4"/>
      <c r="T23" s="4"/>
      <c r="U23" s="15" t="s">
        <v>55</v>
      </c>
      <c r="V23" s="15"/>
      <c r="W23" s="15"/>
      <c r="X23" s="16">
        <f>IF((IF(OR(SUMPRODUCT(--('Repartition stock'!$A$6:$A$423="2026Q3"),--('Repartition stock'!$B$6:$B$423="FR"),--('Repartition stock'!$E$6:$E$423="Millésime"),--('Repartition stock'!$F$6:$F$423="2026"))=0,SUMPRODUCT(--('Repartition stock'!$A$6:$A$423="2026Q3"),--('Repartition stock'!$B$6:$B$423="FR"),--('Repartition stock'!$E$6:$E$423="Millésime"),--('Repartition stock'!$F$6:$F$423="2026"),--('Repartition stock'!$G$6:$G$423="n.d."))&gt;0),"n.d.",SUMPRODUCT(--('Repartition stock'!$A$6:$A$423="2026Q3"),--('Repartition stock'!$B$6:$B$423="FR"),--('Repartition stock'!$E$6:$E$423="Millésime"),--('Repartition stock'!$F$6:$F$423="2026"),'Repartition stock'!$G$6:$G$423)))="n.d.",0,IF(OR(SUMPRODUCT(--('Repartition stock'!$A$6:$A$423="2026Q3"),--('Repartition stock'!$B$6:$B$423="FR"),--('Repartition stock'!$E$6:$E$423="Millésime"),--('Repartition stock'!$F$6:$F$423="2026"))=0,SUMPRODUCT(--('Repartition stock'!$A$6:$A$423="2026Q3"),--('Repartition stock'!$B$6:$B$423="FR"),--('Repartition stock'!$E$6:$E$423="Millésime"),--('Repartition stock'!$F$6:$F$423="2026"),--('Repartition stock'!$G$6:$G$423="n.d."))&gt;0),"n.d.",SUMPRODUCT(--('Repartition stock'!$A$6:$A$423="2026Q3"),--('Repartition stock'!$B$6:$B$423="FR"),--('Repartition stock'!$E$6:$E$423="Millésime"),--('Repartition stock'!$F$6:$F$423="2026"),'Repartition stock'!$G$6:$G$423)))</f>
        <v>15679.0</v>
      </c>
      <c r="Y23" s="16"/>
      <c r="Z23" s="16">
        <f>IF((IF(OR(SUMPRODUCT(--('Repartition stock'!$A$6:$A$423="2026Q3"),--('Repartition stock'!$B$6:$B$423="FR"),--('Repartition stock'!$E$6:$E$423="Millésime"),--('Repartition stock'!$F$6:$F$423="2026"))=0,SUMPRODUCT(--('Repartition stock'!$A$6:$A$423="2026Q3"),--('Repartition stock'!$B$6:$B$423="FR"),--('Repartition stock'!$E$6:$E$423="Millésime"),--('Repartition stock'!$F$6:$F$423="2026"),--('Repartition stock'!$J$6:$J$423="n.d."))&gt;0),"n.d.",SUMPRODUCT(--('Repartition stock'!$A$6:$A$423="2026Q3"),--('Repartition stock'!$B$6:$B$423="FR"),--('Repartition stock'!$E$6:$E$423="Millésime"),--('Repartition stock'!$F$6:$F$423="2026"),'Repartition stock'!$J$6:$J$423)))="n.d.",0,IF(OR(SUMPRODUCT(--('Repartition stock'!$A$6:$A$423="2026Q3"),--('Repartition stock'!$B$6:$B$423="FR"),--('Repartition stock'!$E$6:$E$423="Millésime"),--('Repartition stock'!$F$6:$F$423="2026"))=0,SUMPRODUCT(--('Repartition stock'!$A$6:$A$423="2026Q3"),--('Repartition stock'!$B$6:$B$423="FR"),--('Repartition stock'!$E$6:$E$423="Millésime"),--('Repartition stock'!$F$6:$F$423="2026"),--('Repartition stock'!$J$6:$J$423="n.d."))&gt;0),"n.d.",SUMPRODUCT(--('Repartition stock'!$A$6:$A$423="2026Q3"),--('Repartition stock'!$B$6:$B$423="FR"),--('Repartition stock'!$E$6:$E$423="Millésime"),--('Repartition stock'!$F$6:$F$423="2026"),'Repartition stock'!$J$6:$J$423)))</f>
        <v>2661575.0</v>
      </c>
      <c r="AA23" s="16"/>
      <c r="AB23" s="16"/>
      <c r="AC23" s="7">
        <f>IF((IF(OR(COUNT(X23,X24)&lt;&gt;2,X24=0),"n.d.",X23/X24))="n.d.",0,IF(OR(COUNT(X23,X24)&lt;&gt;2,X24=0),"n.d.",X23/X24))</f>
        <v>0.9412859458485922</v>
      </c>
      <c r="AD23" s="7"/>
      <c r="AE23" s="7">
        <f>IF((IF(OR(COUNT(Z23,Z24)&lt;&gt;2,Z24=0),"n.d.",Z23/Z24))="n.d.",0,IF(OR(COUNT(Z23,Z24)&lt;&gt;2,Z24=0),"n.d.",Z23/Z24))</f>
        <v>0.9182207959506276</v>
      </c>
      <c r="AF23" s="7"/>
    </row>
    <row r="24" spans="1:32" ht="13.5" customHeight="1">
      <c r="A24" s="12"/>
      <c r="R24" s="17" t="s">
        <v>3150</v>
      </c>
      <c r="S24" s="17"/>
      <c r="T24" s="17"/>
      <c r="U24" s="17"/>
      <c r="V24" s="17"/>
      <c r="W24" s="17"/>
      <c r="X24" s="17">
        <f>IF(('Presentation inputs'!D19)="n.d.",0,'Presentation inputs'!D19)</f>
        <v>16657.0</v>
      </c>
      <c r="Y24" s="17"/>
      <c r="Z24" s="17">
        <f>IF((IF(ISNUMBER('Presentation inputs'!E19),'Presentation inputs'!E19/(IF(OR(COUNTIFS('Consolidation'!$A$6:$A$46,"2026Q3",'Consolidation'!$B$6:$B$46,"FR")&lt;&gt;1,COUNTIFS('Consolidation'!$A$6:$A$46,"2026Q3",'Consolidation'!$B$6:$B$46,"FR",'Consolidation'!$E$6:$E$46,"n.d.")&gt;0),"n.d.",SUMIFS('Consolidation'!$E$6:$E$46,'Consolidation'!$A$6:$A$46,"2026Q3",'Consolidation'!$B$6:$B$46,"FR"))),"n.d."))="n.d.",0,IF(ISNUMBER('Presentation inputs'!E19),'Presentation inputs'!E19/(IF(OR(COUNTIFS('Consolidation'!$A$6:$A$46,"2026Q3",'Consolidation'!$B$6:$B$46,"FR")&lt;&gt;1,COUNTIFS('Consolidation'!$A$6:$A$46,"2026Q3",'Consolidation'!$B$6:$B$46,"FR",'Consolidation'!$E$6:$E$46,"n.d.")&gt;0),"n.d.",SUMIFS('Consolidation'!$E$6:$E$46,'Consolidation'!$A$6:$A$46,"2026Q3",'Consolidation'!$B$6:$B$46,"FR"))),"n.d."))</f>
        <v>2898622.0</v>
      </c>
      <c r="AA24" s="17"/>
      <c r="AB24" s="17"/>
      <c r="AC24" s="9">
        <f>IF((IF(OR(NOT(ISNUMBER(X24)),X24=0),"n.d.",1))="n.d.",0,IF(OR(NOT(ISNUMBER(X24)),X24=0),"n.d.",1))</f>
        <v>1.0</v>
      </c>
      <c r="AD24" s="9"/>
      <c r="AE24" s="9">
        <f>IF((IF(OR(NOT(ISNUMBER(Z24)),Z24=0),"n.d.",1))="n.d.",0,IF(OR(NOT(ISNUMBER(Z24)),Z24=0),"n.d.",1))</f>
        <v>1.0</v>
      </c>
      <c r="AF24" s="9"/>
    </row>
    <row r="25" spans="1:32" ht="13.5" customHeight="1">
      <c r="A25" s="12"/>
    </row>
    <row r="26" spans="1:32" ht="13.5" customHeight="1">
      <c r="A26" s="12"/>
      <c r="R26" s="1" t="s">
        <v>3152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3.5" customHeight="1">
      <c r="A27" s="12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3.5" customHeight="1">
      <c r="A28" s="1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"&amp;IF(ISNUMBER('GraphData'!A211),TEXT('GraphData'!A211,"#,##0"),"0")&amp;" EUR. Average balance per contract: "&amp;IF(ISNUMBER('GraphData'!B211),TEXT('GraphData'!B211,"#,##0"),"0")&amp;" EUR."</f>
        <v>Average monthly new flow: 1,454,672 EUR. Average balance per contract: 196 EUR.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"&amp;IF(ISNUMBER('GraphData'!C211),TEXT('GraphData'!C211,"0.0%"),"0")&amp;" treated in amount and "&amp;IF(ISNUMBER('GraphData'!D211),TEXT('GraphData'!D211,"0.0%"),"0")&amp;" in number."</f>
        <v>Oldest cohort (M-5): 99.4% treated in amount and 96.6%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"&amp;IF(ISNUMBER('GraphData'!E211),TEXT('GraphData'!E211,"#,##0"),"0")&amp;" EUR. Identified stock: "&amp;IF(ISNUMBER('GraphData'!F211),TEXT('GraphData'!F211,"#,##0"),"0")&amp;" EUR."</f>
        <v>Stock to process: 2,898,622 EUR. Identified stock: 2,998,937 EUR.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3180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3079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101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R26:AF28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3181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3160</v>
      </c>
      <c r="S2" s="4"/>
      <c r="T2" s="4"/>
      <c r="U2" s="4"/>
      <c r="V2" s="4"/>
      <c r="W2" s="4"/>
      <c r="X2" s="14">
        <v>46295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3146</v>
      </c>
      <c r="Y3" s="4"/>
      <c r="Z3" s="4" t="s">
        <v>3183</v>
      </c>
      <c r="AA3" s="4"/>
      <c r="AB3" s="4"/>
      <c r="AC3" s="4" t="s">
        <v>3148</v>
      </c>
      <c r="AD3" s="4"/>
      <c r="AE3" s="4" t="s">
        <v>3149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1" t="s">
        <v>3186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2"/>
      <c r="R7" s="4" t="s">
        <v>3151</v>
      </c>
      <c r="S7" s="4"/>
      <c r="T7" s="4"/>
      <c r="U7" s="15" t="s">
        <v>387</v>
      </c>
      <c r="V7" s="15"/>
      <c r="W7" s="15"/>
      <c r="X7" s="16">
        <f>IF((IF(OR(SUMPRODUCT(--('Repartition stock'!$A$6:$A$423="2026Q3"),--('Repartition stock'!$B$6:$B$423="UK"),--('Repartition stock'!$E$6:$E$423="Millésime"),--('Repartition stock'!$F$6:$F$423="&lt;2018"))=0,SUMPRODUCT(--('Repartition stock'!$A$6:$A$423="2026Q3"),--('Repartition stock'!$B$6:$B$423="UK"),--('Repartition stock'!$E$6:$E$423="Millésime"),--('Repartition stock'!$F$6:$F$423="&lt;2018"),--('Repartition stock'!$G$6:$G$423="n.d."))&gt;0),"n.d.",SUMPRODUCT(--('Repartition stock'!$A$6:$A$423="2026Q3"),--('Repartition stock'!$B$6:$B$423="UK"),--('Repartition stock'!$E$6:$E$423="Millésime"),--('Repartition stock'!$F$6:$F$423="&lt;2018"),'Repartition stock'!$G$6:$G$423)))="n.d.",0,IF(OR(SUMPRODUCT(--('Repartition stock'!$A$6:$A$423="2026Q3"),--('Repartition stock'!$B$6:$B$423="UK"),--('Repartition stock'!$E$6:$E$423="Millésime"),--('Repartition stock'!$F$6:$F$423="&lt;2018"))=0,SUMPRODUCT(--('Repartition stock'!$A$6:$A$423="2026Q3"),--('Repartition stock'!$B$6:$B$423="UK"),--('Repartition stock'!$E$6:$E$423="Millésime"),--('Repartition stock'!$F$6:$F$423="&lt;2018"),--('Repartition stock'!$G$6:$G$423="n.d."))&gt;0),"n.d.",SUMPRODUCT(--('Repartition stock'!$A$6:$A$423="2026Q3"),--('Repartition stock'!$B$6:$B$423="UK"),--('Repartition stock'!$E$6:$E$423="Millésime"),--('Repartition stock'!$F$6:$F$423="&lt;2018"),'Repartition stock'!$G$6:$G$423)))</f>
        <v>1321.0</v>
      </c>
      <c r="Y7" s="16"/>
      <c r="Z7" s="16">
        <f>IF((IF(OR(SUMPRODUCT(--('Repartition stock'!$A$6:$A$423="2026Q3"),--('Repartition stock'!$B$6:$B$423="UK"),--('Repartition stock'!$E$6:$E$423="Millésime"),--('Repartition stock'!$F$6:$F$423="&lt;2018"))=0,SUMPRODUCT(--('Repartition stock'!$A$6:$A$423="2026Q3"),--('Repartition stock'!$B$6:$B$423="UK"),--('Repartition stock'!$E$6:$E$423="Millésime"),--('Repartition stock'!$F$6:$F$423="&lt;2018"),--('Repartition stock'!$H$6:$H$423="n.d."))&gt;0),"n.d.",SUMPRODUCT(--('Repartition stock'!$A$6:$A$423="2026Q3"),--('Repartition stock'!$B$6:$B$423="UK"),--('Repartition stock'!$E$6:$E$423="Millésime"),--('Repartition stock'!$F$6:$F$423="&lt;2018"),'Repartition stock'!$H$6:$H$423)))="n.d.",0,IF(OR(SUMPRODUCT(--('Repartition stock'!$A$6:$A$423="2026Q3"),--('Repartition stock'!$B$6:$B$423="UK"),--('Repartition stock'!$E$6:$E$423="Millésime"),--('Repartition stock'!$F$6:$F$423="&lt;2018"))=0,SUMPRODUCT(--('Repartition stock'!$A$6:$A$423="2026Q3"),--('Repartition stock'!$B$6:$B$423="UK"),--('Repartition stock'!$E$6:$E$423="Millésime"),--('Repartition stock'!$F$6:$F$423="&lt;2018"),--('Repartition stock'!$H$6:$H$423="n.d."))&gt;0),"n.d.",SUMPRODUCT(--('Repartition stock'!$A$6:$A$423="2026Q3"),--('Repartition stock'!$B$6:$B$423="UK"),--('Repartition stock'!$E$6:$E$423="Millésime"),--('Repartition stock'!$F$6:$F$423="&lt;2018"),'Repartition stock'!$H$6:$H$423)))</f>
        <v>68632.0</v>
      </c>
      <c r="AA7" s="16"/>
      <c r="AB7" s="16"/>
      <c r="AC7" s="7">
        <f>IF((IF(OR(COUNT(X7,X17)&lt;&gt;2,X17=0),"n.d.",X7/X17))="n.d.",0,IF(OR(COUNT(X7,X17)&lt;&gt;2,X17=0),"n.d.",X7/X17))</f>
        <v>0.024601001918170474</v>
      </c>
      <c r="AD7" s="7"/>
      <c r="AE7" s="7">
        <f>IF((IF(OR(COUNT(Z7,Z17)&lt;&gt;2,Z17=0),"n.d.",Z7/Z17))="n.d.",0,IF(OR(COUNT(Z7,Z17)&lt;&gt;2,Z17=0),"n.d.",Z7/Z17))</f>
        <v>0.023055831581436818</v>
      </c>
      <c r="AF7" s="7"/>
    </row>
    <row r="8" spans="1:32" ht="13.5" customHeight="1">
      <c r="A8" s="12"/>
      <c r="R8" s="4"/>
      <c r="S8" s="4"/>
      <c r="T8" s="4"/>
      <c r="U8" s="15" t="s">
        <v>389</v>
      </c>
      <c r="V8" s="15"/>
      <c r="W8" s="15"/>
      <c r="X8" s="16">
        <f>IF((IF(OR(SUMPRODUCT(--('Repartition stock'!$A$6:$A$423="2026Q3"),--('Repartition stock'!$B$6:$B$423="UK"),--('Repartition stock'!$E$6:$E$423="Millésime"),--('Repartition stock'!$F$6:$F$423="2018"))=0,SUMPRODUCT(--('Repartition stock'!$A$6:$A$423="2026Q3"),--('Repartition stock'!$B$6:$B$423="UK"),--('Repartition stock'!$E$6:$E$423="Millésime"),--('Repartition stock'!$F$6:$F$423="2018"),--('Repartition stock'!$G$6:$G$423="n.d."))&gt;0),"n.d.",SUMPRODUCT(--('Repartition stock'!$A$6:$A$423="2026Q3"),--('Repartition stock'!$B$6:$B$423="UK"),--('Repartition stock'!$E$6:$E$423="Millésime"),--('Repartition stock'!$F$6:$F$423="2018"),'Repartition stock'!$G$6:$G$423)))="n.d.",0,IF(OR(SUMPRODUCT(--('Repartition stock'!$A$6:$A$423="2026Q3"),--('Repartition stock'!$B$6:$B$423="UK"),--('Repartition stock'!$E$6:$E$423="Millésime"),--('Repartition stock'!$F$6:$F$423="2018"))=0,SUMPRODUCT(--('Repartition stock'!$A$6:$A$423="2026Q3"),--('Repartition stock'!$B$6:$B$423="UK"),--('Repartition stock'!$E$6:$E$423="Millésime"),--('Repartition stock'!$F$6:$F$423="2018"),--('Repartition stock'!$G$6:$G$423="n.d."))&gt;0),"n.d.",SUMPRODUCT(--('Repartition stock'!$A$6:$A$423="2026Q3"),--('Repartition stock'!$B$6:$B$423="UK"),--('Repartition stock'!$E$6:$E$423="Millésime"),--('Repartition stock'!$F$6:$F$423="2018"),'Repartition stock'!$G$6:$G$423)))</f>
        <v>817.0</v>
      </c>
      <c r="Y8" s="16"/>
      <c r="Z8" s="16">
        <f>IF((IF(OR(SUMPRODUCT(--('Repartition stock'!$A$6:$A$423="2026Q3"),--('Repartition stock'!$B$6:$B$423="UK"),--('Repartition stock'!$E$6:$E$423="Millésime"),--('Repartition stock'!$F$6:$F$423="2018"))=0,SUMPRODUCT(--('Repartition stock'!$A$6:$A$423="2026Q3"),--('Repartition stock'!$B$6:$B$423="UK"),--('Repartition stock'!$E$6:$E$423="Millésime"),--('Repartition stock'!$F$6:$F$423="2018"),--('Repartition stock'!$H$6:$H$423="n.d."))&gt;0),"n.d.",SUMPRODUCT(--('Repartition stock'!$A$6:$A$423="2026Q3"),--('Repartition stock'!$B$6:$B$423="UK"),--('Repartition stock'!$E$6:$E$423="Millésime"),--('Repartition stock'!$F$6:$F$423="2018"),'Repartition stock'!$H$6:$H$423)))="n.d.",0,IF(OR(SUMPRODUCT(--('Repartition stock'!$A$6:$A$423="2026Q3"),--('Repartition stock'!$B$6:$B$423="UK"),--('Repartition stock'!$E$6:$E$423="Millésime"),--('Repartition stock'!$F$6:$F$423="2018"))=0,SUMPRODUCT(--('Repartition stock'!$A$6:$A$423="2026Q3"),--('Repartition stock'!$B$6:$B$423="UK"),--('Repartition stock'!$E$6:$E$423="Millésime"),--('Repartition stock'!$F$6:$F$423="2018"),--('Repartition stock'!$H$6:$H$423="n.d."))&gt;0),"n.d.",SUMPRODUCT(--('Repartition stock'!$A$6:$A$423="2026Q3"),--('Repartition stock'!$B$6:$B$423="UK"),--('Repartition stock'!$E$6:$E$423="Millésime"),--('Repartition stock'!$F$6:$F$423="2018"),'Repartition stock'!$H$6:$H$423)))</f>
        <v>84026.0</v>
      </c>
      <c r="AA8" s="16"/>
      <c r="AB8" s="16"/>
      <c r="AC8" s="7">
        <f>IF((IF(OR(COUNT(X8,X17)&lt;&gt;2,X17=0),"n.d.",X8/X17))="n.d.",0,IF(OR(COUNT(X8,X17)&lt;&gt;2,X17=0),"n.d.",X8/X17))</f>
        <v>0.015215002700337077</v>
      </c>
      <c r="AD8" s="7"/>
      <c r="AE8" s="7">
        <f>IF((IF(OR(COUNT(Z8,Z17)&lt;&gt;2,Z17=0),"n.d.",Z8/Z17))="n.d.",0,IF(OR(COUNT(Z8,Z17)&lt;&gt;2,Z17=0),"n.d.",Z8/Z17))</f>
        <v>0.028227201661933356</v>
      </c>
      <c r="AF8" s="7"/>
    </row>
    <row r="9" spans="1:32" ht="13.5" customHeight="1">
      <c r="A9" s="12"/>
      <c r="R9" s="4"/>
      <c r="S9" s="4"/>
      <c r="T9" s="4"/>
      <c r="U9" s="15" t="s">
        <v>391</v>
      </c>
      <c r="V9" s="15"/>
      <c r="W9" s="15"/>
      <c r="X9" s="16">
        <f>IF((IF(OR(SUMPRODUCT(--('Repartition stock'!$A$6:$A$423="2026Q3"),--('Repartition stock'!$B$6:$B$423="UK"),--('Repartition stock'!$E$6:$E$423="Millésime"),--('Repartition stock'!$F$6:$F$423="2019"))=0,SUMPRODUCT(--('Repartition stock'!$A$6:$A$423="2026Q3"),--('Repartition stock'!$B$6:$B$423="UK"),--('Repartition stock'!$E$6:$E$423="Millésime"),--('Repartition stock'!$F$6:$F$423="2019"),--('Repartition stock'!$G$6:$G$423="n.d."))&gt;0),"n.d.",SUMPRODUCT(--('Repartition stock'!$A$6:$A$423="2026Q3"),--('Repartition stock'!$B$6:$B$423="UK"),--('Repartition stock'!$E$6:$E$423="Millésime"),--('Repartition stock'!$F$6:$F$423="2019"),'Repartition stock'!$G$6:$G$423)))="n.d.",0,IF(OR(SUMPRODUCT(--('Repartition stock'!$A$6:$A$423="2026Q3"),--('Repartition stock'!$B$6:$B$423="UK"),--('Repartition stock'!$E$6:$E$423="Millésime"),--('Repartition stock'!$F$6:$F$423="2019"))=0,SUMPRODUCT(--('Repartition stock'!$A$6:$A$423="2026Q3"),--('Repartition stock'!$B$6:$B$423="UK"),--('Repartition stock'!$E$6:$E$423="Millésime"),--('Repartition stock'!$F$6:$F$423="2019"),--('Repartition stock'!$G$6:$G$423="n.d."))&gt;0),"n.d.",SUMPRODUCT(--('Repartition stock'!$A$6:$A$423="2026Q3"),--('Repartition stock'!$B$6:$B$423="UK"),--('Repartition stock'!$E$6:$E$423="Millésime"),--('Repartition stock'!$F$6:$F$423="2019"),'Repartition stock'!$G$6:$G$423)))</f>
        <v>953.0</v>
      </c>
      <c r="Y9" s="16"/>
      <c r="Z9" s="16">
        <f>IF((IF(OR(SUMPRODUCT(--('Repartition stock'!$A$6:$A$423="2026Q3"),--('Repartition stock'!$B$6:$B$423="UK"),--('Repartition stock'!$E$6:$E$423="Millésime"),--('Repartition stock'!$F$6:$F$423="2019"))=0,SUMPRODUCT(--('Repartition stock'!$A$6:$A$423="2026Q3"),--('Repartition stock'!$B$6:$B$423="UK"),--('Repartition stock'!$E$6:$E$423="Millésime"),--('Repartition stock'!$F$6:$F$423="2019"),--('Repartition stock'!$H$6:$H$423="n.d."))&gt;0),"n.d.",SUMPRODUCT(--('Repartition stock'!$A$6:$A$423="2026Q3"),--('Repartition stock'!$B$6:$B$423="UK"),--('Repartition stock'!$E$6:$E$423="Millésime"),--('Repartition stock'!$F$6:$F$423="2019"),'Repartition stock'!$H$6:$H$423)))="n.d.",0,IF(OR(SUMPRODUCT(--('Repartition stock'!$A$6:$A$423="2026Q3"),--('Repartition stock'!$B$6:$B$423="UK"),--('Repartition stock'!$E$6:$E$423="Millésime"),--('Repartition stock'!$F$6:$F$423="2019"))=0,SUMPRODUCT(--('Repartition stock'!$A$6:$A$423="2026Q3"),--('Repartition stock'!$B$6:$B$423="UK"),--('Repartition stock'!$E$6:$E$423="Millésime"),--('Repartition stock'!$F$6:$F$423="2019"),--('Repartition stock'!$H$6:$H$423="n.d."))&gt;0),"n.d.",SUMPRODUCT(--('Repartition stock'!$A$6:$A$423="2026Q3"),--('Repartition stock'!$B$6:$B$423="UK"),--('Repartition stock'!$E$6:$E$423="Millésime"),--('Repartition stock'!$F$6:$F$423="2019"),'Repartition stock'!$H$6:$H$423)))</f>
        <v>100521.0</v>
      </c>
      <c r="AA9" s="16"/>
      <c r="AB9" s="16"/>
      <c r="AC9" s="7">
        <f>IF((IF(OR(COUNT(X9,X17)&lt;&gt;2,X17=0),"n.d.",X9/X17))="n.d.",0,IF(OR(COUNT(X9,X17)&lt;&gt;2,X17=0),"n.d.",X9/X17))</f>
        <v>0.017747732648006408</v>
      </c>
      <c r="AD9" s="7"/>
      <c r="AE9" s="7">
        <f>IF((IF(OR(COUNT(Z9,Z17)&lt;&gt;2,Z17=0),"n.d.",Z9/Z17))="n.d.",0,IF(OR(COUNT(Z9,Z17)&lt;&gt;2,Z17=0),"n.d.",Z9/Z17))</f>
        <v>0.033768435225515946</v>
      </c>
      <c r="AF9" s="7"/>
    </row>
    <row r="10" spans="1:32" ht="13.5" customHeight="1">
      <c r="A10" s="12"/>
      <c r="R10" s="4"/>
      <c r="S10" s="4"/>
      <c r="T10" s="4"/>
      <c r="U10" s="15" t="s">
        <v>393</v>
      </c>
      <c r="V10" s="15"/>
      <c r="W10" s="15"/>
      <c r="X10" s="16">
        <f>IF((IF(OR(SUMPRODUCT(--('Repartition stock'!$A$6:$A$423="2026Q3"),--('Repartition stock'!$B$6:$B$423="UK"),--('Repartition stock'!$E$6:$E$423="Millésime"),--('Repartition stock'!$F$6:$F$423="2020"))=0,SUMPRODUCT(--('Repartition stock'!$A$6:$A$423="2026Q3"),--('Repartition stock'!$B$6:$B$423="UK"),--('Repartition stock'!$E$6:$E$423="Millésime"),--('Repartition stock'!$F$6:$F$423="2020"),--('Repartition stock'!$G$6:$G$423="n.d."))&gt;0),"n.d.",SUMPRODUCT(--('Repartition stock'!$A$6:$A$423="2026Q3"),--('Repartition stock'!$B$6:$B$423="UK"),--('Repartition stock'!$E$6:$E$423="Millésime"),--('Repartition stock'!$F$6:$F$423="2020"),'Repartition stock'!$G$6:$G$423)))="n.d.",0,IF(OR(SUMPRODUCT(--('Repartition stock'!$A$6:$A$423="2026Q3"),--('Repartition stock'!$B$6:$B$423="UK"),--('Repartition stock'!$E$6:$E$423="Millésime"),--('Repartition stock'!$F$6:$F$423="2020"))=0,SUMPRODUCT(--('Repartition stock'!$A$6:$A$423="2026Q3"),--('Repartition stock'!$B$6:$B$423="UK"),--('Repartition stock'!$E$6:$E$423="Millésime"),--('Repartition stock'!$F$6:$F$423="2020"),--('Repartition stock'!$G$6:$G$423="n.d."))&gt;0),"n.d.",SUMPRODUCT(--('Repartition stock'!$A$6:$A$423="2026Q3"),--('Repartition stock'!$B$6:$B$423="UK"),--('Repartition stock'!$E$6:$E$423="Millésime"),--('Repartition stock'!$F$6:$F$423="2020"),'Repartition stock'!$G$6:$G$423)))</f>
        <v>752.0</v>
      </c>
      <c r="Y10" s="16"/>
      <c r="Z10" s="16">
        <f>IF((IF(OR(SUMPRODUCT(--('Repartition stock'!$A$6:$A$423="2026Q3"),--('Repartition stock'!$B$6:$B$423="UK"),--('Repartition stock'!$E$6:$E$423="Millésime"),--('Repartition stock'!$F$6:$F$423="2020"))=0,SUMPRODUCT(--('Repartition stock'!$A$6:$A$423="2026Q3"),--('Repartition stock'!$B$6:$B$423="UK"),--('Repartition stock'!$E$6:$E$423="Millésime"),--('Repartition stock'!$F$6:$F$423="2020"),--('Repartition stock'!$H$6:$H$423="n.d."))&gt;0),"n.d.",SUMPRODUCT(--('Repartition stock'!$A$6:$A$423="2026Q3"),--('Repartition stock'!$B$6:$B$423="UK"),--('Repartition stock'!$E$6:$E$423="Millésime"),--('Repartition stock'!$F$6:$F$423="2020"),'Repartition stock'!$H$6:$H$423)))="n.d.",0,IF(OR(SUMPRODUCT(--('Repartition stock'!$A$6:$A$423="2026Q3"),--('Repartition stock'!$B$6:$B$423="UK"),--('Repartition stock'!$E$6:$E$423="Millésime"),--('Repartition stock'!$F$6:$F$423="2020"))=0,SUMPRODUCT(--('Repartition stock'!$A$6:$A$423="2026Q3"),--('Repartition stock'!$B$6:$B$423="UK"),--('Repartition stock'!$E$6:$E$423="Millésime"),--('Repartition stock'!$F$6:$F$423="2020"),--('Repartition stock'!$H$6:$H$423="n.d."))&gt;0),"n.d.",SUMPRODUCT(--('Repartition stock'!$A$6:$A$423="2026Q3"),--('Repartition stock'!$B$6:$B$423="UK"),--('Repartition stock'!$E$6:$E$423="Millésime"),--('Repartition stock'!$F$6:$F$423="2020"),'Repartition stock'!$H$6:$H$423)))</f>
        <v>75096.0</v>
      </c>
      <c r="AA10" s="16"/>
      <c r="AB10" s="16"/>
      <c r="AC10" s="7">
        <f>IF((IF(OR(COUNT(X10,X17)&lt;&gt;2,X17=0),"n.d.",X10/X17))="n.d.",0,IF(OR(COUNT(X10,X17)&lt;&gt;2,X17=0),"n.d.",X10/X17))</f>
        <v>0.014004506769465706</v>
      </c>
      <c r="AD10" s="7"/>
      <c r="AE10" s="7">
        <f>IF((IF(OR(COUNT(Z10,Z17)&lt;&gt;2,Z17=0),"n.d.",Z10/Z17))="n.d.",0,IF(OR(COUNT(Z10,Z17)&lt;&gt;2,Z17=0),"n.d.",Z10/Z17))</f>
        <v>0.02522730983272496</v>
      </c>
      <c r="AF10" s="7"/>
    </row>
    <row r="11" spans="1:32" ht="13.5" customHeight="1">
      <c r="A11" s="12"/>
      <c r="R11" s="4"/>
      <c r="S11" s="4"/>
      <c r="T11" s="4"/>
      <c r="U11" s="15" t="s">
        <v>395</v>
      </c>
      <c r="V11" s="15"/>
      <c r="W11" s="15"/>
      <c r="X11" s="16">
        <f>IF((IF(OR(SUMPRODUCT(--('Repartition stock'!$A$6:$A$423="2026Q3"),--('Repartition stock'!$B$6:$B$423="UK"),--('Repartition stock'!$E$6:$E$423="Millésime"),--('Repartition stock'!$F$6:$F$423="2021"))=0,SUMPRODUCT(--('Repartition stock'!$A$6:$A$423="2026Q3"),--('Repartition stock'!$B$6:$B$423="UK"),--('Repartition stock'!$E$6:$E$423="Millésime"),--('Repartition stock'!$F$6:$F$423="2021"),--('Repartition stock'!$G$6:$G$423="n.d."))&gt;0),"n.d.",SUMPRODUCT(--('Repartition stock'!$A$6:$A$423="2026Q3"),--('Repartition stock'!$B$6:$B$423="UK"),--('Repartition stock'!$E$6:$E$423="Millésime"),--('Repartition stock'!$F$6:$F$423="2021"),'Repartition stock'!$G$6:$G$423)))="n.d.",0,IF(OR(SUMPRODUCT(--('Repartition stock'!$A$6:$A$423="2026Q3"),--('Repartition stock'!$B$6:$B$423="UK"),--('Repartition stock'!$E$6:$E$423="Millésime"),--('Repartition stock'!$F$6:$F$423="2021"))=0,SUMPRODUCT(--('Repartition stock'!$A$6:$A$423="2026Q3"),--('Repartition stock'!$B$6:$B$423="UK"),--('Repartition stock'!$E$6:$E$423="Millésime"),--('Repartition stock'!$F$6:$F$423="2021"),--('Repartition stock'!$G$6:$G$423="n.d."))&gt;0),"n.d.",SUMPRODUCT(--('Repartition stock'!$A$6:$A$423="2026Q3"),--('Repartition stock'!$B$6:$B$423="UK"),--('Repartition stock'!$E$6:$E$423="Millésime"),--('Repartition stock'!$F$6:$F$423="2021"),'Repartition stock'!$G$6:$G$423)))</f>
        <v>727.0</v>
      </c>
      <c r="Y11" s="16"/>
      <c r="Z11" s="16">
        <f>IF((IF(OR(SUMPRODUCT(--('Repartition stock'!$A$6:$A$423="2026Q3"),--('Repartition stock'!$B$6:$B$423="UK"),--('Repartition stock'!$E$6:$E$423="Millésime"),--('Repartition stock'!$F$6:$F$423="2021"))=0,SUMPRODUCT(--('Repartition stock'!$A$6:$A$423="2026Q3"),--('Repartition stock'!$B$6:$B$423="UK"),--('Repartition stock'!$E$6:$E$423="Millésime"),--('Repartition stock'!$F$6:$F$423="2021"),--('Repartition stock'!$H$6:$H$423="n.d."))&gt;0),"n.d.",SUMPRODUCT(--('Repartition stock'!$A$6:$A$423="2026Q3"),--('Repartition stock'!$B$6:$B$423="UK"),--('Repartition stock'!$E$6:$E$423="Millésime"),--('Repartition stock'!$F$6:$F$423="2021"),'Repartition stock'!$H$6:$H$423)))="n.d.",0,IF(OR(SUMPRODUCT(--('Repartition stock'!$A$6:$A$423="2026Q3"),--('Repartition stock'!$B$6:$B$423="UK"),--('Repartition stock'!$E$6:$E$423="Millésime"),--('Repartition stock'!$F$6:$F$423="2021"))=0,SUMPRODUCT(--('Repartition stock'!$A$6:$A$423="2026Q3"),--('Repartition stock'!$B$6:$B$423="UK"),--('Repartition stock'!$E$6:$E$423="Millésime"),--('Repartition stock'!$F$6:$F$423="2021"),--('Repartition stock'!$H$6:$H$423="n.d."))&gt;0),"n.d.",SUMPRODUCT(--('Repartition stock'!$A$6:$A$423="2026Q3"),--('Repartition stock'!$B$6:$B$423="UK"),--('Repartition stock'!$E$6:$E$423="Millésime"),--('Repartition stock'!$F$6:$F$423="2021"),'Repartition stock'!$H$6:$H$423)))</f>
        <v>86007.0</v>
      </c>
      <c r="AA11" s="16"/>
      <c r="AB11" s="16"/>
      <c r="AC11" s="7">
        <f>IF((IF(OR(COUNT(X11,X17)&lt;&gt;2,X17=0),"n.d.",X11/X17))="n.d.",0,IF(OR(COUNT(X11,X17)&lt;&gt;2,X17=0),"n.d.",X11/X17))</f>
        <v>0.013538931411438256</v>
      </c>
      <c r="AD11" s="7"/>
      <c r="AE11" s="7">
        <f>IF((IF(OR(COUNT(Z11,Z17)&lt;&gt;2,Z17=0),"n.d.",Z11/Z17))="n.d.",0,IF(OR(COUNT(Z11,Z17)&lt;&gt;2,Z17=0),"n.d.",Z11/Z17))</f>
        <v>0.02889268718417992</v>
      </c>
      <c r="AF11" s="7"/>
    </row>
    <row r="12" spans="1:32" ht="13.5" customHeight="1">
      <c r="A12" s="12"/>
      <c r="R12" s="4"/>
      <c r="S12" s="4"/>
      <c r="T12" s="4"/>
      <c r="U12" s="15" t="s">
        <v>397</v>
      </c>
      <c r="V12" s="15"/>
      <c r="W12" s="15"/>
      <c r="X12" s="16">
        <f>IF((IF(OR(SUMPRODUCT(--('Repartition stock'!$A$6:$A$423="2026Q3"),--('Repartition stock'!$B$6:$B$423="UK"),--('Repartition stock'!$E$6:$E$423="Millésime"),--('Repartition stock'!$F$6:$F$423="2022"))=0,SUMPRODUCT(--('Repartition stock'!$A$6:$A$423="2026Q3"),--('Repartition stock'!$B$6:$B$423="UK"),--('Repartition stock'!$E$6:$E$423="Millésime"),--('Repartition stock'!$F$6:$F$423="2022"),--('Repartition stock'!$G$6:$G$423="n.d."))&gt;0),"n.d.",SUMPRODUCT(--('Repartition stock'!$A$6:$A$423="2026Q3"),--('Repartition stock'!$B$6:$B$423="UK"),--('Repartition stock'!$E$6:$E$423="Millésime"),--('Repartition stock'!$F$6:$F$423="2022"),'Repartition stock'!$G$6:$G$423)))="n.d.",0,IF(OR(SUMPRODUCT(--('Repartition stock'!$A$6:$A$423="2026Q3"),--('Repartition stock'!$B$6:$B$423="UK"),--('Repartition stock'!$E$6:$E$423="Millésime"),--('Repartition stock'!$F$6:$F$423="2022"))=0,SUMPRODUCT(--('Repartition stock'!$A$6:$A$423="2026Q3"),--('Repartition stock'!$B$6:$B$423="UK"),--('Repartition stock'!$E$6:$E$423="Millésime"),--('Repartition stock'!$F$6:$F$423="2022"),--('Repartition stock'!$G$6:$G$423="n.d."))&gt;0),"n.d.",SUMPRODUCT(--('Repartition stock'!$A$6:$A$423="2026Q3"),--('Repartition stock'!$B$6:$B$423="UK"),--('Repartition stock'!$E$6:$E$423="Millésime"),--('Repartition stock'!$F$6:$F$423="2022"),'Repartition stock'!$G$6:$G$423)))</f>
        <v>1294.0</v>
      </c>
      <c r="Y12" s="16"/>
      <c r="Z12" s="16">
        <f>IF((IF(OR(SUMPRODUCT(--('Repartition stock'!$A$6:$A$423="2026Q3"),--('Repartition stock'!$B$6:$B$423="UK"),--('Repartition stock'!$E$6:$E$423="Millésime"),--('Repartition stock'!$F$6:$F$423="2022"))=0,SUMPRODUCT(--('Repartition stock'!$A$6:$A$423="2026Q3"),--('Repartition stock'!$B$6:$B$423="UK"),--('Repartition stock'!$E$6:$E$423="Millésime"),--('Repartition stock'!$F$6:$F$423="2022"),--('Repartition stock'!$H$6:$H$423="n.d."))&gt;0),"n.d.",SUMPRODUCT(--('Repartition stock'!$A$6:$A$423="2026Q3"),--('Repartition stock'!$B$6:$B$423="UK"),--('Repartition stock'!$E$6:$E$423="Millésime"),--('Repartition stock'!$F$6:$F$423="2022"),'Repartition stock'!$H$6:$H$423)))="n.d.",0,IF(OR(SUMPRODUCT(--('Repartition stock'!$A$6:$A$423="2026Q3"),--('Repartition stock'!$B$6:$B$423="UK"),--('Repartition stock'!$E$6:$E$423="Millésime"),--('Repartition stock'!$F$6:$F$423="2022"))=0,SUMPRODUCT(--('Repartition stock'!$A$6:$A$423="2026Q3"),--('Repartition stock'!$B$6:$B$423="UK"),--('Repartition stock'!$E$6:$E$423="Millésime"),--('Repartition stock'!$F$6:$F$423="2022"),--('Repartition stock'!$H$6:$H$423="n.d."))&gt;0),"n.d.",SUMPRODUCT(--('Repartition stock'!$A$6:$A$423="2026Q3"),--('Repartition stock'!$B$6:$B$423="UK"),--('Repartition stock'!$E$6:$E$423="Millésime"),--('Repartition stock'!$F$6:$F$423="2022"),'Repartition stock'!$H$6:$H$423)))</f>
        <v>114129.0</v>
      </c>
      <c r="AA12" s="16"/>
      <c r="AB12" s="16"/>
      <c r="AC12" s="7">
        <f>IF((IF(OR(COUNT(X12,X17)&lt;&gt;2,X17=0),"n.d.",X12/X17))="n.d.",0,IF(OR(COUNT(X12,X17)&lt;&gt;2,X17=0),"n.d.",X12/X17))</f>
        <v>0.02409818053150083</v>
      </c>
      <c r="AD12" s="7"/>
      <c r="AE12" s="7">
        <f>IF((IF(OR(COUNT(Z12,Z17)&lt;&gt;2,Z17=0),"n.d.",Z12/Z17))="n.d.",0,IF(OR(COUNT(Z12,Z17)&lt;&gt;2,Z17=0),"n.d.",Z12/Z17))</f>
        <v>0.0383398269401708</v>
      </c>
      <c r="AF12" s="7"/>
    </row>
    <row r="13" spans="1:32" ht="13.5" customHeight="1">
      <c r="A13" s="12"/>
      <c r="R13" s="4"/>
      <c r="S13" s="4"/>
      <c r="T13" s="4"/>
      <c r="U13" s="15" t="s">
        <v>399</v>
      </c>
      <c r="V13" s="15"/>
      <c r="W13" s="15"/>
      <c r="X13" s="16">
        <f>IF((IF(OR(SUMPRODUCT(--('Repartition stock'!$A$6:$A$423="2026Q3"),--('Repartition stock'!$B$6:$B$423="UK"),--('Repartition stock'!$E$6:$E$423="Millésime"),--('Repartition stock'!$F$6:$F$423="2023"))=0,SUMPRODUCT(--('Repartition stock'!$A$6:$A$423="2026Q3"),--('Repartition stock'!$B$6:$B$423="UK"),--('Repartition stock'!$E$6:$E$423="Millésime"),--('Repartition stock'!$F$6:$F$423="2023"),--('Repartition stock'!$G$6:$G$423="n.d."))&gt;0),"n.d.",SUMPRODUCT(--('Repartition stock'!$A$6:$A$423="2026Q3"),--('Repartition stock'!$B$6:$B$423="UK"),--('Repartition stock'!$E$6:$E$423="Millésime"),--('Repartition stock'!$F$6:$F$423="2023"),'Repartition stock'!$G$6:$G$423)))="n.d.",0,IF(OR(SUMPRODUCT(--('Repartition stock'!$A$6:$A$423="2026Q3"),--('Repartition stock'!$B$6:$B$423="UK"),--('Repartition stock'!$E$6:$E$423="Millésime"),--('Repartition stock'!$F$6:$F$423="2023"))=0,SUMPRODUCT(--('Repartition stock'!$A$6:$A$423="2026Q3"),--('Repartition stock'!$B$6:$B$423="UK"),--('Repartition stock'!$E$6:$E$423="Millésime"),--('Repartition stock'!$F$6:$F$423="2023"),--('Repartition stock'!$G$6:$G$423="n.d."))&gt;0),"n.d.",SUMPRODUCT(--('Repartition stock'!$A$6:$A$423="2026Q3"),--('Repartition stock'!$B$6:$B$423="UK"),--('Repartition stock'!$E$6:$E$423="Millésime"),--('Repartition stock'!$F$6:$F$423="2023"),'Repartition stock'!$G$6:$G$423)))</f>
        <v>3922.0</v>
      </c>
      <c r="Y13" s="16"/>
      <c r="Z13" s="16">
        <f>IF((IF(OR(SUMPRODUCT(--('Repartition stock'!$A$6:$A$423="2026Q3"),--('Repartition stock'!$B$6:$B$423="UK"),--('Repartition stock'!$E$6:$E$423="Millésime"),--('Repartition stock'!$F$6:$F$423="2023"))=0,SUMPRODUCT(--('Repartition stock'!$A$6:$A$423="2026Q3"),--('Repartition stock'!$B$6:$B$423="UK"),--('Repartition stock'!$E$6:$E$423="Millésime"),--('Repartition stock'!$F$6:$F$423="2023"),--('Repartition stock'!$H$6:$H$423="n.d."))&gt;0),"n.d.",SUMPRODUCT(--('Repartition stock'!$A$6:$A$423="2026Q3"),--('Repartition stock'!$B$6:$B$423="UK"),--('Repartition stock'!$E$6:$E$423="Millésime"),--('Repartition stock'!$F$6:$F$423="2023"),'Repartition stock'!$H$6:$H$423)))="n.d.",0,IF(OR(SUMPRODUCT(--('Repartition stock'!$A$6:$A$423="2026Q3"),--('Repartition stock'!$B$6:$B$423="UK"),--('Repartition stock'!$E$6:$E$423="Millésime"),--('Repartition stock'!$F$6:$F$423="2023"))=0,SUMPRODUCT(--('Repartition stock'!$A$6:$A$423="2026Q3"),--('Repartition stock'!$B$6:$B$423="UK"),--('Repartition stock'!$E$6:$E$423="Millésime"),--('Repartition stock'!$F$6:$F$423="2023"),--('Repartition stock'!$H$6:$H$423="n.d."))&gt;0),"n.d.",SUMPRODUCT(--('Repartition stock'!$A$6:$A$423="2026Q3"),--('Repartition stock'!$B$6:$B$423="UK"),--('Repartition stock'!$E$6:$E$423="Millésime"),--('Repartition stock'!$F$6:$F$423="2023"),'Repartition stock'!$H$6:$H$423)))</f>
        <v>206890.0</v>
      </c>
      <c r="AA13" s="16"/>
      <c r="AB13" s="16"/>
      <c r="AC13" s="7">
        <f>IF((IF(OR(COUNT(X13,X17)&lt;&gt;2,X17=0),"n.d.",X13/X17))="n.d.",0,IF(OR(COUNT(X13,X17)&lt;&gt;2,X17=0),"n.d.",X13/X17))</f>
        <v>0.0730394621673464</v>
      </c>
      <c r="AD13" s="7"/>
      <c r="AE13" s="7">
        <f>IF((IF(OR(COUNT(Z13,Z17)&lt;&gt;2,Z17=0),"n.d.",Z13/Z17))="n.d.",0,IF(OR(COUNT(Z13,Z17)&lt;&gt;2,Z17=0),"n.d.",Z13/Z17))</f>
        <v>0.06950141327490766</v>
      </c>
      <c r="AF13" s="7"/>
    </row>
    <row r="14" spans="1:32" ht="13.5" customHeight="1">
      <c r="A14" s="12"/>
      <c r="R14" s="4"/>
      <c r="S14" s="4"/>
      <c r="T14" s="4"/>
      <c r="U14" s="15" t="s">
        <v>95</v>
      </c>
      <c r="V14" s="15"/>
      <c r="W14" s="15"/>
      <c r="X14" s="16">
        <f>IF((IF(OR(SUMPRODUCT(--('Repartition stock'!$A$6:$A$423="2026Q3"),--('Repartition stock'!$B$6:$B$423="UK"),--('Repartition stock'!$E$6:$E$423="Millésime"),--('Repartition stock'!$F$6:$F$423="2024"))=0,SUMPRODUCT(--('Repartition stock'!$A$6:$A$423="2026Q3"),--('Repartition stock'!$B$6:$B$423="UK"),--('Repartition stock'!$E$6:$E$423="Millésime"),--('Repartition stock'!$F$6:$F$423="2024"),--('Repartition stock'!$G$6:$G$423="n.d."))&gt;0),"n.d.",SUMPRODUCT(--('Repartition stock'!$A$6:$A$423="2026Q3"),--('Repartition stock'!$B$6:$B$423="UK"),--('Repartition stock'!$E$6:$E$423="Millésime"),--('Repartition stock'!$F$6:$F$423="2024"),'Repartition stock'!$G$6:$G$423)))="n.d.",0,IF(OR(SUMPRODUCT(--('Repartition stock'!$A$6:$A$423="2026Q3"),--('Repartition stock'!$B$6:$B$423="UK"),--('Repartition stock'!$E$6:$E$423="Millésime"),--('Repartition stock'!$F$6:$F$423="2024"))=0,SUMPRODUCT(--('Repartition stock'!$A$6:$A$423="2026Q3"),--('Repartition stock'!$B$6:$B$423="UK"),--('Repartition stock'!$E$6:$E$423="Millésime"),--('Repartition stock'!$F$6:$F$423="2024"),--('Repartition stock'!$G$6:$G$423="n.d."))&gt;0),"n.d.",SUMPRODUCT(--('Repartition stock'!$A$6:$A$423="2026Q3"),--('Repartition stock'!$B$6:$B$423="UK"),--('Repartition stock'!$E$6:$E$423="Millésime"),--('Repartition stock'!$F$6:$F$423="2024"),'Repartition stock'!$G$6:$G$423)))</f>
        <v>10013.0</v>
      </c>
      <c r="Y14" s="16"/>
      <c r="Z14" s="16">
        <f>IF((IF(OR(SUMPRODUCT(--('Repartition stock'!$A$6:$A$423="2026Q3"),--('Repartition stock'!$B$6:$B$423="UK"),--('Repartition stock'!$E$6:$E$423="Millésime"),--('Repartition stock'!$F$6:$F$423="2024"))=0,SUMPRODUCT(--('Repartition stock'!$A$6:$A$423="2026Q3"),--('Repartition stock'!$B$6:$B$423="UK"),--('Repartition stock'!$E$6:$E$423="Millésime"),--('Repartition stock'!$F$6:$F$423="2024"),--('Repartition stock'!$H$6:$H$423="n.d."))&gt;0),"n.d.",SUMPRODUCT(--('Repartition stock'!$A$6:$A$423="2026Q3"),--('Repartition stock'!$B$6:$B$423="UK"),--('Repartition stock'!$E$6:$E$423="Millésime"),--('Repartition stock'!$F$6:$F$423="2024"),'Repartition stock'!$H$6:$H$423)))="n.d.",0,IF(OR(SUMPRODUCT(--('Repartition stock'!$A$6:$A$423="2026Q3"),--('Repartition stock'!$B$6:$B$423="UK"),--('Repartition stock'!$E$6:$E$423="Millésime"),--('Repartition stock'!$F$6:$F$423="2024"))=0,SUMPRODUCT(--('Repartition stock'!$A$6:$A$423="2026Q3"),--('Repartition stock'!$B$6:$B$423="UK"),--('Repartition stock'!$E$6:$E$423="Millésime"),--('Repartition stock'!$F$6:$F$423="2024"),--('Repartition stock'!$H$6:$H$423="n.d."))&gt;0),"n.d.",SUMPRODUCT(--('Repartition stock'!$A$6:$A$423="2026Q3"),--('Repartition stock'!$B$6:$B$423="UK"),--('Repartition stock'!$E$6:$E$423="Millésime"),--('Repartition stock'!$F$6:$F$423="2024"),'Repartition stock'!$H$6:$H$423)))</f>
        <v>760202.0</v>
      </c>
      <c r="AA14" s="16"/>
      <c r="AB14" s="16"/>
      <c r="AC14" s="7">
        <f>IF((IF(OR(COUNT(X14,X17)&lt;&gt;2,X17=0),"n.d.",X14/X17))="n.d.",0,IF(OR(COUNT(X14,X17)&lt;&gt;2,X17=0),"n.d.",X14/X17))</f>
        <v>0.1864722423971544</v>
      </c>
      <c r="AD14" s="7"/>
      <c r="AE14" s="7">
        <f>IF((IF(OR(COUNT(Z14,Z17)&lt;&gt;2,Z17=0),"n.d.",Z14/Z17))="n.d.",0,IF(OR(COUNT(Z14,Z17)&lt;&gt;2,Z17=0),"n.d.",Z14/Z17))</f>
        <v>0.25537780160670576</v>
      </c>
      <c r="AF14" s="7"/>
    </row>
    <row r="15" spans="1:32" ht="13.5" customHeight="1">
      <c r="A15" s="12"/>
      <c r="R15" s="4"/>
      <c r="S15" s="4"/>
      <c r="T15" s="4"/>
      <c r="U15" s="15" t="s">
        <v>53</v>
      </c>
      <c r="V15" s="15"/>
      <c r="W15" s="15"/>
      <c r="X15" s="16">
        <f>IF((IF(OR(SUMPRODUCT(--('Repartition stock'!$A$6:$A$423="2026Q3"),--('Repartition stock'!$B$6:$B$423="UK"),--('Repartition stock'!$E$6:$E$423="Millésime"),--('Repartition stock'!$F$6:$F$423="2025"))=0,SUMPRODUCT(--('Repartition stock'!$A$6:$A$423="2026Q3"),--('Repartition stock'!$B$6:$B$423="UK"),--('Repartition stock'!$E$6:$E$423="Millésime"),--('Repartition stock'!$F$6:$F$423="2025"),--('Repartition stock'!$G$6:$G$423="n.d."))&gt;0),"n.d.",SUMPRODUCT(--('Repartition stock'!$A$6:$A$423="2026Q3"),--('Repartition stock'!$B$6:$B$423="UK"),--('Repartition stock'!$E$6:$E$423="Millésime"),--('Repartition stock'!$F$6:$F$423="2025"),'Repartition stock'!$G$6:$G$423)))="n.d.",0,IF(OR(SUMPRODUCT(--('Repartition stock'!$A$6:$A$423="2026Q3"),--('Repartition stock'!$B$6:$B$423="UK"),--('Repartition stock'!$E$6:$E$423="Millésime"),--('Repartition stock'!$F$6:$F$423="2025"))=0,SUMPRODUCT(--('Repartition stock'!$A$6:$A$423="2026Q3"),--('Repartition stock'!$B$6:$B$423="UK"),--('Repartition stock'!$E$6:$E$423="Millésime"),--('Repartition stock'!$F$6:$F$423="2025"),--('Repartition stock'!$G$6:$G$423="n.d."))&gt;0),"n.d.",SUMPRODUCT(--('Repartition stock'!$A$6:$A$423="2026Q3"),--('Repartition stock'!$B$6:$B$423="UK"),--('Repartition stock'!$E$6:$E$423="Millésime"),--('Repartition stock'!$F$6:$F$423="2025"),'Repartition stock'!$G$6:$G$423)))</f>
        <v>16652.0</v>
      </c>
      <c r="Y15" s="16"/>
      <c r="Z15" s="16">
        <f>IF((IF(OR(SUMPRODUCT(--('Repartition stock'!$A$6:$A$423="2026Q3"),--('Repartition stock'!$B$6:$B$423="UK"),--('Repartition stock'!$E$6:$E$423="Millésime"),--('Repartition stock'!$F$6:$F$423="2025"))=0,SUMPRODUCT(--('Repartition stock'!$A$6:$A$423="2026Q3"),--('Repartition stock'!$B$6:$B$423="UK"),--('Repartition stock'!$E$6:$E$423="Millésime"),--('Repartition stock'!$F$6:$F$423="2025"),--('Repartition stock'!$H$6:$H$423="n.d."))&gt;0),"n.d.",SUMPRODUCT(--('Repartition stock'!$A$6:$A$423="2026Q3"),--('Repartition stock'!$B$6:$B$423="UK"),--('Repartition stock'!$E$6:$E$423="Millésime"),--('Repartition stock'!$F$6:$F$423="2025"),'Repartition stock'!$H$6:$H$423)))="n.d.",0,IF(OR(SUMPRODUCT(--('Repartition stock'!$A$6:$A$423="2026Q3"),--('Repartition stock'!$B$6:$B$423="UK"),--('Repartition stock'!$E$6:$E$423="Millésime"),--('Repartition stock'!$F$6:$F$423="2025"))=0,SUMPRODUCT(--('Repartition stock'!$A$6:$A$423="2026Q3"),--('Repartition stock'!$B$6:$B$423="UK"),--('Repartition stock'!$E$6:$E$423="Millésime"),--('Repartition stock'!$F$6:$F$423="2025"),--('Repartition stock'!$H$6:$H$423="n.d."))&gt;0),"n.d.",SUMPRODUCT(--('Repartition stock'!$A$6:$A$423="2026Q3"),--('Repartition stock'!$B$6:$B$423="UK"),--('Repartition stock'!$E$6:$E$423="Millésime"),--('Repartition stock'!$F$6:$F$423="2025"),'Repartition stock'!$H$6:$H$423)))</f>
        <v>626503.0</v>
      </c>
      <c r="AA15" s="16"/>
      <c r="AB15" s="16"/>
      <c r="AC15" s="7">
        <f>IF((IF(OR(COUNT(X15,X17)&lt;&gt;2,X17=0),"n.d.",X15/X17))="n.d.",0,IF(OR(COUNT(X15,X17)&lt;&gt;2,X17=0),"n.d.",X15/X17))</f>
        <v>0.3101104344749241</v>
      </c>
      <c r="AD15" s="7"/>
      <c r="AE15" s="7">
        <f>IF((IF(OR(COUNT(Z15,Z17)&lt;&gt;2,Z17=0),"n.d.",Z15/Z17))="n.d.",0,IF(OR(COUNT(Z15,Z17)&lt;&gt;2,Z17=0),"n.d.",Z15/Z17))</f>
        <v>0.21046374363656764</v>
      </c>
      <c r="AF15" s="7"/>
    </row>
    <row r="16" spans="1:32" ht="13.5" customHeight="1">
      <c r="A16" s="12"/>
      <c r="R16" s="4"/>
      <c r="S16" s="4"/>
      <c r="T16" s="4"/>
      <c r="U16" s="15" t="s">
        <v>55</v>
      </c>
      <c r="V16" s="15"/>
      <c r="W16" s="15"/>
      <c r="X16" s="16">
        <f>IF((IF(OR(SUMPRODUCT(--('Repartition stock'!$A$6:$A$423="2026Q3"),--('Repartition stock'!$B$6:$B$423="UK"),--('Repartition stock'!$E$6:$E$423="Millésime"),--('Repartition stock'!$F$6:$F$423="2026"))=0,SUMPRODUCT(--('Repartition stock'!$A$6:$A$423="2026Q3"),--('Repartition stock'!$B$6:$B$423="UK"),--('Repartition stock'!$E$6:$E$423="Millésime"),--('Repartition stock'!$F$6:$F$423="2026"),--('Repartition stock'!$G$6:$G$423="n.d."))&gt;0),"n.d.",SUMPRODUCT(--('Repartition stock'!$A$6:$A$423="2026Q3"),--('Repartition stock'!$B$6:$B$423="UK"),--('Repartition stock'!$E$6:$E$423="Millésime"),--('Repartition stock'!$F$6:$F$423="2026"),'Repartition stock'!$G$6:$G$423)))="n.d.",0,IF(OR(SUMPRODUCT(--('Repartition stock'!$A$6:$A$423="2026Q3"),--('Repartition stock'!$B$6:$B$423="UK"),--('Repartition stock'!$E$6:$E$423="Millésime"),--('Repartition stock'!$F$6:$F$423="2026"))=0,SUMPRODUCT(--('Repartition stock'!$A$6:$A$423="2026Q3"),--('Repartition stock'!$B$6:$B$423="UK"),--('Repartition stock'!$E$6:$E$423="Millésime"),--('Repartition stock'!$F$6:$F$423="2026"),--('Repartition stock'!$G$6:$G$423="n.d."))&gt;0),"n.d.",SUMPRODUCT(--('Repartition stock'!$A$6:$A$423="2026Q3"),--('Repartition stock'!$B$6:$B$423="UK"),--('Repartition stock'!$E$6:$E$423="Millésime"),--('Repartition stock'!$F$6:$F$423="2026"),'Repartition stock'!$G$6:$G$423)))</f>
        <v>17246.0</v>
      </c>
      <c r="Y16" s="16"/>
      <c r="Z16" s="16">
        <f>IF((IF(OR(SUMPRODUCT(--('Repartition stock'!$A$6:$A$423="2026Q3"),--('Repartition stock'!$B$6:$B$423="UK"),--('Repartition stock'!$E$6:$E$423="Millésime"),--('Repartition stock'!$F$6:$F$423="2026"))=0,SUMPRODUCT(--('Repartition stock'!$A$6:$A$423="2026Q3"),--('Repartition stock'!$B$6:$B$423="UK"),--('Repartition stock'!$E$6:$E$423="Millésime"),--('Repartition stock'!$F$6:$F$423="2026"),--('Repartition stock'!$H$6:$H$423="n.d."))&gt;0),"n.d.",SUMPRODUCT(--('Repartition stock'!$A$6:$A$423="2026Q3"),--('Repartition stock'!$B$6:$B$423="UK"),--('Repartition stock'!$E$6:$E$423="Millésime"),--('Repartition stock'!$F$6:$F$423="2026"),'Repartition stock'!$H$6:$H$423)))="n.d.",0,IF(OR(SUMPRODUCT(--('Repartition stock'!$A$6:$A$423="2026Q3"),--('Repartition stock'!$B$6:$B$423="UK"),--('Repartition stock'!$E$6:$E$423="Millésime"),--('Repartition stock'!$F$6:$F$423="2026"))=0,SUMPRODUCT(--('Repartition stock'!$A$6:$A$423="2026Q3"),--('Repartition stock'!$B$6:$B$423="UK"),--('Repartition stock'!$E$6:$E$423="Millésime"),--('Repartition stock'!$F$6:$F$423="2026"),--('Repartition stock'!$H$6:$H$423="n.d."))&gt;0),"n.d.",SUMPRODUCT(--('Repartition stock'!$A$6:$A$423="2026Q3"),--('Repartition stock'!$B$6:$B$423="UK"),--('Repartition stock'!$E$6:$E$423="Millésime"),--('Repartition stock'!$F$6:$F$423="2026"),'Repartition stock'!$H$6:$H$423)))</f>
        <v>854768.0</v>
      </c>
      <c r="AA16" s="16"/>
      <c r="AB16" s="16"/>
      <c r="AC16" s="7">
        <f>IF((IF(OR(COUNT(X16,X17)&lt;&gt;2,X17=0),"n.d.",X16/X17))="n.d.",0,IF(OR(COUNT(X16,X17)&lt;&gt;2,X17=0),"n.d.",X16/X17))</f>
        <v>0.32117250498165634</v>
      </c>
      <c r="AD16" s="7"/>
      <c r="AE16" s="7">
        <f>IF((IF(OR(COUNT(Z16,Z17)&lt;&gt;2,Z17=0),"n.d.",Z16/Z17))="n.d.",0,IF(OR(COUNT(Z16,Z17)&lt;&gt;2,Z17=0),"n.d.",Z16/Z17))</f>
        <v>0.2871457490558571</v>
      </c>
      <c r="AF16" s="7"/>
    </row>
    <row r="17" spans="1:32" ht="13.5" customHeight="1">
      <c r="A17" s="12"/>
      <c r="R17" s="17" t="s">
        <v>3150</v>
      </c>
      <c r="S17" s="17"/>
      <c r="T17" s="17"/>
      <c r="U17" s="17"/>
      <c r="V17" s="17"/>
      <c r="W17" s="17"/>
      <c r="X17" s="17">
        <f>IF((IF(COUNT(X7:X16)=10,SUM(X7:X16),"n.d."))="n.d.",0,IF(COUNT(X7:X16)=10,SUM(X7:X16),"n.d."))</f>
        <v>53697.0</v>
      </c>
      <c r="Y17" s="17"/>
      <c r="Z17" s="17">
        <f>IF((IF(COUNT(Z7:Z16)=10,SUM(Z7:Z16),"n.d."))="n.d.",0,IF(COUNT(Z7:Z16)=10,SUM(Z7:Z16),"n.d."))</f>
        <v>2976774.0</v>
      </c>
      <c r="AA17" s="17"/>
      <c r="AB17" s="17"/>
      <c r="AC17" s="9">
        <f>IF((IF(OR(NOT(ISNUMBER(X17)),X17=0),"n.d.",1))="n.d.",0,IF(OR(NOT(ISNUMBER(X17)),X17=0),"n.d.",1))</f>
        <v>1.0</v>
      </c>
      <c r="AD17" s="9"/>
      <c r="AE17" s="9">
        <f>IF((IF(OR(NOT(ISNUMBER(Z17)),Z17=0),"n.d.",1))="n.d.",0,IF(OR(NOT(ISNUMBER(Z17)),Z17=0),"n.d.",1))</f>
        <v>1.0</v>
      </c>
      <c r="AF17" s="9"/>
    </row>
    <row r="18" spans="1:32" ht="13.5" customHeight="1">
      <c r="A18" s="12"/>
    </row>
    <row r="19" spans="1:32" ht="13.5" customHeight="1">
      <c r="A19" s="12"/>
    </row>
    <row r="20" spans="1:32" ht="13.5" customHeight="1">
      <c r="A20" s="12"/>
    </row>
    <row r="21" spans="1:32" ht="13.5" customHeight="1">
      <c r="A21" s="12"/>
    </row>
    <row r="22" spans="1:32" ht="13.5" customHeight="1">
      <c r="A22" s="12"/>
    </row>
    <row r="23" spans="1:32" ht="13.5" customHeight="1">
      <c r="A23" s="12"/>
    </row>
    <row r="24" spans="1:32" ht="13.5" customHeight="1">
      <c r="A24" s="12"/>
    </row>
    <row r="25" spans="1:32" ht="13.5" customHeight="1">
      <c r="A25" s="12"/>
    </row>
    <row r="26" spans="1:32" ht="13.5" customHeight="1">
      <c r="A26" s="12"/>
    </row>
    <row r="27" spans="1:32" ht="13.5" customHeight="1">
      <c r="A27" s="12"/>
    </row>
    <row r="28" spans="1:32" ht="13.5" customHeight="1">
      <c r="A28" s="12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"&amp;IF(ISNUMBER('GraphData'!A228),TEXT('GraphData'!A228,"#,##0"),"0")&amp;" GBP. Average balance per contract: "&amp;IF(ISNUMBER('GraphData'!B228),TEXT('GraphData'!B228,"#,##0"),"0")&amp;" GBP."</f>
        <v>Average monthly new flow: 180,548 GBP. Average balance per contract: 66 GBP.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"&amp;IF(ISNUMBER('GraphData'!C228),TEXT('GraphData'!C228,"0.0%"),"0")&amp;" treated in amount and "&amp;IF(ISNUMBER('GraphData'!D228),TEXT('GraphData'!D228,"0.0%"),"0")&amp;" in number."</f>
        <v>Oldest cohort (M-5): 79.3% treated in amount and 69.5%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"&amp;IF(ISNUMBER('GraphData'!E228),TEXT('GraphData'!E228,"#,##0"),"0")&amp;" GBP. Identified stock: "&amp;IF(ISNUMBER('GraphData'!F228),TEXT('GraphData'!F228,"#,##0"),"0")&amp;" GBP."</f>
        <v>Stock to process: 866,177 GBP. Identified stock: 2,976,774 GBP.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3185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3079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69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6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U12:W12"/>
    <mergeCell ref="X12:Y12"/>
    <mergeCell ref="Z12:AB12"/>
    <mergeCell ref="AC12:AD12"/>
    <mergeCell ref="AE12:AF12"/>
    <mergeCell ref="U13:W13"/>
    <mergeCell ref="X13:Y13"/>
    <mergeCell ref="Z13:AB13"/>
    <mergeCell ref="AC13:AD13"/>
    <mergeCell ref="AE13:AF1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R17:W17"/>
    <mergeCell ref="X17:Y17"/>
    <mergeCell ref="Z17:AB17"/>
    <mergeCell ref="AC17:AD17"/>
    <mergeCell ref="AE17:AF17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3187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3160</v>
      </c>
      <c r="S2" s="4"/>
      <c r="T2" s="4"/>
      <c r="U2" s="4"/>
      <c r="V2" s="4"/>
      <c r="W2" s="4"/>
      <c r="X2" s="14">
        <v>46295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3146</v>
      </c>
      <c r="Y3" s="4"/>
      <c r="Z3" s="4" t="s">
        <v>3189</v>
      </c>
      <c r="AA3" s="4"/>
      <c r="AB3" s="4"/>
      <c r="AC3" s="4" t="s">
        <v>3148</v>
      </c>
      <c r="AD3" s="4"/>
      <c r="AE3" s="4" t="s">
        <v>3149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1" t="s">
        <v>3193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2"/>
      <c r="R7" s="4" t="s">
        <v>3151</v>
      </c>
      <c r="S7" s="4"/>
      <c r="T7" s="4"/>
      <c r="U7" s="15" t="s">
        <v>590</v>
      </c>
      <c r="V7" s="15"/>
      <c r="W7" s="15"/>
      <c r="X7" s="16">
        <f>IF((IF(OR(SUMPRODUCT(--('Repartition stock'!$A$6:$A$423="2026Q3"),--('Repartition stock'!$B$6:$B$423="ZA"),--('Repartition stock'!$E$6:$E$423="Millésime"),--('Repartition stock'!$F$6:$F$423="&lt;2019"))=0,SUMPRODUCT(--('Repartition stock'!$A$6:$A$423="2026Q3"),--('Repartition stock'!$B$6:$B$423="ZA"),--('Repartition stock'!$E$6:$E$423="Millésime"),--('Repartition stock'!$F$6:$F$423="&lt;2019"),--('Repartition stock'!$G$6:$G$423="n.d."))&gt;0),"n.d.",SUMPRODUCT(--('Repartition stock'!$A$6:$A$423="2026Q3"),--('Repartition stock'!$B$6:$B$423="ZA"),--('Repartition stock'!$E$6:$E$423="Millésime"),--('Repartition stock'!$F$6:$F$423="&lt;2019"),'Repartition stock'!$G$6:$G$423)))="n.d.",0,IF(OR(SUMPRODUCT(--('Repartition stock'!$A$6:$A$423="2026Q3"),--('Repartition stock'!$B$6:$B$423="ZA"),--('Repartition stock'!$E$6:$E$423="Millésime"),--('Repartition stock'!$F$6:$F$423="&lt;2019"))=0,SUMPRODUCT(--('Repartition stock'!$A$6:$A$423="2026Q3"),--('Repartition stock'!$B$6:$B$423="ZA"),--('Repartition stock'!$E$6:$E$423="Millésime"),--('Repartition stock'!$F$6:$F$423="&lt;2019"),--('Repartition stock'!$G$6:$G$423="n.d."))&gt;0),"n.d.",SUMPRODUCT(--('Repartition stock'!$A$6:$A$423="2026Q3"),--('Repartition stock'!$B$6:$B$423="ZA"),--('Repartition stock'!$E$6:$E$423="Millésime"),--('Repartition stock'!$F$6:$F$423="&lt;2019"),'Repartition stock'!$G$6:$G$423)))</f>
        <v>191</v>
      </c>
      <c r="Y7" s="16"/>
      <c r="Z7" s="16">
        <f>IF((IF(OR(SUMPRODUCT(--('Repartition stock'!$A$6:$A$423="2026Q3"),--('Repartition stock'!$B$6:$B$423="ZA"),--('Repartition stock'!$E$6:$E$423="Millésime"),--('Repartition stock'!$F$6:$F$423="&lt;2019"))=0,SUMPRODUCT(--('Repartition stock'!$A$6:$A$423="2026Q3"),--('Repartition stock'!$B$6:$B$423="ZA"),--('Repartition stock'!$E$6:$E$423="Millésime"),--('Repartition stock'!$F$6:$F$423="&lt;2019"),--('Repartition stock'!$H$6:$H$423="n.d."))&gt;0),"n.d.",SUMPRODUCT(--('Repartition stock'!$A$6:$A$423="2026Q3"),--('Repartition stock'!$B$6:$B$423="ZA"),--('Repartition stock'!$E$6:$E$423="Millésime"),--('Repartition stock'!$F$6:$F$423="&lt;2019"),'Repartition stock'!$H$6:$H$423)))="n.d.",0,IF(OR(SUMPRODUCT(--('Repartition stock'!$A$6:$A$423="2026Q3"),--('Repartition stock'!$B$6:$B$423="ZA"),--('Repartition stock'!$E$6:$E$423="Millésime"),--('Repartition stock'!$F$6:$F$423="&lt;2019"))=0,SUMPRODUCT(--('Repartition stock'!$A$6:$A$423="2026Q3"),--('Repartition stock'!$B$6:$B$423="ZA"),--('Repartition stock'!$E$6:$E$423="Millésime"),--('Repartition stock'!$F$6:$F$423="&lt;2019"),--('Repartition stock'!$H$6:$H$423="n.d."))&gt;0),"n.d.",SUMPRODUCT(--('Repartition stock'!$A$6:$A$423="2026Q3"),--('Repartition stock'!$B$6:$B$423="ZA"),--('Repartition stock'!$E$6:$E$423="Millésime"),--('Repartition stock'!$F$6:$F$423="&lt;2019"),'Repartition stock'!$H$6:$H$423)))</f>
        <v>688714.21</v>
      </c>
      <c r="AA7" s="16"/>
      <c r="AB7" s="16"/>
      <c r="AC7" s="7">
        <f>IF((IF(OR(COUNT(X7,X16)&lt;&gt;2,X16=0),"n.d.",X7/X16))="n.d.",0,IF(OR(COUNT(X7,X16)&lt;&gt;2,X16=0),"n.d.",X7/X16))</f>
        <v>0.002651856994099271</v>
      </c>
      <c r="AD7" s="7"/>
      <c r="AE7" s="7">
        <f>IF((IF(OR(COUNT(Z7,Z16)&lt;&gt;2,Z16=0),"n.d.",Z7/Z16))="n.d.",0,IF(OR(COUNT(Z7,Z16)&lt;&gt;2,Z16=0),"n.d.",Z7/Z16))</f>
        <v>0.02050252659937398</v>
      </c>
      <c r="AF7" s="7"/>
    </row>
    <row r="8" spans="1:32" ht="13.5" customHeight="1">
      <c r="A8" s="12"/>
      <c r="R8" s="4"/>
      <c r="S8" s="4"/>
      <c r="T8" s="4"/>
      <c r="U8" s="15" t="s">
        <v>391</v>
      </c>
      <c r="V8" s="15"/>
      <c r="W8" s="15"/>
      <c r="X8" s="16">
        <f>IF((IF(OR(SUMPRODUCT(--('Repartition stock'!$A$6:$A$423="2026Q3"),--('Repartition stock'!$B$6:$B$423="ZA"),--('Repartition stock'!$E$6:$E$423="Millésime"),--('Repartition stock'!$F$6:$F$423="2019"))=0,SUMPRODUCT(--('Repartition stock'!$A$6:$A$423="2026Q3"),--('Repartition stock'!$B$6:$B$423="ZA"),--('Repartition stock'!$E$6:$E$423="Millésime"),--('Repartition stock'!$F$6:$F$423="2019"),--('Repartition stock'!$G$6:$G$423="n.d."))&gt;0),"n.d.",SUMPRODUCT(--('Repartition stock'!$A$6:$A$423="2026Q3"),--('Repartition stock'!$B$6:$B$423="ZA"),--('Repartition stock'!$E$6:$E$423="Millésime"),--('Repartition stock'!$F$6:$F$423="2019"),'Repartition stock'!$G$6:$G$423)))="n.d.",0,IF(OR(SUMPRODUCT(--('Repartition stock'!$A$6:$A$423="2026Q3"),--('Repartition stock'!$B$6:$B$423="ZA"),--('Repartition stock'!$E$6:$E$423="Millésime"),--('Repartition stock'!$F$6:$F$423="2019"))=0,SUMPRODUCT(--('Repartition stock'!$A$6:$A$423="2026Q3"),--('Repartition stock'!$B$6:$B$423="ZA"),--('Repartition stock'!$E$6:$E$423="Millésime"),--('Repartition stock'!$F$6:$F$423="2019"),--('Repartition stock'!$G$6:$G$423="n.d."))&gt;0),"n.d.",SUMPRODUCT(--('Repartition stock'!$A$6:$A$423="2026Q3"),--('Repartition stock'!$B$6:$B$423="ZA"),--('Repartition stock'!$E$6:$E$423="Millésime"),--('Repartition stock'!$F$6:$F$423="2019"),'Repartition stock'!$G$6:$G$423)))</f>
        <v>76</v>
      </c>
      <c r="Y8" s="16"/>
      <c r="Z8" s="16">
        <f>IF((IF(OR(SUMPRODUCT(--('Repartition stock'!$A$6:$A$423="2026Q3"),--('Repartition stock'!$B$6:$B$423="ZA"),--('Repartition stock'!$E$6:$E$423="Millésime"),--('Repartition stock'!$F$6:$F$423="2019"))=0,SUMPRODUCT(--('Repartition stock'!$A$6:$A$423="2026Q3"),--('Repartition stock'!$B$6:$B$423="ZA"),--('Repartition stock'!$E$6:$E$423="Millésime"),--('Repartition stock'!$F$6:$F$423="2019"),--('Repartition stock'!$H$6:$H$423="n.d."))&gt;0),"n.d.",SUMPRODUCT(--('Repartition stock'!$A$6:$A$423="2026Q3"),--('Repartition stock'!$B$6:$B$423="ZA"),--('Repartition stock'!$E$6:$E$423="Millésime"),--('Repartition stock'!$F$6:$F$423="2019"),'Repartition stock'!$H$6:$H$423)))="n.d.",0,IF(OR(SUMPRODUCT(--('Repartition stock'!$A$6:$A$423="2026Q3"),--('Repartition stock'!$B$6:$B$423="ZA"),--('Repartition stock'!$E$6:$E$423="Millésime"),--('Repartition stock'!$F$6:$F$423="2019"))=0,SUMPRODUCT(--('Repartition stock'!$A$6:$A$423="2026Q3"),--('Repartition stock'!$B$6:$B$423="ZA"),--('Repartition stock'!$E$6:$E$423="Millésime"),--('Repartition stock'!$F$6:$F$423="2019"),--('Repartition stock'!$H$6:$H$423="n.d."))&gt;0),"n.d.",SUMPRODUCT(--('Repartition stock'!$A$6:$A$423="2026Q3"),--('Repartition stock'!$B$6:$B$423="ZA"),--('Repartition stock'!$E$6:$E$423="Millésime"),--('Repartition stock'!$F$6:$F$423="2019"),'Repartition stock'!$H$6:$H$423)))</f>
        <v>217714.23</v>
      </c>
      <c r="AA8" s="16"/>
      <c r="AB8" s="16"/>
      <c r="AC8" s="7">
        <f>IF((IF(OR(COUNT(X8,X16)&lt;&gt;2,X16=0),"n.d.",X8/X16))="n.d.",0,IF(OR(COUNT(X8,X16)&lt;&gt;2,X16=0),"n.d.",X8/X16))</f>
        <v>0.0010551891704269351</v>
      </c>
      <c r="AD8" s="7"/>
      <c r="AE8" s="7">
        <f>IF((IF(OR(COUNT(Z8,Z16)&lt;&gt;2,Z16=0),"n.d.",Z8/Z16))="n.d.",0,IF(OR(COUNT(Z8,Z16)&lt;&gt;2,Z16=0),"n.d.",Z8/Z16))</f>
        <v>0.006481196012548115</v>
      </c>
      <c r="AF8" s="7"/>
    </row>
    <row r="9" spans="1:32" ht="13.5" customHeight="1">
      <c r="A9" s="12"/>
      <c r="R9" s="4"/>
      <c r="S9" s="4"/>
      <c r="T9" s="4"/>
      <c r="U9" s="15" t="s">
        <v>393</v>
      </c>
      <c r="V9" s="15"/>
      <c r="W9" s="15"/>
      <c r="X9" s="16">
        <f>IF((IF(OR(SUMPRODUCT(--('Repartition stock'!$A$6:$A$423="2026Q3"),--('Repartition stock'!$B$6:$B$423="ZA"),--('Repartition stock'!$E$6:$E$423="Millésime"),--('Repartition stock'!$F$6:$F$423="2020"))=0,SUMPRODUCT(--('Repartition stock'!$A$6:$A$423="2026Q3"),--('Repartition stock'!$B$6:$B$423="ZA"),--('Repartition stock'!$E$6:$E$423="Millésime"),--('Repartition stock'!$F$6:$F$423="2020"),--('Repartition stock'!$G$6:$G$423="n.d."))&gt;0),"n.d.",SUMPRODUCT(--('Repartition stock'!$A$6:$A$423="2026Q3"),--('Repartition stock'!$B$6:$B$423="ZA"),--('Repartition stock'!$E$6:$E$423="Millésime"),--('Repartition stock'!$F$6:$F$423="2020"),'Repartition stock'!$G$6:$G$423)))="n.d.",0,IF(OR(SUMPRODUCT(--('Repartition stock'!$A$6:$A$423="2026Q3"),--('Repartition stock'!$B$6:$B$423="ZA"),--('Repartition stock'!$E$6:$E$423="Millésime"),--('Repartition stock'!$F$6:$F$423="2020"))=0,SUMPRODUCT(--('Repartition stock'!$A$6:$A$423="2026Q3"),--('Repartition stock'!$B$6:$B$423="ZA"),--('Repartition stock'!$E$6:$E$423="Millésime"),--('Repartition stock'!$F$6:$F$423="2020"),--('Repartition stock'!$G$6:$G$423="n.d."))&gt;0),"n.d.",SUMPRODUCT(--('Repartition stock'!$A$6:$A$423="2026Q3"),--('Repartition stock'!$B$6:$B$423="ZA"),--('Repartition stock'!$E$6:$E$423="Millésime"),--('Repartition stock'!$F$6:$F$423="2020"),'Repartition stock'!$G$6:$G$423)))</f>
        <v>536</v>
      </c>
      <c r="Y9" s="16"/>
      <c r="Z9" s="16">
        <f>IF((IF(OR(SUMPRODUCT(--('Repartition stock'!$A$6:$A$423="2026Q3"),--('Repartition stock'!$B$6:$B$423="ZA"),--('Repartition stock'!$E$6:$E$423="Millésime"),--('Repartition stock'!$F$6:$F$423="2020"))=0,SUMPRODUCT(--('Repartition stock'!$A$6:$A$423="2026Q3"),--('Repartition stock'!$B$6:$B$423="ZA"),--('Repartition stock'!$E$6:$E$423="Millésime"),--('Repartition stock'!$F$6:$F$423="2020"),--('Repartition stock'!$H$6:$H$423="n.d."))&gt;0),"n.d.",SUMPRODUCT(--('Repartition stock'!$A$6:$A$423="2026Q3"),--('Repartition stock'!$B$6:$B$423="ZA"),--('Repartition stock'!$E$6:$E$423="Millésime"),--('Repartition stock'!$F$6:$F$423="2020"),'Repartition stock'!$H$6:$H$423)))="n.d.",0,IF(OR(SUMPRODUCT(--('Repartition stock'!$A$6:$A$423="2026Q3"),--('Repartition stock'!$B$6:$B$423="ZA"),--('Repartition stock'!$E$6:$E$423="Millésime"),--('Repartition stock'!$F$6:$F$423="2020"))=0,SUMPRODUCT(--('Repartition stock'!$A$6:$A$423="2026Q3"),--('Repartition stock'!$B$6:$B$423="ZA"),--('Repartition stock'!$E$6:$E$423="Millésime"),--('Repartition stock'!$F$6:$F$423="2020"),--('Repartition stock'!$H$6:$H$423="n.d."))&gt;0),"n.d.",SUMPRODUCT(--('Repartition stock'!$A$6:$A$423="2026Q3"),--('Repartition stock'!$B$6:$B$423="ZA"),--('Repartition stock'!$E$6:$E$423="Millésime"),--('Repartition stock'!$F$6:$F$423="2020"),'Repartition stock'!$H$6:$H$423)))</f>
        <v>1009033.5699999994</v>
      </c>
      <c r="AA9" s="16"/>
      <c r="AB9" s="16"/>
      <c r="AC9" s="7">
        <f>IF((IF(OR(COUNT(X9,X16)&lt;&gt;2,X16=0),"n.d.",X9/X16))="n.d.",0,IF(OR(COUNT(X9,X16)&lt;&gt;2,X16=0),"n.d.",X9/X16))</f>
        <v>0.0074418604651162795</v>
      </c>
      <c r="AD9" s="7"/>
      <c r="AE9" s="7">
        <f>IF((IF(OR(COUNT(Z9,Z16)&lt;&gt;2,Z16=0),"n.d.",Z9/Z16))="n.d.",0,IF(OR(COUNT(Z9,Z16)&lt;&gt;2,Z16=0),"n.d.",Z9/Z16))</f>
        <v>0.030038203522163822</v>
      </c>
      <c r="AF9" s="7"/>
    </row>
    <row r="10" spans="1:32" ht="13.5" customHeight="1">
      <c r="A10" s="12"/>
      <c r="R10" s="4"/>
      <c r="S10" s="4"/>
      <c r="T10" s="4"/>
      <c r="U10" s="15" t="s">
        <v>395</v>
      </c>
      <c r="V10" s="15"/>
      <c r="W10" s="15"/>
      <c r="X10" s="16">
        <f>IF((IF(OR(SUMPRODUCT(--('Repartition stock'!$A$6:$A$423="2026Q3"),--('Repartition stock'!$B$6:$B$423="ZA"),--('Repartition stock'!$E$6:$E$423="Millésime"),--('Repartition stock'!$F$6:$F$423="2021"))=0,SUMPRODUCT(--('Repartition stock'!$A$6:$A$423="2026Q3"),--('Repartition stock'!$B$6:$B$423="ZA"),--('Repartition stock'!$E$6:$E$423="Millésime"),--('Repartition stock'!$F$6:$F$423="2021"),--('Repartition stock'!$G$6:$G$423="n.d."))&gt;0),"n.d.",SUMPRODUCT(--('Repartition stock'!$A$6:$A$423="2026Q3"),--('Repartition stock'!$B$6:$B$423="ZA"),--('Repartition stock'!$E$6:$E$423="Millésime"),--('Repartition stock'!$F$6:$F$423="2021"),'Repartition stock'!$G$6:$G$423)))="n.d.",0,IF(OR(SUMPRODUCT(--('Repartition stock'!$A$6:$A$423="2026Q3"),--('Repartition stock'!$B$6:$B$423="ZA"),--('Repartition stock'!$E$6:$E$423="Millésime"),--('Repartition stock'!$F$6:$F$423="2021"))=0,SUMPRODUCT(--('Repartition stock'!$A$6:$A$423="2026Q3"),--('Repartition stock'!$B$6:$B$423="ZA"),--('Repartition stock'!$E$6:$E$423="Millésime"),--('Repartition stock'!$F$6:$F$423="2021"),--('Repartition stock'!$G$6:$G$423="n.d."))&gt;0),"n.d.",SUMPRODUCT(--('Repartition stock'!$A$6:$A$423="2026Q3"),--('Repartition stock'!$B$6:$B$423="ZA"),--('Repartition stock'!$E$6:$E$423="Millésime"),--('Repartition stock'!$F$6:$F$423="2021"),'Repartition stock'!$G$6:$G$423)))</f>
        <v>3378</v>
      </c>
      <c r="Y10" s="16"/>
      <c r="Z10" s="16">
        <f>IF((IF(OR(SUMPRODUCT(--('Repartition stock'!$A$6:$A$423="2026Q3"),--('Repartition stock'!$B$6:$B$423="ZA"),--('Repartition stock'!$E$6:$E$423="Millésime"),--('Repartition stock'!$F$6:$F$423="2021"))=0,SUMPRODUCT(--('Repartition stock'!$A$6:$A$423="2026Q3"),--('Repartition stock'!$B$6:$B$423="ZA"),--('Repartition stock'!$E$6:$E$423="Millésime"),--('Repartition stock'!$F$6:$F$423="2021"),--('Repartition stock'!$H$6:$H$423="n.d."))&gt;0),"n.d.",SUMPRODUCT(--('Repartition stock'!$A$6:$A$423="2026Q3"),--('Repartition stock'!$B$6:$B$423="ZA"),--('Repartition stock'!$E$6:$E$423="Millésime"),--('Repartition stock'!$F$6:$F$423="2021"),'Repartition stock'!$H$6:$H$423)))="n.d.",0,IF(OR(SUMPRODUCT(--('Repartition stock'!$A$6:$A$423="2026Q3"),--('Repartition stock'!$B$6:$B$423="ZA"),--('Repartition stock'!$E$6:$E$423="Millésime"),--('Repartition stock'!$F$6:$F$423="2021"))=0,SUMPRODUCT(--('Repartition stock'!$A$6:$A$423="2026Q3"),--('Repartition stock'!$B$6:$B$423="ZA"),--('Repartition stock'!$E$6:$E$423="Millésime"),--('Repartition stock'!$F$6:$F$423="2021"),--('Repartition stock'!$H$6:$H$423="n.d."))&gt;0),"n.d.",SUMPRODUCT(--('Repartition stock'!$A$6:$A$423="2026Q3"),--('Repartition stock'!$B$6:$B$423="ZA"),--('Repartition stock'!$E$6:$E$423="Millésime"),--('Repartition stock'!$F$6:$F$423="2021"),'Repartition stock'!$H$6:$H$423)))</f>
        <v>1988576.5700000057</v>
      </c>
      <c r="AA10" s="16"/>
      <c r="AB10" s="16"/>
      <c r="AC10" s="7">
        <f>IF((IF(OR(COUNT(X10,X16)&lt;&gt;2,X16=0),"n.d.",X10/X16))="n.d.",0,IF(OR(COUNT(X10,X16)&lt;&gt;2,X16=0),"n.d.",X10/X16))</f>
        <v>0.04690038181187088</v>
      </c>
      <c r="AD10" s="7"/>
      <c r="AE10" s="7">
        <f>IF((IF(OR(COUNT(Z10,Z16)&lt;&gt;2,Z16=0),"n.d.",Z10/Z16))="n.d.",0,IF(OR(COUNT(Z10,Z16)&lt;&gt;2,Z16=0),"n.d.",Z10/Z16))</f>
        <v>0.05919849398971598</v>
      </c>
      <c r="AF10" s="7"/>
    </row>
    <row r="11" spans="1:32" ht="13.5" customHeight="1">
      <c r="A11" s="12"/>
      <c r="R11" s="4"/>
      <c r="S11" s="4"/>
      <c r="T11" s="4"/>
      <c r="U11" s="15" t="s">
        <v>397</v>
      </c>
      <c r="V11" s="15"/>
      <c r="W11" s="15"/>
      <c r="X11" s="16">
        <f>IF((IF(OR(SUMPRODUCT(--('Repartition stock'!$A$6:$A$423="2026Q3"),--('Repartition stock'!$B$6:$B$423="ZA"),--('Repartition stock'!$E$6:$E$423="Millésime"),--('Repartition stock'!$F$6:$F$423="2022"))=0,SUMPRODUCT(--('Repartition stock'!$A$6:$A$423="2026Q3"),--('Repartition stock'!$B$6:$B$423="ZA"),--('Repartition stock'!$E$6:$E$423="Millésime"),--('Repartition stock'!$F$6:$F$423="2022"),--('Repartition stock'!$G$6:$G$423="n.d."))&gt;0),"n.d.",SUMPRODUCT(--('Repartition stock'!$A$6:$A$423="2026Q3"),--('Repartition stock'!$B$6:$B$423="ZA"),--('Repartition stock'!$E$6:$E$423="Millésime"),--('Repartition stock'!$F$6:$F$423="2022"),'Repartition stock'!$G$6:$G$423)))="n.d.",0,IF(OR(SUMPRODUCT(--('Repartition stock'!$A$6:$A$423="2026Q3"),--('Repartition stock'!$B$6:$B$423="ZA"),--('Repartition stock'!$E$6:$E$423="Millésime"),--('Repartition stock'!$F$6:$F$423="2022"))=0,SUMPRODUCT(--('Repartition stock'!$A$6:$A$423="2026Q3"),--('Repartition stock'!$B$6:$B$423="ZA"),--('Repartition stock'!$E$6:$E$423="Millésime"),--('Repartition stock'!$F$6:$F$423="2022"),--('Repartition stock'!$G$6:$G$423="n.d."))&gt;0),"n.d.",SUMPRODUCT(--('Repartition stock'!$A$6:$A$423="2026Q3"),--('Repartition stock'!$B$6:$B$423="ZA"),--('Repartition stock'!$E$6:$E$423="Millésime"),--('Repartition stock'!$F$6:$F$423="2022"),'Repartition stock'!$G$6:$G$423)))</f>
        <v>2953</v>
      </c>
      <c r="Y11" s="16"/>
      <c r="Z11" s="16">
        <f>IF((IF(OR(SUMPRODUCT(--('Repartition stock'!$A$6:$A$423="2026Q3"),--('Repartition stock'!$B$6:$B$423="ZA"),--('Repartition stock'!$E$6:$E$423="Millésime"),--('Repartition stock'!$F$6:$F$423="2022"))=0,SUMPRODUCT(--('Repartition stock'!$A$6:$A$423="2026Q3"),--('Repartition stock'!$B$6:$B$423="ZA"),--('Repartition stock'!$E$6:$E$423="Millésime"),--('Repartition stock'!$F$6:$F$423="2022"),--('Repartition stock'!$H$6:$H$423="n.d."))&gt;0),"n.d.",SUMPRODUCT(--('Repartition stock'!$A$6:$A$423="2026Q3"),--('Repartition stock'!$B$6:$B$423="ZA"),--('Repartition stock'!$E$6:$E$423="Millésime"),--('Repartition stock'!$F$6:$F$423="2022"),'Repartition stock'!$H$6:$H$423)))="n.d.",0,IF(OR(SUMPRODUCT(--('Repartition stock'!$A$6:$A$423="2026Q3"),--('Repartition stock'!$B$6:$B$423="ZA"),--('Repartition stock'!$E$6:$E$423="Millésime"),--('Repartition stock'!$F$6:$F$423="2022"))=0,SUMPRODUCT(--('Repartition stock'!$A$6:$A$423="2026Q3"),--('Repartition stock'!$B$6:$B$423="ZA"),--('Repartition stock'!$E$6:$E$423="Millésime"),--('Repartition stock'!$F$6:$F$423="2022"),--('Repartition stock'!$H$6:$H$423="n.d."))&gt;0),"n.d.",SUMPRODUCT(--('Repartition stock'!$A$6:$A$423="2026Q3"),--('Repartition stock'!$B$6:$B$423="ZA"),--('Repartition stock'!$E$6:$E$423="Millésime"),--('Repartition stock'!$F$6:$F$423="2022"),'Repartition stock'!$H$6:$H$423)))</f>
        <v>1765334.3200000038</v>
      </c>
      <c r="AA11" s="16"/>
      <c r="AB11" s="16"/>
      <c r="AC11" s="7">
        <f>IF((IF(OR(COUNT(X11,X16)&lt;&gt;2,X16=0),"n.d.",X11/X16))="n.d.",0,IF(OR(COUNT(X11,X16)&lt;&gt;2,X16=0),"n.d.",X11/X16))</f>
        <v>0.0409996528982992</v>
      </c>
      <c r="AD11" s="7"/>
      <c r="AE11" s="7">
        <f>IF((IF(OR(COUNT(Z11,Z16)&lt;&gt;2,Z16=0),"n.d.",Z11/Z16))="n.d.",0,IF(OR(COUNT(Z11,Z16)&lt;&gt;2,Z16=0),"n.d.",Z11/Z16))</f>
        <v>0.05255273279839523</v>
      </c>
      <c r="AF11" s="7"/>
    </row>
    <row r="12" spans="1:32" ht="13.5" customHeight="1">
      <c r="A12" s="12"/>
      <c r="R12" s="4"/>
      <c r="S12" s="4"/>
      <c r="T12" s="4"/>
      <c r="U12" s="15" t="s">
        <v>399</v>
      </c>
      <c r="V12" s="15"/>
      <c r="W12" s="15"/>
      <c r="X12" s="16">
        <f>IF((IF(OR(SUMPRODUCT(--('Repartition stock'!$A$6:$A$423="2026Q3"),--('Repartition stock'!$B$6:$B$423="ZA"),--('Repartition stock'!$E$6:$E$423="Millésime"),--('Repartition stock'!$F$6:$F$423="2023"))=0,SUMPRODUCT(--('Repartition stock'!$A$6:$A$423="2026Q3"),--('Repartition stock'!$B$6:$B$423="ZA"),--('Repartition stock'!$E$6:$E$423="Millésime"),--('Repartition stock'!$F$6:$F$423="2023"),--('Repartition stock'!$G$6:$G$423="n.d."))&gt;0),"n.d.",SUMPRODUCT(--('Repartition stock'!$A$6:$A$423="2026Q3"),--('Repartition stock'!$B$6:$B$423="ZA"),--('Repartition stock'!$E$6:$E$423="Millésime"),--('Repartition stock'!$F$6:$F$423="2023"),'Repartition stock'!$G$6:$G$423)))="n.d.",0,IF(OR(SUMPRODUCT(--('Repartition stock'!$A$6:$A$423="2026Q3"),--('Repartition stock'!$B$6:$B$423="ZA"),--('Repartition stock'!$E$6:$E$423="Millésime"),--('Repartition stock'!$F$6:$F$423="2023"))=0,SUMPRODUCT(--('Repartition stock'!$A$6:$A$423="2026Q3"),--('Repartition stock'!$B$6:$B$423="ZA"),--('Repartition stock'!$E$6:$E$423="Millésime"),--('Repartition stock'!$F$6:$F$423="2023"),--('Repartition stock'!$G$6:$G$423="n.d."))&gt;0),"n.d.",SUMPRODUCT(--('Repartition stock'!$A$6:$A$423="2026Q3"),--('Repartition stock'!$B$6:$B$423="ZA"),--('Repartition stock'!$E$6:$E$423="Millésime"),--('Repartition stock'!$F$6:$F$423="2023"),'Repartition stock'!$G$6:$G$423)))</f>
        <v>3919</v>
      </c>
      <c r="Y12" s="16"/>
      <c r="Z12" s="16">
        <f>IF((IF(OR(SUMPRODUCT(--('Repartition stock'!$A$6:$A$423="2026Q3"),--('Repartition stock'!$B$6:$B$423="ZA"),--('Repartition stock'!$E$6:$E$423="Millésime"),--('Repartition stock'!$F$6:$F$423="2023"))=0,SUMPRODUCT(--('Repartition stock'!$A$6:$A$423="2026Q3"),--('Repartition stock'!$B$6:$B$423="ZA"),--('Repartition stock'!$E$6:$E$423="Millésime"),--('Repartition stock'!$F$6:$F$423="2023"),--('Repartition stock'!$H$6:$H$423="n.d."))&gt;0),"n.d.",SUMPRODUCT(--('Repartition stock'!$A$6:$A$423="2026Q3"),--('Repartition stock'!$B$6:$B$423="ZA"),--('Repartition stock'!$E$6:$E$423="Millésime"),--('Repartition stock'!$F$6:$F$423="2023"),'Repartition stock'!$H$6:$H$423)))="n.d.",0,IF(OR(SUMPRODUCT(--('Repartition stock'!$A$6:$A$423="2026Q3"),--('Repartition stock'!$B$6:$B$423="ZA"),--('Repartition stock'!$E$6:$E$423="Millésime"),--('Repartition stock'!$F$6:$F$423="2023"))=0,SUMPRODUCT(--('Repartition stock'!$A$6:$A$423="2026Q3"),--('Repartition stock'!$B$6:$B$423="ZA"),--('Repartition stock'!$E$6:$E$423="Millésime"),--('Repartition stock'!$F$6:$F$423="2023"),--('Repartition stock'!$H$6:$H$423="n.d."))&gt;0),"n.d.",SUMPRODUCT(--('Repartition stock'!$A$6:$A$423="2026Q3"),--('Repartition stock'!$B$6:$B$423="ZA"),--('Repartition stock'!$E$6:$E$423="Millésime"),--('Repartition stock'!$F$6:$F$423="2023"),'Repartition stock'!$H$6:$H$423)))</f>
        <v>2536581.8899999964</v>
      </c>
      <c r="AA12" s="16"/>
      <c r="AB12" s="16"/>
      <c r="AC12" s="7">
        <f>IF((IF(OR(COUNT(X12,X16)&lt;&gt;2,X16=0),"n.d.",X12/X16))="n.d.",0,IF(OR(COUNT(X12,X16)&lt;&gt;2,X16=0),"n.d.",X12/X16))</f>
        <v>0.054411662617146826</v>
      </c>
      <c r="AD12" s="7"/>
      <c r="AE12" s="7">
        <f>IF((IF(OR(COUNT(Z12,Z16)&lt;&gt;2,Z16=0),"n.d.",Z12/Z16))="n.d.",0,IF(OR(COUNT(Z12,Z16)&lt;&gt;2,Z16=0),"n.d.",Z12/Z16))</f>
        <v>0.07551221815390632</v>
      </c>
      <c r="AF12" s="7"/>
    </row>
    <row r="13" spans="1:32" ht="13.5" customHeight="1">
      <c r="A13" s="12"/>
      <c r="R13" s="4"/>
      <c r="S13" s="4"/>
      <c r="T13" s="4"/>
      <c r="U13" s="15" t="s">
        <v>95</v>
      </c>
      <c r="V13" s="15"/>
      <c r="W13" s="15"/>
      <c r="X13" s="16">
        <f>IF((IF(OR(SUMPRODUCT(--('Repartition stock'!$A$6:$A$423="2026Q3"),--('Repartition stock'!$B$6:$B$423="ZA"),--('Repartition stock'!$E$6:$E$423="Millésime"),--('Repartition stock'!$F$6:$F$423="2024"))=0,SUMPRODUCT(--('Repartition stock'!$A$6:$A$423="2026Q3"),--('Repartition stock'!$B$6:$B$423="ZA"),--('Repartition stock'!$E$6:$E$423="Millésime"),--('Repartition stock'!$F$6:$F$423="2024"),--('Repartition stock'!$G$6:$G$423="n.d."))&gt;0),"n.d.",SUMPRODUCT(--('Repartition stock'!$A$6:$A$423="2026Q3"),--('Repartition stock'!$B$6:$B$423="ZA"),--('Repartition stock'!$E$6:$E$423="Millésime"),--('Repartition stock'!$F$6:$F$423="2024"),'Repartition stock'!$G$6:$G$423)))="n.d.",0,IF(OR(SUMPRODUCT(--('Repartition stock'!$A$6:$A$423="2026Q3"),--('Repartition stock'!$B$6:$B$423="ZA"),--('Repartition stock'!$E$6:$E$423="Millésime"),--('Repartition stock'!$F$6:$F$423="2024"))=0,SUMPRODUCT(--('Repartition stock'!$A$6:$A$423="2026Q3"),--('Repartition stock'!$B$6:$B$423="ZA"),--('Repartition stock'!$E$6:$E$423="Millésime"),--('Repartition stock'!$F$6:$F$423="2024"),--('Repartition stock'!$G$6:$G$423="n.d."))&gt;0),"n.d.",SUMPRODUCT(--('Repartition stock'!$A$6:$A$423="2026Q3"),--('Repartition stock'!$B$6:$B$423="ZA"),--('Repartition stock'!$E$6:$E$423="Millésime"),--('Repartition stock'!$F$6:$F$423="2024"),'Repartition stock'!$G$6:$G$423)))</f>
        <v>5286</v>
      </c>
      <c r="Y13" s="16"/>
      <c r="Z13" s="16">
        <f>IF((IF(OR(SUMPRODUCT(--('Repartition stock'!$A$6:$A$423="2026Q3"),--('Repartition stock'!$B$6:$B$423="ZA"),--('Repartition stock'!$E$6:$E$423="Millésime"),--('Repartition stock'!$F$6:$F$423="2024"))=0,SUMPRODUCT(--('Repartition stock'!$A$6:$A$423="2026Q3"),--('Repartition stock'!$B$6:$B$423="ZA"),--('Repartition stock'!$E$6:$E$423="Millésime"),--('Repartition stock'!$F$6:$F$423="2024"),--('Repartition stock'!$H$6:$H$423="n.d."))&gt;0),"n.d.",SUMPRODUCT(--('Repartition stock'!$A$6:$A$423="2026Q3"),--('Repartition stock'!$B$6:$B$423="ZA"),--('Repartition stock'!$E$6:$E$423="Millésime"),--('Repartition stock'!$F$6:$F$423="2024"),'Repartition stock'!$H$6:$H$423)))="n.d.",0,IF(OR(SUMPRODUCT(--('Repartition stock'!$A$6:$A$423="2026Q3"),--('Repartition stock'!$B$6:$B$423="ZA"),--('Repartition stock'!$E$6:$E$423="Millésime"),--('Repartition stock'!$F$6:$F$423="2024"))=0,SUMPRODUCT(--('Repartition stock'!$A$6:$A$423="2026Q3"),--('Repartition stock'!$B$6:$B$423="ZA"),--('Repartition stock'!$E$6:$E$423="Millésime"),--('Repartition stock'!$F$6:$F$423="2024"),--('Repartition stock'!$H$6:$H$423="n.d."))&gt;0),"n.d.",SUMPRODUCT(--('Repartition stock'!$A$6:$A$423="2026Q3"),--('Repartition stock'!$B$6:$B$423="ZA"),--('Repartition stock'!$E$6:$E$423="Millésime"),--('Repartition stock'!$F$6:$F$423="2024"),'Repartition stock'!$H$6:$H$423)))</f>
        <v>3180139.1900000055</v>
      </c>
      <c r="AA13" s="16"/>
      <c r="AB13" s="16"/>
      <c r="AC13" s="7">
        <f>IF((IF(OR(COUNT(X13,X16)&lt;&gt;2,X16=0),"n.d.",X13/X16))="n.d.",0,IF(OR(COUNT(X13,X16)&lt;&gt;2,X16=0),"n.d.",X13/X16))</f>
        <v>0.07339118361679972</v>
      </c>
      <c r="AD13" s="7"/>
      <c r="AE13" s="7">
        <f>IF((IF(OR(COUNT(Z13,Z16)&lt;&gt;2,Z16=0),"n.d.",Z13/Z16))="n.d.",0,IF(OR(COUNT(Z13,Z16)&lt;&gt;2,Z16=0),"n.d.",Z13/Z16))</f>
        <v>0.09467045602658139</v>
      </c>
      <c r="AF13" s="7"/>
    </row>
    <row r="14" spans="1:32" ht="13.5" customHeight="1">
      <c r="A14" s="12"/>
      <c r="R14" s="4"/>
      <c r="S14" s="4"/>
      <c r="T14" s="4"/>
      <c r="U14" s="15" t="s">
        <v>53</v>
      </c>
      <c r="V14" s="15"/>
      <c r="W14" s="15"/>
      <c r="X14" s="16">
        <f>IF((IF(OR(SUMPRODUCT(--('Repartition stock'!$A$6:$A$423="2026Q3"),--('Repartition stock'!$B$6:$B$423="ZA"),--('Repartition stock'!$E$6:$E$423="Millésime"),--('Repartition stock'!$F$6:$F$423="2025"))=0,SUMPRODUCT(--('Repartition stock'!$A$6:$A$423="2026Q3"),--('Repartition stock'!$B$6:$B$423="ZA"),--('Repartition stock'!$E$6:$E$423="Millésime"),--('Repartition stock'!$F$6:$F$423="2025"),--('Repartition stock'!$G$6:$G$423="n.d."))&gt;0),"n.d.",SUMPRODUCT(--('Repartition stock'!$A$6:$A$423="2026Q3"),--('Repartition stock'!$B$6:$B$423="ZA"),--('Repartition stock'!$E$6:$E$423="Millésime"),--('Repartition stock'!$F$6:$F$423="2025"),'Repartition stock'!$G$6:$G$423)))="n.d.",0,IF(OR(SUMPRODUCT(--('Repartition stock'!$A$6:$A$423="2026Q3"),--('Repartition stock'!$B$6:$B$423="ZA"),--('Repartition stock'!$E$6:$E$423="Millésime"),--('Repartition stock'!$F$6:$F$423="2025"))=0,SUMPRODUCT(--('Repartition stock'!$A$6:$A$423="2026Q3"),--('Repartition stock'!$B$6:$B$423="ZA"),--('Repartition stock'!$E$6:$E$423="Millésime"),--('Repartition stock'!$F$6:$F$423="2025"),--('Repartition stock'!$G$6:$G$423="n.d."))&gt;0),"n.d.",SUMPRODUCT(--('Repartition stock'!$A$6:$A$423="2026Q3"),--('Repartition stock'!$B$6:$B$423="ZA"),--('Repartition stock'!$E$6:$E$423="Millésime"),--('Repartition stock'!$F$6:$F$423="2025"),'Repartition stock'!$G$6:$G$423)))</f>
        <v>10227</v>
      </c>
      <c r="Y14" s="16"/>
      <c r="Z14" s="16">
        <f>IF((IF(OR(SUMPRODUCT(--('Repartition stock'!$A$6:$A$423="2026Q3"),--('Repartition stock'!$B$6:$B$423="ZA"),--('Repartition stock'!$E$6:$E$423="Millésime"),--('Repartition stock'!$F$6:$F$423="2025"))=0,SUMPRODUCT(--('Repartition stock'!$A$6:$A$423="2026Q3"),--('Repartition stock'!$B$6:$B$423="ZA"),--('Repartition stock'!$E$6:$E$423="Millésime"),--('Repartition stock'!$F$6:$F$423="2025"),--('Repartition stock'!$H$6:$H$423="n.d."))&gt;0),"n.d.",SUMPRODUCT(--('Repartition stock'!$A$6:$A$423="2026Q3"),--('Repartition stock'!$B$6:$B$423="ZA"),--('Repartition stock'!$E$6:$E$423="Millésime"),--('Repartition stock'!$F$6:$F$423="2025"),'Repartition stock'!$H$6:$H$423)))="n.d.",0,IF(OR(SUMPRODUCT(--('Repartition stock'!$A$6:$A$423="2026Q3"),--('Repartition stock'!$B$6:$B$423="ZA"),--('Repartition stock'!$E$6:$E$423="Millésime"),--('Repartition stock'!$F$6:$F$423="2025"))=0,SUMPRODUCT(--('Repartition stock'!$A$6:$A$423="2026Q3"),--('Repartition stock'!$B$6:$B$423="ZA"),--('Repartition stock'!$E$6:$E$423="Millésime"),--('Repartition stock'!$F$6:$F$423="2025"),--('Repartition stock'!$H$6:$H$423="n.d."))&gt;0),"n.d.",SUMPRODUCT(--('Repartition stock'!$A$6:$A$423="2026Q3"),--('Repartition stock'!$B$6:$B$423="ZA"),--('Repartition stock'!$E$6:$E$423="Millésime"),--('Repartition stock'!$F$6:$F$423="2025"),'Repartition stock'!$H$6:$H$423)))</f>
        <v>6167078.229999923</v>
      </c>
      <c r="AA14" s="16"/>
      <c r="AB14" s="16"/>
      <c r="AC14" s="7">
        <f>IF((IF(OR(COUNT(X14,X16)&lt;&gt;2,X16=0),"n.d.",X14/X16))="n.d.",0,IF(OR(COUNT(X14,X16)&lt;&gt;2,X16=0),"n.d.",X14/X16))</f>
        <v>0.14199236376258242</v>
      </c>
      <c r="AD14" s="7"/>
      <c r="AE14" s="7">
        <f>IF((IF(OR(COUNT(Z14,Z16)&lt;&gt;2,Z16=0),"n.d.",Z14/Z16))="n.d.",0,IF(OR(COUNT(Z14,Z16)&lt;&gt;2,Z16=0),"n.d.",Z14/Z16))</f>
        <v>0.1835894825678036</v>
      </c>
      <c r="AF14" s="7"/>
    </row>
    <row r="15" spans="1:32" ht="13.5" customHeight="1">
      <c r="A15" s="12"/>
      <c r="R15" s="4"/>
      <c r="S15" s="4"/>
      <c r="T15" s="4"/>
      <c r="U15" s="15" t="s">
        <v>55</v>
      </c>
      <c r="V15" s="15"/>
      <c r="W15" s="15"/>
      <c r="X15" s="16">
        <f>IF((IF(OR(SUMPRODUCT(--('Repartition stock'!$A$6:$A$423="2026Q3"),--('Repartition stock'!$B$6:$B$423="ZA"),--('Repartition stock'!$E$6:$E$423="Millésime"),--('Repartition stock'!$F$6:$F$423="2026"))=0,SUMPRODUCT(--('Repartition stock'!$A$6:$A$423="2026Q3"),--('Repartition stock'!$B$6:$B$423="ZA"),--('Repartition stock'!$E$6:$E$423="Millésime"),--('Repartition stock'!$F$6:$F$423="2026"),--('Repartition stock'!$G$6:$G$423="n.d."))&gt;0),"n.d.",SUMPRODUCT(--('Repartition stock'!$A$6:$A$423="2026Q3"),--('Repartition stock'!$B$6:$B$423="ZA"),--('Repartition stock'!$E$6:$E$423="Millésime"),--('Repartition stock'!$F$6:$F$423="2026"),'Repartition stock'!$G$6:$G$423)))="n.d.",0,IF(OR(SUMPRODUCT(--('Repartition stock'!$A$6:$A$423="2026Q3"),--('Repartition stock'!$B$6:$B$423="ZA"),--('Repartition stock'!$E$6:$E$423="Millésime"),--('Repartition stock'!$F$6:$F$423="2026"))=0,SUMPRODUCT(--('Repartition stock'!$A$6:$A$423="2026Q3"),--('Repartition stock'!$B$6:$B$423="ZA"),--('Repartition stock'!$E$6:$E$423="Millésime"),--('Repartition stock'!$F$6:$F$423="2026"),--('Repartition stock'!$G$6:$G$423="n.d."))&gt;0),"n.d.",SUMPRODUCT(--('Repartition stock'!$A$6:$A$423="2026Q3"),--('Repartition stock'!$B$6:$B$423="ZA"),--('Repartition stock'!$E$6:$E$423="Millésime"),--('Repartition stock'!$F$6:$F$423="2026"),'Repartition stock'!$G$6:$G$423)))</f>
        <v>45459</v>
      </c>
      <c r="Y15" s="16"/>
      <c r="Z15" s="16">
        <f>IF((IF(OR(SUMPRODUCT(--('Repartition stock'!$A$6:$A$423="2026Q3"),--('Repartition stock'!$B$6:$B$423="ZA"),--('Repartition stock'!$E$6:$E$423="Millésime"),--('Repartition stock'!$F$6:$F$423="2026"))=0,SUMPRODUCT(--('Repartition stock'!$A$6:$A$423="2026Q3"),--('Repartition stock'!$B$6:$B$423="ZA"),--('Repartition stock'!$E$6:$E$423="Millésime"),--('Repartition stock'!$F$6:$F$423="2026"),--('Repartition stock'!$H$6:$H$423="n.d."))&gt;0),"n.d.",SUMPRODUCT(--('Repartition stock'!$A$6:$A$423="2026Q3"),--('Repartition stock'!$B$6:$B$423="ZA"),--('Repartition stock'!$E$6:$E$423="Millésime"),--('Repartition stock'!$F$6:$F$423="2026"),'Repartition stock'!$H$6:$H$423)))="n.d.",0,IF(OR(SUMPRODUCT(--('Repartition stock'!$A$6:$A$423="2026Q3"),--('Repartition stock'!$B$6:$B$423="ZA"),--('Repartition stock'!$E$6:$E$423="Millésime"),--('Repartition stock'!$F$6:$F$423="2026"))=0,SUMPRODUCT(--('Repartition stock'!$A$6:$A$423="2026Q3"),--('Repartition stock'!$B$6:$B$423="ZA"),--('Repartition stock'!$E$6:$E$423="Millésime"),--('Repartition stock'!$F$6:$F$423="2026"),--('Repartition stock'!$H$6:$H$423="n.d."))&gt;0),"n.d.",SUMPRODUCT(--('Repartition stock'!$A$6:$A$423="2026Q3"),--('Repartition stock'!$B$6:$B$423="ZA"),--('Repartition stock'!$E$6:$E$423="Millésime"),--('Repartition stock'!$F$6:$F$423="2026"),'Repartition stock'!$H$6:$H$423)))</f>
        <v>16038502.780000027</v>
      </c>
      <c r="AA15" s="16"/>
      <c r="AB15" s="16"/>
      <c r="AC15" s="7">
        <f>IF((IF(OR(COUNT(X15,X16)&lt;&gt;2,X16=0),"n.d.",X15/X16))="n.d.",0,IF(OR(COUNT(X15,X16)&lt;&gt;2,X16=0),"n.d.",X15/X16))</f>
        <v>0.6311558486636585</v>
      </c>
      <c r="AD15" s="7"/>
      <c r="AE15" s="7">
        <f>IF((IF(OR(COUNT(Z15,Z16)&lt;&gt;2,Z16=0),"n.d.",Z15/Z16))="n.d.",0,IF(OR(COUNT(Z15,Z16)&lt;&gt;2,Z16=0),"n.d.",Z15/Z16))</f>
        <v>0.47745469032951143</v>
      </c>
      <c r="AF15" s="7"/>
    </row>
    <row r="16" spans="1:32" ht="13.5" customHeight="1">
      <c r="A16" s="12"/>
      <c r="R16" s="17" t="s">
        <v>3150</v>
      </c>
      <c r="S16" s="17"/>
      <c r="T16" s="17"/>
      <c r="U16" s="17"/>
      <c r="V16" s="17"/>
      <c r="W16" s="17"/>
      <c r="X16" s="17">
        <f>IF((IF(COUNT(X7:X15)=9,SUM(X7:X15),"n.d."))="n.d.",0,IF(COUNT(X7:X15)=9,SUM(X7:X15),"n.d."))</f>
        <v>72025</v>
      </c>
      <c r="Y16" s="17"/>
      <c r="Z16" s="17">
        <f>IF((IF(COUNT(Z7:Z15)=9,SUM(Z7:Z15),"n.d."))="n.d.",0,IF(COUNT(Z7:Z15)=9,SUM(Z7:Z15),"n.d."))</f>
        <v>33591674.989999965</v>
      </c>
      <c r="AA16" s="17"/>
      <c r="AB16" s="17"/>
      <c r="AC16" s="9">
        <f>IF((IF(OR(NOT(ISNUMBER(X16)),X16=0),"n.d.",1))="n.d.",0,IF(OR(NOT(ISNUMBER(X16)),X16=0),"n.d.",1))</f>
        <v>1.0</v>
      </c>
      <c r="AD16" s="9"/>
      <c r="AE16" s="9">
        <f>IF((IF(OR(NOT(ISNUMBER(Z16)),Z16=0),"n.d.",1))="n.d.",0,IF(OR(NOT(ISNUMBER(Z16)),Z16=0),"n.d.",1))</f>
        <v>1.0</v>
      </c>
      <c r="AF16" s="9"/>
    </row>
    <row r="17" spans="1:32" ht="13.5" customHeight="1">
      <c r="A17" s="12"/>
    </row>
    <row r="18" spans="1:32" ht="13.5" customHeight="1">
      <c r="A18" s="12"/>
      <c r="R18" s="1" t="s">
        <v>3190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3.5" customHeight="1">
      <c r="A19" s="12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3.5" customHeight="1">
      <c r="A20" s="12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3.5" customHeight="1">
      <c r="A21" s="12"/>
    </row>
    <row r="22" spans="1:32" ht="13.5" customHeight="1">
      <c r="A22" s="12"/>
    </row>
    <row r="23" spans="1:32" ht="13.5" customHeight="1">
      <c r="A23" s="12"/>
    </row>
    <row r="24" spans="1:32" ht="13.5" customHeight="1">
      <c r="A24" s="12"/>
    </row>
    <row r="25" spans="1:32" ht="13.5" customHeight="1">
      <c r="A25" s="12"/>
    </row>
    <row r="26" spans="1:32" ht="13.5" customHeight="1">
      <c r="A26" s="12"/>
    </row>
    <row r="27" spans="1:32" ht="13.5" customHeight="1">
      <c r="A27" s="12"/>
    </row>
    <row r="28" spans="1:32" ht="13.5" customHeight="1">
      <c r="A28" s="12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"&amp;IF(ISNUMBER('GraphData'!A245),TEXT('GraphData'!A245,"#,##0"),"0")&amp;" ZAR. Average balance per contract: "&amp;IF(ISNUMBER('GraphData'!B245),TEXT('GraphData'!B245,"#,##0"),"0")&amp;" ZAR."</f>
        <v>Average monthly new flow: 3,829,942 ZAR. Average balance per contract: 195 ZAR.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"&amp;IF(ISNUMBER('GraphData'!C245),TEXT('GraphData'!C245,"0.0%"),"0")&amp;" treated in amount and "&amp;IF(ISNUMBER('GraphData'!D245),TEXT('GraphData'!D245,"0.0%"),"0")&amp;" in number."</f>
        <v>Oldest cohort (M-5): 69.3% treated in amount and 85.7%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"&amp;IF(ISNUMBER('GraphData'!E245),TEXT('GraphData'!E245,"#,##0"),"0")&amp;" ZAR. Identified stock: "&amp;IF(ISNUMBER('GraphData'!F245),TEXT('GraphData'!F245,"#,##0"),"0")&amp;" ZAR."</f>
        <v>Stock to process: 33,591,675 ZAR. Identified stock: 38,076,722 ZAR.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3192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3079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65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5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U12:W12"/>
    <mergeCell ref="X12:Y12"/>
    <mergeCell ref="Z12:AB12"/>
    <mergeCell ref="AC12:AD12"/>
    <mergeCell ref="AE12:AF12"/>
    <mergeCell ref="U13:W13"/>
    <mergeCell ref="X13:Y13"/>
    <mergeCell ref="Z13:AB13"/>
    <mergeCell ref="AC13:AD13"/>
    <mergeCell ref="AE13:AF1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R16:W16"/>
    <mergeCell ref="X16:Y16"/>
    <mergeCell ref="Z16:AB16"/>
    <mergeCell ref="AC16:AD16"/>
    <mergeCell ref="AE16:AF16"/>
    <mergeCell ref="R18:AF20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3194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3160</v>
      </c>
      <c r="S2" s="4"/>
      <c r="T2" s="4"/>
      <c r="U2" s="4"/>
      <c r="V2" s="4"/>
      <c r="W2" s="4"/>
      <c r="X2" s="14">
        <v>46295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3146</v>
      </c>
      <c r="Y3" s="4"/>
      <c r="Z3" s="4" t="s">
        <v>3202</v>
      </c>
      <c r="AA3" s="4"/>
      <c r="AB3" s="4"/>
      <c r="AC3" s="4" t="s">
        <v>3148</v>
      </c>
      <c r="AD3" s="4"/>
      <c r="AE3" s="4" t="s">
        <v>3149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1" t="s">
        <v>3208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2"/>
      <c r="R7" s="4" t="s">
        <v>3151</v>
      </c>
      <c r="S7" s="4"/>
      <c r="T7" s="4"/>
      <c r="U7" s="15" t="s">
        <v>387</v>
      </c>
      <c r="V7" s="15"/>
      <c r="W7" s="15"/>
      <c r="X7" s="16">
        <f>IF((IF(OR(SUMPRODUCT(--('Repartition stock'!$A$6:$A$423="2026Q3"),--('Repartition stock'!$B$6:$B$423="BR"),--('Repartition stock'!$E$6:$E$423="Millésime"),--('Repartition stock'!$F$6:$F$423="&lt;2018"))=0,SUMPRODUCT(--('Repartition stock'!$A$6:$A$423="2026Q3"),--('Repartition stock'!$B$6:$B$423="BR"),--('Repartition stock'!$E$6:$E$423="Millésime"),--('Repartition stock'!$F$6:$F$423="&lt;2018"),--('Repartition stock'!$G$6:$G$423="n.d."))&gt;0),"n.d.",SUMPRODUCT(--('Repartition stock'!$A$6:$A$423="2026Q3"),--('Repartition stock'!$B$6:$B$423="BR"),--('Repartition stock'!$E$6:$E$423="Millésime"),--('Repartition stock'!$F$6:$F$423="&lt;2018"),'Repartition stock'!$G$6:$G$423)))="n.d.",0,IF(OR(SUMPRODUCT(--('Repartition stock'!$A$6:$A$423="2026Q3"),--('Repartition stock'!$B$6:$B$423="BR"),--('Repartition stock'!$E$6:$E$423="Millésime"),--('Repartition stock'!$F$6:$F$423="&lt;2018"))=0,SUMPRODUCT(--('Repartition stock'!$A$6:$A$423="2026Q3"),--('Repartition stock'!$B$6:$B$423="BR"),--('Repartition stock'!$E$6:$E$423="Millésime"),--('Repartition stock'!$F$6:$F$423="&lt;2018"),--('Repartition stock'!$G$6:$G$423="n.d."))&gt;0),"n.d.",SUMPRODUCT(--('Repartition stock'!$A$6:$A$423="2026Q3"),--('Repartition stock'!$B$6:$B$423="BR"),--('Repartition stock'!$E$6:$E$423="Millésime"),--('Repartition stock'!$F$6:$F$423="&lt;2018"),'Repartition stock'!$G$6:$G$423)))</f>
        <v>200151.0</v>
      </c>
      <c r="Y7" s="16"/>
      <c r="Z7" s="16">
        <f>IF((IF(OR(SUMPRODUCT(--('Repartition stock'!$A$6:$A$423="2026Q3"),--('Repartition stock'!$B$6:$B$423="BR"),--('Repartition stock'!$E$6:$E$423="Millésime"),--('Repartition stock'!$F$6:$F$423="&lt;2018"))=0,SUMPRODUCT(--('Repartition stock'!$A$6:$A$423="2026Q3"),--('Repartition stock'!$B$6:$B$423="BR"),--('Repartition stock'!$E$6:$E$423="Millésime"),--('Repartition stock'!$F$6:$F$423="&lt;2018"),--('Repartition stock'!$H$6:$H$423="n.d."))&gt;0),"n.d.",SUMPRODUCT(--('Repartition stock'!$A$6:$A$423="2026Q3"),--('Repartition stock'!$B$6:$B$423="BR"),--('Repartition stock'!$E$6:$E$423="Millésime"),--('Repartition stock'!$F$6:$F$423="&lt;2018"),'Repartition stock'!$H$6:$H$423)))="n.d.",0,IF(OR(SUMPRODUCT(--('Repartition stock'!$A$6:$A$423="2026Q3"),--('Repartition stock'!$B$6:$B$423="BR"),--('Repartition stock'!$E$6:$E$423="Millésime"),--('Repartition stock'!$F$6:$F$423="&lt;2018"))=0,SUMPRODUCT(--('Repartition stock'!$A$6:$A$423="2026Q3"),--('Repartition stock'!$B$6:$B$423="BR"),--('Repartition stock'!$E$6:$E$423="Millésime"),--('Repartition stock'!$F$6:$F$423="&lt;2018"),--('Repartition stock'!$H$6:$H$423="n.d."))&gt;0),"n.d.",SUMPRODUCT(--('Repartition stock'!$A$6:$A$423="2026Q3"),--('Repartition stock'!$B$6:$B$423="BR"),--('Repartition stock'!$E$6:$E$423="Millésime"),--('Repartition stock'!$F$6:$F$423="&lt;2018"),'Repartition stock'!$H$6:$H$423)))</f>
        <v>10286587.019999892</v>
      </c>
      <c r="AA7" s="16"/>
      <c r="AB7" s="16"/>
      <c r="AC7" s="7">
        <f>IF((IF(OR(COUNT(X7,X17)&lt;&gt;2,X17=0),"n.d.",X7/X17))="n.d.",0,IF(OR(COUNT(X7,X17)&lt;&gt;2,X17=0),"n.d.",X7/X17))</f>
        <v>0.6055712885306611</v>
      </c>
      <c r="AD7" s="7"/>
      <c r="AE7" s="7">
        <f>IF((IF(OR(COUNT(Z7,Z17)&lt;&gt;2,Z17=0),"n.d.",Z7/Z17))="n.d.",0,IF(OR(COUNT(Z7,Z17)&lt;&gt;2,Z17=0),"n.d.",Z7/Z17))</f>
        <v>0.4653093026014176</v>
      </c>
      <c r="AF7" s="7"/>
    </row>
    <row r="8" spans="1:32" ht="13.5" customHeight="1">
      <c r="A8" s="12"/>
      <c r="R8" s="4"/>
      <c r="S8" s="4"/>
      <c r="T8" s="4"/>
      <c r="U8" s="15" t="s">
        <v>389</v>
      </c>
      <c r="V8" s="15"/>
      <c r="W8" s="15"/>
      <c r="X8" s="16">
        <f>IF((IF(OR(SUMPRODUCT(--('Repartition stock'!$A$6:$A$423="2026Q3"),--('Repartition stock'!$B$6:$B$423="BR"),--('Repartition stock'!$E$6:$E$423="Millésime"),--('Repartition stock'!$F$6:$F$423="2018"))=0,SUMPRODUCT(--('Repartition stock'!$A$6:$A$423="2026Q3"),--('Repartition stock'!$B$6:$B$423="BR"),--('Repartition stock'!$E$6:$E$423="Millésime"),--('Repartition stock'!$F$6:$F$423="2018"),--('Repartition stock'!$G$6:$G$423="n.d."))&gt;0),"n.d.",SUMPRODUCT(--('Repartition stock'!$A$6:$A$423="2026Q3"),--('Repartition stock'!$B$6:$B$423="BR"),--('Repartition stock'!$E$6:$E$423="Millésime"),--('Repartition stock'!$F$6:$F$423="2018"),'Repartition stock'!$G$6:$G$423)))="n.d.",0,IF(OR(SUMPRODUCT(--('Repartition stock'!$A$6:$A$423="2026Q3"),--('Repartition stock'!$B$6:$B$423="BR"),--('Repartition stock'!$E$6:$E$423="Millésime"),--('Repartition stock'!$F$6:$F$423="2018"))=0,SUMPRODUCT(--('Repartition stock'!$A$6:$A$423="2026Q3"),--('Repartition stock'!$B$6:$B$423="BR"),--('Repartition stock'!$E$6:$E$423="Millésime"),--('Repartition stock'!$F$6:$F$423="2018"),--('Repartition stock'!$G$6:$G$423="n.d."))&gt;0),"n.d.",SUMPRODUCT(--('Repartition stock'!$A$6:$A$423="2026Q3"),--('Repartition stock'!$B$6:$B$423="BR"),--('Repartition stock'!$E$6:$E$423="Millésime"),--('Repartition stock'!$F$6:$F$423="2018"),'Repartition stock'!$G$6:$G$423)))</f>
        <v>7776.0</v>
      </c>
      <c r="Y8" s="16"/>
      <c r="Z8" s="16">
        <f>IF((IF(OR(SUMPRODUCT(--('Repartition stock'!$A$6:$A$423="2026Q3"),--('Repartition stock'!$B$6:$B$423="BR"),--('Repartition stock'!$E$6:$E$423="Millésime"),--('Repartition stock'!$F$6:$F$423="2018"))=0,SUMPRODUCT(--('Repartition stock'!$A$6:$A$423="2026Q3"),--('Repartition stock'!$B$6:$B$423="BR"),--('Repartition stock'!$E$6:$E$423="Millésime"),--('Repartition stock'!$F$6:$F$423="2018"),--('Repartition stock'!$H$6:$H$423="n.d."))&gt;0),"n.d.",SUMPRODUCT(--('Repartition stock'!$A$6:$A$423="2026Q3"),--('Repartition stock'!$B$6:$B$423="BR"),--('Repartition stock'!$E$6:$E$423="Millésime"),--('Repartition stock'!$F$6:$F$423="2018"),'Repartition stock'!$H$6:$H$423)))="n.d.",0,IF(OR(SUMPRODUCT(--('Repartition stock'!$A$6:$A$423="2026Q3"),--('Repartition stock'!$B$6:$B$423="BR"),--('Repartition stock'!$E$6:$E$423="Millésime"),--('Repartition stock'!$F$6:$F$423="2018"))=0,SUMPRODUCT(--('Repartition stock'!$A$6:$A$423="2026Q3"),--('Repartition stock'!$B$6:$B$423="BR"),--('Repartition stock'!$E$6:$E$423="Millésime"),--('Repartition stock'!$F$6:$F$423="2018"),--('Repartition stock'!$H$6:$H$423="n.d."))&gt;0),"n.d.",SUMPRODUCT(--('Repartition stock'!$A$6:$A$423="2026Q3"),--('Repartition stock'!$B$6:$B$423="BR"),--('Repartition stock'!$E$6:$E$423="Millésime"),--('Repartition stock'!$F$6:$F$423="2018"),'Repartition stock'!$H$6:$H$423)))</f>
        <v>1205925.6000000043</v>
      </c>
      <c r="AA8" s="16"/>
      <c r="AB8" s="16"/>
      <c r="AC8" s="7">
        <f>IF((IF(OR(COUNT(X8,X17)&lt;&gt;2,X17=0),"n.d.",X8/X17))="n.d.",0,IF(OR(COUNT(X8,X17)&lt;&gt;2,X17=0),"n.d.",X8/X17))</f>
        <v>0.02352684892713212</v>
      </c>
      <c r="AD8" s="7"/>
      <c r="AE8" s="7">
        <f>IF((IF(OR(COUNT(Z8,Z17)&lt;&gt;2,Z17=0),"n.d.",Z8/Z17))="n.d.",0,IF(OR(COUNT(Z8,Z17)&lt;&gt;2,Z17=0),"n.d.",Z8/Z17))</f>
        <v>0.05454952151128587</v>
      </c>
      <c r="AF8" s="7"/>
    </row>
    <row r="9" spans="1:32" ht="13.5" customHeight="1">
      <c r="A9" s="12"/>
      <c r="R9" s="4"/>
      <c r="S9" s="4"/>
      <c r="T9" s="4"/>
      <c r="U9" s="15" t="s">
        <v>391</v>
      </c>
      <c r="V9" s="15"/>
      <c r="W9" s="15"/>
      <c r="X9" s="16">
        <f>IF((IF(OR(SUMPRODUCT(--('Repartition stock'!$A$6:$A$423="2026Q3"),--('Repartition stock'!$B$6:$B$423="BR"),--('Repartition stock'!$E$6:$E$423="Millésime"),--('Repartition stock'!$F$6:$F$423="2019"))=0,SUMPRODUCT(--('Repartition stock'!$A$6:$A$423="2026Q3"),--('Repartition stock'!$B$6:$B$423="BR"),--('Repartition stock'!$E$6:$E$423="Millésime"),--('Repartition stock'!$F$6:$F$423="2019"),--('Repartition stock'!$G$6:$G$423="n.d."))&gt;0),"n.d.",SUMPRODUCT(--('Repartition stock'!$A$6:$A$423="2026Q3"),--('Repartition stock'!$B$6:$B$423="BR"),--('Repartition stock'!$E$6:$E$423="Millésime"),--('Repartition stock'!$F$6:$F$423="2019"),'Repartition stock'!$G$6:$G$423)))="n.d.",0,IF(OR(SUMPRODUCT(--('Repartition stock'!$A$6:$A$423="2026Q3"),--('Repartition stock'!$B$6:$B$423="BR"),--('Repartition stock'!$E$6:$E$423="Millésime"),--('Repartition stock'!$F$6:$F$423="2019"))=0,SUMPRODUCT(--('Repartition stock'!$A$6:$A$423="2026Q3"),--('Repartition stock'!$B$6:$B$423="BR"),--('Repartition stock'!$E$6:$E$423="Millésime"),--('Repartition stock'!$F$6:$F$423="2019"),--('Repartition stock'!$G$6:$G$423="n.d."))&gt;0),"n.d.",SUMPRODUCT(--('Repartition stock'!$A$6:$A$423="2026Q3"),--('Repartition stock'!$B$6:$B$423="BR"),--('Repartition stock'!$E$6:$E$423="Millésime"),--('Repartition stock'!$F$6:$F$423="2019"),'Repartition stock'!$G$6:$G$423)))</f>
        <v>5035.0</v>
      </c>
      <c r="Y9" s="16"/>
      <c r="Z9" s="16">
        <f>IF((IF(OR(SUMPRODUCT(--('Repartition stock'!$A$6:$A$423="2026Q3"),--('Repartition stock'!$B$6:$B$423="BR"),--('Repartition stock'!$E$6:$E$423="Millésime"),--('Repartition stock'!$F$6:$F$423="2019"))=0,SUMPRODUCT(--('Repartition stock'!$A$6:$A$423="2026Q3"),--('Repartition stock'!$B$6:$B$423="BR"),--('Repartition stock'!$E$6:$E$423="Millésime"),--('Repartition stock'!$F$6:$F$423="2019"),--('Repartition stock'!$H$6:$H$423="n.d."))&gt;0),"n.d.",SUMPRODUCT(--('Repartition stock'!$A$6:$A$423="2026Q3"),--('Repartition stock'!$B$6:$B$423="BR"),--('Repartition stock'!$E$6:$E$423="Millésime"),--('Repartition stock'!$F$6:$F$423="2019"),'Repartition stock'!$H$6:$H$423)))="n.d.",0,IF(OR(SUMPRODUCT(--('Repartition stock'!$A$6:$A$423="2026Q3"),--('Repartition stock'!$B$6:$B$423="BR"),--('Repartition stock'!$E$6:$E$423="Millésime"),--('Repartition stock'!$F$6:$F$423="2019"))=0,SUMPRODUCT(--('Repartition stock'!$A$6:$A$423="2026Q3"),--('Repartition stock'!$B$6:$B$423="BR"),--('Repartition stock'!$E$6:$E$423="Millésime"),--('Repartition stock'!$F$6:$F$423="2019"),--('Repartition stock'!$H$6:$H$423="n.d."))&gt;0),"n.d.",SUMPRODUCT(--('Repartition stock'!$A$6:$A$423="2026Q3"),--('Repartition stock'!$B$6:$B$423="BR"),--('Repartition stock'!$E$6:$E$423="Millésime"),--('Repartition stock'!$F$6:$F$423="2019"),'Repartition stock'!$H$6:$H$423)))</f>
        <v>1171305.1600000102</v>
      </c>
      <c r="AA9" s="16"/>
      <c r="AB9" s="16"/>
      <c r="AC9" s="7">
        <f>IF((IF(OR(COUNT(X9,X17)&lt;&gt;2,X17=0),"n.d.",X9/X17))="n.d.",0,IF(OR(COUNT(X9,X17)&lt;&gt;2,X17=0),"n.d.",X9/X17))</f>
        <v>0.015233755703203476</v>
      </c>
      <c r="AD9" s="7"/>
      <c r="AE9" s="7">
        <f>IF((IF(OR(COUNT(Z9,Z17)&lt;&gt;2,Z17=0),"n.d.",Z9/Z17))="n.d.",0,IF(OR(COUNT(Z9,Z17)&lt;&gt;2,Z17=0),"n.d.",Z9/Z17))</f>
        <v>0.05298348092262115</v>
      </c>
      <c r="AF9" s="7"/>
    </row>
    <row r="10" spans="1:32" ht="13.5" customHeight="1">
      <c r="A10" s="12"/>
      <c r="R10" s="4"/>
      <c r="S10" s="4"/>
      <c r="T10" s="4"/>
      <c r="U10" s="15" t="s">
        <v>393</v>
      </c>
      <c r="V10" s="15"/>
      <c r="W10" s="15"/>
      <c r="X10" s="16">
        <f>IF((IF(OR(SUMPRODUCT(--('Repartition stock'!$A$6:$A$423="2026Q3"),--('Repartition stock'!$B$6:$B$423="BR"),--('Repartition stock'!$E$6:$E$423="Millésime"),--('Repartition stock'!$F$6:$F$423="2020"))=0,SUMPRODUCT(--('Repartition stock'!$A$6:$A$423="2026Q3"),--('Repartition stock'!$B$6:$B$423="BR"),--('Repartition stock'!$E$6:$E$423="Millésime"),--('Repartition stock'!$F$6:$F$423="2020"),--('Repartition stock'!$G$6:$G$423="n.d."))&gt;0),"n.d.",SUMPRODUCT(--('Repartition stock'!$A$6:$A$423="2026Q3"),--('Repartition stock'!$B$6:$B$423="BR"),--('Repartition stock'!$E$6:$E$423="Millésime"),--('Repartition stock'!$F$6:$F$423="2020"),'Repartition stock'!$G$6:$G$423)))="n.d.",0,IF(OR(SUMPRODUCT(--('Repartition stock'!$A$6:$A$423="2026Q3"),--('Repartition stock'!$B$6:$B$423="BR"),--('Repartition stock'!$E$6:$E$423="Millésime"),--('Repartition stock'!$F$6:$F$423="2020"))=0,SUMPRODUCT(--('Repartition stock'!$A$6:$A$423="2026Q3"),--('Repartition stock'!$B$6:$B$423="BR"),--('Repartition stock'!$E$6:$E$423="Millésime"),--('Repartition stock'!$F$6:$F$423="2020"),--('Repartition stock'!$G$6:$G$423="n.d."))&gt;0),"n.d.",SUMPRODUCT(--('Repartition stock'!$A$6:$A$423="2026Q3"),--('Repartition stock'!$B$6:$B$423="BR"),--('Repartition stock'!$E$6:$E$423="Millésime"),--('Repartition stock'!$F$6:$F$423="2020"),'Repartition stock'!$G$6:$G$423)))</f>
        <v>47428.0</v>
      </c>
      <c r="Y10" s="16"/>
      <c r="Z10" s="16">
        <f>IF((IF(OR(SUMPRODUCT(--('Repartition stock'!$A$6:$A$423="2026Q3"),--('Repartition stock'!$B$6:$B$423="BR"),--('Repartition stock'!$E$6:$E$423="Millésime"),--('Repartition stock'!$F$6:$F$423="2020"))=0,SUMPRODUCT(--('Repartition stock'!$A$6:$A$423="2026Q3"),--('Repartition stock'!$B$6:$B$423="BR"),--('Repartition stock'!$E$6:$E$423="Millésime"),--('Repartition stock'!$F$6:$F$423="2020"),--('Repartition stock'!$H$6:$H$423="n.d."))&gt;0),"n.d.",SUMPRODUCT(--('Repartition stock'!$A$6:$A$423="2026Q3"),--('Repartition stock'!$B$6:$B$423="BR"),--('Repartition stock'!$E$6:$E$423="Millésime"),--('Repartition stock'!$F$6:$F$423="2020"),'Repartition stock'!$H$6:$H$423)))="n.d.",0,IF(OR(SUMPRODUCT(--('Repartition stock'!$A$6:$A$423="2026Q3"),--('Repartition stock'!$B$6:$B$423="BR"),--('Repartition stock'!$E$6:$E$423="Millésime"),--('Repartition stock'!$F$6:$F$423="2020"))=0,SUMPRODUCT(--('Repartition stock'!$A$6:$A$423="2026Q3"),--('Repartition stock'!$B$6:$B$423="BR"),--('Repartition stock'!$E$6:$E$423="Millésime"),--('Repartition stock'!$F$6:$F$423="2020"),--('Repartition stock'!$H$6:$H$423="n.d."))&gt;0),"n.d.",SUMPRODUCT(--('Repartition stock'!$A$6:$A$423="2026Q3"),--('Repartition stock'!$B$6:$B$423="BR"),--('Repartition stock'!$E$6:$E$423="Millésime"),--('Repartition stock'!$F$6:$F$423="2020"),'Repartition stock'!$H$6:$H$423)))</f>
        <v>1814453.9399993117</v>
      </c>
      <c r="AA10" s="16"/>
      <c r="AB10" s="16"/>
      <c r="AC10" s="7">
        <f>IF((IF(OR(COUNT(X10,X17)&lt;&gt;2,X17=0),"n.d.",X10/X17))="n.d.",0,IF(OR(COUNT(X10,X17)&lt;&gt;2,X17=0),"n.d.",X10/X17))</f>
        <v>0.14349683525154608</v>
      </c>
      <c r="AD10" s="7"/>
      <c r="AE10" s="7">
        <f>IF((IF(OR(COUNT(Z10,Z17)&lt;&gt;2,Z17=0),"n.d.",Z10/Z17))="n.d.",0,IF(OR(COUNT(Z10,Z17)&lt;&gt;2,Z17=0),"n.d.",Z10/Z17))</f>
        <v>0.08207603705504676</v>
      </c>
      <c r="AF10" s="7"/>
    </row>
    <row r="11" spans="1:32" ht="13.5" customHeight="1">
      <c r="A11" s="12"/>
      <c r="R11" s="4"/>
      <c r="S11" s="4"/>
      <c r="T11" s="4"/>
      <c r="U11" s="15" t="s">
        <v>395</v>
      </c>
      <c r="V11" s="15"/>
      <c r="W11" s="15"/>
      <c r="X11" s="16">
        <f>IF((IF(OR(SUMPRODUCT(--('Repartition stock'!$A$6:$A$423="2026Q3"),--('Repartition stock'!$B$6:$B$423="BR"),--('Repartition stock'!$E$6:$E$423="Millésime"),--('Repartition stock'!$F$6:$F$423="2021"))=0,SUMPRODUCT(--('Repartition stock'!$A$6:$A$423="2026Q3"),--('Repartition stock'!$B$6:$B$423="BR"),--('Repartition stock'!$E$6:$E$423="Millésime"),--('Repartition stock'!$F$6:$F$423="2021"),--('Repartition stock'!$G$6:$G$423="n.d."))&gt;0),"n.d.",SUMPRODUCT(--('Repartition stock'!$A$6:$A$423="2026Q3"),--('Repartition stock'!$B$6:$B$423="BR"),--('Repartition stock'!$E$6:$E$423="Millésime"),--('Repartition stock'!$F$6:$F$423="2021"),'Repartition stock'!$G$6:$G$423)))="n.d.",0,IF(OR(SUMPRODUCT(--('Repartition stock'!$A$6:$A$423="2026Q3"),--('Repartition stock'!$B$6:$B$423="BR"),--('Repartition stock'!$E$6:$E$423="Millésime"),--('Repartition stock'!$F$6:$F$423="2021"))=0,SUMPRODUCT(--('Repartition stock'!$A$6:$A$423="2026Q3"),--('Repartition stock'!$B$6:$B$423="BR"),--('Repartition stock'!$E$6:$E$423="Millésime"),--('Repartition stock'!$F$6:$F$423="2021"),--('Repartition stock'!$G$6:$G$423="n.d."))&gt;0),"n.d.",SUMPRODUCT(--('Repartition stock'!$A$6:$A$423="2026Q3"),--('Repartition stock'!$B$6:$B$423="BR"),--('Repartition stock'!$E$6:$E$423="Millésime"),--('Repartition stock'!$F$6:$F$423="2021"),'Repartition stock'!$G$6:$G$423)))</f>
        <v>21231.0</v>
      </c>
      <c r="Y11" s="16"/>
      <c r="Z11" s="16">
        <f>IF((IF(OR(SUMPRODUCT(--('Repartition stock'!$A$6:$A$423="2026Q3"),--('Repartition stock'!$B$6:$B$423="BR"),--('Repartition stock'!$E$6:$E$423="Millésime"),--('Repartition stock'!$F$6:$F$423="2021"))=0,SUMPRODUCT(--('Repartition stock'!$A$6:$A$423="2026Q3"),--('Repartition stock'!$B$6:$B$423="BR"),--('Repartition stock'!$E$6:$E$423="Millésime"),--('Repartition stock'!$F$6:$F$423="2021"),--('Repartition stock'!$H$6:$H$423="n.d."))&gt;0),"n.d.",SUMPRODUCT(--('Repartition stock'!$A$6:$A$423="2026Q3"),--('Repartition stock'!$B$6:$B$423="BR"),--('Repartition stock'!$E$6:$E$423="Millésime"),--('Repartition stock'!$F$6:$F$423="2021"),'Repartition stock'!$H$6:$H$423)))="n.d.",0,IF(OR(SUMPRODUCT(--('Repartition stock'!$A$6:$A$423="2026Q3"),--('Repartition stock'!$B$6:$B$423="BR"),--('Repartition stock'!$E$6:$E$423="Millésime"),--('Repartition stock'!$F$6:$F$423="2021"))=0,SUMPRODUCT(--('Repartition stock'!$A$6:$A$423="2026Q3"),--('Repartition stock'!$B$6:$B$423="BR"),--('Repartition stock'!$E$6:$E$423="Millésime"),--('Repartition stock'!$F$6:$F$423="2021"),--('Repartition stock'!$H$6:$H$423="n.d."))&gt;0),"n.d.",SUMPRODUCT(--('Repartition stock'!$A$6:$A$423="2026Q3"),--('Repartition stock'!$B$6:$B$423="BR"),--('Repartition stock'!$E$6:$E$423="Millésime"),--('Repartition stock'!$F$6:$F$423="2021"),'Repartition stock'!$H$6:$H$423)))</f>
        <v>2252780.3700001785</v>
      </c>
      <c r="AA11" s="16"/>
      <c r="AB11" s="16"/>
      <c r="AC11" s="7">
        <f>IF((IF(OR(COUNT(X11,X17)&lt;&gt;2,X17=0),"n.d.",X11/X17))="n.d.",0,IF(OR(COUNT(X11,X17)&lt;&gt;2,X17=0),"n.d.",X11/X17))</f>
        <v>0.06423592201285264</v>
      </c>
      <c r="AD11" s="7"/>
      <c r="AE11" s="7">
        <f>IF((IF(OR(COUNT(Z11,Z17)&lt;&gt;2,Z17=0),"n.d.",Z11/Z17))="n.d.",0,IF(OR(COUNT(Z11,Z17)&lt;&gt;2,Z17=0),"n.d.",Z11/Z17))</f>
        <v>0.10190354301586005</v>
      </c>
      <c r="AF11" s="7"/>
    </row>
    <row r="12" spans="1:32" ht="13.5" customHeight="1">
      <c r="A12" s="12"/>
      <c r="R12" s="4"/>
      <c r="S12" s="4"/>
      <c r="T12" s="4"/>
      <c r="U12" s="15" t="s">
        <v>397</v>
      </c>
      <c r="V12" s="15"/>
      <c r="W12" s="15"/>
      <c r="X12" s="16">
        <f>IF((IF(OR(SUMPRODUCT(--('Repartition stock'!$A$6:$A$423="2026Q3"),--('Repartition stock'!$B$6:$B$423="BR"),--('Repartition stock'!$E$6:$E$423="Millésime"),--('Repartition stock'!$F$6:$F$423="2022"))=0,SUMPRODUCT(--('Repartition stock'!$A$6:$A$423="2026Q3"),--('Repartition stock'!$B$6:$B$423="BR"),--('Repartition stock'!$E$6:$E$423="Millésime"),--('Repartition stock'!$F$6:$F$423="2022"),--('Repartition stock'!$G$6:$G$423="n.d."))&gt;0),"n.d.",SUMPRODUCT(--('Repartition stock'!$A$6:$A$423="2026Q3"),--('Repartition stock'!$B$6:$B$423="BR"),--('Repartition stock'!$E$6:$E$423="Millésime"),--('Repartition stock'!$F$6:$F$423="2022"),'Repartition stock'!$G$6:$G$423)))="n.d.",0,IF(OR(SUMPRODUCT(--('Repartition stock'!$A$6:$A$423="2026Q3"),--('Repartition stock'!$B$6:$B$423="BR"),--('Repartition stock'!$E$6:$E$423="Millésime"),--('Repartition stock'!$F$6:$F$423="2022"))=0,SUMPRODUCT(--('Repartition stock'!$A$6:$A$423="2026Q3"),--('Repartition stock'!$B$6:$B$423="BR"),--('Repartition stock'!$E$6:$E$423="Millésime"),--('Repartition stock'!$F$6:$F$423="2022"),--('Repartition stock'!$G$6:$G$423="n.d."))&gt;0),"n.d.",SUMPRODUCT(--('Repartition stock'!$A$6:$A$423="2026Q3"),--('Repartition stock'!$B$6:$B$423="BR"),--('Repartition stock'!$E$6:$E$423="Millésime"),--('Repartition stock'!$F$6:$F$423="2022"),'Repartition stock'!$G$6:$G$423)))</f>
        <v>5370.0</v>
      </c>
      <c r="Y12" s="16"/>
      <c r="Z12" s="16">
        <f>IF((IF(OR(SUMPRODUCT(--('Repartition stock'!$A$6:$A$423="2026Q3"),--('Repartition stock'!$B$6:$B$423="BR"),--('Repartition stock'!$E$6:$E$423="Millésime"),--('Repartition stock'!$F$6:$F$423="2022"))=0,SUMPRODUCT(--('Repartition stock'!$A$6:$A$423="2026Q3"),--('Repartition stock'!$B$6:$B$423="BR"),--('Repartition stock'!$E$6:$E$423="Millésime"),--('Repartition stock'!$F$6:$F$423="2022"),--('Repartition stock'!$H$6:$H$423="n.d."))&gt;0),"n.d.",SUMPRODUCT(--('Repartition stock'!$A$6:$A$423="2026Q3"),--('Repartition stock'!$B$6:$B$423="BR"),--('Repartition stock'!$E$6:$E$423="Millésime"),--('Repartition stock'!$F$6:$F$423="2022"),'Repartition stock'!$H$6:$H$423)))="n.d.",0,IF(OR(SUMPRODUCT(--('Repartition stock'!$A$6:$A$423="2026Q3"),--('Repartition stock'!$B$6:$B$423="BR"),--('Repartition stock'!$E$6:$E$423="Millésime"),--('Repartition stock'!$F$6:$F$423="2022"))=0,SUMPRODUCT(--('Repartition stock'!$A$6:$A$423="2026Q3"),--('Repartition stock'!$B$6:$B$423="BR"),--('Repartition stock'!$E$6:$E$423="Millésime"),--('Repartition stock'!$F$6:$F$423="2022"),--('Repartition stock'!$H$6:$H$423="n.d."))&gt;0),"n.d.",SUMPRODUCT(--('Repartition stock'!$A$6:$A$423="2026Q3"),--('Repartition stock'!$B$6:$B$423="BR"),--('Repartition stock'!$E$6:$E$423="Millésime"),--('Repartition stock'!$F$6:$F$423="2022"),'Repartition stock'!$H$6:$H$423)))</f>
        <v>1014366.4300000685</v>
      </c>
      <c r="AA12" s="16"/>
      <c r="AB12" s="16"/>
      <c r="AC12" s="7">
        <f>IF((IF(OR(COUNT(X12,X17)&lt;&gt;2,X17=0),"n.d.",X12/X17))="n.d.",0,IF(OR(COUNT(X12,X17)&lt;&gt;2,X17=0),"n.d.",X12/X17))</f>
        <v>0.016247322368659913</v>
      </c>
      <c r="AD12" s="7"/>
      <c r="AE12" s="7">
        <f>IF((IF(OR(COUNT(Z12,Z17)&lt;&gt;2,Z17=0),"n.d.",Z12/Z17))="n.d.",0,IF(OR(COUNT(Z12,Z17)&lt;&gt;2,Z17=0),"n.d.",Z12/Z17))</f>
        <v>0.04588442553472187</v>
      </c>
      <c r="AF12" s="7"/>
    </row>
    <row r="13" spans="1:32" ht="13.5" customHeight="1">
      <c r="A13" s="12"/>
      <c r="R13" s="4"/>
      <c r="S13" s="4"/>
      <c r="T13" s="4"/>
      <c r="U13" s="15" t="s">
        <v>399</v>
      </c>
      <c r="V13" s="15"/>
      <c r="W13" s="15"/>
      <c r="X13" s="16">
        <f>IF((IF(OR(SUMPRODUCT(--('Repartition stock'!$A$6:$A$423="2026Q3"),--('Repartition stock'!$B$6:$B$423="BR"),--('Repartition stock'!$E$6:$E$423="Millésime"),--('Repartition stock'!$F$6:$F$423="2023"))=0,SUMPRODUCT(--('Repartition stock'!$A$6:$A$423="2026Q3"),--('Repartition stock'!$B$6:$B$423="BR"),--('Repartition stock'!$E$6:$E$423="Millésime"),--('Repartition stock'!$F$6:$F$423="2023"),--('Repartition stock'!$G$6:$G$423="n.d."))&gt;0),"n.d.",SUMPRODUCT(--('Repartition stock'!$A$6:$A$423="2026Q3"),--('Repartition stock'!$B$6:$B$423="BR"),--('Repartition stock'!$E$6:$E$423="Millésime"),--('Repartition stock'!$F$6:$F$423="2023"),'Repartition stock'!$G$6:$G$423)))="n.d.",0,IF(OR(SUMPRODUCT(--('Repartition stock'!$A$6:$A$423="2026Q3"),--('Repartition stock'!$B$6:$B$423="BR"),--('Repartition stock'!$E$6:$E$423="Millésime"),--('Repartition stock'!$F$6:$F$423="2023"))=0,SUMPRODUCT(--('Repartition stock'!$A$6:$A$423="2026Q3"),--('Repartition stock'!$B$6:$B$423="BR"),--('Repartition stock'!$E$6:$E$423="Millésime"),--('Repartition stock'!$F$6:$F$423="2023"),--('Repartition stock'!$G$6:$G$423="n.d."))&gt;0),"n.d.",SUMPRODUCT(--('Repartition stock'!$A$6:$A$423="2026Q3"),--('Repartition stock'!$B$6:$B$423="BR"),--('Repartition stock'!$E$6:$E$423="Millésime"),--('Repartition stock'!$F$6:$F$423="2023"),'Repartition stock'!$G$6:$G$423)))</f>
        <v>23478.0</v>
      </c>
      <c r="Y13" s="16"/>
      <c r="Z13" s="16">
        <f>IF((IF(OR(SUMPRODUCT(--('Repartition stock'!$A$6:$A$423="2026Q3"),--('Repartition stock'!$B$6:$B$423="BR"),--('Repartition stock'!$E$6:$E$423="Millésime"),--('Repartition stock'!$F$6:$F$423="2023"))=0,SUMPRODUCT(--('Repartition stock'!$A$6:$A$423="2026Q3"),--('Repartition stock'!$B$6:$B$423="BR"),--('Repartition stock'!$E$6:$E$423="Millésime"),--('Repartition stock'!$F$6:$F$423="2023"),--('Repartition stock'!$H$6:$H$423="n.d."))&gt;0),"n.d.",SUMPRODUCT(--('Repartition stock'!$A$6:$A$423="2026Q3"),--('Repartition stock'!$B$6:$B$423="BR"),--('Repartition stock'!$E$6:$E$423="Millésime"),--('Repartition stock'!$F$6:$F$423="2023"),'Repartition stock'!$H$6:$H$423)))="n.d.",0,IF(OR(SUMPRODUCT(--('Repartition stock'!$A$6:$A$423="2026Q3"),--('Repartition stock'!$B$6:$B$423="BR"),--('Repartition stock'!$E$6:$E$423="Millésime"),--('Repartition stock'!$F$6:$F$423="2023"))=0,SUMPRODUCT(--('Repartition stock'!$A$6:$A$423="2026Q3"),--('Repartition stock'!$B$6:$B$423="BR"),--('Repartition stock'!$E$6:$E$423="Millésime"),--('Repartition stock'!$F$6:$F$423="2023"),--('Repartition stock'!$H$6:$H$423="n.d."))&gt;0),"n.d.",SUMPRODUCT(--('Repartition stock'!$A$6:$A$423="2026Q3"),--('Repartition stock'!$B$6:$B$423="BR"),--('Repartition stock'!$E$6:$E$423="Millésime"),--('Repartition stock'!$F$6:$F$423="2023"),'Repartition stock'!$H$6:$H$423)))</f>
        <v>1548755.7500019053</v>
      </c>
      <c r="AA13" s="16"/>
      <c r="AB13" s="16"/>
      <c r="AC13" s="7">
        <f>IF((IF(OR(COUNT(X13,X17)&lt;&gt;2,X17=0),"n.d.",X13/X17))="n.d.",0,IF(OR(COUNT(X13,X17)&lt;&gt;2,X17=0),"n.d.",X13/X17))</f>
        <v>0.07103438260174999</v>
      </c>
      <c r="AD13" s="7"/>
      <c r="AE13" s="7">
        <f>IF((IF(OR(COUNT(Z13,Z17)&lt;&gt;2,Z17=0),"n.d.",Z13/Z17))="n.d.",0,IF(OR(COUNT(Z13,Z17)&lt;&gt;2,Z17=0),"n.d.",Z13/Z17))</f>
        <v>0.07005729466266933</v>
      </c>
      <c r="AF13" s="7"/>
    </row>
    <row r="14" spans="1:32" ht="13.5" customHeight="1">
      <c r="A14" s="12"/>
      <c r="R14" s="4"/>
      <c r="S14" s="4"/>
      <c r="T14" s="4"/>
      <c r="U14" s="15" t="s">
        <v>95</v>
      </c>
      <c r="V14" s="15"/>
      <c r="W14" s="15"/>
      <c r="X14" s="16">
        <f>IF((IF(OR(SUMPRODUCT(--('Repartition stock'!$A$6:$A$423="2026Q3"),--('Repartition stock'!$B$6:$B$423="BR"),--('Repartition stock'!$E$6:$E$423="Millésime"),--('Repartition stock'!$F$6:$F$423="2024"))=0,SUMPRODUCT(--('Repartition stock'!$A$6:$A$423="2026Q3"),--('Repartition stock'!$B$6:$B$423="BR"),--('Repartition stock'!$E$6:$E$423="Millésime"),--('Repartition stock'!$F$6:$F$423="2024"),--('Repartition stock'!$G$6:$G$423="n.d."))&gt;0),"n.d.",SUMPRODUCT(--('Repartition stock'!$A$6:$A$423="2026Q3"),--('Repartition stock'!$B$6:$B$423="BR"),--('Repartition stock'!$E$6:$E$423="Millésime"),--('Repartition stock'!$F$6:$F$423="2024"),'Repartition stock'!$G$6:$G$423)))="n.d.",0,IF(OR(SUMPRODUCT(--('Repartition stock'!$A$6:$A$423="2026Q3"),--('Repartition stock'!$B$6:$B$423="BR"),--('Repartition stock'!$E$6:$E$423="Millésime"),--('Repartition stock'!$F$6:$F$423="2024"))=0,SUMPRODUCT(--('Repartition stock'!$A$6:$A$423="2026Q3"),--('Repartition stock'!$B$6:$B$423="BR"),--('Repartition stock'!$E$6:$E$423="Millésime"),--('Repartition stock'!$F$6:$F$423="2024"),--('Repartition stock'!$G$6:$G$423="n.d."))&gt;0),"n.d.",SUMPRODUCT(--('Repartition stock'!$A$6:$A$423="2026Q3"),--('Repartition stock'!$B$6:$B$423="BR"),--('Repartition stock'!$E$6:$E$423="Millésime"),--('Repartition stock'!$F$6:$F$423="2024"),'Repartition stock'!$G$6:$G$423)))</f>
        <v>10987.0</v>
      </c>
      <c r="Y14" s="16"/>
      <c r="Z14" s="16">
        <f>IF((IF(OR(SUMPRODUCT(--('Repartition stock'!$A$6:$A$423="2026Q3"),--('Repartition stock'!$B$6:$B$423="BR"),--('Repartition stock'!$E$6:$E$423="Millésime"),--('Repartition stock'!$F$6:$F$423="2024"))=0,SUMPRODUCT(--('Repartition stock'!$A$6:$A$423="2026Q3"),--('Repartition stock'!$B$6:$B$423="BR"),--('Repartition stock'!$E$6:$E$423="Millésime"),--('Repartition stock'!$F$6:$F$423="2024"),--('Repartition stock'!$H$6:$H$423="n.d."))&gt;0),"n.d.",SUMPRODUCT(--('Repartition stock'!$A$6:$A$423="2026Q3"),--('Repartition stock'!$B$6:$B$423="BR"),--('Repartition stock'!$E$6:$E$423="Millésime"),--('Repartition stock'!$F$6:$F$423="2024"),'Repartition stock'!$H$6:$H$423)))="n.d.",0,IF(OR(SUMPRODUCT(--('Repartition stock'!$A$6:$A$423="2026Q3"),--('Repartition stock'!$B$6:$B$423="BR"),--('Repartition stock'!$E$6:$E$423="Millésime"),--('Repartition stock'!$F$6:$F$423="2024"))=0,SUMPRODUCT(--('Repartition stock'!$A$6:$A$423="2026Q3"),--('Repartition stock'!$B$6:$B$423="BR"),--('Repartition stock'!$E$6:$E$423="Millésime"),--('Repartition stock'!$F$6:$F$423="2024"),--('Repartition stock'!$H$6:$H$423="n.d."))&gt;0),"n.d.",SUMPRODUCT(--('Repartition stock'!$A$6:$A$423="2026Q3"),--('Repartition stock'!$B$6:$B$423="BR"),--('Repartition stock'!$E$6:$E$423="Millésime"),--('Repartition stock'!$F$6:$F$423="2024"),'Repartition stock'!$H$6:$H$423)))</f>
        <v>2051330.7000006922</v>
      </c>
      <c r="AA14" s="16"/>
      <c r="AB14" s="16"/>
      <c r="AC14" s="7">
        <f>IF((IF(OR(COUNT(X14,X17)&lt;&gt;2,X17=0),"n.d.",X14/X17))="n.d.",0,IF(OR(COUNT(X14,X17)&lt;&gt;2,X17=0),"n.d.",X14/X17))</f>
        <v>0.03324196105483547</v>
      </c>
      <c r="AD14" s="7"/>
      <c r="AE14" s="7">
        <f>IF((IF(OR(COUNT(Z14,Z17)&lt;&gt;2,Z17=0),"n.d.",Z14/Z17))="n.d.",0,IF(OR(COUNT(Z14,Z17)&lt;&gt;2,Z17=0),"n.d.",Z14/Z17))</f>
        <v>0.09279105456128343</v>
      </c>
      <c r="AF14" s="7"/>
    </row>
    <row r="15" spans="1:32" ht="13.5" customHeight="1">
      <c r="A15" s="12"/>
      <c r="R15" s="4"/>
      <c r="S15" s="4"/>
      <c r="T15" s="4"/>
      <c r="U15" s="15" t="s">
        <v>53</v>
      </c>
      <c r="V15" s="15"/>
      <c r="W15" s="15"/>
      <c r="X15" s="16">
        <f>IF((IF(OR(SUMPRODUCT(--('Repartition stock'!$A$6:$A$423="2026Q3"),--('Repartition stock'!$B$6:$B$423="BR"),--('Repartition stock'!$E$6:$E$423="Millésime"),--('Repartition stock'!$F$6:$F$423="2025"))=0,SUMPRODUCT(--('Repartition stock'!$A$6:$A$423="2026Q3"),--('Repartition stock'!$B$6:$B$423="BR"),--('Repartition stock'!$E$6:$E$423="Millésime"),--('Repartition stock'!$F$6:$F$423="2025"),--('Repartition stock'!$G$6:$G$423="n.d."))&gt;0),"n.d.",SUMPRODUCT(--('Repartition stock'!$A$6:$A$423="2026Q3"),--('Repartition stock'!$B$6:$B$423="BR"),--('Repartition stock'!$E$6:$E$423="Millésime"),--('Repartition stock'!$F$6:$F$423="2025"),'Repartition stock'!$G$6:$G$423)))="n.d.",0,IF(OR(SUMPRODUCT(--('Repartition stock'!$A$6:$A$423="2026Q3"),--('Repartition stock'!$B$6:$B$423="BR"),--('Repartition stock'!$E$6:$E$423="Millésime"),--('Repartition stock'!$F$6:$F$423="2025"))=0,SUMPRODUCT(--('Repartition stock'!$A$6:$A$423="2026Q3"),--('Repartition stock'!$B$6:$B$423="BR"),--('Repartition stock'!$E$6:$E$423="Millésime"),--('Repartition stock'!$F$6:$F$423="2025"),--('Repartition stock'!$G$6:$G$423="n.d."))&gt;0),"n.d.",SUMPRODUCT(--('Repartition stock'!$A$6:$A$423="2026Q3"),--('Repartition stock'!$B$6:$B$423="BR"),--('Repartition stock'!$E$6:$E$423="Millésime"),--('Repartition stock'!$F$6:$F$423="2025"),'Repartition stock'!$G$6:$G$423)))</f>
        <v>8100.0</v>
      </c>
      <c r="Y15" s="16"/>
      <c r="Z15" s="16">
        <f>IF((IF(OR(SUMPRODUCT(--('Repartition stock'!$A$6:$A$423="2026Q3"),--('Repartition stock'!$B$6:$B$423="BR"),--('Repartition stock'!$E$6:$E$423="Millésime"),--('Repartition stock'!$F$6:$F$423="2025"))=0,SUMPRODUCT(--('Repartition stock'!$A$6:$A$423="2026Q3"),--('Repartition stock'!$B$6:$B$423="BR"),--('Repartition stock'!$E$6:$E$423="Millésime"),--('Repartition stock'!$F$6:$F$423="2025"),--('Repartition stock'!$H$6:$H$423="n.d."))&gt;0),"n.d.",SUMPRODUCT(--('Repartition stock'!$A$6:$A$423="2026Q3"),--('Repartition stock'!$B$6:$B$423="BR"),--('Repartition stock'!$E$6:$E$423="Millésime"),--('Repartition stock'!$F$6:$F$423="2025"),'Repartition stock'!$H$6:$H$423)))="n.d.",0,IF(OR(SUMPRODUCT(--('Repartition stock'!$A$6:$A$423="2026Q3"),--('Repartition stock'!$B$6:$B$423="BR"),--('Repartition stock'!$E$6:$E$423="Millésime"),--('Repartition stock'!$F$6:$F$423="2025"))=0,SUMPRODUCT(--('Repartition stock'!$A$6:$A$423="2026Q3"),--('Repartition stock'!$B$6:$B$423="BR"),--('Repartition stock'!$E$6:$E$423="Millésime"),--('Repartition stock'!$F$6:$F$423="2025"),--('Repartition stock'!$H$6:$H$423="n.d."))&gt;0),"n.d.",SUMPRODUCT(--('Repartition stock'!$A$6:$A$423="2026Q3"),--('Repartition stock'!$B$6:$B$423="BR"),--('Repartition stock'!$E$6:$E$423="Millésime"),--('Repartition stock'!$F$6:$F$423="2025"),'Repartition stock'!$H$6:$H$423)))</f>
        <v>656996.040000002</v>
      </c>
      <c r="AA15" s="16"/>
      <c r="AB15" s="16"/>
      <c r="AC15" s="7">
        <f>IF((IF(OR(COUNT(X15,X17)&lt;&gt;2,X17=0),"n.d.",X15/X17))="n.d.",0,IF(OR(COUNT(X15,X17)&lt;&gt;2,X17=0),"n.d.",X15/X17))</f>
        <v>0.02450713429909596</v>
      </c>
      <c r="AD15" s="7"/>
      <c r="AE15" s="7">
        <f>IF((IF(OR(COUNT(Z15,Z17)&lt;&gt;2,Z17=0),"n.d.",Z15/Z17))="n.d.",0,IF(OR(COUNT(Z15,Z17)&lt;&gt;2,Z17=0),"n.d.",Z15/Z17))</f>
        <v>0.02971893093306056</v>
      </c>
      <c r="AF15" s="7"/>
    </row>
    <row r="16" spans="1:32" ht="13.5" customHeight="1">
      <c r="A16" s="12"/>
      <c r="R16" s="4"/>
      <c r="S16" s="4"/>
      <c r="T16" s="4"/>
      <c r="U16" s="15" t="s">
        <v>55</v>
      </c>
      <c r="V16" s="15"/>
      <c r="W16" s="15"/>
      <c r="X16" s="16">
        <f>IF((IF(OR(SUMPRODUCT(--('Repartition stock'!$A$6:$A$423="2026Q3"),--('Repartition stock'!$B$6:$B$423="BR"),--('Repartition stock'!$E$6:$E$423="Millésime"),--('Repartition stock'!$F$6:$F$423="2026"))=0,SUMPRODUCT(--('Repartition stock'!$A$6:$A$423="2026Q3"),--('Repartition stock'!$B$6:$B$423="BR"),--('Repartition stock'!$E$6:$E$423="Millésime"),--('Repartition stock'!$F$6:$F$423="2026"),--('Repartition stock'!$G$6:$G$423="n.d."))&gt;0),"n.d.",SUMPRODUCT(--('Repartition stock'!$A$6:$A$423="2026Q3"),--('Repartition stock'!$B$6:$B$423="BR"),--('Repartition stock'!$E$6:$E$423="Millésime"),--('Repartition stock'!$F$6:$F$423="2026"),'Repartition stock'!$G$6:$G$423)))="n.d.",0,IF(OR(SUMPRODUCT(--('Repartition stock'!$A$6:$A$423="2026Q3"),--('Repartition stock'!$B$6:$B$423="BR"),--('Repartition stock'!$E$6:$E$423="Millésime"),--('Repartition stock'!$F$6:$F$423="2026"))=0,SUMPRODUCT(--('Repartition stock'!$A$6:$A$423="2026Q3"),--('Repartition stock'!$B$6:$B$423="BR"),--('Repartition stock'!$E$6:$E$423="Millésime"),--('Repartition stock'!$F$6:$F$423="2026"),--('Repartition stock'!$G$6:$G$423="n.d."))&gt;0),"n.d.",SUMPRODUCT(--('Repartition stock'!$A$6:$A$423="2026Q3"),--('Repartition stock'!$B$6:$B$423="BR"),--('Repartition stock'!$E$6:$E$423="Millésime"),--('Repartition stock'!$F$6:$F$423="2026"),'Repartition stock'!$G$6:$G$423)))</f>
        <v>960.0</v>
      </c>
      <c r="Y16" s="16"/>
      <c r="Z16" s="16">
        <f>IF((IF(OR(SUMPRODUCT(--('Repartition stock'!$A$6:$A$423="2026Q3"),--('Repartition stock'!$B$6:$B$423="BR"),--('Repartition stock'!$E$6:$E$423="Millésime"),--('Repartition stock'!$F$6:$F$423="2026"))=0,SUMPRODUCT(--('Repartition stock'!$A$6:$A$423="2026Q3"),--('Repartition stock'!$B$6:$B$423="BR"),--('Repartition stock'!$E$6:$E$423="Millésime"),--('Repartition stock'!$F$6:$F$423="2026"),--('Repartition stock'!$H$6:$H$423="n.d."))&gt;0),"n.d.",SUMPRODUCT(--('Repartition stock'!$A$6:$A$423="2026Q3"),--('Repartition stock'!$B$6:$B$423="BR"),--('Repartition stock'!$E$6:$E$423="Millésime"),--('Repartition stock'!$F$6:$F$423="2026"),'Repartition stock'!$H$6:$H$423)))="n.d.",0,IF(OR(SUMPRODUCT(--('Repartition stock'!$A$6:$A$423="2026Q3"),--('Repartition stock'!$B$6:$B$423="BR"),--('Repartition stock'!$E$6:$E$423="Millésime"),--('Repartition stock'!$F$6:$F$423="2026"))=0,SUMPRODUCT(--('Repartition stock'!$A$6:$A$423="2026Q3"),--('Repartition stock'!$B$6:$B$423="BR"),--('Repartition stock'!$E$6:$E$423="Millésime"),--('Repartition stock'!$F$6:$F$423="2026"),--('Repartition stock'!$H$6:$H$423="n.d."))&gt;0),"n.d.",SUMPRODUCT(--('Repartition stock'!$A$6:$A$423="2026Q3"),--('Repartition stock'!$B$6:$B$423="BR"),--('Repartition stock'!$E$6:$E$423="Millésime"),--('Repartition stock'!$F$6:$F$423="2026"),'Repartition stock'!$H$6:$H$423)))</f>
        <v>104486.66999999929</v>
      </c>
      <c r="AA16" s="16"/>
      <c r="AB16" s="16"/>
      <c r="AC16" s="7">
        <f>IF((IF(OR(COUNT(X16,X17)&lt;&gt;2,X17=0),"n.d.",X16/X17))="n.d.",0,IF(OR(COUNT(X16,X17)&lt;&gt;2,X17=0),"n.d.",X16/X17))</f>
        <v>0.002904549250263225</v>
      </c>
      <c r="AD16" s="7"/>
      <c r="AE16" s="7">
        <f>IF((IF(OR(COUNT(Z16,Z17)&lt;&gt;2,Z17=0),"n.d.",Z16/Z17))="n.d.",0,IF(OR(COUNT(Z16,Z17)&lt;&gt;2,Z17=0),"n.d.",Z16/Z17))</f>
        <v>0.004726409202033334</v>
      </c>
      <c r="AF16" s="7"/>
    </row>
    <row r="17" spans="1:32" ht="13.5" customHeight="1">
      <c r="A17" s="12"/>
      <c r="R17" s="17" t="s">
        <v>3150</v>
      </c>
      <c r="S17" s="17"/>
      <c r="T17" s="17"/>
      <c r="U17" s="17"/>
      <c r="V17" s="17"/>
      <c r="W17" s="17"/>
      <c r="X17" s="17">
        <f>IF((IF(COUNT(X7:X16)=10,SUM(X7:X16),"n.d."))="n.d.",0,IF(COUNT(X7:X16)=10,SUM(X7:X16),"n.d."))</f>
        <v>330516.0</v>
      </c>
      <c r="Y17" s="17"/>
      <c r="Z17" s="17">
        <f>IF((IF(COUNT(Z7:Z16)=10,SUM(Z7:Z16),"n.d."))="n.d.",0,IF(COUNT(Z7:Z16)=10,SUM(Z7:Z16),"n.d."))</f>
        <v>22106987.680002064</v>
      </c>
      <c r="AA17" s="17"/>
      <c r="AB17" s="17"/>
      <c r="AC17" s="9">
        <f>IF((IF(OR(NOT(ISNUMBER(X17)),X17=0),"n.d.",1))="n.d.",0,IF(OR(NOT(ISNUMBER(X17)),X17=0),"n.d.",1))</f>
        <v>1.0</v>
      </c>
      <c r="AD17" s="9"/>
      <c r="AE17" s="9">
        <f>IF((IF(OR(NOT(ISNUMBER(Z17)),Z17=0),"n.d.",1))="n.d.",0,IF(OR(NOT(ISNUMBER(Z17)),Z17=0),"n.d.",1))</f>
        <v>1.0</v>
      </c>
      <c r="AF17" s="9"/>
    </row>
    <row r="18" spans="1:32" ht="13.5" customHeight="1">
      <c r="A18" s="12"/>
    </row>
    <row r="19" spans="1:32" ht="13.5" customHeight="1">
      <c r="A19" s="12"/>
    </row>
    <row r="20" spans="1:32" ht="13.5" customHeight="1">
      <c r="A20" s="12"/>
    </row>
    <row r="21" spans="1:32" ht="13.5" customHeight="1">
      <c r="A21" s="12"/>
    </row>
    <row r="22" spans="1:32" ht="13.5" customHeight="1">
      <c r="A22" s="12"/>
    </row>
    <row r="23" spans="1:32" ht="13.5" customHeight="1">
      <c r="A23" s="12"/>
    </row>
    <row r="24" spans="1:32" ht="13.5" customHeight="1">
      <c r="A24" s="12"/>
    </row>
    <row r="25" spans="1:32" ht="13.5" customHeight="1">
      <c r="A25" s="12"/>
    </row>
    <row r="26" spans="1:32" ht="13.5" customHeight="1">
      <c r="A26" s="12"/>
      <c r="B26" s="1" t="s">
        <v>3201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32" ht="13.5" customHeight="1">
      <c r="A27" s="1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32" ht="13.5" customHeight="1">
      <c r="A28" s="1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32" ht="13.5" customHeight="1">
      <c r="A29" s="12"/>
    </row>
    <row r="30" spans="1:32" ht="13.5" customHeight="1">
      <c r="A30" s="12"/>
      <c r="B30" s="10" t="s">
        <v>3203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">
        <v>3204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">
        <v>3205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3206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3079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70">
    <mergeCell ref="B2:M4"/>
    <mergeCell ref="B42:AF42"/>
    <mergeCell ref="B5:P6"/>
    <mergeCell ref="B26:P28"/>
    <mergeCell ref="R2:W5"/>
    <mergeCell ref="X2:AF2"/>
    <mergeCell ref="X3:Y5"/>
    <mergeCell ref="Z3:AB5"/>
    <mergeCell ref="AC3:AD5"/>
    <mergeCell ref="AE3:AF5"/>
    <mergeCell ref="R7:T16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U12:W12"/>
    <mergeCell ref="X12:Y12"/>
    <mergeCell ref="Z12:AB12"/>
    <mergeCell ref="AC12:AD12"/>
    <mergeCell ref="AE12:AF12"/>
    <mergeCell ref="U13:W13"/>
    <mergeCell ref="X13:Y13"/>
    <mergeCell ref="Z13:AB13"/>
    <mergeCell ref="AC13:AD13"/>
    <mergeCell ref="AE13:AF1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R17:W17"/>
    <mergeCell ref="X17:Y17"/>
    <mergeCell ref="Z17:AB17"/>
    <mergeCell ref="AC17:AD17"/>
    <mergeCell ref="AE17:AF17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3209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3160</v>
      </c>
      <c r="S2" s="4"/>
      <c r="T2" s="4"/>
      <c r="U2" s="4"/>
      <c r="V2" s="4"/>
      <c r="W2" s="4"/>
      <c r="X2" s="14">
        <v>46295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3146</v>
      </c>
      <c r="Y3" s="4"/>
      <c r="Z3" s="4" t="s">
        <v>3212</v>
      </c>
      <c r="AA3" s="4"/>
      <c r="AB3" s="4"/>
      <c r="AC3" s="4" t="s">
        <v>3148</v>
      </c>
      <c r="AD3" s="4"/>
      <c r="AE3" s="4" t="s">
        <v>3149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1" t="s">
        <v>3215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2"/>
      <c r="R7" s="4" t="s">
        <v>1284</v>
      </c>
      <c r="S7" s="4"/>
      <c r="T7" s="4"/>
      <c r="U7" s="15" t="s">
        <v>505</v>
      </c>
      <c r="V7" s="15"/>
      <c r="W7" s="15"/>
      <c r="X7" s="16">
        <f>IF((IF(OR(SUMPRODUCT(--('Repartition stock'!$A$6:$A$423="2026Q3"),--('Repartition stock'!$B$6:$B$423="DK"),--('Repartition stock'!$E$6:$E$423="Tranche"),--('Repartition stock'!$F$6:$F$423="0 - 7,5 Kr"))=0,SUMPRODUCT(--('Repartition stock'!$A$6:$A$423="2026Q3"),--('Repartition stock'!$B$6:$B$423="DK"),--('Repartition stock'!$E$6:$E$423="Tranche"),--('Repartition stock'!$F$6:$F$423="0 - 7,5 Kr"),--('Repartition stock'!$G$6:$G$423="n.d."))&gt;0),"n.d.",SUMPRODUCT(--('Repartition stock'!$A$6:$A$423="2026Q3"),--('Repartition stock'!$B$6:$B$423="DK"),--('Repartition stock'!$E$6:$E$423="Tranche"),--('Repartition stock'!$F$6:$F$423="0 - 7,5 Kr"),'Repartition stock'!$G$6:$G$423)))="n.d.",0,IF(OR(SUMPRODUCT(--('Repartition stock'!$A$6:$A$423="2026Q3"),--('Repartition stock'!$B$6:$B$423="DK"),--('Repartition stock'!$E$6:$E$423="Tranche"),--('Repartition stock'!$F$6:$F$423="0 - 7,5 Kr"))=0,SUMPRODUCT(--('Repartition stock'!$A$6:$A$423="2026Q3"),--('Repartition stock'!$B$6:$B$423="DK"),--('Repartition stock'!$E$6:$E$423="Tranche"),--('Repartition stock'!$F$6:$F$423="0 - 7,5 Kr"),--('Repartition stock'!$G$6:$G$423="n.d."))&gt;0),"n.d.",SUMPRODUCT(--('Repartition stock'!$A$6:$A$423="2026Q3"),--('Repartition stock'!$B$6:$B$423="DK"),--('Repartition stock'!$E$6:$E$423="Tranche"),--('Repartition stock'!$F$6:$F$423="0 - 7,5 Kr"),'Repartition stock'!$G$6:$G$423)))</f>
        <v>33</v>
      </c>
      <c r="Y7" s="16"/>
      <c r="Z7" s="16">
        <f>IF((IF(OR(SUMPRODUCT(--('Repartition stock'!$A$6:$A$423="2026Q3"),--('Repartition stock'!$B$6:$B$423="DK"),--('Repartition stock'!$E$6:$E$423="Tranche"),--('Repartition stock'!$F$6:$F$423="0 - 7,5 Kr"))=0,SUMPRODUCT(--('Repartition stock'!$A$6:$A$423="2026Q3"),--('Repartition stock'!$B$6:$B$423="DK"),--('Repartition stock'!$E$6:$E$423="Tranche"),--('Repartition stock'!$F$6:$F$423="0 - 7,5 Kr"),--('Repartition stock'!$H$6:$H$423="n.d."))&gt;0),"n.d.",SUMPRODUCT(--('Repartition stock'!$A$6:$A$423="2026Q3"),--('Repartition stock'!$B$6:$B$423="DK"),--('Repartition stock'!$E$6:$E$423="Tranche"),--('Repartition stock'!$F$6:$F$423="0 - 7,5 Kr"),'Repartition stock'!$H$6:$H$423)))="n.d.",0,IF(OR(SUMPRODUCT(--('Repartition stock'!$A$6:$A$423="2026Q3"),--('Repartition stock'!$B$6:$B$423="DK"),--('Repartition stock'!$E$6:$E$423="Tranche"),--('Repartition stock'!$F$6:$F$423="0 - 7,5 Kr"))=0,SUMPRODUCT(--('Repartition stock'!$A$6:$A$423="2026Q3"),--('Repartition stock'!$B$6:$B$423="DK"),--('Repartition stock'!$E$6:$E$423="Tranche"),--('Repartition stock'!$F$6:$F$423="0 - 7,5 Kr"),--('Repartition stock'!$H$6:$H$423="n.d."))&gt;0),"n.d.",SUMPRODUCT(--('Repartition stock'!$A$6:$A$423="2026Q3"),--('Repartition stock'!$B$6:$B$423="DK"),--('Repartition stock'!$E$6:$E$423="Tranche"),--('Repartition stock'!$F$6:$F$423="0 - 7,5 Kr"),'Repartition stock'!$H$6:$H$423)))</f>
        <v>85.11000000000001</v>
      </c>
      <c r="AA7" s="16"/>
      <c r="AB7" s="16"/>
      <c r="AC7" s="7">
        <f>IF((IF(OR(COUNT(X7,X12)&lt;&gt;2,X12=0),"n.d.",X7/X12))="n.d.",0,IF(OR(COUNT(X7,X12)&lt;&gt;2,X12=0),"n.d.",X7/X12))</f>
        <v>0.2578125</v>
      </c>
      <c r="AD7" s="7"/>
      <c r="AE7" s="7">
        <f>IF((IF(OR(COUNT(Z7,Z12)&lt;&gt;2,Z12=0),"n.d.",Z7/Z12))="n.d.",0,IF(OR(COUNT(Z7,Z12)&lt;&gt;2,Z12=0),"n.d.",Z7/Z12))</f>
        <v>0.005264521971384408</v>
      </c>
      <c r="AF7" s="7"/>
    </row>
    <row r="8" spans="1:32" ht="13.5" customHeight="1">
      <c r="A8" s="12"/>
      <c r="R8" s="4"/>
      <c r="S8" s="4"/>
      <c r="T8" s="4"/>
      <c r="U8" s="15" t="s">
        <v>507</v>
      </c>
      <c r="V8" s="15"/>
      <c r="W8" s="15"/>
      <c r="X8" s="16">
        <f>IF((IF(OR(SUMPRODUCT(--('Repartition stock'!$A$6:$A$423="2026Q3"),--('Repartition stock'!$B$6:$B$423="DK"),--('Repartition stock'!$E$6:$E$423="Tranche"),--('Repartition stock'!$F$6:$F$423="7,5 - 75 Kr"))=0,SUMPRODUCT(--('Repartition stock'!$A$6:$A$423="2026Q3"),--('Repartition stock'!$B$6:$B$423="DK"),--('Repartition stock'!$E$6:$E$423="Tranche"),--('Repartition stock'!$F$6:$F$423="7,5 - 75 Kr"),--('Repartition stock'!$G$6:$G$423="n.d."))&gt;0),"n.d.",SUMPRODUCT(--('Repartition stock'!$A$6:$A$423="2026Q3"),--('Repartition stock'!$B$6:$B$423="DK"),--('Repartition stock'!$E$6:$E$423="Tranche"),--('Repartition stock'!$F$6:$F$423="7,5 - 75 Kr"),'Repartition stock'!$G$6:$G$423)))="n.d.",0,IF(OR(SUMPRODUCT(--('Repartition stock'!$A$6:$A$423="2026Q3"),--('Repartition stock'!$B$6:$B$423="DK"),--('Repartition stock'!$E$6:$E$423="Tranche"),--('Repartition stock'!$F$6:$F$423="7,5 - 75 Kr"))=0,SUMPRODUCT(--('Repartition stock'!$A$6:$A$423="2026Q3"),--('Repartition stock'!$B$6:$B$423="DK"),--('Repartition stock'!$E$6:$E$423="Tranche"),--('Repartition stock'!$F$6:$F$423="7,5 - 75 Kr"),--('Repartition stock'!$G$6:$G$423="n.d."))&gt;0),"n.d.",SUMPRODUCT(--('Repartition stock'!$A$6:$A$423="2026Q3"),--('Repartition stock'!$B$6:$B$423="DK"),--('Repartition stock'!$E$6:$E$423="Tranche"),--('Repartition stock'!$F$6:$F$423="7,5 - 75 Kr"),'Repartition stock'!$G$6:$G$423)))</f>
        <v>46</v>
      </c>
      <c r="Y8" s="16"/>
      <c r="Z8" s="16">
        <f>IF((IF(OR(SUMPRODUCT(--('Repartition stock'!$A$6:$A$423="2026Q3"),--('Repartition stock'!$B$6:$B$423="DK"),--('Repartition stock'!$E$6:$E$423="Tranche"),--('Repartition stock'!$F$6:$F$423="7,5 - 75 Kr"))=0,SUMPRODUCT(--('Repartition stock'!$A$6:$A$423="2026Q3"),--('Repartition stock'!$B$6:$B$423="DK"),--('Repartition stock'!$E$6:$E$423="Tranche"),--('Repartition stock'!$F$6:$F$423="7,5 - 75 Kr"),--('Repartition stock'!$H$6:$H$423="n.d."))&gt;0),"n.d.",SUMPRODUCT(--('Repartition stock'!$A$6:$A$423="2026Q3"),--('Repartition stock'!$B$6:$B$423="DK"),--('Repartition stock'!$E$6:$E$423="Tranche"),--('Repartition stock'!$F$6:$F$423="7,5 - 75 Kr"),'Repartition stock'!$H$6:$H$423)))="n.d.",0,IF(OR(SUMPRODUCT(--('Repartition stock'!$A$6:$A$423="2026Q3"),--('Repartition stock'!$B$6:$B$423="DK"),--('Repartition stock'!$E$6:$E$423="Tranche"),--('Repartition stock'!$F$6:$F$423="7,5 - 75 Kr"))=0,SUMPRODUCT(--('Repartition stock'!$A$6:$A$423="2026Q3"),--('Repartition stock'!$B$6:$B$423="DK"),--('Repartition stock'!$E$6:$E$423="Tranche"),--('Repartition stock'!$F$6:$F$423="7,5 - 75 Kr"),--('Repartition stock'!$H$6:$H$423="n.d."))&gt;0),"n.d.",SUMPRODUCT(--('Repartition stock'!$A$6:$A$423="2026Q3"),--('Repartition stock'!$B$6:$B$423="DK"),--('Repartition stock'!$E$6:$E$423="Tranche"),--('Repartition stock'!$F$6:$F$423="7,5 - 75 Kr"),'Repartition stock'!$H$6:$H$423)))</f>
        <v>1732.4600000000003</v>
      </c>
      <c r="AA8" s="16"/>
      <c r="AB8" s="16"/>
      <c r="AC8" s="7">
        <f>IF((IF(OR(COUNT(X8,X12)&lt;&gt;2,X12=0),"n.d.",X8/X12))="n.d.",0,IF(OR(COUNT(X8,X12)&lt;&gt;2,X12=0),"n.d.",X8/X12))</f>
        <v>0.359375</v>
      </c>
      <c r="AD8" s="7"/>
      <c r="AE8" s="7">
        <f>IF((IF(OR(COUNT(Z8,Z12)&lt;&gt;2,Z12=0),"n.d.",Z8/Z12))="n.d.",0,IF(OR(COUNT(Z8,Z12)&lt;&gt;2,Z12=0),"n.d.",Z8/Z12))</f>
        <v>0.10716218698795242</v>
      </c>
      <c r="AF8" s="7"/>
    </row>
    <row r="9" spans="1:32" ht="13.5" customHeight="1">
      <c r="A9" s="12"/>
      <c r="R9" s="4"/>
      <c r="S9" s="4"/>
      <c r="T9" s="4"/>
      <c r="U9" s="15" t="s">
        <v>685</v>
      </c>
      <c r="V9" s="15"/>
      <c r="W9" s="15"/>
      <c r="X9" s="16">
        <f>IF((IF(OR(SUMPRODUCT(--('Repartition stock'!$A$6:$A$423="2026Q3"),--('Repartition stock'!$B$6:$B$423="DK"),--('Repartition stock'!$E$6:$E$423="Tranche"),--('Repartition stock'!$F$6:$F$423="75 - 748 Kr"))=0,SUMPRODUCT(--('Repartition stock'!$A$6:$A$423="2026Q3"),--('Repartition stock'!$B$6:$B$423="DK"),--('Repartition stock'!$E$6:$E$423="Tranche"),--('Repartition stock'!$F$6:$F$423="75 - 748 Kr"),--('Repartition stock'!$G$6:$G$423="n.d."))&gt;0),"n.d.",SUMPRODUCT(--('Repartition stock'!$A$6:$A$423="2026Q3"),--('Repartition stock'!$B$6:$B$423="DK"),--('Repartition stock'!$E$6:$E$423="Tranche"),--('Repartition stock'!$F$6:$F$423="75 - 748 Kr"),'Repartition stock'!$G$6:$G$423)))="n.d.",0,IF(OR(SUMPRODUCT(--('Repartition stock'!$A$6:$A$423="2026Q3"),--('Repartition stock'!$B$6:$B$423="DK"),--('Repartition stock'!$E$6:$E$423="Tranche"),--('Repartition stock'!$F$6:$F$423="75 - 748 Kr"))=0,SUMPRODUCT(--('Repartition stock'!$A$6:$A$423="2026Q3"),--('Repartition stock'!$B$6:$B$423="DK"),--('Repartition stock'!$E$6:$E$423="Tranche"),--('Repartition stock'!$F$6:$F$423="75 - 748 Kr"),--('Repartition stock'!$G$6:$G$423="n.d."))&gt;0),"n.d.",SUMPRODUCT(--('Repartition stock'!$A$6:$A$423="2026Q3"),--('Repartition stock'!$B$6:$B$423="DK"),--('Repartition stock'!$E$6:$E$423="Tranche"),--('Repartition stock'!$F$6:$F$423="75 - 748 Kr"),'Repartition stock'!$G$6:$G$423)))</f>
        <v>45</v>
      </c>
      <c r="Y9" s="16"/>
      <c r="Z9" s="16">
        <f>IF((IF(OR(SUMPRODUCT(--('Repartition stock'!$A$6:$A$423="2026Q3"),--('Repartition stock'!$B$6:$B$423="DK"),--('Repartition stock'!$E$6:$E$423="Tranche"),--('Repartition stock'!$F$6:$F$423="75 - 748 Kr"))=0,SUMPRODUCT(--('Repartition stock'!$A$6:$A$423="2026Q3"),--('Repartition stock'!$B$6:$B$423="DK"),--('Repartition stock'!$E$6:$E$423="Tranche"),--('Repartition stock'!$F$6:$F$423="75 - 748 Kr"),--('Repartition stock'!$H$6:$H$423="n.d."))&gt;0),"n.d.",SUMPRODUCT(--('Repartition stock'!$A$6:$A$423="2026Q3"),--('Repartition stock'!$B$6:$B$423="DK"),--('Repartition stock'!$E$6:$E$423="Tranche"),--('Repartition stock'!$F$6:$F$423="75 - 748 Kr"),'Repartition stock'!$H$6:$H$423)))="n.d.",0,IF(OR(SUMPRODUCT(--('Repartition stock'!$A$6:$A$423="2026Q3"),--('Repartition stock'!$B$6:$B$423="DK"),--('Repartition stock'!$E$6:$E$423="Tranche"),--('Repartition stock'!$F$6:$F$423="75 - 748 Kr"))=0,SUMPRODUCT(--('Repartition stock'!$A$6:$A$423="2026Q3"),--('Repartition stock'!$B$6:$B$423="DK"),--('Repartition stock'!$E$6:$E$423="Tranche"),--('Repartition stock'!$F$6:$F$423="75 - 748 Kr"),--('Repartition stock'!$H$6:$H$423="n.d."))&gt;0),"n.d.",SUMPRODUCT(--('Repartition stock'!$A$6:$A$423="2026Q3"),--('Repartition stock'!$B$6:$B$423="DK"),--('Repartition stock'!$E$6:$E$423="Tranche"),--('Repartition stock'!$F$6:$F$423="75 - 748 Kr"),'Repartition stock'!$H$6:$H$423)))</f>
        <v>10677.659999999998</v>
      </c>
      <c r="AA9" s="16"/>
      <c r="AB9" s="16"/>
      <c r="AC9" s="7">
        <f>IF((IF(OR(COUNT(X9,X12)&lt;&gt;2,X12=0),"n.d.",X9/X12))="n.d.",0,IF(OR(COUNT(X9,X12)&lt;&gt;2,X12=0),"n.d.",X9/X12))</f>
        <v>0.3515625</v>
      </c>
      <c r="AD9" s="7"/>
      <c r="AE9" s="7">
        <f>IF((IF(OR(COUNT(Z9,Z12)&lt;&gt;2,Z12=0),"n.d.",Z9/Z12))="n.d.",0,IF(OR(COUNT(Z9,Z12)&lt;&gt;2,Z12=0),"n.d.",Z9/Z12))</f>
        <v>0.6604720440955518</v>
      </c>
      <c r="AF9" s="7"/>
    </row>
    <row r="10" spans="1:32" ht="13.5" customHeight="1">
      <c r="A10" s="12"/>
      <c r="R10" s="4"/>
      <c r="S10" s="4"/>
      <c r="T10" s="4"/>
      <c r="U10" s="15" t="s">
        <v>687</v>
      </c>
      <c r="V10" s="15"/>
      <c r="W10" s="15"/>
      <c r="X10" s="16">
        <f>IF((IF(OR(SUMPRODUCT(--('Repartition stock'!$A$6:$A$423="2026Q3"),--('Repartition stock'!$B$6:$B$423="DK"),--('Repartition stock'!$E$6:$E$423="Tranche"),--('Repartition stock'!$F$6:$F$423="748 - 7476 Kr"))=0,SUMPRODUCT(--('Repartition stock'!$A$6:$A$423="2026Q3"),--('Repartition stock'!$B$6:$B$423="DK"),--('Repartition stock'!$E$6:$E$423="Tranche"),--('Repartition stock'!$F$6:$F$423="748 - 7476 Kr"),--('Repartition stock'!$G$6:$G$423="n.d."))&gt;0),"n.d.",SUMPRODUCT(--('Repartition stock'!$A$6:$A$423="2026Q3"),--('Repartition stock'!$B$6:$B$423="DK"),--('Repartition stock'!$E$6:$E$423="Tranche"),--('Repartition stock'!$F$6:$F$423="748 - 7476 Kr"),'Repartition stock'!$G$6:$G$423)))="n.d.",0,IF(OR(SUMPRODUCT(--('Repartition stock'!$A$6:$A$423="2026Q3"),--('Repartition stock'!$B$6:$B$423="DK"),--('Repartition stock'!$E$6:$E$423="Tranche"),--('Repartition stock'!$F$6:$F$423="748 - 7476 Kr"))=0,SUMPRODUCT(--('Repartition stock'!$A$6:$A$423="2026Q3"),--('Repartition stock'!$B$6:$B$423="DK"),--('Repartition stock'!$E$6:$E$423="Tranche"),--('Repartition stock'!$F$6:$F$423="748 - 7476 Kr"),--('Repartition stock'!$G$6:$G$423="n.d."))&gt;0),"n.d.",SUMPRODUCT(--('Repartition stock'!$A$6:$A$423="2026Q3"),--('Repartition stock'!$B$6:$B$423="DK"),--('Repartition stock'!$E$6:$E$423="Tranche"),--('Repartition stock'!$F$6:$F$423="748 - 7476 Kr"),'Repartition stock'!$G$6:$G$423)))</f>
        <v>4</v>
      </c>
      <c r="Y10" s="16"/>
      <c r="Z10" s="16">
        <f>IF((IF(OR(SUMPRODUCT(--('Repartition stock'!$A$6:$A$423="2026Q3"),--('Repartition stock'!$B$6:$B$423="DK"),--('Repartition stock'!$E$6:$E$423="Tranche"),--('Repartition stock'!$F$6:$F$423="748 - 7476 Kr"))=0,SUMPRODUCT(--('Repartition stock'!$A$6:$A$423="2026Q3"),--('Repartition stock'!$B$6:$B$423="DK"),--('Repartition stock'!$E$6:$E$423="Tranche"),--('Repartition stock'!$F$6:$F$423="748 - 7476 Kr"),--('Repartition stock'!$H$6:$H$423="n.d."))&gt;0),"n.d.",SUMPRODUCT(--('Repartition stock'!$A$6:$A$423="2026Q3"),--('Repartition stock'!$B$6:$B$423="DK"),--('Repartition stock'!$E$6:$E$423="Tranche"),--('Repartition stock'!$F$6:$F$423="748 - 7476 Kr"),'Repartition stock'!$H$6:$H$423)))="n.d.",0,IF(OR(SUMPRODUCT(--('Repartition stock'!$A$6:$A$423="2026Q3"),--('Repartition stock'!$B$6:$B$423="DK"),--('Repartition stock'!$E$6:$E$423="Tranche"),--('Repartition stock'!$F$6:$F$423="748 - 7476 Kr"))=0,SUMPRODUCT(--('Repartition stock'!$A$6:$A$423="2026Q3"),--('Repartition stock'!$B$6:$B$423="DK"),--('Repartition stock'!$E$6:$E$423="Tranche"),--('Repartition stock'!$F$6:$F$423="748 - 7476 Kr"),--('Repartition stock'!$H$6:$H$423="n.d."))&gt;0),"n.d.",SUMPRODUCT(--('Repartition stock'!$A$6:$A$423="2026Q3"),--('Repartition stock'!$B$6:$B$423="DK"),--('Repartition stock'!$E$6:$E$423="Tranche"),--('Repartition stock'!$F$6:$F$423="748 - 7476 Kr"),'Repartition stock'!$H$6:$H$423)))</f>
        <v>3671.4800000000005</v>
      </c>
      <c r="AA10" s="16"/>
      <c r="AB10" s="16"/>
      <c r="AC10" s="7">
        <f>IF((IF(OR(COUNT(X10,X12)&lt;&gt;2,X12=0),"n.d.",X10/X12))="n.d.",0,IF(OR(COUNT(X10,X12)&lt;&gt;2,X12=0),"n.d.",X10/X12))</f>
        <v>0.03125</v>
      </c>
      <c r="AD10" s="7"/>
      <c r="AE10" s="7">
        <f>IF((IF(OR(COUNT(Z10,Z12)&lt;&gt;2,Z12=0),"n.d.",Z10/Z12))="n.d.",0,IF(OR(COUNT(Z10,Z12)&lt;&gt;2,Z12=0),"n.d.",Z10/Z12))</f>
        <v>0.22710124694511133</v>
      </c>
      <c r="AF10" s="7"/>
    </row>
    <row r="11" spans="1:32" ht="13.5" customHeight="1">
      <c r="A11" s="12"/>
      <c r="R11" s="4"/>
      <c r="S11" s="4"/>
      <c r="T11" s="4"/>
      <c r="U11" s="15" t="s">
        <v>689</v>
      </c>
      <c r="V11" s="15"/>
      <c r="W11" s="15"/>
      <c r="X11" s="16">
        <f>IF((IF(OR(SUMPRODUCT(--('Repartition stock'!$A$6:$A$423="2026Q3"),--('Repartition stock'!$B$6:$B$423="DK"),--('Repartition stock'!$E$6:$E$423="Tranche"),--('Repartition stock'!$F$6:$F$423="&gt;7476 Kr"))=0,SUMPRODUCT(--('Repartition stock'!$A$6:$A$423="2026Q3"),--('Repartition stock'!$B$6:$B$423="DK"),--('Repartition stock'!$E$6:$E$423="Tranche"),--('Repartition stock'!$F$6:$F$423="&gt;7476 Kr"),--('Repartition stock'!$G$6:$G$423="n.d."))&gt;0),"n.d.",SUMPRODUCT(--('Repartition stock'!$A$6:$A$423="2026Q3"),--('Repartition stock'!$B$6:$B$423="DK"),--('Repartition stock'!$E$6:$E$423="Tranche"),--('Repartition stock'!$F$6:$F$423="&gt;7476 Kr"),'Repartition stock'!$G$6:$G$423)))="n.d.",0,IF(OR(SUMPRODUCT(--('Repartition stock'!$A$6:$A$423="2026Q3"),--('Repartition stock'!$B$6:$B$423="DK"),--('Repartition stock'!$E$6:$E$423="Tranche"),--('Repartition stock'!$F$6:$F$423="&gt;7476 Kr"))=0,SUMPRODUCT(--('Repartition stock'!$A$6:$A$423="2026Q3"),--('Repartition stock'!$B$6:$B$423="DK"),--('Repartition stock'!$E$6:$E$423="Tranche"),--('Repartition stock'!$F$6:$F$423="&gt;7476 Kr"),--('Repartition stock'!$G$6:$G$423="n.d."))&gt;0),"n.d.",SUMPRODUCT(--('Repartition stock'!$A$6:$A$423="2026Q3"),--('Repartition stock'!$B$6:$B$423="DK"),--('Repartition stock'!$E$6:$E$423="Tranche"),--('Repartition stock'!$F$6:$F$423="&gt;7476 Kr"),'Repartition stock'!$G$6:$G$423)))</f>
        <v>0</v>
      </c>
      <c r="Y11" s="16"/>
      <c r="Z11" s="16">
        <f>IF((IF(OR(SUMPRODUCT(--('Repartition stock'!$A$6:$A$423="2026Q3"),--('Repartition stock'!$B$6:$B$423="DK"),--('Repartition stock'!$E$6:$E$423="Tranche"),--('Repartition stock'!$F$6:$F$423="&gt;7476 Kr"))=0,SUMPRODUCT(--('Repartition stock'!$A$6:$A$423="2026Q3"),--('Repartition stock'!$B$6:$B$423="DK"),--('Repartition stock'!$E$6:$E$423="Tranche"),--('Repartition stock'!$F$6:$F$423="&gt;7476 Kr"),--('Repartition stock'!$H$6:$H$423="n.d."))&gt;0),"n.d.",SUMPRODUCT(--('Repartition stock'!$A$6:$A$423="2026Q3"),--('Repartition stock'!$B$6:$B$423="DK"),--('Repartition stock'!$E$6:$E$423="Tranche"),--('Repartition stock'!$F$6:$F$423="&gt;7476 Kr"),'Repartition stock'!$H$6:$H$423)))="n.d.",0,IF(OR(SUMPRODUCT(--('Repartition stock'!$A$6:$A$423="2026Q3"),--('Repartition stock'!$B$6:$B$423="DK"),--('Repartition stock'!$E$6:$E$423="Tranche"),--('Repartition stock'!$F$6:$F$423="&gt;7476 Kr"))=0,SUMPRODUCT(--('Repartition stock'!$A$6:$A$423="2026Q3"),--('Repartition stock'!$B$6:$B$423="DK"),--('Repartition stock'!$E$6:$E$423="Tranche"),--('Repartition stock'!$F$6:$F$423="&gt;7476 Kr"),--('Repartition stock'!$H$6:$H$423="n.d."))&gt;0),"n.d.",SUMPRODUCT(--('Repartition stock'!$A$6:$A$423="2026Q3"),--('Repartition stock'!$B$6:$B$423="DK"),--('Repartition stock'!$E$6:$E$423="Tranche"),--('Repartition stock'!$F$6:$F$423="&gt;7476 Kr"),'Repartition stock'!$H$6:$H$423)))</f>
        <v>0</v>
      </c>
      <c r="AA11" s="16"/>
      <c r="AB11" s="16"/>
      <c r="AC11" s="7">
        <f>IF((IF(OR(COUNT(X11,X12)&lt;&gt;2,X12=0),"n.d.",X11/X12))="n.d.",0,IF(OR(COUNT(X11,X12)&lt;&gt;2,X12=0),"n.d.",X11/X12))</f>
        <v>0.0</v>
      </c>
      <c r="AD11" s="7"/>
      <c r="AE11" s="7">
        <f>IF((IF(OR(COUNT(Z11,Z12)&lt;&gt;2,Z12=0),"n.d.",Z11/Z12))="n.d.",0,IF(OR(COUNT(Z11,Z12)&lt;&gt;2,Z12=0),"n.d.",Z11/Z12))</f>
        <v>0.0</v>
      </c>
      <c r="AF11" s="7"/>
    </row>
    <row r="12" spans="1:32" ht="13.5" customHeight="1">
      <c r="A12" s="12"/>
      <c r="R12" s="17" t="s">
        <v>3150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128</v>
      </c>
      <c r="Y12" s="17"/>
      <c r="Z12" s="17">
        <f>IF((IF(COUNT(Z7:Z11)=5,SUM(Z7:Z11),"n.d."))="n.d.",0,IF(COUNT(Z7:Z11)=5,SUM(Z7:Z11),"n.d."))</f>
        <v>16166.71</v>
      </c>
      <c r="AA12" s="17"/>
      <c r="AB12" s="17"/>
      <c r="AC12" s="9">
        <f>IF((IF(OR(NOT(ISNUMBER(X12)),X12=0),"n.d.",1))="n.d.",0,IF(OR(NOT(ISNUMBER(X12)),X12=0),"n.d.",1))</f>
        <v>1.0</v>
      </c>
      <c r="AD12" s="9"/>
      <c r="AE12" s="9">
        <f>IF((IF(OR(NOT(ISNUMBER(Z12)),Z12=0),"n.d.",1))="n.d.",0,IF(OR(NOT(ISNUMBER(Z12)),Z12=0),"n.d.",1))</f>
        <v>1.0</v>
      </c>
      <c r="AF12" s="9"/>
    </row>
    <row r="13" spans="1:32" ht="13.5" customHeight="1">
      <c r="A13" s="12"/>
    </row>
    <row r="14" spans="1:32" ht="13.5" customHeight="1">
      <c r="A14" s="12"/>
      <c r="R14" s="4" t="s">
        <v>3151</v>
      </c>
      <c r="S14" s="4"/>
      <c r="T14" s="4"/>
      <c r="U14" s="15" t="s">
        <v>387</v>
      </c>
      <c r="V14" s="15"/>
      <c r="W14" s="15"/>
      <c r="X14" s="16">
        <f>IF((IF(OR(SUMPRODUCT(--('Repartition stock'!$A$6:$A$423="2026Q3"),--('Repartition stock'!$B$6:$B$423="DK"),--('Repartition stock'!$E$6:$E$423="Millésime"),--('Repartition stock'!$F$6:$F$423="&lt;2018"))=0,SUMPRODUCT(--('Repartition stock'!$A$6:$A$423="2026Q3"),--('Repartition stock'!$B$6:$B$423="DK"),--('Repartition stock'!$E$6:$E$423="Millésime"),--('Repartition stock'!$F$6:$F$423="&lt;2018"),--('Repartition stock'!$G$6:$G$423="n.d."))&gt;0),"n.d.",SUMPRODUCT(--('Repartition stock'!$A$6:$A$423="2026Q3"),--('Repartition stock'!$B$6:$B$423="DK"),--('Repartition stock'!$E$6:$E$423="Millésime"),--('Repartition stock'!$F$6:$F$423="&lt;2018"),'Repartition stock'!$G$6:$G$423)))="n.d.",0,IF(OR(SUMPRODUCT(--('Repartition stock'!$A$6:$A$423="2026Q3"),--('Repartition stock'!$B$6:$B$423="DK"),--('Repartition stock'!$E$6:$E$423="Millésime"),--('Repartition stock'!$F$6:$F$423="&lt;2018"))=0,SUMPRODUCT(--('Repartition stock'!$A$6:$A$423="2026Q3"),--('Repartition stock'!$B$6:$B$423="DK"),--('Repartition stock'!$E$6:$E$423="Millésime"),--('Repartition stock'!$F$6:$F$423="&lt;2018"),--('Repartition stock'!$G$6:$G$423="n.d."))&gt;0),"n.d.",SUMPRODUCT(--('Repartition stock'!$A$6:$A$423="2026Q3"),--('Repartition stock'!$B$6:$B$423="DK"),--('Repartition stock'!$E$6:$E$423="Millésime"),--('Repartition stock'!$F$6:$F$423="&lt;2018"),'Repartition stock'!$G$6:$G$423)))</f>
        <v>0</v>
      </c>
      <c r="Y14" s="16"/>
      <c r="Z14" s="16">
        <f>IF((IF(OR(SUMPRODUCT(--('Repartition stock'!$A$6:$A$423="2026Q3"),--('Repartition stock'!$B$6:$B$423="DK"),--('Repartition stock'!$E$6:$E$423="Millésime"),--('Repartition stock'!$F$6:$F$423="&lt;2018"))=0,SUMPRODUCT(--('Repartition stock'!$A$6:$A$423="2026Q3"),--('Repartition stock'!$B$6:$B$423="DK"),--('Repartition stock'!$E$6:$E$423="Millésime"),--('Repartition stock'!$F$6:$F$423="&lt;2018"),--('Repartition stock'!$H$6:$H$423="n.d."))&gt;0),"n.d.",SUMPRODUCT(--('Repartition stock'!$A$6:$A$423="2026Q3"),--('Repartition stock'!$B$6:$B$423="DK"),--('Repartition stock'!$E$6:$E$423="Millésime"),--('Repartition stock'!$F$6:$F$423="&lt;2018"),'Repartition stock'!$H$6:$H$423)))="n.d.",0,IF(OR(SUMPRODUCT(--('Repartition stock'!$A$6:$A$423="2026Q3"),--('Repartition stock'!$B$6:$B$423="DK"),--('Repartition stock'!$E$6:$E$423="Millésime"),--('Repartition stock'!$F$6:$F$423="&lt;2018"))=0,SUMPRODUCT(--('Repartition stock'!$A$6:$A$423="2026Q3"),--('Repartition stock'!$B$6:$B$423="DK"),--('Repartition stock'!$E$6:$E$423="Millésime"),--('Repartition stock'!$F$6:$F$423="&lt;2018"),--('Repartition stock'!$H$6:$H$423="n.d."))&gt;0),"n.d.",SUMPRODUCT(--('Repartition stock'!$A$6:$A$423="2026Q3"),--('Repartition stock'!$B$6:$B$423="DK"),--('Repartition stock'!$E$6:$E$423="Millésime"),--('Repartition stock'!$F$6:$F$423="&lt;2018"),'Repartition stock'!$H$6:$H$423)))</f>
        <v>0</v>
      </c>
      <c r="AA14" s="16"/>
      <c r="AB14" s="16"/>
      <c r="AC14" s="7">
        <f>IF((IF(OR(COUNT(X14,X24)&lt;&gt;2,X24=0),"n.d.",X14/X24))="n.d.",0,IF(OR(COUNT(X14,X24)&lt;&gt;2,X24=0),"n.d.",X14/X24))</f>
        <v>0.0</v>
      </c>
      <c r="AD14" s="7"/>
      <c r="AE14" s="7">
        <f>IF((IF(OR(COUNT(Z14,Z24)&lt;&gt;2,Z24=0),"n.d.",Z14/Z24))="n.d.",0,IF(OR(COUNT(Z14,Z24)&lt;&gt;2,Z24=0),"n.d.",Z14/Z24))</f>
        <v>0.0</v>
      </c>
      <c r="AF14" s="7"/>
    </row>
    <row r="15" spans="1:32" ht="13.5" customHeight="1">
      <c r="A15" s="12"/>
      <c r="R15" s="4"/>
      <c r="S15" s="4"/>
      <c r="T15" s="4"/>
      <c r="U15" s="15" t="s">
        <v>389</v>
      </c>
      <c r="V15" s="15"/>
      <c r="W15" s="15"/>
      <c r="X15" s="16">
        <f>IF((IF(OR(SUMPRODUCT(--('Repartition stock'!$A$6:$A$423="2026Q3"),--('Repartition stock'!$B$6:$B$423="DK"),--('Repartition stock'!$E$6:$E$423="Millésime"),--('Repartition stock'!$F$6:$F$423="2018"))=0,SUMPRODUCT(--('Repartition stock'!$A$6:$A$423="2026Q3"),--('Repartition stock'!$B$6:$B$423="DK"),--('Repartition stock'!$E$6:$E$423="Millésime"),--('Repartition stock'!$F$6:$F$423="2018"),--('Repartition stock'!$G$6:$G$423="n.d."))&gt;0),"n.d.",SUMPRODUCT(--('Repartition stock'!$A$6:$A$423="2026Q3"),--('Repartition stock'!$B$6:$B$423="DK"),--('Repartition stock'!$E$6:$E$423="Millésime"),--('Repartition stock'!$F$6:$F$423="2018"),'Repartition stock'!$G$6:$G$423)))="n.d.",0,IF(OR(SUMPRODUCT(--('Repartition stock'!$A$6:$A$423="2026Q3"),--('Repartition stock'!$B$6:$B$423="DK"),--('Repartition stock'!$E$6:$E$423="Millésime"),--('Repartition stock'!$F$6:$F$423="2018"))=0,SUMPRODUCT(--('Repartition stock'!$A$6:$A$423="2026Q3"),--('Repartition stock'!$B$6:$B$423="DK"),--('Repartition stock'!$E$6:$E$423="Millésime"),--('Repartition stock'!$F$6:$F$423="2018"),--('Repartition stock'!$G$6:$G$423="n.d."))&gt;0),"n.d.",SUMPRODUCT(--('Repartition stock'!$A$6:$A$423="2026Q3"),--('Repartition stock'!$B$6:$B$423="DK"),--('Repartition stock'!$E$6:$E$423="Millésime"),--('Repartition stock'!$F$6:$F$423="2018"),'Repartition stock'!$G$6:$G$423)))</f>
        <v>0</v>
      </c>
      <c r="Y15" s="16"/>
      <c r="Z15" s="16">
        <f>IF((IF(OR(SUMPRODUCT(--('Repartition stock'!$A$6:$A$423="2026Q3"),--('Repartition stock'!$B$6:$B$423="DK"),--('Repartition stock'!$E$6:$E$423="Millésime"),--('Repartition stock'!$F$6:$F$423="2018"))=0,SUMPRODUCT(--('Repartition stock'!$A$6:$A$423="2026Q3"),--('Repartition stock'!$B$6:$B$423="DK"),--('Repartition stock'!$E$6:$E$423="Millésime"),--('Repartition stock'!$F$6:$F$423="2018"),--('Repartition stock'!$H$6:$H$423="n.d."))&gt;0),"n.d.",SUMPRODUCT(--('Repartition stock'!$A$6:$A$423="2026Q3"),--('Repartition stock'!$B$6:$B$423="DK"),--('Repartition stock'!$E$6:$E$423="Millésime"),--('Repartition stock'!$F$6:$F$423="2018"),'Repartition stock'!$H$6:$H$423)))="n.d.",0,IF(OR(SUMPRODUCT(--('Repartition stock'!$A$6:$A$423="2026Q3"),--('Repartition stock'!$B$6:$B$423="DK"),--('Repartition stock'!$E$6:$E$423="Millésime"),--('Repartition stock'!$F$6:$F$423="2018"))=0,SUMPRODUCT(--('Repartition stock'!$A$6:$A$423="2026Q3"),--('Repartition stock'!$B$6:$B$423="DK"),--('Repartition stock'!$E$6:$E$423="Millésime"),--('Repartition stock'!$F$6:$F$423="2018"),--('Repartition stock'!$H$6:$H$423="n.d."))&gt;0),"n.d.",SUMPRODUCT(--('Repartition stock'!$A$6:$A$423="2026Q3"),--('Repartition stock'!$B$6:$B$423="DK"),--('Repartition stock'!$E$6:$E$423="Millésime"),--('Repartition stock'!$F$6:$F$423="2018"),'Repartition stock'!$H$6:$H$423)))</f>
        <v>0</v>
      </c>
      <c r="AA15" s="16"/>
      <c r="AB15" s="16"/>
      <c r="AC15" s="7">
        <f>IF((IF(OR(COUNT(X15,X24)&lt;&gt;2,X24=0),"n.d.",X15/X24))="n.d.",0,IF(OR(COUNT(X15,X24)&lt;&gt;2,X24=0),"n.d.",X15/X24))</f>
        <v>0.0</v>
      </c>
      <c r="AD15" s="7"/>
      <c r="AE15" s="7">
        <f>IF((IF(OR(COUNT(Z15,Z24)&lt;&gt;2,Z24=0),"n.d.",Z15/Z24))="n.d.",0,IF(OR(COUNT(Z15,Z24)&lt;&gt;2,Z24=0),"n.d.",Z15/Z24))</f>
        <v>0.0</v>
      </c>
      <c r="AF15" s="7"/>
    </row>
    <row r="16" spans="1:32" ht="13.5" customHeight="1">
      <c r="A16" s="12"/>
      <c r="R16" s="4"/>
      <c r="S16" s="4"/>
      <c r="T16" s="4"/>
      <c r="U16" s="15" t="s">
        <v>391</v>
      </c>
      <c r="V16" s="15"/>
      <c r="W16" s="15"/>
      <c r="X16" s="16">
        <f>IF((IF(OR(SUMPRODUCT(--('Repartition stock'!$A$6:$A$423="2026Q3"),--('Repartition stock'!$B$6:$B$423="DK"),--('Repartition stock'!$E$6:$E$423="Millésime"),--('Repartition stock'!$F$6:$F$423="2019"))=0,SUMPRODUCT(--('Repartition stock'!$A$6:$A$423="2026Q3"),--('Repartition stock'!$B$6:$B$423="DK"),--('Repartition stock'!$E$6:$E$423="Millésime"),--('Repartition stock'!$F$6:$F$423="2019"),--('Repartition stock'!$G$6:$G$423="n.d."))&gt;0),"n.d.",SUMPRODUCT(--('Repartition stock'!$A$6:$A$423="2026Q3"),--('Repartition stock'!$B$6:$B$423="DK"),--('Repartition stock'!$E$6:$E$423="Millésime"),--('Repartition stock'!$F$6:$F$423="2019"),'Repartition stock'!$G$6:$G$423)))="n.d.",0,IF(OR(SUMPRODUCT(--('Repartition stock'!$A$6:$A$423="2026Q3"),--('Repartition stock'!$B$6:$B$423="DK"),--('Repartition stock'!$E$6:$E$423="Millésime"),--('Repartition stock'!$F$6:$F$423="2019"))=0,SUMPRODUCT(--('Repartition stock'!$A$6:$A$423="2026Q3"),--('Repartition stock'!$B$6:$B$423="DK"),--('Repartition stock'!$E$6:$E$423="Millésime"),--('Repartition stock'!$F$6:$F$423="2019"),--('Repartition stock'!$G$6:$G$423="n.d."))&gt;0),"n.d.",SUMPRODUCT(--('Repartition stock'!$A$6:$A$423="2026Q3"),--('Repartition stock'!$B$6:$B$423="DK"),--('Repartition stock'!$E$6:$E$423="Millésime"),--('Repartition stock'!$F$6:$F$423="2019"),'Repartition stock'!$G$6:$G$423)))</f>
        <v>0</v>
      </c>
      <c r="Y16" s="16"/>
      <c r="Z16" s="16">
        <f>IF((IF(OR(SUMPRODUCT(--('Repartition stock'!$A$6:$A$423="2026Q3"),--('Repartition stock'!$B$6:$B$423="DK"),--('Repartition stock'!$E$6:$E$423="Millésime"),--('Repartition stock'!$F$6:$F$423="2019"))=0,SUMPRODUCT(--('Repartition stock'!$A$6:$A$423="2026Q3"),--('Repartition stock'!$B$6:$B$423="DK"),--('Repartition stock'!$E$6:$E$423="Millésime"),--('Repartition stock'!$F$6:$F$423="2019"),--('Repartition stock'!$H$6:$H$423="n.d."))&gt;0),"n.d.",SUMPRODUCT(--('Repartition stock'!$A$6:$A$423="2026Q3"),--('Repartition stock'!$B$6:$B$423="DK"),--('Repartition stock'!$E$6:$E$423="Millésime"),--('Repartition stock'!$F$6:$F$423="2019"),'Repartition stock'!$H$6:$H$423)))="n.d.",0,IF(OR(SUMPRODUCT(--('Repartition stock'!$A$6:$A$423="2026Q3"),--('Repartition stock'!$B$6:$B$423="DK"),--('Repartition stock'!$E$6:$E$423="Millésime"),--('Repartition stock'!$F$6:$F$423="2019"))=0,SUMPRODUCT(--('Repartition stock'!$A$6:$A$423="2026Q3"),--('Repartition stock'!$B$6:$B$423="DK"),--('Repartition stock'!$E$6:$E$423="Millésime"),--('Repartition stock'!$F$6:$F$423="2019"),--('Repartition stock'!$H$6:$H$423="n.d."))&gt;0),"n.d.",SUMPRODUCT(--('Repartition stock'!$A$6:$A$423="2026Q3"),--('Repartition stock'!$B$6:$B$423="DK"),--('Repartition stock'!$E$6:$E$423="Millésime"),--('Repartition stock'!$F$6:$F$423="2019"),'Repartition stock'!$H$6:$H$423)))</f>
        <v>0</v>
      </c>
      <c r="AA16" s="16"/>
      <c r="AB16" s="16"/>
      <c r="AC16" s="7">
        <f>IF((IF(OR(COUNT(X16,X24)&lt;&gt;2,X24=0),"n.d.",X16/X24))="n.d.",0,IF(OR(COUNT(X16,X24)&lt;&gt;2,X24=0),"n.d.",X16/X24))</f>
        <v>0.0</v>
      </c>
      <c r="AD16" s="7"/>
      <c r="AE16" s="7">
        <f>IF((IF(OR(COUNT(Z16,Z24)&lt;&gt;2,Z24=0),"n.d.",Z16/Z24))="n.d.",0,IF(OR(COUNT(Z16,Z24)&lt;&gt;2,Z24=0),"n.d.",Z16/Z24))</f>
        <v>0.0</v>
      </c>
      <c r="AF16" s="7"/>
    </row>
    <row r="17" spans="1:32" ht="13.5" customHeight="1">
      <c r="A17" s="12"/>
      <c r="R17" s="4"/>
      <c r="S17" s="4"/>
      <c r="T17" s="4"/>
      <c r="U17" s="15" t="s">
        <v>393</v>
      </c>
      <c r="V17" s="15"/>
      <c r="W17" s="15"/>
      <c r="X17" s="16">
        <f>IF((IF(OR(SUMPRODUCT(--('Repartition stock'!$A$6:$A$423="2026Q3"),--('Repartition stock'!$B$6:$B$423="DK"),--('Repartition stock'!$E$6:$E$423="Millésime"),--('Repartition stock'!$F$6:$F$423="2020"))=0,SUMPRODUCT(--('Repartition stock'!$A$6:$A$423="2026Q3"),--('Repartition stock'!$B$6:$B$423="DK"),--('Repartition stock'!$E$6:$E$423="Millésime"),--('Repartition stock'!$F$6:$F$423="2020"),--('Repartition stock'!$G$6:$G$423="n.d."))&gt;0),"n.d.",SUMPRODUCT(--('Repartition stock'!$A$6:$A$423="2026Q3"),--('Repartition stock'!$B$6:$B$423="DK"),--('Repartition stock'!$E$6:$E$423="Millésime"),--('Repartition stock'!$F$6:$F$423="2020"),'Repartition stock'!$G$6:$G$423)))="n.d.",0,IF(OR(SUMPRODUCT(--('Repartition stock'!$A$6:$A$423="2026Q3"),--('Repartition stock'!$B$6:$B$423="DK"),--('Repartition stock'!$E$6:$E$423="Millésime"),--('Repartition stock'!$F$6:$F$423="2020"))=0,SUMPRODUCT(--('Repartition stock'!$A$6:$A$423="2026Q3"),--('Repartition stock'!$B$6:$B$423="DK"),--('Repartition stock'!$E$6:$E$423="Millésime"),--('Repartition stock'!$F$6:$F$423="2020"),--('Repartition stock'!$G$6:$G$423="n.d."))&gt;0),"n.d.",SUMPRODUCT(--('Repartition stock'!$A$6:$A$423="2026Q3"),--('Repartition stock'!$B$6:$B$423="DK"),--('Repartition stock'!$E$6:$E$423="Millésime"),--('Repartition stock'!$F$6:$F$423="2020"),'Repartition stock'!$G$6:$G$423)))</f>
        <v>0</v>
      </c>
      <c r="Y17" s="16"/>
      <c r="Z17" s="16">
        <f>IF((IF(OR(SUMPRODUCT(--('Repartition stock'!$A$6:$A$423="2026Q3"),--('Repartition stock'!$B$6:$B$423="DK"),--('Repartition stock'!$E$6:$E$423="Millésime"),--('Repartition stock'!$F$6:$F$423="2020"))=0,SUMPRODUCT(--('Repartition stock'!$A$6:$A$423="2026Q3"),--('Repartition stock'!$B$6:$B$423="DK"),--('Repartition stock'!$E$6:$E$423="Millésime"),--('Repartition stock'!$F$6:$F$423="2020"),--('Repartition stock'!$H$6:$H$423="n.d."))&gt;0),"n.d.",SUMPRODUCT(--('Repartition stock'!$A$6:$A$423="2026Q3"),--('Repartition stock'!$B$6:$B$423="DK"),--('Repartition stock'!$E$6:$E$423="Millésime"),--('Repartition stock'!$F$6:$F$423="2020"),'Repartition stock'!$H$6:$H$423)))="n.d.",0,IF(OR(SUMPRODUCT(--('Repartition stock'!$A$6:$A$423="2026Q3"),--('Repartition stock'!$B$6:$B$423="DK"),--('Repartition stock'!$E$6:$E$423="Millésime"),--('Repartition stock'!$F$6:$F$423="2020"))=0,SUMPRODUCT(--('Repartition stock'!$A$6:$A$423="2026Q3"),--('Repartition stock'!$B$6:$B$423="DK"),--('Repartition stock'!$E$6:$E$423="Millésime"),--('Repartition stock'!$F$6:$F$423="2020"),--('Repartition stock'!$H$6:$H$423="n.d."))&gt;0),"n.d.",SUMPRODUCT(--('Repartition stock'!$A$6:$A$423="2026Q3"),--('Repartition stock'!$B$6:$B$423="DK"),--('Repartition stock'!$E$6:$E$423="Millésime"),--('Repartition stock'!$F$6:$F$423="2020"),'Repartition stock'!$H$6:$H$423)))</f>
        <v>0</v>
      </c>
      <c r="AA17" s="16"/>
      <c r="AB17" s="16"/>
      <c r="AC17" s="7">
        <f>IF((IF(OR(COUNT(X17,X24)&lt;&gt;2,X24=0),"n.d.",X17/X24))="n.d.",0,IF(OR(COUNT(X17,X24)&lt;&gt;2,X24=0),"n.d.",X17/X24))</f>
        <v>0.0</v>
      </c>
      <c r="AD17" s="7"/>
      <c r="AE17" s="7">
        <f>IF((IF(OR(COUNT(Z17,Z24)&lt;&gt;2,Z24=0),"n.d.",Z17/Z24))="n.d.",0,IF(OR(COUNT(Z17,Z24)&lt;&gt;2,Z24=0),"n.d.",Z17/Z24))</f>
        <v>0.0</v>
      </c>
      <c r="AF17" s="7"/>
    </row>
    <row r="18" spans="1:32" ht="13.5" customHeight="1">
      <c r="A18" s="12"/>
      <c r="R18" s="4"/>
      <c r="S18" s="4"/>
      <c r="T18" s="4"/>
      <c r="U18" s="15" t="s">
        <v>395</v>
      </c>
      <c r="V18" s="15"/>
      <c r="W18" s="15"/>
      <c r="X18" s="16">
        <f>IF((IF(OR(SUMPRODUCT(--('Repartition stock'!$A$6:$A$423="2026Q3"),--('Repartition stock'!$B$6:$B$423="DK"),--('Repartition stock'!$E$6:$E$423="Millésime"),--('Repartition stock'!$F$6:$F$423="2021"))=0,SUMPRODUCT(--('Repartition stock'!$A$6:$A$423="2026Q3"),--('Repartition stock'!$B$6:$B$423="DK"),--('Repartition stock'!$E$6:$E$423="Millésime"),--('Repartition stock'!$F$6:$F$423="2021"),--('Repartition stock'!$G$6:$G$423="n.d."))&gt;0),"n.d.",SUMPRODUCT(--('Repartition stock'!$A$6:$A$423="2026Q3"),--('Repartition stock'!$B$6:$B$423="DK"),--('Repartition stock'!$E$6:$E$423="Millésime"),--('Repartition stock'!$F$6:$F$423="2021"),'Repartition stock'!$G$6:$G$423)))="n.d.",0,IF(OR(SUMPRODUCT(--('Repartition stock'!$A$6:$A$423="2026Q3"),--('Repartition stock'!$B$6:$B$423="DK"),--('Repartition stock'!$E$6:$E$423="Millésime"),--('Repartition stock'!$F$6:$F$423="2021"))=0,SUMPRODUCT(--('Repartition stock'!$A$6:$A$423="2026Q3"),--('Repartition stock'!$B$6:$B$423="DK"),--('Repartition stock'!$E$6:$E$423="Millésime"),--('Repartition stock'!$F$6:$F$423="2021"),--('Repartition stock'!$G$6:$G$423="n.d."))&gt;0),"n.d.",SUMPRODUCT(--('Repartition stock'!$A$6:$A$423="2026Q3"),--('Repartition stock'!$B$6:$B$423="DK"),--('Repartition stock'!$E$6:$E$423="Millésime"),--('Repartition stock'!$F$6:$F$423="2021"),'Repartition stock'!$G$6:$G$423)))</f>
        <v>0</v>
      </c>
      <c r="Y18" s="16"/>
      <c r="Z18" s="16">
        <f>IF((IF(OR(SUMPRODUCT(--('Repartition stock'!$A$6:$A$423="2026Q3"),--('Repartition stock'!$B$6:$B$423="DK"),--('Repartition stock'!$E$6:$E$423="Millésime"),--('Repartition stock'!$F$6:$F$423="2021"))=0,SUMPRODUCT(--('Repartition stock'!$A$6:$A$423="2026Q3"),--('Repartition stock'!$B$6:$B$423="DK"),--('Repartition stock'!$E$6:$E$423="Millésime"),--('Repartition stock'!$F$6:$F$423="2021"),--('Repartition stock'!$H$6:$H$423="n.d."))&gt;0),"n.d.",SUMPRODUCT(--('Repartition stock'!$A$6:$A$423="2026Q3"),--('Repartition stock'!$B$6:$B$423="DK"),--('Repartition stock'!$E$6:$E$423="Millésime"),--('Repartition stock'!$F$6:$F$423="2021"),'Repartition stock'!$H$6:$H$423)))="n.d.",0,IF(OR(SUMPRODUCT(--('Repartition stock'!$A$6:$A$423="2026Q3"),--('Repartition stock'!$B$6:$B$423="DK"),--('Repartition stock'!$E$6:$E$423="Millésime"),--('Repartition stock'!$F$6:$F$423="2021"))=0,SUMPRODUCT(--('Repartition stock'!$A$6:$A$423="2026Q3"),--('Repartition stock'!$B$6:$B$423="DK"),--('Repartition stock'!$E$6:$E$423="Millésime"),--('Repartition stock'!$F$6:$F$423="2021"),--('Repartition stock'!$H$6:$H$423="n.d."))&gt;0),"n.d.",SUMPRODUCT(--('Repartition stock'!$A$6:$A$423="2026Q3"),--('Repartition stock'!$B$6:$B$423="DK"),--('Repartition stock'!$E$6:$E$423="Millésime"),--('Repartition stock'!$F$6:$F$423="2021"),'Repartition stock'!$H$6:$H$423)))</f>
        <v>0</v>
      </c>
      <c r="AA18" s="16"/>
      <c r="AB18" s="16"/>
      <c r="AC18" s="7">
        <f>IF((IF(OR(COUNT(X18,X24)&lt;&gt;2,X24=0),"n.d.",X18/X24))="n.d.",0,IF(OR(COUNT(X18,X24)&lt;&gt;2,X24=0),"n.d.",X18/X24))</f>
        <v>0.0</v>
      </c>
      <c r="AD18" s="7"/>
      <c r="AE18" s="7">
        <f>IF((IF(OR(COUNT(Z18,Z24)&lt;&gt;2,Z24=0),"n.d.",Z18/Z24))="n.d.",0,IF(OR(COUNT(Z18,Z24)&lt;&gt;2,Z24=0),"n.d.",Z18/Z24))</f>
        <v>0.0</v>
      </c>
      <c r="AF18" s="7"/>
    </row>
    <row r="19" spans="1:32" ht="13.5" customHeight="1">
      <c r="A19" s="12"/>
      <c r="R19" s="4"/>
      <c r="S19" s="4"/>
      <c r="T19" s="4"/>
      <c r="U19" s="15" t="s">
        <v>397</v>
      </c>
      <c r="V19" s="15"/>
      <c r="W19" s="15"/>
      <c r="X19" s="16">
        <f>IF((IF(OR(SUMPRODUCT(--('Repartition stock'!$A$6:$A$423="2026Q3"),--('Repartition stock'!$B$6:$B$423="DK"),--('Repartition stock'!$E$6:$E$423="Millésime"),--('Repartition stock'!$F$6:$F$423="2022"))=0,SUMPRODUCT(--('Repartition stock'!$A$6:$A$423="2026Q3"),--('Repartition stock'!$B$6:$B$423="DK"),--('Repartition stock'!$E$6:$E$423="Millésime"),--('Repartition stock'!$F$6:$F$423="2022"),--('Repartition stock'!$G$6:$G$423="n.d."))&gt;0),"n.d.",SUMPRODUCT(--('Repartition stock'!$A$6:$A$423="2026Q3"),--('Repartition stock'!$B$6:$B$423="DK"),--('Repartition stock'!$E$6:$E$423="Millésime"),--('Repartition stock'!$F$6:$F$423="2022"),'Repartition stock'!$G$6:$G$423)))="n.d.",0,IF(OR(SUMPRODUCT(--('Repartition stock'!$A$6:$A$423="2026Q3"),--('Repartition stock'!$B$6:$B$423="DK"),--('Repartition stock'!$E$6:$E$423="Millésime"),--('Repartition stock'!$F$6:$F$423="2022"))=0,SUMPRODUCT(--('Repartition stock'!$A$6:$A$423="2026Q3"),--('Repartition stock'!$B$6:$B$423="DK"),--('Repartition stock'!$E$6:$E$423="Millésime"),--('Repartition stock'!$F$6:$F$423="2022"),--('Repartition stock'!$G$6:$G$423="n.d."))&gt;0),"n.d.",SUMPRODUCT(--('Repartition stock'!$A$6:$A$423="2026Q3"),--('Repartition stock'!$B$6:$B$423="DK"),--('Repartition stock'!$E$6:$E$423="Millésime"),--('Repartition stock'!$F$6:$F$423="2022"),'Repartition stock'!$G$6:$G$423)))</f>
        <v>0</v>
      </c>
      <c r="Y19" s="16"/>
      <c r="Z19" s="16">
        <f>IF((IF(OR(SUMPRODUCT(--('Repartition stock'!$A$6:$A$423="2026Q3"),--('Repartition stock'!$B$6:$B$423="DK"),--('Repartition stock'!$E$6:$E$423="Millésime"),--('Repartition stock'!$F$6:$F$423="2022"))=0,SUMPRODUCT(--('Repartition stock'!$A$6:$A$423="2026Q3"),--('Repartition stock'!$B$6:$B$423="DK"),--('Repartition stock'!$E$6:$E$423="Millésime"),--('Repartition stock'!$F$6:$F$423="2022"),--('Repartition stock'!$H$6:$H$423="n.d."))&gt;0),"n.d.",SUMPRODUCT(--('Repartition stock'!$A$6:$A$423="2026Q3"),--('Repartition stock'!$B$6:$B$423="DK"),--('Repartition stock'!$E$6:$E$423="Millésime"),--('Repartition stock'!$F$6:$F$423="2022"),'Repartition stock'!$H$6:$H$423)))="n.d.",0,IF(OR(SUMPRODUCT(--('Repartition stock'!$A$6:$A$423="2026Q3"),--('Repartition stock'!$B$6:$B$423="DK"),--('Repartition stock'!$E$6:$E$423="Millésime"),--('Repartition stock'!$F$6:$F$423="2022"))=0,SUMPRODUCT(--('Repartition stock'!$A$6:$A$423="2026Q3"),--('Repartition stock'!$B$6:$B$423="DK"),--('Repartition stock'!$E$6:$E$423="Millésime"),--('Repartition stock'!$F$6:$F$423="2022"),--('Repartition stock'!$H$6:$H$423="n.d."))&gt;0),"n.d.",SUMPRODUCT(--('Repartition stock'!$A$6:$A$423="2026Q3"),--('Repartition stock'!$B$6:$B$423="DK"),--('Repartition stock'!$E$6:$E$423="Millésime"),--('Repartition stock'!$F$6:$F$423="2022"),'Repartition stock'!$H$6:$H$423)))</f>
        <v>0</v>
      </c>
      <c r="AA19" s="16"/>
      <c r="AB19" s="16"/>
      <c r="AC19" s="7">
        <f>IF((IF(OR(COUNT(X19,X24)&lt;&gt;2,X24=0),"n.d.",X19/X24))="n.d.",0,IF(OR(COUNT(X19,X24)&lt;&gt;2,X24=0),"n.d.",X19/X24))</f>
        <v>0.0</v>
      </c>
      <c r="AD19" s="7"/>
      <c r="AE19" s="7">
        <f>IF((IF(OR(COUNT(Z19,Z24)&lt;&gt;2,Z24=0),"n.d.",Z19/Z24))="n.d.",0,IF(OR(COUNT(Z19,Z24)&lt;&gt;2,Z24=0),"n.d.",Z19/Z24))</f>
        <v>0.0</v>
      </c>
      <c r="AF19" s="7"/>
    </row>
    <row r="20" spans="1:32" ht="13.5" customHeight="1">
      <c r="A20" s="12"/>
      <c r="R20" s="4"/>
      <c r="S20" s="4"/>
      <c r="T20" s="4"/>
      <c r="U20" s="15" t="s">
        <v>399</v>
      </c>
      <c r="V20" s="15"/>
      <c r="W20" s="15"/>
      <c r="X20" s="16">
        <f>IF((IF(OR(SUMPRODUCT(--('Repartition stock'!$A$6:$A$423="2026Q3"),--('Repartition stock'!$B$6:$B$423="DK"),--('Repartition stock'!$E$6:$E$423="Millésime"),--('Repartition stock'!$F$6:$F$423="2023"))=0,SUMPRODUCT(--('Repartition stock'!$A$6:$A$423="2026Q3"),--('Repartition stock'!$B$6:$B$423="DK"),--('Repartition stock'!$E$6:$E$423="Millésime"),--('Repartition stock'!$F$6:$F$423="2023"),--('Repartition stock'!$G$6:$G$423="n.d."))&gt;0),"n.d.",SUMPRODUCT(--('Repartition stock'!$A$6:$A$423="2026Q3"),--('Repartition stock'!$B$6:$B$423="DK"),--('Repartition stock'!$E$6:$E$423="Millésime"),--('Repartition stock'!$F$6:$F$423="2023"),'Repartition stock'!$G$6:$G$423)))="n.d.",0,IF(OR(SUMPRODUCT(--('Repartition stock'!$A$6:$A$423="2026Q3"),--('Repartition stock'!$B$6:$B$423="DK"),--('Repartition stock'!$E$6:$E$423="Millésime"),--('Repartition stock'!$F$6:$F$423="2023"))=0,SUMPRODUCT(--('Repartition stock'!$A$6:$A$423="2026Q3"),--('Repartition stock'!$B$6:$B$423="DK"),--('Repartition stock'!$E$6:$E$423="Millésime"),--('Repartition stock'!$F$6:$F$423="2023"),--('Repartition stock'!$G$6:$G$423="n.d."))&gt;0),"n.d.",SUMPRODUCT(--('Repartition stock'!$A$6:$A$423="2026Q3"),--('Repartition stock'!$B$6:$B$423="DK"),--('Repartition stock'!$E$6:$E$423="Millésime"),--('Repartition stock'!$F$6:$F$423="2023"),'Repartition stock'!$G$6:$G$423)))</f>
        <v>0</v>
      </c>
      <c r="Y20" s="16"/>
      <c r="Z20" s="16">
        <f>IF((IF(OR(SUMPRODUCT(--('Repartition stock'!$A$6:$A$423="2026Q3"),--('Repartition stock'!$B$6:$B$423="DK"),--('Repartition stock'!$E$6:$E$423="Millésime"),--('Repartition stock'!$F$6:$F$423="2023"))=0,SUMPRODUCT(--('Repartition stock'!$A$6:$A$423="2026Q3"),--('Repartition stock'!$B$6:$B$423="DK"),--('Repartition stock'!$E$6:$E$423="Millésime"),--('Repartition stock'!$F$6:$F$423="2023"),--('Repartition stock'!$H$6:$H$423="n.d."))&gt;0),"n.d.",SUMPRODUCT(--('Repartition stock'!$A$6:$A$423="2026Q3"),--('Repartition stock'!$B$6:$B$423="DK"),--('Repartition stock'!$E$6:$E$423="Millésime"),--('Repartition stock'!$F$6:$F$423="2023"),'Repartition stock'!$H$6:$H$423)))="n.d.",0,IF(OR(SUMPRODUCT(--('Repartition stock'!$A$6:$A$423="2026Q3"),--('Repartition stock'!$B$6:$B$423="DK"),--('Repartition stock'!$E$6:$E$423="Millésime"),--('Repartition stock'!$F$6:$F$423="2023"))=0,SUMPRODUCT(--('Repartition stock'!$A$6:$A$423="2026Q3"),--('Repartition stock'!$B$6:$B$423="DK"),--('Repartition stock'!$E$6:$E$423="Millésime"),--('Repartition stock'!$F$6:$F$423="2023"),--('Repartition stock'!$H$6:$H$423="n.d."))&gt;0),"n.d.",SUMPRODUCT(--('Repartition stock'!$A$6:$A$423="2026Q3"),--('Repartition stock'!$B$6:$B$423="DK"),--('Repartition stock'!$E$6:$E$423="Millésime"),--('Repartition stock'!$F$6:$F$423="2023"),'Repartition stock'!$H$6:$H$423)))</f>
        <v>0</v>
      </c>
      <c r="AA20" s="16"/>
      <c r="AB20" s="16"/>
      <c r="AC20" s="7">
        <f>IF((IF(OR(COUNT(X20,X24)&lt;&gt;2,X24=0),"n.d.",X20/X24))="n.d.",0,IF(OR(COUNT(X20,X24)&lt;&gt;2,X24=0),"n.d.",X20/X24))</f>
        <v>0.0</v>
      </c>
      <c r="AD20" s="7"/>
      <c r="AE20" s="7">
        <f>IF((IF(OR(COUNT(Z20,Z24)&lt;&gt;2,Z24=0),"n.d.",Z20/Z24))="n.d.",0,IF(OR(COUNT(Z20,Z24)&lt;&gt;2,Z24=0),"n.d.",Z20/Z24))</f>
        <v>0.0</v>
      </c>
      <c r="AF20" s="7"/>
    </row>
    <row r="21" spans="1:32" ht="13.5" customHeight="1">
      <c r="A21" s="12"/>
      <c r="R21" s="4"/>
      <c r="S21" s="4"/>
      <c r="T21" s="4"/>
      <c r="U21" s="15" t="s">
        <v>95</v>
      </c>
      <c r="V21" s="15"/>
      <c r="W21" s="15"/>
      <c r="X21" s="16">
        <f>IF((IF(OR(SUMPRODUCT(--('Repartition stock'!$A$6:$A$423="2026Q3"),--('Repartition stock'!$B$6:$B$423="DK"),--('Repartition stock'!$E$6:$E$423="Millésime"),--('Repartition stock'!$F$6:$F$423="2024"))=0,SUMPRODUCT(--('Repartition stock'!$A$6:$A$423="2026Q3"),--('Repartition stock'!$B$6:$B$423="DK"),--('Repartition stock'!$E$6:$E$423="Millésime"),--('Repartition stock'!$F$6:$F$423="2024"),--('Repartition stock'!$G$6:$G$423="n.d."))&gt;0),"n.d.",SUMPRODUCT(--('Repartition stock'!$A$6:$A$423="2026Q3"),--('Repartition stock'!$B$6:$B$423="DK"),--('Repartition stock'!$E$6:$E$423="Millésime"),--('Repartition stock'!$F$6:$F$423="2024"),'Repartition stock'!$G$6:$G$423)))="n.d.",0,IF(OR(SUMPRODUCT(--('Repartition stock'!$A$6:$A$423="2026Q3"),--('Repartition stock'!$B$6:$B$423="DK"),--('Repartition stock'!$E$6:$E$423="Millésime"),--('Repartition stock'!$F$6:$F$423="2024"))=0,SUMPRODUCT(--('Repartition stock'!$A$6:$A$423="2026Q3"),--('Repartition stock'!$B$6:$B$423="DK"),--('Repartition stock'!$E$6:$E$423="Millésime"),--('Repartition stock'!$F$6:$F$423="2024"),--('Repartition stock'!$G$6:$G$423="n.d."))&gt;0),"n.d.",SUMPRODUCT(--('Repartition stock'!$A$6:$A$423="2026Q3"),--('Repartition stock'!$B$6:$B$423="DK"),--('Repartition stock'!$E$6:$E$423="Millésime"),--('Repartition stock'!$F$6:$F$423="2024"),'Repartition stock'!$G$6:$G$423)))</f>
        <v>0</v>
      </c>
      <c r="Y21" s="16"/>
      <c r="Z21" s="16">
        <f>IF((IF(OR(SUMPRODUCT(--('Repartition stock'!$A$6:$A$423="2026Q3"),--('Repartition stock'!$B$6:$B$423="DK"),--('Repartition stock'!$E$6:$E$423="Millésime"),--('Repartition stock'!$F$6:$F$423="2024"))=0,SUMPRODUCT(--('Repartition stock'!$A$6:$A$423="2026Q3"),--('Repartition stock'!$B$6:$B$423="DK"),--('Repartition stock'!$E$6:$E$423="Millésime"),--('Repartition stock'!$F$6:$F$423="2024"),--('Repartition stock'!$H$6:$H$423="n.d."))&gt;0),"n.d.",SUMPRODUCT(--('Repartition stock'!$A$6:$A$423="2026Q3"),--('Repartition stock'!$B$6:$B$423="DK"),--('Repartition stock'!$E$6:$E$423="Millésime"),--('Repartition stock'!$F$6:$F$423="2024"),'Repartition stock'!$H$6:$H$423)))="n.d.",0,IF(OR(SUMPRODUCT(--('Repartition stock'!$A$6:$A$423="2026Q3"),--('Repartition stock'!$B$6:$B$423="DK"),--('Repartition stock'!$E$6:$E$423="Millésime"),--('Repartition stock'!$F$6:$F$423="2024"))=0,SUMPRODUCT(--('Repartition stock'!$A$6:$A$423="2026Q3"),--('Repartition stock'!$B$6:$B$423="DK"),--('Repartition stock'!$E$6:$E$423="Millésime"),--('Repartition stock'!$F$6:$F$423="2024"),--('Repartition stock'!$H$6:$H$423="n.d."))&gt;0),"n.d.",SUMPRODUCT(--('Repartition stock'!$A$6:$A$423="2026Q3"),--('Repartition stock'!$B$6:$B$423="DK"),--('Repartition stock'!$E$6:$E$423="Millésime"),--('Repartition stock'!$F$6:$F$423="2024"),'Repartition stock'!$H$6:$H$423)))</f>
        <v>0</v>
      </c>
      <c r="AA21" s="16"/>
      <c r="AB21" s="16"/>
      <c r="AC21" s="7">
        <f>IF((IF(OR(COUNT(X21,X24)&lt;&gt;2,X24=0),"n.d.",X21/X24))="n.d.",0,IF(OR(COUNT(X21,X24)&lt;&gt;2,X24=0),"n.d.",X21/X24))</f>
        <v>0.0</v>
      </c>
      <c r="AD21" s="7"/>
      <c r="AE21" s="7">
        <f>IF((IF(OR(COUNT(Z21,Z24)&lt;&gt;2,Z24=0),"n.d.",Z21/Z24))="n.d.",0,IF(OR(COUNT(Z21,Z24)&lt;&gt;2,Z24=0),"n.d.",Z21/Z24))</f>
        <v>0.0</v>
      </c>
      <c r="AF21" s="7"/>
    </row>
    <row r="22" spans="1:32" ht="13.5" customHeight="1">
      <c r="A22" s="12"/>
      <c r="R22" s="4"/>
      <c r="S22" s="4"/>
      <c r="T22" s="4"/>
      <c r="U22" s="15" t="s">
        <v>53</v>
      </c>
      <c r="V22" s="15"/>
      <c r="W22" s="15"/>
      <c r="X22" s="16">
        <f>IF((IF(OR(SUMPRODUCT(--('Repartition stock'!$A$6:$A$423="2026Q3"),--('Repartition stock'!$B$6:$B$423="DK"),--('Repartition stock'!$E$6:$E$423="Millésime"),--('Repartition stock'!$F$6:$F$423="2025"))=0,SUMPRODUCT(--('Repartition stock'!$A$6:$A$423="2026Q3"),--('Repartition stock'!$B$6:$B$423="DK"),--('Repartition stock'!$E$6:$E$423="Millésime"),--('Repartition stock'!$F$6:$F$423="2025"),--('Repartition stock'!$G$6:$G$423="n.d."))&gt;0),"n.d.",SUMPRODUCT(--('Repartition stock'!$A$6:$A$423="2026Q3"),--('Repartition stock'!$B$6:$B$423="DK"),--('Repartition stock'!$E$6:$E$423="Millésime"),--('Repartition stock'!$F$6:$F$423="2025"),'Repartition stock'!$G$6:$G$423)))="n.d.",0,IF(OR(SUMPRODUCT(--('Repartition stock'!$A$6:$A$423="2026Q3"),--('Repartition stock'!$B$6:$B$423="DK"),--('Repartition stock'!$E$6:$E$423="Millésime"),--('Repartition stock'!$F$6:$F$423="2025"))=0,SUMPRODUCT(--('Repartition stock'!$A$6:$A$423="2026Q3"),--('Repartition stock'!$B$6:$B$423="DK"),--('Repartition stock'!$E$6:$E$423="Millésime"),--('Repartition stock'!$F$6:$F$423="2025"),--('Repartition stock'!$G$6:$G$423="n.d."))&gt;0),"n.d.",SUMPRODUCT(--('Repartition stock'!$A$6:$A$423="2026Q3"),--('Repartition stock'!$B$6:$B$423="DK"),--('Repartition stock'!$E$6:$E$423="Millésime"),--('Repartition stock'!$F$6:$F$423="2025"),'Repartition stock'!$G$6:$G$423)))</f>
        <v>0</v>
      </c>
      <c r="Y22" s="16"/>
      <c r="Z22" s="16">
        <f>IF((IF(OR(SUMPRODUCT(--('Repartition stock'!$A$6:$A$423="2026Q3"),--('Repartition stock'!$B$6:$B$423="DK"),--('Repartition stock'!$E$6:$E$423="Millésime"),--('Repartition stock'!$F$6:$F$423="2025"))=0,SUMPRODUCT(--('Repartition stock'!$A$6:$A$423="2026Q3"),--('Repartition stock'!$B$6:$B$423="DK"),--('Repartition stock'!$E$6:$E$423="Millésime"),--('Repartition stock'!$F$6:$F$423="2025"),--('Repartition stock'!$H$6:$H$423="n.d."))&gt;0),"n.d.",SUMPRODUCT(--('Repartition stock'!$A$6:$A$423="2026Q3"),--('Repartition stock'!$B$6:$B$423="DK"),--('Repartition stock'!$E$6:$E$423="Millésime"),--('Repartition stock'!$F$6:$F$423="2025"),'Repartition stock'!$H$6:$H$423)))="n.d.",0,IF(OR(SUMPRODUCT(--('Repartition stock'!$A$6:$A$423="2026Q3"),--('Repartition stock'!$B$6:$B$423="DK"),--('Repartition stock'!$E$6:$E$423="Millésime"),--('Repartition stock'!$F$6:$F$423="2025"))=0,SUMPRODUCT(--('Repartition stock'!$A$6:$A$423="2026Q3"),--('Repartition stock'!$B$6:$B$423="DK"),--('Repartition stock'!$E$6:$E$423="Millésime"),--('Repartition stock'!$F$6:$F$423="2025"),--('Repartition stock'!$H$6:$H$423="n.d."))&gt;0),"n.d.",SUMPRODUCT(--('Repartition stock'!$A$6:$A$423="2026Q3"),--('Repartition stock'!$B$6:$B$423="DK"),--('Repartition stock'!$E$6:$E$423="Millésime"),--('Repartition stock'!$F$6:$F$423="2025"),'Repartition stock'!$H$6:$H$423)))</f>
        <v>0</v>
      </c>
      <c r="AA22" s="16"/>
      <c r="AB22" s="16"/>
      <c r="AC22" s="7">
        <f>IF((IF(OR(COUNT(X22,X24)&lt;&gt;2,X24=0),"n.d.",X22/X24))="n.d.",0,IF(OR(COUNT(X22,X24)&lt;&gt;2,X24=0),"n.d.",X22/X24))</f>
        <v>0.0</v>
      </c>
      <c r="AD22" s="7"/>
      <c r="AE22" s="7">
        <f>IF((IF(OR(COUNT(Z22,Z24)&lt;&gt;2,Z24=0),"n.d.",Z22/Z24))="n.d.",0,IF(OR(COUNT(Z22,Z24)&lt;&gt;2,Z24=0),"n.d.",Z22/Z24))</f>
        <v>0.0</v>
      </c>
      <c r="AF22" s="7"/>
    </row>
    <row r="23" spans="1:32" ht="13.5" customHeight="1">
      <c r="A23" s="12"/>
      <c r="R23" s="4"/>
      <c r="S23" s="4"/>
      <c r="T23" s="4"/>
      <c r="U23" s="15" t="s">
        <v>55</v>
      </c>
      <c r="V23" s="15"/>
      <c r="W23" s="15"/>
      <c r="X23" s="16">
        <f>IF((IF(OR(SUMPRODUCT(--('Repartition stock'!$A$6:$A$423="2026Q3"),--('Repartition stock'!$B$6:$B$423="DK"),--('Repartition stock'!$E$6:$E$423="Millésime"),--('Repartition stock'!$F$6:$F$423="2026"))=0,SUMPRODUCT(--('Repartition stock'!$A$6:$A$423="2026Q3"),--('Repartition stock'!$B$6:$B$423="DK"),--('Repartition stock'!$E$6:$E$423="Millésime"),--('Repartition stock'!$F$6:$F$423="2026"),--('Repartition stock'!$G$6:$G$423="n.d."))&gt;0),"n.d.",SUMPRODUCT(--('Repartition stock'!$A$6:$A$423="2026Q3"),--('Repartition stock'!$B$6:$B$423="DK"),--('Repartition stock'!$E$6:$E$423="Millésime"),--('Repartition stock'!$F$6:$F$423="2026"),'Repartition stock'!$G$6:$G$423)))="n.d.",0,IF(OR(SUMPRODUCT(--('Repartition stock'!$A$6:$A$423="2026Q3"),--('Repartition stock'!$B$6:$B$423="DK"),--('Repartition stock'!$E$6:$E$423="Millésime"),--('Repartition stock'!$F$6:$F$423="2026"))=0,SUMPRODUCT(--('Repartition stock'!$A$6:$A$423="2026Q3"),--('Repartition stock'!$B$6:$B$423="DK"),--('Repartition stock'!$E$6:$E$423="Millésime"),--('Repartition stock'!$F$6:$F$423="2026"),--('Repartition stock'!$G$6:$G$423="n.d."))&gt;0),"n.d.",SUMPRODUCT(--('Repartition stock'!$A$6:$A$423="2026Q3"),--('Repartition stock'!$B$6:$B$423="DK"),--('Repartition stock'!$E$6:$E$423="Millésime"),--('Repartition stock'!$F$6:$F$423="2026"),'Repartition stock'!$G$6:$G$423)))</f>
        <v>128</v>
      </c>
      <c r="Y23" s="16"/>
      <c r="Z23" s="16">
        <f>IF((IF(OR(SUMPRODUCT(--('Repartition stock'!$A$6:$A$423="2026Q3"),--('Repartition stock'!$B$6:$B$423="DK"),--('Repartition stock'!$E$6:$E$423="Millésime"),--('Repartition stock'!$F$6:$F$423="2026"))=0,SUMPRODUCT(--('Repartition stock'!$A$6:$A$423="2026Q3"),--('Repartition stock'!$B$6:$B$423="DK"),--('Repartition stock'!$E$6:$E$423="Millésime"),--('Repartition stock'!$F$6:$F$423="2026"),--('Repartition stock'!$H$6:$H$423="n.d."))&gt;0),"n.d.",SUMPRODUCT(--('Repartition stock'!$A$6:$A$423="2026Q3"),--('Repartition stock'!$B$6:$B$423="DK"),--('Repartition stock'!$E$6:$E$423="Millésime"),--('Repartition stock'!$F$6:$F$423="2026"),'Repartition stock'!$H$6:$H$423)))="n.d.",0,IF(OR(SUMPRODUCT(--('Repartition stock'!$A$6:$A$423="2026Q3"),--('Repartition stock'!$B$6:$B$423="DK"),--('Repartition stock'!$E$6:$E$423="Millésime"),--('Repartition stock'!$F$6:$F$423="2026"))=0,SUMPRODUCT(--('Repartition stock'!$A$6:$A$423="2026Q3"),--('Repartition stock'!$B$6:$B$423="DK"),--('Repartition stock'!$E$6:$E$423="Millésime"),--('Repartition stock'!$F$6:$F$423="2026"),--('Repartition stock'!$H$6:$H$423="n.d."))&gt;0),"n.d.",SUMPRODUCT(--('Repartition stock'!$A$6:$A$423="2026Q3"),--('Repartition stock'!$B$6:$B$423="DK"),--('Repartition stock'!$E$6:$E$423="Millésime"),--('Repartition stock'!$F$6:$F$423="2026"),'Repartition stock'!$H$6:$H$423)))</f>
        <v>16166.709999999995</v>
      </c>
      <c r="AA23" s="16"/>
      <c r="AB23" s="16"/>
      <c r="AC23" s="7">
        <f>IF((IF(OR(COUNT(X23,X24)&lt;&gt;2,X24=0),"n.d.",X23/X24))="n.d.",0,IF(OR(COUNT(X23,X24)&lt;&gt;2,X24=0),"n.d.",X23/X24))</f>
        <v>1.0</v>
      </c>
      <c r="AD23" s="7"/>
      <c r="AE23" s="7">
        <f>IF((IF(OR(COUNT(Z23,Z24)&lt;&gt;2,Z24=0),"n.d.",Z23/Z24))="n.d.",0,IF(OR(COUNT(Z23,Z24)&lt;&gt;2,Z24=0),"n.d.",Z23/Z24))</f>
        <v>1.0</v>
      </c>
      <c r="AF23" s="7"/>
    </row>
    <row r="24" spans="1:32" ht="13.5" customHeight="1">
      <c r="A24" s="12"/>
      <c r="R24" s="17" t="s">
        <v>3150</v>
      </c>
      <c r="S24" s="17"/>
      <c r="T24" s="17"/>
      <c r="U24" s="17"/>
      <c r="V24" s="17"/>
      <c r="W24" s="17"/>
      <c r="X24" s="17">
        <f>IF((IF(COUNT(X14:X23)=10,SUM(X14:X23),"n.d."))="n.d.",0,IF(COUNT(X14:X23)=10,SUM(X14:X23),"n.d."))</f>
        <v>128</v>
      </c>
      <c r="Y24" s="17"/>
      <c r="Z24" s="17">
        <f>IF((IF(COUNT(Z14:Z23)=10,SUM(Z14:Z23),"n.d."))="n.d.",0,IF(COUNT(Z14:Z23)=10,SUM(Z14:Z23),"n.d."))</f>
        <v>16166.709999999995</v>
      </c>
      <c r="AA24" s="17"/>
      <c r="AB24" s="17"/>
      <c r="AC24" s="9">
        <f>IF((IF(OR(NOT(ISNUMBER(X24)),X24=0),"n.d.",1))="n.d.",0,IF(OR(NOT(ISNUMBER(X24)),X24=0),"n.d.",1))</f>
        <v>1.0</v>
      </c>
      <c r="AD24" s="9"/>
      <c r="AE24" s="9">
        <f>IF((IF(OR(NOT(ISNUMBER(Z24)),Z24=0),"n.d.",1))="n.d.",0,IF(OR(NOT(ISNUMBER(Z24)),Z24=0),"n.d.",1))</f>
        <v>1.0</v>
      </c>
      <c r="AF24" s="9"/>
    </row>
    <row r="25" spans="1:32" ht="13.5" customHeight="1">
      <c r="A25" s="12"/>
    </row>
    <row r="26" spans="1:32" ht="13.5" customHeight="1">
      <c r="A26" s="12"/>
    </row>
    <row r="27" spans="1:32" ht="13.5" customHeight="1">
      <c r="A27" s="12"/>
    </row>
    <row r="28" spans="1:32" ht="13.5" customHeight="1">
      <c r="A28" s="12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"&amp;IF(ISNUMBER('GraphData'!A273),TEXT('GraphData'!A273,"#,##0"),"0")&amp;" DKK. Average balance per contract: "&amp;IF(ISNUMBER('GraphData'!B273),TEXT('GraphData'!B273,"#,##0"),"0")&amp;" DKK."</f>
        <v>Average monthly new flow: 96,827 DKK. Average balance per contract: 214 DKK.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"&amp;IF(ISNUMBER('GraphData'!C273),TEXT('GraphData'!C273,"0.0%"),"0")&amp;" treated in amount and "&amp;IF(ISNUMBER('GraphData'!D273),TEXT('GraphData'!D273,"0.0%"),"0")&amp;" in number."</f>
        <v>Oldest cohort (M-5): 100.0% treated in amount and 100.0%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"&amp;IF(ISNUMBER('GraphData'!E273),TEXT('GraphData'!E273,"#,##0"),"0")&amp;" DKK. Identified stock: "&amp;IF(ISNUMBER('GraphData'!F273),TEXT('GraphData'!F273,"#,##0"),"0")&amp;" DKK."</f>
        <v>Stock to process: 16,167 DKK. Identified stock: 16,167 DKK.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3214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3079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100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3216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3160</v>
      </c>
      <c r="S2" s="4"/>
      <c r="T2" s="4"/>
      <c r="U2" s="4"/>
      <c r="V2" s="4"/>
      <c r="W2" s="4"/>
      <c r="X2" s="14">
        <v>46295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3146</v>
      </c>
      <c r="Y3" s="4"/>
      <c r="Z3" s="4" t="s">
        <v>3218</v>
      </c>
      <c r="AA3" s="4"/>
      <c r="AB3" s="4"/>
      <c r="AC3" s="4" t="s">
        <v>3148</v>
      </c>
      <c r="AD3" s="4"/>
      <c r="AE3" s="4" t="s">
        <v>3149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1" t="s">
        <v>3220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2"/>
      <c r="R7" s="4" t="s">
        <v>1284</v>
      </c>
      <c r="S7" s="4"/>
      <c r="T7" s="4"/>
      <c r="U7" s="15" t="s">
        <v>701</v>
      </c>
      <c r="V7" s="15"/>
      <c r="W7" s="15"/>
      <c r="X7" s="16">
        <f>IF((IF(OR(SUMPRODUCT(--('Repartition stock'!$A$6:$A$423="2026Q3"),--('Repartition stock'!$B$6:$B$423="NO"),--('Repartition stock'!$E$6:$E$423="Tranche"),--('Repartition stock'!$F$6:$F$423="0 - 10,9 Kr"))=0,SUMPRODUCT(--('Repartition stock'!$A$6:$A$423="2026Q3"),--('Repartition stock'!$B$6:$B$423="NO"),--('Repartition stock'!$E$6:$E$423="Tranche"),--('Repartition stock'!$F$6:$F$423="0 - 10,9 Kr"),--('Repartition stock'!$G$6:$G$423="n.d."))&gt;0),"n.d.",SUMPRODUCT(--('Repartition stock'!$A$6:$A$423="2026Q3"),--('Repartition stock'!$B$6:$B$423="NO"),--('Repartition stock'!$E$6:$E$423="Tranche"),--('Repartition stock'!$F$6:$F$423="0 - 10,9 Kr"),'Repartition stock'!$G$6:$G$423)))="n.d.",0,IF(OR(SUMPRODUCT(--('Repartition stock'!$A$6:$A$423="2026Q3"),--('Repartition stock'!$B$6:$B$423="NO"),--('Repartition stock'!$E$6:$E$423="Tranche"),--('Repartition stock'!$F$6:$F$423="0 - 10,9 Kr"))=0,SUMPRODUCT(--('Repartition stock'!$A$6:$A$423="2026Q3"),--('Repartition stock'!$B$6:$B$423="NO"),--('Repartition stock'!$E$6:$E$423="Tranche"),--('Repartition stock'!$F$6:$F$423="0 - 10,9 Kr"),--('Repartition stock'!$G$6:$G$423="n.d."))&gt;0),"n.d.",SUMPRODUCT(--('Repartition stock'!$A$6:$A$423="2026Q3"),--('Repartition stock'!$B$6:$B$423="NO"),--('Repartition stock'!$E$6:$E$423="Tranche"),--('Repartition stock'!$F$6:$F$423="0 - 10,9 Kr"),'Repartition stock'!$G$6:$G$423)))</f>
        <v>61</v>
      </c>
      <c r="Y7" s="16"/>
      <c r="Z7" s="16">
        <f>IF((IF(OR(SUMPRODUCT(--('Repartition stock'!$A$6:$A$423="2026Q3"),--('Repartition stock'!$B$6:$B$423="NO"),--('Repartition stock'!$E$6:$E$423="Tranche"),--('Repartition stock'!$F$6:$F$423="0 - 10,9 Kr"))=0,SUMPRODUCT(--('Repartition stock'!$A$6:$A$423="2026Q3"),--('Repartition stock'!$B$6:$B$423="NO"),--('Repartition stock'!$E$6:$E$423="Tranche"),--('Repartition stock'!$F$6:$F$423="0 - 10,9 Kr"),--('Repartition stock'!$H$6:$H$423="n.d."))&gt;0),"n.d.",SUMPRODUCT(--('Repartition stock'!$A$6:$A$423="2026Q3"),--('Repartition stock'!$B$6:$B$423="NO"),--('Repartition stock'!$E$6:$E$423="Tranche"),--('Repartition stock'!$F$6:$F$423="0 - 10,9 Kr"),'Repartition stock'!$H$6:$H$423)))="n.d.",0,IF(OR(SUMPRODUCT(--('Repartition stock'!$A$6:$A$423="2026Q3"),--('Repartition stock'!$B$6:$B$423="NO"),--('Repartition stock'!$E$6:$E$423="Tranche"),--('Repartition stock'!$F$6:$F$423="0 - 10,9 Kr"))=0,SUMPRODUCT(--('Repartition stock'!$A$6:$A$423="2026Q3"),--('Repartition stock'!$B$6:$B$423="NO"),--('Repartition stock'!$E$6:$E$423="Tranche"),--('Repartition stock'!$F$6:$F$423="0 - 10,9 Kr"),--('Repartition stock'!$H$6:$H$423="n.d."))&gt;0),"n.d.",SUMPRODUCT(--('Repartition stock'!$A$6:$A$423="2026Q3"),--('Repartition stock'!$B$6:$B$423="NO"),--('Repartition stock'!$E$6:$E$423="Tranche"),--('Repartition stock'!$F$6:$F$423="0 - 10,9 Kr"),'Repartition stock'!$H$6:$H$423)))</f>
        <v>276.72000000000014</v>
      </c>
      <c r="AA7" s="16"/>
      <c r="AB7" s="16"/>
      <c r="AC7" s="7">
        <f>IF((IF(OR(COUNT(X7,X12)&lt;&gt;2,X12=0),"n.d.",X7/X12))="n.d.",0,IF(OR(COUNT(X7,X12)&lt;&gt;2,X12=0),"n.d.",X7/X12))</f>
        <v>0.5258620689655172</v>
      </c>
      <c r="AD7" s="7"/>
      <c r="AE7" s="7">
        <f>IF((IF(OR(COUNT(Z7,Z12)&lt;&gt;2,Z12=0),"n.d.",Z7/Z12))="n.d.",0,IF(OR(COUNT(Z7,Z12)&lt;&gt;2,Z12=0),"n.d.",Z7/Z12))</f>
        <v>0.01253028764146497</v>
      </c>
      <c r="AF7" s="7"/>
    </row>
    <row r="8" spans="1:32" ht="13.5" customHeight="1">
      <c r="A8" s="12"/>
      <c r="R8" s="4"/>
      <c r="S8" s="4"/>
      <c r="T8" s="4"/>
      <c r="U8" s="15" t="s">
        <v>703</v>
      </c>
      <c r="V8" s="15"/>
      <c r="W8" s="15"/>
      <c r="X8" s="16">
        <f>IF((IF(OR(SUMPRODUCT(--('Repartition stock'!$A$6:$A$423="2026Q3"),--('Repartition stock'!$B$6:$B$423="NO"),--('Repartition stock'!$E$6:$E$423="Tranche"),--('Repartition stock'!$F$6:$F$423="10,9 - 109 Kr"))=0,SUMPRODUCT(--('Repartition stock'!$A$6:$A$423="2026Q3"),--('Repartition stock'!$B$6:$B$423="NO"),--('Repartition stock'!$E$6:$E$423="Tranche"),--('Repartition stock'!$F$6:$F$423="10,9 - 109 Kr"),--('Repartition stock'!$G$6:$G$423="n.d."))&gt;0),"n.d.",SUMPRODUCT(--('Repartition stock'!$A$6:$A$423="2026Q3"),--('Repartition stock'!$B$6:$B$423="NO"),--('Repartition stock'!$E$6:$E$423="Tranche"),--('Repartition stock'!$F$6:$F$423="10,9 - 109 Kr"),'Repartition stock'!$G$6:$G$423)))="n.d.",0,IF(OR(SUMPRODUCT(--('Repartition stock'!$A$6:$A$423="2026Q3"),--('Repartition stock'!$B$6:$B$423="NO"),--('Repartition stock'!$E$6:$E$423="Tranche"),--('Repartition stock'!$F$6:$F$423="10,9 - 109 Kr"))=0,SUMPRODUCT(--('Repartition stock'!$A$6:$A$423="2026Q3"),--('Repartition stock'!$B$6:$B$423="NO"),--('Repartition stock'!$E$6:$E$423="Tranche"),--('Repartition stock'!$F$6:$F$423="10,9 - 109 Kr"),--('Repartition stock'!$G$6:$G$423="n.d."))&gt;0),"n.d.",SUMPRODUCT(--('Repartition stock'!$A$6:$A$423="2026Q3"),--('Repartition stock'!$B$6:$B$423="NO"),--('Repartition stock'!$E$6:$E$423="Tranche"),--('Repartition stock'!$F$6:$F$423="10,9 - 109 Kr"),'Repartition stock'!$G$6:$G$423)))</f>
        <v>33</v>
      </c>
      <c r="Y8" s="16"/>
      <c r="Z8" s="16">
        <f>IF((IF(OR(SUMPRODUCT(--('Repartition stock'!$A$6:$A$423="2026Q3"),--('Repartition stock'!$B$6:$B$423="NO"),--('Repartition stock'!$E$6:$E$423="Tranche"),--('Repartition stock'!$F$6:$F$423="10,9 - 109 Kr"))=0,SUMPRODUCT(--('Repartition stock'!$A$6:$A$423="2026Q3"),--('Repartition stock'!$B$6:$B$423="NO"),--('Repartition stock'!$E$6:$E$423="Tranche"),--('Repartition stock'!$F$6:$F$423="10,9 - 109 Kr"),--('Repartition stock'!$H$6:$H$423="n.d."))&gt;0),"n.d.",SUMPRODUCT(--('Repartition stock'!$A$6:$A$423="2026Q3"),--('Repartition stock'!$B$6:$B$423="NO"),--('Repartition stock'!$E$6:$E$423="Tranche"),--('Repartition stock'!$F$6:$F$423="10,9 - 109 Kr"),'Repartition stock'!$H$6:$H$423)))="n.d.",0,IF(OR(SUMPRODUCT(--('Repartition stock'!$A$6:$A$423="2026Q3"),--('Repartition stock'!$B$6:$B$423="NO"),--('Repartition stock'!$E$6:$E$423="Tranche"),--('Repartition stock'!$F$6:$F$423="10,9 - 109 Kr"))=0,SUMPRODUCT(--('Repartition stock'!$A$6:$A$423="2026Q3"),--('Repartition stock'!$B$6:$B$423="NO"),--('Repartition stock'!$E$6:$E$423="Tranche"),--('Repartition stock'!$F$6:$F$423="10,9 - 109 Kr"),--('Repartition stock'!$H$6:$H$423="n.d."))&gt;0),"n.d.",SUMPRODUCT(--('Repartition stock'!$A$6:$A$423="2026Q3"),--('Repartition stock'!$B$6:$B$423="NO"),--('Repartition stock'!$E$6:$E$423="Tranche"),--('Repartition stock'!$F$6:$F$423="10,9 - 109 Kr"),'Repartition stock'!$H$6:$H$423)))</f>
        <v>1069.5200000000002</v>
      </c>
      <c r="AA8" s="16"/>
      <c r="AB8" s="16"/>
      <c r="AC8" s="7">
        <f>IF((IF(OR(COUNT(X8,X12)&lt;&gt;2,X12=0),"n.d.",X8/X12))="n.d.",0,IF(OR(COUNT(X8,X12)&lt;&gt;2,X12=0),"n.d.",X8/X12))</f>
        <v>0.28448275862068967</v>
      </c>
      <c r="AD8" s="7"/>
      <c r="AE8" s="7">
        <f>IF((IF(OR(COUNT(Z8,Z12)&lt;&gt;2,Z12=0),"n.d.",Z8/Z12))="n.d.",0,IF(OR(COUNT(Z8,Z12)&lt;&gt;2,Z12=0),"n.d.",Z8/Z12))</f>
        <v>0.04842943494615355</v>
      </c>
      <c r="AF8" s="7"/>
    </row>
    <row r="9" spans="1:32" ht="13.5" customHeight="1">
      <c r="A9" s="12"/>
      <c r="R9" s="4"/>
      <c r="S9" s="4"/>
      <c r="T9" s="4"/>
      <c r="U9" s="15" t="s">
        <v>705</v>
      </c>
      <c r="V9" s="15"/>
      <c r="W9" s="15"/>
      <c r="X9" s="16">
        <f>IF((IF(OR(SUMPRODUCT(--('Repartition stock'!$A$6:$A$423="2026Q3"),--('Repartition stock'!$B$6:$B$423="NO"),--('Repartition stock'!$E$6:$E$423="Tranche"),--('Repartition stock'!$F$6:$F$423="109 - 1090 Kr"))=0,SUMPRODUCT(--('Repartition stock'!$A$6:$A$423="2026Q3"),--('Repartition stock'!$B$6:$B$423="NO"),--('Repartition stock'!$E$6:$E$423="Tranche"),--('Repartition stock'!$F$6:$F$423="109 - 1090 Kr"),--('Repartition stock'!$G$6:$G$423="n.d."))&gt;0),"n.d.",SUMPRODUCT(--('Repartition stock'!$A$6:$A$423="2026Q3"),--('Repartition stock'!$B$6:$B$423="NO"),--('Repartition stock'!$E$6:$E$423="Tranche"),--('Repartition stock'!$F$6:$F$423="109 - 1090 Kr"),'Repartition stock'!$G$6:$G$423)))="n.d.",0,IF(OR(SUMPRODUCT(--('Repartition stock'!$A$6:$A$423="2026Q3"),--('Repartition stock'!$B$6:$B$423="NO"),--('Repartition stock'!$E$6:$E$423="Tranche"),--('Repartition stock'!$F$6:$F$423="109 - 1090 Kr"))=0,SUMPRODUCT(--('Repartition stock'!$A$6:$A$423="2026Q3"),--('Repartition stock'!$B$6:$B$423="NO"),--('Repartition stock'!$E$6:$E$423="Tranche"),--('Repartition stock'!$F$6:$F$423="109 - 1090 Kr"),--('Repartition stock'!$G$6:$G$423="n.d."))&gt;0),"n.d.",SUMPRODUCT(--('Repartition stock'!$A$6:$A$423="2026Q3"),--('Repartition stock'!$B$6:$B$423="NO"),--('Repartition stock'!$E$6:$E$423="Tranche"),--('Repartition stock'!$F$6:$F$423="109 - 1090 Kr"),'Repartition stock'!$G$6:$G$423)))</f>
        <v>16</v>
      </c>
      <c r="Y9" s="16"/>
      <c r="Z9" s="16">
        <f>IF((IF(OR(SUMPRODUCT(--('Repartition stock'!$A$6:$A$423="2026Q3"),--('Repartition stock'!$B$6:$B$423="NO"),--('Repartition stock'!$E$6:$E$423="Tranche"),--('Repartition stock'!$F$6:$F$423="109 - 1090 Kr"))=0,SUMPRODUCT(--('Repartition stock'!$A$6:$A$423="2026Q3"),--('Repartition stock'!$B$6:$B$423="NO"),--('Repartition stock'!$E$6:$E$423="Tranche"),--('Repartition stock'!$F$6:$F$423="109 - 1090 Kr"),--('Repartition stock'!$H$6:$H$423="n.d."))&gt;0),"n.d.",SUMPRODUCT(--('Repartition stock'!$A$6:$A$423="2026Q3"),--('Repartition stock'!$B$6:$B$423="NO"),--('Repartition stock'!$E$6:$E$423="Tranche"),--('Repartition stock'!$F$6:$F$423="109 - 1090 Kr"),'Repartition stock'!$H$6:$H$423)))="n.d.",0,IF(OR(SUMPRODUCT(--('Repartition stock'!$A$6:$A$423="2026Q3"),--('Repartition stock'!$B$6:$B$423="NO"),--('Repartition stock'!$E$6:$E$423="Tranche"),--('Repartition stock'!$F$6:$F$423="109 - 1090 Kr"))=0,SUMPRODUCT(--('Repartition stock'!$A$6:$A$423="2026Q3"),--('Repartition stock'!$B$6:$B$423="NO"),--('Repartition stock'!$E$6:$E$423="Tranche"),--('Repartition stock'!$F$6:$F$423="109 - 1090 Kr"),--('Repartition stock'!$H$6:$H$423="n.d."))&gt;0),"n.d.",SUMPRODUCT(--('Repartition stock'!$A$6:$A$423="2026Q3"),--('Repartition stock'!$B$6:$B$423="NO"),--('Repartition stock'!$E$6:$E$423="Tranche"),--('Repartition stock'!$F$6:$F$423="109 - 1090 Kr"),'Repartition stock'!$H$6:$H$423)))</f>
        <v>6367.8099999999995</v>
      </c>
      <c r="AA9" s="16"/>
      <c r="AB9" s="16"/>
      <c r="AC9" s="7">
        <f>IF((IF(OR(COUNT(X9,X12)&lt;&gt;2,X12=0),"n.d.",X9/X12))="n.d.",0,IF(OR(COUNT(X9,X12)&lt;&gt;2,X12=0),"n.d.",X9/X12))</f>
        <v>0.13793103448275862</v>
      </c>
      <c r="AD9" s="7"/>
      <c r="AE9" s="7">
        <f>IF((IF(OR(COUNT(Z9,Z12)&lt;&gt;2,Z12=0),"n.d.",Z9/Z12))="n.d.",0,IF(OR(COUNT(Z9,Z12)&lt;&gt;2,Z12=0),"n.d.",Z9/Z12))</f>
        <v>0.28834378052253906</v>
      </c>
      <c r="AF9" s="7"/>
    </row>
    <row r="10" spans="1:32" ht="13.5" customHeight="1">
      <c r="A10" s="12"/>
      <c r="R10" s="4"/>
      <c r="S10" s="4"/>
      <c r="T10" s="4"/>
      <c r="U10" s="15" t="s">
        <v>707</v>
      </c>
      <c r="V10" s="15"/>
      <c r="W10" s="15"/>
      <c r="X10" s="16">
        <f>IF((IF(OR(SUMPRODUCT(--('Repartition stock'!$A$6:$A$423="2026Q3"),--('Repartition stock'!$B$6:$B$423="NO"),--('Repartition stock'!$E$6:$E$423="Tranche"),--('Repartition stock'!$F$6:$F$423="1090 - 10902 Kr"))=0,SUMPRODUCT(--('Repartition stock'!$A$6:$A$423="2026Q3"),--('Repartition stock'!$B$6:$B$423="NO"),--('Repartition stock'!$E$6:$E$423="Tranche"),--('Repartition stock'!$F$6:$F$423="1090 - 10902 Kr"),--('Repartition stock'!$G$6:$G$423="n.d."))&gt;0),"n.d.",SUMPRODUCT(--('Repartition stock'!$A$6:$A$423="2026Q3"),--('Repartition stock'!$B$6:$B$423="NO"),--('Repartition stock'!$E$6:$E$423="Tranche"),--('Repartition stock'!$F$6:$F$423="1090 - 10902 Kr"),'Repartition stock'!$G$6:$G$423)))="n.d.",0,IF(OR(SUMPRODUCT(--('Repartition stock'!$A$6:$A$423="2026Q3"),--('Repartition stock'!$B$6:$B$423="NO"),--('Repartition stock'!$E$6:$E$423="Tranche"),--('Repartition stock'!$F$6:$F$423="1090 - 10902 Kr"))=0,SUMPRODUCT(--('Repartition stock'!$A$6:$A$423="2026Q3"),--('Repartition stock'!$B$6:$B$423="NO"),--('Repartition stock'!$E$6:$E$423="Tranche"),--('Repartition stock'!$F$6:$F$423="1090 - 10902 Kr"),--('Repartition stock'!$G$6:$G$423="n.d."))&gt;0),"n.d.",SUMPRODUCT(--('Repartition stock'!$A$6:$A$423="2026Q3"),--('Repartition stock'!$B$6:$B$423="NO"),--('Repartition stock'!$E$6:$E$423="Tranche"),--('Repartition stock'!$F$6:$F$423="1090 - 10902 Kr"),'Repartition stock'!$G$6:$G$423)))</f>
        <v>6</v>
      </c>
      <c r="Y10" s="16"/>
      <c r="Z10" s="16">
        <f>IF((IF(OR(SUMPRODUCT(--('Repartition stock'!$A$6:$A$423="2026Q3"),--('Repartition stock'!$B$6:$B$423="NO"),--('Repartition stock'!$E$6:$E$423="Tranche"),--('Repartition stock'!$F$6:$F$423="1090 - 10902 Kr"))=0,SUMPRODUCT(--('Repartition stock'!$A$6:$A$423="2026Q3"),--('Repartition stock'!$B$6:$B$423="NO"),--('Repartition stock'!$E$6:$E$423="Tranche"),--('Repartition stock'!$F$6:$F$423="1090 - 10902 Kr"),--('Repartition stock'!$H$6:$H$423="n.d."))&gt;0),"n.d.",SUMPRODUCT(--('Repartition stock'!$A$6:$A$423="2026Q3"),--('Repartition stock'!$B$6:$B$423="NO"),--('Repartition stock'!$E$6:$E$423="Tranche"),--('Repartition stock'!$F$6:$F$423="1090 - 10902 Kr"),'Repartition stock'!$H$6:$H$423)))="n.d.",0,IF(OR(SUMPRODUCT(--('Repartition stock'!$A$6:$A$423="2026Q3"),--('Repartition stock'!$B$6:$B$423="NO"),--('Repartition stock'!$E$6:$E$423="Tranche"),--('Repartition stock'!$F$6:$F$423="1090 - 10902 Kr"))=0,SUMPRODUCT(--('Repartition stock'!$A$6:$A$423="2026Q3"),--('Repartition stock'!$B$6:$B$423="NO"),--('Repartition stock'!$E$6:$E$423="Tranche"),--('Repartition stock'!$F$6:$F$423="1090 - 10902 Kr"),--('Repartition stock'!$H$6:$H$423="n.d."))&gt;0),"n.d.",SUMPRODUCT(--('Repartition stock'!$A$6:$A$423="2026Q3"),--('Repartition stock'!$B$6:$B$423="NO"),--('Repartition stock'!$E$6:$E$423="Tranche"),--('Repartition stock'!$F$6:$F$423="1090 - 10902 Kr"),'Repartition stock'!$H$6:$H$423)))</f>
        <v>14370.04</v>
      </c>
      <c r="AA10" s="16"/>
      <c r="AB10" s="16"/>
      <c r="AC10" s="7">
        <f>IF((IF(OR(COUNT(X10,X12)&lt;&gt;2,X12=0),"n.d.",X10/X12))="n.d.",0,IF(OR(COUNT(X10,X12)&lt;&gt;2,X12=0),"n.d.",X10/X12))</f>
        <v>0.05172413793103448</v>
      </c>
      <c r="AD10" s="7"/>
      <c r="AE10" s="7">
        <f>IF((IF(OR(COUNT(Z10,Z12)&lt;&gt;2,Z12=0),"n.d.",Z10/Z12))="n.d.",0,IF(OR(COUNT(Z10,Z12)&lt;&gt;2,Z12=0),"n.d.",Z10/Z12))</f>
        <v>0.6506964968898424</v>
      </c>
      <c r="AF10" s="7"/>
    </row>
    <row r="11" spans="1:32" ht="13.5" customHeight="1">
      <c r="A11" s="12"/>
      <c r="R11" s="4"/>
      <c r="S11" s="4"/>
      <c r="T11" s="4"/>
      <c r="U11" s="15" t="s">
        <v>709</v>
      </c>
      <c r="V11" s="15"/>
      <c r="W11" s="15"/>
      <c r="X11" s="16">
        <f>IF((IF(OR(SUMPRODUCT(--('Repartition stock'!$A$6:$A$423="2026Q3"),--('Repartition stock'!$B$6:$B$423="NO"),--('Repartition stock'!$E$6:$E$423="Tranche"),--('Repartition stock'!$F$6:$F$423="&gt;10902 Kr"))=0,SUMPRODUCT(--('Repartition stock'!$A$6:$A$423="2026Q3"),--('Repartition stock'!$B$6:$B$423="NO"),--('Repartition stock'!$E$6:$E$423="Tranche"),--('Repartition stock'!$F$6:$F$423="&gt;10902 Kr"),--('Repartition stock'!$G$6:$G$423="n.d."))&gt;0),"n.d.",SUMPRODUCT(--('Repartition stock'!$A$6:$A$423="2026Q3"),--('Repartition stock'!$B$6:$B$423="NO"),--('Repartition stock'!$E$6:$E$423="Tranche"),--('Repartition stock'!$F$6:$F$423="&gt;10902 Kr"),'Repartition stock'!$G$6:$G$423)))="n.d.",0,IF(OR(SUMPRODUCT(--('Repartition stock'!$A$6:$A$423="2026Q3"),--('Repartition stock'!$B$6:$B$423="NO"),--('Repartition stock'!$E$6:$E$423="Tranche"),--('Repartition stock'!$F$6:$F$423="&gt;10902 Kr"))=0,SUMPRODUCT(--('Repartition stock'!$A$6:$A$423="2026Q3"),--('Repartition stock'!$B$6:$B$423="NO"),--('Repartition stock'!$E$6:$E$423="Tranche"),--('Repartition stock'!$F$6:$F$423="&gt;10902 Kr"),--('Repartition stock'!$G$6:$G$423="n.d."))&gt;0),"n.d.",SUMPRODUCT(--('Repartition stock'!$A$6:$A$423="2026Q3"),--('Repartition stock'!$B$6:$B$423="NO"),--('Repartition stock'!$E$6:$E$423="Tranche"),--('Repartition stock'!$F$6:$F$423="&gt;10902 Kr"),'Repartition stock'!$G$6:$G$423)))</f>
        <v>0</v>
      </c>
      <c r="Y11" s="16"/>
      <c r="Z11" s="16">
        <f>IF((IF(OR(SUMPRODUCT(--('Repartition stock'!$A$6:$A$423="2026Q3"),--('Repartition stock'!$B$6:$B$423="NO"),--('Repartition stock'!$E$6:$E$423="Tranche"),--('Repartition stock'!$F$6:$F$423="&gt;10902 Kr"))=0,SUMPRODUCT(--('Repartition stock'!$A$6:$A$423="2026Q3"),--('Repartition stock'!$B$6:$B$423="NO"),--('Repartition stock'!$E$6:$E$423="Tranche"),--('Repartition stock'!$F$6:$F$423="&gt;10902 Kr"),--('Repartition stock'!$H$6:$H$423="n.d."))&gt;0),"n.d.",SUMPRODUCT(--('Repartition stock'!$A$6:$A$423="2026Q3"),--('Repartition stock'!$B$6:$B$423="NO"),--('Repartition stock'!$E$6:$E$423="Tranche"),--('Repartition stock'!$F$6:$F$423="&gt;10902 Kr"),'Repartition stock'!$H$6:$H$423)))="n.d.",0,IF(OR(SUMPRODUCT(--('Repartition stock'!$A$6:$A$423="2026Q3"),--('Repartition stock'!$B$6:$B$423="NO"),--('Repartition stock'!$E$6:$E$423="Tranche"),--('Repartition stock'!$F$6:$F$423="&gt;10902 Kr"))=0,SUMPRODUCT(--('Repartition stock'!$A$6:$A$423="2026Q3"),--('Repartition stock'!$B$6:$B$423="NO"),--('Repartition stock'!$E$6:$E$423="Tranche"),--('Repartition stock'!$F$6:$F$423="&gt;10902 Kr"),--('Repartition stock'!$H$6:$H$423="n.d."))&gt;0),"n.d.",SUMPRODUCT(--('Repartition stock'!$A$6:$A$423="2026Q3"),--('Repartition stock'!$B$6:$B$423="NO"),--('Repartition stock'!$E$6:$E$423="Tranche"),--('Repartition stock'!$F$6:$F$423="&gt;10902 Kr"),'Repartition stock'!$H$6:$H$423)))</f>
        <v>0</v>
      </c>
      <c r="AA11" s="16"/>
      <c r="AB11" s="16"/>
      <c r="AC11" s="7">
        <f>IF((IF(OR(COUNT(X11,X12)&lt;&gt;2,X12=0),"n.d.",X11/X12))="n.d.",0,IF(OR(COUNT(X11,X12)&lt;&gt;2,X12=0),"n.d.",X11/X12))</f>
        <v>0.0</v>
      </c>
      <c r="AD11" s="7"/>
      <c r="AE11" s="7">
        <f>IF((IF(OR(COUNT(Z11,Z12)&lt;&gt;2,Z12=0),"n.d.",Z11/Z12))="n.d.",0,IF(OR(COUNT(Z11,Z12)&lt;&gt;2,Z12=0),"n.d.",Z11/Z12))</f>
        <v>0.0</v>
      </c>
      <c r="AF11" s="7"/>
    </row>
    <row r="12" spans="1:32" ht="13.5" customHeight="1">
      <c r="A12" s="12"/>
      <c r="R12" s="17" t="s">
        <v>3150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116</v>
      </c>
      <c r="Y12" s="17"/>
      <c r="Z12" s="17">
        <f>IF((IF(COUNT(Z7:Z11)=5,SUM(Z7:Z11),"n.d."))="n.d.",0,IF(COUNT(Z7:Z11)=5,SUM(Z7:Z11),"n.d."))</f>
        <v>22084.09</v>
      </c>
      <c r="AA12" s="17"/>
      <c r="AB12" s="17"/>
      <c r="AC12" s="9">
        <f>IF((IF(OR(NOT(ISNUMBER(X12)),X12=0),"n.d.",1))="n.d.",0,IF(OR(NOT(ISNUMBER(X12)),X12=0),"n.d.",1))</f>
        <v>1.0</v>
      </c>
      <c r="AD12" s="9"/>
      <c r="AE12" s="9">
        <f>IF((IF(OR(NOT(ISNUMBER(Z12)),Z12=0),"n.d.",1))="n.d.",0,IF(OR(NOT(ISNUMBER(Z12)),Z12=0),"n.d.",1))</f>
        <v>1.0</v>
      </c>
      <c r="AF12" s="9"/>
    </row>
    <row r="13" spans="1:32" ht="13.5" customHeight="1">
      <c r="A13" s="12"/>
    </row>
    <row r="14" spans="1:32" ht="13.5" customHeight="1">
      <c r="A14" s="12"/>
      <c r="R14" s="4" t="s">
        <v>3151</v>
      </c>
      <c r="S14" s="4"/>
      <c r="T14" s="4"/>
      <c r="U14" s="15" t="s">
        <v>387</v>
      </c>
      <c r="V14" s="15"/>
      <c r="W14" s="15"/>
      <c r="X14" s="16">
        <f>IF((IF(OR(SUMPRODUCT(--('Repartition stock'!$A$6:$A$423="2026Q3"),--('Repartition stock'!$B$6:$B$423="NO"),--('Repartition stock'!$E$6:$E$423="Millésime"),--('Repartition stock'!$F$6:$F$423="&lt;2018"))=0,SUMPRODUCT(--('Repartition stock'!$A$6:$A$423="2026Q3"),--('Repartition stock'!$B$6:$B$423="NO"),--('Repartition stock'!$E$6:$E$423="Millésime"),--('Repartition stock'!$F$6:$F$423="&lt;2018"),--('Repartition stock'!$G$6:$G$423="n.d."))&gt;0),"n.d.",SUMPRODUCT(--('Repartition stock'!$A$6:$A$423="2026Q3"),--('Repartition stock'!$B$6:$B$423="NO"),--('Repartition stock'!$E$6:$E$423="Millésime"),--('Repartition stock'!$F$6:$F$423="&lt;2018"),'Repartition stock'!$G$6:$G$423)))="n.d.",0,IF(OR(SUMPRODUCT(--('Repartition stock'!$A$6:$A$423="2026Q3"),--('Repartition stock'!$B$6:$B$423="NO"),--('Repartition stock'!$E$6:$E$423="Millésime"),--('Repartition stock'!$F$6:$F$423="&lt;2018"))=0,SUMPRODUCT(--('Repartition stock'!$A$6:$A$423="2026Q3"),--('Repartition stock'!$B$6:$B$423="NO"),--('Repartition stock'!$E$6:$E$423="Millésime"),--('Repartition stock'!$F$6:$F$423="&lt;2018"),--('Repartition stock'!$G$6:$G$423="n.d."))&gt;0),"n.d.",SUMPRODUCT(--('Repartition stock'!$A$6:$A$423="2026Q3"),--('Repartition stock'!$B$6:$B$423="NO"),--('Repartition stock'!$E$6:$E$423="Millésime"),--('Repartition stock'!$F$6:$F$423="&lt;2018"),'Repartition stock'!$G$6:$G$423)))</f>
        <v>0</v>
      </c>
      <c r="Y14" s="16"/>
      <c r="Z14" s="16">
        <f>IF((IF(OR(SUMPRODUCT(--('Repartition stock'!$A$6:$A$423="2026Q3"),--('Repartition stock'!$B$6:$B$423="NO"),--('Repartition stock'!$E$6:$E$423="Millésime"),--('Repartition stock'!$F$6:$F$423="&lt;2018"))=0,SUMPRODUCT(--('Repartition stock'!$A$6:$A$423="2026Q3"),--('Repartition stock'!$B$6:$B$423="NO"),--('Repartition stock'!$E$6:$E$423="Millésime"),--('Repartition stock'!$F$6:$F$423="&lt;2018"),--('Repartition stock'!$H$6:$H$423="n.d."))&gt;0),"n.d.",SUMPRODUCT(--('Repartition stock'!$A$6:$A$423="2026Q3"),--('Repartition stock'!$B$6:$B$423="NO"),--('Repartition stock'!$E$6:$E$423="Millésime"),--('Repartition stock'!$F$6:$F$423="&lt;2018"),'Repartition stock'!$H$6:$H$423)))="n.d.",0,IF(OR(SUMPRODUCT(--('Repartition stock'!$A$6:$A$423="2026Q3"),--('Repartition stock'!$B$6:$B$423="NO"),--('Repartition stock'!$E$6:$E$423="Millésime"),--('Repartition stock'!$F$6:$F$423="&lt;2018"))=0,SUMPRODUCT(--('Repartition stock'!$A$6:$A$423="2026Q3"),--('Repartition stock'!$B$6:$B$423="NO"),--('Repartition stock'!$E$6:$E$423="Millésime"),--('Repartition stock'!$F$6:$F$423="&lt;2018"),--('Repartition stock'!$H$6:$H$423="n.d."))&gt;0),"n.d.",SUMPRODUCT(--('Repartition stock'!$A$6:$A$423="2026Q3"),--('Repartition stock'!$B$6:$B$423="NO"),--('Repartition stock'!$E$6:$E$423="Millésime"),--('Repartition stock'!$F$6:$F$423="&lt;2018"),'Repartition stock'!$H$6:$H$423)))</f>
        <v>0</v>
      </c>
      <c r="AA14" s="16"/>
      <c r="AB14" s="16"/>
      <c r="AC14" s="7">
        <f>IF((IF(OR(COUNT(X14,X24)&lt;&gt;2,X24=0),"n.d.",X14/X24))="n.d.",0,IF(OR(COUNT(X14,X24)&lt;&gt;2,X24=0),"n.d.",X14/X24))</f>
        <v>0.0</v>
      </c>
      <c r="AD14" s="7"/>
      <c r="AE14" s="7">
        <f>IF((IF(OR(COUNT(Z14,Z24)&lt;&gt;2,Z24=0),"n.d.",Z14/Z24))="n.d.",0,IF(OR(COUNT(Z14,Z24)&lt;&gt;2,Z24=0),"n.d.",Z14/Z24))</f>
        <v>0.0</v>
      </c>
      <c r="AF14" s="7"/>
    </row>
    <row r="15" spans="1:32" ht="13.5" customHeight="1">
      <c r="A15" s="12"/>
      <c r="R15" s="4"/>
      <c r="S15" s="4"/>
      <c r="T15" s="4"/>
      <c r="U15" s="15" t="s">
        <v>389</v>
      </c>
      <c r="V15" s="15"/>
      <c r="W15" s="15"/>
      <c r="X15" s="16">
        <f>IF((IF(OR(SUMPRODUCT(--('Repartition stock'!$A$6:$A$423="2026Q3"),--('Repartition stock'!$B$6:$B$423="NO"),--('Repartition stock'!$E$6:$E$423="Millésime"),--('Repartition stock'!$F$6:$F$423="2018"))=0,SUMPRODUCT(--('Repartition stock'!$A$6:$A$423="2026Q3"),--('Repartition stock'!$B$6:$B$423="NO"),--('Repartition stock'!$E$6:$E$423="Millésime"),--('Repartition stock'!$F$6:$F$423="2018"),--('Repartition stock'!$G$6:$G$423="n.d."))&gt;0),"n.d.",SUMPRODUCT(--('Repartition stock'!$A$6:$A$423="2026Q3"),--('Repartition stock'!$B$6:$B$423="NO"),--('Repartition stock'!$E$6:$E$423="Millésime"),--('Repartition stock'!$F$6:$F$423="2018"),'Repartition stock'!$G$6:$G$423)))="n.d.",0,IF(OR(SUMPRODUCT(--('Repartition stock'!$A$6:$A$423="2026Q3"),--('Repartition stock'!$B$6:$B$423="NO"),--('Repartition stock'!$E$6:$E$423="Millésime"),--('Repartition stock'!$F$6:$F$423="2018"))=0,SUMPRODUCT(--('Repartition stock'!$A$6:$A$423="2026Q3"),--('Repartition stock'!$B$6:$B$423="NO"),--('Repartition stock'!$E$6:$E$423="Millésime"),--('Repartition stock'!$F$6:$F$423="2018"),--('Repartition stock'!$G$6:$G$423="n.d."))&gt;0),"n.d.",SUMPRODUCT(--('Repartition stock'!$A$6:$A$423="2026Q3"),--('Repartition stock'!$B$6:$B$423="NO"),--('Repartition stock'!$E$6:$E$423="Millésime"),--('Repartition stock'!$F$6:$F$423="2018"),'Repartition stock'!$G$6:$G$423)))</f>
        <v>0</v>
      </c>
      <c r="Y15" s="16"/>
      <c r="Z15" s="16">
        <f>IF((IF(OR(SUMPRODUCT(--('Repartition stock'!$A$6:$A$423="2026Q3"),--('Repartition stock'!$B$6:$B$423="NO"),--('Repartition stock'!$E$6:$E$423="Millésime"),--('Repartition stock'!$F$6:$F$423="2018"))=0,SUMPRODUCT(--('Repartition stock'!$A$6:$A$423="2026Q3"),--('Repartition stock'!$B$6:$B$423="NO"),--('Repartition stock'!$E$6:$E$423="Millésime"),--('Repartition stock'!$F$6:$F$423="2018"),--('Repartition stock'!$H$6:$H$423="n.d."))&gt;0),"n.d.",SUMPRODUCT(--('Repartition stock'!$A$6:$A$423="2026Q3"),--('Repartition stock'!$B$6:$B$423="NO"),--('Repartition stock'!$E$6:$E$423="Millésime"),--('Repartition stock'!$F$6:$F$423="2018"),'Repartition stock'!$H$6:$H$423)))="n.d.",0,IF(OR(SUMPRODUCT(--('Repartition stock'!$A$6:$A$423="2026Q3"),--('Repartition stock'!$B$6:$B$423="NO"),--('Repartition stock'!$E$6:$E$423="Millésime"),--('Repartition stock'!$F$6:$F$423="2018"))=0,SUMPRODUCT(--('Repartition stock'!$A$6:$A$423="2026Q3"),--('Repartition stock'!$B$6:$B$423="NO"),--('Repartition stock'!$E$6:$E$423="Millésime"),--('Repartition stock'!$F$6:$F$423="2018"),--('Repartition stock'!$H$6:$H$423="n.d."))&gt;0),"n.d.",SUMPRODUCT(--('Repartition stock'!$A$6:$A$423="2026Q3"),--('Repartition stock'!$B$6:$B$423="NO"),--('Repartition stock'!$E$6:$E$423="Millésime"),--('Repartition stock'!$F$6:$F$423="2018"),'Repartition stock'!$H$6:$H$423)))</f>
        <v>0</v>
      </c>
      <c r="AA15" s="16"/>
      <c r="AB15" s="16"/>
      <c r="AC15" s="7">
        <f>IF((IF(OR(COUNT(X15,X24)&lt;&gt;2,X24=0),"n.d.",X15/X24))="n.d.",0,IF(OR(COUNT(X15,X24)&lt;&gt;2,X24=0),"n.d.",X15/X24))</f>
        <v>0.0</v>
      </c>
      <c r="AD15" s="7"/>
      <c r="AE15" s="7">
        <f>IF((IF(OR(COUNT(Z15,Z24)&lt;&gt;2,Z24=0),"n.d.",Z15/Z24))="n.d.",0,IF(OR(COUNT(Z15,Z24)&lt;&gt;2,Z24=0),"n.d.",Z15/Z24))</f>
        <v>0.0</v>
      </c>
      <c r="AF15" s="7"/>
    </row>
    <row r="16" spans="1:32" ht="13.5" customHeight="1">
      <c r="A16" s="12"/>
      <c r="R16" s="4"/>
      <c r="S16" s="4"/>
      <c r="T16" s="4"/>
      <c r="U16" s="15" t="s">
        <v>391</v>
      </c>
      <c r="V16" s="15"/>
      <c r="W16" s="15"/>
      <c r="X16" s="16">
        <f>IF((IF(OR(SUMPRODUCT(--('Repartition stock'!$A$6:$A$423="2026Q3"),--('Repartition stock'!$B$6:$B$423="NO"),--('Repartition stock'!$E$6:$E$423="Millésime"),--('Repartition stock'!$F$6:$F$423="2019"))=0,SUMPRODUCT(--('Repartition stock'!$A$6:$A$423="2026Q3"),--('Repartition stock'!$B$6:$B$423="NO"),--('Repartition stock'!$E$6:$E$423="Millésime"),--('Repartition stock'!$F$6:$F$423="2019"),--('Repartition stock'!$G$6:$G$423="n.d."))&gt;0),"n.d.",SUMPRODUCT(--('Repartition stock'!$A$6:$A$423="2026Q3"),--('Repartition stock'!$B$6:$B$423="NO"),--('Repartition stock'!$E$6:$E$423="Millésime"),--('Repartition stock'!$F$6:$F$423="2019"),'Repartition stock'!$G$6:$G$423)))="n.d.",0,IF(OR(SUMPRODUCT(--('Repartition stock'!$A$6:$A$423="2026Q3"),--('Repartition stock'!$B$6:$B$423="NO"),--('Repartition stock'!$E$6:$E$423="Millésime"),--('Repartition stock'!$F$6:$F$423="2019"))=0,SUMPRODUCT(--('Repartition stock'!$A$6:$A$423="2026Q3"),--('Repartition stock'!$B$6:$B$423="NO"),--('Repartition stock'!$E$6:$E$423="Millésime"),--('Repartition stock'!$F$6:$F$423="2019"),--('Repartition stock'!$G$6:$G$423="n.d."))&gt;0),"n.d.",SUMPRODUCT(--('Repartition stock'!$A$6:$A$423="2026Q3"),--('Repartition stock'!$B$6:$B$423="NO"),--('Repartition stock'!$E$6:$E$423="Millésime"),--('Repartition stock'!$F$6:$F$423="2019"),'Repartition stock'!$G$6:$G$423)))</f>
        <v>0</v>
      </c>
      <c r="Y16" s="16"/>
      <c r="Z16" s="16">
        <f>IF((IF(OR(SUMPRODUCT(--('Repartition stock'!$A$6:$A$423="2026Q3"),--('Repartition stock'!$B$6:$B$423="NO"),--('Repartition stock'!$E$6:$E$423="Millésime"),--('Repartition stock'!$F$6:$F$423="2019"))=0,SUMPRODUCT(--('Repartition stock'!$A$6:$A$423="2026Q3"),--('Repartition stock'!$B$6:$B$423="NO"),--('Repartition stock'!$E$6:$E$423="Millésime"),--('Repartition stock'!$F$6:$F$423="2019"),--('Repartition stock'!$H$6:$H$423="n.d."))&gt;0),"n.d.",SUMPRODUCT(--('Repartition stock'!$A$6:$A$423="2026Q3"),--('Repartition stock'!$B$6:$B$423="NO"),--('Repartition stock'!$E$6:$E$423="Millésime"),--('Repartition stock'!$F$6:$F$423="2019"),'Repartition stock'!$H$6:$H$423)))="n.d.",0,IF(OR(SUMPRODUCT(--('Repartition stock'!$A$6:$A$423="2026Q3"),--('Repartition stock'!$B$6:$B$423="NO"),--('Repartition stock'!$E$6:$E$423="Millésime"),--('Repartition stock'!$F$6:$F$423="2019"))=0,SUMPRODUCT(--('Repartition stock'!$A$6:$A$423="2026Q3"),--('Repartition stock'!$B$6:$B$423="NO"),--('Repartition stock'!$E$6:$E$423="Millésime"),--('Repartition stock'!$F$6:$F$423="2019"),--('Repartition stock'!$H$6:$H$423="n.d."))&gt;0),"n.d.",SUMPRODUCT(--('Repartition stock'!$A$6:$A$423="2026Q3"),--('Repartition stock'!$B$6:$B$423="NO"),--('Repartition stock'!$E$6:$E$423="Millésime"),--('Repartition stock'!$F$6:$F$423="2019"),'Repartition stock'!$H$6:$H$423)))</f>
        <v>0</v>
      </c>
      <c r="AA16" s="16"/>
      <c r="AB16" s="16"/>
      <c r="AC16" s="7">
        <f>IF((IF(OR(COUNT(X16,X24)&lt;&gt;2,X24=0),"n.d.",X16/X24))="n.d.",0,IF(OR(COUNT(X16,X24)&lt;&gt;2,X24=0),"n.d.",X16/X24))</f>
        <v>0.0</v>
      </c>
      <c r="AD16" s="7"/>
      <c r="AE16" s="7">
        <f>IF((IF(OR(COUNT(Z16,Z24)&lt;&gt;2,Z24=0),"n.d.",Z16/Z24))="n.d.",0,IF(OR(COUNT(Z16,Z24)&lt;&gt;2,Z24=0),"n.d.",Z16/Z24))</f>
        <v>0.0</v>
      </c>
      <c r="AF16" s="7"/>
    </row>
    <row r="17" spans="1:32" ht="13.5" customHeight="1">
      <c r="A17" s="12"/>
      <c r="R17" s="4"/>
      <c r="S17" s="4"/>
      <c r="T17" s="4"/>
      <c r="U17" s="15" t="s">
        <v>393</v>
      </c>
      <c r="V17" s="15"/>
      <c r="W17" s="15"/>
      <c r="X17" s="16">
        <f>IF((IF(OR(SUMPRODUCT(--('Repartition stock'!$A$6:$A$423="2026Q3"),--('Repartition stock'!$B$6:$B$423="NO"),--('Repartition stock'!$E$6:$E$423="Millésime"),--('Repartition stock'!$F$6:$F$423="2020"))=0,SUMPRODUCT(--('Repartition stock'!$A$6:$A$423="2026Q3"),--('Repartition stock'!$B$6:$B$423="NO"),--('Repartition stock'!$E$6:$E$423="Millésime"),--('Repartition stock'!$F$6:$F$423="2020"),--('Repartition stock'!$G$6:$G$423="n.d."))&gt;0),"n.d.",SUMPRODUCT(--('Repartition stock'!$A$6:$A$423="2026Q3"),--('Repartition stock'!$B$6:$B$423="NO"),--('Repartition stock'!$E$6:$E$423="Millésime"),--('Repartition stock'!$F$6:$F$423="2020"),'Repartition stock'!$G$6:$G$423)))="n.d.",0,IF(OR(SUMPRODUCT(--('Repartition stock'!$A$6:$A$423="2026Q3"),--('Repartition stock'!$B$6:$B$423="NO"),--('Repartition stock'!$E$6:$E$423="Millésime"),--('Repartition stock'!$F$6:$F$423="2020"))=0,SUMPRODUCT(--('Repartition stock'!$A$6:$A$423="2026Q3"),--('Repartition stock'!$B$6:$B$423="NO"),--('Repartition stock'!$E$6:$E$423="Millésime"),--('Repartition stock'!$F$6:$F$423="2020"),--('Repartition stock'!$G$6:$G$423="n.d."))&gt;0),"n.d.",SUMPRODUCT(--('Repartition stock'!$A$6:$A$423="2026Q3"),--('Repartition stock'!$B$6:$B$423="NO"),--('Repartition stock'!$E$6:$E$423="Millésime"),--('Repartition stock'!$F$6:$F$423="2020"),'Repartition stock'!$G$6:$G$423)))</f>
        <v>0</v>
      </c>
      <c r="Y17" s="16"/>
      <c r="Z17" s="16">
        <f>IF((IF(OR(SUMPRODUCT(--('Repartition stock'!$A$6:$A$423="2026Q3"),--('Repartition stock'!$B$6:$B$423="NO"),--('Repartition stock'!$E$6:$E$423="Millésime"),--('Repartition stock'!$F$6:$F$423="2020"))=0,SUMPRODUCT(--('Repartition stock'!$A$6:$A$423="2026Q3"),--('Repartition stock'!$B$6:$B$423="NO"),--('Repartition stock'!$E$6:$E$423="Millésime"),--('Repartition stock'!$F$6:$F$423="2020"),--('Repartition stock'!$H$6:$H$423="n.d."))&gt;0),"n.d.",SUMPRODUCT(--('Repartition stock'!$A$6:$A$423="2026Q3"),--('Repartition stock'!$B$6:$B$423="NO"),--('Repartition stock'!$E$6:$E$423="Millésime"),--('Repartition stock'!$F$6:$F$423="2020"),'Repartition stock'!$H$6:$H$423)))="n.d.",0,IF(OR(SUMPRODUCT(--('Repartition stock'!$A$6:$A$423="2026Q3"),--('Repartition stock'!$B$6:$B$423="NO"),--('Repartition stock'!$E$6:$E$423="Millésime"),--('Repartition stock'!$F$6:$F$423="2020"))=0,SUMPRODUCT(--('Repartition stock'!$A$6:$A$423="2026Q3"),--('Repartition stock'!$B$6:$B$423="NO"),--('Repartition stock'!$E$6:$E$423="Millésime"),--('Repartition stock'!$F$6:$F$423="2020"),--('Repartition stock'!$H$6:$H$423="n.d."))&gt;0),"n.d.",SUMPRODUCT(--('Repartition stock'!$A$6:$A$423="2026Q3"),--('Repartition stock'!$B$6:$B$423="NO"),--('Repartition stock'!$E$6:$E$423="Millésime"),--('Repartition stock'!$F$6:$F$423="2020"),'Repartition stock'!$H$6:$H$423)))</f>
        <v>0</v>
      </c>
      <c r="AA17" s="16"/>
      <c r="AB17" s="16"/>
      <c r="AC17" s="7">
        <f>IF((IF(OR(COUNT(X17,X24)&lt;&gt;2,X24=0),"n.d.",X17/X24))="n.d.",0,IF(OR(COUNT(X17,X24)&lt;&gt;2,X24=0),"n.d.",X17/X24))</f>
        <v>0.0</v>
      </c>
      <c r="AD17" s="7"/>
      <c r="AE17" s="7">
        <f>IF((IF(OR(COUNT(Z17,Z24)&lt;&gt;2,Z24=0),"n.d.",Z17/Z24))="n.d.",0,IF(OR(COUNT(Z17,Z24)&lt;&gt;2,Z24=0),"n.d.",Z17/Z24))</f>
        <v>0.0</v>
      </c>
      <c r="AF17" s="7"/>
    </row>
    <row r="18" spans="1:32" ht="13.5" customHeight="1">
      <c r="A18" s="12"/>
      <c r="R18" s="4"/>
      <c r="S18" s="4"/>
      <c r="T18" s="4"/>
      <c r="U18" s="15" t="s">
        <v>395</v>
      </c>
      <c r="V18" s="15"/>
      <c r="W18" s="15"/>
      <c r="X18" s="16">
        <f>IF((IF(OR(SUMPRODUCT(--('Repartition stock'!$A$6:$A$423="2026Q3"),--('Repartition stock'!$B$6:$B$423="NO"),--('Repartition stock'!$E$6:$E$423="Millésime"),--('Repartition stock'!$F$6:$F$423="2021"))=0,SUMPRODUCT(--('Repartition stock'!$A$6:$A$423="2026Q3"),--('Repartition stock'!$B$6:$B$423="NO"),--('Repartition stock'!$E$6:$E$423="Millésime"),--('Repartition stock'!$F$6:$F$423="2021"),--('Repartition stock'!$G$6:$G$423="n.d."))&gt;0),"n.d.",SUMPRODUCT(--('Repartition stock'!$A$6:$A$423="2026Q3"),--('Repartition stock'!$B$6:$B$423="NO"),--('Repartition stock'!$E$6:$E$423="Millésime"),--('Repartition stock'!$F$6:$F$423="2021"),'Repartition stock'!$G$6:$G$423)))="n.d.",0,IF(OR(SUMPRODUCT(--('Repartition stock'!$A$6:$A$423="2026Q3"),--('Repartition stock'!$B$6:$B$423="NO"),--('Repartition stock'!$E$6:$E$423="Millésime"),--('Repartition stock'!$F$6:$F$423="2021"))=0,SUMPRODUCT(--('Repartition stock'!$A$6:$A$423="2026Q3"),--('Repartition stock'!$B$6:$B$423="NO"),--('Repartition stock'!$E$6:$E$423="Millésime"),--('Repartition stock'!$F$6:$F$423="2021"),--('Repartition stock'!$G$6:$G$423="n.d."))&gt;0),"n.d.",SUMPRODUCT(--('Repartition stock'!$A$6:$A$423="2026Q3"),--('Repartition stock'!$B$6:$B$423="NO"),--('Repartition stock'!$E$6:$E$423="Millésime"),--('Repartition stock'!$F$6:$F$423="2021"),'Repartition stock'!$G$6:$G$423)))</f>
        <v>0</v>
      </c>
      <c r="Y18" s="16"/>
      <c r="Z18" s="16">
        <f>IF((IF(OR(SUMPRODUCT(--('Repartition stock'!$A$6:$A$423="2026Q3"),--('Repartition stock'!$B$6:$B$423="NO"),--('Repartition stock'!$E$6:$E$423="Millésime"),--('Repartition stock'!$F$6:$F$423="2021"))=0,SUMPRODUCT(--('Repartition stock'!$A$6:$A$423="2026Q3"),--('Repartition stock'!$B$6:$B$423="NO"),--('Repartition stock'!$E$6:$E$423="Millésime"),--('Repartition stock'!$F$6:$F$423="2021"),--('Repartition stock'!$H$6:$H$423="n.d."))&gt;0),"n.d.",SUMPRODUCT(--('Repartition stock'!$A$6:$A$423="2026Q3"),--('Repartition stock'!$B$6:$B$423="NO"),--('Repartition stock'!$E$6:$E$423="Millésime"),--('Repartition stock'!$F$6:$F$423="2021"),'Repartition stock'!$H$6:$H$423)))="n.d.",0,IF(OR(SUMPRODUCT(--('Repartition stock'!$A$6:$A$423="2026Q3"),--('Repartition stock'!$B$6:$B$423="NO"),--('Repartition stock'!$E$6:$E$423="Millésime"),--('Repartition stock'!$F$6:$F$423="2021"))=0,SUMPRODUCT(--('Repartition stock'!$A$6:$A$423="2026Q3"),--('Repartition stock'!$B$6:$B$423="NO"),--('Repartition stock'!$E$6:$E$423="Millésime"),--('Repartition stock'!$F$6:$F$423="2021"),--('Repartition stock'!$H$6:$H$423="n.d."))&gt;0),"n.d.",SUMPRODUCT(--('Repartition stock'!$A$6:$A$423="2026Q3"),--('Repartition stock'!$B$6:$B$423="NO"),--('Repartition stock'!$E$6:$E$423="Millésime"),--('Repartition stock'!$F$6:$F$423="2021"),'Repartition stock'!$H$6:$H$423)))</f>
        <v>0</v>
      </c>
      <c r="AA18" s="16"/>
      <c r="AB18" s="16"/>
      <c r="AC18" s="7">
        <f>IF((IF(OR(COUNT(X18,X24)&lt;&gt;2,X24=0),"n.d.",X18/X24))="n.d.",0,IF(OR(COUNT(X18,X24)&lt;&gt;2,X24=0),"n.d.",X18/X24))</f>
        <v>0.0</v>
      </c>
      <c r="AD18" s="7"/>
      <c r="AE18" s="7">
        <f>IF((IF(OR(COUNT(Z18,Z24)&lt;&gt;2,Z24=0),"n.d.",Z18/Z24))="n.d.",0,IF(OR(COUNT(Z18,Z24)&lt;&gt;2,Z24=0),"n.d.",Z18/Z24))</f>
        <v>0.0</v>
      </c>
      <c r="AF18" s="7"/>
    </row>
    <row r="19" spans="1:32" ht="13.5" customHeight="1">
      <c r="A19" s="12"/>
      <c r="R19" s="4"/>
      <c r="S19" s="4"/>
      <c r="T19" s="4"/>
      <c r="U19" s="15" t="s">
        <v>397</v>
      </c>
      <c r="V19" s="15"/>
      <c r="W19" s="15"/>
      <c r="X19" s="16">
        <f>IF((IF(OR(SUMPRODUCT(--('Repartition stock'!$A$6:$A$423="2026Q3"),--('Repartition stock'!$B$6:$B$423="NO"),--('Repartition stock'!$E$6:$E$423="Millésime"),--('Repartition stock'!$F$6:$F$423="2022"))=0,SUMPRODUCT(--('Repartition stock'!$A$6:$A$423="2026Q3"),--('Repartition stock'!$B$6:$B$423="NO"),--('Repartition stock'!$E$6:$E$423="Millésime"),--('Repartition stock'!$F$6:$F$423="2022"),--('Repartition stock'!$G$6:$G$423="n.d."))&gt;0),"n.d.",SUMPRODUCT(--('Repartition stock'!$A$6:$A$423="2026Q3"),--('Repartition stock'!$B$6:$B$423="NO"),--('Repartition stock'!$E$6:$E$423="Millésime"),--('Repartition stock'!$F$6:$F$423="2022"),'Repartition stock'!$G$6:$G$423)))="n.d.",0,IF(OR(SUMPRODUCT(--('Repartition stock'!$A$6:$A$423="2026Q3"),--('Repartition stock'!$B$6:$B$423="NO"),--('Repartition stock'!$E$6:$E$423="Millésime"),--('Repartition stock'!$F$6:$F$423="2022"))=0,SUMPRODUCT(--('Repartition stock'!$A$6:$A$423="2026Q3"),--('Repartition stock'!$B$6:$B$423="NO"),--('Repartition stock'!$E$6:$E$423="Millésime"),--('Repartition stock'!$F$6:$F$423="2022"),--('Repartition stock'!$G$6:$G$423="n.d."))&gt;0),"n.d.",SUMPRODUCT(--('Repartition stock'!$A$6:$A$423="2026Q3"),--('Repartition stock'!$B$6:$B$423="NO"),--('Repartition stock'!$E$6:$E$423="Millésime"),--('Repartition stock'!$F$6:$F$423="2022"),'Repartition stock'!$G$6:$G$423)))</f>
        <v>0</v>
      </c>
      <c r="Y19" s="16"/>
      <c r="Z19" s="16">
        <f>IF((IF(OR(SUMPRODUCT(--('Repartition stock'!$A$6:$A$423="2026Q3"),--('Repartition stock'!$B$6:$B$423="NO"),--('Repartition stock'!$E$6:$E$423="Millésime"),--('Repartition stock'!$F$6:$F$423="2022"))=0,SUMPRODUCT(--('Repartition stock'!$A$6:$A$423="2026Q3"),--('Repartition stock'!$B$6:$B$423="NO"),--('Repartition stock'!$E$6:$E$423="Millésime"),--('Repartition stock'!$F$6:$F$423="2022"),--('Repartition stock'!$H$6:$H$423="n.d."))&gt;0),"n.d.",SUMPRODUCT(--('Repartition stock'!$A$6:$A$423="2026Q3"),--('Repartition stock'!$B$6:$B$423="NO"),--('Repartition stock'!$E$6:$E$423="Millésime"),--('Repartition stock'!$F$6:$F$423="2022"),'Repartition stock'!$H$6:$H$423)))="n.d.",0,IF(OR(SUMPRODUCT(--('Repartition stock'!$A$6:$A$423="2026Q3"),--('Repartition stock'!$B$6:$B$423="NO"),--('Repartition stock'!$E$6:$E$423="Millésime"),--('Repartition stock'!$F$6:$F$423="2022"))=0,SUMPRODUCT(--('Repartition stock'!$A$6:$A$423="2026Q3"),--('Repartition stock'!$B$6:$B$423="NO"),--('Repartition stock'!$E$6:$E$423="Millésime"),--('Repartition stock'!$F$6:$F$423="2022"),--('Repartition stock'!$H$6:$H$423="n.d."))&gt;0),"n.d.",SUMPRODUCT(--('Repartition stock'!$A$6:$A$423="2026Q3"),--('Repartition stock'!$B$6:$B$423="NO"),--('Repartition stock'!$E$6:$E$423="Millésime"),--('Repartition stock'!$F$6:$F$423="2022"),'Repartition stock'!$H$6:$H$423)))</f>
        <v>0</v>
      </c>
      <c r="AA19" s="16"/>
      <c r="AB19" s="16"/>
      <c r="AC19" s="7">
        <f>IF((IF(OR(COUNT(X19,X24)&lt;&gt;2,X24=0),"n.d.",X19/X24))="n.d.",0,IF(OR(COUNT(X19,X24)&lt;&gt;2,X24=0),"n.d.",X19/X24))</f>
        <v>0.0</v>
      </c>
      <c r="AD19" s="7"/>
      <c r="AE19" s="7">
        <f>IF((IF(OR(COUNT(Z19,Z24)&lt;&gt;2,Z24=0),"n.d.",Z19/Z24))="n.d.",0,IF(OR(COUNT(Z19,Z24)&lt;&gt;2,Z24=0),"n.d.",Z19/Z24))</f>
        <v>0.0</v>
      </c>
      <c r="AF19" s="7"/>
    </row>
    <row r="20" spans="1:32" ht="13.5" customHeight="1">
      <c r="A20" s="12"/>
      <c r="R20" s="4"/>
      <c r="S20" s="4"/>
      <c r="T20" s="4"/>
      <c r="U20" s="15" t="s">
        <v>399</v>
      </c>
      <c r="V20" s="15"/>
      <c r="W20" s="15"/>
      <c r="X20" s="16">
        <f>IF((IF(OR(SUMPRODUCT(--('Repartition stock'!$A$6:$A$423="2026Q3"),--('Repartition stock'!$B$6:$B$423="NO"),--('Repartition stock'!$E$6:$E$423="Millésime"),--('Repartition stock'!$F$6:$F$423="2023"))=0,SUMPRODUCT(--('Repartition stock'!$A$6:$A$423="2026Q3"),--('Repartition stock'!$B$6:$B$423="NO"),--('Repartition stock'!$E$6:$E$423="Millésime"),--('Repartition stock'!$F$6:$F$423="2023"),--('Repartition stock'!$G$6:$G$423="n.d."))&gt;0),"n.d.",SUMPRODUCT(--('Repartition stock'!$A$6:$A$423="2026Q3"),--('Repartition stock'!$B$6:$B$423="NO"),--('Repartition stock'!$E$6:$E$423="Millésime"),--('Repartition stock'!$F$6:$F$423="2023"),'Repartition stock'!$G$6:$G$423)))="n.d.",0,IF(OR(SUMPRODUCT(--('Repartition stock'!$A$6:$A$423="2026Q3"),--('Repartition stock'!$B$6:$B$423="NO"),--('Repartition stock'!$E$6:$E$423="Millésime"),--('Repartition stock'!$F$6:$F$423="2023"))=0,SUMPRODUCT(--('Repartition stock'!$A$6:$A$423="2026Q3"),--('Repartition stock'!$B$6:$B$423="NO"),--('Repartition stock'!$E$6:$E$423="Millésime"),--('Repartition stock'!$F$6:$F$423="2023"),--('Repartition stock'!$G$6:$G$423="n.d."))&gt;0),"n.d.",SUMPRODUCT(--('Repartition stock'!$A$6:$A$423="2026Q3"),--('Repartition stock'!$B$6:$B$423="NO"),--('Repartition stock'!$E$6:$E$423="Millésime"),--('Repartition stock'!$F$6:$F$423="2023"),'Repartition stock'!$G$6:$G$423)))</f>
        <v>0</v>
      </c>
      <c r="Y20" s="16"/>
      <c r="Z20" s="16">
        <f>IF((IF(OR(SUMPRODUCT(--('Repartition stock'!$A$6:$A$423="2026Q3"),--('Repartition stock'!$B$6:$B$423="NO"),--('Repartition stock'!$E$6:$E$423="Millésime"),--('Repartition stock'!$F$6:$F$423="2023"))=0,SUMPRODUCT(--('Repartition stock'!$A$6:$A$423="2026Q3"),--('Repartition stock'!$B$6:$B$423="NO"),--('Repartition stock'!$E$6:$E$423="Millésime"),--('Repartition stock'!$F$6:$F$423="2023"),--('Repartition stock'!$H$6:$H$423="n.d."))&gt;0),"n.d.",SUMPRODUCT(--('Repartition stock'!$A$6:$A$423="2026Q3"),--('Repartition stock'!$B$6:$B$423="NO"),--('Repartition stock'!$E$6:$E$423="Millésime"),--('Repartition stock'!$F$6:$F$423="2023"),'Repartition stock'!$H$6:$H$423)))="n.d.",0,IF(OR(SUMPRODUCT(--('Repartition stock'!$A$6:$A$423="2026Q3"),--('Repartition stock'!$B$6:$B$423="NO"),--('Repartition stock'!$E$6:$E$423="Millésime"),--('Repartition stock'!$F$6:$F$423="2023"))=0,SUMPRODUCT(--('Repartition stock'!$A$6:$A$423="2026Q3"),--('Repartition stock'!$B$6:$B$423="NO"),--('Repartition stock'!$E$6:$E$423="Millésime"),--('Repartition stock'!$F$6:$F$423="2023"),--('Repartition stock'!$H$6:$H$423="n.d."))&gt;0),"n.d.",SUMPRODUCT(--('Repartition stock'!$A$6:$A$423="2026Q3"),--('Repartition stock'!$B$6:$B$423="NO"),--('Repartition stock'!$E$6:$E$423="Millésime"),--('Repartition stock'!$F$6:$F$423="2023"),'Repartition stock'!$H$6:$H$423)))</f>
        <v>0</v>
      </c>
      <c r="AA20" s="16"/>
      <c r="AB20" s="16"/>
      <c r="AC20" s="7">
        <f>IF((IF(OR(COUNT(X20,X24)&lt;&gt;2,X24=0),"n.d.",X20/X24))="n.d.",0,IF(OR(COUNT(X20,X24)&lt;&gt;2,X24=0),"n.d.",X20/X24))</f>
        <v>0.0</v>
      </c>
      <c r="AD20" s="7"/>
      <c r="AE20" s="7">
        <f>IF((IF(OR(COUNT(Z20,Z24)&lt;&gt;2,Z24=0),"n.d.",Z20/Z24))="n.d.",0,IF(OR(COUNT(Z20,Z24)&lt;&gt;2,Z24=0),"n.d.",Z20/Z24))</f>
        <v>0.0</v>
      </c>
      <c r="AF20" s="7"/>
    </row>
    <row r="21" spans="1:32" ht="13.5" customHeight="1">
      <c r="A21" s="12"/>
      <c r="R21" s="4"/>
      <c r="S21" s="4"/>
      <c r="T21" s="4"/>
      <c r="U21" s="15" t="s">
        <v>95</v>
      </c>
      <c r="V21" s="15"/>
      <c r="W21" s="15"/>
      <c r="X21" s="16">
        <f>IF((IF(OR(SUMPRODUCT(--('Repartition stock'!$A$6:$A$423="2026Q3"),--('Repartition stock'!$B$6:$B$423="NO"),--('Repartition stock'!$E$6:$E$423="Millésime"),--('Repartition stock'!$F$6:$F$423="2024"))=0,SUMPRODUCT(--('Repartition stock'!$A$6:$A$423="2026Q3"),--('Repartition stock'!$B$6:$B$423="NO"),--('Repartition stock'!$E$6:$E$423="Millésime"),--('Repartition stock'!$F$6:$F$423="2024"),--('Repartition stock'!$G$6:$G$423="n.d."))&gt;0),"n.d.",SUMPRODUCT(--('Repartition stock'!$A$6:$A$423="2026Q3"),--('Repartition stock'!$B$6:$B$423="NO"),--('Repartition stock'!$E$6:$E$423="Millésime"),--('Repartition stock'!$F$6:$F$423="2024"),'Repartition stock'!$G$6:$G$423)))="n.d.",0,IF(OR(SUMPRODUCT(--('Repartition stock'!$A$6:$A$423="2026Q3"),--('Repartition stock'!$B$6:$B$423="NO"),--('Repartition stock'!$E$6:$E$423="Millésime"),--('Repartition stock'!$F$6:$F$423="2024"))=0,SUMPRODUCT(--('Repartition stock'!$A$6:$A$423="2026Q3"),--('Repartition stock'!$B$6:$B$423="NO"),--('Repartition stock'!$E$6:$E$423="Millésime"),--('Repartition stock'!$F$6:$F$423="2024"),--('Repartition stock'!$G$6:$G$423="n.d."))&gt;0),"n.d.",SUMPRODUCT(--('Repartition stock'!$A$6:$A$423="2026Q3"),--('Repartition stock'!$B$6:$B$423="NO"),--('Repartition stock'!$E$6:$E$423="Millésime"),--('Repartition stock'!$F$6:$F$423="2024"),'Repartition stock'!$G$6:$G$423)))</f>
        <v>0</v>
      </c>
      <c r="Y21" s="16"/>
      <c r="Z21" s="16">
        <f>IF((IF(OR(SUMPRODUCT(--('Repartition stock'!$A$6:$A$423="2026Q3"),--('Repartition stock'!$B$6:$B$423="NO"),--('Repartition stock'!$E$6:$E$423="Millésime"),--('Repartition stock'!$F$6:$F$423="2024"))=0,SUMPRODUCT(--('Repartition stock'!$A$6:$A$423="2026Q3"),--('Repartition stock'!$B$6:$B$423="NO"),--('Repartition stock'!$E$6:$E$423="Millésime"),--('Repartition stock'!$F$6:$F$423="2024"),--('Repartition stock'!$H$6:$H$423="n.d."))&gt;0),"n.d.",SUMPRODUCT(--('Repartition stock'!$A$6:$A$423="2026Q3"),--('Repartition stock'!$B$6:$B$423="NO"),--('Repartition stock'!$E$6:$E$423="Millésime"),--('Repartition stock'!$F$6:$F$423="2024"),'Repartition stock'!$H$6:$H$423)))="n.d.",0,IF(OR(SUMPRODUCT(--('Repartition stock'!$A$6:$A$423="2026Q3"),--('Repartition stock'!$B$6:$B$423="NO"),--('Repartition stock'!$E$6:$E$423="Millésime"),--('Repartition stock'!$F$6:$F$423="2024"))=0,SUMPRODUCT(--('Repartition stock'!$A$6:$A$423="2026Q3"),--('Repartition stock'!$B$6:$B$423="NO"),--('Repartition stock'!$E$6:$E$423="Millésime"),--('Repartition stock'!$F$6:$F$423="2024"),--('Repartition stock'!$H$6:$H$423="n.d."))&gt;0),"n.d.",SUMPRODUCT(--('Repartition stock'!$A$6:$A$423="2026Q3"),--('Repartition stock'!$B$6:$B$423="NO"),--('Repartition stock'!$E$6:$E$423="Millésime"),--('Repartition stock'!$F$6:$F$423="2024"),'Repartition stock'!$H$6:$H$423)))</f>
        <v>0</v>
      </c>
      <c r="AA21" s="16"/>
      <c r="AB21" s="16"/>
      <c r="AC21" s="7">
        <f>IF((IF(OR(COUNT(X21,X24)&lt;&gt;2,X24=0),"n.d.",X21/X24))="n.d.",0,IF(OR(COUNT(X21,X24)&lt;&gt;2,X24=0),"n.d.",X21/X24))</f>
        <v>0.0</v>
      </c>
      <c r="AD21" s="7"/>
      <c r="AE21" s="7">
        <f>IF((IF(OR(COUNT(Z21,Z24)&lt;&gt;2,Z24=0),"n.d.",Z21/Z24))="n.d.",0,IF(OR(COUNT(Z21,Z24)&lt;&gt;2,Z24=0),"n.d.",Z21/Z24))</f>
        <v>0.0</v>
      </c>
      <c r="AF21" s="7"/>
    </row>
    <row r="22" spans="1:32" ht="13.5" customHeight="1">
      <c r="A22" s="12"/>
      <c r="R22" s="4"/>
      <c r="S22" s="4"/>
      <c r="T22" s="4"/>
      <c r="U22" s="15" t="s">
        <v>53</v>
      </c>
      <c r="V22" s="15"/>
      <c r="W22" s="15"/>
      <c r="X22" s="16">
        <f>IF((IF(OR(SUMPRODUCT(--('Repartition stock'!$A$6:$A$423="2026Q3"),--('Repartition stock'!$B$6:$B$423="NO"),--('Repartition stock'!$E$6:$E$423="Millésime"),--('Repartition stock'!$F$6:$F$423="2025"))=0,SUMPRODUCT(--('Repartition stock'!$A$6:$A$423="2026Q3"),--('Repartition stock'!$B$6:$B$423="NO"),--('Repartition stock'!$E$6:$E$423="Millésime"),--('Repartition stock'!$F$6:$F$423="2025"),--('Repartition stock'!$G$6:$G$423="n.d."))&gt;0),"n.d.",SUMPRODUCT(--('Repartition stock'!$A$6:$A$423="2026Q3"),--('Repartition stock'!$B$6:$B$423="NO"),--('Repartition stock'!$E$6:$E$423="Millésime"),--('Repartition stock'!$F$6:$F$423="2025"),'Repartition stock'!$G$6:$G$423)))="n.d.",0,IF(OR(SUMPRODUCT(--('Repartition stock'!$A$6:$A$423="2026Q3"),--('Repartition stock'!$B$6:$B$423="NO"),--('Repartition stock'!$E$6:$E$423="Millésime"),--('Repartition stock'!$F$6:$F$423="2025"))=0,SUMPRODUCT(--('Repartition stock'!$A$6:$A$423="2026Q3"),--('Repartition stock'!$B$6:$B$423="NO"),--('Repartition stock'!$E$6:$E$423="Millésime"),--('Repartition stock'!$F$6:$F$423="2025"),--('Repartition stock'!$G$6:$G$423="n.d."))&gt;0),"n.d.",SUMPRODUCT(--('Repartition stock'!$A$6:$A$423="2026Q3"),--('Repartition stock'!$B$6:$B$423="NO"),--('Repartition stock'!$E$6:$E$423="Millésime"),--('Repartition stock'!$F$6:$F$423="2025"),'Repartition stock'!$G$6:$G$423)))</f>
        <v>0</v>
      </c>
      <c r="Y22" s="16"/>
      <c r="Z22" s="16">
        <f>IF((IF(OR(SUMPRODUCT(--('Repartition stock'!$A$6:$A$423="2026Q3"),--('Repartition stock'!$B$6:$B$423="NO"),--('Repartition stock'!$E$6:$E$423="Millésime"),--('Repartition stock'!$F$6:$F$423="2025"))=0,SUMPRODUCT(--('Repartition stock'!$A$6:$A$423="2026Q3"),--('Repartition stock'!$B$6:$B$423="NO"),--('Repartition stock'!$E$6:$E$423="Millésime"),--('Repartition stock'!$F$6:$F$423="2025"),--('Repartition stock'!$H$6:$H$423="n.d."))&gt;0),"n.d.",SUMPRODUCT(--('Repartition stock'!$A$6:$A$423="2026Q3"),--('Repartition stock'!$B$6:$B$423="NO"),--('Repartition stock'!$E$6:$E$423="Millésime"),--('Repartition stock'!$F$6:$F$423="2025"),'Repartition stock'!$H$6:$H$423)))="n.d.",0,IF(OR(SUMPRODUCT(--('Repartition stock'!$A$6:$A$423="2026Q3"),--('Repartition stock'!$B$6:$B$423="NO"),--('Repartition stock'!$E$6:$E$423="Millésime"),--('Repartition stock'!$F$6:$F$423="2025"))=0,SUMPRODUCT(--('Repartition stock'!$A$6:$A$423="2026Q3"),--('Repartition stock'!$B$6:$B$423="NO"),--('Repartition stock'!$E$6:$E$423="Millésime"),--('Repartition stock'!$F$6:$F$423="2025"),--('Repartition stock'!$H$6:$H$423="n.d."))&gt;0),"n.d.",SUMPRODUCT(--('Repartition stock'!$A$6:$A$423="2026Q3"),--('Repartition stock'!$B$6:$B$423="NO"),--('Repartition stock'!$E$6:$E$423="Millésime"),--('Repartition stock'!$F$6:$F$423="2025"),'Repartition stock'!$H$6:$H$423)))</f>
        <v>0</v>
      </c>
      <c r="AA22" s="16"/>
      <c r="AB22" s="16"/>
      <c r="AC22" s="7">
        <f>IF((IF(OR(COUNT(X22,X24)&lt;&gt;2,X24=0),"n.d.",X22/X24))="n.d.",0,IF(OR(COUNT(X22,X24)&lt;&gt;2,X24=0),"n.d.",X22/X24))</f>
        <v>0.0</v>
      </c>
      <c r="AD22" s="7"/>
      <c r="AE22" s="7">
        <f>IF((IF(OR(COUNT(Z22,Z24)&lt;&gt;2,Z24=0),"n.d.",Z22/Z24))="n.d.",0,IF(OR(COUNT(Z22,Z24)&lt;&gt;2,Z24=0),"n.d.",Z22/Z24))</f>
        <v>0.0</v>
      </c>
      <c r="AF22" s="7"/>
    </row>
    <row r="23" spans="1:32" ht="13.5" customHeight="1">
      <c r="A23" s="12"/>
      <c r="R23" s="4"/>
      <c r="S23" s="4"/>
      <c r="T23" s="4"/>
      <c r="U23" s="15" t="s">
        <v>55</v>
      </c>
      <c r="V23" s="15"/>
      <c r="W23" s="15"/>
      <c r="X23" s="16">
        <f>IF((IF(OR(SUMPRODUCT(--('Repartition stock'!$A$6:$A$423="2026Q3"),--('Repartition stock'!$B$6:$B$423="NO"),--('Repartition stock'!$E$6:$E$423="Millésime"),--('Repartition stock'!$F$6:$F$423="2026"))=0,SUMPRODUCT(--('Repartition stock'!$A$6:$A$423="2026Q3"),--('Repartition stock'!$B$6:$B$423="NO"),--('Repartition stock'!$E$6:$E$423="Millésime"),--('Repartition stock'!$F$6:$F$423="2026"),--('Repartition stock'!$G$6:$G$423="n.d."))&gt;0),"n.d.",SUMPRODUCT(--('Repartition stock'!$A$6:$A$423="2026Q3"),--('Repartition stock'!$B$6:$B$423="NO"),--('Repartition stock'!$E$6:$E$423="Millésime"),--('Repartition stock'!$F$6:$F$423="2026"),'Repartition stock'!$G$6:$G$423)))="n.d.",0,IF(OR(SUMPRODUCT(--('Repartition stock'!$A$6:$A$423="2026Q3"),--('Repartition stock'!$B$6:$B$423="NO"),--('Repartition stock'!$E$6:$E$423="Millésime"),--('Repartition stock'!$F$6:$F$423="2026"))=0,SUMPRODUCT(--('Repartition stock'!$A$6:$A$423="2026Q3"),--('Repartition stock'!$B$6:$B$423="NO"),--('Repartition stock'!$E$6:$E$423="Millésime"),--('Repartition stock'!$F$6:$F$423="2026"),--('Repartition stock'!$G$6:$G$423="n.d."))&gt;0),"n.d.",SUMPRODUCT(--('Repartition stock'!$A$6:$A$423="2026Q3"),--('Repartition stock'!$B$6:$B$423="NO"),--('Repartition stock'!$E$6:$E$423="Millésime"),--('Repartition stock'!$F$6:$F$423="2026"),'Repartition stock'!$G$6:$G$423)))</f>
        <v>116</v>
      </c>
      <c r="Y23" s="16"/>
      <c r="Z23" s="16">
        <f>IF((IF(OR(SUMPRODUCT(--('Repartition stock'!$A$6:$A$423="2026Q3"),--('Repartition stock'!$B$6:$B$423="NO"),--('Repartition stock'!$E$6:$E$423="Millésime"),--('Repartition stock'!$F$6:$F$423="2026"))=0,SUMPRODUCT(--('Repartition stock'!$A$6:$A$423="2026Q3"),--('Repartition stock'!$B$6:$B$423="NO"),--('Repartition stock'!$E$6:$E$423="Millésime"),--('Repartition stock'!$F$6:$F$423="2026"),--('Repartition stock'!$H$6:$H$423="n.d."))&gt;0),"n.d.",SUMPRODUCT(--('Repartition stock'!$A$6:$A$423="2026Q3"),--('Repartition stock'!$B$6:$B$423="NO"),--('Repartition stock'!$E$6:$E$423="Millésime"),--('Repartition stock'!$F$6:$F$423="2026"),'Repartition stock'!$H$6:$H$423)))="n.d.",0,IF(OR(SUMPRODUCT(--('Repartition stock'!$A$6:$A$423="2026Q3"),--('Repartition stock'!$B$6:$B$423="NO"),--('Repartition stock'!$E$6:$E$423="Millésime"),--('Repartition stock'!$F$6:$F$423="2026"))=0,SUMPRODUCT(--('Repartition stock'!$A$6:$A$423="2026Q3"),--('Repartition stock'!$B$6:$B$423="NO"),--('Repartition stock'!$E$6:$E$423="Millésime"),--('Repartition stock'!$F$6:$F$423="2026"),--('Repartition stock'!$H$6:$H$423="n.d."))&gt;0),"n.d.",SUMPRODUCT(--('Repartition stock'!$A$6:$A$423="2026Q3"),--('Repartition stock'!$B$6:$B$423="NO"),--('Repartition stock'!$E$6:$E$423="Millésime"),--('Repartition stock'!$F$6:$F$423="2026"),'Repartition stock'!$H$6:$H$423)))</f>
        <v>22084.090000000007</v>
      </c>
      <c r="AA23" s="16"/>
      <c r="AB23" s="16"/>
      <c r="AC23" s="7">
        <f>IF((IF(OR(COUNT(X23,X24)&lt;&gt;2,X24=0),"n.d.",X23/X24))="n.d.",0,IF(OR(COUNT(X23,X24)&lt;&gt;2,X24=0),"n.d.",X23/X24))</f>
        <v>1.0</v>
      </c>
      <c r="AD23" s="7"/>
      <c r="AE23" s="7">
        <f>IF((IF(OR(COUNT(Z23,Z24)&lt;&gt;2,Z24=0),"n.d.",Z23/Z24))="n.d.",0,IF(OR(COUNT(Z23,Z24)&lt;&gt;2,Z24=0),"n.d.",Z23/Z24))</f>
        <v>1.0</v>
      </c>
      <c r="AF23" s="7"/>
    </row>
    <row r="24" spans="1:32" ht="13.5" customHeight="1">
      <c r="A24" s="12"/>
      <c r="R24" s="17" t="s">
        <v>3150</v>
      </c>
      <c r="S24" s="17"/>
      <c r="T24" s="17"/>
      <c r="U24" s="17"/>
      <c r="V24" s="17"/>
      <c r="W24" s="17"/>
      <c r="X24" s="17">
        <f>IF((IF(COUNT(X14:X23)=10,SUM(X14:X23),"n.d."))="n.d.",0,IF(COUNT(X14:X23)=10,SUM(X14:X23),"n.d."))</f>
        <v>116</v>
      </c>
      <c r="Y24" s="17"/>
      <c r="Z24" s="17">
        <f>IF((IF(COUNT(Z14:Z23)=10,SUM(Z14:Z23),"n.d."))="n.d.",0,IF(COUNT(Z14:Z23)=10,SUM(Z14:Z23),"n.d."))</f>
        <v>22084.090000000007</v>
      </c>
      <c r="AA24" s="17"/>
      <c r="AB24" s="17"/>
      <c r="AC24" s="9">
        <f>IF((IF(OR(NOT(ISNUMBER(X24)),X24=0),"n.d.",1))="n.d.",0,IF(OR(NOT(ISNUMBER(X24)),X24=0),"n.d.",1))</f>
        <v>1.0</v>
      </c>
      <c r="AD24" s="9"/>
      <c r="AE24" s="9">
        <f>IF((IF(OR(NOT(ISNUMBER(Z24)),Z24=0),"n.d.",1))="n.d.",0,IF(OR(NOT(ISNUMBER(Z24)),Z24=0),"n.d.",1))</f>
        <v>1.0</v>
      </c>
      <c r="AF24" s="9"/>
    </row>
    <row r="25" spans="1:32" ht="13.5" customHeight="1">
      <c r="A25" s="12"/>
    </row>
    <row r="26" spans="1:32" ht="13.5" customHeight="1">
      <c r="A26" s="12"/>
    </row>
    <row r="27" spans="1:32" ht="13.5" customHeight="1">
      <c r="A27" s="12"/>
    </row>
    <row r="28" spans="1:32" ht="13.5" customHeight="1">
      <c r="A28" s="12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"&amp;IF(ISNUMBER('GraphData'!A290),TEXT('GraphData'!A290,"#,##0"),"0")&amp;" NOK. Average balance per contract: "&amp;IF(ISNUMBER('GraphData'!B290),TEXT('GraphData'!B290,"#,##0"),"0")&amp;" NOK."</f>
        <v>Average monthly new flow: 66,018 NOK. Average balance per contract: 504 NOK.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"&amp;IF(ISNUMBER('GraphData'!C290),TEXT('GraphData'!C290,"0.0%"),"0")&amp;" treated in amount and "&amp;IF(ISNUMBER('GraphData'!D290),TEXT('GraphData'!D290,"0.0%"),"0")&amp;" in number."</f>
        <v>Oldest cohort (M-5): 93.4% treated in amount and 99.3%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"&amp;IF(ISNUMBER('GraphData'!E290),TEXT('GraphData'!E290,"#,##0"),"0")&amp;" NOK. Identified stock: "&amp;IF(ISNUMBER('GraphData'!F290),TEXT('GraphData'!F290,"#,##0"),"0")&amp;" NOK."</f>
        <v>Stock to process: 22,084 NOK. Identified stock: 22,084 NOK.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3214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3079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100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0627A"/>
    <pageSetUpPr fitToPage="1"/>
  </sheetPr>
  <dimension ref="A2:AF42"/>
  <sheetViews>
    <sheetView showGridLines="0" zoomScale="80" zoomScaleNormal="80" workbookViewId="0">
      <pane topLeftCell="A1" activePane="bottomLeft" state="frozen"/>
      <selection pane="bottomLeft"/>
    </sheetView>
  </sheetViews>
  <sheetFormatPr defaultRowHeight="13.5" customHeight="1"/>
  <cols>
    <col min="1" max="1" width="3" customWidth="1"/>
    <col min="2" max="32" width="6" customWidth="1"/>
  </cols>
  <sheetData>
    <row r="2" spans="1:32" ht="13.5" customHeight="1">
      <c r="A2" s="12"/>
      <c r="B2" s="13" t="s">
        <v>3221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R2" s="4" t="s">
        <v>3160</v>
      </c>
      <c r="S2" s="4"/>
      <c r="T2" s="4"/>
      <c r="U2" s="4"/>
      <c r="V2" s="4"/>
      <c r="W2" s="4"/>
      <c r="X2" s="14">
        <v>46295</v>
      </c>
      <c r="Y2" s="14"/>
      <c r="Z2" s="14"/>
      <c r="AA2" s="14"/>
      <c r="AB2" s="14"/>
      <c r="AC2" s="14"/>
      <c r="AD2" s="14"/>
      <c r="AE2" s="14"/>
      <c r="AF2" s="14"/>
    </row>
    <row r="3" spans="1:32" ht="13.5" customHeight="1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R3" s="4"/>
      <c r="S3" s="4"/>
      <c r="T3" s="4"/>
      <c r="U3" s="4"/>
      <c r="V3" s="4"/>
      <c r="W3" s="4"/>
      <c r="X3" s="4" t="s">
        <v>3146</v>
      </c>
      <c r="Y3" s="4"/>
      <c r="Z3" s="4" t="s">
        <v>3223</v>
      </c>
      <c r="AA3" s="4"/>
      <c r="AB3" s="4"/>
      <c r="AC3" s="4" t="s">
        <v>3148</v>
      </c>
      <c r="AD3" s="4"/>
      <c r="AE3" s="4" t="s">
        <v>3149</v>
      </c>
      <c r="AF3" s="4"/>
    </row>
    <row r="4" spans="1:32" ht="13.5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3.5" customHeight="1">
      <c r="A5" s="12"/>
      <c r="B5" s="1" t="s">
        <v>3225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3.5" customHeight="1">
      <c r="A6" s="1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32" ht="13.5" customHeight="1">
      <c r="A7" s="12"/>
      <c r="R7" s="4" t="s">
        <v>1284</v>
      </c>
      <c r="S7" s="4"/>
      <c r="T7" s="4"/>
      <c r="U7" s="15" t="s">
        <v>525</v>
      </c>
      <c r="V7" s="15"/>
      <c r="W7" s="15"/>
      <c r="X7" s="16">
        <f>IF((IF(OR(SUMPRODUCT(--('Repartition stock'!$A$6:$A$423="2026Q3"),--('Repartition stock'!$B$6:$B$423="SE"),--('Repartition stock'!$E$6:$E$423="Tranche"),--('Repartition stock'!$F$6:$F$423="0 - 11,3 Kr"))=0,SUMPRODUCT(--('Repartition stock'!$A$6:$A$423="2026Q3"),--('Repartition stock'!$B$6:$B$423="SE"),--('Repartition stock'!$E$6:$E$423="Tranche"),--('Repartition stock'!$F$6:$F$423="0 - 11,3 Kr"),--('Repartition stock'!$G$6:$G$423="n.d."))&gt;0),"n.d.",SUMPRODUCT(--('Repartition stock'!$A$6:$A$423="2026Q3"),--('Repartition stock'!$B$6:$B$423="SE"),--('Repartition stock'!$E$6:$E$423="Tranche"),--('Repartition stock'!$F$6:$F$423="0 - 11,3 Kr"),'Repartition stock'!$G$6:$G$423)))="n.d.",0,IF(OR(SUMPRODUCT(--('Repartition stock'!$A$6:$A$423="2026Q3"),--('Repartition stock'!$B$6:$B$423="SE"),--('Repartition stock'!$E$6:$E$423="Tranche"),--('Repartition stock'!$F$6:$F$423="0 - 11,3 Kr"))=0,SUMPRODUCT(--('Repartition stock'!$A$6:$A$423="2026Q3"),--('Repartition stock'!$B$6:$B$423="SE"),--('Repartition stock'!$E$6:$E$423="Tranche"),--('Repartition stock'!$F$6:$F$423="0 - 11,3 Kr"),--('Repartition stock'!$G$6:$G$423="n.d."))&gt;0),"n.d.",SUMPRODUCT(--('Repartition stock'!$A$6:$A$423="2026Q3"),--('Repartition stock'!$B$6:$B$423="SE"),--('Repartition stock'!$E$6:$E$423="Tranche"),--('Repartition stock'!$F$6:$F$423="0 - 11,3 Kr"),'Repartition stock'!$G$6:$G$423)))</f>
        <v>102</v>
      </c>
      <c r="Y7" s="16"/>
      <c r="Z7" s="16">
        <f>IF((IF(OR(SUMPRODUCT(--('Repartition stock'!$A$6:$A$423="2026Q3"),--('Repartition stock'!$B$6:$B$423="SE"),--('Repartition stock'!$E$6:$E$423="Tranche"),--('Repartition stock'!$F$6:$F$423="0 - 11,3 Kr"))=0,SUMPRODUCT(--('Repartition stock'!$A$6:$A$423="2026Q3"),--('Repartition stock'!$B$6:$B$423="SE"),--('Repartition stock'!$E$6:$E$423="Tranche"),--('Repartition stock'!$F$6:$F$423="0 - 11,3 Kr"),--('Repartition stock'!$H$6:$H$423="n.d."))&gt;0),"n.d.",SUMPRODUCT(--('Repartition stock'!$A$6:$A$423="2026Q3"),--('Repartition stock'!$B$6:$B$423="SE"),--('Repartition stock'!$E$6:$E$423="Tranche"),--('Repartition stock'!$F$6:$F$423="0 - 11,3 Kr"),'Repartition stock'!$H$6:$H$423)))="n.d.",0,IF(OR(SUMPRODUCT(--('Repartition stock'!$A$6:$A$423="2026Q3"),--('Repartition stock'!$B$6:$B$423="SE"),--('Repartition stock'!$E$6:$E$423="Tranche"),--('Repartition stock'!$F$6:$F$423="0 - 11,3 Kr"))=0,SUMPRODUCT(--('Repartition stock'!$A$6:$A$423="2026Q3"),--('Repartition stock'!$B$6:$B$423="SE"),--('Repartition stock'!$E$6:$E$423="Tranche"),--('Repartition stock'!$F$6:$F$423="0 - 11,3 Kr"),--('Repartition stock'!$H$6:$H$423="n.d."))&gt;0),"n.d.",SUMPRODUCT(--('Repartition stock'!$A$6:$A$423="2026Q3"),--('Repartition stock'!$B$6:$B$423="SE"),--('Repartition stock'!$E$6:$E$423="Tranche"),--('Repartition stock'!$F$6:$F$423="0 - 11,3 Kr"),'Repartition stock'!$H$6:$H$423)))</f>
        <v>199.04999999999998</v>
      </c>
      <c r="AA7" s="16"/>
      <c r="AB7" s="16"/>
      <c r="AC7" s="7">
        <f>IF((IF(OR(COUNT(X7,X12)&lt;&gt;2,X12=0),"n.d.",X7/X12))="n.d.",0,IF(OR(COUNT(X7,X12)&lt;&gt;2,X12=0),"n.d.",X7/X12))</f>
        <v>0.2727272727272727</v>
      </c>
      <c r="AD7" s="7"/>
      <c r="AE7" s="7">
        <f>IF((IF(OR(COUNT(Z7,Z12)&lt;&gt;2,Z12=0),"n.d.",Z7/Z12))="n.d.",0,IF(OR(COUNT(Z7,Z12)&lt;&gt;2,Z12=0),"n.d.",Z7/Z12))</f>
        <v>0.0011530666591282384</v>
      </c>
      <c r="AF7" s="7"/>
    </row>
    <row r="8" spans="1:32" ht="13.5" customHeight="1">
      <c r="A8" s="12"/>
      <c r="R8" s="4"/>
      <c r="S8" s="4"/>
      <c r="T8" s="4"/>
      <c r="U8" s="15" t="s">
        <v>527</v>
      </c>
      <c r="V8" s="15"/>
      <c r="W8" s="15"/>
      <c r="X8" s="16">
        <f>IF((IF(OR(SUMPRODUCT(--('Repartition stock'!$A$6:$A$423="2026Q3"),--('Repartition stock'!$B$6:$B$423="SE"),--('Repartition stock'!$E$6:$E$423="Tranche"),--('Repartition stock'!$F$6:$F$423="11,3 - 113 Kr"))=0,SUMPRODUCT(--('Repartition stock'!$A$6:$A$423="2026Q3"),--('Repartition stock'!$B$6:$B$423="SE"),--('Repartition stock'!$E$6:$E$423="Tranche"),--('Repartition stock'!$F$6:$F$423="11,3 - 113 Kr"),--('Repartition stock'!$G$6:$G$423="n.d."))&gt;0),"n.d.",SUMPRODUCT(--('Repartition stock'!$A$6:$A$423="2026Q3"),--('Repartition stock'!$B$6:$B$423="SE"),--('Repartition stock'!$E$6:$E$423="Tranche"),--('Repartition stock'!$F$6:$F$423="11,3 - 113 Kr"),'Repartition stock'!$G$6:$G$423)))="n.d.",0,IF(OR(SUMPRODUCT(--('Repartition stock'!$A$6:$A$423="2026Q3"),--('Repartition stock'!$B$6:$B$423="SE"),--('Repartition stock'!$E$6:$E$423="Tranche"),--('Repartition stock'!$F$6:$F$423="11,3 - 113 Kr"))=0,SUMPRODUCT(--('Repartition stock'!$A$6:$A$423="2026Q3"),--('Repartition stock'!$B$6:$B$423="SE"),--('Repartition stock'!$E$6:$E$423="Tranche"),--('Repartition stock'!$F$6:$F$423="11,3 - 113 Kr"),--('Repartition stock'!$G$6:$G$423="n.d."))&gt;0),"n.d.",SUMPRODUCT(--('Repartition stock'!$A$6:$A$423="2026Q3"),--('Repartition stock'!$B$6:$B$423="SE"),--('Repartition stock'!$E$6:$E$423="Tranche"),--('Repartition stock'!$F$6:$F$423="11,3 - 113 Kr"),'Repartition stock'!$G$6:$G$423)))</f>
        <v>94</v>
      </c>
      <c r="Y8" s="16"/>
      <c r="Z8" s="16">
        <f>IF((IF(OR(SUMPRODUCT(--('Repartition stock'!$A$6:$A$423="2026Q3"),--('Repartition stock'!$B$6:$B$423="SE"),--('Repartition stock'!$E$6:$E$423="Tranche"),--('Repartition stock'!$F$6:$F$423="11,3 - 113 Kr"))=0,SUMPRODUCT(--('Repartition stock'!$A$6:$A$423="2026Q3"),--('Repartition stock'!$B$6:$B$423="SE"),--('Repartition stock'!$E$6:$E$423="Tranche"),--('Repartition stock'!$F$6:$F$423="11,3 - 113 Kr"),--('Repartition stock'!$H$6:$H$423="n.d."))&gt;0),"n.d.",SUMPRODUCT(--('Repartition stock'!$A$6:$A$423="2026Q3"),--('Repartition stock'!$B$6:$B$423="SE"),--('Repartition stock'!$E$6:$E$423="Tranche"),--('Repartition stock'!$F$6:$F$423="11,3 - 113 Kr"),'Repartition stock'!$H$6:$H$423)))="n.d.",0,IF(OR(SUMPRODUCT(--('Repartition stock'!$A$6:$A$423="2026Q3"),--('Repartition stock'!$B$6:$B$423="SE"),--('Repartition stock'!$E$6:$E$423="Tranche"),--('Repartition stock'!$F$6:$F$423="11,3 - 113 Kr"))=0,SUMPRODUCT(--('Repartition stock'!$A$6:$A$423="2026Q3"),--('Repartition stock'!$B$6:$B$423="SE"),--('Repartition stock'!$E$6:$E$423="Tranche"),--('Repartition stock'!$F$6:$F$423="11,3 - 113 Kr"),--('Repartition stock'!$H$6:$H$423="n.d."))&gt;0),"n.d.",SUMPRODUCT(--('Repartition stock'!$A$6:$A$423="2026Q3"),--('Repartition stock'!$B$6:$B$423="SE"),--('Repartition stock'!$E$6:$E$423="Tranche"),--('Repartition stock'!$F$6:$F$423="11,3 - 113 Kr"),'Repartition stock'!$H$6:$H$423)))</f>
        <v>5458.84</v>
      </c>
      <c r="AA8" s="16"/>
      <c r="AB8" s="16"/>
      <c r="AC8" s="7">
        <f>IF((IF(OR(COUNT(X8,X12)&lt;&gt;2,X12=0),"n.d.",X8/X12))="n.d.",0,IF(OR(COUNT(X8,X12)&lt;&gt;2,X12=0),"n.d.",X8/X12))</f>
        <v>0.25133689839572193</v>
      </c>
      <c r="AD8" s="7"/>
      <c r="AE8" s="7">
        <f>IF((IF(OR(COUNT(Z8,Z12)&lt;&gt;2,Z12=0),"n.d.",Z8/Z12))="n.d.",0,IF(OR(COUNT(Z8,Z12)&lt;&gt;2,Z12=0),"n.d.",Z8/Z12))</f>
        <v>0.031622237636350636</v>
      </c>
      <c r="AF8" s="7"/>
    </row>
    <row r="9" spans="1:32" ht="13.5" customHeight="1">
      <c r="A9" s="12"/>
      <c r="R9" s="4"/>
      <c r="S9" s="4"/>
      <c r="T9" s="4"/>
      <c r="U9" s="15" t="s">
        <v>723</v>
      </c>
      <c r="V9" s="15"/>
      <c r="W9" s="15"/>
      <c r="X9" s="16">
        <f>IF((IF(OR(SUMPRODUCT(--('Repartition stock'!$A$6:$A$423="2026Q3"),--('Repartition stock'!$B$6:$B$423="SE"),--('Repartition stock'!$E$6:$E$423="Tranche"),--('Repartition stock'!$F$6:$F$423="113 - 1133 Kr"))=0,SUMPRODUCT(--('Repartition stock'!$A$6:$A$423="2026Q3"),--('Repartition stock'!$B$6:$B$423="SE"),--('Repartition stock'!$E$6:$E$423="Tranche"),--('Repartition stock'!$F$6:$F$423="113 - 1133 Kr"),--('Repartition stock'!$G$6:$G$423="n.d."))&gt;0),"n.d.",SUMPRODUCT(--('Repartition stock'!$A$6:$A$423="2026Q3"),--('Repartition stock'!$B$6:$B$423="SE"),--('Repartition stock'!$E$6:$E$423="Tranche"),--('Repartition stock'!$F$6:$F$423="113 - 1133 Kr"),'Repartition stock'!$G$6:$G$423)))="n.d.",0,IF(OR(SUMPRODUCT(--('Repartition stock'!$A$6:$A$423="2026Q3"),--('Repartition stock'!$B$6:$B$423="SE"),--('Repartition stock'!$E$6:$E$423="Tranche"),--('Repartition stock'!$F$6:$F$423="113 - 1133 Kr"))=0,SUMPRODUCT(--('Repartition stock'!$A$6:$A$423="2026Q3"),--('Repartition stock'!$B$6:$B$423="SE"),--('Repartition stock'!$E$6:$E$423="Tranche"),--('Repartition stock'!$F$6:$F$423="113 - 1133 Kr"),--('Repartition stock'!$G$6:$G$423="n.d."))&gt;0),"n.d.",SUMPRODUCT(--('Repartition stock'!$A$6:$A$423="2026Q3"),--('Repartition stock'!$B$6:$B$423="SE"),--('Repartition stock'!$E$6:$E$423="Tranche"),--('Repartition stock'!$F$6:$F$423="113 - 1133 Kr"),'Repartition stock'!$G$6:$G$423)))</f>
        <v>142</v>
      </c>
      <c r="Y9" s="16"/>
      <c r="Z9" s="16">
        <f>IF((IF(OR(SUMPRODUCT(--('Repartition stock'!$A$6:$A$423="2026Q3"),--('Repartition stock'!$B$6:$B$423="SE"),--('Repartition stock'!$E$6:$E$423="Tranche"),--('Repartition stock'!$F$6:$F$423="113 - 1133 Kr"))=0,SUMPRODUCT(--('Repartition stock'!$A$6:$A$423="2026Q3"),--('Repartition stock'!$B$6:$B$423="SE"),--('Repartition stock'!$E$6:$E$423="Tranche"),--('Repartition stock'!$F$6:$F$423="113 - 1133 Kr"),--('Repartition stock'!$H$6:$H$423="n.d."))&gt;0),"n.d.",SUMPRODUCT(--('Repartition stock'!$A$6:$A$423="2026Q3"),--('Repartition stock'!$B$6:$B$423="SE"),--('Repartition stock'!$E$6:$E$423="Tranche"),--('Repartition stock'!$F$6:$F$423="113 - 1133 Kr"),'Repartition stock'!$H$6:$H$423)))="n.d.",0,IF(OR(SUMPRODUCT(--('Repartition stock'!$A$6:$A$423="2026Q3"),--('Repartition stock'!$B$6:$B$423="SE"),--('Repartition stock'!$E$6:$E$423="Tranche"),--('Repartition stock'!$F$6:$F$423="113 - 1133 Kr"))=0,SUMPRODUCT(--('Repartition stock'!$A$6:$A$423="2026Q3"),--('Repartition stock'!$B$6:$B$423="SE"),--('Repartition stock'!$E$6:$E$423="Tranche"),--('Repartition stock'!$F$6:$F$423="113 - 1133 Kr"),--('Repartition stock'!$H$6:$H$423="n.d."))&gt;0),"n.d.",SUMPRODUCT(--('Repartition stock'!$A$6:$A$423="2026Q3"),--('Repartition stock'!$B$6:$B$423="SE"),--('Repartition stock'!$E$6:$E$423="Tranche"),--('Repartition stock'!$F$6:$F$423="113 - 1133 Kr"),'Repartition stock'!$H$6:$H$423)))</f>
        <v>57058.09000000001</v>
      </c>
      <c r="AA9" s="16"/>
      <c r="AB9" s="16"/>
      <c r="AC9" s="7">
        <f>IF((IF(OR(COUNT(X9,X12)&lt;&gt;2,X12=0),"n.d.",X9/X12))="n.d.",0,IF(OR(COUNT(X9,X12)&lt;&gt;2,X12=0),"n.d.",X9/X12))</f>
        <v>0.37967914438502676</v>
      </c>
      <c r="AD9" s="7"/>
      <c r="AE9" s="7">
        <f>IF((IF(OR(COUNT(Z9,Z12)&lt;&gt;2,Z12=0),"n.d.",Z9/Z12))="n.d.",0,IF(OR(COUNT(Z9,Z12)&lt;&gt;2,Z12=0),"n.d.",Z9/Z12))</f>
        <v>0.3305289184252116</v>
      </c>
      <c r="AF9" s="7"/>
    </row>
    <row r="10" spans="1:32" ht="13.5" customHeight="1">
      <c r="A10" s="12"/>
      <c r="R10" s="4"/>
      <c r="S10" s="4"/>
      <c r="T10" s="4"/>
      <c r="U10" s="15" t="s">
        <v>725</v>
      </c>
      <c r="V10" s="15"/>
      <c r="W10" s="15"/>
      <c r="X10" s="16">
        <f>IF((IF(OR(SUMPRODUCT(--('Repartition stock'!$A$6:$A$423="2026Q3"),--('Repartition stock'!$B$6:$B$423="SE"),--('Repartition stock'!$E$6:$E$423="Tranche"),--('Repartition stock'!$F$6:$F$423="1133 - 11331 Kr"))=0,SUMPRODUCT(--('Repartition stock'!$A$6:$A$423="2026Q3"),--('Repartition stock'!$B$6:$B$423="SE"),--('Repartition stock'!$E$6:$E$423="Tranche"),--('Repartition stock'!$F$6:$F$423="1133 - 11331 Kr"),--('Repartition stock'!$G$6:$G$423="n.d."))&gt;0),"n.d.",SUMPRODUCT(--('Repartition stock'!$A$6:$A$423="2026Q3"),--('Repartition stock'!$B$6:$B$423="SE"),--('Repartition stock'!$E$6:$E$423="Tranche"),--('Repartition stock'!$F$6:$F$423="1133 - 11331 Kr"),'Repartition stock'!$G$6:$G$423)))="n.d.",0,IF(OR(SUMPRODUCT(--('Repartition stock'!$A$6:$A$423="2026Q3"),--('Repartition stock'!$B$6:$B$423="SE"),--('Repartition stock'!$E$6:$E$423="Tranche"),--('Repartition stock'!$F$6:$F$423="1133 - 11331 Kr"))=0,SUMPRODUCT(--('Repartition stock'!$A$6:$A$423="2026Q3"),--('Repartition stock'!$B$6:$B$423="SE"),--('Repartition stock'!$E$6:$E$423="Tranche"),--('Repartition stock'!$F$6:$F$423="1133 - 11331 Kr"),--('Repartition stock'!$G$6:$G$423="n.d."))&gt;0),"n.d.",SUMPRODUCT(--('Repartition stock'!$A$6:$A$423="2026Q3"),--('Repartition stock'!$B$6:$B$423="SE"),--('Repartition stock'!$E$6:$E$423="Tranche"),--('Repartition stock'!$F$6:$F$423="1133 - 11331 Kr"),'Repartition stock'!$G$6:$G$423)))</f>
        <v>36</v>
      </c>
      <c r="Y10" s="16"/>
      <c r="Z10" s="16">
        <f>IF((IF(OR(SUMPRODUCT(--('Repartition stock'!$A$6:$A$423="2026Q3"),--('Repartition stock'!$B$6:$B$423="SE"),--('Repartition stock'!$E$6:$E$423="Tranche"),--('Repartition stock'!$F$6:$F$423="1133 - 11331 Kr"))=0,SUMPRODUCT(--('Repartition stock'!$A$6:$A$423="2026Q3"),--('Repartition stock'!$B$6:$B$423="SE"),--('Repartition stock'!$E$6:$E$423="Tranche"),--('Repartition stock'!$F$6:$F$423="1133 - 11331 Kr"),--('Repartition stock'!$H$6:$H$423="n.d."))&gt;0),"n.d.",SUMPRODUCT(--('Repartition stock'!$A$6:$A$423="2026Q3"),--('Repartition stock'!$B$6:$B$423="SE"),--('Repartition stock'!$E$6:$E$423="Tranche"),--('Repartition stock'!$F$6:$F$423="1133 - 11331 Kr"),'Repartition stock'!$H$6:$H$423)))="n.d.",0,IF(OR(SUMPRODUCT(--('Repartition stock'!$A$6:$A$423="2026Q3"),--('Repartition stock'!$B$6:$B$423="SE"),--('Repartition stock'!$E$6:$E$423="Tranche"),--('Repartition stock'!$F$6:$F$423="1133 - 11331 Kr"))=0,SUMPRODUCT(--('Repartition stock'!$A$6:$A$423="2026Q3"),--('Repartition stock'!$B$6:$B$423="SE"),--('Repartition stock'!$E$6:$E$423="Tranche"),--('Repartition stock'!$F$6:$F$423="1133 - 11331 Kr"),--('Repartition stock'!$H$6:$H$423="n.d."))&gt;0),"n.d.",SUMPRODUCT(--('Repartition stock'!$A$6:$A$423="2026Q3"),--('Repartition stock'!$B$6:$B$423="SE"),--('Repartition stock'!$E$6:$E$423="Tranche"),--('Repartition stock'!$F$6:$F$423="1133 - 11331 Kr"),'Repartition stock'!$H$6:$H$423)))</f>
        <v>109910.64</v>
      </c>
      <c r="AA10" s="16"/>
      <c r="AB10" s="16"/>
      <c r="AC10" s="7">
        <f>IF((IF(OR(COUNT(X10,X12)&lt;&gt;2,X12=0),"n.d.",X10/X12))="n.d.",0,IF(OR(COUNT(X10,X12)&lt;&gt;2,X12=0),"n.d.",X10/X12))</f>
        <v>0.0962566844919786</v>
      </c>
      <c r="AD10" s="7"/>
      <c r="AE10" s="7">
        <f>IF((IF(OR(COUNT(Z10,Z12)&lt;&gt;2,Z12=0),"n.d.",Z10/Z12))="n.d.",0,IF(OR(COUNT(Z10,Z12)&lt;&gt;2,Z12=0),"n.d.",Z10/Z12))</f>
        <v>0.6366957772793095</v>
      </c>
      <c r="AF10" s="7"/>
    </row>
    <row r="11" spans="1:32" ht="13.5" customHeight="1">
      <c r="A11" s="12"/>
      <c r="R11" s="4"/>
      <c r="S11" s="4"/>
      <c r="T11" s="4"/>
      <c r="U11" s="15" t="s">
        <v>727</v>
      </c>
      <c r="V11" s="15"/>
      <c r="W11" s="15"/>
      <c r="X11" s="16">
        <f>IF((IF(OR(SUMPRODUCT(--('Repartition stock'!$A$6:$A$423="2026Q3"),--('Repartition stock'!$B$6:$B$423="SE"),--('Repartition stock'!$E$6:$E$423="Tranche"),--('Repartition stock'!$F$6:$F$423="&gt;11331 Kr"))=0,SUMPRODUCT(--('Repartition stock'!$A$6:$A$423="2026Q3"),--('Repartition stock'!$B$6:$B$423="SE"),--('Repartition stock'!$E$6:$E$423="Tranche"),--('Repartition stock'!$F$6:$F$423="&gt;11331 Kr"),--('Repartition stock'!$G$6:$G$423="n.d."))&gt;0),"n.d.",SUMPRODUCT(--('Repartition stock'!$A$6:$A$423="2026Q3"),--('Repartition stock'!$B$6:$B$423="SE"),--('Repartition stock'!$E$6:$E$423="Tranche"),--('Repartition stock'!$F$6:$F$423="&gt;11331 Kr"),'Repartition stock'!$G$6:$G$423)))="n.d.",0,IF(OR(SUMPRODUCT(--('Repartition stock'!$A$6:$A$423="2026Q3"),--('Repartition stock'!$B$6:$B$423="SE"),--('Repartition stock'!$E$6:$E$423="Tranche"),--('Repartition stock'!$F$6:$F$423="&gt;11331 Kr"))=0,SUMPRODUCT(--('Repartition stock'!$A$6:$A$423="2026Q3"),--('Repartition stock'!$B$6:$B$423="SE"),--('Repartition stock'!$E$6:$E$423="Tranche"),--('Repartition stock'!$F$6:$F$423="&gt;11331 Kr"),--('Repartition stock'!$G$6:$G$423="n.d."))&gt;0),"n.d.",SUMPRODUCT(--('Repartition stock'!$A$6:$A$423="2026Q3"),--('Repartition stock'!$B$6:$B$423="SE"),--('Repartition stock'!$E$6:$E$423="Tranche"),--('Repartition stock'!$F$6:$F$423="&gt;11331 Kr"),'Repartition stock'!$G$6:$G$423)))</f>
        <v>0</v>
      </c>
      <c r="Y11" s="16"/>
      <c r="Z11" s="16">
        <f>IF((IF(OR(SUMPRODUCT(--('Repartition stock'!$A$6:$A$423="2026Q3"),--('Repartition stock'!$B$6:$B$423="SE"),--('Repartition stock'!$E$6:$E$423="Tranche"),--('Repartition stock'!$F$6:$F$423="&gt;11331 Kr"))=0,SUMPRODUCT(--('Repartition stock'!$A$6:$A$423="2026Q3"),--('Repartition stock'!$B$6:$B$423="SE"),--('Repartition stock'!$E$6:$E$423="Tranche"),--('Repartition stock'!$F$6:$F$423="&gt;11331 Kr"),--('Repartition stock'!$H$6:$H$423="n.d."))&gt;0),"n.d.",SUMPRODUCT(--('Repartition stock'!$A$6:$A$423="2026Q3"),--('Repartition stock'!$B$6:$B$423="SE"),--('Repartition stock'!$E$6:$E$423="Tranche"),--('Repartition stock'!$F$6:$F$423="&gt;11331 Kr"),'Repartition stock'!$H$6:$H$423)))="n.d.",0,IF(OR(SUMPRODUCT(--('Repartition stock'!$A$6:$A$423="2026Q3"),--('Repartition stock'!$B$6:$B$423="SE"),--('Repartition stock'!$E$6:$E$423="Tranche"),--('Repartition stock'!$F$6:$F$423="&gt;11331 Kr"))=0,SUMPRODUCT(--('Repartition stock'!$A$6:$A$423="2026Q3"),--('Repartition stock'!$B$6:$B$423="SE"),--('Repartition stock'!$E$6:$E$423="Tranche"),--('Repartition stock'!$F$6:$F$423="&gt;11331 Kr"),--('Repartition stock'!$H$6:$H$423="n.d."))&gt;0),"n.d.",SUMPRODUCT(--('Repartition stock'!$A$6:$A$423="2026Q3"),--('Repartition stock'!$B$6:$B$423="SE"),--('Repartition stock'!$E$6:$E$423="Tranche"),--('Repartition stock'!$F$6:$F$423="&gt;11331 Kr"),'Repartition stock'!$H$6:$H$423)))</f>
        <v>0</v>
      </c>
      <c r="AA11" s="16"/>
      <c r="AB11" s="16"/>
      <c r="AC11" s="7">
        <f>IF((IF(OR(COUNT(X11,X12)&lt;&gt;2,X12=0),"n.d.",X11/X12))="n.d.",0,IF(OR(COUNT(X11,X12)&lt;&gt;2,X12=0),"n.d.",X11/X12))</f>
        <v>0.0</v>
      </c>
      <c r="AD11" s="7"/>
      <c r="AE11" s="7">
        <f>IF((IF(OR(COUNT(Z11,Z12)&lt;&gt;2,Z12=0),"n.d.",Z11/Z12))="n.d.",0,IF(OR(COUNT(Z11,Z12)&lt;&gt;2,Z12=0),"n.d.",Z11/Z12))</f>
        <v>0.0</v>
      </c>
      <c r="AF11" s="7"/>
    </row>
    <row r="12" spans="1:32" ht="13.5" customHeight="1">
      <c r="A12" s="12"/>
      <c r="R12" s="17" t="s">
        <v>3150</v>
      </c>
      <c r="S12" s="17"/>
      <c r="T12" s="17"/>
      <c r="U12" s="17"/>
      <c r="V12" s="17"/>
      <c r="W12" s="17"/>
      <c r="X12" s="17">
        <f>IF((IF(COUNT(X7:X11)=5,SUM(X7:X11),"n.d."))="n.d.",0,IF(COUNT(X7:X11)=5,SUM(X7:X11),"n.d."))</f>
        <v>374</v>
      </c>
      <c r="Y12" s="17"/>
      <c r="Z12" s="17">
        <f>IF((IF(COUNT(Z7:Z11)=5,SUM(Z7:Z11),"n.d."))="n.d.",0,IF(COUNT(Z7:Z11)=5,SUM(Z7:Z11),"n.d."))</f>
        <v>172626.62000000002</v>
      </c>
      <c r="AA12" s="17"/>
      <c r="AB12" s="17"/>
      <c r="AC12" s="9">
        <f>IF((IF(OR(NOT(ISNUMBER(X12)),X12=0),"n.d.",1))="n.d.",0,IF(OR(NOT(ISNUMBER(X12)),X12=0),"n.d.",1))</f>
        <v>1.0</v>
      </c>
      <c r="AD12" s="9"/>
      <c r="AE12" s="9">
        <f>IF((IF(OR(NOT(ISNUMBER(Z12)),Z12=0),"n.d.",1))="n.d.",0,IF(OR(NOT(ISNUMBER(Z12)),Z12=0),"n.d.",1))</f>
        <v>1.0</v>
      </c>
      <c r="AF12" s="9"/>
    </row>
    <row r="13" spans="1:32" ht="13.5" customHeight="1">
      <c r="A13" s="12"/>
    </row>
    <row r="14" spans="1:32" ht="13.5" customHeight="1">
      <c r="A14" s="12"/>
      <c r="R14" s="4" t="s">
        <v>3151</v>
      </c>
      <c r="S14" s="4"/>
      <c r="T14" s="4"/>
      <c r="U14" s="15" t="s">
        <v>387</v>
      </c>
      <c r="V14" s="15"/>
      <c r="W14" s="15"/>
      <c r="X14" s="16">
        <f>IF((IF(OR(SUMPRODUCT(--('Repartition stock'!$A$6:$A$423="2026Q3"),--('Repartition stock'!$B$6:$B$423="SE"),--('Repartition stock'!$E$6:$E$423="Millésime"),--('Repartition stock'!$F$6:$F$423="&lt;2018"))=0,SUMPRODUCT(--('Repartition stock'!$A$6:$A$423="2026Q3"),--('Repartition stock'!$B$6:$B$423="SE"),--('Repartition stock'!$E$6:$E$423="Millésime"),--('Repartition stock'!$F$6:$F$423="&lt;2018"),--('Repartition stock'!$G$6:$G$423="n.d."))&gt;0),"n.d.",SUMPRODUCT(--('Repartition stock'!$A$6:$A$423="2026Q3"),--('Repartition stock'!$B$6:$B$423="SE"),--('Repartition stock'!$E$6:$E$423="Millésime"),--('Repartition stock'!$F$6:$F$423="&lt;2018"),'Repartition stock'!$G$6:$G$423)))="n.d.",0,IF(OR(SUMPRODUCT(--('Repartition stock'!$A$6:$A$423="2026Q3"),--('Repartition stock'!$B$6:$B$423="SE"),--('Repartition stock'!$E$6:$E$423="Millésime"),--('Repartition stock'!$F$6:$F$423="&lt;2018"))=0,SUMPRODUCT(--('Repartition stock'!$A$6:$A$423="2026Q3"),--('Repartition stock'!$B$6:$B$423="SE"),--('Repartition stock'!$E$6:$E$423="Millésime"),--('Repartition stock'!$F$6:$F$423="&lt;2018"),--('Repartition stock'!$G$6:$G$423="n.d."))&gt;0),"n.d.",SUMPRODUCT(--('Repartition stock'!$A$6:$A$423="2026Q3"),--('Repartition stock'!$B$6:$B$423="SE"),--('Repartition stock'!$E$6:$E$423="Millésime"),--('Repartition stock'!$F$6:$F$423="&lt;2018"),'Repartition stock'!$G$6:$G$423)))</f>
        <v>0</v>
      </c>
      <c r="Y14" s="16"/>
      <c r="Z14" s="16">
        <f>IF((IF(OR(SUMPRODUCT(--('Repartition stock'!$A$6:$A$423="2026Q3"),--('Repartition stock'!$B$6:$B$423="SE"),--('Repartition stock'!$E$6:$E$423="Millésime"),--('Repartition stock'!$F$6:$F$423="&lt;2018"))=0,SUMPRODUCT(--('Repartition stock'!$A$6:$A$423="2026Q3"),--('Repartition stock'!$B$6:$B$423="SE"),--('Repartition stock'!$E$6:$E$423="Millésime"),--('Repartition stock'!$F$6:$F$423="&lt;2018"),--('Repartition stock'!$H$6:$H$423="n.d."))&gt;0),"n.d.",SUMPRODUCT(--('Repartition stock'!$A$6:$A$423="2026Q3"),--('Repartition stock'!$B$6:$B$423="SE"),--('Repartition stock'!$E$6:$E$423="Millésime"),--('Repartition stock'!$F$6:$F$423="&lt;2018"),'Repartition stock'!$H$6:$H$423)))="n.d.",0,IF(OR(SUMPRODUCT(--('Repartition stock'!$A$6:$A$423="2026Q3"),--('Repartition stock'!$B$6:$B$423="SE"),--('Repartition stock'!$E$6:$E$423="Millésime"),--('Repartition stock'!$F$6:$F$423="&lt;2018"))=0,SUMPRODUCT(--('Repartition stock'!$A$6:$A$423="2026Q3"),--('Repartition stock'!$B$6:$B$423="SE"),--('Repartition stock'!$E$6:$E$423="Millésime"),--('Repartition stock'!$F$6:$F$423="&lt;2018"),--('Repartition stock'!$H$6:$H$423="n.d."))&gt;0),"n.d.",SUMPRODUCT(--('Repartition stock'!$A$6:$A$423="2026Q3"),--('Repartition stock'!$B$6:$B$423="SE"),--('Repartition stock'!$E$6:$E$423="Millésime"),--('Repartition stock'!$F$6:$F$423="&lt;2018"),'Repartition stock'!$H$6:$H$423)))</f>
        <v>0</v>
      </c>
      <c r="AA14" s="16"/>
      <c r="AB14" s="16"/>
      <c r="AC14" s="7">
        <f>IF((IF(OR(COUNT(X14,X24)&lt;&gt;2,X24=0),"n.d.",X14/X24))="n.d.",0,IF(OR(COUNT(X14,X24)&lt;&gt;2,X24=0),"n.d.",X14/X24))</f>
        <v>0.0</v>
      </c>
      <c r="AD14" s="7"/>
      <c r="AE14" s="7">
        <f>IF((IF(OR(COUNT(Z14,Z24)&lt;&gt;2,Z24=0),"n.d.",Z14/Z24))="n.d.",0,IF(OR(COUNT(Z14,Z24)&lt;&gt;2,Z24=0),"n.d.",Z14/Z24))</f>
        <v>0.0</v>
      </c>
      <c r="AF14" s="7"/>
    </row>
    <row r="15" spans="1:32" ht="13.5" customHeight="1">
      <c r="A15" s="12"/>
      <c r="R15" s="4"/>
      <c r="S15" s="4"/>
      <c r="T15" s="4"/>
      <c r="U15" s="15" t="s">
        <v>389</v>
      </c>
      <c r="V15" s="15"/>
      <c r="W15" s="15"/>
      <c r="X15" s="16">
        <f>IF((IF(OR(SUMPRODUCT(--('Repartition stock'!$A$6:$A$423="2026Q3"),--('Repartition stock'!$B$6:$B$423="SE"),--('Repartition stock'!$E$6:$E$423="Millésime"),--('Repartition stock'!$F$6:$F$423="2018"))=0,SUMPRODUCT(--('Repartition stock'!$A$6:$A$423="2026Q3"),--('Repartition stock'!$B$6:$B$423="SE"),--('Repartition stock'!$E$6:$E$423="Millésime"),--('Repartition stock'!$F$6:$F$423="2018"),--('Repartition stock'!$G$6:$G$423="n.d."))&gt;0),"n.d.",SUMPRODUCT(--('Repartition stock'!$A$6:$A$423="2026Q3"),--('Repartition stock'!$B$6:$B$423="SE"),--('Repartition stock'!$E$6:$E$423="Millésime"),--('Repartition stock'!$F$6:$F$423="2018"),'Repartition stock'!$G$6:$G$423)))="n.d.",0,IF(OR(SUMPRODUCT(--('Repartition stock'!$A$6:$A$423="2026Q3"),--('Repartition stock'!$B$6:$B$423="SE"),--('Repartition stock'!$E$6:$E$423="Millésime"),--('Repartition stock'!$F$6:$F$423="2018"))=0,SUMPRODUCT(--('Repartition stock'!$A$6:$A$423="2026Q3"),--('Repartition stock'!$B$6:$B$423="SE"),--('Repartition stock'!$E$6:$E$423="Millésime"),--('Repartition stock'!$F$6:$F$423="2018"),--('Repartition stock'!$G$6:$G$423="n.d."))&gt;0),"n.d.",SUMPRODUCT(--('Repartition stock'!$A$6:$A$423="2026Q3"),--('Repartition stock'!$B$6:$B$423="SE"),--('Repartition stock'!$E$6:$E$423="Millésime"),--('Repartition stock'!$F$6:$F$423="2018"),'Repartition stock'!$G$6:$G$423)))</f>
        <v>0</v>
      </c>
      <c r="Y15" s="16"/>
      <c r="Z15" s="16">
        <f>IF((IF(OR(SUMPRODUCT(--('Repartition stock'!$A$6:$A$423="2026Q3"),--('Repartition stock'!$B$6:$B$423="SE"),--('Repartition stock'!$E$6:$E$423="Millésime"),--('Repartition stock'!$F$6:$F$423="2018"))=0,SUMPRODUCT(--('Repartition stock'!$A$6:$A$423="2026Q3"),--('Repartition stock'!$B$6:$B$423="SE"),--('Repartition stock'!$E$6:$E$423="Millésime"),--('Repartition stock'!$F$6:$F$423="2018"),--('Repartition stock'!$H$6:$H$423="n.d."))&gt;0),"n.d.",SUMPRODUCT(--('Repartition stock'!$A$6:$A$423="2026Q3"),--('Repartition stock'!$B$6:$B$423="SE"),--('Repartition stock'!$E$6:$E$423="Millésime"),--('Repartition stock'!$F$6:$F$423="2018"),'Repartition stock'!$H$6:$H$423)))="n.d.",0,IF(OR(SUMPRODUCT(--('Repartition stock'!$A$6:$A$423="2026Q3"),--('Repartition stock'!$B$6:$B$423="SE"),--('Repartition stock'!$E$6:$E$423="Millésime"),--('Repartition stock'!$F$6:$F$423="2018"))=0,SUMPRODUCT(--('Repartition stock'!$A$6:$A$423="2026Q3"),--('Repartition stock'!$B$6:$B$423="SE"),--('Repartition stock'!$E$6:$E$423="Millésime"),--('Repartition stock'!$F$6:$F$423="2018"),--('Repartition stock'!$H$6:$H$423="n.d."))&gt;0),"n.d.",SUMPRODUCT(--('Repartition stock'!$A$6:$A$423="2026Q3"),--('Repartition stock'!$B$6:$B$423="SE"),--('Repartition stock'!$E$6:$E$423="Millésime"),--('Repartition stock'!$F$6:$F$423="2018"),'Repartition stock'!$H$6:$H$423)))</f>
        <v>0</v>
      </c>
      <c r="AA15" s="16"/>
      <c r="AB15" s="16"/>
      <c r="AC15" s="7">
        <f>IF((IF(OR(COUNT(X15,X24)&lt;&gt;2,X24=0),"n.d.",X15/X24))="n.d.",0,IF(OR(COUNT(X15,X24)&lt;&gt;2,X24=0),"n.d.",X15/X24))</f>
        <v>0.0</v>
      </c>
      <c r="AD15" s="7"/>
      <c r="AE15" s="7">
        <f>IF((IF(OR(COUNT(Z15,Z24)&lt;&gt;2,Z24=0),"n.d.",Z15/Z24))="n.d.",0,IF(OR(COUNT(Z15,Z24)&lt;&gt;2,Z24=0),"n.d.",Z15/Z24))</f>
        <v>0.0</v>
      </c>
      <c r="AF15" s="7"/>
    </row>
    <row r="16" spans="1:32" ht="13.5" customHeight="1">
      <c r="A16" s="12"/>
      <c r="R16" s="4"/>
      <c r="S16" s="4"/>
      <c r="T16" s="4"/>
      <c r="U16" s="15" t="s">
        <v>391</v>
      </c>
      <c r="V16" s="15"/>
      <c r="W16" s="15"/>
      <c r="X16" s="16">
        <f>IF((IF(OR(SUMPRODUCT(--('Repartition stock'!$A$6:$A$423="2026Q3"),--('Repartition stock'!$B$6:$B$423="SE"),--('Repartition stock'!$E$6:$E$423="Millésime"),--('Repartition stock'!$F$6:$F$423="2019"))=0,SUMPRODUCT(--('Repartition stock'!$A$6:$A$423="2026Q3"),--('Repartition stock'!$B$6:$B$423="SE"),--('Repartition stock'!$E$6:$E$423="Millésime"),--('Repartition stock'!$F$6:$F$423="2019"),--('Repartition stock'!$G$6:$G$423="n.d."))&gt;0),"n.d.",SUMPRODUCT(--('Repartition stock'!$A$6:$A$423="2026Q3"),--('Repartition stock'!$B$6:$B$423="SE"),--('Repartition stock'!$E$6:$E$423="Millésime"),--('Repartition stock'!$F$6:$F$423="2019"),'Repartition stock'!$G$6:$G$423)))="n.d.",0,IF(OR(SUMPRODUCT(--('Repartition stock'!$A$6:$A$423="2026Q3"),--('Repartition stock'!$B$6:$B$423="SE"),--('Repartition stock'!$E$6:$E$423="Millésime"),--('Repartition stock'!$F$6:$F$423="2019"))=0,SUMPRODUCT(--('Repartition stock'!$A$6:$A$423="2026Q3"),--('Repartition stock'!$B$6:$B$423="SE"),--('Repartition stock'!$E$6:$E$423="Millésime"),--('Repartition stock'!$F$6:$F$423="2019"),--('Repartition stock'!$G$6:$G$423="n.d."))&gt;0),"n.d.",SUMPRODUCT(--('Repartition stock'!$A$6:$A$423="2026Q3"),--('Repartition stock'!$B$6:$B$423="SE"),--('Repartition stock'!$E$6:$E$423="Millésime"),--('Repartition stock'!$F$6:$F$423="2019"),'Repartition stock'!$G$6:$G$423)))</f>
        <v>0</v>
      </c>
      <c r="Y16" s="16"/>
      <c r="Z16" s="16">
        <f>IF((IF(OR(SUMPRODUCT(--('Repartition stock'!$A$6:$A$423="2026Q3"),--('Repartition stock'!$B$6:$B$423="SE"),--('Repartition stock'!$E$6:$E$423="Millésime"),--('Repartition stock'!$F$6:$F$423="2019"))=0,SUMPRODUCT(--('Repartition stock'!$A$6:$A$423="2026Q3"),--('Repartition stock'!$B$6:$B$423="SE"),--('Repartition stock'!$E$6:$E$423="Millésime"),--('Repartition stock'!$F$6:$F$423="2019"),--('Repartition stock'!$H$6:$H$423="n.d."))&gt;0),"n.d.",SUMPRODUCT(--('Repartition stock'!$A$6:$A$423="2026Q3"),--('Repartition stock'!$B$6:$B$423="SE"),--('Repartition stock'!$E$6:$E$423="Millésime"),--('Repartition stock'!$F$6:$F$423="2019"),'Repartition stock'!$H$6:$H$423)))="n.d.",0,IF(OR(SUMPRODUCT(--('Repartition stock'!$A$6:$A$423="2026Q3"),--('Repartition stock'!$B$6:$B$423="SE"),--('Repartition stock'!$E$6:$E$423="Millésime"),--('Repartition stock'!$F$6:$F$423="2019"))=0,SUMPRODUCT(--('Repartition stock'!$A$6:$A$423="2026Q3"),--('Repartition stock'!$B$6:$B$423="SE"),--('Repartition stock'!$E$6:$E$423="Millésime"),--('Repartition stock'!$F$6:$F$423="2019"),--('Repartition stock'!$H$6:$H$423="n.d."))&gt;0),"n.d.",SUMPRODUCT(--('Repartition stock'!$A$6:$A$423="2026Q3"),--('Repartition stock'!$B$6:$B$423="SE"),--('Repartition stock'!$E$6:$E$423="Millésime"),--('Repartition stock'!$F$6:$F$423="2019"),'Repartition stock'!$H$6:$H$423)))</f>
        <v>0</v>
      </c>
      <c r="AA16" s="16"/>
      <c r="AB16" s="16"/>
      <c r="AC16" s="7">
        <f>IF((IF(OR(COUNT(X16,X24)&lt;&gt;2,X24=0),"n.d.",X16/X24))="n.d.",0,IF(OR(COUNT(X16,X24)&lt;&gt;2,X24=0),"n.d.",X16/X24))</f>
        <v>0.0</v>
      </c>
      <c r="AD16" s="7"/>
      <c r="AE16" s="7">
        <f>IF((IF(OR(COUNT(Z16,Z24)&lt;&gt;2,Z24=0),"n.d.",Z16/Z24))="n.d.",0,IF(OR(COUNT(Z16,Z24)&lt;&gt;2,Z24=0),"n.d.",Z16/Z24))</f>
        <v>0.0</v>
      </c>
      <c r="AF16" s="7"/>
    </row>
    <row r="17" spans="1:32" ht="13.5" customHeight="1">
      <c r="A17" s="12"/>
      <c r="R17" s="4"/>
      <c r="S17" s="4"/>
      <c r="T17" s="4"/>
      <c r="U17" s="15" t="s">
        <v>393</v>
      </c>
      <c r="V17" s="15"/>
      <c r="W17" s="15"/>
      <c r="X17" s="16">
        <f>IF((IF(OR(SUMPRODUCT(--('Repartition stock'!$A$6:$A$423="2026Q3"),--('Repartition stock'!$B$6:$B$423="SE"),--('Repartition stock'!$E$6:$E$423="Millésime"),--('Repartition stock'!$F$6:$F$423="2020"))=0,SUMPRODUCT(--('Repartition stock'!$A$6:$A$423="2026Q3"),--('Repartition stock'!$B$6:$B$423="SE"),--('Repartition stock'!$E$6:$E$423="Millésime"),--('Repartition stock'!$F$6:$F$423="2020"),--('Repartition stock'!$G$6:$G$423="n.d."))&gt;0),"n.d.",SUMPRODUCT(--('Repartition stock'!$A$6:$A$423="2026Q3"),--('Repartition stock'!$B$6:$B$423="SE"),--('Repartition stock'!$E$6:$E$423="Millésime"),--('Repartition stock'!$F$6:$F$423="2020"),'Repartition stock'!$G$6:$G$423)))="n.d.",0,IF(OR(SUMPRODUCT(--('Repartition stock'!$A$6:$A$423="2026Q3"),--('Repartition stock'!$B$6:$B$423="SE"),--('Repartition stock'!$E$6:$E$423="Millésime"),--('Repartition stock'!$F$6:$F$423="2020"))=0,SUMPRODUCT(--('Repartition stock'!$A$6:$A$423="2026Q3"),--('Repartition stock'!$B$6:$B$423="SE"),--('Repartition stock'!$E$6:$E$423="Millésime"),--('Repartition stock'!$F$6:$F$423="2020"),--('Repartition stock'!$G$6:$G$423="n.d."))&gt;0),"n.d.",SUMPRODUCT(--('Repartition stock'!$A$6:$A$423="2026Q3"),--('Repartition stock'!$B$6:$B$423="SE"),--('Repartition stock'!$E$6:$E$423="Millésime"),--('Repartition stock'!$F$6:$F$423="2020"),'Repartition stock'!$G$6:$G$423)))</f>
        <v>0</v>
      </c>
      <c r="Y17" s="16"/>
      <c r="Z17" s="16">
        <f>IF((IF(OR(SUMPRODUCT(--('Repartition stock'!$A$6:$A$423="2026Q3"),--('Repartition stock'!$B$6:$B$423="SE"),--('Repartition stock'!$E$6:$E$423="Millésime"),--('Repartition stock'!$F$6:$F$423="2020"))=0,SUMPRODUCT(--('Repartition stock'!$A$6:$A$423="2026Q3"),--('Repartition stock'!$B$6:$B$423="SE"),--('Repartition stock'!$E$6:$E$423="Millésime"),--('Repartition stock'!$F$6:$F$423="2020"),--('Repartition stock'!$H$6:$H$423="n.d."))&gt;0),"n.d.",SUMPRODUCT(--('Repartition stock'!$A$6:$A$423="2026Q3"),--('Repartition stock'!$B$6:$B$423="SE"),--('Repartition stock'!$E$6:$E$423="Millésime"),--('Repartition stock'!$F$6:$F$423="2020"),'Repartition stock'!$H$6:$H$423)))="n.d.",0,IF(OR(SUMPRODUCT(--('Repartition stock'!$A$6:$A$423="2026Q3"),--('Repartition stock'!$B$6:$B$423="SE"),--('Repartition stock'!$E$6:$E$423="Millésime"),--('Repartition stock'!$F$6:$F$423="2020"))=0,SUMPRODUCT(--('Repartition stock'!$A$6:$A$423="2026Q3"),--('Repartition stock'!$B$6:$B$423="SE"),--('Repartition stock'!$E$6:$E$423="Millésime"),--('Repartition stock'!$F$6:$F$423="2020"),--('Repartition stock'!$H$6:$H$423="n.d."))&gt;0),"n.d.",SUMPRODUCT(--('Repartition stock'!$A$6:$A$423="2026Q3"),--('Repartition stock'!$B$6:$B$423="SE"),--('Repartition stock'!$E$6:$E$423="Millésime"),--('Repartition stock'!$F$6:$F$423="2020"),'Repartition stock'!$H$6:$H$423)))</f>
        <v>0</v>
      </c>
      <c r="AA17" s="16"/>
      <c r="AB17" s="16"/>
      <c r="AC17" s="7">
        <f>IF((IF(OR(COUNT(X17,X24)&lt;&gt;2,X24=0),"n.d.",X17/X24))="n.d.",0,IF(OR(COUNT(X17,X24)&lt;&gt;2,X24=0),"n.d.",X17/X24))</f>
        <v>0.0</v>
      </c>
      <c r="AD17" s="7"/>
      <c r="AE17" s="7">
        <f>IF((IF(OR(COUNT(Z17,Z24)&lt;&gt;2,Z24=0),"n.d.",Z17/Z24))="n.d.",0,IF(OR(COUNT(Z17,Z24)&lt;&gt;2,Z24=0),"n.d.",Z17/Z24))</f>
        <v>0.0</v>
      </c>
      <c r="AF17" s="7"/>
    </row>
    <row r="18" spans="1:32" ht="13.5" customHeight="1">
      <c r="A18" s="12"/>
      <c r="R18" s="4"/>
      <c r="S18" s="4"/>
      <c r="T18" s="4"/>
      <c r="U18" s="15" t="s">
        <v>395</v>
      </c>
      <c r="V18" s="15"/>
      <c r="W18" s="15"/>
      <c r="X18" s="16">
        <f>IF((IF(OR(SUMPRODUCT(--('Repartition stock'!$A$6:$A$423="2026Q3"),--('Repartition stock'!$B$6:$B$423="SE"),--('Repartition stock'!$E$6:$E$423="Millésime"),--('Repartition stock'!$F$6:$F$423="2021"))=0,SUMPRODUCT(--('Repartition stock'!$A$6:$A$423="2026Q3"),--('Repartition stock'!$B$6:$B$423="SE"),--('Repartition stock'!$E$6:$E$423="Millésime"),--('Repartition stock'!$F$6:$F$423="2021"),--('Repartition stock'!$G$6:$G$423="n.d."))&gt;0),"n.d.",SUMPRODUCT(--('Repartition stock'!$A$6:$A$423="2026Q3"),--('Repartition stock'!$B$6:$B$423="SE"),--('Repartition stock'!$E$6:$E$423="Millésime"),--('Repartition stock'!$F$6:$F$423="2021"),'Repartition stock'!$G$6:$G$423)))="n.d.",0,IF(OR(SUMPRODUCT(--('Repartition stock'!$A$6:$A$423="2026Q3"),--('Repartition stock'!$B$6:$B$423="SE"),--('Repartition stock'!$E$6:$E$423="Millésime"),--('Repartition stock'!$F$6:$F$423="2021"))=0,SUMPRODUCT(--('Repartition stock'!$A$6:$A$423="2026Q3"),--('Repartition stock'!$B$6:$B$423="SE"),--('Repartition stock'!$E$6:$E$423="Millésime"),--('Repartition stock'!$F$6:$F$423="2021"),--('Repartition stock'!$G$6:$G$423="n.d."))&gt;0),"n.d.",SUMPRODUCT(--('Repartition stock'!$A$6:$A$423="2026Q3"),--('Repartition stock'!$B$6:$B$423="SE"),--('Repartition stock'!$E$6:$E$423="Millésime"),--('Repartition stock'!$F$6:$F$423="2021"),'Repartition stock'!$G$6:$G$423)))</f>
        <v>0</v>
      </c>
      <c r="Y18" s="16"/>
      <c r="Z18" s="16">
        <f>IF((IF(OR(SUMPRODUCT(--('Repartition stock'!$A$6:$A$423="2026Q3"),--('Repartition stock'!$B$6:$B$423="SE"),--('Repartition stock'!$E$6:$E$423="Millésime"),--('Repartition stock'!$F$6:$F$423="2021"))=0,SUMPRODUCT(--('Repartition stock'!$A$6:$A$423="2026Q3"),--('Repartition stock'!$B$6:$B$423="SE"),--('Repartition stock'!$E$6:$E$423="Millésime"),--('Repartition stock'!$F$6:$F$423="2021"),--('Repartition stock'!$H$6:$H$423="n.d."))&gt;0),"n.d.",SUMPRODUCT(--('Repartition stock'!$A$6:$A$423="2026Q3"),--('Repartition stock'!$B$6:$B$423="SE"),--('Repartition stock'!$E$6:$E$423="Millésime"),--('Repartition stock'!$F$6:$F$423="2021"),'Repartition stock'!$H$6:$H$423)))="n.d.",0,IF(OR(SUMPRODUCT(--('Repartition stock'!$A$6:$A$423="2026Q3"),--('Repartition stock'!$B$6:$B$423="SE"),--('Repartition stock'!$E$6:$E$423="Millésime"),--('Repartition stock'!$F$6:$F$423="2021"))=0,SUMPRODUCT(--('Repartition stock'!$A$6:$A$423="2026Q3"),--('Repartition stock'!$B$6:$B$423="SE"),--('Repartition stock'!$E$6:$E$423="Millésime"),--('Repartition stock'!$F$6:$F$423="2021"),--('Repartition stock'!$H$6:$H$423="n.d."))&gt;0),"n.d.",SUMPRODUCT(--('Repartition stock'!$A$6:$A$423="2026Q3"),--('Repartition stock'!$B$6:$B$423="SE"),--('Repartition stock'!$E$6:$E$423="Millésime"),--('Repartition stock'!$F$6:$F$423="2021"),'Repartition stock'!$H$6:$H$423)))</f>
        <v>0</v>
      </c>
      <c r="AA18" s="16"/>
      <c r="AB18" s="16"/>
      <c r="AC18" s="7">
        <f>IF((IF(OR(COUNT(X18,X24)&lt;&gt;2,X24=0),"n.d.",X18/X24))="n.d.",0,IF(OR(COUNT(X18,X24)&lt;&gt;2,X24=0),"n.d.",X18/X24))</f>
        <v>0.0</v>
      </c>
      <c r="AD18" s="7"/>
      <c r="AE18" s="7">
        <f>IF((IF(OR(COUNT(Z18,Z24)&lt;&gt;2,Z24=0),"n.d.",Z18/Z24))="n.d.",0,IF(OR(COUNT(Z18,Z24)&lt;&gt;2,Z24=0),"n.d.",Z18/Z24))</f>
        <v>0.0</v>
      </c>
      <c r="AF18" s="7"/>
    </row>
    <row r="19" spans="1:32" ht="13.5" customHeight="1">
      <c r="A19" s="12"/>
      <c r="R19" s="4"/>
      <c r="S19" s="4"/>
      <c r="T19" s="4"/>
      <c r="U19" s="15" t="s">
        <v>397</v>
      </c>
      <c r="V19" s="15"/>
      <c r="W19" s="15"/>
      <c r="X19" s="16">
        <f>IF((IF(OR(SUMPRODUCT(--('Repartition stock'!$A$6:$A$423="2026Q3"),--('Repartition stock'!$B$6:$B$423="SE"),--('Repartition stock'!$E$6:$E$423="Millésime"),--('Repartition stock'!$F$6:$F$423="2022"))=0,SUMPRODUCT(--('Repartition stock'!$A$6:$A$423="2026Q3"),--('Repartition stock'!$B$6:$B$423="SE"),--('Repartition stock'!$E$6:$E$423="Millésime"),--('Repartition stock'!$F$6:$F$423="2022"),--('Repartition stock'!$G$6:$G$423="n.d."))&gt;0),"n.d.",SUMPRODUCT(--('Repartition stock'!$A$6:$A$423="2026Q3"),--('Repartition stock'!$B$6:$B$423="SE"),--('Repartition stock'!$E$6:$E$423="Millésime"),--('Repartition stock'!$F$6:$F$423="2022"),'Repartition stock'!$G$6:$G$423)))="n.d.",0,IF(OR(SUMPRODUCT(--('Repartition stock'!$A$6:$A$423="2026Q3"),--('Repartition stock'!$B$6:$B$423="SE"),--('Repartition stock'!$E$6:$E$423="Millésime"),--('Repartition stock'!$F$6:$F$423="2022"))=0,SUMPRODUCT(--('Repartition stock'!$A$6:$A$423="2026Q3"),--('Repartition stock'!$B$6:$B$423="SE"),--('Repartition stock'!$E$6:$E$423="Millésime"),--('Repartition stock'!$F$6:$F$423="2022"),--('Repartition stock'!$G$6:$G$423="n.d."))&gt;0),"n.d.",SUMPRODUCT(--('Repartition stock'!$A$6:$A$423="2026Q3"),--('Repartition stock'!$B$6:$B$423="SE"),--('Repartition stock'!$E$6:$E$423="Millésime"),--('Repartition stock'!$F$6:$F$423="2022"),'Repartition stock'!$G$6:$G$423)))</f>
        <v>0</v>
      </c>
      <c r="Y19" s="16"/>
      <c r="Z19" s="16">
        <f>IF((IF(OR(SUMPRODUCT(--('Repartition stock'!$A$6:$A$423="2026Q3"),--('Repartition stock'!$B$6:$B$423="SE"),--('Repartition stock'!$E$6:$E$423="Millésime"),--('Repartition stock'!$F$6:$F$423="2022"))=0,SUMPRODUCT(--('Repartition stock'!$A$6:$A$423="2026Q3"),--('Repartition stock'!$B$6:$B$423="SE"),--('Repartition stock'!$E$6:$E$423="Millésime"),--('Repartition stock'!$F$6:$F$423="2022"),--('Repartition stock'!$H$6:$H$423="n.d."))&gt;0),"n.d.",SUMPRODUCT(--('Repartition stock'!$A$6:$A$423="2026Q3"),--('Repartition stock'!$B$6:$B$423="SE"),--('Repartition stock'!$E$6:$E$423="Millésime"),--('Repartition stock'!$F$6:$F$423="2022"),'Repartition stock'!$H$6:$H$423)))="n.d.",0,IF(OR(SUMPRODUCT(--('Repartition stock'!$A$6:$A$423="2026Q3"),--('Repartition stock'!$B$6:$B$423="SE"),--('Repartition stock'!$E$6:$E$423="Millésime"),--('Repartition stock'!$F$6:$F$423="2022"))=0,SUMPRODUCT(--('Repartition stock'!$A$6:$A$423="2026Q3"),--('Repartition stock'!$B$6:$B$423="SE"),--('Repartition stock'!$E$6:$E$423="Millésime"),--('Repartition stock'!$F$6:$F$423="2022"),--('Repartition stock'!$H$6:$H$423="n.d."))&gt;0),"n.d.",SUMPRODUCT(--('Repartition stock'!$A$6:$A$423="2026Q3"),--('Repartition stock'!$B$6:$B$423="SE"),--('Repartition stock'!$E$6:$E$423="Millésime"),--('Repartition stock'!$F$6:$F$423="2022"),'Repartition stock'!$H$6:$H$423)))</f>
        <v>0</v>
      </c>
      <c r="AA19" s="16"/>
      <c r="AB19" s="16"/>
      <c r="AC19" s="7">
        <f>IF((IF(OR(COUNT(X19,X24)&lt;&gt;2,X24=0),"n.d.",X19/X24))="n.d.",0,IF(OR(COUNT(X19,X24)&lt;&gt;2,X24=0),"n.d.",X19/X24))</f>
        <v>0.0</v>
      </c>
      <c r="AD19" s="7"/>
      <c r="AE19" s="7">
        <f>IF((IF(OR(COUNT(Z19,Z24)&lt;&gt;2,Z24=0),"n.d.",Z19/Z24))="n.d.",0,IF(OR(COUNT(Z19,Z24)&lt;&gt;2,Z24=0),"n.d.",Z19/Z24))</f>
        <v>0.0</v>
      </c>
      <c r="AF19" s="7"/>
    </row>
    <row r="20" spans="1:32" ht="13.5" customHeight="1">
      <c r="A20" s="12"/>
      <c r="R20" s="4"/>
      <c r="S20" s="4"/>
      <c r="T20" s="4"/>
      <c r="U20" s="15" t="s">
        <v>399</v>
      </c>
      <c r="V20" s="15"/>
      <c r="W20" s="15"/>
      <c r="X20" s="16">
        <f>IF((IF(OR(SUMPRODUCT(--('Repartition stock'!$A$6:$A$423="2026Q3"),--('Repartition stock'!$B$6:$B$423="SE"),--('Repartition stock'!$E$6:$E$423="Millésime"),--('Repartition stock'!$F$6:$F$423="2023"))=0,SUMPRODUCT(--('Repartition stock'!$A$6:$A$423="2026Q3"),--('Repartition stock'!$B$6:$B$423="SE"),--('Repartition stock'!$E$6:$E$423="Millésime"),--('Repartition stock'!$F$6:$F$423="2023"),--('Repartition stock'!$G$6:$G$423="n.d."))&gt;0),"n.d.",SUMPRODUCT(--('Repartition stock'!$A$6:$A$423="2026Q3"),--('Repartition stock'!$B$6:$B$423="SE"),--('Repartition stock'!$E$6:$E$423="Millésime"),--('Repartition stock'!$F$6:$F$423="2023"),'Repartition stock'!$G$6:$G$423)))="n.d.",0,IF(OR(SUMPRODUCT(--('Repartition stock'!$A$6:$A$423="2026Q3"),--('Repartition stock'!$B$6:$B$423="SE"),--('Repartition stock'!$E$6:$E$423="Millésime"),--('Repartition stock'!$F$6:$F$423="2023"))=0,SUMPRODUCT(--('Repartition stock'!$A$6:$A$423="2026Q3"),--('Repartition stock'!$B$6:$B$423="SE"),--('Repartition stock'!$E$6:$E$423="Millésime"),--('Repartition stock'!$F$6:$F$423="2023"),--('Repartition stock'!$G$6:$G$423="n.d."))&gt;0),"n.d.",SUMPRODUCT(--('Repartition stock'!$A$6:$A$423="2026Q3"),--('Repartition stock'!$B$6:$B$423="SE"),--('Repartition stock'!$E$6:$E$423="Millésime"),--('Repartition stock'!$F$6:$F$423="2023"),'Repartition stock'!$G$6:$G$423)))</f>
        <v>0</v>
      </c>
      <c r="Y20" s="16"/>
      <c r="Z20" s="16">
        <f>IF((IF(OR(SUMPRODUCT(--('Repartition stock'!$A$6:$A$423="2026Q3"),--('Repartition stock'!$B$6:$B$423="SE"),--('Repartition stock'!$E$6:$E$423="Millésime"),--('Repartition stock'!$F$6:$F$423="2023"))=0,SUMPRODUCT(--('Repartition stock'!$A$6:$A$423="2026Q3"),--('Repartition stock'!$B$6:$B$423="SE"),--('Repartition stock'!$E$6:$E$423="Millésime"),--('Repartition stock'!$F$6:$F$423="2023"),--('Repartition stock'!$H$6:$H$423="n.d."))&gt;0),"n.d.",SUMPRODUCT(--('Repartition stock'!$A$6:$A$423="2026Q3"),--('Repartition stock'!$B$6:$B$423="SE"),--('Repartition stock'!$E$6:$E$423="Millésime"),--('Repartition stock'!$F$6:$F$423="2023"),'Repartition stock'!$H$6:$H$423)))="n.d.",0,IF(OR(SUMPRODUCT(--('Repartition stock'!$A$6:$A$423="2026Q3"),--('Repartition stock'!$B$6:$B$423="SE"),--('Repartition stock'!$E$6:$E$423="Millésime"),--('Repartition stock'!$F$6:$F$423="2023"))=0,SUMPRODUCT(--('Repartition stock'!$A$6:$A$423="2026Q3"),--('Repartition stock'!$B$6:$B$423="SE"),--('Repartition stock'!$E$6:$E$423="Millésime"),--('Repartition stock'!$F$6:$F$423="2023"),--('Repartition stock'!$H$6:$H$423="n.d."))&gt;0),"n.d.",SUMPRODUCT(--('Repartition stock'!$A$6:$A$423="2026Q3"),--('Repartition stock'!$B$6:$B$423="SE"),--('Repartition stock'!$E$6:$E$423="Millésime"),--('Repartition stock'!$F$6:$F$423="2023"),'Repartition stock'!$H$6:$H$423)))</f>
        <v>0</v>
      </c>
      <c r="AA20" s="16"/>
      <c r="AB20" s="16"/>
      <c r="AC20" s="7">
        <f>IF((IF(OR(COUNT(X20,X24)&lt;&gt;2,X24=0),"n.d.",X20/X24))="n.d.",0,IF(OR(COUNT(X20,X24)&lt;&gt;2,X24=0),"n.d.",X20/X24))</f>
        <v>0.0</v>
      </c>
      <c r="AD20" s="7"/>
      <c r="AE20" s="7">
        <f>IF((IF(OR(COUNT(Z20,Z24)&lt;&gt;2,Z24=0),"n.d.",Z20/Z24))="n.d.",0,IF(OR(COUNT(Z20,Z24)&lt;&gt;2,Z24=0),"n.d.",Z20/Z24))</f>
        <v>0.0</v>
      </c>
      <c r="AF20" s="7"/>
    </row>
    <row r="21" spans="1:32" ht="13.5" customHeight="1">
      <c r="A21" s="12"/>
      <c r="R21" s="4"/>
      <c r="S21" s="4"/>
      <c r="T21" s="4"/>
      <c r="U21" s="15" t="s">
        <v>95</v>
      </c>
      <c r="V21" s="15"/>
      <c r="W21" s="15"/>
      <c r="X21" s="16">
        <f>IF((IF(OR(SUMPRODUCT(--('Repartition stock'!$A$6:$A$423="2026Q3"),--('Repartition stock'!$B$6:$B$423="SE"),--('Repartition stock'!$E$6:$E$423="Millésime"),--('Repartition stock'!$F$6:$F$423="2024"))=0,SUMPRODUCT(--('Repartition stock'!$A$6:$A$423="2026Q3"),--('Repartition stock'!$B$6:$B$423="SE"),--('Repartition stock'!$E$6:$E$423="Millésime"),--('Repartition stock'!$F$6:$F$423="2024"),--('Repartition stock'!$G$6:$G$423="n.d."))&gt;0),"n.d.",SUMPRODUCT(--('Repartition stock'!$A$6:$A$423="2026Q3"),--('Repartition stock'!$B$6:$B$423="SE"),--('Repartition stock'!$E$6:$E$423="Millésime"),--('Repartition stock'!$F$6:$F$423="2024"),'Repartition stock'!$G$6:$G$423)))="n.d.",0,IF(OR(SUMPRODUCT(--('Repartition stock'!$A$6:$A$423="2026Q3"),--('Repartition stock'!$B$6:$B$423="SE"),--('Repartition stock'!$E$6:$E$423="Millésime"),--('Repartition stock'!$F$6:$F$423="2024"))=0,SUMPRODUCT(--('Repartition stock'!$A$6:$A$423="2026Q3"),--('Repartition stock'!$B$6:$B$423="SE"),--('Repartition stock'!$E$6:$E$423="Millésime"),--('Repartition stock'!$F$6:$F$423="2024"),--('Repartition stock'!$G$6:$G$423="n.d."))&gt;0),"n.d.",SUMPRODUCT(--('Repartition stock'!$A$6:$A$423="2026Q3"),--('Repartition stock'!$B$6:$B$423="SE"),--('Repartition stock'!$E$6:$E$423="Millésime"),--('Repartition stock'!$F$6:$F$423="2024"),'Repartition stock'!$G$6:$G$423)))</f>
        <v>0</v>
      </c>
      <c r="Y21" s="16"/>
      <c r="Z21" s="16">
        <f>IF((IF(OR(SUMPRODUCT(--('Repartition stock'!$A$6:$A$423="2026Q3"),--('Repartition stock'!$B$6:$B$423="SE"),--('Repartition stock'!$E$6:$E$423="Millésime"),--('Repartition stock'!$F$6:$F$423="2024"))=0,SUMPRODUCT(--('Repartition stock'!$A$6:$A$423="2026Q3"),--('Repartition stock'!$B$6:$B$423="SE"),--('Repartition stock'!$E$6:$E$423="Millésime"),--('Repartition stock'!$F$6:$F$423="2024"),--('Repartition stock'!$H$6:$H$423="n.d."))&gt;0),"n.d.",SUMPRODUCT(--('Repartition stock'!$A$6:$A$423="2026Q3"),--('Repartition stock'!$B$6:$B$423="SE"),--('Repartition stock'!$E$6:$E$423="Millésime"),--('Repartition stock'!$F$6:$F$423="2024"),'Repartition stock'!$H$6:$H$423)))="n.d.",0,IF(OR(SUMPRODUCT(--('Repartition stock'!$A$6:$A$423="2026Q3"),--('Repartition stock'!$B$6:$B$423="SE"),--('Repartition stock'!$E$6:$E$423="Millésime"),--('Repartition stock'!$F$6:$F$423="2024"))=0,SUMPRODUCT(--('Repartition stock'!$A$6:$A$423="2026Q3"),--('Repartition stock'!$B$6:$B$423="SE"),--('Repartition stock'!$E$6:$E$423="Millésime"),--('Repartition stock'!$F$6:$F$423="2024"),--('Repartition stock'!$H$6:$H$423="n.d."))&gt;0),"n.d.",SUMPRODUCT(--('Repartition stock'!$A$6:$A$423="2026Q3"),--('Repartition stock'!$B$6:$B$423="SE"),--('Repartition stock'!$E$6:$E$423="Millésime"),--('Repartition stock'!$F$6:$F$423="2024"),'Repartition stock'!$H$6:$H$423)))</f>
        <v>0</v>
      </c>
      <c r="AA21" s="16"/>
      <c r="AB21" s="16"/>
      <c r="AC21" s="7">
        <f>IF((IF(OR(COUNT(X21,X24)&lt;&gt;2,X24=0),"n.d.",X21/X24))="n.d.",0,IF(OR(COUNT(X21,X24)&lt;&gt;2,X24=0),"n.d.",X21/X24))</f>
        <v>0.0</v>
      </c>
      <c r="AD21" s="7"/>
      <c r="AE21" s="7">
        <f>IF((IF(OR(COUNT(Z21,Z24)&lt;&gt;2,Z24=0),"n.d.",Z21/Z24))="n.d.",0,IF(OR(COUNT(Z21,Z24)&lt;&gt;2,Z24=0),"n.d.",Z21/Z24))</f>
        <v>0.0</v>
      </c>
      <c r="AF21" s="7"/>
    </row>
    <row r="22" spans="1:32" ht="13.5" customHeight="1">
      <c r="A22" s="12"/>
      <c r="R22" s="4"/>
      <c r="S22" s="4"/>
      <c r="T22" s="4"/>
      <c r="U22" s="15" t="s">
        <v>53</v>
      </c>
      <c r="V22" s="15"/>
      <c r="W22" s="15"/>
      <c r="X22" s="16">
        <f>IF((IF(OR(SUMPRODUCT(--('Repartition stock'!$A$6:$A$423="2026Q3"),--('Repartition stock'!$B$6:$B$423="SE"),--('Repartition stock'!$E$6:$E$423="Millésime"),--('Repartition stock'!$F$6:$F$423="2025"))=0,SUMPRODUCT(--('Repartition stock'!$A$6:$A$423="2026Q3"),--('Repartition stock'!$B$6:$B$423="SE"),--('Repartition stock'!$E$6:$E$423="Millésime"),--('Repartition stock'!$F$6:$F$423="2025"),--('Repartition stock'!$G$6:$G$423="n.d."))&gt;0),"n.d.",SUMPRODUCT(--('Repartition stock'!$A$6:$A$423="2026Q3"),--('Repartition stock'!$B$6:$B$423="SE"),--('Repartition stock'!$E$6:$E$423="Millésime"),--('Repartition stock'!$F$6:$F$423="2025"),'Repartition stock'!$G$6:$G$423)))="n.d.",0,IF(OR(SUMPRODUCT(--('Repartition stock'!$A$6:$A$423="2026Q3"),--('Repartition stock'!$B$6:$B$423="SE"),--('Repartition stock'!$E$6:$E$423="Millésime"),--('Repartition stock'!$F$6:$F$423="2025"))=0,SUMPRODUCT(--('Repartition stock'!$A$6:$A$423="2026Q3"),--('Repartition stock'!$B$6:$B$423="SE"),--('Repartition stock'!$E$6:$E$423="Millésime"),--('Repartition stock'!$F$6:$F$423="2025"),--('Repartition stock'!$G$6:$G$423="n.d."))&gt;0),"n.d.",SUMPRODUCT(--('Repartition stock'!$A$6:$A$423="2026Q3"),--('Repartition stock'!$B$6:$B$423="SE"),--('Repartition stock'!$E$6:$E$423="Millésime"),--('Repartition stock'!$F$6:$F$423="2025"),'Repartition stock'!$G$6:$G$423)))</f>
        <v>0</v>
      </c>
      <c r="Y22" s="16"/>
      <c r="Z22" s="16">
        <f>IF((IF(OR(SUMPRODUCT(--('Repartition stock'!$A$6:$A$423="2026Q3"),--('Repartition stock'!$B$6:$B$423="SE"),--('Repartition stock'!$E$6:$E$423="Millésime"),--('Repartition stock'!$F$6:$F$423="2025"))=0,SUMPRODUCT(--('Repartition stock'!$A$6:$A$423="2026Q3"),--('Repartition stock'!$B$6:$B$423="SE"),--('Repartition stock'!$E$6:$E$423="Millésime"),--('Repartition stock'!$F$6:$F$423="2025"),--('Repartition stock'!$H$6:$H$423="n.d."))&gt;0),"n.d.",SUMPRODUCT(--('Repartition stock'!$A$6:$A$423="2026Q3"),--('Repartition stock'!$B$6:$B$423="SE"),--('Repartition stock'!$E$6:$E$423="Millésime"),--('Repartition stock'!$F$6:$F$423="2025"),'Repartition stock'!$H$6:$H$423)))="n.d.",0,IF(OR(SUMPRODUCT(--('Repartition stock'!$A$6:$A$423="2026Q3"),--('Repartition stock'!$B$6:$B$423="SE"),--('Repartition stock'!$E$6:$E$423="Millésime"),--('Repartition stock'!$F$6:$F$423="2025"))=0,SUMPRODUCT(--('Repartition stock'!$A$6:$A$423="2026Q3"),--('Repartition stock'!$B$6:$B$423="SE"),--('Repartition stock'!$E$6:$E$423="Millésime"),--('Repartition stock'!$F$6:$F$423="2025"),--('Repartition stock'!$H$6:$H$423="n.d."))&gt;0),"n.d.",SUMPRODUCT(--('Repartition stock'!$A$6:$A$423="2026Q3"),--('Repartition stock'!$B$6:$B$423="SE"),--('Repartition stock'!$E$6:$E$423="Millésime"),--('Repartition stock'!$F$6:$F$423="2025"),'Repartition stock'!$H$6:$H$423)))</f>
        <v>0</v>
      </c>
      <c r="AA22" s="16"/>
      <c r="AB22" s="16"/>
      <c r="AC22" s="7">
        <f>IF((IF(OR(COUNT(X22,X24)&lt;&gt;2,X24=0),"n.d.",X22/X24))="n.d.",0,IF(OR(COUNT(X22,X24)&lt;&gt;2,X24=0),"n.d.",X22/X24))</f>
        <v>0.0</v>
      </c>
      <c r="AD22" s="7"/>
      <c r="AE22" s="7">
        <f>IF((IF(OR(COUNT(Z22,Z24)&lt;&gt;2,Z24=0),"n.d.",Z22/Z24))="n.d.",0,IF(OR(COUNT(Z22,Z24)&lt;&gt;2,Z24=0),"n.d.",Z22/Z24))</f>
        <v>0.0</v>
      </c>
      <c r="AF22" s="7"/>
    </row>
    <row r="23" spans="1:32" ht="13.5" customHeight="1">
      <c r="A23" s="12"/>
      <c r="R23" s="4"/>
      <c r="S23" s="4"/>
      <c r="T23" s="4"/>
      <c r="U23" s="15" t="s">
        <v>55</v>
      </c>
      <c r="V23" s="15"/>
      <c r="W23" s="15"/>
      <c r="X23" s="16">
        <f>IF((IF(OR(SUMPRODUCT(--('Repartition stock'!$A$6:$A$423="2026Q3"),--('Repartition stock'!$B$6:$B$423="SE"),--('Repartition stock'!$E$6:$E$423="Millésime"),--('Repartition stock'!$F$6:$F$423="2026"))=0,SUMPRODUCT(--('Repartition stock'!$A$6:$A$423="2026Q3"),--('Repartition stock'!$B$6:$B$423="SE"),--('Repartition stock'!$E$6:$E$423="Millésime"),--('Repartition stock'!$F$6:$F$423="2026"),--('Repartition stock'!$G$6:$G$423="n.d."))&gt;0),"n.d.",SUMPRODUCT(--('Repartition stock'!$A$6:$A$423="2026Q3"),--('Repartition stock'!$B$6:$B$423="SE"),--('Repartition stock'!$E$6:$E$423="Millésime"),--('Repartition stock'!$F$6:$F$423="2026"),'Repartition stock'!$G$6:$G$423)))="n.d.",0,IF(OR(SUMPRODUCT(--('Repartition stock'!$A$6:$A$423="2026Q3"),--('Repartition stock'!$B$6:$B$423="SE"),--('Repartition stock'!$E$6:$E$423="Millésime"),--('Repartition stock'!$F$6:$F$423="2026"))=0,SUMPRODUCT(--('Repartition stock'!$A$6:$A$423="2026Q3"),--('Repartition stock'!$B$6:$B$423="SE"),--('Repartition stock'!$E$6:$E$423="Millésime"),--('Repartition stock'!$F$6:$F$423="2026"),--('Repartition stock'!$G$6:$G$423="n.d."))&gt;0),"n.d.",SUMPRODUCT(--('Repartition stock'!$A$6:$A$423="2026Q3"),--('Repartition stock'!$B$6:$B$423="SE"),--('Repartition stock'!$E$6:$E$423="Millésime"),--('Repartition stock'!$F$6:$F$423="2026"),'Repartition stock'!$G$6:$G$423)))</f>
        <v>374</v>
      </c>
      <c r="Y23" s="16"/>
      <c r="Z23" s="16">
        <f>IF((IF(OR(SUMPRODUCT(--('Repartition stock'!$A$6:$A$423="2026Q3"),--('Repartition stock'!$B$6:$B$423="SE"),--('Repartition stock'!$E$6:$E$423="Millésime"),--('Repartition stock'!$F$6:$F$423="2026"))=0,SUMPRODUCT(--('Repartition stock'!$A$6:$A$423="2026Q3"),--('Repartition stock'!$B$6:$B$423="SE"),--('Repartition stock'!$E$6:$E$423="Millésime"),--('Repartition stock'!$F$6:$F$423="2026"),--('Repartition stock'!$H$6:$H$423="n.d."))&gt;0),"n.d.",SUMPRODUCT(--('Repartition stock'!$A$6:$A$423="2026Q3"),--('Repartition stock'!$B$6:$B$423="SE"),--('Repartition stock'!$E$6:$E$423="Millésime"),--('Repartition stock'!$F$6:$F$423="2026"),'Repartition stock'!$H$6:$H$423)))="n.d.",0,IF(OR(SUMPRODUCT(--('Repartition stock'!$A$6:$A$423="2026Q3"),--('Repartition stock'!$B$6:$B$423="SE"),--('Repartition stock'!$E$6:$E$423="Millésime"),--('Repartition stock'!$F$6:$F$423="2026"))=0,SUMPRODUCT(--('Repartition stock'!$A$6:$A$423="2026Q3"),--('Repartition stock'!$B$6:$B$423="SE"),--('Repartition stock'!$E$6:$E$423="Millésime"),--('Repartition stock'!$F$6:$F$423="2026"),--('Repartition stock'!$H$6:$H$423="n.d."))&gt;0),"n.d.",SUMPRODUCT(--('Repartition stock'!$A$6:$A$423="2026Q3"),--('Repartition stock'!$B$6:$B$423="SE"),--('Repartition stock'!$E$6:$E$423="Millésime"),--('Repartition stock'!$F$6:$F$423="2026"),'Repartition stock'!$H$6:$H$423)))</f>
        <v>172626.61999999994</v>
      </c>
      <c r="AA23" s="16"/>
      <c r="AB23" s="16"/>
      <c r="AC23" s="7">
        <f>IF((IF(OR(COUNT(X23,X24)&lt;&gt;2,X24=0),"n.d.",X23/X24))="n.d.",0,IF(OR(COUNT(X23,X24)&lt;&gt;2,X24=0),"n.d.",X23/X24))</f>
        <v>1.0</v>
      </c>
      <c r="AD23" s="7"/>
      <c r="AE23" s="7">
        <f>IF((IF(OR(COUNT(Z23,Z24)&lt;&gt;2,Z24=0),"n.d.",Z23/Z24))="n.d.",0,IF(OR(COUNT(Z23,Z24)&lt;&gt;2,Z24=0),"n.d.",Z23/Z24))</f>
        <v>1.0</v>
      </c>
      <c r="AF23" s="7"/>
    </row>
    <row r="24" spans="1:32" ht="13.5" customHeight="1">
      <c r="A24" s="12"/>
      <c r="R24" s="17" t="s">
        <v>3150</v>
      </c>
      <c r="S24" s="17"/>
      <c r="T24" s="17"/>
      <c r="U24" s="17"/>
      <c r="V24" s="17"/>
      <c r="W24" s="17"/>
      <c r="X24" s="17">
        <f>IF((IF(COUNT(X14:X23)=10,SUM(X14:X23),"n.d."))="n.d.",0,IF(COUNT(X14:X23)=10,SUM(X14:X23),"n.d."))</f>
        <v>374</v>
      </c>
      <c r="Y24" s="17"/>
      <c r="Z24" s="17">
        <f>IF((IF(COUNT(Z14:Z23)=10,SUM(Z14:Z23),"n.d."))="n.d.",0,IF(COUNT(Z14:Z23)=10,SUM(Z14:Z23),"n.d."))</f>
        <v>172626.61999999994</v>
      </c>
      <c r="AA24" s="17"/>
      <c r="AB24" s="17"/>
      <c r="AC24" s="9">
        <f>IF((IF(OR(NOT(ISNUMBER(X24)),X24=0),"n.d.",1))="n.d.",0,IF(OR(NOT(ISNUMBER(X24)),X24=0),"n.d.",1))</f>
        <v>1.0</v>
      </c>
      <c r="AD24" s="9"/>
      <c r="AE24" s="9">
        <f>IF((IF(OR(NOT(ISNUMBER(Z24)),Z24=0),"n.d.",1))="n.d.",0,IF(OR(NOT(ISNUMBER(Z24)),Z24=0),"n.d.",1))</f>
        <v>1.0</v>
      </c>
      <c r="AF24" s="9"/>
    </row>
    <row r="25" spans="1:32" ht="13.5" customHeight="1">
      <c r="A25" s="12"/>
    </row>
    <row r="26" spans="1:32" ht="13.5" customHeight="1">
      <c r="A26" s="12"/>
    </row>
    <row r="27" spans="1:32" ht="13.5" customHeight="1">
      <c r="A27" s="12"/>
    </row>
    <row r="28" spans="1:32" ht="13.5" customHeight="1">
      <c r="A28" s="12"/>
    </row>
    <row r="29" spans="1:32" ht="13.5" customHeight="1">
      <c r="A29" s="12"/>
    </row>
    <row r="30" spans="1:32" ht="13.5" customHeight="1">
      <c r="A30" s="12"/>
      <c r="B30" s="10" t="str">
        <f>"Average monthly new flow: "&amp;IF(ISNUMBER('GraphData'!A307),TEXT('GraphData'!A307,"#,##0"),"0")&amp;" SEK. Average balance per contract: "&amp;IF(ISNUMBER('GraphData'!B307),TEXT('GraphData'!B307,"#,##0"),"0")&amp;" SEK."</f>
        <v>Average monthly new flow: 240,570 SEK. Average balance per contract: 420 SEK.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3.5" customHeight="1">
      <c r="A31" s="12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3.5" customHeight="1">
      <c r="A32" s="12"/>
      <c r="B32" s="10" t="str">
        <f>"Oldest cohort (M-5): "&amp;IF(ISNUMBER('GraphData'!C307),TEXT('GraphData'!C307,"0.0%"),"0")&amp;" treated in amount and "&amp;IF(ISNUMBER('GraphData'!D307),TEXT('GraphData'!D307,"0.0%"),"0")&amp;" in number."</f>
        <v>Oldest cohort (M-5): 100.0% treated in amount and 100.0% in number.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3.5" customHeight="1">
      <c r="A33" s="1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3.5" customHeight="1">
      <c r="A34" s="12"/>
      <c r="B34" s="10" t="str">
        <f>"Stock to process: "&amp;IF(ISNUMBER('GraphData'!E307),TEXT('GraphData'!E307,"#,##0"),"0")&amp;" SEK. Identified stock: "&amp;IF(ISNUMBER('GraphData'!F307),TEXT('GraphData'!F307,"#,##0"),"0")&amp;" SEK."</f>
        <v>Stock to process: 172,627 SEK. Identified stock: 172,627 SEK.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3.5" customHeight="1">
      <c r="A35" s="12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3.5" customHeight="1">
      <c r="A36" s="12"/>
      <c r="B36" s="10" t="s">
        <v>3214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3.5" customHeight="1">
      <c r="A37" s="12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3.5" customHeight="1">
      <c r="A38" s="12"/>
    </row>
    <row r="39" spans="1:32" ht="13.5" customHeight="1">
      <c r="A39" s="12"/>
    </row>
    <row r="40" spans="1:32" ht="13.5" customHeight="1">
      <c r="A40" s="12"/>
    </row>
    <row r="41" spans="1:32" ht="13.5" customHeight="1">
      <c r="A41" s="12"/>
    </row>
    <row r="42" spans="1:32" ht="13.5" customHeight="1">
      <c r="A42" s="12"/>
      <c r="B42" s="11" t="s">
        <v>3079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</sheetData>
  <mergeCells count="100">
    <mergeCell ref="B2:M4"/>
    <mergeCell ref="B42:AF42"/>
    <mergeCell ref="B5:P6"/>
    <mergeCell ref="R2:W5"/>
    <mergeCell ref="X2:AF2"/>
    <mergeCell ref="X3:Y5"/>
    <mergeCell ref="Z3:AB5"/>
    <mergeCell ref="AC3:AD5"/>
    <mergeCell ref="AE3:AF5"/>
    <mergeCell ref="R7:T11"/>
    <mergeCell ref="U7:W7"/>
    <mergeCell ref="X7:Y7"/>
    <mergeCell ref="Z7:AB7"/>
    <mergeCell ref="AC7:AD7"/>
    <mergeCell ref="AE7:AF7"/>
    <mergeCell ref="U8:W8"/>
    <mergeCell ref="X8:Y8"/>
    <mergeCell ref="Z8:AB8"/>
    <mergeCell ref="AC8:AD8"/>
    <mergeCell ref="AE8:AF8"/>
    <mergeCell ref="U9:W9"/>
    <mergeCell ref="X9:Y9"/>
    <mergeCell ref="Z9:AB9"/>
    <mergeCell ref="AC9:AD9"/>
    <mergeCell ref="AE9:AF9"/>
    <mergeCell ref="U10:W10"/>
    <mergeCell ref="X10:Y10"/>
    <mergeCell ref="Z10:AB10"/>
    <mergeCell ref="AC10:AD10"/>
    <mergeCell ref="AE10:AF10"/>
    <mergeCell ref="U11:W11"/>
    <mergeCell ref="X11:Y11"/>
    <mergeCell ref="Z11:AB11"/>
    <mergeCell ref="AC11:AD11"/>
    <mergeCell ref="AE11:AF11"/>
    <mergeCell ref="R12:W12"/>
    <mergeCell ref="X12:Y12"/>
    <mergeCell ref="Z12:AB12"/>
    <mergeCell ref="AC12:AD12"/>
    <mergeCell ref="AE12:AF12"/>
    <mergeCell ref="R14:T23"/>
    <mergeCell ref="U14:W14"/>
    <mergeCell ref="X14:Y14"/>
    <mergeCell ref="Z14:AB14"/>
    <mergeCell ref="AC14:AD14"/>
    <mergeCell ref="AE14:AF14"/>
    <mergeCell ref="U15:W15"/>
    <mergeCell ref="X15:Y15"/>
    <mergeCell ref="Z15:AB15"/>
    <mergeCell ref="AC15:AD15"/>
    <mergeCell ref="AE15:AF15"/>
    <mergeCell ref="U16:W16"/>
    <mergeCell ref="X16:Y16"/>
    <mergeCell ref="Z16:AB16"/>
    <mergeCell ref="AC16:AD16"/>
    <mergeCell ref="AE16:AF16"/>
    <mergeCell ref="U17:W17"/>
    <mergeCell ref="X17:Y17"/>
    <mergeCell ref="Z17:AB17"/>
    <mergeCell ref="AC17:AD17"/>
    <mergeCell ref="AE17:AF17"/>
    <mergeCell ref="U18:W18"/>
    <mergeCell ref="X18:Y18"/>
    <mergeCell ref="Z18:AB18"/>
    <mergeCell ref="AC18:AD18"/>
    <mergeCell ref="AE18:AF18"/>
    <mergeCell ref="U19:W19"/>
    <mergeCell ref="X19:Y19"/>
    <mergeCell ref="Z19:AB19"/>
    <mergeCell ref="AC19:AD19"/>
    <mergeCell ref="AE19:AF19"/>
    <mergeCell ref="U20:W20"/>
    <mergeCell ref="X20:Y20"/>
    <mergeCell ref="Z20:AB20"/>
    <mergeCell ref="AC20:AD20"/>
    <mergeCell ref="AE20:AF20"/>
    <mergeCell ref="U21:W21"/>
    <mergeCell ref="X21:Y21"/>
    <mergeCell ref="Z21:AB21"/>
    <mergeCell ref="AC21:AD21"/>
    <mergeCell ref="AE21:AF21"/>
    <mergeCell ref="U22:W22"/>
    <mergeCell ref="X22:Y22"/>
    <mergeCell ref="Z22:AB22"/>
    <mergeCell ref="AC22:AD22"/>
    <mergeCell ref="AE22:AF22"/>
    <mergeCell ref="U23:W23"/>
    <mergeCell ref="X23:Y23"/>
    <mergeCell ref="Z23:AB23"/>
    <mergeCell ref="AC23:AD23"/>
    <mergeCell ref="AE23:AF23"/>
    <mergeCell ref="R24:W24"/>
    <mergeCell ref="X24:Y24"/>
    <mergeCell ref="Z24:AB24"/>
    <mergeCell ref="AC24:AD24"/>
    <mergeCell ref="AE24:AF24"/>
    <mergeCell ref="B30:AF31"/>
    <mergeCell ref="B32:AF33"/>
    <mergeCell ref="B34:AF35"/>
    <mergeCell ref="B36:AF37"/>
  </mergeCells>
  <conditionalFormatting sqref="B30:AF40">
    <cfRule type="notContainsBlanks" dxfId="2" priority="1">
      <formula>LEN(TRIM(B30))&gt;0</formula>
    </cfRule>
  </conditionalFormatting>
  <pageMargins left="0.15" right="0.15" top="0.2" bottom="0.2" header="0.3" footer="0.3"/>
  <pageSetup paperSize="9" fitToHeight="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4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8" customWidth="1"/>
    <col min="2" max="2" width="12.7109375" style="18" customWidth="1"/>
    <col min="3" max="3" width="23.7109375" style="18" customWidth="1"/>
    <col min="4" max="4" width="12.7109375" style="18" customWidth="1"/>
    <col min="5" max="28" width="22.7109375" style="18" customWidth="1"/>
  </cols>
  <sheetData>
    <row r="2" spans="1:28" ht="19" customHeight="1">
      <c r="A2" s="19" t="s">
        <v>794</v>
      </c>
    </row>
    <row r="3" spans="1:28" ht="19" customHeight="1">
      <c r="A3" s="20" t="s">
        <v>795</v>
      </c>
    </row>
    <row r="5" spans="1:28" ht="42" customHeight="1">
      <c r="A5" s="21" t="s">
        <v>3</v>
      </c>
      <c r="B5" s="21" t="s">
        <v>31</v>
      </c>
      <c r="C5" s="21" t="s">
        <v>32</v>
      </c>
      <c r="D5" s="21" t="s">
        <v>4</v>
      </c>
      <c r="E5" s="21" t="s">
        <v>45</v>
      </c>
      <c r="F5" s="21" t="s">
        <v>796</v>
      </c>
      <c r="G5" s="21" t="s">
        <v>797</v>
      </c>
      <c r="H5" s="21" t="s">
        <v>798</v>
      </c>
      <c r="I5" s="21" t="s">
        <v>799</v>
      </c>
      <c r="J5" s="21" t="s">
        <v>800</v>
      </c>
      <c r="K5" s="21" t="s">
        <v>801</v>
      </c>
      <c r="L5" s="21" t="s">
        <v>802</v>
      </c>
      <c r="M5" s="21" t="s">
        <v>803</v>
      </c>
      <c r="N5" s="21" t="s">
        <v>804</v>
      </c>
      <c r="O5" s="21" t="s">
        <v>805</v>
      </c>
      <c r="P5" s="21" t="s">
        <v>806</v>
      </c>
      <c r="Q5" s="21" t="s">
        <v>807</v>
      </c>
      <c r="R5" s="21" t="s">
        <v>808</v>
      </c>
      <c r="S5" s="21" t="s">
        <v>809</v>
      </c>
      <c r="T5" s="21" t="s">
        <v>810</v>
      </c>
      <c r="U5" s="21" t="s">
        <v>811</v>
      </c>
      <c r="V5" s="21" t="s">
        <v>812</v>
      </c>
      <c r="W5" s="21" t="s">
        <v>813</v>
      </c>
      <c r="X5" s="21" t="s">
        <v>814</v>
      </c>
      <c r="Y5" s="21" t="s">
        <v>815</v>
      </c>
      <c r="Z5" s="21" t="s">
        <v>816</v>
      </c>
      <c r="AA5" s="21" t="s">
        <v>817</v>
      </c>
      <c r="AB5" s="21" t="s">
        <v>818</v>
      </c>
    </row>
    <row r="6" spans="1:28" ht="19" customHeight="1">
      <c r="A6" s="18" t="s">
        <v>9</v>
      </c>
      <c r="B6" s="18" t="s">
        <v>57</v>
      </c>
      <c r="C6" s="18" t="s">
        <v>58</v>
      </c>
      <c r="D6" s="18" t="s">
        <v>10</v>
      </c>
      <c r="E6" s="22">
        <v>1</v>
      </c>
      <c r="F6" s="23" t="s">
        <v>51</v>
      </c>
      <c r="G6" s="23" t="s">
        <v>51</v>
      </c>
      <c r="H6" s="23" t="s">
        <v>51</v>
      </c>
      <c r="I6" s="23" t="s">
        <v>51</v>
      </c>
      <c r="J6" s="22">
        <v>2166528.21</v>
      </c>
      <c r="K6" s="22">
        <v>0</v>
      </c>
      <c r="L6" s="22">
        <v>2166528.21</v>
      </c>
      <c r="M6" s="23" t="s">
        <v>51</v>
      </c>
      <c r="N6" s="22">
        <v>2166528.21</v>
      </c>
      <c r="O6" s="22">
        <v>2166528.21</v>
      </c>
      <c r="P6" s="23" t="s">
        <v>51</v>
      </c>
      <c r="Q6" s="23" t="s">
        <v>51</v>
      </c>
      <c r="R6" s="23" t="s">
        <v>51</v>
      </c>
      <c r="S6" s="23" t="s">
        <v>51</v>
      </c>
      <c r="T6" s="23" t="s">
        <v>51</v>
      </c>
      <c r="U6" s="23" t="s">
        <v>51</v>
      </c>
      <c r="V6" s="23" t="s">
        <v>51</v>
      </c>
      <c r="W6" s="23" t="s">
        <v>51</v>
      </c>
      <c r="X6" s="24">
        <v>0.9802091429999999</v>
      </c>
      <c r="Y6" s="24">
        <v>0.9367893882</v>
      </c>
      <c r="Z6" s="23" t="s">
        <v>51</v>
      </c>
      <c r="AA6" s="23" t="s">
        <v>51</v>
      </c>
      <c r="AB6" s="23" t="s">
        <v>51</v>
      </c>
    </row>
    <row r="7" spans="1:28" ht="19" customHeight="1">
      <c r="A7" s="18" t="s">
        <v>9</v>
      </c>
      <c r="B7" s="18" t="s">
        <v>67</v>
      </c>
      <c r="C7" s="18" t="s">
        <v>68</v>
      </c>
      <c r="D7" s="18" t="s">
        <v>10</v>
      </c>
      <c r="E7" s="22">
        <v>1</v>
      </c>
      <c r="F7" s="23" t="s">
        <v>51</v>
      </c>
      <c r="G7" s="23" t="s">
        <v>51</v>
      </c>
      <c r="H7" s="23" t="s">
        <v>51</v>
      </c>
      <c r="I7" s="23" t="s">
        <v>51</v>
      </c>
      <c r="J7" s="22">
        <v>4144111.17</v>
      </c>
      <c r="K7" s="22">
        <v>0</v>
      </c>
      <c r="L7" s="22">
        <v>4144111.17</v>
      </c>
      <c r="M7" s="23" t="s">
        <v>51</v>
      </c>
      <c r="N7" s="22">
        <v>4144111.17</v>
      </c>
      <c r="O7" s="22">
        <v>4144111.17</v>
      </c>
      <c r="P7" s="23" t="s">
        <v>51</v>
      </c>
      <c r="Q7" s="23" t="s">
        <v>51</v>
      </c>
      <c r="R7" s="23" t="s">
        <v>51</v>
      </c>
      <c r="S7" s="23" t="s">
        <v>51</v>
      </c>
      <c r="T7" s="23" t="s">
        <v>51</v>
      </c>
      <c r="U7" s="23" t="s">
        <v>51</v>
      </c>
      <c r="V7" s="23" t="s">
        <v>51</v>
      </c>
      <c r="W7" s="23" t="s">
        <v>51</v>
      </c>
      <c r="X7" s="23" t="s">
        <v>51</v>
      </c>
      <c r="Y7" s="23" t="s">
        <v>51</v>
      </c>
      <c r="Z7" s="23" t="s">
        <v>51</v>
      </c>
      <c r="AA7" s="23" t="s">
        <v>51</v>
      </c>
      <c r="AB7" s="23" t="s">
        <v>51</v>
      </c>
    </row>
    <row r="8" spans="1:28" ht="19" customHeight="1">
      <c r="A8" s="18" t="s">
        <v>9</v>
      </c>
      <c r="B8" s="18" t="s">
        <v>86</v>
      </c>
      <c r="C8" s="18" t="s">
        <v>87</v>
      </c>
      <c r="D8" s="18" t="s">
        <v>10</v>
      </c>
      <c r="E8" s="22">
        <v>1</v>
      </c>
      <c r="F8" s="23" t="s">
        <v>51</v>
      </c>
      <c r="G8" s="23" t="s">
        <v>51</v>
      </c>
      <c r="H8" s="23" t="s">
        <v>51</v>
      </c>
      <c r="I8" s="23" t="s">
        <v>51</v>
      </c>
      <c r="J8" s="22">
        <v>40421.54</v>
      </c>
      <c r="K8" s="22">
        <v>0</v>
      </c>
      <c r="L8" s="22">
        <v>40421.54</v>
      </c>
      <c r="M8" s="23" t="s">
        <v>51</v>
      </c>
      <c r="N8" s="22">
        <v>40421.54</v>
      </c>
      <c r="O8" s="22">
        <v>40421.54</v>
      </c>
      <c r="P8" s="23" t="s">
        <v>51</v>
      </c>
      <c r="Q8" s="23" t="s">
        <v>51</v>
      </c>
      <c r="R8" s="23" t="s">
        <v>51</v>
      </c>
      <c r="S8" s="23" t="s">
        <v>51</v>
      </c>
      <c r="T8" s="23" t="s">
        <v>51</v>
      </c>
      <c r="U8" s="23" t="s">
        <v>51</v>
      </c>
      <c r="V8" s="23" t="s">
        <v>51</v>
      </c>
      <c r="W8" s="23" t="s">
        <v>51</v>
      </c>
      <c r="X8" s="23" t="s">
        <v>51</v>
      </c>
      <c r="Y8" s="23" t="s">
        <v>51</v>
      </c>
      <c r="Z8" s="23" t="s">
        <v>51</v>
      </c>
      <c r="AA8" s="23" t="s">
        <v>51</v>
      </c>
      <c r="AB8" s="23" t="s">
        <v>51</v>
      </c>
    </row>
    <row r="9" spans="1:28" ht="19" customHeight="1">
      <c r="A9" s="18" t="s">
        <v>9</v>
      </c>
      <c r="B9" s="18" t="s">
        <v>48</v>
      </c>
      <c r="C9" s="18" t="s">
        <v>49</v>
      </c>
      <c r="D9" s="18" t="s">
        <v>10</v>
      </c>
      <c r="E9" s="22">
        <v>1</v>
      </c>
      <c r="F9" s="23" t="s">
        <v>51</v>
      </c>
      <c r="G9" s="23" t="s">
        <v>51</v>
      </c>
      <c r="H9" s="23" t="s">
        <v>51</v>
      </c>
      <c r="I9" s="23" t="s">
        <v>51</v>
      </c>
      <c r="J9" s="22">
        <v>237187</v>
      </c>
      <c r="K9" s="22">
        <v>0</v>
      </c>
      <c r="L9" s="22">
        <v>237187</v>
      </c>
      <c r="M9" s="23" t="s">
        <v>51</v>
      </c>
      <c r="N9" s="22">
        <v>237187</v>
      </c>
      <c r="O9" s="22">
        <v>237187</v>
      </c>
      <c r="P9" s="23" t="s">
        <v>51</v>
      </c>
      <c r="Q9" s="23" t="s">
        <v>51</v>
      </c>
      <c r="R9" s="23" t="s">
        <v>51</v>
      </c>
      <c r="S9" s="23" t="s">
        <v>51</v>
      </c>
      <c r="T9" s="23" t="s">
        <v>51</v>
      </c>
      <c r="U9" s="23" t="s">
        <v>51</v>
      </c>
      <c r="V9" s="23" t="s">
        <v>51</v>
      </c>
      <c r="W9" s="23" t="s">
        <v>51</v>
      </c>
      <c r="X9" s="24">
        <v>0.9854512629</v>
      </c>
      <c r="Y9" s="24">
        <v>0.9529860229</v>
      </c>
      <c r="Z9" s="23" t="s">
        <v>51</v>
      </c>
      <c r="AA9" s="23" t="s">
        <v>51</v>
      </c>
      <c r="AB9" s="23" t="s">
        <v>51</v>
      </c>
    </row>
    <row r="10" spans="1:28" ht="19" customHeight="1">
      <c r="A10" s="18" t="s">
        <v>9</v>
      </c>
      <c r="B10" s="18" t="s">
        <v>72</v>
      </c>
      <c r="C10" s="18" t="s">
        <v>73</v>
      </c>
      <c r="D10" s="18" t="s">
        <v>10</v>
      </c>
      <c r="E10" s="22">
        <v>1</v>
      </c>
      <c r="F10" s="23" t="s">
        <v>51</v>
      </c>
      <c r="G10" s="23" t="s">
        <v>51</v>
      </c>
      <c r="H10" s="23" t="s">
        <v>51</v>
      </c>
      <c r="I10" s="23" t="s">
        <v>51</v>
      </c>
      <c r="J10" s="22">
        <v>3049033.32</v>
      </c>
      <c r="K10" s="22">
        <v>0</v>
      </c>
      <c r="L10" s="22">
        <v>3049033.32</v>
      </c>
      <c r="M10" s="23" t="s">
        <v>51</v>
      </c>
      <c r="N10" s="22">
        <v>3049033.32</v>
      </c>
      <c r="O10" s="22">
        <v>3049033.32</v>
      </c>
      <c r="P10" s="23" t="s">
        <v>51</v>
      </c>
      <c r="Q10" s="23" t="s">
        <v>51</v>
      </c>
      <c r="R10" s="23" t="s">
        <v>51</v>
      </c>
      <c r="S10" s="23" t="s">
        <v>51</v>
      </c>
      <c r="T10" s="23" t="s">
        <v>51</v>
      </c>
      <c r="U10" s="23" t="s">
        <v>51</v>
      </c>
      <c r="V10" s="23" t="s">
        <v>51</v>
      </c>
      <c r="W10" s="23" t="s">
        <v>51</v>
      </c>
      <c r="X10" s="24">
        <v>0.9882626718999999</v>
      </c>
      <c r="Y10" s="24">
        <v>0.876199262</v>
      </c>
      <c r="Z10" s="23" t="s">
        <v>51</v>
      </c>
      <c r="AA10" s="23" t="s">
        <v>51</v>
      </c>
      <c r="AB10" s="23" t="s">
        <v>51</v>
      </c>
    </row>
    <row r="11" spans="1:28" ht="19" customHeight="1">
      <c r="A11" s="18" t="s">
        <v>9</v>
      </c>
      <c r="B11" s="18" t="s">
        <v>77</v>
      </c>
      <c r="C11" s="18" t="s">
        <v>78</v>
      </c>
      <c r="D11" s="18" t="s">
        <v>10</v>
      </c>
      <c r="E11" s="22">
        <v>1</v>
      </c>
      <c r="F11" s="23" t="s">
        <v>51</v>
      </c>
      <c r="G11" s="23" t="s">
        <v>51</v>
      </c>
      <c r="H11" s="23" t="s">
        <v>51</v>
      </c>
      <c r="I11" s="23" t="s">
        <v>51</v>
      </c>
      <c r="J11" s="22">
        <v>544257.88</v>
      </c>
      <c r="K11" s="22">
        <v>0</v>
      </c>
      <c r="L11" s="22">
        <v>544257.88</v>
      </c>
      <c r="M11" s="23" t="s">
        <v>51</v>
      </c>
      <c r="N11" s="22">
        <v>544257.88</v>
      </c>
      <c r="O11" s="22">
        <v>544257.88</v>
      </c>
      <c r="P11" s="23" t="s">
        <v>51</v>
      </c>
      <c r="Q11" s="23" t="s">
        <v>51</v>
      </c>
      <c r="R11" s="23" t="s">
        <v>51</v>
      </c>
      <c r="S11" s="23" t="s">
        <v>51</v>
      </c>
      <c r="T11" s="23" t="s">
        <v>51</v>
      </c>
      <c r="U11" s="23" t="s">
        <v>51</v>
      </c>
      <c r="V11" s="23" t="s">
        <v>51</v>
      </c>
      <c r="W11" s="23" t="s">
        <v>51</v>
      </c>
      <c r="X11" s="24">
        <v>0.996689267</v>
      </c>
      <c r="Y11" s="24">
        <v>0.928469412</v>
      </c>
      <c r="Z11" s="23" t="s">
        <v>51</v>
      </c>
      <c r="AA11" s="23" t="s">
        <v>51</v>
      </c>
      <c r="AB11" s="23" t="s">
        <v>51</v>
      </c>
    </row>
    <row r="12" spans="1:28" ht="19" customHeight="1">
      <c r="A12" s="18" t="s">
        <v>9</v>
      </c>
      <c r="B12" s="18" t="s">
        <v>62</v>
      </c>
      <c r="C12" s="18" t="s">
        <v>63</v>
      </c>
      <c r="D12" s="18" t="s">
        <v>10</v>
      </c>
      <c r="E12" s="22">
        <v>1</v>
      </c>
      <c r="F12" s="23" t="s">
        <v>51</v>
      </c>
      <c r="G12" s="23" t="s">
        <v>51</v>
      </c>
      <c r="H12" s="23" t="s">
        <v>51</v>
      </c>
      <c r="I12" s="23" t="s">
        <v>51</v>
      </c>
      <c r="J12" s="22">
        <v>3908020.9</v>
      </c>
      <c r="K12" s="22">
        <v>0</v>
      </c>
      <c r="L12" s="22">
        <v>3908020.9</v>
      </c>
      <c r="M12" s="23" t="s">
        <v>51</v>
      </c>
      <c r="N12" s="22">
        <v>3908020.9</v>
      </c>
      <c r="O12" s="22">
        <v>3908020.9</v>
      </c>
      <c r="P12" s="23" t="s">
        <v>51</v>
      </c>
      <c r="Q12" s="23" t="s">
        <v>51</v>
      </c>
      <c r="R12" s="23" t="s">
        <v>51</v>
      </c>
      <c r="S12" s="23" t="s">
        <v>51</v>
      </c>
      <c r="T12" s="23" t="s">
        <v>51</v>
      </c>
      <c r="U12" s="23" t="s">
        <v>51</v>
      </c>
      <c r="V12" s="23" t="s">
        <v>51</v>
      </c>
      <c r="W12" s="23" t="s">
        <v>51</v>
      </c>
      <c r="X12" s="24">
        <v>0.9984478951</v>
      </c>
      <c r="Y12" s="24">
        <v>1</v>
      </c>
      <c r="Z12" s="23" t="s">
        <v>51</v>
      </c>
      <c r="AA12" s="23" t="s">
        <v>51</v>
      </c>
      <c r="AB12" s="23" t="s">
        <v>51</v>
      </c>
    </row>
    <row r="13" spans="1:28" ht="19" customHeight="1">
      <c r="A13" s="18" t="s">
        <v>9</v>
      </c>
      <c r="B13" s="18" t="s">
        <v>82</v>
      </c>
      <c r="C13" s="18" t="s">
        <v>82</v>
      </c>
      <c r="D13" s="18" t="s">
        <v>19</v>
      </c>
      <c r="E13" s="23" t="s">
        <v>51</v>
      </c>
      <c r="F13" s="23" t="s">
        <v>51</v>
      </c>
      <c r="G13" s="23" t="s">
        <v>51</v>
      </c>
      <c r="H13" s="23" t="s">
        <v>51</v>
      </c>
      <c r="I13" s="23" t="s">
        <v>51</v>
      </c>
      <c r="J13" s="23" t="s">
        <v>51</v>
      </c>
      <c r="K13" s="22">
        <v>0</v>
      </c>
      <c r="L13" s="23" t="s">
        <v>51</v>
      </c>
      <c r="M13" s="23" t="s">
        <v>51</v>
      </c>
      <c r="N13" s="22">
        <v>2874735.6081</v>
      </c>
      <c r="O13" s="22">
        <v>2874735.6081</v>
      </c>
      <c r="P13" s="23" t="s">
        <v>51</v>
      </c>
      <c r="Q13" s="23" t="s">
        <v>51</v>
      </c>
      <c r="R13" s="23" t="s">
        <v>51</v>
      </c>
      <c r="S13" s="23" t="s">
        <v>51</v>
      </c>
      <c r="T13" s="23" t="s">
        <v>51</v>
      </c>
      <c r="U13" s="23" t="s">
        <v>51</v>
      </c>
      <c r="V13" s="23" t="s">
        <v>51</v>
      </c>
      <c r="W13" s="23" t="s">
        <v>51</v>
      </c>
      <c r="X13" s="24">
        <v>1</v>
      </c>
      <c r="Y13" s="24">
        <v>1</v>
      </c>
      <c r="Z13" s="23" t="s">
        <v>51</v>
      </c>
      <c r="AA13" s="23" t="s">
        <v>51</v>
      </c>
      <c r="AB13" s="23" t="s">
        <v>51</v>
      </c>
    </row>
    <row r="14" spans="1:28" ht="19" customHeight="1">
      <c r="A14" s="18" t="s">
        <v>9</v>
      </c>
      <c r="B14" s="18" t="s">
        <v>111</v>
      </c>
      <c r="C14" s="18" t="s">
        <v>112</v>
      </c>
      <c r="D14" s="18" t="s">
        <v>25</v>
      </c>
      <c r="E14" s="23" t="s">
        <v>51</v>
      </c>
      <c r="F14" s="23" t="s">
        <v>51</v>
      </c>
      <c r="G14" s="23" t="s">
        <v>51</v>
      </c>
      <c r="H14" s="23" t="s">
        <v>51</v>
      </c>
      <c r="I14" s="23" t="s">
        <v>51</v>
      </c>
      <c r="J14" s="23" t="s">
        <v>51</v>
      </c>
      <c r="K14" s="22">
        <v>0</v>
      </c>
      <c r="L14" s="23" t="s">
        <v>51</v>
      </c>
      <c r="M14" s="23" t="s">
        <v>51</v>
      </c>
      <c r="N14" s="22">
        <v>1954760.7895</v>
      </c>
      <c r="O14" s="22">
        <v>1954760.7895</v>
      </c>
      <c r="P14" s="23" t="s">
        <v>51</v>
      </c>
      <c r="Q14" s="23" t="s">
        <v>51</v>
      </c>
      <c r="R14" s="23" t="s">
        <v>51</v>
      </c>
      <c r="S14" s="23" t="s">
        <v>51</v>
      </c>
      <c r="T14" s="23" t="s">
        <v>51</v>
      </c>
      <c r="U14" s="23" t="s">
        <v>51</v>
      </c>
      <c r="V14" s="23" t="s">
        <v>51</v>
      </c>
      <c r="W14" s="23" t="s">
        <v>51</v>
      </c>
      <c r="X14" s="24">
        <v>0.6645309376</v>
      </c>
      <c r="Y14" s="24">
        <v>0.8342387704000001</v>
      </c>
      <c r="Z14" s="23" t="s">
        <v>51</v>
      </c>
      <c r="AA14" s="23" t="s">
        <v>51</v>
      </c>
      <c r="AB14" s="23" t="s">
        <v>51</v>
      </c>
    </row>
    <row r="15" spans="1:28" ht="19" customHeight="1">
      <c r="A15" s="18" t="s">
        <v>9</v>
      </c>
      <c r="B15" s="18" t="s">
        <v>359</v>
      </c>
      <c r="C15" s="18" t="s">
        <v>360</v>
      </c>
      <c r="D15" s="18" t="s">
        <v>10</v>
      </c>
      <c r="E15" s="22">
        <v>1</v>
      </c>
      <c r="F15" s="23" t="s">
        <v>51</v>
      </c>
      <c r="G15" s="23" t="s">
        <v>51</v>
      </c>
      <c r="H15" s="22">
        <v>53725.4016</v>
      </c>
      <c r="I15" s="23" t="s">
        <v>51</v>
      </c>
      <c r="J15" s="22">
        <v>53725.4016</v>
      </c>
      <c r="K15" s="22">
        <v>0</v>
      </c>
      <c r="L15" s="22">
        <v>53725.4016</v>
      </c>
      <c r="M15" s="22">
        <v>53725.4016</v>
      </c>
      <c r="N15" s="22">
        <v>53725.4016</v>
      </c>
      <c r="O15" s="22">
        <v>53725.4016</v>
      </c>
      <c r="P15" s="23" t="s">
        <v>51</v>
      </c>
      <c r="Q15" s="23" t="s">
        <v>51</v>
      </c>
      <c r="R15" s="23" t="s">
        <v>51</v>
      </c>
      <c r="S15" s="23" t="s">
        <v>51</v>
      </c>
      <c r="T15" s="23" t="s">
        <v>51</v>
      </c>
      <c r="U15" s="23" t="s">
        <v>51</v>
      </c>
      <c r="V15" s="23" t="s">
        <v>51</v>
      </c>
      <c r="W15" s="23" t="s">
        <v>51</v>
      </c>
      <c r="X15" s="23" t="s">
        <v>51</v>
      </c>
      <c r="Y15" s="23" t="s">
        <v>51</v>
      </c>
      <c r="Z15" s="23" t="s">
        <v>51</v>
      </c>
      <c r="AA15" s="23" t="s">
        <v>51</v>
      </c>
      <c r="AB15" s="23" t="s">
        <v>51</v>
      </c>
    </row>
    <row r="16" spans="1:28" ht="19" customHeight="1">
      <c r="A16" s="18" t="s">
        <v>9</v>
      </c>
      <c r="B16" s="18" t="s">
        <v>233</v>
      </c>
      <c r="C16" s="18" t="s">
        <v>234</v>
      </c>
      <c r="D16" s="18" t="s">
        <v>14</v>
      </c>
      <c r="E16" s="23" t="s">
        <v>51</v>
      </c>
      <c r="F16" s="23" t="s">
        <v>51</v>
      </c>
      <c r="G16" s="23" t="s">
        <v>51</v>
      </c>
      <c r="H16" s="23" t="s">
        <v>51</v>
      </c>
      <c r="I16" s="23" t="s">
        <v>51</v>
      </c>
      <c r="J16" s="23" t="s">
        <v>51</v>
      </c>
      <c r="K16" s="22">
        <v>0</v>
      </c>
      <c r="L16" s="23" t="s">
        <v>51</v>
      </c>
      <c r="M16" s="22">
        <v>8543463.171700001</v>
      </c>
      <c r="N16" s="22">
        <v>8543463.171700001</v>
      </c>
      <c r="O16" s="22">
        <v>8543463.171700001</v>
      </c>
      <c r="P16" s="23" t="s">
        <v>51</v>
      </c>
      <c r="Q16" s="23" t="s">
        <v>51</v>
      </c>
      <c r="R16" s="23" t="s">
        <v>51</v>
      </c>
      <c r="S16" s="23" t="s">
        <v>51</v>
      </c>
      <c r="T16" s="23" t="s">
        <v>51</v>
      </c>
      <c r="U16" s="23" t="s">
        <v>51</v>
      </c>
      <c r="V16" s="23" t="s">
        <v>51</v>
      </c>
      <c r="W16" s="23" t="s">
        <v>51</v>
      </c>
      <c r="X16" s="23" t="s">
        <v>51</v>
      </c>
      <c r="Y16" s="23" t="s">
        <v>51</v>
      </c>
      <c r="Z16" s="23" t="s">
        <v>51</v>
      </c>
      <c r="AA16" s="23" t="s">
        <v>51</v>
      </c>
      <c r="AB16" s="23" t="s">
        <v>51</v>
      </c>
    </row>
    <row r="17" spans="1:28" ht="19" customHeight="1">
      <c r="A17" s="18" t="s">
        <v>9</v>
      </c>
      <c r="B17" s="18" t="s">
        <v>91</v>
      </c>
      <c r="C17" s="18" t="s">
        <v>92</v>
      </c>
      <c r="D17" s="18" t="s">
        <v>16</v>
      </c>
      <c r="E17" s="23" t="s">
        <v>51</v>
      </c>
      <c r="F17" s="23" t="s">
        <v>51</v>
      </c>
      <c r="G17" s="23" t="s">
        <v>51</v>
      </c>
      <c r="H17" s="23" t="s">
        <v>51</v>
      </c>
      <c r="I17" s="23" t="s">
        <v>51</v>
      </c>
      <c r="J17" s="23" t="s">
        <v>51</v>
      </c>
      <c r="K17" s="23" t="s">
        <v>51</v>
      </c>
      <c r="L17" s="23" t="s">
        <v>51</v>
      </c>
      <c r="M17" s="23" t="s">
        <v>51</v>
      </c>
      <c r="N17" s="22">
        <v>3203.2179</v>
      </c>
      <c r="O17" s="23" t="s">
        <v>51</v>
      </c>
      <c r="P17" s="23" t="s">
        <v>51</v>
      </c>
      <c r="Q17" s="23" t="s">
        <v>51</v>
      </c>
      <c r="R17" s="23" t="s">
        <v>51</v>
      </c>
      <c r="S17" s="23" t="s">
        <v>51</v>
      </c>
      <c r="T17" s="23" t="s">
        <v>51</v>
      </c>
      <c r="U17" s="23" t="s">
        <v>51</v>
      </c>
      <c r="V17" s="23" t="s">
        <v>51</v>
      </c>
      <c r="W17" s="23" t="s">
        <v>51</v>
      </c>
      <c r="X17" s="23" t="s">
        <v>51</v>
      </c>
      <c r="Y17" s="23" t="s">
        <v>51</v>
      </c>
      <c r="Z17" s="23" t="s">
        <v>51</v>
      </c>
      <c r="AA17" s="23" t="s">
        <v>51</v>
      </c>
      <c r="AB17" s="23" t="s">
        <v>51</v>
      </c>
    </row>
    <row r="18" spans="1:28" ht="19" customHeight="1">
      <c r="A18" s="18" t="s">
        <v>9</v>
      </c>
      <c r="B18" s="18" t="s">
        <v>99</v>
      </c>
      <c r="C18" s="18" t="s">
        <v>100</v>
      </c>
      <c r="D18" s="18" t="s">
        <v>21</v>
      </c>
      <c r="E18" s="23" t="s">
        <v>51</v>
      </c>
      <c r="F18" s="23" t="s">
        <v>51</v>
      </c>
      <c r="G18" s="23" t="s">
        <v>51</v>
      </c>
      <c r="H18" s="23" t="s">
        <v>51</v>
      </c>
      <c r="I18" s="23" t="s">
        <v>51</v>
      </c>
      <c r="J18" s="23" t="s">
        <v>51</v>
      </c>
      <c r="K18" s="23" t="s">
        <v>51</v>
      </c>
      <c r="L18" s="23" t="s">
        <v>51</v>
      </c>
      <c r="M18" s="23" t="s">
        <v>51</v>
      </c>
      <c r="N18" s="22">
        <v>13198.213</v>
      </c>
      <c r="O18" s="23" t="s">
        <v>51</v>
      </c>
      <c r="P18" s="23" t="s">
        <v>51</v>
      </c>
      <c r="Q18" s="23" t="s">
        <v>51</v>
      </c>
      <c r="R18" s="23" t="s">
        <v>51</v>
      </c>
      <c r="S18" s="23" t="s">
        <v>51</v>
      </c>
      <c r="T18" s="23" t="s">
        <v>51</v>
      </c>
      <c r="U18" s="23" t="s">
        <v>51</v>
      </c>
      <c r="V18" s="23" t="s">
        <v>51</v>
      </c>
      <c r="W18" s="23" t="s">
        <v>51</v>
      </c>
      <c r="X18" s="23" t="s">
        <v>51</v>
      </c>
      <c r="Y18" s="23" t="s">
        <v>51</v>
      </c>
      <c r="Z18" s="23" t="s">
        <v>51</v>
      </c>
      <c r="AA18" s="23" t="s">
        <v>51</v>
      </c>
      <c r="AB18" s="23" t="s">
        <v>51</v>
      </c>
    </row>
    <row r="19" spans="1:28" ht="19" customHeight="1">
      <c r="A19" s="18" t="s">
        <v>9</v>
      </c>
      <c r="B19" s="18" t="s">
        <v>105</v>
      </c>
      <c r="C19" s="18" t="s">
        <v>106</v>
      </c>
      <c r="D19" s="18" t="s">
        <v>23</v>
      </c>
      <c r="E19" s="23" t="s">
        <v>51</v>
      </c>
      <c r="F19" s="23" t="s">
        <v>51</v>
      </c>
      <c r="G19" s="23" t="s">
        <v>51</v>
      </c>
      <c r="H19" s="23" t="s">
        <v>51</v>
      </c>
      <c r="I19" s="23" t="s">
        <v>51</v>
      </c>
      <c r="J19" s="23" t="s">
        <v>51</v>
      </c>
      <c r="K19" s="23" t="s">
        <v>51</v>
      </c>
      <c r="L19" s="23" t="s">
        <v>51</v>
      </c>
      <c r="M19" s="23" t="s">
        <v>51</v>
      </c>
      <c r="N19" s="22">
        <v>15478.6603</v>
      </c>
      <c r="O19" s="23" t="s">
        <v>51</v>
      </c>
      <c r="P19" s="23" t="s">
        <v>51</v>
      </c>
      <c r="Q19" s="23" t="s">
        <v>51</v>
      </c>
      <c r="R19" s="23" t="s">
        <v>51</v>
      </c>
      <c r="S19" s="23" t="s">
        <v>51</v>
      </c>
      <c r="T19" s="23" t="s">
        <v>51</v>
      </c>
      <c r="U19" s="23" t="s">
        <v>51</v>
      </c>
      <c r="V19" s="23" t="s">
        <v>51</v>
      </c>
      <c r="W19" s="23" t="s">
        <v>51</v>
      </c>
      <c r="X19" s="23" t="s">
        <v>51</v>
      </c>
      <c r="Y19" s="23" t="s">
        <v>51</v>
      </c>
      <c r="Z19" s="23" t="s">
        <v>51</v>
      </c>
      <c r="AA19" s="23" t="s">
        <v>51</v>
      </c>
      <c r="AB19" s="23" t="s">
        <v>51</v>
      </c>
    </row>
    <row r="20" spans="1:28" ht="19" customHeight="1">
      <c r="A20" s="18" t="s">
        <v>13</v>
      </c>
      <c r="B20" s="18" t="s">
        <v>48</v>
      </c>
      <c r="C20" s="18" t="s">
        <v>49</v>
      </c>
      <c r="D20" s="18" t="s">
        <v>10</v>
      </c>
      <c r="E20" s="22">
        <v>1</v>
      </c>
      <c r="F20" s="22">
        <v>42047286</v>
      </c>
      <c r="G20" s="22">
        <v>41924317</v>
      </c>
      <c r="H20" s="22">
        <v>122969</v>
      </c>
      <c r="I20" s="22">
        <v>0</v>
      </c>
      <c r="J20" s="22">
        <v>136664</v>
      </c>
      <c r="K20" s="22">
        <v>0</v>
      </c>
      <c r="L20" s="22">
        <v>136664</v>
      </c>
      <c r="M20" s="22">
        <v>122969</v>
      </c>
      <c r="N20" s="22">
        <v>136664</v>
      </c>
      <c r="O20" s="22">
        <v>136664</v>
      </c>
      <c r="P20" s="22">
        <v>295</v>
      </c>
      <c r="Q20" s="22">
        <v>649444</v>
      </c>
      <c r="R20" s="22">
        <v>537284</v>
      </c>
      <c r="S20" s="22">
        <v>1391</v>
      </c>
      <c r="T20" s="22">
        <v>1156</v>
      </c>
      <c r="U20" s="24">
        <v>0.8272984275780514</v>
      </c>
      <c r="V20" s="24">
        <v>0.8310567936736161</v>
      </c>
      <c r="W20" s="22">
        <v>108240.6666666667</v>
      </c>
      <c r="X20" s="24">
        <v>1</v>
      </c>
      <c r="Y20" s="24">
        <v>1</v>
      </c>
      <c r="Z20" s="22">
        <v>277510</v>
      </c>
      <c r="AA20" s="22">
        <v>169237</v>
      </c>
      <c r="AB20" s="24">
        <v>0.6098410868076826</v>
      </c>
    </row>
    <row r="21" spans="1:28" ht="19" customHeight="1">
      <c r="A21" s="18" t="s">
        <v>13</v>
      </c>
      <c r="B21" s="18" t="s">
        <v>57</v>
      </c>
      <c r="C21" s="18" t="s">
        <v>58</v>
      </c>
      <c r="D21" s="18" t="s">
        <v>10</v>
      </c>
      <c r="E21" s="22">
        <v>1</v>
      </c>
      <c r="F21" s="22">
        <v>201645267</v>
      </c>
      <c r="G21" s="22">
        <v>200259438</v>
      </c>
      <c r="H21" s="22">
        <v>1385830</v>
      </c>
      <c r="I21" s="22">
        <v>401982</v>
      </c>
      <c r="J21" s="22">
        <v>1787812</v>
      </c>
      <c r="K21" s="22">
        <v>0</v>
      </c>
      <c r="L21" s="22">
        <v>1787812</v>
      </c>
      <c r="M21" s="22">
        <v>1385830</v>
      </c>
      <c r="N21" s="22">
        <v>1787812</v>
      </c>
      <c r="O21" s="22">
        <v>1787812</v>
      </c>
      <c r="P21" s="22">
        <v>7763</v>
      </c>
      <c r="Q21" s="22">
        <v>20624760</v>
      </c>
      <c r="R21" s="22">
        <v>19273987</v>
      </c>
      <c r="S21" s="22">
        <v>43786</v>
      </c>
      <c r="T21" s="22">
        <v>38217</v>
      </c>
      <c r="U21" s="24">
        <v>0.9345072136596984</v>
      </c>
      <c r="V21" s="24">
        <v>0.8728132279724112</v>
      </c>
      <c r="W21" s="22">
        <v>3437460</v>
      </c>
      <c r="X21" s="24">
        <v>0.9931642617902213</v>
      </c>
      <c r="Y21" s="24">
        <v>0.9894054395951929</v>
      </c>
      <c r="Z21" s="22">
        <v>10477275</v>
      </c>
      <c r="AA21" s="22">
        <v>9265568</v>
      </c>
      <c r="AB21" s="24">
        <v>0.8843490315945701</v>
      </c>
    </row>
    <row r="22" spans="1:28" ht="19" customHeight="1">
      <c r="A22" s="18" t="s">
        <v>13</v>
      </c>
      <c r="B22" s="18" t="s">
        <v>62</v>
      </c>
      <c r="C22" s="18" t="s">
        <v>63</v>
      </c>
      <c r="D22" s="18" t="s">
        <v>10</v>
      </c>
      <c r="E22" s="22">
        <v>1</v>
      </c>
      <c r="F22" s="22">
        <v>30138173</v>
      </c>
      <c r="G22" s="22">
        <v>26932418</v>
      </c>
      <c r="H22" s="22">
        <v>3205755</v>
      </c>
      <c r="I22" s="22">
        <v>111832</v>
      </c>
      <c r="J22" s="22">
        <v>3317587</v>
      </c>
      <c r="K22" s="22">
        <v>0</v>
      </c>
      <c r="L22" s="22">
        <v>3317587</v>
      </c>
      <c r="M22" s="22">
        <v>3205755</v>
      </c>
      <c r="N22" s="22">
        <v>3317587</v>
      </c>
      <c r="O22" s="22">
        <v>3317587</v>
      </c>
      <c r="P22" s="22">
        <v>14816</v>
      </c>
      <c r="Q22" s="22">
        <v>10176351</v>
      </c>
      <c r="R22" s="22">
        <v>7243846</v>
      </c>
      <c r="S22" s="22">
        <v>44566</v>
      </c>
      <c r="T22" s="22">
        <v>31141</v>
      </c>
      <c r="U22" s="24">
        <v>0.7118313823884416</v>
      </c>
      <c r="V22" s="24">
        <v>0.6987613876049006</v>
      </c>
      <c r="W22" s="22">
        <v>1696058.5</v>
      </c>
      <c r="X22" s="24">
        <v>0.9777348442295094</v>
      </c>
      <c r="Y22" s="24">
        <v>0.9403706688154714</v>
      </c>
      <c r="Z22" s="22">
        <v>4927748</v>
      </c>
      <c r="AA22" s="22">
        <v>2279806</v>
      </c>
      <c r="AB22" s="24">
        <v>0.4626466288454685</v>
      </c>
    </row>
    <row r="23" spans="1:28" ht="19" customHeight="1">
      <c r="A23" s="18" t="s">
        <v>13</v>
      </c>
      <c r="B23" s="18" t="s">
        <v>67</v>
      </c>
      <c r="C23" s="18" t="s">
        <v>68</v>
      </c>
      <c r="D23" s="18" t="s">
        <v>10</v>
      </c>
      <c r="E23" s="22">
        <v>1</v>
      </c>
      <c r="F23" s="22">
        <v>143508096</v>
      </c>
      <c r="G23" s="22">
        <v>140061431</v>
      </c>
      <c r="H23" s="22">
        <v>3446665</v>
      </c>
      <c r="I23" s="22">
        <v>26808</v>
      </c>
      <c r="J23" s="22">
        <v>3473473</v>
      </c>
      <c r="K23" s="22">
        <v>0</v>
      </c>
      <c r="L23" s="22">
        <v>3473473</v>
      </c>
      <c r="M23" s="22">
        <v>3446665</v>
      </c>
      <c r="N23" s="22">
        <v>3473473</v>
      </c>
      <c r="O23" s="22">
        <v>3473473</v>
      </c>
      <c r="P23" s="22">
        <v>23307</v>
      </c>
      <c r="Q23" s="22">
        <v>4971406</v>
      </c>
      <c r="R23" s="22">
        <v>2985031</v>
      </c>
      <c r="S23" s="22">
        <v>19174</v>
      </c>
      <c r="T23" s="22">
        <v>9091</v>
      </c>
      <c r="U23" s="24">
        <v>0.6004399962505577</v>
      </c>
      <c r="V23" s="24">
        <v>0.4741316365912173</v>
      </c>
      <c r="W23" s="22">
        <v>828567.6666666666</v>
      </c>
      <c r="X23" s="24">
        <v>0.709119326560503</v>
      </c>
      <c r="Y23" s="24">
        <v>0.598964197252871</v>
      </c>
      <c r="Z23" s="22">
        <v>2588671</v>
      </c>
      <c r="AA23" s="22">
        <v>1215099</v>
      </c>
      <c r="AB23" s="24">
        <v>0.4693910504656637</v>
      </c>
    </row>
    <row r="24" spans="1:28" ht="19" customHeight="1">
      <c r="A24" s="18" t="s">
        <v>13</v>
      </c>
      <c r="B24" s="18" t="s">
        <v>72</v>
      </c>
      <c r="C24" s="18" t="s">
        <v>73</v>
      </c>
      <c r="D24" s="18" t="s">
        <v>10</v>
      </c>
      <c r="E24" s="22">
        <v>1</v>
      </c>
      <c r="F24" s="22">
        <v>136213171</v>
      </c>
      <c r="G24" s="22">
        <v>135425744</v>
      </c>
      <c r="H24" s="22">
        <v>787426</v>
      </c>
      <c r="I24" s="22">
        <v>2235818</v>
      </c>
      <c r="J24" s="22">
        <v>3023244</v>
      </c>
      <c r="K24" s="22">
        <v>0</v>
      </c>
      <c r="L24" s="22">
        <v>3023244</v>
      </c>
      <c r="M24" s="22">
        <v>787426</v>
      </c>
      <c r="N24" s="22">
        <v>3023244</v>
      </c>
      <c r="O24" s="22">
        <v>3023244</v>
      </c>
      <c r="P24" s="22">
        <v>108473</v>
      </c>
      <c r="Q24" s="22">
        <v>6678520</v>
      </c>
      <c r="R24" s="22">
        <v>6028262</v>
      </c>
      <c r="S24" s="22">
        <v>27734</v>
      </c>
      <c r="T24" s="22">
        <v>23700</v>
      </c>
      <c r="U24" s="24">
        <v>0.9026344160083372</v>
      </c>
      <c r="V24" s="24">
        <v>0.8545467657027476</v>
      </c>
      <c r="W24" s="22">
        <v>1113086.666666667</v>
      </c>
      <c r="X24" s="24">
        <v>0.9843784652623619</v>
      </c>
      <c r="Y24" s="24">
        <v>0.9484958979033729</v>
      </c>
      <c r="Z24" s="22">
        <v>3602309</v>
      </c>
      <c r="AA24" s="22">
        <v>3004894</v>
      </c>
      <c r="AB24" s="24">
        <v>0.8341577582600493</v>
      </c>
    </row>
    <row r="25" spans="1:28" ht="19" customHeight="1">
      <c r="A25" s="18" t="s">
        <v>13</v>
      </c>
      <c r="B25" s="18" t="s">
        <v>77</v>
      </c>
      <c r="C25" s="18" t="s">
        <v>78</v>
      </c>
      <c r="D25" s="18" t="s">
        <v>10</v>
      </c>
      <c r="E25" s="22">
        <v>1</v>
      </c>
      <c r="F25" s="22">
        <v>32140258</v>
      </c>
      <c r="G25" s="22">
        <v>31559349</v>
      </c>
      <c r="H25" s="22">
        <v>580909</v>
      </c>
      <c r="I25" s="22">
        <v>12504</v>
      </c>
      <c r="J25" s="22">
        <v>593413</v>
      </c>
      <c r="K25" s="22">
        <v>0</v>
      </c>
      <c r="L25" s="22">
        <v>593413</v>
      </c>
      <c r="M25" s="22">
        <v>580909</v>
      </c>
      <c r="N25" s="22">
        <v>593413</v>
      </c>
      <c r="O25" s="22">
        <v>593413</v>
      </c>
      <c r="P25" s="22">
        <v>13641</v>
      </c>
      <c r="Q25" s="22">
        <v>14274561</v>
      </c>
      <c r="R25" s="22">
        <v>13797157</v>
      </c>
      <c r="S25" s="22">
        <v>20213</v>
      </c>
      <c r="T25" s="22">
        <v>8876</v>
      </c>
      <c r="U25" s="24">
        <v>0.9665556089605838</v>
      </c>
      <c r="V25" s="24">
        <v>0.4391233364666304</v>
      </c>
      <c r="W25" s="22">
        <v>2379093.5</v>
      </c>
      <c r="X25" s="24">
        <v>0.9911539948773356</v>
      </c>
      <c r="Y25" s="24">
        <v>0.6078777189888301</v>
      </c>
      <c r="Z25" s="22">
        <v>4013147</v>
      </c>
      <c r="AA25" s="22">
        <v>3646547</v>
      </c>
      <c r="AB25" s="24">
        <v>0.9086502438111537</v>
      </c>
    </row>
    <row r="26" spans="1:28" ht="19" customHeight="1">
      <c r="A26" s="18" t="s">
        <v>13</v>
      </c>
      <c r="B26" s="18" t="s">
        <v>82</v>
      </c>
      <c r="C26" s="18" t="s">
        <v>82</v>
      </c>
      <c r="D26" s="18" t="s">
        <v>19</v>
      </c>
      <c r="E26" s="22">
        <v>0.85443381</v>
      </c>
      <c r="F26" s="22">
        <v>4017146</v>
      </c>
      <c r="G26" s="22">
        <v>3676489</v>
      </c>
      <c r="H26" s="22">
        <v>340657</v>
      </c>
      <c r="I26" s="22">
        <v>2103546</v>
      </c>
      <c r="J26" s="22">
        <v>2444203</v>
      </c>
      <c r="K26" s="22">
        <v>0</v>
      </c>
      <c r="L26" s="22">
        <v>2444203</v>
      </c>
      <c r="M26" s="22">
        <v>398693.2586387236</v>
      </c>
      <c r="N26" s="22">
        <v>2860611.285969594</v>
      </c>
      <c r="O26" s="22">
        <v>2860611.285969594</v>
      </c>
      <c r="P26" s="22">
        <v>50963</v>
      </c>
      <c r="Q26" s="22">
        <v>941332.1319763786</v>
      </c>
      <c r="R26" s="22">
        <v>589510.8481252632</v>
      </c>
      <c r="S26" s="22">
        <v>21362</v>
      </c>
      <c r="T26" s="22">
        <v>7582</v>
      </c>
      <c r="U26" s="24">
        <v>0.6262517002235468</v>
      </c>
      <c r="V26" s="24">
        <v>0.354929313734669</v>
      </c>
      <c r="W26" s="22">
        <v>156888.6886627298</v>
      </c>
      <c r="X26" s="24">
        <v>0.6731999072202525</v>
      </c>
      <c r="Y26" s="24">
        <v>0.3012975256487628</v>
      </c>
      <c r="Z26" s="22">
        <v>231637.6033855683</v>
      </c>
      <c r="AA26" s="22">
        <v>104293.6257403016</v>
      </c>
      <c r="AB26" s="24">
        <v>0.4502447971139709</v>
      </c>
    </row>
    <row r="27" spans="1:28" ht="19" customHeight="1">
      <c r="A27" s="18" t="s">
        <v>13</v>
      </c>
      <c r="B27" s="18" t="s">
        <v>86</v>
      </c>
      <c r="C27" s="18" t="s">
        <v>87</v>
      </c>
      <c r="D27" s="18" t="s">
        <v>10</v>
      </c>
      <c r="E27" s="22">
        <v>1</v>
      </c>
      <c r="F27" s="22">
        <v>1391628.087869048</v>
      </c>
      <c r="G27" s="22">
        <v>1379635.797869048</v>
      </c>
      <c r="H27" s="22">
        <v>11992.28999999998</v>
      </c>
      <c r="I27" s="22">
        <v>0</v>
      </c>
      <c r="J27" s="22">
        <v>11992.28999999998</v>
      </c>
      <c r="K27" s="22">
        <v>0</v>
      </c>
      <c r="L27" s="22">
        <v>11992.28999999998</v>
      </c>
      <c r="M27" s="22">
        <v>11992.28999999998</v>
      </c>
      <c r="N27" s="22">
        <v>11992.28999999998</v>
      </c>
      <c r="O27" s="22">
        <v>11992.28999999998</v>
      </c>
      <c r="P27" s="22">
        <v>74</v>
      </c>
      <c r="Q27" s="22">
        <v>54745.46000000001</v>
      </c>
      <c r="R27" s="22">
        <v>49360.14000000001</v>
      </c>
      <c r="S27" s="22">
        <v>264</v>
      </c>
      <c r="T27" s="22">
        <v>199</v>
      </c>
      <c r="U27" s="24">
        <v>0.901629833779824</v>
      </c>
      <c r="V27" s="24">
        <v>0.7537878787878788</v>
      </c>
      <c r="W27" s="22">
        <v>9124.243333333334</v>
      </c>
      <c r="X27" s="24">
        <v>0.9008720336850898</v>
      </c>
      <c r="Y27" s="24">
        <v>0.7727272727272727</v>
      </c>
      <c r="Z27" s="22">
        <v>18923.63</v>
      </c>
      <c r="AA27" s="22">
        <v>15752.88</v>
      </c>
      <c r="AB27" s="24">
        <v>0.8324449378898234</v>
      </c>
    </row>
    <row r="28" spans="1:28" ht="19" customHeight="1">
      <c r="A28" s="18" t="s">
        <v>13</v>
      </c>
      <c r="B28" s="18" t="s">
        <v>91</v>
      </c>
      <c r="C28" s="18" t="s">
        <v>92</v>
      </c>
      <c r="D28" s="18" t="s">
        <v>16</v>
      </c>
      <c r="E28" s="22">
        <v>7.47595715</v>
      </c>
      <c r="F28" s="22">
        <v>1842553.28</v>
      </c>
      <c r="G28" s="22">
        <v>1660255.47</v>
      </c>
      <c r="H28" s="22">
        <v>182297.8099999998</v>
      </c>
      <c r="I28" s="23" t="s">
        <v>51</v>
      </c>
      <c r="J28" s="22">
        <v>182297.8099999998</v>
      </c>
      <c r="K28" s="23" t="s">
        <v>51</v>
      </c>
      <c r="L28" s="23" t="s">
        <v>51</v>
      </c>
      <c r="M28" s="22">
        <v>24384.54452618148</v>
      </c>
      <c r="N28" s="22">
        <v>24384.54452618148</v>
      </c>
      <c r="O28" s="23" t="s">
        <v>51</v>
      </c>
      <c r="P28" s="22">
        <v>692</v>
      </c>
      <c r="Q28" s="22">
        <v>115158.8569498422</v>
      </c>
      <c r="R28" s="22">
        <v>90774.31242366068</v>
      </c>
      <c r="S28" s="22">
        <v>2182</v>
      </c>
      <c r="T28" s="22">
        <v>1490</v>
      </c>
      <c r="U28" s="24">
        <v>0.7882529822538764</v>
      </c>
      <c r="V28" s="24">
        <v>0.6828597616865261</v>
      </c>
      <c r="W28" s="22">
        <v>19193.1428249737</v>
      </c>
      <c r="X28" s="24">
        <v>1</v>
      </c>
      <c r="Y28" s="24">
        <v>1</v>
      </c>
      <c r="Z28" s="22">
        <v>48468.83184717025</v>
      </c>
      <c r="AA28" s="22">
        <v>24580.04858949734</v>
      </c>
      <c r="AB28" s="24">
        <v>0.5071310294211762</v>
      </c>
    </row>
    <row r="29" spans="1:28" ht="19" customHeight="1">
      <c r="A29" s="18" t="s">
        <v>13</v>
      </c>
      <c r="B29" s="18" t="s">
        <v>99</v>
      </c>
      <c r="C29" s="18" t="s">
        <v>100</v>
      </c>
      <c r="D29" s="18" t="s">
        <v>21</v>
      </c>
      <c r="E29" s="22">
        <v>10.90384939</v>
      </c>
      <c r="F29" s="22">
        <v>1922879.37</v>
      </c>
      <c r="G29" s="22">
        <v>1800631.31</v>
      </c>
      <c r="H29" s="22">
        <v>122248.0599999999</v>
      </c>
      <c r="I29" s="23" t="s">
        <v>51</v>
      </c>
      <c r="J29" s="22">
        <v>122248.0599999999</v>
      </c>
      <c r="K29" s="23" t="s">
        <v>51</v>
      </c>
      <c r="L29" s="23" t="s">
        <v>51</v>
      </c>
      <c r="M29" s="22">
        <v>11211.45896531866</v>
      </c>
      <c r="N29" s="22">
        <v>11211.45896531866</v>
      </c>
      <c r="O29" s="23" t="s">
        <v>51</v>
      </c>
      <c r="P29" s="22">
        <v>461</v>
      </c>
      <c r="Q29" s="22">
        <v>63762.43701950108</v>
      </c>
      <c r="R29" s="22">
        <v>52550.97805418239</v>
      </c>
      <c r="S29" s="22">
        <v>1122</v>
      </c>
      <c r="T29" s="22">
        <v>661</v>
      </c>
      <c r="U29" s="24">
        <v>0.8241682801131052</v>
      </c>
      <c r="V29" s="24">
        <v>0.589126559714795</v>
      </c>
      <c r="W29" s="22">
        <v>10627.07283658351</v>
      </c>
      <c r="X29" s="24">
        <v>0.9410164877948007</v>
      </c>
      <c r="Y29" s="24">
        <v>0.9924812030075187</v>
      </c>
      <c r="Z29" s="22">
        <v>24446.24283278</v>
      </c>
      <c r="AA29" s="22">
        <v>15422.68275956075</v>
      </c>
      <c r="AB29" s="24">
        <v>0.6308815168472619</v>
      </c>
    </row>
    <row r="30" spans="1:28" ht="19" customHeight="1">
      <c r="A30" s="18" t="s">
        <v>13</v>
      </c>
      <c r="B30" s="18" t="s">
        <v>105</v>
      </c>
      <c r="C30" s="18" t="s">
        <v>106</v>
      </c>
      <c r="D30" s="18" t="s">
        <v>23</v>
      </c>
      <c r="E30" s="22">
        <v>11.34339828</v>
      </c>
      <c r="F30" s="22">
        <v>3486087.81</v>
      </c>
      <c r="G30" s="22">
        <v>3329443.749999999</v>
      </c>
      <c r="H30" s="22">
        <v>156644.0600000008</v>
      </c>
      <c r="I30" s="23" t="s">
        <v>51</v>
      </c>
      <c r="J30" s="22">
        <v>156644.0600000008</v>
      </c>
      <c r="K30" s="23" t="s">
        <v>51</v>
      </c>
      <c r="L30" s="23" t="s">
        <v>51</v>
      </c>
      <c r="M30" s="22">
        <v>13809.27091982534</v>
      </c>
      <c r="N30" s="22">
        <v>13809.27091982534</v>
      </c>
      <c r="O30" s="23" t="s">
        <v>51</v>
      </c>
      <c r="P30" s="22">
        <v>487</v>
      </c>
      <c r="Q30" s="22">
        <v>166433.1008573208</v>
      </c>
      <c r="R30" s="22">
        <v>152623.8299374956</v>
      </c>
      <c r="S30" s="22">
        <v>3501</v>
      </c>
      <c r="T30" s="22">
        <v>3014</v>
      </c>
      <c r="U30" s="24">
        <v>0.9170280980845056</v>
      </c>
      <c r="V30" s="24">
        <v>0.8608968866038275</v>
      </c>
      <c r="W30" s="22">
        <v>27738.8501428868</v>
      </c>
      <c r="X30" s="24">
        <v>0.9999999999999999</v>
      </c>
      <c r="Y30" s="24">
        <v>1</v>
      </c>
      <c r="Z30" s="22">
        <v>70433.48124421138</v>
      </c>
      <c r="AA30" s="22">
        <v>56793.18349738842</v>
      </c>
      <c r="AB30" s="24">
        <v>0.806337873609733</v>
      </c>
    </row>
    <row r="31" spans="1:28" ht="19" customHeight="1">
      <c r="A31" s="18" t="s">
        <v>13</v>
      </c>
      <c r="B31" s="18" t="s">
        <v>359</v>
      </c>
      <c r="C31" s="18" t="s">
        <v>360</v>
      </c>
      <c r="D31" s="18" t="s">
        <v>10</v>
      </c>
      <c r="E31" s="22">
        <v>1</v>
      </c>
      <c r="F31" s="23" t="s">
        <v>51</v>
      </c>
      <c r="G31" s="23" t="s">
        <v>51</v>
      </c>
      <c r="H31" s="22">
        <v>48887.51859338581</v>
      </c>
      <c r="I31" s="23" t="s">
        <v>51</v>
      </c>
      <c r="J31" s="22">
        <v>48887.51859338581</v>
      </c>
      <c r="K31" s="22">
        <v>0</v>
      </c>
      <c r="L31" s="22">
        <v>48887.51859338581</v>
      </c>
      <c r="M31" s="22">
        <v>48887.51859338581</v>
      </c>
      <c r="N31" s="22">
        <v>48887.51859338581</v>
      </c>
      <c r="O31" s="22">
        <v>48887.51859338581</v>
      </c>
      <c r="P31" s="22">
        <v>5153</v>
      </c>
      <c r="Q31" s="23" t="s">
        <v>51</v>
      </c>
      <c r="R31" s="23" t="s">
        <v>51</v>
      </c>
      <c r="S31" s="23" t="s">
        <v>51</v>
      </c>
      <c r="T31" s="23" t="s">
        <v>51</v>
      </c>
      <c r="U31" s="23" t="s">
        <v>51</v>
      </c>
      <c r="V31" s="23" t="s">
        <v>51</v>
      </c>
      <c r="W31" s="23" t="s">
        <v>51</v>
      </c>
      <c r="X31" s="23" t="s">
        <v>51</v>
      </c>
      <c r="Y31" s="23" t="s">
        <v>51</v>
      </c>
      <c r="Z31" s="23" t="s">
        <v>51</v>
      </c>
      <c r="AA31" s="23" t="s">
        <v>51</v>
      </c>
      <c r="AB31" s="23" t="s">
        <v>51</v>
      </c>
    </row>
    <row r="32" spans="1:28" ht="19" customHeight="1">
      <c r="A32" s="18" t="s">
        <v>13</v>
      </c>
      <c r="B32" s="18" t="s">
        <v>233</v>
      </c>
      <c r="C32" s="18" t="s">
        <v>234</v>
      </c>
      <c r="D32" s="18" t="s">
        <v>14</v>
      </c>
      <c r="E32" s="22">
        <v>5.855892595</v>
      </c>
      <c r="F32" s="23" t="s">
        <v>51</v>
      </c>
      <c r="G32" s="23" t="s">
        <v>51</v>
      </c>
      <c r="H32" s="22">
        <v>22338552.44000267</v>
      </c>
      <c r="I32" s="23" t="s">
        <v>51</v>
      </c>
      <c r="J32" s="22">
        <v>22338552.44000267</v>
      </c>
      <c r="K32" s="22">
        <v>0</v>
      </c>
      <c r="L32" s="22">
        <v>22338552.44000267</v>
      </c>
      <c r="M32" s="22">
        <v>3814713.483487767</v>
      </c>
      <c r="N32" s="22">
        <v>3814713.483487767</v>
      </c>
      <c r="O32" s="22">
        <v>3814713.483487767</v>
      </c>
      <c r="P32" s="22">
        <v>336552</v>
      </c>
      <c r="Q32" s="22">
        <v>11282.22707780043</v>
      </c>
      <c r="R32" s="23" t="s">
        <v>51</v>
      </c>
      <c r="S32" s="22">
        <v>813</v>
      </c>
      <c r="T32" s="23" t="s">
        <v>51</v>
      </c>
      <c r="U32" s="23" t="s">
        <v>51</v>
      </c>
      <c r="V32" s="23" t="s">
        <v>51</v>
      </c>
      <c r="W32" s="22">
        <v>1880.371179633404</v>
      </c>
      <c r="X32" s="23" t="s">
        <v>51</v>
      </c>
      <c r="Y32" s="23" t="s">
        <v>51</v>
      </c>
      <c r="Z32" s="22">
        <v>4585.884997776329</v>
      </c>
      <c r="AA32" s="23" t="s">
        <v>51</v>
      </c>
      <c r="AB32" s="23" t="s">
        <v>51</v>
      </c>
    </row>
    <row r="33" spans="1:28" ht="19" customHeight="1">
      <c r="A33" s="18" t="s">
        <v>13</v>
      </c>
      <c r="B33" s="18" t="s">
        <v>111</v>
      </c>
      <c r="C33" s="18" t="s">
        <v>112</v>
      </c>
      <c r="D33" s="18" t="s">
        <v>25</v>
      </c>
      <c r="E33" s="22">
        <v>18.58943911</v>
      </c>
      <c r="F33" s="22">
        <v>80670819.12999921</v>
      </c>
      <c r="G33" s="22">
        <v>49491955.92000037</v>
      </c>
      <c r="H33" s="22">
        <v>31178863.20999883</v>
      </c>
      <c r="I33" s="22">
        <v>4489640.28</v>
      </c>
      <c r="J33" s="22">
        <v>35668503.48999883</v>
      </c>
      <c r="K33" s="22">
        <v>0</v>
      </c>
      <c r="L33" s="22">
        <v>35668503.48999883</v>
      </c>
      <c r="M33" s="22">
        <v>1677235.285341475</v>
      </c>
      <c r="N33" s="22">
        <v>1918750.925132073</v>
      </c>
      <c r="O33" s="22">
        <v>1918750.925132073</v>
      </c>
      <c r="P33" s="22">
        <v>71052</v>
      </c>
      <c r="Q33" s="22">
        <v>1184281.962986021</v>
      </c>
      <c r="R33" s="22">
        <v>535919.6106482206</v>
      </c>
      <c r="S33" s="22">
        <v>114974</v>
      </c>
      <c r="T33" s="22">
        <v>76350</v>
      </c>
      <c r="U33" s="24">
        <v>0.4525270395041444</v>
      </c>
      <c r="V33" s="24">
        <v>0.6640631795014525</v>
      </c>
      <c r="W33" s="22">
        <v>197380.3271643368</v>
      </c>
      <c r="X33" s="24">
        <v>0.6493430482328113</v>
      </c>
      <c r="Y33" s="24">
        <v>0.8549981233579382</v>
      </c>
      <c r="Z33" s="22">
        <v>636467.9843210126</v>
      </c>
      <c r="AA33" s="22">
        <v>195928.8157349896</v>
      </c>
      <c r="AB33" s="24">
        <v>0.3078376612203165</v>
      </c>
    </row>
    <row r="34" spans="1:28" ht="19" customHeight="1">
      <c r="A34" s="18" t="s">
        <v>27</v>
      </c>
      <c r="B34" s="18" t="s">
        <v>48</v>
      </c>
      <c r="C34" s="18" t="s">
        <v>49</v>
      </c>
      <c r="D34" s="18" t="s">
        <v>10</v>
      </c>
      <c r="E34" s="22">
        <v>1</v>
      </c>
      <c r="F34" s="22">
        <v>42291668</v>
      </c>
      <c r="G34" s="22">
        <v>42185623</v>
      </c>
      <c r="H34" s="22">
        <v>106046</v>
      </c>
      <c r="I34" s="22">
        <v>0</v>
      </c>
      <c r="J34" s="22">
        <v>147601</v>
      </c>
      <c r="K34" s="22">
        <v>0</v>
      </c>
      <c r="L34" s="22">
        <v>147601</v>
      </c>
      <c r="M34" s="22">
        <v>106046</v>
      </c>
      <c r="N34" s="22">
        <v>147601</v>
      </c>
      <c r="O34" s="22">
        <v>147601</v>
      </c>
      <c r="P34" s="22">
        <v>237</v>
      </c>
      <c r="Q34" s="22">
        <v>521893</v>
      </c>
      <c r="R34" s="22">
        <v>421123</v>
      </c>
      <c r="S34" s="22">
        <v>1156</v>
      </c>
      <c r="T34" s="22">
        <v>926</v>
      </c>
      <c r="U34" s="24">
        <v>0.8069144441485132</v>
      </c>
      <c r="V34" s="24">
        <v>0.801038062283737</v>
      </c>
      <c r="W34" s="22">
        <v>86982.16666666667</v>
      </c>
      <c r="X34" s="24">
        <v>1</v>
      </c>
      <c r="Y34" s="24">
        <v>1</v>
      </c>
      <c r="Z34" s="22">
        <v>244383</v>
      </c>
      <c r="AA34" s="22">
        <v>145562</v>
      </c>
      <c r="AB34" s="24">
        <v>0.595630628971737</v>
      </c>
    </row>
    <row r="35" spans="1:28" ht="19" customHeight="1">
      <c r="A35" s="18" t="s">
        <v>27</v>
      </c>
      <c r="B35" s="18" t="s">
        <v>57</v>
      </c>
      <c r="C35" s="18" t="s">
        <v>58</v>
      </c>
      <c r="D35" s="18" t="s">
        <v>10</v>
      </c>
      <c r="E35" s="22">
        <v>1</v>
      </c>
      <c r="F35" s="22">
        <v>210220610</v>
      </c>
      <c r="G35" s="22">
        <v>208740292</v>
      </c>
      <c r="H35" s="22">
        <v>1480318</v>
      </c>
      <c r="I35" s="22">
        <v>312847</v>
      </c>
      <c r="J35" s="22">
        <v>1793165</v>
      </c>
      <c r="K35" s="22">
        <v>0</v>
      </c>
      <c r="L35" s="22">
        <v>1793165</v>
      </c>
      <c r="M35" s="22">
        <v>1480318</v>
      </c>
      <c r="N35" s="22">
        <v>1793165</v>
      </c>
      <c r="O35" s="22">
        <v>1793165</v>
      </c>
      <c r="P35" s="22">
        <v>7883</v>
      </c>
      <c r="Q35" s="22">
        <v>20501420</v>
      </c>
      <c r="R35" s="22">
        <v>19099468</v>
      </c>
      <c r="S35" s="22">
        <v>42672</v>
      </c>
      <c r="T35" s="22">
        <v>35418</v>
      </c>
      <c r="U35" s="24">
        <v>0.9316168343461088</v>
      </c>
      <c r="V35" s="24">
        <v>0.8300056242969629</v>
      </c>
      <c r="W35" s="22">
        <v>3416903.333333333</v>
      </c>
      <c r="X35" s="24">
        <v>0.9859807948052636</v>
      </c>
      <c r="Y35" s="24">
        <v>0.9539307475107742</v>
      </c>
      <c r="Z35" s="22">
        <v>9755957</v>
      </c>
      <c r="AA35" s="22">
        <v>8673093</v>
      </c>
      <c r="AB35" s="24">
        <v>0.8890048408372444</v>
      </c>
    </row>
    <row r="36" spans="1:28" ht="19" customHeight="1">
      <c r="A36" s="18" t="s">
        <v>27</v>
      </c>
      <c r="B36" s="18" t="s">
        <v>62</v>
      </c>
      <c r="C36" s="18" t="s">
        <v>63</v>
      </c>
      <c r="D36" s="18" t="s">
        <v>10</v>
      </c>
      <c r="E36" s="22">
        <v>1</v>
      </c>
      <c r="F36" s="22">
        <v>13674762</v>
      </c>
      <c r="G36" s="22">
        <v>10776140</v>
      </c>
      <c r="H36" s="22">
        <v>2898622</v>
      </c>
      <c r="I36" s="22">
        <v>100315</v>
      </c>
      <c r="J36" s="22">
        <v>2998937</v>
      </c>
      <c r="K36" s="22">
        <v>0</v>
      </c>
      <c r="L36" s="22">
        <v>2998937</v>
      </c>
      <c r="M36" s="22">
        <v>2898622</v>
      </c>
      <c r="N36" s="22">
        <v>2998937</v>
      </c>
      <c r="O36" s="22">
        <v>2998937</v>
      </c>
      <c r="P36" s="22">
        <v>16657</v>
      </c>
      <c r="Q36" s="22">
        <v>8728030</v>
      </c>
      <c r="R36" s="22">
        <v>6126598</v>
      </c>
      <c r="S36" s="22">
        <v>44570</v>
      </c>
      <c r="T36" s="22">
        <v>29155</v>
      </c>
      <c r="U36" s="24">
        <v>0.7019451124709699</v>
      </c>
      <c r="V36" s="24">
        <v>0.6541395557549922</v>
      </c>
      <c r="W36" s="22">
        <v>1454671.666666667</v>
      </c>
      <c r="X36" s="24">
        <v>0.994128136787349</v>
      </c>
      <c r="Y36" s="24">
        <v>0.965771458662454</v>
      </c>
      <c r="Z36" s="22">
        <v>4485731</v>
      </c>
      <c r="AA36" s="22">
        <v>2202310</v>
      </c>
      <c r="AB36" s="24">
        <v>0.4909589986559604</v>
      </c>
    </row>
    <row r="37" spans="1:28" ht="19" customHeight="1">
      <c r="A37" s="18" t="s">
        <v>27</v>
      </c>
      <c r="B37" s="18" t="s">
        <v>72</v>
      </c>
      <c r="C37" s="18" t="s">
        <v>73</v>
      </c>
      <c r="D37" s="18" t="s">
        <v>10</v>
      </c>
      <c r="E37" s="22">
        <v>1</v>
      </c>
      <c r="F37" s="22">
        <v>139165728</v>
      </c>
      <c r="G37" s="22">
        <v>137965381</v>
      </c>
      <c r="H37" s="22">
        <v>1200347</v>
      </c>
      <c r="I37" s="22">
        <v>2234056</v>
      </c>
      <c r="J37" s="22">
        <v>3434403</v>
      </c>
      <c r="K37" s="22">
        <v>0</v>
      </c>
      <c r="L37" s="22">
        <v>3434403</v>
      </c>
      <c r="M37" s="22">
        <v>1200347</v>
      </c>
      <c r="N37" s="22">
        <v>3434403</v>
      </c>
      <c r="O37" s="22">
        <v>3434403</v>
      </c>
      <c r="P37" s="22">
        <v>110056</v>
      </c>
      <c r="Q37" s="22">
        <v>6554867</v>
      </c>
      <c r="R37" s="22">
        <v>5536857</v>
      </c>
      <c r="S37" s="22">
        <v>26932</v>
      </c>
      <c r="T37" s="22">
        <v>21966</v>
      </c>
      <c r="U37" s="24">
        <v>0.8446940265912336</v>
      </c>
      <c r="V37" s="24">
        <v>0.8156096836477054</v>
      </c>
      <c r="W37" s="22">
        <v>1092477.833333333</v>
      </c>
      <c r="X37" s="24">
        <v>0.97577393004026</v>
      </c>
      <c r="Y37" s="24">
        <v>0.9370393767108866</v>
      </c>
      <c r="Z37" s="22">
        <v>2952558</v>
      </c>
      <c r="AA37" s="22">
        <v>2029240</v>
      </c>
      <c r="AB37" s="24">
        <v>0.6872820110561757</v>
      </c>
    </row>
    <row r="38" spans="1:28" ht="19" customHeight="1">
      <c r="A38" s="18" t="s">
        <v>27</v>
      </c>
      <c r="B38" s="18" t="s">
        <v>77</v>
      </c>
      <c r="C38" s="18" t="s">
        <v>78</v>
      </c>
      <c r="D38" s="18" t="s">
        <v>10</v>
      </c>
      <c r="E38" s="22">
        <v>1</v>
      </c>
      <c r="F38" s="22">
        <v>32461784</v>
      </c>
      <c r="G38" s="22">
        <v>31919651</v>
      </c>
      <c r="H38" s="22">
        <v>542133</v>
      </c>
      <c r="I38" s="22">
        <v>65461</v>
      </c>
      <c r="J38" s="22">
        <v>607594</v>
      </c>
      <c r="K38" s="22">
        <v>0</v>
      </c>
      <c r="L38" s="22">
        <v>607594</v>
      </c>
      <c r="M38" s="22">
        <v>542133</v>
      </c>
      <c r="N38" s="22">
        <v>607594</v>
      </c>
      <c r="O38" s="22">
        <v>607594</v>
      </c>
      <c r="P38" s="22">
        <v>12709</v>
      </c>
      <c r="Q38" s="22">
        <v>14131390</v>
      </c>
      <c r="R38" s="22">
        <v>13965536</v>
      </c>
      <c r="S38" s="22">
        <v>17589</v>
      </c>
      <c r="T38" s="22">
        <v>12746</v>
      </c>
      <c r="U38" s="24">
        <v>0.9882634333919027</v>
      </c>
      <c r="V38" s="24">
        <v>0.7246574563647734</v>
      </c>
      <c r="W38" s="22">
        <v>2355231.666666667</v>
      </c>
      <c r="X38" s="24">
        <v>0.996970298482982</v>
      </c>
      <c r="Y38" s="24">
        <v>0.9398592450415867</v>
      </c>
      <c r="Z38" s="22">
        <v>3885931</v>
      </c>
      <c r="AA38" s="22">
        <v>3775564</v>
      </c>
      <c r="AB38" s="24">
        <v>0.9715983119617925</v>
      </c>
    </row>
    <row r="39" spans="1:28" ht="19" customHeight="1">
      <c r="A39" s="18" t="s">
        <v>27</v>
      </c>
      <c r="B39" s="18" t="s">
        <v>82</v>
      </c>
      <c r="C39" s="18" t="s">
        <v>82</v>
      </c>
      <c r="D39" s="18" t="s">
        <v>19</v>
      </c>
      <c r="E39" s="22">
        <v>0.85443381</v>
      </c>
      <c r="F39" s="22">
        <v>4941553</v>
      </c>
      <c r="G39" s="22">
        <v>4075376</v>
      </c>
      <c r="H39" s="22">
        <v>866177</v>
      </c>
      <c r="I39" s="22">
        <v>2110597</v>
      </c>
      <c r="J39" s="22">
        <v>2976774</v>
      </c>
      <c r="K39" s="22">
        <v>0</v>
      </c>
      <c r="L39" s="22">
        <v>2976774</v>
      </c>
      <c r="M39" s="22">
        <v>1013743.826452748</v>
      </c>
      <c r="N39" s="22">
        <v>3483914.102135074</v>
      </c>
      <c r="O39" s="22">
        <v>3483914.102135074</v>
      </c>
      <c r="P39" s="22">
        <v>53697</v>
      </c>
      <c r="Q39" s="22">
        <v>1267843.087810395</v>
      </c>
      <c r="R39" s="22">
        <v>516283.4087756897</v>
      </c>
      <c r="S39" s="22">
        <v>16386</v>
      </c>
      <c r="T39" s="22">
        <v>7543</v>
      </c>
      <c r="U39" s="24">
        <v>0.4072139634150844</v>
      </c>
      <c r="V39" s="24">
        <v>0.4603319907237886</v>
      </c>
      <c r="W39" s="22">
        <v>211307.1813017324</v>
      </c>
      <c r="X39" s="24">
        <v>0.793132474166957</v>
      </c>
      <c r="Y39" s="24">
        <v>0.6951945080091533</v>
      </c>
      <c r="Z39" s="22">
        <v>882720.2191355232</v>
      </c>
      <c r="AA39" s="22">
        <v>209094.0198164677</v>
      </c>
      <c r="AB39" s="24">
        <v>0.2368746237865043</v>
      </c>
    </row>
    <row r="40" spans="1:28" ht="19" customHeight="1">
      <c r="A40" s="18" t="s">
        <v>27</v>
      </c>
      <c r="B40" s="18" t="s">
        <v>91</v>
      </c>
      <c r="C40" s="18" t="s">
        <v>92</v>
      </c>
      <c r="D40" s="18" t="s">
        <v>16</v>
      </c>
      <c r="E40" s="22">
        <v>7.47595715</v>
      </c>
      <c r="F40" s="22">
        <v>2061505.32</v>
      </c>
      <c r="G40" s="22">
        <v>2045338.61</v>
      </c>
      <c r="H40" s="22">
        <v>16166.70999999926</v>
      </c>
      <c r="I40" s="23" t="s">
        <v>51</v>
      </c>
      <c r="J40" s="22">
        <v>16166.70999999926</v>
      </c>
      <c r="K40" s="23" t="s">
        <v>51</v>
      </c>
      <c r="L40" s="23" t="s">
        <v>51</v>
      </c>
      <c r="M40" s="22">
        <v>2162.493668118371</v>
      </c>
      <c r="N40" s="22">
        <v>2162.493668118371</v>
      </c>
      <c r="O40" s="23" t="s">
        <v>51</v>
      </c>
      <c r="P40" s="22">
        <v>128</v>
      </c>
      <c r="Q40" s="22">
        <v>77710.4173209447</v>
      </c>
      <c r="R40" s="22">
        <v>75547.92365282617</v>
      </c>
      <c r="S40" s="22">
        <v>2710</v>
      </c>
      <c r="T40" s="22">
        <v>2582</v>
      </c>
      <c r="U40" s="24">
        <v>0.9721724095343945</v>
      </c>
      <c r="V40" s="24">
        <v>0.9527675276752767</v>
      </c>
      <c r="W40" s="22">
        <v>12951.73622015745</v>
      </c>
      <c r="X40" s="24">
        <v>0.9999999999999999</v>
      </c>
      <c r="Y40" s="24">
        <v>1</v>
      </c>
      <c r="Z40" s="22">
        <v>28112.50864379289</v>
      </c>
      <c r="AA40" s="22">
        <v>25950.01497567437</v>
      </c>
      <c r="AB40" s="24">
        <v>0.923077171962169</v>
      </c>
    </row>
    <row r="41" spans="1:28" ht="19" customHeight="1">
      <c r="A41" s="18" t="s">
        <v>27</v>
      </c>
      <c r="B41" s="18" t="s">
        <v>99</v>
      </c>
      <c r="C41" s="18" t="s">
        <v>100</v>
      </c>
      <c r="D41" s="18" t="s">
        <v>21</v>
      </c>
      <c r="E41" s="22">
        <v>10.90384939</v>
      </c>
      <c r="F41" s="22">
        <v>2054565.96</v>
      </c>
      <c r="G41" s="22">
        <v>2032481.87</v>
      </c>
      <c r="H41" s="22">
        <v>22084.0899999995</v>
      </c>
      <c r="I41" s="23" t="s">
        <v>51</v>
      </c>
      <c r="J41" s="22">
        <v>22084.0899999995</v>
      </c>
      <c r="K41" s="23" t="s">
        <v>51</v>
      </c>
      <c r="L41" s="23" t="s">
        <v>51</v>
      </c>
      <c r="M41" s="22">
        <v>2025.348040871968</v>
      </c>
      <c r="N41" s="22">
        <v>2025.348040871968</v>
      </c>
      <c r="O41" s="23" t="s">
        <v>51</v>
      </c>
      <c r="P41" s="22">
        <v>116</v>
      </c>
      <c r="Q41" s="22">
        <v>36327.15069994194</v>
      </c>
      <c r="R41" s="22">
        <v>34301.80265906994</v>
      </c>
      <c r="S41" s="22">
        <v>786</v>
      </c>
      <c r="T41" s="22">
        <v>670</v>
      </c>
      <c r="U41" s="24">
        <v>0.9442469887715348</v>
      </c>
      <c r="V41" s="24">
        <v>0.8524173027989822</v>
      </c>
      <c r="W41" s="22">
        <v>6054.525116656991</v>
      </c>
      <c r="X41" s="24">
        <v>0.9342711524878822</v>
      </c>
      <c r="Y41" s="24">
        <v>0.9932432432432432</v>
      </c>
      <c r="Z41" s="22">
        <v>12098.51725584042</v>
      </c>
      <c r="AA41" s="22">
        <v>10444.68296714065</v>
      </c>
      <c r="AB41" s="24">
        <v>0.8633027292744164</v>
      </c>
    </row>
    <row r="42" spans="1:28" ht="19" customHeight="1">
      <c r="A42" s="18" t="s">
        <v>27</v>
      </c>
      <c r="B42" s="18" t="s">
        <v>105</v>
      </c>
      <c r="C42" s="18" t="s">
        <v>106</v>
      </c>
      <c r="D42" s="18" t="s">
        <v>23</v>
      </c>
      <c r="E42" s="22">
        <v>11.34339828</v>
      </c>
      <c r="F42" s="22">
        <v>4130551.21</v>
      </c>
      <c r="G42" s="22">
        <v>3957924.589999999</v>
      </c>
      <c r="H42" s="22">
        <v>172626.620000001</v>
      </c>
      <c r="I42" s="23" t="s">
        <v>51</v>
      </c>
      <c r="J42" s="22">
        <v>172626.620000001</v>
      </c>
      <c r="K42" s="23" t="s">
        <v>51</v>
      </c>
      <c r="L42" s="23" t="s">
        <v>51</v>
      </c>
      <c r="M42" s="22">
        <v>15218.24551504693</v>
      </c>
      <c r="N42" s="22">
        <v>15218.24551504693</v>
      </c>
      <c r="O42" s="23" t="s">
        <v>51</v>
      </c>
      <c r="P42" s="22">
        <v>374</v>
      </c>
      <c r="Q42" s="22">
        <v>127247.4433472859</v>
      </c>
      <c r="R42" s="22">
        <v>112029.197832239</v>
      </c>
      <c r="S42" s="22">
        <v>3433</v>
      </c>
      <c r="T42" s="22">
        <v>3059</v>
      </c>
      <c r="U42" s="24">
        <v>0.8804043121439152</v>
      </c>
      <c r="V42" s="24">
        <v>0.8910573842120594</v>
      </c>
      <c r="W42" s="22">
        <v>21207.90722454765</v>
      </c>
      <c r="X42" s="24">
        <v>1.000000000000001</v>
      </c>
      <c r="Y42" s="24">
        <v>1</v>
      </c>
      <c r="Z42" s="22">
        <v>60516.95559436886</v>
      </c>
      <c r="AA42" s="22">
        <v>45794.20004284642</v>
      </c>
      <c r="AB42" s="24">
        <v>0.7567168505599378</v>
      </c>
    </row>
    <row r="43" spans="1:28" ht="19" customHeight="1">
      <c r="A43" s="18" t="s">
        <v>27</v>
      </c>
      <c r="B43" s="18" t="s">
        <v>111</v>
      </c>
      <c r="C43" s="18" t="s">
        <v>112</v>
      </c>
      <c r="D43" s="18" t="s">
        <v>25</v>
      </c>
      <c r="E43" s="22">
        <v>18.58943911</v>
      </c>
      <c r="F43" s="22">
        <v>88163871.15999918</v>
      </c>
      <c r="G43" s="22">
        <v>54572196.1700004</v>
      </c>
      <c r="H43" s="22">
        <v>33591674.98999877</v>
      </c>
      <c r="I43" s="22">
        <v>4485046.75000003</v>
      </c>
      <c r="J43" s="22">
        <v>38076721.7399988</v>
      </c>
      <c r="K43" s="22">
        <v>0</v>
      </c>
      <c r="L43" s="22">
        <v>38076721.7399988</v>
      </c>
      <c r="M43" s="22">
        <v>1807030.044920961</v>
      </c>
      <c r="N43" s="22">
        <v>2048298.580429778</v>
      </c>
      <c r="O43" s="22">
        <v>2048298.580429778</v>
      </c>
      <c r="P43" s="22">
        <v>72025</v>
      </c>
      <c r="Q43" s="22">
        <v>1236166.888308011</v>
      </c>
      <c r="R43" s="22">
        <v>529259.7308494052</v>
      </c>
      <c r="S43" s="22">
        <v>117674</v>
      </c>
      <c r="T43" s="22">
        <v>77675</v>
      </c>
      <c r="U43" s="24">
        <v>0.4281458562393814</v>
      </c>
      <c r="V43" s="24">
        <v>0.6600863402280878</v>
      </c>
      <c r="W43" s="22">
        <v>206027.8147180019</v>
      </c>
      <c r="X43" s="24">
        <v>0.6926903849986122</v>
      </c>
      <c r="Y43" s="24">
        <v>0.8571001494768311</v>
      </c>
      <c r="Z43" s="22">
        <v>682712.7104213049</v>
      </c>
      <c r="AA43" s="22">
        <v>185944.9884176739</v>
      </c>
      <c r="AB43" s="24">
        <v>0.2723619841542521</v>
      </c>
    </row>
    <row r="44" spans="1:28" ht="19" customHeight="1">
      <c r="A44" s="18" t="s">
        <v>27</v>
      </c>
      <c r="B44" s="18" t="s">
        <v>233</v>
      </c>
      <c r="C44" s="18" t="s">
        <v>234</v>
      </c>
      <c r="D44" s="18" t="s">
        <v>14</v>
      </c>
      <c r="E44" s="22">
        <v>5.855892595</v>
      </c>
      <c r="F44" s="23" t="s">
        <v>51</v>
      </c>
      <c r="G44" s="23" t="s">
        <v>51</v>
      </c>
      <c r="H44" s="22">
        <v>22106987.68000206</v>
      </c>
      <c r="I44" s="23" t="s">
        <v>51</v>
      </c>
      <c r="J44" s="22">
        <v>22106987.68000206</v>
      </c>
      <c r="K44" s="22">
        <v>0</v>
      </c>
      <c r="L44" s="22">
        <v>22106987.68000206</v>
      </c>
      <c r="M44" s="22">
        <v>3775169.595644208</v>
      </c>
      <c r="N44" s="22">
        <v>3775169.595644208</v>
      </c>
      <c r="O44" s="22">
        <v>3775169.595644208</v>
      </c>
      <c r="P44" s="22">
        <v>330516</v>
      </c>
      <c r="Q44" s="22">
        <v>12565.79228635938</v>
      </c>
      <c r="R44" s="23" t="s">
        <v>51</v>
      </c>
      <c r="S44" s="22">
        <v>725</v>
      </c>
      <c r="T44" s="23" t="s">
        <v>51</v>
      </c>
      <c r="U44" s="23" t="s">
        <v>51</v>
      </c>
      <c r="V44" s="23" t="s">
        <v>51</v>
      </c>
      <c r="W44" s="22">
        <v>2094.298714393231</v>
      </c>
      <c r="X44" s="23" t="s">
        <v>51</v>
      </c>
      <c r="Y44" s="23" t="s">
        <v>51</v>
      </c>
      <c r="Z44" s="22">
        <v>4560.109251798872</v>
      </c>
      <c r="AA44" s="23" t="s">
        <v>51</v>
      </c>
      <c r="AB44" s="23" t="s">
        <v>51</v>
      </c>
    </row>
    <row r="45" spans="1:28" ht="19" customHeight="1">
      <c r="A45" s="18" t="s">
        <v>27</v>
      </c>
      <c r="B45" s="18" t="s">
        <v>86</v>
      </c>
      <c r="C45" s="18" t="s">
        <v>87</v>
      </c>
      <c r="D45" s="18" t="s">
        <v>10</v>
      </c>
      <c r="E45" s="22">
        <v>1</v>
      </c>
      <c r="F45" s="22">
        <v>1424685</v>
      </c>
      <c r="G45" s="22">
        <v>1410575</v>
      </c>
      <c r="H45" s="22">
        <v>14110</v>
      </c>
      <c r="I45" s="22">
        <v>0</v>
      </c>
      <c r="J45" s="22">
        <v>14110</v>
      </c>
      <c r="K45" s="22">
        <v>0</v>
      </c>
      <c r="L45" s="22">
        <v>14110</v>
      </c>
      <c r="M45" s="22">
        <v>14110</v>
      </c>
      <c r="N45" s="22">
        <v>14110</v>
      </c>
      <c r="O45" s="22">
        <v>14110</v>
      </c>
      <c r="P45" s="22">
        <v>74</v>
      </c>
      <c r="Q45" s="22">
        <v>47144</v>
      </c>
      <c r="R45" s="22">
        <v>41076</v>
      </c>
      <c r="S45" s="22">
        <v>419</v>
      </c>
      <c r="T45" s="22">
        <v>362</v>
      </c>
      <c r="U45" s="24">
        <v>0.8712879687765145</v>
      </c>
      <c r="V45" s="24">
        <v>0.8639618138424821</v>
      </c>
      <c r="W45" s="22">
        <v>7857.333333333333</v>
      </c>
      <c r="X45" s="24">
        <v>1</v>
      </c>
      <c r="Y45" s="24">
        <v>1</v>
      </c>
      <c r="Z45" s="22">
        <v>22636</v>
      </c>
      <c r="AA45" s="22">
        <v>16568</v>
      </c>
      <c r="AB45" s="24">
        <v>0.7319314366495847</v>
      </c>
    </row>
    <row r="46" spans="1:28" ht="19" customHeight="1">
      <c r="A46" s="18" t="s">
        <v>27</v>
      </c>
      <c r="B46" s="18" t="s">
        <v>67</v>
      </c>
      <c r="C46" s="18" t="s">
        <v>68</v>
      </c>
      <c r="D46" s="18" t="s">
        <v>10</v>
      </c>
      <c r="E46" s="22">
        <v>1</v>
      </c>
      <c r="F46" s="22">
        <v>146103720</v>
      </c>
      <c r="G46" s="22">
        <v>143354468</v>
      </c>
      <c r="H46" s="22">
        <v>2749252</v>
      </c>
      <c r="I46" s="22">
        <v>29674</v>
      </c>
      <c r="J46" s="22">
        <v>2778926</v>
      </c>
      <c r="K46" s="22">
        <v>0</v>
      </c>
      <c r="L46" s="22">
        <v>2778926</v>
      </c>
      <c r="M46" s="22">
        <v>2749252</v>
      </c>
      <c r="N46" s="22">
        <v>2778926</v>
      </c>
      <c r="O46" s="22">
        <v>2778926</v>
      </c>
      <c r="P46" s="22">
        <v>23478</v>
      </c>
      <c r="Q46" s="22">
        <v>5016376</v>
      </c>
      <c r="R46" s="22">
        <v>3599102</v>
      </c>
      <c r="S46" s="22">
        <v>22714</v>
      </c>
      <c r="T46" s="22">
        <v>12624</v>
      </c>
      <c r="U46" s="24">
        <v>0.7174705404858009</v>
      </c>
      <c r="V46" s="24">
        <v>0.5557805758563</v>
      </c>
      <c r="W46" s="22">
        <v>836062.6666666666</v>
      </c>
      <c r="X46" s="24">
        <v>0.8526118103512769</v>
      </c>
      <c r="Y46" s="24">
        <v>0.5740216878830741</v>
      </c>
      <c r="Z46" s="22">
        <v>2761565</v>
      </c>
      <c r="AA46" s="22">
        <v>1723381</v>
      </c>
      <c r="AB46" s="24">
        <v>0.6240595459458677</v>
      </c>
    </row>
  </sheetData>
  <conditionalFormatting sqref="A6:AB46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161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8" customWidth="1"/>
    <col min="2" max="2" width="12.7109375" style="18" customWidth="1"/>
    <col min="3" max="3" width="22.7109375" style="18" customWidth="1"/>
    <col min="4" max="4" width="12.7109375" style="18" customWidth="1"/>
    <col min="5" max="5" width="20.7109375" style="18" customWidth="1"/>
    <col min="6" max="22" width="21.7109375" style="18" customWidth="1"/>
    <col min="23" max="23" width="58.7109375" style="18" customWidth="1"/>
    <col min="24" max="28" width="18.7109375" style="18" customWidth="1"/>
  </cols>
  <sheetData>
    <row r="2" spans="1:23" ht="19" customHeight="1">
      <c r="A2" s="19" t="s">
        <v>155</v>
      </c>
    </row>
    <row r="3" spans="1:23" ht="19" customHeight="1">
      <c r="A3" s="20" t="s">
        <v>156</v>
      </c>
    </row>
    <row r="5" spans="1:23" ht="42" customHeight="1">
      <c r="A5" s="21" t="s">
        <v>3</v>
      </c>
      <c r="B5" s="21" t="s">
        <v>31</v>
      </c>
      <c r="C5" s="21" t="s">
        <v>32</v>
      </c>
      <c r="D5" s="21" t="s">
        <v>4</v>
      </c>
      <c r="E5" s="21" t="s">
        <v>157</v>
      </c>
      <c r="F5" s="21" t="s">
        <v>158</v>
      </c>
      <c r="G5" s="21" t="s">
        <v>159</v>
      </c>
      <c r="H5" s="21" t="s">
        <v>35</v>
      </c>
      <c r="I5" s="21" t="s">
        <v>36</v>
      </c>
      <c r="J5" s="21" t="s">
        <v>37</v>
      </c>
      <c r="K5" s="21" t="s">
        <v>38</v>
      </c>
      <c r="L5" s="21" t="s">
        <v>39</v>
      </c>
      <c r="M5" s="21" t="s">
        <v>40</v>
      </c>
      <c r="N5" s="21" t="s">
        <v>160</v>
      </c>
      <c r="O5" s="21" t="s">
        <v>161</v>
      </c>
      <c r="P5" s="21" t="s">
        <v>162</v>
      </c>
      <c r="Q5" s="21" t="s">
        <v>45</v>
      </c>
      <c r="R5" s="21" t="s">
        <v>163</v>
      </c>
      <c r="S5" s="21" t="s">
        <v>164</v>
      </c>
      <c r="T5" s="21" t="s">
        <v>165</v>
      </c>
      <c r="U5" s="21" t="s">
        <v>166</v>
      </c>
      <c r="V5" s="21" t="s">
        <v>43</v>
      </c>
      <c r="W5" s="21" t="s">
        <v>8</v>
      </c>
    </row>
    <row r="6" spans="1:23" ht="19" customHeight="1">
      <c r="A6" s="18" t="s">
        <v>13</v>
      </c>
      <c r="B6" s="18" t="s">
        <v>48</v>
      </c>
      <c r="C6" s="18" t="s">
        <v>49</v>
      </c>
      <c r="D6" s="18" t="s">
        <v>10</v>
      </c>
      <c r="E6" s="25">
        <v>46023</v>
      </c>
      <c r="F6" s="22">
        <v>114220</v>
      </c>
      <c r="G6" s="26">
        <v>183</v>
      </c>
      <c r="H6" s="22">
        <v>114220</v>
      </c>
      <c r="I6" s="22">
        <v>0</v>
      </c>
      <c r="J6" s="23" t="s">
        <v>51</v>
      </c>
      <c r="K6" s="22">
        <v>0</v>
      </c>
      <c r="L6" s="23" t="s">
        <v>51</v>
      </c>
      <c r="M6" s="22">
        <f>V6</f>
        <v>114220.0</v>
      </c>
      <c r="N6" s="26">
        <v>183</v>
      </c>
      <c r="O6" s="22">
        <f>IF(COUNT(F6,M6)=2,F6-M6,"n.d.")</f>
        <v>0.0</v>
      </c>
      <c r="P6" s="26">
        <f>IF(COUNT(G6,N6)=2,G6-N6,"n.d.")</f>
        <v>0.0</v>
      </c>
      <c r="Q6" s="27">
        <f>IF(COUNTIFS('Taux'!$A$6:$A$20,A6,'Taux'!$B$6:$B$20,D6)=1,SUMIFS('Taux'!$D$6:$D$20,'Taux'!$A$6:$A$20,A6,'Taux'!$B$6:$B$20,D6),"n.d.")</f>
        <v>1</v>
      </c>
      <c r="R6" s="22">
        <f>IF(COUNT(F6,Q6)=2,F6/Q6,"n.d.")</f>
        <v>114220.0</v>
      </c>
      <c r="S6" s="22">
        <f>IF(COUNT(M6,Q6)=2,M6/Q6,"n.d.")</f>
        <v>114220.0</v>
      </c>
      <c r="T6" s="24">
        <f>IF(OR(COUNT(F6,M6)&lt;&gt;2,F6=0),"n.d.",M6/F6)</f>
        <v>1.0</v>
      </c>
      <c r="U6" s="24">
        <f>IF(OR(COUNT(G6,N6)&lt;&gt;2,G6=0),"n.d.",N6/G6)</f>
        <v>1.0</v>
      </c>
      <c r="V6" s="22">
        <v>114220</v>
      </c>
      <c r="W6" s="18" t="s">
        <v>167</v>
      </c>
    </row>
    <row r="7" spans="1:23" ht="19" customHeight="1">
      <c r="A7" s="18" t="s">
        <v>13</v>
      </c>
      <c r="B7" s="18" t="s">
        <v>48</v>
      </c>
      <c r="C7" s="18" t="s">
        <v>49</v>
      </c>
      <c r="D7" s="18" t="s">
        <v>10</v>
      </c>
      <c r="E7" s="25">
        <v>46054</v>
      </c>
      <c r="F7" s="22">
        <v>112478</v>
      </c>
      <c r="G7" s="26">
        <v>239</v>
      </c>
      <c r="H7" s="22">
        <v>112468</v>
      </c>
      <c r="I7" s="22">
        <v>0</v>
      </c>
      <c r="J7" s="23" t="s">
        <v>51</v>
      </c>
      <c r="K7" s="22">
        <v>0</v>
      </c>
      <c r="L7" s="23" t="s">
        <v>51</v>
      </c>
      <c r="M7" s="22">
        <f>V7</f>
        <v>112468.0</v>
      </c>
      <c r="N7" s="26">
        <v>237</v>
      </c>
      <c r="O7" s="22">
        <f>IF(COUNT(F7,M7)=2,F7-M7,"n.d.")</f>
        <v>10.0</v>
      </c>
      <c r="P7" s="26">
        <f>IF(COUNT(G7,N7)=2,G7-N7,"n.d.")</f>
        <v>2.0</v>
      </c>
      <c r="Q7" s="27">
        <f>IF(COUNTIFS('Taux'!$A$6:$A$20,A7,'Taux'!$B$6:$B$20,D7)=1,SUMIFS('Taux'!$D$6:$D$20,'Taux'!$A$6:$A$20,A7,'Taux'!$B$6:$B$20,D7),"n.d.")</f>
        <v>1</v>
      </c>
      <c r="R7" s="22">
        <f>IF(COUNT(F7,Q7)=2,F7/Q7,"n.d.")</f>
        <v>112478.0</v>
      </c>
      <c r="S7" s="22">
        <f>IF(COUNT(M7,Q7)=2,M7/Q7,"n.d.")</f>
        <v>112468.0</v>
      </c>
      <c r="T7" s="24">
        <f>IF(OR(COUNT(F7,M7)&lt;&gt;2,F7=0),"n.d.",M7/F7)</f>
        <v>0.9999110937249951</v>
      </c>
      <c r="U7" s="24">
        <f>IF(OR(COUNT(G7,N7)&lt;&gt;2,G7=0),"n.d.",N7/G7)</f>
        <v>0.9916317991631799</v>
      </c>
      <c r="V7" s="22">
        <v>112468</v>
      </c>
      <c r="W7" s="18" t="s">
        <v>168</v>
      </c>
    </row>
    <row r="8" spans="1:23" ht="19" customHeight="1">
      <c r="A8" s="18" t="s">
        <v>13</v>
      </c>
      <c r="B8" s="18" t="s">
        <v>48</v>
      </c>
      <c r="C8" s="18" t="s">
        <v>49</v>
      </c>
      <c r="D8" s="18" t="s">
        <v>10</v>
      </c>
      <c r="E8" s="25">
        <v>46082</v>
      </c>
      <c r="F8" s="22">
        <v>145236</v>
      </c>
      <c r="G8" s="26">
        <v>298</v>
      </c>
      <c r="H8" s="22">
        <v>141359</v>
      </c>
      <c r="I8" s="22">
        <v>0</v>
      </c>
      <c r="J8" s="23" t="s">
        <v>51</v>
      </c>
      <c r="K8" s="22">
        <v>0</v>
      </c>
      <c r="L8" s="23" t="s">
        <v>51</v>
      </c>
      <c r="M8" s="22">
        <f>V8</f>
        <v>141359.0</v>
      </c>
      <c r="N8" s="26">
        <v>296</v>
      </c>
      <c r="O8" s="22">
        <f>IF(COUNT(F8,M8)=2,F8-M8,"n.d.")</f>
        <v>3877.0</v>
      </c>
      <c r="P8" s="26">
        <f>IF(COUNT(G8,N8)=2,G8-N8,"n.d.")</f>
        <v>2.0</v>
      </c>
      <c r="Q8" s="27">
        <f>IF(COUNTIFS('Taux'!$A$6:$A$20,A8,'Taux'!$B$6:$B$20,D8)=1,SUMIFS('Taux'!$D$6:$D$20,'Taux'!$A$6:$A$20,A8,'Taux'!$B$6:$B$20,D8),"n.d.")</f>
        <v>1</v>
      </c>
      <c r="R8" s="22">
        <f>IF(COUNT(F8,Q8)=2,F8/Q8,"n.d.")</f>
        <v>145236.0</v>
      </c>
      <c r="S8" s="22">
        <f>IF(COUNT(M8,Q8)=2,M8/Q8,"n.d.")</f>
        <v>141359.0</v>
      </c>
      <c r="T8" s="24">
        <f>IF(OR(COUNT(F8,M8)&lt;&gt;2,F8=0),"n.d.",M8/F8)</f>
        <v>0.9733055165385992</v>
      </c>
      <c r="U8" s="24">
        <f>IF(OR(COUNT(G8,N8)&lt;&gt;2,G8=0),"n.d.",N8/G8)</f>
        <v>0.9932885906040269</v>
      </c>
      <c r="V8" s="22">
        <v>141359</v>
      </c>
      <c r="W8" s="18" t="s">
        <v>169</v>
      </c>
    </row>
    <row r="9" spans="1:23" ht="19" customHeight="1">
      <c r="A9" s="18" t="s">
        <v>13</v>
      </c>
      <c r="B9" s="18" t="s">
        <v>48</v>
      </c>
      <c r="C9" s="18" t="s">
        <v>49</v>
      </c>
      <c r="D9" s="18" t="s">
        <v>10</v>
      </c>
      <c r="E9" s="25">
        <v>46113</v>
      </c>
      <c r="F9" s="22">
        <v>105005</v>
      </c>
      <c r="G9" s="26">
        <v>286</v>
      </c>
      <c r="H9" s="22">
        <v>105005</v>
      </c>
      <c r="I9" s="22">
        <v>0</v>
      </c>
      <c r="J9" s="23" t="s">
        <v>51</v>
      </c>
      <c r="K9" s="22">
        <v>0</v>
      </c>
      <c r="L9" s="23" t="s">
        <v>51</v>
      </c>
      <c r="M9" s="22">
        <f>V9</f>
        <v>105005.0</v>
      </c>
      <c r="N9" s="26">
        <v>286</v>
      </c>
      <c r="O9" s="22">
        <f>IF(COUNT(F9,M9)=2,F9-M9,"n.d.")</f>
        <v>0.0</v>
      </c>
      <c r="P9" s="26">
        <f>IF(COUNT(G9,N9)=2,G9-N9,"n.d.")</f>
        <v>0.0</v>
      </c>
      <c r="Q9" s="27">
        <f>IF(COUNTIFS('Taux'!$A$6:$A$20,A9,'Taux'!$B$6:$B$20,D9)=1,SUMIFS('Taux'!$D$6:$D$20,'Taux'!$A$6:$A$20,A9,'Taux'!$B$6:$B$20,D9),"n.d.")</f>
        <v>1</v>
      </c>
      <c r="R9" s="22">
        <f>IF(COUNT(F9,Q9)=2,F9/Q9,"n.d.")</f>
        <v>105005.0</v>
      </c>
      <c r="S9" s="22">
        <f>IF(COUNT(M9,Q9)=2,M9/Q9,"n.d.")</f>
        <v>105005.0</v>
      </c>
      <c r="T9" s="24">
        <f>IF(OR(COUNT(F9,M9)&lt;&gt;2,F9=0),"n.d.",M9/F9)</f>
        <v>1.0</v>
      </c>
      <c r="U9" s="24">
        <f>IF(OR(COUNT(G9,N9)&lt;&gt;2,G9=0),"n.d.",N9/G9)</f>
        <v>1.0</v>
      </c>
      <c r="V9" s="22">
        <v>105005</v>
      </c>
      <c r="W9" s="18" t="s">
        <v>170</v>
      </c>
    </row>
    <row r="10" spans="1:23" ht="19" customHeight="1">
      <c r="A10" s="18" t="s">
        <v>13</v>
      </c>
      <c r="B10" s="18" t="s">
        <v>48</v>
      </c>
      <c r="C10" s="18" t="s">
        <v>49</v>
      </c>
      <c r="D10" s="18" t="s">
        <v>10</v>
      </c>
      <c r="E10" s="25">
        <v>46143</v>
      </c>
      <c r="F10" s="22">
        <v>68164</v>
      </c>
      <c r="G10" s="26">
        <v>174</v>
      </c>
      <c r="H10" s="22">
        <v>64232</v>
      </c>
      <c r="I10" s="22">
        <v>0</v>
      </c>
      <c r="J10" s="23" t="s">
        <v>51</v>
      </c>
      <c r="K10" s="22">
        <v>0</v>
      </c>
      <c r="L10" s="23" t="s">
        <v>51</v>
      </c>
      <c r="M10" s="22">
        <f>V10</f>
        <v>64232.0</v>
      </c>
      <c r="N10" s="26">
        <v>154</v>
      </c>
      <c r="O10" s="22">
        <f>IF(COUNT(F10,M10)=2,F10-M10,"n.d.")</f>
        <v>3932.0</v>
      </c>
      <c r="P10" s="26">
        <f>IF(COUNT(G10,N10)=2,G10-N10,"n.d.")</f>
        <v>20.0</v>
      </c>
      <c r="Q10" s="27">
        <f>IF(COUNTIFS('Taux'!$A$6:$A$20,A10,'Taux'!$B$6:$B$20,D10)=1,SUMIFS('Taux'!$D$6:$D$20,'Taux'!$A$6:$A$20,A10,'Taux'!$B$6:$B$20,D10),"n.d.")</f>
        <v>1</v>
      </c>
      <c r="R10" s="22">
        <f>IF(COUNT(F10,Q10)=2,F10/Q10,"n.d.")</f>
        <v>68164.0</v>
      </c>
      <c r="S10" s="22">
        <f>IF(COUNT(M10,Q10)=2,M10/Q10,"n.d.")</f>
        <v>64232.0</v>
      </c>
      <c r="T10" s="24">
        <f>IF(OR(COUNT(F10,M10)&lt;&gt;2,F10=0),"n.d.",M10/F10)</f>
        <v>0.9423155918079925</v>
      </c>
      <c r="U10" s="24">
        <f>IF(OR(COUNT(G10,N10)&lt;&gt;2,G10=0),"n.d.",N10/G10)</f>
        <v>0.8850574712643678</v>
      </c>
      <c r="V10" s="22">
        <v>64232</v>
      </c>
      <c r="W10" s="18" t="s">
        <v>171</v>
      </c>
    </row>
    <row r="11" spans="1:23" ht="19" customHeight="1">
      <c r="A11" s="18" t="s">
        <v>13</v>
      </c>
      <c r="B11" s="18" t="s">
        <v>48</v>
      </c>
      <c r="C11" s="18" t="s">
        <v>49</v>
      </c>
      <c r="D11" s="18" t="s">
        <v>10</v>
      </c>
      <c r="E11" s="25">
        <v>46174</v>
      </c>
      <c r="F11" s="22">
        <v>104341</v>
      </c>
      <c r="G11" s="26">
        <v>211</v>
      </c>
      <c r="H11" s="22">
        <v>0</v>
      </c>
      <c r="I11" s="22">
        <v>0</v>
      </c>
      <c r="J11" s="23" t="s">
        <v>51</v>
      </c>
      <c r="K11" s="22">
        <v>0</v>
      </c>
      <c r="L11" s="23" t="s">
        <v>51</v>
      </c>
      <c r="M11" s="22">
        <f>V11</f>
        <v>0.0</v>
      </c>
      <c r="N11" s="26">
        <v>0</v>
      </c>
      <c r="O11" s="22">
        <f>IF(COUNT(F11,M11)=2,F11-M11,"n.d.")</f>
        <v>104341.0</v>
      </c>
      <c r="P11" s="26">
        <f>IF(COUNT(G11,N11)=2,G11-N11,"n.d.")</f>
        <v>211.0</v>
      </c>
      <c r="Q11" s="27">
        <f>IF(COUNTIFS('Taux'!$A$6:$A$20,A11,'Taux'!$B$6:$B$20,D11)=1,SUMIFS('Taux'!$D$6:$D$20,'Taux'!$A$6:$A$20,A11,'Taux'!$B$6:$B$20,D11),"n.d.")</f>
        <v>1</v>
      </c>
      <c r="R11" s="22">
        <f>IF(COUNT(F11,Q11)=2,F11/Q11,"n.d.")</f>
        <v>104341.0</v>
      </c>
      <c r="S11" s="22">
        <f>IF(COUNT(M11,Q11)=2,M11/Q11,"n.d.")</f>
        <v>0.0</v>
      </c>
      <c r="T11" s="24">
        <f>IF(OR(COUNT(F11,M11)&lt;&gt;2,F11=0),"n.d.",M11/F11)</f>
        <v>0.0</v>
      </c>
      <c r="U11" s="24">
        <f>IF(OR(COUNT(G11,N11)&lt;&gt;2,G11=0),"n.d.",N11/G11)</f>
        <v>0.0</v>
      </c>
      <c r="V11" s="22">
        <v>0</v>
      </c>
      <c r="W11" s="18" t="s">
        <v>172</v>
      </c>
    </row>
    <row r="12" spans="1:23" ht="19" customHeight="1">
      <c r="A12" s="18" t="s">
        <v>13</v>
      </c>
      <c r="B12" s="18" t="s">
        <v>57</v>
      </c>
      <c r="C12" s="18" t="s">
        <v>58</v>
      </c>
      <c r="D12" s="18" t="s">
        <v>10</v>
      </c>
      <c r="E12" s="25">
        <v>46023</v>
      </c>
      <c r="F12" s="22">
        <v>2802916</v>
      </c>
      <c r="G12" s="26">
        <v>6324</v>
      </c>
      <c r="H12" s="22">
        <v>981728</v>
      </c>
      <c r="I12" s="22">
        <v>6916</v>
      </c>
      <c r="J12" s="22">
        <v>1795113</v>
      </c>
      <c r="K12" s="23" t="s">
        <v>51</v>
      </c>
      <c r="L12" s="23" t="s">
        <v>51</v>
      </c>
      <c r="M12" s="22">
        <f>V12</f>
        <v>2783756.0</v>
      </c>
      <c r="N12" s="26">
        <v>6257</v>
      </c>
      <c r="O12" s="22">
        <f>IF(COUNT(F12,M12)=2,F12-M12,"n.d.")</f>
        <v>19160.0</v>
      </c>
      <c r="P12" s="26">
        <f>IF(COUNT(G12,N12)=2,G12-N12,"n.d.")</f>
        <v>67.0</v>
      </c>
      <c r="Q12" s="27">
        <f>IF(COUNTIFS('Taux'!$A$6:$A$20,A12,'Taux'!$B$6:$B$20,D12)=1,SUMIFS('Taux'!$D$6:$D$20,'Taux'!$A$6:$A$20,A12,'Taux'!$B$6:$B$20,D12),"n.d.")</f>
        <v>1</v>
      </c>
      <c r="R12" s="22">
        <f>IF(COUNT(F12,Q12)=2,F12/Q12,"n.d.")</f>
        <v>2802916.0</v>
      </c>
      <c r="S12" s="22">
        <f>IF(COUNT(M12,Q12)=2,M12/Q12,"n.d.")</f>
        <v>2783756.0</v>
      </c>
      <c r="T12" s="24">
        <f>IF(OR(COUNT(F12,M12)&lt;&gt;2,F12=0),"n.d.",M12/F12)</f>
        <v>0.9931642617902213</v>
      </c>
      <c r="U12" s="24">
        <f>IF(OR(COUNT(G12,N12)&lt;&gt;2,G12=0),"n.d.",N12/G12)</f>
        <v>0.9894054395951929</v>
      </c>
      <c r="V12" s="22">
        <v>2783756</v>
      </c>
      <c r="W12" s="18" t="s">
        <v>173</v>
      </c>
    </row>
    <row r="13" spans="1:23" ht="19" customHeight="1">
      <c r="A13" s="18" t="s">
        <v>13</v>
      </c>
      <c r="B13" s="18" t="s">
        <v>57</v>
      </c>
      <c r="C13" s="18" t="s">
        <v>58</v>
      </c>
      <c r="D13" s="18" t="s">
        <v>10</v>
      </c>
      <c r="E13" s="25">
        <v>46054</v>
      </c>
      <c r="F13" s="22">
        <v>3537190</v>
      </c>
      <c r="G13" s="26">
        <v>8184</v>
      </c>
      <c r="H13" s="22">
        <v>1445209</v>
      </c>
      <c r="I13" s="22">
        <v>0</v>
      </c>
      <c r="J13" s="22">
        <v>2037652</v>
      </c>
      <c r="K13" s="23" t="s">
        <v>51</v>
      </c>
      <c r="L13" s="23" t="s">
        <v>51</v>
      </c>
      <c r="M13" s="22">
        <f>V13</f>
        <v>3482861.0</v>
      </c>
      <c r="N13" s="26">
        <v>7775</v>
      </c>
      <c r="O13" s="22">
        <f>IF(COUNT(F13,M13)=2,F13-M13,"n.d.")</f>
        <v>54329.0</v>
      </c>
      <c r="P13" s="26">
        <f>IF(COUNT(G13,N13)=2,G13-N13,"n.d.")</f>
        <v>409.0</v>
      </c>
      <c r="Q13" s="27">
        <f>IF(COUNTIFS('Taux'!$A$6:$A$20,A13,'Taux'!$B$6:$B$20,D13)=1,SUMIFS('Taux'!$D$6:$D$20,'Taux'!$A$6:$A$20,A13,'Taux'!$B$6:$B$20,D13),"n.d.")</f>
        <v>1</v>
      </c>
      <c r="R13" s="22">
        <f>IF(COUNT(F13,Q13)=2,F13/Q13,"n.d.")</f>
        <v>3537190.0</v>
      </c>
      <c r="S13" s="22">
        <f>IF(COUNT(M13,Q13)=2,M13/Q13,"n.d.")</f>
        <v>3482861.0</v>
      </c>
      <c r="T13" s="24">
        <f>IF(OR(COUNT(F13,M13)&lt;&gt;2,F13=0),"n.d.",M13/F13)</f>
        <v>0.9846406328187064</v>
      </c>
      <c r="U13" s="24">
        <f>IF(OR(COUNT(G13,N13)&lt;&gt;2,G13=0),"n.d.",N13/G13)</f>
        <v>0.9500244379276638</v>
      </c>
      <c r="V13" s="22">
        <v>3482861</v>
      </c>
      <c r="W13" s="18" t="s">
        <v>174</v>
      </c>
    </row>
    <row r="14" spans="1:23" ht="19" customHeight="1">
      <c r="A14" s="18" t="s">
        <v>13</v>
      </c>
      <c r="B14" s="18" t="s">
        <v>57</v>
      </c>
      <c r="C14" s="18" t="s">
        <v>58</v>
      </c>
      <c r="D14" s="18" t="s">
        <v>10</v>
      </c>
      <c r="E14" s="25">
        <v>46082</v>
      </c>
      <c r="F14" s="22">
        <v>3807379</v>
      </c>
      <c r="G14" s="26">
        <v>6855</v>
      </c>
      <c r="H14" s="22">
        <v>1307333</v>
      </c>
      <c r="I14" s="22">
        <v>168</v>
      </c>
      <c r="J14" s="22">
        <v>2434302</v>
      </c>
      <c r="K14" s="23" t="s">
        <v>51</v>
      </c>
      <c r="L14" s="23" t="s">
        <v>51</v>
      </c>
      <c r="M14" s="22">
        <f>V14</f>
        <v>3741802.0</v>
      </c>
      <c r="N14" s="26">
        <v>6394</v>
      </c>
      <c r="O14" s="22">
        <f>IF(COUNT(F14,M14)=2,F14-M14,"n.d.")</f>
        <v>65577.0</v>
      </c>
      <c r="P14" s="26">
        <f>IF(COUNT(G14,N14)=2,G14-N14,"n.d.")</f>
        <v>461.0</v>
      </c>
      <c r="Q14" s="27">
        <f>IF(COUNTIFS('Taux'!$A$6:$A$20,A14,'Taux'!$B$6:$B$20,D14)=1,SUMIFS('Taux'!$D$6:$D$20,'Taux'!$A$6:$A$20,A14,'Taux'!$B$6:$B$20,D14),"n.d.")</f>
        <v>1</v>
      </c>
      <c r="R14" s="22">
        <f>IF(COUNT(F14,Q14)=2,F14/Q14,"n.d.")</f>
        <v>3807379.0</v>
      </c>
      <c r="S14" s="22">
        <f>IF(COUNT(M14,Q14)=2,M14/Q14,"n.d.")</f>
        <v>3741802.0</v>
      </c>
      <c r="T14" s="24">
        <f>IF(OR(COUNT(F14,M14)&lt;&gt;2,F14=0),"n.d.",M14/F14)</f>
        <v>0.9827763403643294</v>
      </c>
      <c r="U14" s="24">
        <f>IF(OR(COUNT(G14,N14)&lt;&gt;2,G14=0),"n.d.",N14/G14)</f>
        <v>0.9327498176513493</v>
      </c>
      <c r="V14" s="22">
        <v>3741802</v>
      </c>
      <c r="W14" s="18" t="s">
        <v>175</v>
      </c>
    </row>
    <row r="15" spans="1:23" ht="19" customHeight="1">
      <c r="A15" s="18" t="s">
        <v>13</v>
      </c>
      <c r="B15" s="18" t="s">
        <v>57</v>
      </c>
      <c r="C15" s="18" t="s">
        <v>58</v>
      </c>
      <c r="D15" s="18" t="s">
        <v>10</v>
      </c>
      <c r="E15" s="25">
        <v>46113</v>
      </c>
      <c r="F15" s="22">
        <v>3480227</v>
      </c>
      <c r="G15" s="26">
        <v>6841</v>
      </c>
      <c r="H15" s="22">
        <v>1127675</v>
      </c>
      <c r="I15" s="22">
        <v>818</v>
      </c>
      <c r="J15" s="22">
        <v>2246140</v>
      </c>
      <c r="K15" s="23" t="s">
        <v>51</v>
      </c>
      <c r="L15" s="23" t="s">
        <v>51</v>
      </c>
      <c r="M15" s="22">
        <f>V15</f>
        <v>3374633.0</v>
      </c>
      <c r="N15" s="26">
        <v>6209</v>
      </c>
      <c r="O15" s="22">
        <f>IF(COUNT(F15,M15)=2,F15-M15,"n.d.")</f>
        <v>105594.0</v>
      </c>
      <c r="P15" s="26">
        <f>IF(COUNT(G15,N15)=2,G15-N15,"n.d.")</f>
        <v>632.0</v>
      </c>
      <c r="Q15" s="27">
        <f>IF(COUNTIFS('Taux'!$A$6:$A$20,A15,'Taux'!$B$6:$B$20,D15)=1,SUMIFS('Taux'!$D$6:$D$20,'Taux'!$A$6:$A$20,A15,'Taux'!$B$6:$B$20,D15),"n.d.")</f>
        <v>1</v>
      </c>
      <c r="R15" s="22">
        <f>IF(COUNT(F15,Q15)=2,F15/Q15,"n.d.")</f>
        <v>3480227.0</v>
      </c>
      <c r="S15" s="22">
        <f>IF(COUNT(M15,Q15)=2,M15/Q15,"n.d.")</f>
        <v>3374633.0</v>
      </c>
      <c r="T15" s="24">
        <f>IF(OR(COUNT(F15,M15)&lt;&gt;2,F15=0),"n.d.",M15/F15)</f>
        <v>0.9696588756997747</v>
      </c>
      <c r="U15" s="24">
        <f>IF(OR(COUNT(G15,N15)&lt;&gt;2,G15=0),"n.d.",N15/G15)</f>
        <v>0.9076158456366028</v>
      </c>
      <c r="V15" s="22">
        <v>3374633</v>
      </c>
      <c r="W15" s="18" t="s">
        <v>176</v>
      </c>
    </row>
    <row r="16" spans="1:23" ht="19" customHeight="1">
      <c r="A16" s="18" t="s">
        <v>13</v>
      </c>
      <c r="B16" s="18" t="s">
        <v>57</v>
      </c>
      <c r="C16" s="18" t="s">
        <v>58</v>
      </c>
      <c r="D16" s="18" t="s">
        <v>10</v>
      </c>
      <c r="E16" s="25">
        <v>46143</v>
      </c>
      <c r="F16" s="22">
        <v>3189964</v>
      </c>
      <c r="G16" s="26">
        <v>7005</v>
      </c>
      <c r="H16" s="22">
        <v>1174481</v>
      </c>
      <c r="I16" s="22">
        <v>0</v>
      </c>
      <c r="J16" s="22">
        <v>1849946</v>
      </c>
      <c r="K16" s="23" t="s">
        <v>51</v>
      </c>
      <c r="L16" s="23" t="s">
        <v>51</v>
      </c>
      <c r="M16" s="22">
        <f>V16</f>
        <v>3024427.0</v>
      </c>
      <c r="N16" s="26">
        <v>5973</v>
      </c>
      <c r="O16" s="22">
        <f>IF(COUNT(F16,M16)=2,F16-M16,"n.d.")</f>
        <v>165537.0</v>
      </c>
      <c r="P16" s="26">
        <f>IF(COUNT(G16,N16)=2,G16-N16,"n.d.")</f>
        <v>1032.0</v>
      </c>
      <c r="Q16" s="27">
        <f>IF(COUNTIFS('Taux'!$A$6:$A$20,A16,'Taux'!$B$6:$B$20,D16)=1,SUMIFS('Taux'!$D$6:$D$20,'Taux'!$A$6:$A$20,A16,'Taux'!$B$6:$B$20,D16),"n.d.")</f>
        <v>1</v>
      </c>
      <c r="R16" s="22">
        <f>IF(COUNT(F16,Q16)=2,F16/Q16,"n.d.")</f>
        <v>3189964.0</v>
      </c>
      <c r="S16" s="22">
        <f>IF(COUNT(M16,Q16)=2,M16/Q16,"n.d.")</f>
        <v>3024427.0</v>
      </c>
      <c r="T16" s="24">
        <f>IF(OR(COUNT(F16,M16)&lt;&gt;2,F16=0),"n.d.",M16/F16)</f>
        <v>0.9481069378839385</v>
      </c>
      <c r="U16" s="24">
        <f>IF(OR(COUNT(G16,N16)&lt;&gt;2,G16=0),"n.d.",N16/G16)</f>
        <v>0.8526766595289079</v>
      </c>
      <c r="V16" s="22">
        <v>3024427</v>
      </c>
      <c r="W16" s="18" t="s">
        <v>177</v>
      </c>
    </row>
    <row r="17" spans="1:23" ht="19" customHeight="1">
      <c r="A17" s="18" t="s">
        <v>13</v>
      </c>
      <c r="B17" s="18" t="s">
        <v>57</v>
      </c>
      <c r="C17" s="18" t="s">
        <v>58</v>
      </c>
      <c r="D17" s="18" t="s">
        <v>10</v>
      </c>
      <c r="E17" s="25">
        <v>46174</v>
      </c>
      <c r="F17" s="22">
        <v>3807084</v>
      </c>
      <c r="G17" s="26">
        <v>8577</v>
      </c>
      <c r="H17" s="22">
        <v>1054596</v>
      </c>
      <c r="I17" s="22">
        <v>0</v>
      </c>
      <c r="J17" s="22">
        <v>1811911</v>
      </c>
      <c r="K17" s="23" t="s">
        <v>51</v>
      </c>
      <c r="L17" s="23" t="s">
        <v>51</v>
      </c>
      <c r="M17" s="22">
        <f>V17</f>
        <v>2866508.0</v>
      </c>
      <c r="N17" s="26">
        <v>5609</v>
      </c>
      <c r="O17" s="22">
        <f>IF(COUNT(F17,M17)=2,F17-M17,"n.d.")</f>
        <v>940576.0</v>
      </c>
      <c r="P17" s="26">
        <f>IF(COUNT(G17,N17)=2,G17-N17,"n.d.")</f>
        <v>2968.0</v>
      </c>
      <c r="Q17" s="27">
        <f>IF(COUNTIFS('Taux'!$A$6:$A$20,A17,'Taux'!$B$6:$B$20,D17)=1,SUMIFS('Taux'!$D$6:$D$20,'Taux'!$A$6:$A$20,A17,'Taux'!$B$6:$B$20,D17),"n.d.")</f>
        <v>1</v>
      </c>
      <c r="R17" s="22">
        <f>IF(COUNT(F17,Q17)=2,F17/Q17,"n.d.")</f>
        <v>3807084.0</v>
      </c>
      <c r="S17" s="22">
        <f>IF(COUNT(M17,Q17)=2,M17/Q17,"n.d.")</f>
        <v>2866508.0</v>
      </c>
      <c r="T17" s="24">
        <f>IF(OR(COUNT(F17,M17)&lt;&gt;2,F17=0),"n.d.",M17/F17)</f>
        <v>0.7529405707885616</v>
      </c>
      <c r="U17" s="24">
        <f>IF(OR(COUNT(G17,N17)&lt;&gt;2,G17=0),"n.d.",N17/G17)</f>
        <v>0.6539582604640317</v>
      </c>
      <c r="V17" s="22">
        <v>2866508</v>
      </c>
      <c r="W17" s="18" t="s">
        <v>178</v>
      </c>
    </row>
    <row r="18" spans="1:23" ht="19" customHeight="1">
      <c r="A18" s="18" t="s">
        <v>13</v>
      </c>
      <c r="B18" s="18" t="s">
        <v>62</v>
      </c>
      <c r="C18" s="18" t="s">
        <v>63</v>
      </c>
      <c r="D18" s="18" t="s">
        <v>10</v>
      </c>
      <c r="E18" s="25">
        <v>46023</v>
      </c>
      <c r="F18" s="22">
        <v>1413554</v>
      </c>
      <c r="G18" s="26">
        <v>7446</v>
      </c>
      <c r="H18" s="22">
        <v>1382081</v>
      </c>
      <c r="I18" s="22">
        <v>0</v>
      </c>
      <c r="J18" s="22">
        <v>0</v>
      </c>
      <c r="K18" s="23" t="s">
        <v>51</v>
      </c>
      <c r="L18" s="23" t="s">
        <v>51</v>
      </c>
      <c r="M18" s="22">
        <f>V18</f>
        <v>1382081.0</v>
      </c>
      <c r="N18" s="26">
        <v>7002</v>
      </c>
      <c r="O18" s="22">
        <f>IF(COUNT(F18,M18)=2,F18-M18,"n.d.")</f>
        <v>31473.0</v>
      </c>
      <c r="P18" s="26">
        <f>IF(COUNT(G18,N18)=2,G18-N18,"n.d.")</f>
        <v>444.0</v>
      </c>
      <c r="Q18" s="27">
        <f>IF(COUNTIFS('Taux'!$A$6:$A$20,A18,'Taux'!$B$6:$B$20,D18)=1,SUMIFS('Taux'!$D$6:$D$20,'Taux'!$A$6:$A$20,A18,'Taux'!$B$6:$B$20,D18),"n.d.")</f>
        <v>1</v>
      </c>
      <c r="R18" s="22">
        <f>IF(COUNT(F18,Q18)=2,F18/Q18,"n.d.")</f>
        <v>1413554.0</v>
      </c>
      <c r="S18" s="22">
        <f>IF(COUNT(M18,Q18)=2,M18/Q18,"n.d.")</f>
        <v>1382081.0</v>
      </c>
      <c r="T18" s="24">
        <f>IF(OR(COUNT(F18,M18)&lt;&gt;2,F18=0),"n.d.",M18/F18)</f>
        <v>0.9777348442295094</v>
      </c>
      <c r="U18" s="24">
        <f>IF(OR(COUNT(G18,N18)&lt;&gt;2,G18=0),"n.d.",N18/G18)</f>
        <v>0.9403706688154714</v>
      </c>
      <c r="V18" s="22">
        <v>1382081</v>
      </c>
      <c r="W18" s="18" t="s">
        <v>179</v>
      </c>
    </row>
    <row r="19" spans="1:23" ht="19" customHeight="1">
      <c r="A19" s="18" t="s">
        <v>13</v>
      </c>
      <c r="B19" s="18" t="s">
        <v>62</v>
      </c>
      <c r="C19" s="18" t="s">
        <v>63</v>
      </c>
      <c r="D19" s="18" t="s">
        <v>10</v>
      </c>
      <c r="E19" s="25">
        <v>46054</v>
      </c>
      <c r="F19" s="22">
        <v>1770440</v>
      </c>
      <c r="G19" s="26">
        <v>7932</v>
      </c>
      <c r="H19" s="22">
        <v>1729340</v>
      </c>
      <c r="I19" s="22">
        <v>0</v>
      </c>
      <c r="J19" s="22">
        <v>0</v>
      </c>
      <c r="K19" s="23" t="s">
        <v>51</v>
      </c>
      <c r="L19" s="23" t="s">
        <v>51</v>
      </c>
      <c r="M19" s="22">
        <f>V19</f>
        <v>1729340.0</v>
      </c>
      <c r="N19" s="26">
        <v>7680</v>
      </c>
      <c r="O19" s="22">
        <f>IF(COUNT(F19,M19)=2,F19-M19,"n.d.")</f>
        <v>41100.0</v>
      </c>
      <c r="P19" s="26">
        <f>IF(COUNT(G19,N19)=2,G19-N19,"n.d.")</f>
        <v>252.0</v>
      </c>
      <c r="Q19" s="27">
        <f>IF(COUNTIFS('Taux'!$A$6:$A$20,A19,'Taux'!$B$6:$B$20,D19)=1,SUMIFS('Taux'!$D$6:$D$20,'Taux'!$A$6:$A$20,A19,'Taux'!$B$6:$B$20,D19),"n.d.")</f>
        <v>1</v>
      </c>
      <c r="R19" s="22">
        <f>IF(COUNT(F19,Q19)=2,F19/Q19,"n.d.")</f>
        <v>1770440.0</v>
      </c>
      <c r="S19" s="22">
        <f>IF(COUNT(M19,Q19)=2,M19/Q19,"n.d.")</f>
        <v>1729340.0</v>
      </c>
      <c r="T19" s="24">
        <f>IF(OR(COUNT(F19,M19)&lt;&gt;2,F19=0),"n.d.",M19/F19)</f>
        <v>0.9767854318700436</v>
      </c>
      <c r="U19" s="24">
        <f>IF(OR(COUNT(G19,N19)&lt;&gt;2,G19=0),"n.d.",N19/G19)</f>
        <v>0.9682299546142209</v>
      </c>
      <c r="V19" s="22">
        <v>1729340</v>
      </c>
      <c r="W19" s="18" t="s">
        <v>180</v>
      </c>
    </row>
    <row r="20" spans="1:23" ht="19" customHeight="1">
      <c r="A20" s="18" t="s">
        <v>13</v>
      </c>
      <c r="B20" s="18" t="s">
        <v>62</v>
      </c>
      <c r="C20" s="18" t="s">
        <v>63</v>
      </c>
      <c r="D20" s="18" t="s">
        <v>10</v>
      </c>
      <c r="E20" s="25">
        <v>46082</v>
      </c>
      <c r="F20" s="22">
        <v>2064609</v>
      </c>
      <c r="G20" s="26">
        <v>8190</v>
      </c>
      <c r="H20" s="22">
        <v>1852619</v>
      </c>
      <c r="I20" s="22">
        <v>0</v>
      </c>
      <c r="J20" s="22">
        <v>0</v>
      </c>
      <c r="K20" s="23" t="s">
        <v>51</v>
      </c>
      <c r="L20" s="23" t="s">
        <v>51</v>
      </c>
      <c r="M20" s="22">
        <f>V20</f>
        <v>1852619.0</v>
      </c>
      <c r="N20" s="26">
        <v>7746</v>
      </c>
      <c r="O20" s="22">
        <f>IF(COUNT(F20,M20)=2,F20-M20,"n.d.")</f>
        <v>211990.0</v>
      </c>
      <c r="P20" s="26">
        <f>IF(COUNT(G20,N20)=2,G20-N20,"n.d.")</f>
        <v>444.0</v>
      </c>
      <c r="Q20" s="27">
        <f>IF(COUNTIFS('Taux'!$A$6:$A$20,A20,'Taux'!$B$6:$B$20,D20)=1,SUMIFS('Taux'!$D$6:$D$20,'Taux'!$A$6:$A$20,A20,'Taux'!$B$6:$B$20,D20),"n.d.")</f>
        <v>1</v>
      </c>
      <c r="R20" s="22">
        <f>IF(COUNT(F20,Q20)=2,F20/Q20,"n.d.")</f>
        <v>2064609.0</v>
      </c>
      <c r="S20" s="22">
        <f>IF(COUNT(M20,Q20)=2,M20/Q20,"n.d.")</f>
        <v>1852619.0</v>
      </c>
      <c r="T20" s="24">
        <f>IF(OR(COUNT(F20,M20)&lt;&gt;2,F20=0),"n.d.",M20/F20)</f>
        <v>0.8973219626573361</v>
      </c>
      <c r="U20" s="24">
        <f>IF(OR(COUNT(G20,N20)&lt;&gt;2,G20=0),"n.d.",N20/G20)</f>
        <v>0.9457875457875458</v>
      </c>
      <c r="V20" s="22">
        <v>1852619</v>
      </c>
      <c r="W20" s="18" t="s">
        <v>181</v>
      </c>
    </row>
    <row r="21" spans="1:23" ht="19" customHeight="1">
      <c r="A21" s="18" t="s">
        <v>13</v>
      </c>
      <c r="B21" s="18" t="s">
        <v>62</v>
      </c>
      <c r="C21" s="18" t="s">
        <v>63</v>
      </c>
      <c r="D21" s="18" t="s">
        <v>10</v>
      </c>
      <c r="E21" s="25">
        <v>46113</v>
      </c>
      <c r="F21" s="22">
        <v>1903277</v>
      </c>
      <c r="G21" s="26">
        <v>7983</v>
      </c>
      <c r="H21" s="22">
        <v>1533214</v>
      </c>
      <c r="I21" s="22">
        <v>0</v>
      </c>
      <c r="J21" s="22">
        <v>0</v>
      </c>
      <c r="K21" s="23" t="s">
        <v>51</v>
      </c>
      <c r="L21" s="23" t="s">
        <v>51</v>
      </c>
      <c r="M21" s="22">
        <f>V21</f>
        <v>1533214.0</v>
      </c>
      <c r="N21" s="26">
        <v>6488</v>
      </c>
      <c r="O21" s="22">
        <f>IF(COUNT(F21,M21)=2,F21-M21,"n.d.")</f>
        <v>370063.0</v>
      </c>
      <c r="P21" s="26">
        <f>IF(COUNT(G21,N21)=2,G21-N21,"n.d.")</f>
        <v>1495.0</v>
      </c>
      <c r="Q21" s="27">
        <f>IF(COUNTIFS('Taux'!$A$6:$A$20,A21,'Taux'!$B$6:$B$20,D21)=1,SUMIFS('Taux'!$D$6:$D$20,'Taux'!$A$6:$A$20,A21,'Taux'!$B$6:$B$20,D21),"n.d.")</f>
        <v>1</v>
      </c>
      <c r="R21" s="22">
        <f>IF(COUNT(F21,Q21)=2,F21/Q21,"n.d.")</f>
        <v>1903277.0</v>
      </c>
      <c r="S21" s="22">
        <f>IF(COUNT(M21,Q21)=2,M21/Q21,"n.d.")</f>
        <v>1533214.0</v>
      </c>
      <c r="T21" s="24">
        <f>IF(OR(COUNT(F21,M21)&lt;&gt;2,F21=0),"n.d.",M21/F21)</f>
        <v>0.80556534860664</v>
      </c>
      <c r="U21" s="24">
        <f>IF(OR(COUNT(G21,N21)&lt;&gt;2,G21=0),"n.d.",N21/G21)</f>
        <v>0.8127270449705625</v>
      </c>
      <c r="V21" s="22">
        <v>1533214</v>
      </c>
      <c r="W21" s="18" t="s">
        <v>182</v>
      </c>
    </row>
    <row r="22" spans="1:23" ht="19" customHeight="1">
      <c r="A22" s="18" t="s">
        <v>13</v>
      </c>
      <c r="B22" s="18" t="s">
        <v>62</v>
      </c>
      <c r="C22" s="18" t="s">
        <v>63</v>
      </c>
      <c r="D22" s="18" t="s">
        <v>10</v>
      </c>
      <c r="E22" s="25">
        <v>46143</v>
      </c>
      <c r="F22" s="22">
        <v>1439561</v>
      </c>
      <c r="G22" s="26">
        <v>7063</v>
      </c>
      <c r="H22" s="22">
        <v>716411</v>
      </c>
      <c r="I22" s="22">
        <v>0</v>
      </c>
      <c r="J22" s="22">
        <v>0</v>
      </c>
      <c r="K22" s="23" t="s">
        <v>51</v>
      </c>
      <c r="L22" s="23" t="s">
        <v>51</v>
      </c>
      <c r="M22" s="22">
        <f>V22</f>
        <v>716411.0</v>
      </c>
      <c r="N22" s="26">
        <v>2110</v>
      </c>
      <c r="O22" s="22">
        <f>IF(COUNT(F22,M22)=2,F22-M22,"n.d.")</f>
        <v>723150.0</v>
      </c>
      <c r="P22" s="26">
        <f>IF(COUNT(G22,N22)=2,G22-N22,"n.d.")</f>
        <v>4953.0</v>
      </c>
      <c r="Q22" s="27">
        <f>IF(COUNTIFS('Taux'!$A$6:$A$20,A22,'Taux'!$B$6:$B$20,D22)=1,SUMIFS('Taux'!$D$6:$D$20,'Taux'!$A$6:$A$20,A22,'Taux'!$B$6:$B$20,D22),"n.d.")</f>
        <v>1</v>
      </c>
      <c r="R22" s="22">
        <f>IF(COUNT(F22,Q22)=2,F22/Q22,"n.d.")</f>
        <v>1439561.0</v>
      </c>
      <c r="S22" s="22">
        <f>IF(COUNT(M22,Q22)=2,M22/Q22,"n.d.")</f>
        <v>716411.0</v>
      </c>
      <c r="T22" s="24">
        <f>IF(OR(COUNT(F22,M22)&lt;&gt;2,F22=0),"n.d.",M22/F22)</f>
        <v>0.4976593558730752</v>
      </c>
      <c r="U22" s="24">
        <f>IF(OR(COUNT(G22,N22)&lt;&gt;2,G22=0),"n.d.",N22/G22)</f>
        <v>0.298739912218604</v>
      </c>
      <c r="V22" s="22">
        <v>716411</v>
      </c>
      <c r="W22" s="18" t="s">
        <v>183</v>
      </c>
    </row>
    <row r="23" spans="1:23" ht="19" customHeight="1">
      <c r="A23" s="18" t="s">
        <v>13</v>
      </c>
      <c r="B23" s="18" t="s">
        <v>62</v>
      </c>
      <c r="C23" s="18" t="s">
        <v>63</v>
      </c>
      <c r="D23" s="18" t="s">
        <v>10</v>
      </c>
      <c r="E23" s="25">
        <v>46174</v>
      </c>
      <c r="F23" s="22">
        <v>1584910</v>
      </c>
      <c r="G23" s="26">
        <v>5952</v>
      </c>
      <c r="H23" s="22">
        <v>30181</v>
      </c>
      <c r="I23" s="22">
        <v>0</v>
      </c>
      <c r="J23" s="22">
        <v>0</v>
      </c>
      <c r="K23" s="23" t="s">
        <v>51</v>
      </c>
      <c r="L23" s="23" t="s">
        <v>51</v>
      </c>
      <c r="M23" s="22">
        <f>V23</f>
        <v>30181.0</v>
      </c>
      <c r="N23" s="26">
        <v>115</v>
      </c>
      <c r="O23" s="22">
        <f>IF(COUNT(F23,M23)=2,F23-M23,"n.d.")</f>
        <v>1554729.0</v>
      </c>
      <c r="P23" s="26">
        <f>IF(COUNT(G23,N23)=2,G23-N23,"n.d.")</f>
        <v>5837.0</v>
      </c>
      <c r="Q23" s="27">
        <f>IF(COUNTIFS('Taux'!$A$6:$A$20,A23,'Taux'!$B$6:$B$20,D23)=1,SUMIFS('Taux'!$D$6:$D$20,'Taux'!$A$6:$A$20,A23,'Taux'!$B$6:$B$20,D23),"n.d.")</f>
        <v>1</v>
      </c>
      <c r="R23" s="22">
        <f>IF(COUNT(F23,Q23)=2,F23/Q23,"n.d.")</f>
        <v>1584910.0</v>
      </c>
      <c r="S23" s="22">
        <f>IF(COUNT(M23,Q23)=2,M23/Q23,"n.d.")</f>
        <v>30181.0</v>
      </c>
      <c r="T23" s="24">
        <f>IF(OR(COUNT(F23,M23)&lt;&gt;2,F23=0),"n.d.",M23/F23)</f>
        <v>0.01904272166873829</v>
      </c>
      <c r="U23" s="24">
        <f>IF(OR(COUNT(G23,N23)&lt;&gt;2,G23=0),"n.d.",N23/G23)</f>
        <v>0.019321236559139785</v>
      </c>
      <c r="V23" s="22">
        <v>30181</v>
      </c>
      <c r="W23" s="18" t="s">
        <v>184</v>
      </c>
    </row>
    <row r="24" spans="1:23" ht="19" customHeight="1">
      <c r="A24" s="18" t="s">
        <v>13</v>
      </c>
      <c r="B24" s="18" t="s">
        <v>67</v>
      </c>
      <c r="C24" s="18" t="s">
        <v>68</v>
      </c>
      <c r="D24" s="18" t="s">
        <v>10</v>
      </c>
      <c r="E24" s="25">
        <v>46023</v>
      </c>
      <c r="F24" s="22">
        <v>600143</v>
      </c>
      <c r="G24" s="26">
        <v>4441</v>
      </c>
      <c r="H24" s="22">
        <v>417469</v>
      </c>
      <c r="I24" s="22">
        <v>0</v>
      </c>
      <c r="J24" s="22">
        <v>8104</v>
      </c>
      <c r="K24" s="23" t="s">
        <v>51</v>
      </c>
      <c r="L24" s="23" t="s">
        <v>51</v>
      </c>
      <c r="M24" s="22">
        <f>V24</f>
        <v>425573.0</v>
      </c>
      <c r="N24" s="26">
        <v>2660</v>
      </c>
      <c r="O24" s="22">
        <f>IF(COUNT(F24,M24)=2,F24-M24,"n.d.")</f>
        <v>174570.0</v>
      </c>
      <c r="P24" s="26">
        <f>IF(COUNT(G24,N24)=2,G24-N24,"n.d.")</f>
        <v>1781.0</v>
      </c>
      <c r="Q24" s="27">
        <f>IF(COUNTIFS('Taux'!$A$6:$A$20,A24,'Taux'!$B$6:$B$20,D24)=1,SUMIFS('Taux'!$D$6:$D$20,'Taux'!$A$6:$A$20,A24,'Taux'!$B$6:$B$20,D24),"n.d.")</f>
        <v>1</v>
      </c>
      <c r="R24" s="22">
        <f>IF(COUNT(F24,Q24)=2,F24/Q24,"n.d.")</f>
        <v>600143.0</v>
      </c>
      <c r="S24" s="22">
        <f>IF(COUNT(M24,Q24)=2,M24/Q24,"n.d.")</f>
        <v>425573.0</v>
      </c>
      <c r="T24" s="24">
        <f>IF(OR(COUNT(F24,M24)&lt;&gt;2,F24=0),"n.d.",M24/F24)</f>
        <v>0.709119326560503</v>
      </c>
      <c r="U24" s="24">
        <f>IF(OR(COUNT(G24,N24)&lt;&gt;2,G24=0),"n.d.",N24/G24)</f>
        <v>0.598964197252871</v>
      </c>
      <c r="V24" s="22">
        <v>425573</v>
      </c>
      <c r="W24" s="18" t="s">
        <v>185</v>
      </c>
    </row>
    <row r="25" spans="1:23" ht="19" customHeight="1">
      <c r="A25" s="18" t="s">
        <v>13</v>
      </c>
      <c r="B25" s="18" t="s">
        <v>67</v>
      </c>
      <c r="C25" s="18" t="s">
        <v>68</v>
      </c>
      <c r="D25" s="18" t="s">
        <v>10</v>
      </c>
      <c r="E25" s="25">
        <v>46054</v>
      </c>
      <c r="F25" s="22">
        <v>980406</v>
      </c>
      <c r="G25" s="26">
        <v>3218</v>
      </c>
      <c r="H25" s="22">
        <v>708428</v>
      </c>
      <c r="I25" s="22">
        <v>436</v>
      </c>
      <c r="J25" s="22">
        <v>19731</v>
      </c>
      <c r="K25" s="23" t="s">
        <v>51</v>
      </c>
      <c r="L25" s="23" t="s">
        <v>51</v>
      </c>
      <c r="M25" s="22">
        <f>V25</f>
        <v>728595.0</v>
      </c>
      <c r="N25" s="26">
        <v>1743</v>
      </c>
      <c r="O25" s="22">
        <f>IF(COUNT(F25,M25)=2,F25-M25,"n.d.")</f>
        <v>251811.0</v>
      </c>
      <c r="P25" s="26">
        <f>IF(COUNT(G25,N25)=2,G25-N25,"n.d.")</f>
        <v>1475.0</v>
      </c>
      <c r="Q25" s="27">
        <f>IF(COUNTIFS('Taux'!$A$6:$A$20,A25,'Taux'!$B$6:$B$20,D25)=1,SUMIFS('Taux'!$D$6:$D$20,'Taux'!$A$6:$A$20,A25,'Taux'!$B$6:$B$20,D25),"n.d.")</f>
        <v>1</v>
      </c>
      <c r="R25" s="22">
        <f>IF(COUNT(F25,Q25)=2,F25/Q25,"n.d.")</f>
        <v>980406.0</v>
      </c>
      <c r="S25" s="22">
        <f>IF(COUNT(M25,Q25)=2,M25/Q25,"n.d.")</f>
        <v>728595.0</v>
      </c>
      <c r="T25" s="24">
        <f>IF(OR(COUNT(F25,M25)&lt;&gt;2,F25=0),"n.d.",M25/F25)</f>
        <v>0.7431564066315384</v>
      </c>
      <c r="U25" s="24">
        <f>IF(OR(COUNT(G25,N25)&lt;&gt;2,G25=0),"n.d.",N25/G25)</f>
        <v>0.5416407706650094</v>
      </c>
      <c r="V25" s="22">
        <v>728595</v>
      </c>
      <c r="W25" s="18" t="s">
        <v>186</v>
      </c>
    </row>
    <row r="26" spans="1:23" ht="19" customHeight="1">
      <c r="A26" s="18" t="s">
        <v>13</v>
      </c>
      <c r="B26" s="18" t="s">
        <v>67</v>
      </c>
      <c r="C26" s="18" t="s">
        <v>68</v>
      </c>
      <c r="D26" s="18" t="s">
        <v>10</v>
      </c>
      <c r="E26" s="25">
        <v>46082</v>
      </c>
      <c r="F26" s="22">
        <v>802186</v>
      </c>
      <c r="G26" s="26">
        <v>2706</v>
      </c>
      <c r="H26" s="22">
        <v>602254</v>
      </c>
      <c r="I26" s="22">
        <v>0</v>
      </c>
      <c r="J26" s="22">
        <v>13510</v>
      </c>
      <c r="K26" s="23" t="s">
        <v>51</v>
      </c>
      <c r="L26" s="23" t="s">
        <v>51</v>
      </c>
      <c r="M26" s="22">
        <f>V26</f>
        <v>615764.0</v>
      </c>
      <c r="N26" s="26">
        <v>1539</v>
      </c>
      <c r="O26" s="22">
        <f>IF(COUNT(F26,M26)=2,F26-M26,"n.d.")</f>
        <v>186422.0</v>
      </c>
      <c r="P26" s="26">
        <f>IF(COUNT(G26,N26)=2,G26-N26,"n.d.")</f>
        <v>1167.0</v>
      </c>
      <c r="Q26" s="27">
        <f>IF(COUNTIFS('Taux'!$A$6:$A$20,A26,'Taux'!$B$6:$B$20,D26)=1,SUMIFS('Taux'!$D$6:$D$20,'Taux'!$A$6:$A$20,A26,'Taux'!$B$6:$B$20,D26),"n.d.")</f>
        <v>1</v>
      </c>
      <c r="R26" s="22">
        <f>IF(COUNT(F26,Q26)=2,F26/Q26,"n.d.")</f>
        <v>802186.0</v>
      </c>
      <c r="S26" s="22">
        <f>IF(COUNT(M26,Q26)=2,M26/Q26,"n.d.")</f>
        <v>615764.0</v>
      </c>
      <c r="T26" s="24">
        <f>IF(OR(COUNT(F26,M26)&lt;&gt;2,F26=0),"n.d.",M26/F26)</f>
        <v>0.7676075124721699</v>
      </c>
      <c r="U26" s="24">
        <f>IF(OR(COUNT(G26,N26)&lt;&gt;2,G26=0),"n.d.",N26/G26)</f>
        <v>0.5687361419068736</v>
      </c>
      <c r="V26" s="22">
        <v>615764</v>
      </c>
      <c r="W26" s="18" t="s">
        <v>187</v>
      </c>
    </row>
    <row r="27" spans="1:23" ht="19" customHeight="1">
      <c r="A27" s="18" t="s">
        <v>13</v>
      </c>
      <c r="B27" s="18" t="s">
        <v>67</v>
      </c>
      <c r="C27" s="18" t="s">
        <v>68</v>
      </c>
      <c r="D27" s="18" t="s">
        <v>10</v>
      </c>
      <c r="E27" s="25">
        <v>46113</v>
      </c>
      <c r="F27" s="22">
        <v>713748</v>
      </c>
      <c r="G27" s="26">
        <v>2575</v>
      </c>
      <c r="H27" s="22">
        <v>443705</v>
      </c>
      <c r="I27" s="22">
        <v>0</v>
      </c>
      <c r="J27" s="22">
        <v>15292</v>
      </c>
      <c r="K27" s="23" t="s">
        <v>51</v>
      </c>
      <c r="L27" s="23" t="s">
        <v>51</v>
      </c>
      <c r="M27" s="22">
        <f>V27</f>
        <v>458997.0</v>
      </c>
      <c r="N27" s="26">
        <v>1016</v>
      </c>
      <c r="O27" s="22">
        <f>IF(COUNT(F27,M27)=2,F27-M27,"n.d.")</f>
        <v>254751.0</v>
      </c>
      <c r="P27" s="26">
        <f>IF(COUNT(G27,N27)=2,G27-N27,"n.d.")</f>
        <v>1559.0</v>
      </c>
      <c r="Q27" s="27">
        <f>IF(COUNTIFS('Taux'!$A$6:$A$20,A27,'Taux'!$B$6:$B$20,D27)=1,SUMIFS('Taux'!$D$6:$D$20,'Taux'!$A$6:$A$20,A27,'Taux'!$B$6:$B$20,D27),"n.d.")</f>
        <v>1</v>
      </c>
      <c r="R27" s="22">
        <f>IF(COUNT(F27,Q27)=2,F27/Q27,"n.d.")</f>
        <v>713748.0</v>
      </c>
      <c r="S27" s="22">
        <f>IF(COUNT(M27,Q27)=2,M27/Q27,"n.d.")</f>
        <v>458997.0</v>
      </c>
      <c r="T27" s="24">
        <f>IF(OR(COUNT(F27,M27)&lt;&gt;2,F27=0),"n.d.",M27/F27)</f>
        <v>0.643079910556667</v>
      </c>
      <c r="U27" s="24">
        <f>IF(OR(COUNT(G27,N27)&lt;&gt;2,G27=0),"n.d.",N27/G27)</f>
        <v>0.3945631067961165</v>
      </c>
      <c r="V27" s="22">
        <v>458997</v>
      </c>
      <c r="W27" s="18" t="s">
        <v>188</v>
      </c>
    </row>
    <row r="28" spans="1:23" ht="19" customHeight="1">
      <c r="A28" s="18" t="s">
        <v>13</v>
      </c>
      <c r="B28" s="18" t="s">
        <v>67</v>
      </c>
      <c r="C28" s="18" t="s">
        <v>68</v>
      </c>
      <c r="D28" s="18" t="s">
        <v>10</v>
      </c>
      <c r="E28" s="25">
        <v>46143</v>
      </c>
      <c r="F28" s="22">
        <v>734548</v>
      </c>
      <c r="G28" s="26">
        <v>2619</v>
      </c>
      <c r="H28" s="22">
        <v>335703</v>
      </c>
      <c r="I28" s="22">
        <v>0</v>
      </c>
      <c r="J28" s="22">
        <v>111867</v>
      </c>
      <c r="K28" s="23" t="s">
        <v>51</v>
      </c>
      <c r="L28" s="23" t="s">
        <v>51</v>
      </c>
      <c r="M28" s="22">
        <f>V28</f>
        <v>447570.0</v>
      </c>
      <c r="N28" s="26">
        <v>969</v>
      </c>
      <c r="O28" s="22">
        <f>IF(COUNT(F28,M28)=2,F28-M28,"n.d.")</f>
        <v>286978.0</v>
      </c>
      <c r="P28" s="26">
        <f>IF(COUNT(G28,N28)=2,G28-N28,"n.d.")</f>
        <v>1650.0</v>
      </c>
      <c r="Q28" s="27">
        <f>IF(COUNTIFS('Taux'!$A$6:$A$20,A28,'Taux'!$B$6:$B$20,D28)=1,SUMIFS('Taux'!$D$6:$D$20,'Taux'!$A$6:$A$20,A28,'Taux'!$B$6:$B$20,D28),"n.d.")</f>
        <v>1</v>
      </c>
      <c r="R28" s="22">
        <f>IF(COUNT(F28,Q28)=2,F28/Q28,"n.d.")</f>
        <v>734548.0</v>
      </c>
      <c r="S28" s="22">
        <f>IF(COUNT(M28,Q28)=2,M28/Q28,"n.d.")</f>
        <v>447570.0</v>
      </c>
      <c r="T28" s="24">
        <f>IF(OR(COUNT(F28,M28)&lt;&gt;2,F28=0),"n.d.",M28/F28)</f>
        <v>0.6093134825770405</v>
      </c>
      <c r="U28" s="24">
        <f>IF(OR(COUNT(G28,N28)&lt;&gt;2,G28=0),"n.d.",N28/G28)</f>
        <v>0.3699885452462772</v>
      </c>
      <c r="V28" s="22">
        <v>447570</v>
      </c>
      <c r="W28" s="18" t="s">
        <v>189</v>
      </c>
    </row>
    <row r="29" spans="1:23" ht="19" customHeight="1">
      <c r="A29" s="18" t="s">
        <v>13</v>
      </c>
      <c r="B29" s="18" t="s">
        <v>67</v>
      </c>
      <c r="C29" s="18" t="s">
        <v>68</v>
      </c>
      <c r="D29" s="18" t="s">
        <v>10</v>
      </c>
      <c r="E29" s="25">
        <v>46174</v>
      </c>
      <c r="F29" s="22">
        <v>1140375</v>
      </c>
      <c r="G29" s="26">
        <v>3615</v>
      </c>
      <c r="H29" s="22">
        <v>213697</v>
      </c>
      <c r="I29" s="22">
        <v>0</v>
      </c>
      <c r="J29" s="22">
        <v>94835</v>
      </c>
      <c r="K29" s="23" t="s">
        <v>51</v>
      </c>
      <c r="L29" s="23" t="s">
        <v>51</v>
      </c>
      <c r="M29" s="22">
        <f>V29</f>
        <v>308532.0</v>
      </c>
      <c r="N29" s="26">
        <v>1164</v>
      </c>
      <c r="O29" s="22">
        <f>IF(COUNT(F29,M29)=2,F29-M29,"n.d.")</f>
        <v>831843.0</v>
      </c>
      <c r="P29" s="26">
        <f>IF(COUNT(G29,N29)=2,G29-N29,"n.d.")</f>
        <v>2451.0</v>
      </c>
      <c r="Q29" s="27">
        <f>IF(COUNTIFS('Taux'!$A$6:$A$20,A29,'Taux'!$B$6:$B$20,D29)=1,SUMIFS('Taux'!$D$6:$D$20,'Taux'!$A$6:$A$20,A29,'Taux'!$B$6:$B$20,D29),"n.d.")</f>
        <v>1</v>
      </c>
      <c r="R29" s="22">
        <f>IF(COUNT(F29,Q29)=2,F29/Q29,"n.d.")</f>
        <v>1140375.0</v>
      </c>
      <c r="S29" s="22">
        <f>IF(COUNT(M29,Q29)=2,M29/Q29,"n.d.")</f>
        <v>308532.0</v>
      </c>
      <c r="T29" s="24">
        <f>IF(OR(COUNT(F29,M29)&lt;&gt;2,F29=0),"n.d.",M29/F29)</f>
        <v>0.2705531075304176</v>
      </c>
      <c r="U29" s="24">
        <f>IF(OR(COUNT(G29,N29)&lt;&gt;2,G29=0),"n.d.",N29/G29)</f>
        <v>0.3219917012448133</v>
      </c>
      <c r="V29" s="22">
        <v>308532</v>
      </c>
      <c r="W29" s="18" t="s">
        <v>190</v>
      </c>
    </row>
    <row r="30" spans="1:23" ht="19" customHeight="1">
      <c r="A30" s="18" t="s">
        <v>13</v>
      </c>
      <c r="B30" s="18" t="s">
        <v>72</v>
      </c>
      <c r="C30" s="18" t="s">
        <v>73</v>
      </c>
      <c r="D30" s="18" t="s">
        <v>10</v>
      </c>
      <c r="E30" s="25">
        <v>46023</v>
      </c>
      <c r="F30" s="22">
        <v>946898</v>
      </c>
      <c r="G30" s="26">
        <v>4388</v>
      </c>
      <c r="H30" s="22">
        <v>899398</v>
      </c>
      <c r="I30" s="22">
        <v>32708</v>
      </c>
      <c r="J30" s="22">
        <v>0</v>
      </c>
      <c r="K30" s="23" t="s">
        <v>51</v>
      </c>
      <c r="L30" s="23" t="s">
        <v>51</v>
      </c>
      <c r="M30" s="22">
        <f>V30</f>
        <v>932106.0</v>
      </c>
      <c r="N30" s="26">
        <v>4162</v>
      </c>
      <c r="O30" s="22">
        <f>IF(COUNT(F30,M30)=2,F30-M30,"n.d.")</f>
        <v>14792.0</v>
      </c>
      <c r="P30" s="26">
        <f>IF(COUNT(G30,N30)=2,G30-N30,"n.d.")</f>
        <v>226.0</v>
      </c>
      <c r="Q30" s="27">
        <f>IF(COUNTIFS('Taux'!$A$6:$A$20,A30,'Taux'!$B$6:$B$20,D30)=1,SUMIFS('Taux'!$D$6:$D$20,'Taux'!$A$6:$A$20,A30,'Taux'!$B$6:$B$20,D30),"n.d.")</f>
        <v>1</v>
      </c>
      <c r="R30" s="22">
        <f>IF(COUNT(F30,Q30)=2,F30/Q30,"n.d.")</f>
        <v>946898.0</v>
      </c>
      <c r="S30" s="22">
        <f>IF(COUNT(M30,Q30)=2,M30/Q30,"n.d.")</f>
        <v>932106.0</v>
      </c>
      <c r="T30" s="24">
        <f>IF(OR(COUNT(F30,M30)&lt;&gt;2,F30=0),"n.d.",M30/F30)</f>
        <v>0.984378465262362</v>
      </c>
      <c r="U30" s="24">
        <f>IF(OR(COUNT(G30,N30)&lt;&gt;2,G30=0),"n.d.",N30/G30)</f>
        <v>0.9484958979033729</v>
      </c>
      <c r="V30" s="22">
        <v>932106</v>
      </c>
      <c r="W30" s="18" t="s">
        <v>191</v>
      </c>
    </row>
    <row r="31" spans="1:23" ht="19" customHeight="1">
      <c r="A31" s="18" t="s">
        <v>13</v>
      </c>
      <c r="B31" s="18" t="s">
        <v>72</v>
      </c>
      <c r="C31" s="18" t="s">
        <v>73</v>
      </c>
      <c r="D31" s="18" t="s">
        <v>10</v>
      </c>
      <c r="E31" s="25">
        <v>46054</v>
      </c>
      <c r="F31" s="22">
        <v>951552</v>
      </c>
      <c r="G31" s="26">
        <v>4231</v>
      </c>
      <c r="H31" s="22">
        <v>908741</v>
      </c>
      <c r="I31" s="22">
        <v>25496</v>
      </c>
      <c r="J31" s="22">
        <v>0</v>
      </c>
      <c r="K31" s="23" t="s">
        <v>51</v>
      </c>
      <c r="L31" s="23" t="s">
        <v>51</v>
      </c>
      <c r="M31" s="22">
        <f>V31</f>
        <v>934237.0</v>
      </c>
      <c r="N31" s="26">
        <v>3816</v>
      </c>
      <c r="O31" s="22">
        <f>IF(COUNT(F31,M31)=2,F31-M31,"n.d.")</f>
        <v>17315.0</v>
      </c>
      <c r="P31" s="26">
        <f>IF(COUNT(G31,N31)=2,G31-N31,"n.d.")</f>
        <v>415.0</v>
      </c>
      <c r="Q31" s="27">
        <f>IF(COUNTIFS('Taux'!$A$6:$A$20,A31,'Taux'!$B$6:$B$20,D31)=1,SUMIFS('Taux'!$D$6:$D$20,'Taux'!$A$6:$A$20,A31,'Taux'!$B$6:$B$20,D31),"n.d.")</f>
        <v>1</v>
      </c>
      <c r="R31" s="22">
        <f>IF(COUNT(F31,Q31)=2,F31/Q31,"n.d.")</f>
        <v>951552.0</v>
      </c>
      <c r="S31" s="22">
        <f>IF(COUNT(M31,Q31)=2,M31/Q31,"n.d.")</f>
        <v>934237.0</v>
      </c>
      <c r="T31" s="24">
        <f>IF(OR(COUNT(F31,M31)&lt;&gt;2,F31=0),"n.d.",M31/F31)</f>
        <v>0.9818034116895346</v>
      </c>
      <c r="U31" s="24">
        <f>IF(OR(COUNT(G31,N31)&lt;&gt;2,G31=0),"n.d.",N31/G31)</f>
        <v>0.9019144410304892</v>
      </c>
      <c r="V31" s="22">
        <v>934237</v>
      </c>
      <c r="W31" s="18" t="s">
        <v>192</v>
      </c>
    </row>
    <row r="32" spans="1:23" ht="19" customHeight="1">
      <c r="A32" s="18" t="s">
        <v>13</v>
      </c>
      <c r="B32" s="18" t="s">
        <v>72</v>
      </c>
      <c r="C32" s="18" t="s">
        <v>73</v>
      </c>
      <c r="D32" s="18" t="s">
        <v>10</v>
      </c>
      <c r="E32" s="25">
        <v>46082</v>
      </c>
      <c r="F32" s="22">
        <v>1177761</v>
      </c>
      <c r="G32" s="26">
        <v>4606</v>
      </c>
      <c r="H32" s="22">
        <v>1127453</v>
      </c>
      <c r="I32" s="22">
        <v>29572</v>
      </c>
      <c r="J32" s="22">
        <v>0</v>
      </c>
      <c r="K32" s="23" t="s">
        <v>51</v>
      </c>
      <c r="L32" s="23" t="s">
        <v>51</v>
      </c>
      <c r="M32" s="22">
        <f>V32</f>
        <v>1157025.0</v>
      </c>
      <c r="N32" s="26">
        <v>4303</v>
      </c>
      <c r="O32" s="22">
        <f>IF(COUNT(F32,M32)=2,F32-M32,"n.d.")</f>
        <v>20736.0</v>
      </c>
      <c r="P32" s="26">
        <f>IF(COUNT(G32,N32)=2,G32-N32,"n.d.")</f>
        <v>303.0</v>
      </c>
      <c r="Q32" s="27">
        <f>IF(COUNTIFS('Taux'!$A$6:$A$20,A32,'Taux'!$B$6:$B$20,D32)=1,SUMIFS('Taux'!$D$6:$D$20,'Taux'!$A$6:$A$20,A32,'Taux'!$B$6:$B$20,D32),"n.d.")</f>
        <v>1</v>
      </c>
      <c r="R32" s="22">
        <f>IF(COUNT(F32,Q32)=2,F32/Q32,"n.d.")</f>
        <v>1177761.0</v>
      </c>
      <c r="S32" s="22">
        <f>IF(COUNT(M32,Q32)=2,M32/Q32,"n.d.")</f>
        <v>1157025.0</v>
      </c>
      <c r="T32" s="24">
        <f>IF(OR(COUNT(F32,M32)&lt;&gt;2,F32=0),"n.d.",M32/F32)</f>
        <v>0.9823937114575877</v>
      </c>
      <c r="U32" s="24">
        <f>IF(OR(COUNT(G32,N32)&lt;&gt;2,G32=0),"n.d.",N32/G32)</f>
        <v>0.9342162396873643</v>
      </c>
      <c r="V32" s="22">
        <v>1157025</v>
      </c>
      <c r="W32" s="18" t="s">
        <v>193</v>
      </c>
    </row>
    <row r="33" spans="1:23" ht="19" customHeight="1">
      <c r="A33" s="18" t="s">
        <v>13</v>
      </c>
      <c r="B33" s="18" t="s">
        <v>72</v>
      </c>
      <c r="C33" s="18" t="s">
        <v>73</v>
      </c>
      <c r="D33" s="18" t="s">
        <v>10</v>
      </c>
      <c r="E33" s="25">
        <v>46113</v>
      </c>
      <c r="F33" s="22">
        <v>1199204</v>
      </c>
      <c r="G33" s="26">
        <v>4749</v>
      </c>
      <c r="H33" s="22">
        <v>1134296</v>
      </c>
      <c r="I33" s="22">
        <v>26471</v>
      </c>
      <c r="J33" s="22">
        <v>0</v>
      </c>
      <c r="K33" s="23" t="s">
        <v>51</v>
      </c>
      <c r="L33" s="23" t="s">
        <v>51</v>
      </c>
      <c r="M33" s="22">
        <f>V33</f>
        <v>1160767.0</v>
      </c>
      <c r="N33" s="26">
        <v>4424</v>
      </c>
      <c r="O33" s="22">
        <f>IF(COUNT(F33,M33)=2,F33-M33,"n.d.")</f>
        <v>38437.0</v>
      </c>
      <c r="P33" s="26">
        <f>IF(COUNT(G33,N33)=2,G33-N33,"n.d.")</f>
        <v>325.0</v>
      </c>
      <c r="Q33" s="27">
        <f>IF(COUNTIFS('Taux'!$A$6:$A$20,A33,'Taux'!$B$6:$B$20,D33)=1,SUMIFS('Taux'!$D$6:$D$20,'Taux'!$A$6:$A$20,A33,'Taux'!$B$6:$B$20,D33),"n.d.")</f>
        <v>1</v>
      </c>
      <c r="R33" s="22">
        <f>IF(COUNT(F33,Q33)=2,F33/Q33,"n.d.")</f>
        <v>1199204.0</v>
      </c>
      <c r="S33" s="22">
        <f>IF(COUNT(M33,Q33)=2,M33/Q33,"n.d.")</f>
        <v>1160767.0</v>
      </c>
      <c r="T33" s="24">
        <f>IF(OR(COUNT(F33,M33)&lt;&gt;2,F33=0),"n.d.",M33/F33)</f>
        <v>0.9679479054439445</v>
      </c>
      <c r="U33" s="24">
        <f>IF(OR(COUNT(G33,N33)&lt;&gt;2,G33=0),"n.d.",N33/G33)</f>
        <v>0.9315645399031375</v>
      </c>
      <c r="V33" s="22">
        <v>1160767</v>
      </c>
      <c r="W33" s="18" t="s">
        <v>194</v>
      </c>
    </row>
    <row r="34" spans="1:23" ht="19" customHeight="1">
      <c r="A34" s="18" t="s">
        <v>13</v>
      </c>
      <c r="B34" s="18" t="s">
        <v>72</v>
      </c>
      <c r="C34" s="18" t="s">
        <v>73</v>
      </c>
      <c r="D34" s="18" t="s">
        <v>10</v>
      </c>
      <c r="E34" s="25">
        <v>46143</v>
      </c>
      <c r="F34" s="22">
        <v>1425617</v>
      </c>
      <c r="G34" s="26">
        <v>5501</v>
      </c>
      <c r="H34" s="22">
        <v>1245541</v>
      </c>
      <c r="I34" s="22">
        <v>81814</v>
      </c>
      <c r="J34" s="22">
        <v>0</v>
      </c>
      <c r="K34" s="23" t="s">
        <v>51</v>
      </c>
      <c r="L34" s="23" t="s">
        <v>51</v>
      </c>
      <c r="M34" s="22">
        <f>V34</f>
        <v>1327355.0</v>
      </c>
      <c r="N34" s="26">
        <v>4888</v>
      </c>
      <c r="O34" s="22">
        <f>IF(COUNT(F34,M34)=2,F34-M34,"n.d.")</f>
        <v>98262.0</v>
      </c>
      <c r="P34" s="26">
        <f>IF(COUNT(G34,N34)=2,G34-N34,"n.d.")</f>
        <v>613.0</v>
      </c>
      <c r="Q34" s="27">
        <f>IF(COUNTIFS('Taux'!$A$6:$A$20,A34,'Taux'!$B$6:$B$20,D34)=1,SUMIFS('Taux'!$D$6:$D$20,'Taux'!$A$6:$A$20,A34,'Taux'!$B$6:$B$20,D34),"n.d.")</f>
        <v>1</v>
      </c>
      <c r="R34" s="22">
        <f>IF(COUNT(F34,Q34)=2,F34/Q34,"n.d.")</f>
        <v>1425617.0</v>
      </c>
      <c r="S34" s="22">
        <f>IF(COUNT(M34,Q34)=2,M34/Q34,"n.d.")</f>
        <v>1327355.0</v>
      </c>
      <c r="T34" s="24">
        <f>IF(OR(COUNT(F34,M34)&lt;&gt;2,F34=0),"n.d.",M34/F34)</f>
        <v>0.9310740542515977</v>
      </c>
      <c r="U34" s="24">
        <f>IF(OR(COUNT(G34,N34)&lt;&gt;2,G34=0),"n.d.",N34/G34)</f>
        <v>0.8885657153244865</v>
      </c>
      <c r="V34" s="22">
        <v>1327355</v>
      </c>
      <c r="W34" s="18" t="s">
        <v>195</v>
      </c>
    </row>
    <row r="35" spans="1:23" ht="19" customHeight="1">
      <c r="A35" s="18" t="s">
        <v>13</v>
      </c>
      <c r="B35" s="18" t="s">
        <v>72</v>
      </c>
      <c r="C35" s="18" t="s">
        <v>73</v>
      </c>
      <c r="D35" s="18" t="s">
        <v>10</v>
      </c>
      <c r="E35" s="25">
        <v>46174</v>
      </c>
      <c r="F35" s="22">
        <v>977488</v>
      </c>
      <c r="G35" s="26">
        <v>4259</v>
      </c>
      <c r="H35" s="22">
        <v>448643</v>
      </c>
      <c r="I35" s="22">
        <v>68129</v>
      </c>
      <c r="J35" s="22">
        <v>0</v>
      </c>
      <c r="K35" s="23" t="s">
        <v>51</v>
      </c>
      <c r="L35" s="23" t="s">
        <v>51</v>
      </c>
      <c r="M35" s="22">
        <f>V35</f>
        <v>516772.0</v>
      </c>
      <c r="N35" s="26">
        <v>2107</v>
      </c>
      <c r="O35" s="22">
        <f>IF(COUNT(F35,M35)=2,F35-M35,"n.d.")</f>
        <v>460716.0</v>
      </c>
      <c r="P35" s="26">
        <f>IF(COUNT(G35,N35)=2,G35-N35,"n.d.")</f>
        <v>2152.0</v>
      </c>
      <c r="Q35" s="27">
        <f>IF(COUNTIFS('Taux'!$A$6:$A$20,A35,'Taux'!$B$6:$B$20,D35)=1,SUMIFS('Taux'!$D$6:$D$20,'Taux'!$A$6:$A$20,A35,'Taux'!$B$6:$B$20,D35),"n.d.")</f>
        <v>1</v>
      </c>
      <c r="R35" s="22">
        <f>IF(COUNT(F35,Q35)=2,F35/Q35,"n.d.")</f>
        <v>977488.0</v>
      </c>
      <c r="S35" s="22">
        <f>IF(COUNT(M35,Q35)=2,M35/Q35,"n.d.")</f>
        <v>516772.0</v>
      </c>
      <c r="T35" s="24">
        <f>IF(OR(COUNT(F35,M35)&lt;&gt;2,F35=0),"n.d.",M35/F35)</f>
        <v>0.52867349778207</v>
      </c>
      <c r="U35" s="24">
        <f>IF(OR(COUNT(G35,N35)&lt;&gt;2,G35=0),"n.d.",N35/G35)</f>
        <v>0.4947170697346795</v>
      </c>
      <c r="V35" s="22">
        <v>516772</v>
      </c>
      <c r="W35" s="18" t="s">
        <v>196</v>
      </c>
    </row>
    <row r="36" spans="1:23" ht="19" customHeight="1">
      <c r="A36" s="18" t="s">
        <v>13</v>
      </c>
      <c r="B36" s="18" t="s">
        <v>77</v>
      </c>
      <c r="C36" s="18" t="s">
        <v>78</v>
      </c>
      <c r="D36" s="18" t="s">
        <v>10</v>
      </c>
      <c r="E36" s="25">
        <v>46023</v>
      </c>
      <c r="F36" s="22">
        <v>4070538</v>
      </c>
      <c r="G36" s="26">
        <v>3402</v>
      </c>
      <c r="H36" s="22">
        <v>2338145</v>
      </c>
      <c r="I36" s="22">
        <v>0</v>
      </c>
      <c r="J36" s="22">
        <v>1696385</v>
      </c>
      <c r="K36" s="23" t="s">
        <v>51</v>
      </c>
      <c r="L36" s="23" t="s">
        <v>51</v>
      </c>
      <c r="M36" s="22">
        <f>V36</f>
        <v>4034530.0</v>
      </c>
      <c r="N36" s="26">
        <v>2068</v>
      </c>
      <c r="O36" s="22">
        <f>IF(COUNT(F36,M36)=2,F36-M36,"n.d.")</f>
        <v>36008.0</v>
      </c>
      <c r="P36" s="26">
        <f>IF(COUNT(G36,N36)=2,G36-N36,"n.d.")</f>
        <v>1334.0</v>
      </c>
      <c r="Q36" s="27">
        <f>IF(COUNTIFS('Taux'!$A$6:$A$20,A36,'Taux'!$B$6:$B$20,D36)=1,SUMIFS('Taux'!$D$6:$D$20,'Taux'!$A$6:$A$20,A36,'Taux'!$B$6:$B$20,D36),"n.d.")</f>
        <v>1</v>
      </c>
      <c r="R36" s="22">
        <f>IF(COUNT(F36,Q36)=2,F36/Q36,"n.d.")</f>
        <v>4070538.0</v>
      </c>
      <c r="S36" s="22">
        <f>IF(COUNT(M36,Q36)=2,M36/Q36,"n.d.")</f>
        <v>4034530.0</v>
      </c>
      <c r="T36" s="24">
        <f>IF(OR(COUNT(F36,M36)&lt;&gt;2,F36=0),"n.d.",M36/F36)</f>
        <v>0.9911539948773356</v>
      </c>
      <c r="U36" s="24">
        <f>IF(OR(COUNT(G36,N36)&lt;&gt;2,G36=0),"n.d.",N36/G36)</f>
        <v>0.6078777189888301</v>
      </c>
      <c r="V36" s="22">
        <v>4034530</v>
      </c>
      <c r="W36" s="18" t="s">
        <v>197</v>
      </c>
    </row>
    <row r="37" spans="1:23" ht="19" customHeight="1">
      <c r="A37" s="18" t="s">
        <v>13</v>
      </c>
      <c r="B37" s="18" t="s">
        <v>77</v>
      </c>
      <c r="C37" s="18" t="s">
        <v>78</v>
      </c>
      <c r="D37" s="18" t="s">
        <v>10</v>
      </c>
      <c r="E37" s="25">
        <v>46054</v>
      </c>
      <c r="F37" s="22">
        <v>3652685</v>
      </c>
      <c r="G37" s="26">
        <v>3364</v>
      </c>
      <c r="H37" s="22">
        <v>1983731</v>
      </c>
      <c r="I37" s="22">
        <v>0</v>
      </c>
      <c r="J37" s="22">
        <v>1636488</v>
      </c>
      <c r="K37" s="23" t="s">
        <v>51</v>
      </c>
      <c r="L37" s="23" t="s">
        <v>51</v>
      </c>
      <c r="M37" s="22">
        <f>V37</f>
        <v>3620219.0</v>
      </c>
      <c r="N37" s="26">
        <v>2046</v>
      </c>
      <c r="O37" s="22">
        <f>IF(COUNT(F37,M37)=2,F37-M37,"n.d.")</f>
        <v>32466.0</v>
      </c>
      <c r="P37" s="26">
        <f>IF(COUNT(G37,N37)=2,G37-N37,"n.d.")</f>
        <v>1318.0</v>
      </c>
      <c r="Q37" s="27">
        <f>IF(COUNTIFS('Taux'!$A$6:$A$20,A37,'Taux'!$B$6:$B$20,D37)=1,SUMIFS('Taux'!$D$6:$D$20,'Taux'!$A$6:$A$20,A37,'Taux'!$B$6:$B$20,D37),"n.d.")</f>
        <v>1</v>
      </c>
      <c r="R37" s="22">
        <f>IF(COUNT(F37,Q37)=2,F37/Q37,"n.d.")</f>
        <v>3652685.0</v>
      </c>
      <c r="S37" s="22">
        <f>IF(COUNT(M37,Q37)=2,M37/Q37,"n.d.")</f>
        <v>3620219.0</v>
      </c>
      <c r="T37" s="24">
        <f>IF(OR(COUNT(F37,M37)&lt;&gt;2,F37=0),"n.d.",M37/F37)</f>
        <v>0.9911117438268013</v>
      </c>
      <c r="U37" s="24">
        <f>IF(OR(COUNT(G37,N37)&lt;&gt;2,G37=0),"n.d.",N37/G37)</f>
        <v>0.60820451843044</v>
      </c>
      <c r="V37" s="22">
        <v>3620219</v>
      </c>
      <c r="W37" s="18" t="s">
        <v>198</v>
      </c>
    </row>
    <row r="38" spans="1:23" ht="19" customHeight="1">
      <c r="A38" s="18" t="s">
        <v>13</v>
      </c>
      <c r="B38" s="18" t="s">
        <v>77</v>
      </c>
      <c r="C38" s="18" t="s">
        <v>78</v>
      </c>
      <c r="D38" s="18" t="s">
        <v>10</v>
      </c>
      <c r="E38" s="25">
        <v>46082</v>
      </c>
      <c r="F38" s="22">
        <v>2538191</v>
      </c>
      <c r="G38" s="26">
        <v>3026</v>
      </c>
      <c r="H38" s="22">
        <v>410520</v>
      </c>
      <c r="I38" s="22">
        <v>0</v>
      </c>
      <c r="J38" s="22">
        <v>2085341</v>
      </c>
      <c r="K38" s="23" t="s">
        <v>51</v>
      </c>
      <c r="L38" s="23" t="s">
        <v>51</v>
      </c>
      <c r="M38" s="22">
        <f>V38</f>
        <v>2495861.0</v>
      </c>
      <c r="N38" s="26">
        <v>1502</v>
      </c>
      <c r="O38" s="22">
        <f>IF(COUNT(F38,M38)=2,F38-M38,"n.d.")</f>
        <v>42330.0</v>
      </c>
      <c r="P38" s="26">
        <f>IF(COUNT(G38,N38)=2,G38-N38,"n.d.")</f>
        <v>1524.0</v>
      </c>
      <c r="Q38" s="27">
        <f>IF(COUNTIFS('Taux'!$A$6:$A$20,A38,'Taux'!$B$6:$B$20,D38)=1,SUMIFS('Taux'!$D$6:$D$20,'Taux'!$A$6:$A$20,A38,'Taux'!$B$6:$B$20,D38),"n.d.")</f>
        <v>1</v>
      </c>
      <c r="R38" s="22">
        <f>IF(COUNT(F38,Q38)=2,F38/Q38,"n.d.")</f>
        <v>2538191.0</v>
      </c>
      <c r="S38" s="22">
        <f>IF(COUNT(M38,Q38)=2,M38/Q38,"n.d.")</f>
        <v>2495861.0</v>
      </c>
      <c r="T38" s="24">
        <f>IF(OR(COUNT(F38,M38)&lt;&gt;2,F38=0),"n.d.",M38/F38)</f>
        <v>0.9833227680659178</v>
      </c>
      <c r="U38" s="24">
        <f>IF(OR(COUNT(G38,N38)&lt;&gt;2,G38=0),"n.d.",N38/G38)</f>
        <v>0.4963648380700595</v>
      </c>
      <c r="V38" s="22">
        <v>2495861</v>
      </c>
      <c r="W38" s="18" t="s">
        <v>199</v>
      </c>
    </row>
    <row r="39" spans="1:23" ht="19" customHeight="1">
      <c r="A39" s="18" t="s">
        <v>13</v>
      </c>
      <c r="B39" s="18" t="s">
        <v>77</v>
      </c>
      <c r="C39" s="18" t="s">
        <v>78</v>
      </c>
      <c r="D39" s="18" t="s">
        <v>10</v>
      </c>
      <c r="E39" s="25">
        <v>46113</v>
      </c>
      <c r="F39" s="22">
        <v>1651174</v>
      </c>
      <c r="G39" s="26">
        <v>3072</v>
      </c>
      <c r="H39" s="22">
        <v>100199</v>
      </c>
      <c r="I39" s="22">
        <v>212</v>
      </c>
      <c r="J39" s="22">
        <v>1476519</v>
      </c>
      <c r="K39" s="23" t="s">
        <v>51</v>
      </c>
      <c r="L39" s="23" t="s">
        <v>51</v>
      </c>
      <c r="M39" s="22">
        <f>V39</f>
        <v>1576931.0</v>
      </c>
      <c r="N39" s="26">
        <v>1655</v>
      </c>
      <c r="O39" s="22">
        <f>IF(COUNT(F39,M39)=2,F39-M39,"n.d.")</f>
        <v>74243.0</v>
      </c>
      <c r="P39" s="26">
        <f>IF(COUNT(G39,N39)=2,G39-N39,"n.d.")</f>
        <v>1417.0</v>
      </c>
      <c r="Q39" s="27">
        <f>IF(COUNTIFS('Taux'!$A$6:$A$20,A39,'Taux'!$B$6:$B$20,D39)=1,SUMIFS('Taux'!$D$6:$D$20,'Taux'!$A$6:$A$20,A39,'Taux'!$B$6:$B$20,D39),"n.d.")</f>
        <v>1</v>
      </c>
      <c r="R39" s="22">
        <f>IF(COUNT(F39,Q39)=2,F39/Q39,"n.d.")</f>
        <v>1651174.0</v>
      </c>
      <c r="S39" s="22">
        <f>IF(COUNT(M39,Q39)=2,M39/Q39,"n.d.")</f>
        <v>1576931.0</v>
      </c>
      <c r="T39" s="24">
        <f>IF(OR(COUNT(F39,M39)&lt;&gt;2,F39=0),"n.d.",M39/F39)</f>
        <v>0.955036234824434</v>
      </c>
      <c r="U39" s="24">
        <f>IF(OR(COUNT(G39,N39)&lt;&gt;2,G39=0),"n.d.",N39/G39)</f>
        <v>0.5387369791666666</v>
      </c>
      <c r="V39" s="22">
        <v>1576931</v>
      </c>
      <c r="W39" s="18" t="s">
        <v>200</v>
      </c>
    </row>
    <row r="40" spans="1:23" ht="19" customHeight="1">
      <c r="A40" s="18" t="s">
        <v>13</v>
      </c>
      <c r="B40" s="18" t="s">
        <v>77</v>
      </c>
      <c r="C40" s="18" t="s">
        <v>78</v>
      </c>
      <c r="D40" s="18" t="s">
        <v>10</v>
      </c>
      <c r="E40" s="25">
        <v>46143</v>
      </c>
      <c r="F40" s="22">
        <v>1240718</v>
      </c>
      <c r="G40" s="26">
        <v>2893</v>
      </c>
      <c r="H40" s="22">
        <v>60314</v>
      </c>
      <c r="I40" s="22">
        <v>0</v>
      </c>
      <c r="J40" s="22">
        <v>1106252</v>
      </c>
      <c r="K40" s="23" t="s">
        <v>51</v>
      </c>
      <c r="L40" s="23" t="s">
        <v>51</v>
      </c>
      <c r="M40" s="22">
        <f>V40</f>
        <v>1166565.0</v>
      </c>
      <c r="N40" s="26">
        <v>1047</v>
      </c>
      <c r="O40" s="22">
        <f>IF(COUNT(F40,M40)=2,F40-M40,"n.d.")</f>
        <v>74153.0</v>
      </c>
      <c r="P40" s="26">
        <f>IF(COUNT(G40,N40)=2,G40-N40,"n.d.")</f>
        <v>1846.0</v>
      </c>
      <c r="Q40" s="27">
        <f>IF(COUNTIFS('Taux'!$A$6:$A$20,A40,'Taux'!$B$6:$B$20,D40)=1,SUMIFS('Taux'!$D$6:$D$20,'Taux'!$A$6:$A$20,A40,'Taux'!$B$6:$B$20,D40),"n.d.")</f>
        <v>1</v>
      </c>
      <c r="R40" s="22">
        <f>IF(COUNT(F40,Q40)=2,F40/Q40,"n.d.")</f>
        <v>1240718.0</v>
      </c>
      <c r="S40" s="22">
        <f>IF(COUNT(M40,Q40)=2,M40/Q40,"n.d.")</f>
        <v>1166565.0</v>
      </c>
      <c r="T40" s="24">
        <f>IF(OR(COUNT(F40,M40)&lt;&gt;2,F40=0),"n.d.",M40/F40)</f>
        <v>0.9402338001060676</v>
      </c>
      <c r="U40" s="24">
        <f>IF(OR(COUNT(G40,N40)&lt;&gt;2,G40=0),"n.d.",N40/G40)</f>
        <v>0.36190805392326303</v>
      </c>
      <c r="V40" s="22">
        <v>1166565</v>
      </c>
      <c r="W40" s="18" t="s">
        <v>201</v>
      </c>
    </row>
    <row r="41" spans="1:23" ht="19" customHeight="1">
      <c r="A41" s="18" t="s">
        <v>13</v>
      </c>
      <c r="B41" s="18" t="s">
        <v>77</v>
      </c>
      <c r="C41" s="18" t="s">
        <v>78</v>
      </c>
      <c r="D41" s="18" t="s">
        <v>10</v>
      </c>
      <c r="E41" s="25">
        <v>46174</v>
      </c>
      <c r="F41" s="22">
        <v>1121255</v>
      </c>
      <c r="G41" s="26">
        <v>4456</v>
      </c>
      <c r="H41" s="22">
        <v>13985</v>
      </c>
      <c r="I41" s="22">
        <v>0</v>
      </c>
      <c r="J41" s="22">
        <v>889066</v>
      </c>
      <c r="K41" s="23" t="s">
        <v>51</v>
      </c>
      <c r="L41" s="23" t="s">
        <v>51</v>
      </c>
      <c r="M41" s="22">
        <f>V41</f>
        <v>903051.0</v>
      </c>
      <c r="N41" s="26">
        <v>558</v>
      </c>
      <c r="O41" s="22">
        <f>IF(COUNT(F41,M41)=2,F41-M41,"n.d.")</f>
        <v>218204.0</v>
      </c>
      <c r="P41" s="26">
        <f>IF(COUNT(G41,N41)=2,G41-N41,"n.d.")</f>
        <v>3898.0</v>
      </c>
      <c r="Q41" s="27">
        <f>IF(COUNTIFS('Taux'!$A$6:$A$20,A41,'Taux'!$B$6:$B$20,D41)=1,SUMIFS('Taux'!$D$6:$D$20,'Taux'!$A$6:$A$20,A41,'Taux'!$B$6:$B$20,D41),"n.d.")</f>
        <v>1</v>
      </c>
      <c r="R41" s="22">
        <f>IF(COUNT(F41,Q41)=2,F41/Q41,"n.d.")</f>
        <v>1121255.0</v>
      </c>
      <c r="S41" s="22">
        <f>IF(COUNT(M41,Q41)=2,M41/Q41,"n.d.")</f>
        <v>903051.0</v>
      </c>
      <c r="T41" s="24">
        <f>IF(OR(COUNT(F41,M41)&lt;&gt;2,F41=0),"n.d.",M41/F41)</f>
        <v>0.805393064022011</v>
      </c>
      <c r="U41" s="24">
        <f>IF(OR(COUNT(G41,N41)&lt;&gt;2,G41=0),"n.d.",N41/G41)</f>
        <v>0.12522441651705565</v>
      </c>
      <c r="V41" s="22">
        <v>903051</v>
      </c>
      <c r="W41" s="18" t="s">
        <v>202</v>
      </c>
    </row>
    <row r="42" spans="1:23" ht="19" customHeight="1">
      <c r="A42" s="18" t="s">
        <v>13</v>
      </c>
      <c r="B42" s="18" t="s">
        <v>82</v>
      </c>
      <c r="C42" s="18" t="s">
        <v>82</v>
      </c>
      <c r="D42" s="18" t="s">
        <v>19</v>
      </c>
      <c r="E42" s="25">
        <v>46023</v>
      </c>
      <c r="F42" s="22">
        <v>120716</v>
      </c>
      <c r="G42" s="26">
        <v>6628</v>
      </c>
      <c r="H42" s="22">
        <v>74534</v>
      </c>
      <c r="I42" s="22">
        <v>1787</v>
      </c>
      <c r="J42" s="22">
        <v>4945</v>
      </c>
      <c r="K42" s="23" t="s">
        <v>51</v>
      </c>
      <c r="L42" s="23" t="s">
        <v>51</v>
      </c>
      <c r="M42" s="22">
        <f>V42</f>
        <v>81266.0</v>
      </c>
      <c r="N42" s="26">
        <v>1997</v>
      </c>
      <c r="O42" s="22">
        <f>IF(COUNT(F42,M42)=2,F42-M42,"n.d.")</f>
        <v>39450.0</v>
      </c>
      <c r="P42" s="26">
        <f>IF(COUNT(G42,N42)=2,G42-N42,"n.d.")</f>
        <v>4631.0</v>
      </c>
      <c r="Q42" s="27">
        <f>IF(COUNTIFS('Taux'!$A$6:$A$20,A42,'Taux'!$B$6:$B$20,D42)=1,SUMIFS('Taux'!$D$6:$D$20,'Taux'!$A$6:$A$20,A42,'Taux'!$B$6:$B$20,D42),"n.d.")</f>
        <v>0.85443381</v>
      </c>
      <c r="R42" s="22">
        <f>IF(COUNT(F42,Q42)=2,F42/Q42,"n.d.")</f>
        <v>141281.86243004593</v>
      </c>
      <c r="S42" s="22">
        <f>IF(COUNT(M42,Q42)=2,M42/Q42,"n.d.")</f>
        <v>95110.9366798114</v>
      </c>
      <c r="T42" s="24">
        <f>IF(OR(COUNT(F42,M42)&lt;&gt;2,F42=0),"n.d.",M42/F42)</f>
        <v>0.6731999072202525</v>
      </c>
      <c r="U42" s="24">
        <f>IF(OR(COUNT(G42,N42)&lt;&gt;2,G42=0),"n.d.",N42/G42)</f>
        <v>0.30129752564876283</v>
      </c>
      <c r="V42" s="22">
        <v>81266</v>
      </c>
      <c r="W42" s="18" t="s">
        <v>203</v>
      </c>
    </row>
    <row r="43" spans="1:23" ht="19" customHeight="1">
      <c r="A43" s="18" t="s">
        <v>13</v>
      </c>
      <c r="B43" s="18" t="s">
        <v>82</v>
      </c>
      <c r="C43" s="18" t="s">
        <v>82</v>
      </c>
      <c r="D43" s="18" t="s">
        <v>19</v>
      </c>
      <c r="E43" s="25">
        <v>46054</v>
      </c>
      <c r="F43" s="22">
        <v>163584</v>
      </c>
      <c r="G43" s="26">
        <v>2794</v>
      </c>
      <c r="H43" s="22">
        <v>110208</v>
      </c>
      <c r="I43" s="22">
        <v>4596</v>
      </c>
      <c r="J43" s="22">
        <v>3156</v>
      </c>
      <c r="K43" s="23" t="s">
        <v>51</v>
      </c>
      <c r="L43" s="23" t="s">
        <v>51</v>
      </c>
      <c r="M43" s="22">
        <f>V43</f>
        <v>117960.0</v>
      </c>
      <c r="N43" s="26">
        <v>1671</v>
      </c>
      <c r="O43" s="22">
        <f>IF(COUNT(F43,M43)=2,F43-M43,"n.d.")</f>
        <v>45624.0</v>
      </c>
      <c r="P43" s="26">
        <f>IF(COUNT(G43,N43)=2,G43-N43,"n.d.")</f>
        <v>1123.0</v>
      </c>
      <c r="Q43" s="27">
        <f>IF(COUNTIFS('Taux'!$A$6:$A$20,A43,'Taux'!$B$6:$B$20,D43)=1,SUMIFS('Taux'!$D$6:$D$20,'Taux'!$A$6:$A$20,A43,'Taux'!$B$6:$B$20,D43),"n.d.")</f>
        <v>0.85443381</v>
      </c>
      <c r="R43" s="22">
        <f>IF(COUNT(F43,Q43)=2,F43/Q43,"n.d.")</f>
        <v>191453.09804629572</v>
      </c>
      <c r="S43" s="22">
        <f>IF(COUNT(M43,Q43)=2,M43/Q43,"n.d.")</f>
        <v>138056.3346387241</v>
      </c>
      <c r="T43" s="24">
        <f>IF(OR(COUNT(F43,M43)&lt;&gt;2,F43=0),"n.d.",M43/F43)</f>
        <v>0.7210974178403756</v>
      </c>
      <c r="U43" s="24">
        <f>IF(OR(COUNT(G43,N43)&lt;&gt;2,G43=0),"n.d.",N43/G43)</f>
        <v>0.598067287043665</v>
      </c>
      <c r="V43" s="22">
        <v>117960</v>
      </c>
      <c r="W43" s="18" t="s">
        <v>204</v>
      </c>
    </row>
    <row r="44" spans="1:23" ht="19" customHeight="1">
      <c r="A44" s="18" t="s">
        <v>13</v>
      </c>
      <c r="B44" s="18" t="s">
        <v>82</v>
      </c>
      <c r="C44" s="18" t="s">
        <v>82</v>
      </c>
      <c r="D44" s="18" t="s">
        <v>19</v>
      </c>
      <c r="E44" s="25">
        <v>46082</v>
      </c>
      <c r="F44" s="22">
        <v>322087</v>
      </c>
      <c r="G44" s="26">
        <v>4508</v>
      </c>
      <c r="H44" s="22">
        <v>198328</v>
      </c>
      <c r="I44" s="22">
        <v>9551</v>
      </c>
      <c r="J44" s="22">
        <v>7481</v>
      </c>
      <c r="K44" s="23" t="s">
        <v>51</v>
      </c>
      <c r="L44" s="23" t="s">
        <v>51</v>
      </c>
      <c r="M44" s="22">
        <f>V44</f>
        <v>215360.0</v>
      </c>
      <c r="N44" s="26">
        <v>2671</v>
      </c>
      <c r="O44" s="22">
        <f>IF(COUNT(F44,M44)=2,F44-M44,"n.d.")</f>
        <v>106727.0</v>
      </c>
      <c r="P44" s="26">
        <f>IF(COUNT(G44,N44)=2,G44-N44,"n.d.")</f>
        <v>1837.0</v>
      </c>
      <c r="Q44" s="27">
        <f>IF(COUNTIFS('Taux'!$A$6:$A$20,A44,'Taux'!$B$6:$B$20,D44)=1,SUMIFS('Taux'!$D$6:$D$20,'Taux'!$A$6:$A$20,A44,'Taux'!$B$6:$B$20,D44),"n.d.")</f>
        <v>0.85443381</v>
      </c>
      <c r="R44" s="22">
        <f>IF(COUNT(F44,Q44)=2,F44/Q44,"n.d.")</f>
        <v>376959.5681144687</v>
      </c>
      <c r="S44" s="22">
        <f>IF(COUNT(M44,Q44)=2,M44/Q44,"n.d.")</f>
        <v>252049.9510664261</v>
      </c>
      <c r="T44" s="24">
        <f>IF(OR(COUNT(F44,M44)&lt;&gt;2,F44=0),"n.d.",M44/F44)</f>
        <v>0.6686392185962178</v>
      </c>
      <c r="U44" s="24">
        <f>IF(OR(COUNT(G44,N44)&lt;&gt;2,G44=0),"n.d.",N44/G44)</f>
        <v>0.5925022182786158</v>
      </c>
      <c r="V44" s="22">
        <v>215360</v>
      </c>
      <c r="W44" s="18" t="s">
        <v>205</v>
      </c>
    </row>
    <row r="45" spans="1:23" ht="19" customHeight="1">
      <c r="A45" s="18" t="s">
        <v>13</v>
      </c>
      <c r="B45" s="18" t="s">
        <v>82</v>
      </c>
      <c r="C45" s="18" t="s">
        <v>82</v>
      </c>
      <c r="D45" s="18" t="s">
        <v>19</v>
      </c>
      <c r="E45" s="25">
        <v>46113</v>
      </c>
      <c r="F45" s="22">
        <v>88184</v>
      </c>
      <c r="G45" s="26">
        <v>1560</v>
      </c>
      <c r="H45" s="22">
        <v>54089</v>
      </c>
      <c r="I45" s="22">
        <v>2351</v>
      </c>
      <c r="J45" s="22">
        <v>1474</v>
      </c>
      <c r="K45" s="23" t="s">
        <v>51</v>
      </c>
      <c r="L45" s="23" t="s">
        <v>51</v>
      </c>
      <c r="M45" s="22">
        <f>V45</f>
        <v>57914.0</v>
      </c>
      <c r="N45" s="26">
        <v>873</v>
      </c>
      <c r="O45" s="22">
        <f>IF(COUNT(F45,M45)=2,F45-M45,"n.d.")</f>
        <v>30270.0</v>
      </c>
      <c r="P45" s="26">
        <f>IF(COUNT(G45,N45)=2,G45-N45,"n.d.")</f>
        <v>687.0</v>
      </c>
      <c r="Q45" s="27">
        <f>IF(COUNTIFS('Taux'!$A$6:$A$20,A45,'Taux'!$B$6:$B$20,D45)=1,SUMIFS('Taux'!$D$6:$D$20,'Taux'!$A$6:$A$20,A45,'Taux'!$B$6:$B$20,D45),"n.d.")</f>
        <v>0.85443381</v>
      </c>
      <c r="R45" s="22">
        <f>IF(COUNT(F45,Q45)=2,F45/Q45,"n.d.")</f>
        <v>103207.52639692478</v>
      </c>
      <c r="S45" s="22">
        <f>IF(COUNT(M45,Q45)=2,M45/Q45,"n.d.")</f>
        <v>67780.55751328473</v>
      </c>
      <c r="T45" s="24">
        <f>IF(OR(COUNT(F45,M45)&lt;&gt;2,F45=0),"n.d.",M45/F45)</f>
        <v>0.6567404517826363</v>
      </c>
      <c r="U45" s="24">
        <f>IF(OR(COUNT(G45,N45)&lt;&gt;2,G45=0),"n.d.",N45/G45)</f>
        <v>0.5596153846153846</v>
      </c>
      <c r="V45" s="22">
        <v>57914</v>
      </c>
      <c r="W45" s="18" t="s">
        <v>206</v>
      </c>
    </row>
    <row r="46" spans="1:23" ht="19" customHeight="1">
      <c r="A46" s="18" t="s">
        <v>13</v>
      </c>
      <c r="B46" s="18" t="s">
        <v>82</v>
      </c>
      <c r="C46" s="18" t="s">
        <v>82</v>
      </c>
      <c r="D46" s="18" t="s">
        <v>19</v>
      </c>
      <c r="E46" s="25">
        <v>46143</v>
      </c>
      <c r="F46" s="22">
        <v>53856</v>
      </c>
      <c r="G46" s="26">
        <v>2385</v>
      </c>
      <c r="H46" s="22">
        <v>19392</v>
      </c>
      <c r="I46" s="22">
        <v>2283</v>
      </c>
      <c r="J46" s="22">
        <v>1879</v>
      </c>
      <c r="K46" s="23" t="s">
        <v>51</v>
      </c>
      <c r="L46" s="23" t="s">
        <v>51</v>
      </c>
      <c r="M46" s="22">
        <f>V46</f>
        <v>23554.0</v>
      </c>
      <c r="N46" s="26">
        <v>340</v>
      </c>
      <c r="O46" s="22">
        <f>IF(COUNT(F46,M46)=2,F46-M46,"n.d.")</f>
        <v>30302.0</v>
      </c>
      <c r="P46" s="26">
        <f>IF(COUNT(G46,N46)=2,G46-N46,"n.d.")</f>
        <v>2045.0</v>
      </c>
      <c r="Q46" s="27">
        <f>IF(COUNTIFS('Taux'!$A$6:$A$20,A46,'Taux'!$B$6:$B$20,D46)=1,SUMIFS('Taux'!$D$6:$D$20,'Taux'!$A$6:$A$20,A46,'Taux'!$B$6:$B$20,D46),"n.d.")</f>
        <v>0.85443381</v>
      </c>
      <c r="R46" s="22">
        <f>IF(COUNT(F46,Q46)=2,F46/Q46,"n.d.")</f>
        <v>63031.2136173544</v>
      </c>
      <c r="S46" s="22">
        <f>IF(COUNT(M46,Q46)=2,M46/Q46,"n.d.")</f>
        <v>27566.79303221861</v>
      </c>
      <c r="T46" s="24">
        <f>IF(OR(COUNT(F46,M46)&lt;&gt;2,F46=0),"n.d.",M46/F46)</f>
        <v>0.4373514557338087</v>
      </c>
      <c r="U46" s="24">
        <f>IF(OR(COUNT(G46,N46)&lt;&gt;2,G46=0),"n.d.",N46/G46)</f>
        <v>0.14255765199161424</v>
      </c>
      <c r="V46" s="22">
        <v>23554</v>
      </c>
      <c r="W46" s="18" t="s">
        <v>207</v>
      </c>
    </row>
    <row r="47" spans="1:23" ht="19" customHeight="1">
      <c r="A47" s="18" t="s">
        <v>13</v>
      </c>
      <c r="B47" s="18" t="s">
        <v>82</v>
      </c>
      <c r="C47" s="18" t="s">
        <v>82</v>
      </c>
      <c r="D47" s="18" t="s">
        <v>19</v>
      </c>
      <c r="E47" s="25">
        <v>46174</v>
      </c>
      <c r="F47" s="22">
        <v>55879</v>
      </c>
      <c r="G47" s="26">
        <v>3487</v>
      </c>
      <c r="H47" s="22">
        <v>0</v>
      </c>
      <c r="I47" s="22">
        <v>1338</v>
      </c>
      <c r="J47" s="22">
        <v>6306</v>
      </c>
      <c r="K47" s="23" t="s">
        <v>51</v>
      </c>
      <c r="L47" s="23" t="s">
        <v>51</v>
      </c>
      <c r="M47" s="22">
        <f>V47</f>
        <v>7644.0</v>
      </c>
      <c r="N47" s="26">
        <v>30</v>
      </c>
      <c r="O47" s="22">
        <f>IF(COUNT(F47,M47)=2,F47-M47,"n.d.")</f>
        <v>48235.0</v>
      </c>
      <c r="P47" s="26">
        <f>IF(COUNT(G47,N47)=2,G47-N47,"n.d.")</f>
        <v>3457.0</v>
      </c>
      <c r="Q47" s="27">
        <f>IF(COUNTIFS('Taux'!$A$6:$A$20,A47,'Taux'!$B$6:$B$20,D47)=1,SUMIFS('Taux'!$D$6:$D$20,'Taux'!$A$6:$A$20,A47,'Taux'!$B$6:$B$20,D47),"n.d.")</f>
        <v>0.85443381</v>
      </c>
      <c r="R47" s="22">
        <f>IF(COUNT(F47,Q47)=2,F47/Q47,"n.d.")</f>
        <v>65398.86337128912</v>
      </c>
      <c r="S47" s="22">
        <f>IF(COUNT(M47,Q47)=2,M47/Q47,"n.d.")</f>
        <v>8946.275194798296</v>
      </c>
      <c r="T47" s="24">
        <f>IF(OR(COUNT(F47,M47)&lt;&gt;2,F47=0),"n.d.",M47/F47)</f>
        <v>0.13679557615562196</v>
      </c>
      <c r="U47" s="24">
        <f>IF(OR(COUNT(G47,N47)&lt;&gt;2,G47=0),"n.d.",N47/G47)</f>
        <v>0.008603383997705764</v>
      </c>
      <c r="V47" s="22">
        <v>7644</v>
      </c>
      <c r="W47" s="18" t="s">
        <v>208</v>
      </c>
    </row>
    <row r="48" spans="1:23" ht="19" customHeight="1">
      <c r="A48" s="18" t="s">
        <v>13</v>
      </c>
      <c r="B48" s="18" t="s">
        <v>86</v>
      </c>
      <c r="C48" s="18" t="s">
        <v>87</v>
      </c>
      <c r="D48" s="18" t="s">
        <v>10</v>
      </c>
      <c r="E48" s="25">
        <v>46023</v>
      </c>
      <c r="F48" s="22">
        <v>4213.139999999999</v>
      </c>
      <c r="G48" s="26">
        <v>66</v>
      </c>
      <c r="H48" s="22">
        <v>3795.499999999999</v>
      </c>
      <c r="I48" s="22">
        <v>0</v>
      </c>
      <c r="J48" s="22">
        <v>0</v>
      </c>
      <c r="K48" s="23" t="s">
        <v>51</v>
      </c>
      <c r="L48" s="23" t="s">
        <v>51</v>
      </c>
      <c r="M48" s="22">
        <f>V48</f>
        <v>3795.4999999999986</v>
      </c>
      <c r="N48" s="26">
        <v>51</v>
      </c>
      <c r="O48" s="22">
        <f>IF(COUNT(F48,M48)=2,F48-M48,"n.d.")</f>
        <v>417.6400000000008</v>
      </c>
      <c r="P48" s="26">
        <f>IF(COUNT(G48,N48)=2,G48-N48,"n.d.")</f>
        <v>15</v>
      </c>
      <c r="Q48" s="27">
        <f>IF(COUNTIFS('Taux'!$A$6:$A$20,A48,'Taux'!$B$6:$B$20,D48)=1,SUMIFS('Taux'!$D$6:$D$20,'Taux'!$A$6:$A$20,A48,'Taux'!$B$6:$B$20,D48),"n.d.")</f>
        <v>1</v>
      </c>
      <c r="R48" s="22">
        <f>IF(COUNT(F48,Q48)=2,F48/Q48,"n.d.")</f>
        <v>4213.139999999999</v>
      </c>
      <c r="S48" s="22">
        <f>IF(COUNT(M48,Q48)=2,M48/Q48,"n.d.")</f>
        <v>3795.4999999999986</v>
      </c>
      <c r="T48" s="24">
        <f>IF(OR(COUNT(F48,M48)&lt;&gt;2,F48=0),"n.d.",M48/F48)</f>
        <v>0.9008720336850898</v>
      </c>
      <c r="U48" s="24">
        <f>IF(OR(COUNT(G48,N48)&lt;&gt;2,G48=0),"n.d.",N48/G48)</f>
        <v>0.7727272727272727</v>
      </c>
      <c r="V48" s="22">
        <v>3795.499999999999</v>
      </c>
      <c r="W48" s="18" t="s">
        <v>209</v>
      </c>
    </row>
    <row r="49" spans="1:23" ht="19" customHeight="1">
      <c r="A49" s="18" t="s">
        <v>13</v>
      </c>
      <c r="B49" s="18" t="s">
        <v>86</v>
      </c>
      <c r="C49" s="18" t="s">
        <v>87</v>
      </c>
      <c r="D49" s="18" t="s">
        <v>10</v>
      </c>
      <c r="E49" s="25">
        <v>46054</v>
      </c>
      <c r="F49" s="22">
        <v>6335.460000000001</v>
      </c>
      <c r="G49" s="26">
        <v>67</v>
      </c>
      <c r="H49" s="22">
        <v>4538.530000000001</v>
      </c>
      <c r="I49" s="22">
        <v>0</v>
      </c>
      <c r="J49" s="22">
        <v>0</v>
      </c>
      <c r="K49" s="23" t="s">
        <v>51</v>
      </c>
      <c r="L49" s="23" t="s">
        <v>51</v>
      </c>
      <c r="M49" s="22">
        <f>V49</f>
        <v>4538.530000000001</v>
      </c>
      <c r="N49" s="26">
        <v>45</v>
      </c>
      <c r="O49" s="22">
        <f>IF(COUNT(F49,M49)=2,F49-M49,"n.d.")</f>
        <v>1796.9300000000003</v>
      </c>
      <c r="P49" s="26">
        <f>IF(COUNT(G49,N49)=2,G49-N49,"n.d.")</f>
        <v>22</v>
      </c>
      <c r="Q49" s="27">
        <f>IF(COUNTIFS('Taux'!$A$6:$A$20,A49,'Taux'!$B$6:$B$20,D49)=1,SUMIFS('Taux'!$D$6:$D$20,'Taux'!$A$6:$A$20,A49,'Taux'!$B$6:$B$20,D49),"n.d.")</f>
        <v>1</v>
      </c>
      <c r="R49" s="22">
        <f>IF(COUNT(F49,Q49)=2,F49/Q49,"n.d.")</f>
        <v>6335.460000000001</v>
      </c>
      <c r="S49" s="22">
        <f>IF(COUNT(M49,Q49)=2,M49/Q49,"n.d.")</f>
        <v>4538.530000000001</v>
      </c>
      <c r="T49" s="24">
        <f>IF(OR(COUNT(F49,M49)&lt;&gt;2,F49=0),"n.d.",M49/F49)</f>
        <v>0.716369450679193</v>
      </c>
      <c r="U49" s="24">
        <f>IF(OR(COUNT(G49,N49)&lt;&gt;2,G49=0),"n.d.",N49/G49)</f>
        <v>0.6716417910447762</v>
      </c>
      <c r="V49" s="22">
        <v>4538.530000000001</v>
      </c>
      <c r="W49" s="18" t="s">
        <v>210</v>
      </c>
    </row>
    <row r="50" spans="1:23" ht="19" customHeight="1">
      <c r="A50" s="18" t="s">
        <v>13</v>
      </c>
      <c r="B50" s="18" t="s">
        <v>86</v>
      </c>
      <c r="C50" s="18" t="s">
        <v>87</v>
      </c>
      <c r="D50" s="18" t="s">
        <v>10</v>
      </c>
      <c r="E50" s="25">
        <v>46082</v>
      </c>
      <c r="F50" s="22">
        <v>25273.23000000001</v>
      </c>
      <c r="G50" s="26">
        <v>32</v>
      </c>
      <c r="H50" s="22">
        <v>25273.23000000001</v>
      </c>
      <c r="I50" s="22">
        <v>0</v>
      </c>
      <c r="J50" s="22">
        <v>0</v>
      </c>
      <c r="K50" s="23" t="s">
        <v>51</v>
      </c>
      <c r="L50" s="23" t="s">
        <v>51</v>
      </c>
      <c r="M50" s="22">
        <f>V50</f>
        <v>25273.230000000007</v>
      </c>
      <c r="N50" s="26">
        <v>32</v>
      </c>
      <c r="O50" s="22">
        <f>IF(COUNT(F50,M50)=2,F50-M50,"n.d.")</f>
        <v>0.0</v>
      </c>
      <c r="P50" s="26">
        <f>IF(COUNT(G50,N50)=2,G50-N50,"n.d.")</f>
        <v>0</v>
      </c>
      <c r="Q50" s="27">
        <f>IF(COUNTIFS('Taux'!$A$6:$A$20,A50,'Taux'!$B$6:$B$20,D50)=1,SUMIFS('Taux'!$D$6:$D$20,'Taux'!$A$6:$A$20,A50,'Taux'!$B$6:$B$20,D50),"n.d.")</f>
        <v>1</v>
      </c>
      <c r="R50" s="22">
        <f>IF(COUNT(F50,Q50)=2,F50/Q50,"n.d.")</f>
        <v>25273.230000000007</v>
      </c>
      <c r="S50" s="22">
        <f>IF(COUNT(M50,Q50)=2,M50/Q50,"n.d.")</f>
        <v>25273.230000000007</v>
      </c>
      <c r="T50" s="24">
        <f>IF(OR(COUNT(F50,M50)&lt;&gt;2,F50=0),"n.d.",M50/F50)</f>
        <v>1.0</v>
      </c>
      <c r="U50" s="24">
        <f>IF(OR(COUNT(G50,N50)&lt;&gt;2,G50=0),"n.d.",N50/G50)</f>
        <v>1.0</v>
      </c>
      <c r="V50" s="22">
        <v>25273.23000000001</v>
      </c>
      <c r="W50" s="18" t="s">
        <v>211</v>
      </c>
    </row>
    <row r="51" spans="1:23" ht="19" customHeight="1">
      <c r="A51" s="18" t="s">
        <v>13</v>
      </c>
      <c r="B51" s="18" t="s">
        <v>86</v>
      </c>
      <c r="C51" s="18" t="s">
        <v>87</v>
      </c>
      <c r="D51" s="18" t="s">
        <v>10</v>
      </c>
      <c r="E51" s="25">
        <v>46113</v>
      </c>
      <c r="F51" s="22">
        <v>4747.02</v>
      </c>
      <c r="G51" s="26">
        <v>42</v>
      </c>
      <c r="H51" s="22">
        <v>4747.02</v>
      </c>
      <c r="I51" s="22">
        <v>0</v>
      </c>
      <c r="J51" s="22">
        <v>0</v>
      </c>
      <c r="K51" s="23" t="s">
        <v>51</v>
      </c>
      <c r="L51" s="23" t="s">
        <v>51</v>
      </c>
      <c r="M51" s="22">
        <f>V51</f>
        <v>4747.0199999999995</v>
      </c>
      <c r="N51" s="26">
        <v>42</v>
      </c>
      <c r="O51" s="22">
        <f>IF(COUNT(F51,M51)=2,F51-M51,"n.d.")</f>
        <v>0.0</v>
      </c>
      <c r="P51" s="26">
        <f>IF(COUNT(G51,N51)=2,G51-N51,"n.d.")</f>
        <v>0</v>
      </c>
      <c r="Q51" s="27">
        <f>IF(COUNTIFS('Taux'!$A$6:$A$20,A51,'Taux'!$B$6:$B$20,D51)=1,SUMIFS('Taux'!$D$6:$D$20,'Taux'!$A$6:$A$20,A51,'Taux'!$B$6:$B$20,D51),"n.d.")</f>
        <v>1</v>
      </c>
      <c r="R51" s="22">
        <f>IF(COUNT(F51,Q51)=2,F51/Q51,"n.d.")</f>
        <v>4747.0199999999995</v>
      </c>
      <c r="S51" s="22">
        <f>IF(COUNT(M51,Q51)=2,M51/Q51,"n.d.")</f>
        <v>4747.0199999999995</v>
      </c>
      <c r="T51" s="24">
        <f>IF(OR(COUNT(F51,M51)&lt;&gt;2,F51=0),"n.d.",M51/F51)</f>
        <v>1.0</v>
      </c>
      <c r="U51" s="24">
        <f>IF(OR(COUNT(G51,N51)&lt;&gt;2,G51=0),"n.d.",N51/G51)</f>
        <v>1.0</v>
      </c>
      <c r="V51" s="22">
        <v>4747.02</v>
      </c>
      <c r="W51" s="18" t="s">
        <v>212</v>
      </c>
    </row>
    <row r="52" spans="1:23" ht="19" customHeight="1">
      <c r="A52" s="18" t="s">
        <v>13</v>
      </c>
      <c r="B52" s="18" t="s">
        <v>86</v>
      </c>
      <c r="C52" s="18" t="s">
        <v>87</v>
      </c>
      <c r="D52" s="18" t="s">
        <v>10</v>
      </c>
      <c r="E52" s="25">
        <v>46143</v>
      </c>
      <c r="F52" s="22">
        <v>11020.09</v>
      </c>
      <c r="G52" s="26">
        <v>30</v>
      </c>
      <c r="H52" s="22">
        <v>11005.86</v>
      </c>
      <c r="I52" s="22">
        <v>0</v>
      </c>
      <c r="J52" s="22">
        <v>0</v>
      </c>
      <c r="K52" s="23" t="s">
        <v>51</v>
      </c>
      <c r="L52" s="23" t="s">
        <v>51</v>
      </c>
      <c r="M52" s="22">
        <f>V52</f>
        <v>11005.86</v>
      </c>
      <c r="N52" s="26">
        <v>29</v>
      </c>
      <c r="O52" s="22">
        <f>IF(COUNT(F52,M52)=2,F52-M52,"n.d.")</f>
        <v>14.229999999999563</v>
      </c>
      <c r="P52" s="26">
        <f>IF(COUNT(G52,N52)=2,G52-N52,"n.d.")</f>
        <v>1</v>
      </c>
      <c r="Q52" s="27">
        <f>IF(COUNTIFS('Taux'!$A$6:$A$20,A52,'Taux'!$B$6:$B$20,D52)=1,SUMIFS('Taux'!$D$6:$D$20,'Taux'!$A$6:$A$20,A52,'Taux'!$B$6:$B$20,D52),"n.d.")</f>
        <v>1</v>
      </c>
      <c r="R52" s="22">
        <f>IF(COUNT(F52,Q52)=2,F52/Q52,"n.d.")</f>
        <v>11020.09</v>
      </c>
      <c r="S52" s="22">
        <f>IF(COUNT(M52,Q52)=2,M52/Q52,"n.d.")</f>
        <v>11005.86</v>
      </c>
      <c r="T52" s="24">
        <f>IF(OR(COUNT(F52,M52)&lt;&gt;2,F52=0),"n.d.",M52/F52)</f>
        <v>0.9987087219795846</v>
      </c>
      <c r="U52" s="24">
        <f>IF(OR(COUNT(G52,N52)&lt;&gt;2,G52=0),"n.d.",N52/G52)</f>
        <v>0.9666666666666667</v>
      </c>
      <c r="V52" s="22">
        <v>11005.86</v>
      </c>
      <c r="W52" s="18" t="s">
        <v>213</v>
      </c>
    </row>
    <row r="53" spans="1:23" ht="19" customHeight="1">
      <c r="A53" s="18" t="s">
        <v>13</v>
      </c>
      <c r="B53" s="18" t="s">
        <v>86</v>
      </c>
      <c r="C53" s="18" t="s">
        <v>87</v>
      </c>
      <c r="D53" s="18" t="s">
        <v>10</v>
      </c>
      <c r="E53" s="25">
        <v>46174</v>
      </c>
      <c r="F53" s="22">
        <v>3156.52</v>
      </c>
      <c r="G53" s="26">
        <v>27</v>
      </c>
      <c r="H53" s="22">
        <v>0</v>
      </c>
      <c r="I53" s="22">
        <v>0</v>
      </c>
      <c r="J53" s="22">
        <v>0</v>
      </c>
      <c r="K53" s="23" t="s">
        <v>51</v>
      </c>
      <c r="L53" s="23" t="s">
        <v>51</v>
      </c>
      <c r="M53" s="22">
        <f>V53</f>
        <v>0</v>
      </c>
      <c r="N53" s="26">
        <v>0</v>
      </c>
      <c r="O53" s="22">
        <f>IF(COUNT(F53,M53)=2,F53-M53,"n.d.")</f>
        <v>3156.52</v>
      </c>
      <c r="P53" s="26">
        <f>IF(COUNT(G53,N53)=2,G53-N53,"n.d.")</f>
        <v>27</v>
      </c>
      <c r="Q53" s="27">
        <f>IF(COUNTIFS('Taux'!$A$6:$A$20,A53,'Taux'!$B$6:$B$20,D53)=1,SUMIFS('Taux'!$D$6:$D$20,'Taux'!$A$6:$A$20,A53,'Taux'!$B$6:$B$20,D53),"n.d.")</f>
        <v>1</v>
      </c>
      <c r="R53" s="22">
        <f>IF(COUNT(F53,Q53)=2,F53/Q53,"n.d.")</f>
        <v>3156.52</v>
      </c>
      <c r="S53" s="22">
        <f>IF(COUNT(M53,Q53)=2,M53/Q53,"n.d.")</f>
        <v>0.0</v>
      </c>
      <c r="T53" s="24">
        <f>IF(OR(COUNT(F53,M53)&lt;&gt;2,F53=0),"n.d.",M53/F53)</f>
        <v>0.0</v>
      </c>
      <c r="U53" s="24">
        <f>IF(OR(COUNT(G53,N53)&lt;&gt;2,G53=0),"n.d.",N53/G53)</f>
        <v>0.0</v>
      </c>
      <c r="V53" s="22">
        <v>0</v>
      </c>
      <c r="W53" s="18" t="s">
        <v>214</v>
      </c>
    </row>
    <row r="54" spans="1:23" ht="19" customHeight="1">
      <c r="A54" s="18" t="s">
        <v>13</v>
      </c>
      <c r="B54" s="18" t="s">
        <v>91</v>
      </c>
      <c r="C54" s="18" t="s">
        <v>92</v>
      </c>
      <c r="D54" s="18" t="s">
        <v>16</v>
      </c>
      <c r="E54" s="25">
        <v>46023</v>
      </c>
      <c r="F54" s="22">
        <v>130636.08</v>
      </c>
      <c r="G54" s="26">
        <v>394</v>
      </c>
      <c r="H54" s="22">
        <v>119420</v>
      </c>
      <c r="I54" s="23" t="s">
        <v>51</v>
      </c>
      <c r="J54" s="23" t="s">
        <v>51</v>
      </c>
      <c r="K54" s="22">
        <v>0</v>
      </c>
      <c r="L54" s="22">
        <v>11216.08</v>
      </c>
      <c r="M54" s="22">
        <f>V54</f>
        <v>130636.08000000005</v>
      </c>
      <c r="N54" s="26">
        <v>394</v>
      </c>
      <c r="O54" s="22">
        <f>IF(COUNT(F54,M54)=2,F54-M54,"n.d.")</f>
        <v>0.0</v>
      </c>
      <c r="P54" s="26">
        <f>IF(COUNT(G54,N54)=2,G54-N54,"n.d.")</f>
        <v>0</v>
      </c>
      <c r="Q54" s="27">
        <f>IF(COUNTIFS('Taux'!$A$6:$A$20,A54,'Taux'!$B$6:$B$20,D54)=1,SUMIFS('Taux'!$D$6:$D$20,'Taux'!$A$6:$A$20,A54,'Taux'!$B$6:$B$20,D54),"n.d.")</f>
        <v>7.47595715</v>
      </c>
      <c r="R54" s="22">
        <f>IF(COUNT(F54,Q54)=2,F54/Q54,"n.d.")</f>
        <v>17474.161151391836</v>
      </c>
      <c r="S54" s="22">
        <f>IF(COUNT(M54,Q54)=2,M54/Q54,"n.d.")</f>
        <v>17474.161151391836</v>
      </c>
      <c r="T54" s="24">
        <f>IF(OR(COUNT(F54,M54)&lt;&gt;2,F54=0),"n.d.",M54/F54)</f>
        <v>1.0</v>
      </c>
      <c r="U54" s="24">
        <f>IF(OR(COUNT(G54,N54)&lt;&gt;2,G54=0),"n.d.",N54/G54)</f>
        <v>1.0</v>
      </c>
      <c r="V54" s="22">
        <v>130636.08</v>
      </c>
      <c r="W54" s="18" t="s">
        <v>215</v>
      </c>
    </row>
    <row r="55" spans="1:23" ht="19" customHeight="1">
      <c r="A55" s="18" t="s">
        <v>13</v>
      </c>
      <c r="B55" s="18" t="s">
        <v>91</v>
      </c>
      <c r="C55" s="18" t="s">
        <v>92</v>
      </c>
      <c r="D55" s="18" t="s">
        <v>16</v>
      </c>
      <c r="E55" s="25">
        <v>46054</v>
      </c>
      <c r="F55" s="22">
        <v>256641.26</v>
      </c>
      <c r="G55" s="26">
        <v>400</v>
      </c>
      <c r="H55" s="22">
        <v>99095.89999999998</v>
      </c>
      <c r="I55" s="23" t="s">
        <v>51</v>
      </c>
      <c r="J55" s="23" t="s">
        <v>51</v>
      </c>
      <c r="K55" s="22">
        <v>0</v>
      </c>
      <c r="L55" s="22">
        <v>156607.86</v>
      </c>
      <c r="M55" s="22">
        <f>V55</f>
        <v>255703.75999999995</v>
      </c>
      <c r="N55" s="26">
        <v>399</v>
      </c>
      <c r="O55" s="22">
        <f>IF(COUNT(F55,M55)=2,F55-M55,"n.d.")</f>
        <v>937.5000000000873</v>
      </c>
      <c r="P55" s="26">
        <f>IF(COUNT(G55,N55)=2,G55-N55,"n.d.")</f>
        <v>1</v>
      </c>
      <c r="Q55" s="27">
        <f>IF(COUNTIFS('Taux'!$A$6:$A$20,A55,'Taux'!$B$6:$B$20,D55)=1,SUMIFS('Taux'!$D$6:$D$20,'Taux'!$A$6:$A$20,A55,'Taux'!$B$6:$B$20,D55),"n.d.")</f>
        <v>7.47595715</v>
      </c>
      <c r="R55" s="22">
        <f>IF(COUNT(F55,Q55)=2,F55/Q55,"n.d.")</f>
        <v>34328.883225340585</v>
      </c>
      <c r="S55" s="22">
        <f>IF(COUNT(M55,Q55)=2,M55/Q55,"n.d.")</f>
        <v>34203.48122246794</v>
      </c>
      <c r="T55" s="24">
        <f>IF(OR(COUNT(F55,M55)&lt;&gt;2,F55=0),"n.d.",M55/F55)</f>
        <v>0.9963470410019025</v>
      </c>
      <c r="U55" s="24">
        <f>IF(OR(COUNT(G55,N55)&lt;&gt;2,G55=0),"n.d.",N55/G55)</f>
        <v>0.9975</v>
      </c>
      <c r="V55" s="22">
        <v>255703.76</v>
      </c>
      <c r="W55" s="18" t="s">
        <v>216</v>
      </c>
    </row>
    <row r="56" spans="1:23" ht="19" customHeight="1">
      <c r="A56" s="18" t="s">
        <v>13</v>
      </c>
      <c r="B56" s="18" t="s">
        <v>91</v>
      </c>
      <c r="C56" s="18" t="s">
        <v>92</v>
      </c>
      <c r="D56" s="18" t="s">
        <v>16</v>
      </c>
      <c r="E56" s="25">
        <v>46082</v>
      </c>
      <c r="F56" s="22">
        <v>111294.4299999999</v>
      </c>
      <c r="G56" s="26">
        <v>372</v>
      </c>
      <c r="H56" s="22">
        <v>93872.86999999992</v>
      </c>
      <c r="I56" s="23" t="s">
        <v>51</v>
      </c>
      <c r="J56" s="23" t="s">
        <v>51</v>
      </c>
      <c r="K56" s="22">
        <v>0</v>
      </c>
      <c r="L56" s="22">
        <v>14652.77</v>
      </c>
      <c r="M56" s="22">
        <f>V56</f>
        <v>108525.63999999993</v>
      </c>
      <c r="N56" s="26">
        <v>367</v>
      </c>
      <c r="O56" s="22">
        <f>IF(COUNT(F56,M56)=2,F56-M56,"n.d.")</f>
        <v>2768.7899999999936</v>
      </c>
      <c r="P56" s="26">
        <f>IF(COUNT(G56,N56)=2,G56-N56,"n.d.")</f>
        <v>5</v>
      </c>
      <c r="Q56" s="27">
        <f>IF(COUNTIFS('Taux'!$A$6:$A$20,A56,'Taux'!$B$6:$B$20,D56)=1,SUMIFS('Taux'!$D$6:$D$20,'Taux'!$A$6:$A$20,A56,'Taux'!$B$6:$B$20,D56),"n.d.")</f>
        <v>7.47595715</v>
      </c>
      <c r="R56" s="22">
        <f>IF(COUNT(F56,Q56)=2,F56/Q56,"n.d.")</f>
        <v>14886.980725939544</v>
      </c>
      <c r="S56" s="22">
        <f>IF(COUNT(M56,Q56)=2,M56/Q56,"n.d.")</f>
        <v>14516.621460303571</v>
      </c>
      <c r="T56" s="24">
        <f>IF(OR(COUNT(F56,M56)&lt;&gt;2,F56=0),"n.d.",M56/F56)</f>
        <v>0.9751219355721576</v>
      </c>
      <c r="U56" s="24">
        <f>IF(OR(COUNT(G56,N56)&lt;&gt;2,G56=0),"n.d.",N56/G56)</f>
        <v>0.9865591397849462</v>
      </c>
      <c r="V56" s="22">
        <v>108525.6399999999</v>
      </c>
      <c r="W56" s="18" t="s">
        <v>217</v>
      </c>
    </row>
    <row r="57" spans="1:23" ht="19" customHeight="1">
      <c r="A57" s="18" t="s">
        <v>13</v>
      </c>
      <c r="B57" s="18" t="s">
        <v>91</v>
      </c>
      <c r="C57" s="18" t="s">
        <v>92</v>
      </c>
      <c r="D57" s="18" t="s">
        <v>16</v>
      </c>
      <c r="E57" s="25">
        <v>46113</v>
      </c>
      <c r="F57" s="22">
        <v>112393.3500000001</v>
      </c>
      <c r="G57" s="26">
        <v>359</v>
      </c>
      <c r="H57" s="22">
        <v>78374.69000000002</v>
      </c>
      <c r="I57" s="23" t="s">
        <v>51</v>
      </c>
      <c r="J57" s="23" t="s">
        <v>51</v>
      </c>
      <c r="K57" s="22">
        <v>0</v>
      </c>
      <c r="L57" s="22">
        <v>12653.27</v>
      </c>
      <c r="M57" s="22">
        <f>V57</f>
        <v>91027.96000000002</v>
      </c>
      <c r="N57" s="26">
        <v>223</v>
      </c>
      <c r="O57" s="22">
        <f>IF(COUNT(F57,M57)=2,F57-M57,"n.d.")</f>
        <v>21365.390000000043</v>
      </c>
      <c r="P57" s="26">
        <f>IF(COUNT(G57,N57)=2,G57-N57,"n.d.")</f>
        <v>136</v>
      </c>
      <c r="Q57" s="27">
        <f>IF(COUNTIFS('Taux'!$A$6:$A$20,A57,'Taux'!$B$6:$B$20,D57)=1,SUMIFS('Taux'!$D$6:$D$20,'Taux'!$A$6:$A$20,A57,'Taux'!$B$6:$B$20,D57),"n.d.")</f>
        <v>7.47595715</v>
      </c>
      <c r="R57" s="22">
        <f>IF(COUNT(F57,Q57)=2,F57/Q57,"n.d.")</f>
        <v>15033.974612869479</v>
      </c>
      <c r="S57" s="22">
        <f>IF(COUNT(M57,Q57)=2,M57/Q57,"n.d.")</f>
        <v>12176.094401504162</v>
      </c>
      <c r="T57" s="24">
        <f>IF(OR(COUNT(F57,M57)&lt;&gt;2,F57=0),"n.d.",M57/F57)</f>
        <v>0.8099052123635426</v>
      </c>
      <c r="U57" s="24">
        <f>IF(OR(COUNT(G57,N57)&lt;&gt;2,G57=0),"n.d.",N57/G57)</f>
        <v>0.6211699164345403</v>
      </c>
      <c r="V57" s="22">
        <v>91027.96000000002</v>
      </c>
      <c r="W57" s="18" t="s">
        <v>218</v>
      </c>
    </row>
    <row r="58" spans="1:23" ht="19" customHeight="1">
      <c r="A58" s="18" t="s">
        <v>13</v>
      </c>
      <c r="B58" s="18" t="s">
        <v>91</v>
      </c>
      <c r="C58" s="18" t="s">
        <v>92</v>
      </c>
      <c r="D58" s="18" t="s">
        <v>16</v>
      </c>
      <c r="E58" s="25">
        <v>46143</v>
      </c>
      <c r="F58" s="22">
        <v>162509.23</v>
      </c>
      <c r="G58" s="26">
        <v>361</v>
      </c>
      <c r="H58" s="22">
        <v>28482.28</v>
      </c>
      <c r="I58" s="23" t="s">
        <v>51</v>
      </c>
      <c r="J58" s="23" t="s">
        <v>51</v>
      </c>
      <c r="K58" s="22">
        <v>0</v>
      </c>
      <c r="L58" s="22">
        <v>36540.14</v>
      </c>
      <c r="M58" s="22">
        <f>V58</f>
        <v>65022.42</v>
      </c>
      <c r="N58" s="26">
        <v>69</v>
      </c>
      <c r="O58" s="22">
        <f>IF(COUNT(F58,M58)=2,F58-M58,"n.d.")</f>
        <v>97486.80999999998</v>
      </c>
      <c r="P58" s="26">
        <f>IF(COUNT(G58,N58)=2,G58-N58,"n.d.")</f>
        <v>292</v>
      </c>
      <c r="Q58" s="27">
        <f>IF(COUNTIFS('Taux'!$A$6:$A$20,A58,'Taux'!$B$6:$B$20,D58)=1,SUMIFS('Taux'!$D$6:$D$20,'Taux'!$A$6:$A$20,A58,'Taux'!$B$6:$B$20,D58),"n.d.")</f>
        <v>7.47595715</v>
      </c>
      <c r="R58" s="22">
        <f>IF(COUNT(F58,Q58)=2,F58/Q58,"n.d.")</f>
        <v>21737.581789109103</v>
      </c>
      <c r="S58" s="22">
        <f>IF(COUNT(M58,Q58)=2,M58/Q58,"n.d.")</f>
        <v>8697.537812934093</v>
      </c>
      <c r="T58" s="24">
        <f>IF(OR(COUNT(F58,M58)&lt;&gt;2,F58=0),"n.d.",M58/F58)</f>
        <v>0.4001152426849848</v>
      </c>
      <c r="U58" s="24">
        <f>IF(OR(COUNT(G58,N58)&lt;&gt;2,G58=0),"n.d.",N58/G58)</f>
        <v>0.19113573407202217</v>
      </c>
      <c r="V58" s="22">
        <v>65022.42</v>
      </c>
      <c r="W58" s="18" t="s">
        <v>219</v>
      </c>
    </row>
    <row r="59" spans="1:23" ht="19" customHeight="1">
      <c r="A59" s="18" t="s">
        <v>13</v>
      </c>
      <c r="B59" s="18" t="s">
        <v>91</v>
      </c>
      <c r="C59" s="18" t="s">
        <v>92</v>
      </c>
      <c r="D59" s="18" t="s">
        <v>16</v>
      </c>
      <c r="E59" s="25">
        <v>46174</v>
      </c>
      <c r="F59" s="22">
        <v>87448.33000000007</v>
      </c>
      <c r="G59" s="26">
        <v>296</v>
      </c>
      <c r="H59" s="22">
        <v>12784.95</v>
      </c>
      <c r="I59" s="23" t="s">
        <v>51</v>
      </c>
      <c r="J59" s="23" t="s">
        <v>51</v>
      </c>
      <c r="K59" s="22">
        <v>0</v>
      </c>
      <c r="L59" s="22">
        <v>14924.06</v>
      </c>
      <c r="M59" s="22">
        <f>V59</f>
        <v>27709.009999999995</v>
      </c>
      <c r="N59" s="26">
        <v>38</v>
      </c>
      <c r="O59" s="22">
        <f>IF(COUNT(F59,M59)=2,F59-M59,"n.d.")</f>
        <v>59739.32000000008</v>
      </c>
      <c r="P59" s="26">
        <f>IF(COUNT(G59,N59)=2,G59-N59,"n.d.")</f>
        <v>258</v>
      </c>
      <c r="Q59" s="27">
        <f>IF(COUNTIFS('Taux'!$A$6:$A$20,A59,'Taux'!$B$6:$B$20,D59)=1,SUMIFS('Taux'!$D$6:$D$20,'Taux'!$A$6:$A$20,A59,'Taux'!$B$6:$B$20,D59),"n.d.")</f>
        <v>7.47595715</v>
      </c>
      <c r="R59" s="22">
        <f>IF(COUNT(F59,Q59)=2,F59/Q59,"n.d.")</f>
        <v>11697.275445191666</v>
      </c>
      <c r="S59" s="22">
        <f>IF(COUNT(M59,Q59)=2,M59/Q59,"n.d.")</f>
        <v>3706.416375059078</v>
      </c>
      <c r="T59" s="24">
        <f>IF(OR(COUNT(F59,M59)&lt;&gt;2,F59=0),"n.d.",M59/F59)</f>
        <v>0.3168615112489852</v>
      </c>
      <c r="U59" s="24">
        <f>IF(OR(COUNT(G59,N59)&lt;&gt;2,G59=0),"n.d.",N59/G59)</f>
        <v>0.12837837837837837</v>
      </c>
      <c r="V59" s="22">
        <v>27709.00999999999</v>
      </c>
      <c r="W59" s="18" t="s">
        <v>220</v>
      </c>
    </row>
    <row r="60" spans="1:23" ht="19" customHeight="1">
      <c r="A60" s="18" t="s">
        <v>13</v>
      </c>
      <c r="B60" s="18" t="s">
        <v>99</v>
      </c>
      <c r="C60" s="18" t="s">
        <v>100</v>
      </c>
      <c r="D60" s="18" t="s">
        <v>21</v>
      </c>
      <c r="E60" s="25">
        <v>46023</v>
      </c>
      <c r="F60" s="22">
        <v>112887.1400000001</v>
      </c>
      <c r="G60" s="26">
        <v>266</v>
      </c>
      <c r="H60" s="22">
        <v>93038.16000000002</v>
      </c>
      <c r="I60" s="23" t="s">
        <v>51</v>
      </c>
      <c r="J60" s="23" t="s">
        <v>51</v>
      </c>
      <c r="K60" s="22">
        <v>0</v>
      </c>
      <c r="L60" s="22">
        <v>13190.5</v>
      </c>
      <c r="M60" s="22">
        <f>V60</f>
        <v>106228.66000000002</v>
      </c>
      <c r="N60" s="26">
        <v>264</v>
      </c>
      <c r="O60" s="22">
        <f>IF(COUNT(F60,M60)=2,F60-M60,"n.d.")</f>
        <v>6658.48000000004</v>
      </c>
      <c r="P60" s="26">
        <f>IF(COUNT(G60,N60)=2,G60-N60,"n.d.")</f>
        <v>2</v>
      </c>
      <c r="Q60" s="27">
        <f>IF(COUNTIFS('Taux'!$A$6:$A$20,A60,'Taux'!$B$6:$B$20,D60)=1,SUMIFS('Taux'!$D$6:$D$20,'Taux'!$A$6:$A$20,A60,'Taux'!$B$6:$B$20,D60),"n.d.")</f>
        <v>10.90384939</v>
      </c>
      <c r="R60" s="22">
        <f>IF(COUNT(F60,Q60)=2,F60/Q60,"n.d.")</f>
        <v>10352.962147801645</v>
      </c>
      <c r="S60" s="22">
        <f>IF(COUNT(M60,Q60)=2,M60/Q60,"n.d.")</f>
        <v>9742.308078596821</v>
      </c>
      <c r="T60" s="24">
        <f>IF(OR(COUNT(F60,M60)&lt;&gt;2,F60=0),"n.d.",M60/F60)</f>
        <v>0.9410164877948007</v>
      </c>
      <c r="U60" s="24">
        <f>IF(OR(COUNT(G60,N60)&lt;&gt;2,G60=0),"n.d.",N60/G60)</f>
        <v>0.9924812030075187</v>
      </c>
      <c r="V60" s="22">
        <v>106228.66</v>
      </c>
      <c r="W60" s="18" t="s">
        <v>221</v>
      </c>
    </row>
    <row r="61" spans="1:23" ht="19" customHeight="1">
      <c r="A61" s="18" t="s">
        <v>13</v>
      </c>
      <c r="B61" s="18" t="s">
        <v>99</v>
      </c>
      <c r="C61" s="18" t="s">
        <v>100</v>
      </c>
      <c r="D61" s="18" t="s">
        <v>21</v>
      </c>
      <c r="E61" s="25">
        <v>46054</v>
      </c>
      <c r="F61" s="22">
        <v>68143.89999999999</v>
      </c>
      <c r="G61" s="26">
        <v>166</v>
      </c>
      <c r="H61" s="22">
        <v>56302.53999999999</v>
      </c>
      <c r="I61" s="23" t="s">
        <v>51</v>
      </c>
      <c r="J61" s="23" t="s">
        <v>51</v>
      </c>
      <c r="K61" s="22">
        <v>0</v>
      </c>
      <c r="L61" s="22">
        <v>11841.36</v>
      </c>
      <c r="M61" s="22">
        <f>V61</f>
        <v>68143.9</v>
      </c>
      <c r="N61" s="26">
        <v>166</v>
      </c>
      <c r="O61" s="22">
        <f>IF(COUNT(F61,M61)=2,F61-M61,"n.d.")</f>
        <v>0.0</v>
      </c>
      <c r="P61" s="26">
        <f>IF(COUNT(G61,N61)=2,G61-N61,"n.d.")</f>
        <v>0</v>
      </c>
      <c r="Q61" s="27">
        <f>IF(COUNTIFS('Taux'!$A$6:$A$20,A61,'Taux'!$B$6:$B$20,D61)=1,SUMIFS('Taux'!$D$6:$D$20,'Taux'!$A$6:$A$20,A61,'Taux'!$B$6:$B$20,D61),"n.d.")</f>
        <v>10.90384939</v>
      </c>
      <c r="R61" s="22">
        <f>IF(COUNT(F61,Q61)=2,F61/Q61,"n.d.")</f>
        <v>6249.526892997556</v>
      </c>
      <c r="S61" s="22">
        <f>IF(COUNT(M61,Q61)=2,M61/Q61,"n.d.")</f>
        <v>6249.526892997556</v>
      </c>
      <c r="T61" s="24">
        <f>IF(OR(COUNT(F61,M61)&lt;&gt;2,F61=0),"n.d.",M61/F61)</f>
        <v>1.0</v>
      </c>
      <c r="U61" s="24">
        <f>IF(OR(COUNT(G61,N61)&lt;&gt;2,G61=0),"n.d.",N61/G61)</f>
        <v>1.0</v>
      </c>
      <c r="V61" s="22">
        <v>68143.89999999999</v>
      </c>
      <c r="W61" s="18" t="s">
        <v>222</v>
      </c>
    </row>
    <row r="62" spans="1:23" ht="19" customHeight="1">
      <c r="A62" s="18" t="s">
        <v>13</v>
      </c>
      <c r="B62" s="18" t="s">
        <v>99</v>
      </c>
      <c r="C62" s="18" t="s">
        <v>100</v>
      </c>
      <c r="D62" s="18" t="s">
        <v>21</v>
      </c>
      <c r="E62" s="25">
        <v>46082</v>
      </c>
      <c r="F62" s="22">
        <v>247666.8200000001</v>
      </c>
      <c r="G62" s="26">
        <v>233</v>
      </c>
      <c r="H62" s="22">
        <v>220801.7900000001</v>
      </c>
      <c r="I62" s="23" t="s">
        <v>51</v>
      </c>
      <c r="J62" s="23" t="s">
        <v>51</v>
      </c>
      <c r="K62" s="22">
        <v>0</v>
      </c>
      <c r="L62" s="22">
        <v>9666.990000000002</v>
      </c>
      <c r="M62" s="22">
        <f>V62</f>
        <v>230468.78000000006</v>
      </c>
      <c r="N62" s="26">
        <v>150</v>
      </c>
      <c r="O62" s="22">
        <f>IF(COUNT(F62,M62)=2,F62-M62,"n.d.")</f>
        <v>17198.040000000037</v>
      </c>
      <c r="P62" s="26">
        <f>IF(COUNT(G62,N62)=2,G62-N62,"n.d.")</f>
        <v>83</v>
      </c>
      <c r="Q62" s="27">
        <f>IF(COUNTIFS('Taux'!$A$6:$A$20,A62,'Taux'!$B$6:$B$20,D62)=1,SUMIFS('Taux'!$D$6:$D$20,'Taux'!$A$6:$A$20,A62,'Taux'!$B$6:$B$20,D62),"n.d.")</f>
        <v>10.90384939</v>
      </c>
      <c r="R62" s="22">
        <f>IF(COUNT(F62,Q62)=2,F62/Q62,"n.d.")</f>
        <v>22713.705145921875</v>
      </c>
      <c r="S62" s="22">
        <f>IF(COUNT(M62,Q62)=2,M62/Q62,"n.d.")</f>
        <v>21136.460323027266</v>
      </c>
      <c r="T62" s="24">
        <f>IF(OR(COUNT(F62,M62)&lt;&gt;2,F62=0),"n.d.",M62/F62)</f>
        <v>0.930559773812253</v>
      </c>
      <c r="U62" s="24">
        <f>IF(OR(COUNT(G62,N62)&lt;&gt;2,G62=0),"n.d.",N62/G62)</f>
        <v>0.6437768240343348</v>
      </c>
      <c r="V62" s="22">
        <v>230468.7800000001</v>
      </c>
      <c r="W62" s="18" t="s">
        <v>223</v>
      </c>
    </row>
    <row r="63" spans="1:23" ht="19" customHeight="1">
      <c r="A63" s="18" t="s">
        <v>13</v>
      </c>
      <c r="B63" s="18" t="s">
        <v>99</v>
      </c>
      <c r="C63" s="18" t="s">
        <v>100</v>
      </c>
      <c r="D63" s="18" t="s">
        <v>21</v>
      </c>
      <c r="E63" s="25">
        <v>46113</v>
      </c>
      <c r="F63" s="22">
        <v>57533.93000000002</v>
      </c>
      <c r="G63" s="26">
        <v>148</v>
      </c>
      <c r="H63" s="22">
        <v>34047.29000000001</v>
      </c>
      <c r="I63" s="23" t="s">
        <v>51</v>
      </c>
      <c r="J63" s="23" t="s">
        <v>51</v>
      </c>
      <c r="K63" s="22">
        <v>0</v>
      </c>
      <c r="L63" s="22">
        <v>5172.250000000001</v>
      </c>
      <c r="M63" s="22">
        <f>V63</f>
        <v>39219.54000000001</v>
      </c>
      <c r="N63" s="26">
        <v>45</v>
      </c>
      <c r="O63" s="22">
        <f>IF(COUNT(F63,M63)=2,F63-M63,"n.d.")</f>
        <v>18314.390000000014</v>
      </c>
      <c r="P63" s="26">
        <f>IF(COUNT(G63,N63)=2,G63-N63,"n.d.")</f>
        <v>103</v>
      </c>
      <c r="Q63" s="27">
        <f>IF(COUNTIFS('Taux'!$A$6:$A$20,A63,'Taux'!$B$6:$B$20,D63)=1,SUMIFS('Taux'!$D$6:$D$20,'Taux'!$A$6:$A$20,A63,'Taux'!$B$6:$B$20,D63),"n.d.")</f>
        <v>10.90384939</v>
      </c>
      <c r="R63" s="22">
        <f>IF(COUNT(F63,Q63)=2,F63/Q63,"n.d.")</f>
        <v>5276.478786726898</v>
      </c>
      <c r="S63" s="22">
        <f>IF(COUNT(M63,Q63)=2,M63/Q63,"n.d.")</f>
        <v>3596.852689103404</v>
      </c>
      <c r="T63" s="24">
        <f>IF(OR(COUNT(F63,M63)&lt;&gt;2,F63=0),"n.d.",M63/F63)</f>
        <v>0.6816767079877908</v>
      </c>
      <c r="U63" s="24">
        <f>IF(OR(COUNT(G63,N63)&lt;&gt;2,G63=0),"n.d.",N63/G63)</f>
        <v>0.30405405405405406</v>
      </c>
      <c r="V63" s="22">
        <v>39219.54000000001</v>
      </c>
      <c r="W63" s="18" t="s">
        <v>224</v>
      </c>
    </row>
    <row r="64" spans="1:23" ht="19" customHeight="1">
      <c r="A64" s="18" t="s">
        <v>13</v>
      </c>
      <c r="B64" s="18" t="s">
        <v>99</v>
      </c>
      <c r="C64" s="18" t="s">
        <v>100</v>
      </c>
      <c r="D64" s="18" t="s">
        <v>21</v>
      </c>
      <c r="E64" s="25">
        <v>46143</v>
      </c>
      <c r="F64" s="22">
        <v>144549.53</v>
      </c>
      <c r="G64" s="26">
        <v>129</v>
      </c>
      <c r="H64" s="22">
        <v>93327.59</v>
      </c>
      <c r="I64" s="23" t="s">
        <v>51</v>
      </c>
      <c r="J64" s="23" t="s">
        <v>51</v>
      </c>
      <c r="K64" s="22">
        <v>0</v>
      </c>
      <c r="L64" s="22">
        <v>22256.82</v>
      </c>
      <c r="M64" s="22">
        <f>V64</f>
        <v>115584.41</v>
      </c>
      <c r="N64" s="26">
        <v>24</v>
      </c>
      <c r="O64" s="22">
        <f>IF(COUNT(F64,M64)=2,F64-M64,"n.d.")</f>
        <v>28965.120000000024</v>
      </c>
      <c r="P64" s="26">
        <f>IF(COUNT(G64,N64)=2,G64-N64,"n.d.")</f>
        <v>105</v>
      </c>
      <c r="Q64" s="27">
        <f>IF(COUNTIFS('Taux'!$A$6:$A$20,A64,'Taux'!$B$6:$B$20,D64)=1,SUMIFS('Taux'!$D$6:$D$20,'Taux'!$A$6:$A$20,A64,'Taux'!$B$6:$B$20,D64),"n.d.")</f>
        <v>10.90384939</v>
      </c>
      <c r="R64" s="22">
        <f>IF(COUNT(F64,Q64)=2,F64/Q64,"n.d.")</f>
        <v>13256.74308492994</v>
      </c>
      <c r="S64" s="22">
        <f>IF(COUNT(M64,Q64)=2,M64/Q64,"n.d.")</f>
        <v>10600.330751633759</v>
      </c>
      <c r="T64" s="24">
        <f>IF(OR(COUNT(F64,M64)&lt;&gt;2,F64=0),"n.d.",M64/F64)</f>
        <v>0.7996180271219144</v>
      </c>
      <c r="U64" s="24">
        <f>IF(OR(COUNT(G64,N64)&lt;&gt;2,G64=0),"n.d.",N64/G64)</f>
        <v>0.18604651162790697</v>
      </c>
      <c r="V64" s="22">
        <v>115584.41</v>
      </c>
      <c r="W64" s="18" t="s">
        <v>225</v>
      </c>
    </row>
    <row r="65" spans="1:23" ht="19" customHeight="1">
      <c r="A65" s="18" t="s">
        <v>13</v>
      </c>
      <c r="B65" s="18" t="s">
        <v>99</v>
      </c>
      <c r="C65" s="18" t="s">
        <v>100</v>
      </c>
      <c r="D65" s="18" t="s">
        <v>21</v>
      </c>
      <c r="E65" s="25">
        <v>46174</v>
      </c>
      <c r="F65" s="22">
        <v>64474.69000000002</v>
      </c>
      <c r="G65" s="26">
        <v>180</v>
      </c>
      <c r="H65" s="22">
        <v>10888.77</v>
      </c>
      <c r="I65" s="23" t="s">
        <v>51</v>
      </c>
      <c r="J65" s="23" t="s">
        <v>51</v>
      </c>
      <c r="K65" s="22">
        <v>0</v>
      </c>
      <c r="L65" s="22">
        <v>2473.89</v>
      </c>
      <c r="M65" s="22">
        <f>V65</f>
        <v>13362.66</v>
      </c>
      <c r="N65" s="26">
        <v>12</v>
      </c>
      <c r="O65" s="22">
        <f>IF(COUNT(F65,M65)=2,F65-M65,"n.d.")</f>
        <v>51112.03000000001</v>
      </c>
      <c r="P65" s="26">
        <f>IF(COUNT(G65,N65)=2,G65-N65,"n.d.")</f>
        <v>168</v>
      </c>
      <c r="Q65" s="27">
        <f>IF(COUNTIFS('Taux'!$A$6:$A$20,A65,'Taux'!$B$6:$B$20,D65)=1,SUMIFS('Taux'!$D$6:$D$20,'Taux'!$A$6:$A$20,A65,'Taux'!$B$6:$B$20,D65),"n.d.")</f>
        <v>10.90384939</v>
      </c>
      <c r="R65" s="22">
        <f>IF(COUNT(F65,Q65)=2,F65/Q65,"n.d.")</f>
        <v>5913.020961123163</v>
      </c>
      <c r="S65" s="22">
        <f>IF(COUNT(M65,Q65)=2,M65/Q65,"n.d.")</f>
        <v>1225.4993188235885</v>
      </c>
      <c r="T65" s="24">
        <f>IF(OR(COUNT(F65,M65)&lt;&gt;2,F65=0),"n.d.",M65/F65)</f>
        <v>0.20725435050560145</v>
      </c>
      <c r="U65" s="24">
        <f>IF(OR(COUNT(G65,N65)&lt;&gt;2,G65=0),"n.d.",N65/G65)</f>
        <v>0.06666666666666667</v>
      </c>
      <c r="V65" s="22">
        <v>13362.66</v>
      </c>
      <c r="W65" s="18" t="s">
        <v>226</v>
      </c>
    </row>
    <row r="66" spans="1:23" ht="19" customHeight="1">
      <c r="A66" s="18" t="s">
        <v>13</v>
      </c>
      <c r="B66" s="18" t="s">
        <v>105</v>
      </c>
      <c r="C66" s="18" t="s">
        <v>106</v>
      </c>
      <c r="D66" s="18" t="s">
        <v>23</v>
      </c>
      <c r="E66" s="25">
        <v>46023</v>
      </c>
      <c r="F66" s="22">
        <v>248370.93</v>
      </c>
      <c r="G66" s="26">
        <v>544</v>
      </c>
      <c r="H66" s="22">
        <v>230915.98</v>
      </c>
      <c r="I66" s="23" t="s">
        <v>51</v>
      </c>
      <c r="J66" s="23" t="s">
        <v>51</v>
      </c>
      <c r="K66" s="22">
        <v>0</v>
      </c>
      <c r="L66" s="22">
        <v>17454.95</v>
      </c>
      <c r="M66" s="22">
        <f>V66</f>
        <v>248370.92999999993</v>
      </c>
      <c r="N66" s="26">
        <v>544</v>
      </c>
      <c r="O66" s="22">
        <f>IF(COUNT(F66,M66)=2,F66-M66,"n.d.")</f>
        <v>2.9103830456733704e-11</v>
      </c>
      <c r="P66" s="26">
        <f>IF(COUNT(G66,N66)=2,G66-N66,"n.d.")</f>
        <v>0</v>
      </c>
      <c r="Q66" s="27">
        <f>IF(COUNTIFS('Taux'!$A$6:$A$20,A66,'Taux'!$B$6:$B$20,D66)=1,SUMIFS('Taux'!$D$6:$D$20,'Taux'!$A$6:$A$20,A66,'Taux'!$B$6:$B$20,D66),"n.d.")</f>
        <v>11.34339828</v>
      </c>
      <c r="R66" s="22">
        <f>IF(COUNT(F66,Q66)=2,F66/Q66,"n.d.")</f>
        <v>21895.636904322815</v>
      </c>
      <c r="S66" s="22">
        <f>IF(COUNT(M66,Q66)=2,M66/Q66,"n.d.")</f>
        <v>21895.63690432281</v>
      </c>
      <c r="T66" s="24">
        <f>IF(OR(COUNT(F66,M66)&lt;&gt;2,F66=0),"n.d.",M66/F66)</f>
        <v>0.9999999999999999</v>
      </c>
      <c r="U66" s="24">
        <f>IF(OR(COUNT(G66,N66)&lt;&gt;2,G66=0),"n.d.",N66/G66)</f>
        <v>1.0</v>
      </c>
      <c r="V66" s="22">
        <v>248370.9299999999</v>
      </c>
      <c r="W66" s="18" t="s">
        <v>227</v>
      </c>
    </row>
    <row r="67" spans="1:23" ht="19" customHeight="1">
      <c r="A67" s="18" t="s">
        <v>13</v>
      </c>
      <c r="B67" s="18" t="s">
        <v>105</v>
      </c>
      <c r="C67" s="18" t="s">
        <v>106</v>
      </c>
      <c r="D67" s="18" t="s">
        <v>23</v>
      </c>
      <c r="E67" s="25">
        <v>46054</v>
      </c>
      <c r="F67" s="22">
        <v>119781.77</v>
      </c>
      <c r="G67" s="26">
        <v>546</v>
      </c>
      <c r="H67" s="22">
        <v>97350.67999999998</v>
      </c>
      <c r="I67" s="23" t="s">
        <v>51</v>
      </c>
      <c r="J67" s="23" t="s">
        <v>51</v>
      </c>
      <c r="K67" s="22">
        <v>0</v>
      </c>
      <c r="L67" s="22">
        <v>22431.09</v>
      </c>
      <c r="M67" s="22">
        <f>V67</f>
        <v>119781.76999999997</v>
      </c>
      <c r="N67" s="26">
        <v>546</v>
      </c>
      <c r="O67" s="22">
        <f>IF(COUNT(F67,M67)=2,F67-M67,"n.d.")</f>
        <v>1.4551915228366852e-11</v>
      </c>
      <c r="P67" s="26">
        <f>IF(COUNT(G67,N67)=2,G67-N67,"n.d.")</f>
        <v>0</v>
      </c>
      <c r="Q67" s="27">
        <f>IF(COUNTIFS('Taux'!$A$6:$A$20,A67,'Taux'!$B$6:$B$20,D67)=1,SUMIFS('Taux'!$D$6:$D$20,'Taux'!$A$6:$A$20,A67,'Taux'!$B$6:$B$20,D67),"n.d.")</f>
        <v>11.34339828</v>
      </c>
      <c r="R67" s="22">
        <f>IF(COUNT(F67,Q67)=2,F67/Q67,"n.d.")</f>
        <v>10559.60189736016</v>
      </c>
      <c r="S67" s="22">
        <f>IF(COUNT(M67,Q67)=2,M67/Q67,"n.d.")</f>
        <v>10559.601897360159</v>
      </c>
      <c r="T67" s="24">
        <f>IF(OR(COUNT(F67,M67)&lt;&gt;2,F67=0),"n.d.",M67/F67)</f>
        <v>0.9999999999999999</v>
      </c>
      <c r="U67" s="24">
        <f>IF(OR(COUNT(G67,N67)&lt;&gt;2,G67=0),"n.d.",N67/G67)</f>
        <v>1.0</v>
      </c>
      <c r="V67" s="22">
        <v>119781.77</v>
      </c>
      <c r="W67" s="18" t="s">
        <v>228</v>
      </c>
    </row>
    <row r="68" spans="1:23" ht="19" customHeight="1">
      <c r="A68" s="18" t="s">
        <v>13</v>
      </c>
      <c r="B68" s="18" t="s">
        <v>105</v>
      </c>
      <c r="C68" s="18" t="s">
        <v>106</v>
      </c>
      <c r="D68" s="18" t="s">
        <v>23</v>
      </c>
      <c r="E68" s="25">
        <v>46082</v>
      </c>
      <c r="F68" s="22">
        <v>720809.2200000002</v>
      </c>
      <c r="G68" s="26">
        <v>657</v>
      </c>
      <c r="H68" s="22">
        <v>294604.2400000002</v>
      </c>
      <c r="I68" s="23" t="s">
        <v>51</v>
      </c>
      <c r="J68" s="23" t="s">
        <v>51</v>
      </c>
      <c r="K68" s="22">
        <v>0</v>
      </c>
      <c r="L68" s="22">
        <v>424288.25</v>
      </c>
      <c r="M68" s="22">
        <f>V68</f>
        <v>718892.4900000002</v>
      </c>
      <c r="N68" s="26">
        <v>634</v>
      </c>
      <c r="O68" s="22">
        <f>IF(COUNT(F68,M68)=2,F68-M68,"n.d.")</f>
        <v>1916.7299999999814</v>
      </c>
      <c r="P68" s="26">
        <f>IF(COUNT(G68,N68)=2,G68-N68,"n.d.")</f>
        <v>23</v>
      </c>
      <c r="Q68" s="27">
        <f>IF(COUNTIFS('Taux'!$A$6:$A$20,A68,'Taux'!$B$6:$B$20,D68)=1,SUMIFS('Taux'!$D$6:$D$20,'Taux'!$A$6:$A$20,A68,'Taux'!$B$6:$B$20,D68),"n.d.")</f>
        <v>11.34339828</v>
      </c>
      <c r="R68" s="22">
        <f>IF(COUNT(F68,Q68)=2,F68/Q68,"n.d.")</f>
        <v>63544.38081142648</v>
      </c>
      <c r="S68" s="22">
        <f>IF(COUNT(M68,Q68)=2,M68/Q68,"n.d.")</f>
        <v>63375.40763842422</v>
      </c>
      <c r="T68" s="24">
        <f>IF(OR(COUNT(F68,M68)&lt;&gt;2,F68=0),"n.d.",M68/F68)</f>
        <v>0.9973408636476654</v>
      </c>
      <c r="U68" s="24">
        <f>IF(OR(COUNT(G68,N68)&lt;&gt;2,G68=0),"n.d.",N68/G68)</f>
        <v>0.9649923896499238</v>
      </c>
      <c r="V68" s="22">
        <v>718892.4900000002</v>
      </c>
      <c r="W68" s="18" t="s">
        <v>229</v>
      </c>
    </row>
    <row r="69" spans="1:23" ht="19" customHeight="1">
      <c r="A69" s="18" t="s">
        <v>13</v>
      </c>
      <c r="B69" s="18" t="s">
        <v>105</v>
      </c>
      <c r="C69" s="18" t="s">
        <v>106</v>
      </c>
      <c r="D69" s="18" t="s">
        <v>23</v>
      </c>
      <c r="E69" s="25">
        <v>46113</v>
      </c>
      <c r="F69" s="22">
        <v>384234.17</v>
      </c>
      <c r="G69" s="26">
        <v>601</v>
      </c>
      <c r="H69" s="22">
        <v>367142.1100000003</v>
      </c>
      <c r="I69" s="23" t="s">
        <v>51</v>
      </c>
      <c r="J69" s="23" t="s">
        <v>51</v>
      </c>
      <c r="K69" s="22">
        <v>0</v>
      </c>
      <c r="L69" s="22">
        <v>12497.66</v>
      </c>
      <c r="M69" s="22">
        <f>V69</f>
        <v>379639.77000000025</v>
      </c>
      <c r="N69" s="26">
        <v>559</v>
      </c>
      <c r="O69" s="22">
        <f>IF(COUNT(F69,M69)=2,F69-M69,"n.d.")</f>
        <v>4594.39999999979</v>
      </c>
      <c r="P69" s="26">
        <f>IF(COUNT(G69,N69)=2,G69-N69,"n.d.")</f>
        <v>42</v>
      </c>
      <c r="Q69" s="27">
        <f>IF(COUNTIFS('Taux'!$A$6:$A$20,A69,'Taux'!$B$6:$B$20,D69)=1,SUMIFS('Taux'!$D$6:$D$20,'Taux'!$A$6:$A$20,A69,'Taux'!$B$6:$B$20,D69),"n.d.")</f>
        <v>11.34339828</v>
      </c>
      <c r="R69" s="22">
        <f>IF(COUNT(F69,Q69)=2,F69/Q69,"n.d.")</f>
        <v>33872.93300610441</v>
      </c>
      <c r="S69" s="22">
        <f>IF(COUNT(M69,Q69)=2,M69/Q69,"n.d.")</f>
        <v>33467.90446998218</v>
      </c>
      <c r="T69" s="24">
        <f>IF(OR(COUNT(F69,M69)&lt;&gt;2,F69=0),"n.d.",M69/F69)</f>
        <v>0.9880427084348073</v>
      </c>
      <c r="U69" s="24">
        <f>IF(OR(COUNT(G69,N69)&lt;&gt;2,G69=0),"n.d.",N69/G69)</f>
        <v>0.930116472545757</v>
      </c>
      <c r="V69" s="22">
        <v>379639.7700000003</v>
      </c>
      <c r="W69" s="18" t="s">
        <v>230</v>
      </c>
    </row>
    <row r="70" spans="1:23" ht="19" customHeight="1">
      <c r="A70" s="18" t="s">
        <v>13</v>
      </c>
      <c r="B70" s="18" t="s">
        <v>105</v>
      </c>
      <c r="C70" s="18" t="s">
        <v>106</v>
      </c>
      <c r="D70" s="18" t="s">
        <v>23</v>
      </c>
      <c r="E70" s="25">
        <v>46143</v>
      </c>
      <c r="F70" s="22">
        <v>137125.2699999999</v>
      </c>
      <c r="G70" s="26">
        <v>518</v>
      </c>
      <c r="H70" s="22">
        <v>125498.9999999999</v>
      </c>
      <c r="I70" s="23" t="s">
        <v>51</v>
      </c>
      <c r="J70" s="23" t="s">
        <v>51</v>
      </c>
      <c r="K70" s="22">
        <v>0</v>
      </c>
      <c r="L70" s="22">
        <v>5375.139999999999</v>
      </c>
      <c r="M70" s="22">
        <f>V70</f>
        <v>130874.1399999999</v>
      </c>
      <c r="N70" s="26">
        <v>463</v>
      </c>
      <c r="O70" s="22">
        <f>IF(COUNT(F70,M70)=2,F70-M70,"n.d.")</f>
        <v>6251.130000000005</v>
      </c>
      <c r="P70" s="26">
        <f>IF(COUNT(G70,N70)=2,G70-N70,"n.d.")</f>
        <v>55</v>
      </c>
      <c r="Q70" s="27">
        <f>IF(COUNTIFS('Taux'!$A$6:$A$20,A70,'Taux'!$B$6:$B$20,D70)=1,SUMIFS('Taux'!$D$6:$D$20,'Taux'!$A$6:$A$20,A70,'Taux'!$B$6:$B$20,D70),"n.d.")</f>
        <v>11.34339828</v>
      </c>
      <c r="R70" s="22">
        <f>IF(COUNT(F70,Q70)=2,F70/Q70,"n.d.")</f>
        <v>12088.55288470043</v>
      </c>
      <c r="S70" s="22">
        <f>IF(COUNT(M70,Q70)=2,M70/Q70,"n.d.")</f>
        <v>11537.471996443017</v>
      </c>
      <c r="T70" s="24">
        <f>IF(OR(COUNT(F70,M70)&lt;&gt;2,F70=0),"n.d.",M70/F70)</f>
        <v>0.9544129976918185</v>
      </c>
      <c r="U70" s="24">
        <f>IF(OR(COUNT(G70,N70)&lt;&gt;2,G70=0),"n.d.",N70/G70)</f>
        <v>0.8938223938223938</v>
      </c>
      <c r="V70" s="22">
        <v>130874.1399999999</v>
      </c>
      <c r="W70" s="18" t="s">
        <v>231</v>
      </c>
    </row>
    <row r="71" spans="1:23" ht="19" customHeight="1">
      <c r="A71" s="18" t="s">
        <v>13</v>
      </c>
      <c r="B71" s="18" t="s">
        <v>105</v>
      </c>
      <c r="C71" s="18" t="s">
        <v>106</v>
      </c>
      <c r="D71" s="18" t="s">
        <v>23</v>
      </c>
      <c r="E71" s="25">
        <v>46174</v>
      </c>
      <c r="F71" s="22">
        <v>277595.5899999997</v>
      </c>
      <c r="G71" s="26">
        <v>635</v>
      </c>
      <c r="H71" s="22">
        <v>124033.42</v>
      </c>
      <c r="I71" s="23" t="s">
        <v>51</v>
      </c>
      <c r="J71" s="23" t="s">
        <v>51</v>
      </c>
      <c r="K71" s="22">
        <v>0</v>
      </c>
      <c r="L71" s="22">
        <v>9680.370000000001</v>
      </c>
      <c r="M71" s="22">
        <f>V71</f>
        <v>133713.79000000004</v>
      </c>
      <c r="N71" s="26">
        <v>268</v>
      </c>
      <c r="O71" s="22">
        <f>IF(COUNT(F71,M71)=2,F71-M71,"n.d.")</f>
        <v>143881.7999999997</v>
      </c>
      <c r="P71" s="26">
        <f>IF(COUNT(G71,N71)=2,G71-N71,"n.d.")</f>
        <v>367</v>
      </c>
      <c r="Q71" s="27">
        <f>IF(COUNTIFS('Taux'!$A$6:$A$20,A71,'Taux'!$B$6:$B$20,D71)=1,SUMIFS('Taux'!$D$6:$D$20,'Taux'!$A$6:$A$20,A71,'Taux'!$B$6:$B$20,D71),"n.d.")</f>
        <v>11.34339828</v>
      </c>
      <c r="R71" s="22">
        <f>IF(COUNT(F71,Q71)=2,F71/Q71,"n.d.")</f>
        <v>24471.99535340654</v>
      </c>
      <c r="S71" s="22">
        <f>IF(COUNT(M71,Q71)=2,M71/Q71,"n.d.")</f>
        <v>11787.807030963215</v>
      </c>
      <c r="T71" s="24">
        <f>IF(OR(COUNT(F71,M71)&lt;&gt;2,F71=0),"n.d.",M71/F71)</f>
        <v>0.48168557000491313</v>
      </c>
      <c r="U71" s="24">
        <f>IF(OR(COUNT(G71,N71)&lt;&gt;2,G71=0),"n.d.",N71/G71)</f>
        <v>0.4220472440944882</v>
      </c>
      <c r="V71" s="22">
        <v>133713.79</v>
      </c>
      <c r="W71" s="18" t="s">
        <v>232</v>
      </c>
    </row>
    <row r="72" spans="1:23" ht="19" customHeight="1">
      <c r="A72" s="18" t="s">
        <v>13</v>
      </c>
      <c r="B72" s="18" t="s">
        <v>233</v>
      </c>
      <c r="C72" s="18" t="s">
        <v>234</v>
      </c>
      <c r="D72" s="18" t="s">
        <v>14</v>
      </c>
      <c r="E72" s="25">
        <v>46023</v>
      </c>
      <c r="F72" s="22">
        <v>11067.1</v>
      </c>
      <c r="G72" s="26">
        <v>117</v>
      </c>
      <c r="H72" s="23" t="s">
        <v>51</v>
      </c>
      <c r="I72" s="23" t="s">
        <v>51</v>
      </c>
      <c r="J72" s="23" t="s">
        <v>51</v>
      </c>
      <c r="K72" s="23" t="s">
        <v>51</v>
      </c>
      <c r="L72" s="23" t="s">
        <v>51</v>
      </c>
      <c r="M72" s="22">
        <f>IF(COUNT()=0,SUM(),"n.d.")</f>
        <v>0</v>
      </c>
      <c r="N72" s="23" t="s">
        <v>51</v>
      </c>
      <c r="O72" s="22">
        <f>IF(COUNT(F72,M72)=2,F72-M72,"n.d.")</f>
        <v>11067.100000000002</v>
      </c>
      <c r="P72" s="26" t="str">
        <f>IF(COUNT(G72,N72)=2,G72-N72,"n.d.")</f>
        <v>n.d.</v>
      </c>
      <c r="Q72" s="27">
        <f>IF(COUNTIFS('Taux'!$A$6:$A$20,A72,'Taux'!$B$6:$B$20,D72)=1,SUMIFS('Taux'!$D$6:$D$20,'Taux'!$A$6:$A$20,A72,'Taux'!$B$6:$B$20,D72),"n.d.")</f>
        <v>5.855892595</v>
      </c>
      <c r="R72" s="22">
        <f>IF(COUNT(F72,Q72)=2,F72/Q72,"n.d.")</f>
        <v>1889.9082967214158</v>
      </c>
      <c r="S72" s="22">
        <f>IF(COUNT(M72,Q72)=2,M72/Q72,"n.d.")</f>
        <v>0.0</v>
      </c>
      <c r="T72" s="24">
        <f>IF(OR(COUNT(F72,M72)&lt;&gt;2,F72=0),"n.d.",M72/F72)</f>
        <v>0.0</v>
      </c>
      <c r="U72" s="24" t="str">
        <f>IF(OR(COUNT(G72,N72)&lt;&gt;2,G72=0),"n.d.",N72/G72)</f>
        <v>n.d.</v>
      </c>
      <c r="V72" s="23" t="s">
        <v>51</v>
      </c>
      <c r="W72" s="18" t="s">
        <v>235</v>
      </c>
    </row>
    <row r="73" spans="1:23" ht="19" customHeight="1">
      <c r="A73" s="18" t="s">
        <v>13</v>
      </c>
      <c r="B73" s="18" t="s">
        <v>233</v>
      </c>
      <c r="C73" s="18" t="s">
        <v>234</v>
      </c>
      <c r="D73" s="18" t="s">
        <v>14</v>
      </c>
      <c r="E73" s="25">
        <v>46054</v>
      </c>
      <c r="F73" s="22">
        <v>23365.01</v>
      </c>
      <c r="G73" s="26">
        <v>252</v>
      </c>
      <c r="H73" s="23" t="s">
        <v>51</v>
      </c>
      <c r="I73" s="23" t="s">
        <v>51</v>
      </c>
      <c r="J73" s="23" t="s">
        <v>51</v>
      </c>
      <c r="K73" s="23" t="s">
        <v>51</v>
      </c>
      <c r="L73" s="23" t="s">
        <v>51</v>
      </c>
      <c r="M73" s="22">
        <f>IF(COUNT()=0,SUM(),"n.d.")</f>
        <v>0</v>
      </c>
      <c r="N73" s="23" t="s">
        <v>51</v>
      </c>
      <c r="O73" s="22">
        <f>IF(COUNT(F73,M73)=2,F73-M73,"n.d.")</f>
        <v>23365.010000000002</v>
      </c>
      <c r="P73" s="26" t="str">
        <f>IF(COUNT(G73,N73)=2,G73-N73,"n.d.")</f>
        <v>n.d.</v>
      </c>
      <c r="Q73" s="27">
        <f>IF(COUNTIFS('Taux'!$A$6:$A$20,A73,'Taux'!$B$6:$B$20,D73)=1,SUMIFS('Taux'!$D$6:$D$20,'Taux'!$A$6:$A$20,A73,'Taux'!$B$6:$B$20,D73),"n.d.")</f>
        <v>5.855892595</v>
      </c>
      <c r="R73" s="22">
        <f>IF(COUNT(F73,Q73)=2,F73/Q73,"n.d.")</f>
        <v>3989.999751694558</v>
      </c>
      <c r="S73" s="22">
        <f>IF(COUNT(M73,Q73)=2,M73/Q73,"n.d.")</f>
        <v>0.0</v>
      </c>
      <c r="T73" s="24">
        <f>IF(OR(COUNT(F73,M73)&lt;&gt;2,F73=0),"n.d.",M73/F73)</f>
        <v>0.0</v>
      </c>
      <c r="U73" s="24" t="str">
        <f>IF(OR(COUNT(G73,N73)&lt;&gt;2,G73=0),"n.d.",N73/G73)</f>
        <v>n.d.</v>
      </c>
      <c r="V73" s="23" t="s">
        <v>51</v>
      </c>
      <c r="W73" s="18" t="s">
        <v>236</v>
      </c>
    </row>
    <row r="74" spans="1:23" ht="19" customHeight="1">
      <c r="A74" s="18" t="s">
        <v>13</v>
      </c>
      <c r="B74" s="18" t="s">
        <v>233</v>
      </c>
      <c r="C74" s="18" t="s">
        <v>234</v>
      </c>
      <c r="D74" s="18" t="s">
        <v>14</v>
      </c>
      <c r="E74" s="25">
        <v>46082</v>
      </c>
      <c r="F74" s="22">
        <v>4780.95</v>
      </c>
      <c r="G74" s="26">
        <v>77</v>
      </c>
      <c r="H74" s="23" t="s">
        <v>51</v>
      </c>
      <c r="I74" s="23" t="s">
        <v>51</v>
      </c>
      <c r="J74" s="23" t="s">
        <v>51</v>
      </c>
      <c r="K74" s="23" t="s">
        <v>51</v>
      </c>
      <c r="L74" s="23" t="s">
        <v>51</v>
      </c>
      <c r="M74" s="22">
        <f>IF(COUNT()=0,SUM(),"n.d.")</f>
        <v>0</v>
      </c>
      <c r="N74" s="23" t="s">
        <v>51</v>
      </c>
      <c r="O74" s="22">
        <f>IF(COUNT(F74,M74)=2,F74-M74,"n.d.")</f>
        <v>4780.95</v>
      </c>
      <c r="P74" s="26" t="str">
        <f>IF(COUNT(G74,N74)=2,G74-N74,"n.d.")</f>
        <v>n.d.</v>
      </c>
      <c r="Q74" s="27">
        <f>IF(COUNTIFS('Taux'!$A$6:$A$20,A74,'Taux'!$B$6:$B$20,D74)=1,SUMIFS('Taux'!$D$6:$D$20,'Taux'!$A$6:$A$20,A74,'Taux'!$B$6:$B$20,D74),"n.d.")</f>
        <v>5.855892595</v>
      </c>
      <c r="R74" s="22">
        <f>IF(COUNT(F74,Q74)=2,F74/Q74,"n.d.")</f>
        <v>816.4340316081224</v>
      </c>
      <c r="S74" s="22">
        <f>IF(COUNT(M74,Q74)=2,M74/Q74,"n.d.")</f>
        <v>0.0</v>
      </c>
      <c r="T74" s="24">
        <f>IF(OR(COUNT(F74,M74)&lt;&gt;2,F74=0),"n.d.",M74/F74)</f>
        <v>0.0</v>
      </c>
      <c r="U74" s="24" t="str">
        <f>IF(OR(COUNT(G74,N74)&lt;&gt;2,G74=0),"n.d.",N74/G74)</f>
        <v>n.d.</v>
      </c>
      <c r="V74" s="23" t="s">
        <v>51</v>
      </c>
      <c r="W74" s="18" t="s">
        <v>237</v>
      </c>
    </row>
    <row r="75" spans="1:23" ht="19" customHeight="1">
      <c r="A75" s="18" t="s">
        <v>13</v>
      </c>
      <c r="B75" s="18" t="s">
        <v>233</v>
      </c>
      <c r="C75" s="18" t="s">
        <v>234</v>
      </c>
      <c r="D75" s="18" t="s">
        <v>14</v>
      </c>
      <c r="E75" s="25">
        <v>46113</v>
      </c>
      <c r="F75" s="22">
        <v>13189.55</v>
      </c>
      <c r="G75" s="26">
        <v>147</v>
      </c>
      <c r="H75" s="23" t="s">
        <v>51</v>
      </c>
      <c r="I75" s="23" t="s">
        <v>51</v>
      </c>
      <c r="J75" s="23" t="s">
        <v>51</v>
      </c>
      <c r="K75" s="23" t="s">
        <v>51</v>
      </c>
      <c r="L75" s="23" t="s">
        <v>51</v>
      </c>
      <c r="M75" s="22">
        <f>IF(COUNT()=0,SUM(),"n.d.")</f>
        <v>0</v>
      </c>
      <c r="N75" s="23" t="s">
        <v>51</v>
      </c>
      <c r="O75" s="22">
        <f>IF(COUNT(F75,M75)=2,F75-M75,"n.d.")</f>
        <v>13189.550000000003</v>
      </c>
      <c r="P75" s="26" t="str">
        <f>IF(COUNT(G75,N75)=2,G75-N75,"n.d.")</f>
        <v>n.d.</v>
      </c>
      <c r="Q75" s="27">
        <f>IF(COUNTIFS('Taux'!$A$6:$A$20,A75,'Taux'!$B$6:$B$20,D75)=1,SUMIFS('Taux'!$D$6:$D$20,'Taux'!$A$6:$A$20,A75,'Taux'!$B$6:$B$20,D75),"n.d.")</f>
        <v>5.855892595</v>
      </c>
      <c r="R75" s="22">
        <f>IF(COUNT(F75,Q75)=2,F75/Q75,"n.d.")</f>
        <v>2252.355176606514</v>
      </c>
      <c r="S75" s="22">
        <f>IF(COUNT(M75,Q75)=2,M75/Q75,"n.d.")</f>
        <v>0.0</v>
      </c>
      <c r="T75" s="24">
        <f>IF(OR(COUNT(F75,M75)&lt;&gt;2,F75=0),"n.d.",M75/F75)</f>
        <v>0.0</v>
      </c>
      <c r="U75" s="24" t="str">
        <f>IF(OR(COUNT(G75,N75)&lt;&gt;2,G75=0),"n.d.",N75/G75)</f>
        <v>n.d.</v>
      </c>
      <c r="V75" s="23" t="s">
        <v>51</v>
      </c>
      <c r="W75" s="18" t="s">
        <v>238</v>
      </c>
    </row>
    <row r="76" spans="1:23" ht="19" customHeight="1">
      <c r="A76" s="18" t="s">
        <v>13</v>
      </c>
      <c r="B76" s="18" t="s">
        <v>233</v>
      </c>
      <c r="C76" s="18" t="s">
        <v>234</v>
      </c>
      <c r="D76" s="18" t="s">
        <v>14</v>
      </c>
      <c r="E76" s="25">
        <v>46143</v>
      </c>
      <c r="F76" s="22">
        <v>12349.76</v>
      </c>
      <c r="G76" s="26">
        <v>60</v>
      </c>
      <c r="H76" s="23" t="s">
        <v>51</v>
      </c>
      <c r="I76" s="23" t="s">
        <v>51</v>
      </c>
      <c r="J76" s="23" t="s">
        <v>51</v>
      </c>
      <c r="K76" s="23" t="s">
        <v>51</v>
      </c>
      <c r="L76" s="23" t="s">
        <v>51</v>
      </c>
      <c r="M76" s="22">
        <f>IF(COUNT()=0,SUM(),"n.d.")</f>
        <v>0</v>
      </c>
      <c r="N76" s="23" t="s">
        <v>51</v>
      </c>
      <c r="O76" s="22">
        <f>IF(COUNT(F76,M76)=2,F76-M76,"n.d.")</f>
        <v>12349.759999999998</v>
      </c>
      <c r="P76" s="26" t="str">
        <f>IF(COUNT(G76,N76)=2,G76-N76,"n.d.")</f>
        <v>n.d.</v>
      </c>
      <c r="Q76" s="27">
        <f>IF(COUNTIFS('Taux'!$A$6:$A$20,A76,'Taux'!$B$6:$B$20,D76)=1,SUMIFS('Taux'!$D$6:$D$20,'Taux'!$A$6:$A$20,A76,'Taux'!$B$6:$B$20,D76),"n.d.")</f>
        <v>5.855892595</v>
      </c>
      <c r="R76" s="22">
        <f>IF(COUNT(F76,Q76)=2,F76/Q76,"n.d.")</f>
        <v>2108.945784037215</v>
      </c>
      <c r="S76" s="22">
        <f>IF(COUNT(M76,Q76)=2,M76/Q76,"n.d.")</f>
        <v>0.0</v>
      </c>
      <c r="T76" s="24">
        <f>IF(OR(COUNT(F76,M76)&lt;&gt;2,F76=0),"n.d.",M76/F76)</f>
        <v>0.0</v>
      </c>
      <c r="U76" s="24" t="str">
        <f>IF(OR(COUNT(G76,N76)&lt;&gt;2,G76=0),"n.d.",N76/G76)</f>
        <v>n.d.</v>
      </c>
      <c r="V76" s="23" t="s">
        <v>51</v>
      </c>
      <c r="W76" s="18" t="s">
        <v>239</v>
      </c>
    </row>
    <row r="77" spans="1:23" ht="19" customHeight="1">
      <c r="A77" s="18" t="s">
        <v>13</v>
      </c>
      <c r="B77" s="18" t="s">
        <v>233</v>
      </c>
      <c r="C77" s="18" t="s">
        <v>234</v>
      </c>
      <c r="D77" s="18" t="s">
        <v>14</v>
      </c>
      <c r="E77" s="25">
        <v>46174</v>
      </c>
      <c r="F77" s="22">
        <v>1315.139999999999</v>
      </c>
      <c r="G77" s="26">
        <v>160</v>
      </c>
      <c r="H77" s="23" t="s">
        <v>51</v>
      </c>
      <c r="I77" s="23" t="s">
        <v>51</v>
      </c>
      <c r="J77" s="23" t="s">
        <v>51</v>
      </c>
      <c r="K77" s="23" t="s">
        <v>51</v>
      </c>
      <c r="L77" s="23" t="s">
        <v>51</v>
      </c>
      <c r="M77" s="22">
        <f>IF(COUNT()=0,SUM(),"n.d.")</f>
        <v>0</v>
      </c>
      <c r="N77" s="23" t="s">
        <v>51</v>
      </c>
      <c r="O77" s="22">
        <f>IF(COUNT(F77,M77)=2,F77-M77,"n.d.")</f>
        <v>1315.139999999999</v>
      </c>
      <c r="P77" s="26" t="str">
        <f>IF(COUNT(G77,N77)=2,G77-N77,"n.d.")</f>
        <v>n.d.</v>
      </c>
      <c r="Q77" s="27">
        <f>IF(COUNTIFS('Taux'!$A$6:$A$20,A77,'Taux'!$B$6:$B$20,D77)=1,SUMIFS('Taux'!$D$6:$D$20,'Taux'!$A$6:$A$20,A77,'Taux'!$B$6:$B$20,D77),"n.d.")</f>
        <v>5.855892595</v>
      </c>
      <c r="R77" s="22">
        <f>IF(COUNT(F77,Q77)=2,F77/Q77,"n.d.")</f>
        <v>224.58403713260026</v>
      </c>
      <c r="S77" s="22">
        <f>IF(COUNT(M77,Q77)=2,M77/Q77,"n.d.")</f>
        <v>0.0</v>
      </c>
      <c r="T77" s="24">
        <f>IF(OR(COUNT(F77,M77)&lt;&gt;2,F77=0),"n.d.",M77/F77)</f>
        <v>0.0</v>
      </c>
      <c r="U77" s="24" t="str">
        <f>IF(OR(COUNT(G77,N77)&lt;&gt;2,G77=0),"n.d.",N77/G77)</f>
        <v>n.d.</v>
      </c>
      <c r="V77" s="23" t="s">
        <v>51</v>
      </c>
      <c r="W77" s="18" t="s">
        <v>240</v>
      </c>
    </row>
    <row r="78" spans="1:23" ht="19" customHeight="1">
      <c r="A78" s="18" t="s">
        <v>13</v>
      </c>
      <c r="B78" s="18" t="s">
        <v>111</v>
      </c>
      <c r="C78" s="18" t="s">
        <v>112</v>
      </c>
      <c r="D78" s="18" t="s">
        <v>25</v>
      </c>
      <c r="E78" s="25">
        <v>46023</v>
      </c>
      <c r="F78" s="22">
        <v>3011740.890000002</v>
      </c>
      <c r="G78" s="26">
        <v>15986</v>
      </c>
      <c r="H78" s="22">
        <v>1918665.800000001</v>
      </c>
      <c r="I78" s="22">
        <v>0</v>
      </c>
      <c r="J78" s="22">
        <v>36987.21000000012</v>
      </c>
      <c r="K78" s="23" t="s">
        <v>51</v>
      </c>
      <c r="L78" s="23" t="s">
        <v>51</v>
      </c>
      <c r="M78" s="22">
        <f>V78</f>
        <v>1955653.0100000016</v>
      </c>
      <c r="N78" s="26">
        <v>13668</v>
      </c>
      <c r="O78" s="22">
        <f>IF(COUNT(F78,M78)=2,F78-M78,"n.d.")</f>
        <v>1056087.8800000008</v>
      </c>
      <c r="P78" s="26">
        <f>IF(COUNT(G78,N78)=2,G78-N78,"n.d.")</f>
        <v>2318</v>
      </c>
      <c r="Q78" s="27">
        <f>IF(COUNTIFS('Taux'!$A$6:$A$20,A78,'Taux'!$B$6:$B$20,D78)=1,SUMIFS('Taux'!$D$6:$D$20,'Taux'!$A$6:$A$20,A78,'Taux'!$B$6:$B$20,D78),"n.d.")</f>
        <v>18.58943911</v>
      </c>
      <c r="R78" s="22">
        <f>IF(COUNT(F78,Q78)=2,F78/Q78,"n.d.")</f>
        <v>162013.5428604657</v>
      </c>
      <c r="S78" s="22">
        <f>IF(COUNT(M78,Q78)=2,M78/Q78,"n.d.")</f>
        <v>105202.36777601202</v>
      </c>
      <c r="T78" s="24">
        <f>IF(OR(COUNT(F78,M78)&lt;&gt;2,F78=0),"n.d.",M78/F78)</f>
        <v>0.6493430482328113</v>
      </c>
      <c r="U78" s="24">
        <f>IF(OR(COUNT(G78,N78)&lt;&gt;2,G78=0),"n.d.",N78/G78)</f>
        <v>0.8549981233579382</v>
      </c>
      <c r="V78" s="22">
        <v>1955653.010000002</v>
      </c>
      <c r="W78" s="18" t="s">
        <v>241</v>
      </c>
    </row>
    <row r="79" spans="1:23" ht="19" customHeight="1">
      <c r="A79" s="18" t="s">
        <v>13</v>
      </c>
      <c r="B79" s="18" t="s">
        <v>111</v>
      </c>
      <c r="C79" s="18" t="s">
        <v>112</v>
      </c>
      <c r="D79" s="18" t="s">
        <v>25</v>
      </c>
      <c r="E79" s="25">
        <v>46054</v>
      </c>
      <c r="F79" s="22">
        <v>3204444.210000011</v>
      </c>
      <c r="G79" s="26">
        <v>15076</v>
      </c>
      <c r="H79" s="22">
        <v>2062472.940000003</v>
      </c>
      <c r="I79" s="22">
        <v>0</v>
      </c>
      <c r="J79" s="22">
        <v>35180.93999999989</v>
      </c>
      <c r="K79" s="23" t="s">
        <v>51</v>
      </c>
      <c r="L79" s="23" t="s">
        <v>51</v>
      </c>
      <c r="M79" s="22">
        <f>V79</f>
        <v>2097653.8800000027</v>
      </c>
      <c r="N79" s="26">
        <v>12514</v>
      </c>
      <c r="O79" s="22">
        <f>IF(COUNT(F79,M79)=2,F79-M79,"n.d.")</f>
        <v>1106790.3300000085</v>
      </c>
      <c r="P79" s="26">
        <f>IF(COUNT(G79,N79)=2,G79-N79,"n.d.")</f>
        <v>2562</v>
      </c>
      <c r="Q79" s="27">
        <f>IF(COUNTIFS('Taux'!$A$6:$A$20,A79,'Taux'!$B$6:$B$20,D79)=1,SUMIFS('Taux'!$D$6:$D$20,'Taux'!$A$6:$A$20,A79,'Taux'!$B$6:$B$20,D79),"n.d.")</f>
        <v>18.58943911</v>
      </c>
      <c r="R79" s="22">
        <f>IF(COUNT(F79,Q79)=2,F79/Q79,"n.d.")</f>
        <v>172379.82227641353</v>
      </c>
      <c r="S79" s="22">
        <f>IF(COUNT(M79,Q79)=2,M79/Q79,"n.d.")</f>
        <v>112841.16038076647</v>
      </c>
      <c r="T79" s="24">
        <f>IF(OR(COUNT(F79,M79)&lt;&gt;2,F79=0),"n.d.",M79/F79)</f>
        <v>0.6546077080867623</v>
      </c>
      <c r="U79" s="24">
        <f>IF(OR(COUNT(G79,N79)&lt;&gt;2,G79=0),"n.d.",N79/G79)</f>
        <v>0.8300610241443354</v>
      </c>
      <c r="V79" s="22">
        <v>2097653.880000003</v>
      </c>
      <c r="W79" s="18" t="s">
        <v>242</v>
      </c>
    </row>
    <row r="80" spans="1:23" ht="19" customHeight="1">
      <c r="A80" s="18" t="s">
        <v>13</v>
      </c>
      <c r="B80" s="18" t="s">
        <v>111</v>
      </c>
      <c r="C80" s="18" t="s">
        <v>112</v>
      </c>
      <c r="D80" s="18" t="s">
        <v>25</v>
      </c>
      <c r="E80" s="25">
        <v>46082</v>
      </c>
      <c r="F80" s="22">
        <v>3967369.499999995</v>
      </c>
      <c r="G80" s="26">
        <v>20647</v>
      </c>
      <c r="H80" s="22">
        <v>2223180.750000002</v>
      </c>
      <c r="I80" s="22">
        <v>0</v>
      </c>
      <c r="J80" s="22">
        <v>43750.53999999986</v>
      </c>
      <c r="K80" s="23" t="s">
        <v>51</v>
      </c>
      <c r="L80" s="23" t="s">
        <v>51</v>
      </c>
      <c r="M80" s="22">
        <f>V80</f>
        <v>2266931.2900000024</v>
      </c>
      <c r="N80" s="26">
        <v>16381</v>
      </c>
      <c r="O80" s="22">
        <f>IF(COUNT(F80,M80)=2,F80-M80,"n.d.")</f>
        <v>1700438.209999993</v>
      </c>
      <c r="P80" s="26">
        <f>IF(COUNT(G80,N80)=2,G80-N80,"n.d.")</f>
        <v>4266</v>
      </c>
      <c r="Q80" s="27">
        <f>IF(COUNTIFS('Taux'!$A$6:$A$20,A80,'Taux'!$B$6:$B$20,D80)=1,SUMIFS('Taux'!$D$6:$D$20,'Taux'!$A$6:$A$20,A80,'Taux'!$B$6:$B$20,D80),"n.d.")</f>
        <v>18.58943911</v>
      </c>
      <c r="R80" s="22">
        <f>IF(COUNT(F80,Q80)=2,F80/Q80,"n.d.")</f>
        <v>213420.61352812895</v>
      </c>
      <c r="S80" s="22">
        <f>IF(COUNT(M80,Q80)=2,M80/Q80,"n.d.")</f>
        <v>121947.26675645258</v>
      </c>
      <c r="T80" s="24">
        <f>IF(OR(COUNT(F80,M80)&lt;&gt;2,F80=0),"n.d.",M80/F80)</f>
        <v>0.5713940408121817</v>
      </c>
      <c r="U80" s="24">
        <f>IF(OR(COUNT(G80,N80)&lt;&gt;2,G80=0),"n.d.",N80/G80)</f>
        <v>0.7933840267351189</v>
      </c>
      <c r="V80" s="22">
        <v>2266931.290000002</v>
      </c>
      <c r="W80" s="18" t="s">
        <v>243</v>
      </c>
    </row>
    <row r="81" spans="1:23" ht="19" customHeight="1">
      <c r="A81" s="18" t="s">
        <v>13</v>
      </c>
      <c r="B81" s="18" t="s">
        <v>111</v>
      </c>
      <c r="C81" s="18" t="s">
        <v>112</v>
      </c>
      <c r="D81" s="18" t="s">
        <v>25</v>
      </c>
      <c r="E81" s="25">
        <v>46113</v>
      </c>
      <c r="F81" s="22">
        <v>3744649.509999959</v>
      </c>
      <c r="G81" s="26">
        <v>19325</v>
      </c>
      <c r="H81" s="22">
        <v>1934850.760000001</v>
      </c>
      <c r="I81" s="22">
        <v>0</v>
      </c>
      <c r="J81" s="22">
        <v>32265.62999999982</v>
      </c>
      <c r="K81" s="23" t="s">
        <v>51</v>
      </c>
      <c r="L81" s="23" t="s">
        <v>51</v>
      </c>
      <c r="M81" s="22">
        <f>V81</f>
        <v>1967116.3900000006</v>
      </c>
      <c r="N81" s="26">
        <v>14193</v>
      </c>
      <c r="O81" s="22">
        <f>IF(COUNT(F81,M81)=2,F81-M81,"n.d.")</f>
        <v>1777533.1199999582</v>
      </c>
      <c r="P81" s="26">
        <f>IF(COUNT(G81,N81)=2,G81-N81,"n.d.")</f>
        <v>5132</v>
      </c>
      <c r="Q81" s="27">
        <f>IF(COUNTIFS('Taux'!$A$6:$A$20,A81,'Taux'!$B$6:$B$20,D81)=1,SUMIFS('Taux'!$D$6:$D$20,'Taux'!$A$6:$A$20,A81,'Taux'!$B$6:$B$20,D81),"n.d.")</f>
        <v>18.58943911</v>
      </c>
      <c r="R81" s="22">
        <f>IF(COUNT(F81,Q81)=2,F81/Q81,"n.d.")</f>
        <v>201439.61783040364</v>
      </c>
      <c r="S81" s="22">
        <f>IF(COUNT(M81,Q81)=2,M81/Q81,"n.d.")</f>
        <v>105819.02866245223</v>
      </c>
      <c r="T81" s="24">
        <f>IF(OR(COUNT(F81,M81)&lt;&gt;2,F81=0),"n.d.",M81/F81)</f>
        <v>0.5253138871199784</v>
      </c>
      <c r="U81" s="24">
        <f>IF(OR(COUNT(G81,N81)&lt;&gt;2,G81=0),"n.d.",N81/G81)</f>
        <v>0.7344372574385511</v>
      </c>
      <c r="V81" s="22">
        <v>1967116.390000001</v>
      </c>
      <c r="W81" s="18" t="s">
        <v>244</v>
      </c>
    </row>
    <row r="82" spans="1:23" ht="19" customHeight="1">
      <c r="A82" s="18" t="s">
        <v>13</v>
      </c>
      <c r="B82" s="18" t="s">
        <v>111</v>
      </c>
      <c r="C82" s="18" t="s">
        <v>112</v>
      </c>
      <c r="D82" s="18" t="s">
        <v>25</v>
      </c>
      <c r="E82" s="25">
        <v>46143</v>
      </c>
      <c r="F82" s="22">
        <v>3862871.999999942</v>
      </c>
      <c r="G82" s="26">
        <v>19737</v>
      </c>
      <c r="H82" s="22">
        <v>1629996.219999999</v>
      </c>
      <c r="I82" s="22">
        <v>0</v>
      </c>
      <c r="J82" s="22">
        <v>22796.06000000011</v>
      </c>
      <c r="K82" s="23" t="s">
        <v>51</v>
      </c>
      <c r="L82" s="23" t="s">
        <v>51</v>
      </c>
      <c r="M82" s="22">
        <f>V82</f>
        <v>1652792.279999999</v>
      </c>
      <c r="N82" s="26">
        <v>11973</v>
      </c>
      <c r="O82" s="22">
        <f>IF(COUNT(F82,M82)=2,F82-M82,"n.d.")</f>
        <v>2210079.719999943</v>
      </c>
      <c r="P82" s="26">
        <f>IF(COUNT(G82,N82)=2,G82-N82,"n.d.")</f>
        <v>7764</v>
      </c>
      <c r="Q82" s="27">
        <f>IF(COUNTIFS('Taux'!$A$6:$A$20,A82,'Taux'!$B$6:$B$20,D82)=1,SUMIFS('Taux'!$D$6:$D$20,'Taux'!$A$6:$A$20,A82,'Taux'!$B$6:$B$20,D82),"n.d.")</f>
        <v>18.58943911</v>
      </c>
      <c r="R82" s="22">
        <f>IF(COUNT(F82,Q82)=2,F82/Q82,"n.d.")</f>
        <v>207799.2766291668</v>
      </c>
      <c r="S82" s="22">
        <f>IF(COUNT(M82,Q82)=2,M82/Q82,"n.d.")</f>
        <v>88910.28235009502</v>
      </c>
      <c r="T82" s="24">
        <f>IF(OR(COUNT(F82,M82)&lt;&gt;2,F82=0),"n.d.",M82/F82)</f>
        <v>0.4278661783253558</v>
      </c>
      <c r="U82" s="24">
        <f>IF(OR(COUNT(G82,N82)&lt;&gt;2,G82=0),"n.d.",N82/G82)</f>
        <v>0.6066271469828242</v>
      </c>
      <c r="V82" s="22">
        <v>1652792.279999999</v>
      </c>
      <c r="W82" s="18" t="s">
        <v>245</v>
      </c>
    </row>
    <row r="83" spans="1:23" ht="19" customHeight="1">
      <c r="A83" s="18" t="s">
        <v>13</v>
      </c>
      <c r="B83" s="18" t="s">
        <v>111</v>
      </c>
      <c r="C83" s="18" t="s">
        <v>112</v>
      </c>
      <c r="D83" s="18" t="s">
        <v>25</v>
      </c>
      <c r="E83" s="25">
        <v>46174</v>
      </c>
      <c r="F83" s="22">
        <v>4224061.329999999</v>
      </c>
      <c r="G83" s="26">
        <v>24203</v>
      </c>
      <c r="H83" s="22">
        <v>0</v>
      </c>
      <c r="I83" s="22">
        <v>0</v>
      </c>
      <c r="J83" s="22">
        <v>22298.12</v>
      </c>
      <c r="K83" s="23" t="s">
        <v>51</v>
      </c>
      <c r="L83" s="23" t="s">
        <v>51</v>
      </c>
      <c r="M83" s="22">
        <f>V83</f>
        <v>22298.119999999995</v>
      </c>
      <c r="N83" s="26">
        <v>7621</v>
      </c>
      <c r="O83" s="22">
        <f>IF(COUNT(F83,M83)=2,F83-M83,"n.d.")</f>
        <v>4201763.209999999</v>
      </c>
      <c r="P83" s="26">
        <f>IF(COUNT(G83,N83)=2,G83-N83,"n.d.")</f>
        <v>16582</v>
      </c>
      <c r="Q83" s="27">
        <f>IF(COUNTIFS('Taux'!$A$6:$A$20,A83,'Taux'!$B$6:$B$20,D83)=1,SUMIFS('Taux'!$D$6:$D$20,'Taux'!$A$6:$A$20,A83,'Taux'!$B$6:$B$20,D83),"n.d.")</f>
        <v>18.58943911</v>
      </c>
      <c r="R83" s="22">
        <f>IF(COUNT(F83,Q83)=2,F83/Q83,"n.d.")</f>
        <v>227229.08986144225</v>
      </c>
      <c r="S83" s="22">
        <f>IF(COUNT(M83,Q83)=2,M83/Q83,"n.d.")</f>
        <v>1199.5047224423759</v>
      </c>
      <c r="T83" s="24">
        <f>IF(OR(COUNT(F83,M83)&lt;&gt;2,F83=0),"n.d.",M83/F83)</f>
        <v>0.005278834339273194</v>
      </c>
      <c r="U83" s="24">
        <f>IF(OR(COUNT(G83,N83)&lt;&gt;2,G83=0),"n.d.",N83/G83)</f>
        <v>0.3148783208693137</v>
      </c>
      <c r="V83" s="22">
        <v>22298.12</v>
      </c>
      <c r="W83" s="18" t="s">
        <v>246</v>
      </c>
    </row>
    <row r="84" spans="1:23" ht="19" customHeight="1">
      <c r="A84" s="18" t="s">
        <v>27</v>
      </c>
      <c r="B84" s="18" t="s">
        <v>48</v>
      </c>
      <c r="C84" s="18" t="s">
        <v>49</v>
      </c>
      <c r="D84" s="18" t="s">
        <v>10</v>
      </c>
      <c r="E84" s="25">
        <v>46113</v>
      </c>
      <c r="F84" s="22">
        <v>105005</v>
      </c>
      <c r="G84" s="26">
        <v>286</v>
      </c>
      <c r="H84" s="22">
        <v>105005</v>
      </c>
      <c r="I84" s="22">
        <v>0</v>
      </c>
      <c r="J84" s="23" t="s">
        <v>51</v>
      </c>
      <c r="K84" s="22">
        <v>0</v>
      </c>
      <c r="L84" s="23" t="s">
        <v>51</v>
      </c>
      <c r="M84" s="22">
        <f>V84</f>
        <v>105005.0</v>
      </c>
      <c r="N84" s="26">
        <v>286</v>
      </c>
      <c r="O84" s="22">
        <f>IF(COUNT(F84,M84)=2,F84-M84,"n.d.")</f>
        <v>0.0</v>
      </c>
      <c r="P84" s="26">
        <f>IF(COUNT(G84,N84)=2,G84-N84,"n.d.")</f>
        <v>0.0</v>
      </c>
      <c r="Q84" s="27">
        <f>IF(COUNTIFS('Taux'!$A$6:$A$20,A84,'Taux'!$B$6:$B$20,D84)=1,SUMIFS('Taux'!$D$6:$D$20,'Taux'!$A$6:$A$20,A84,'Taux'!$B$6:$B$20,D84),"n.d.")</f>
        <v>1</v>
      </c>
      <c r="R84" s="22">
        <f>IF(COUNT(F84,Q84)=2,F84/Q84,"n.d.")</f>
        <v>105005.0</v>
      </c>
      <c r="S84" s="22">
        <f>IF(COUNT(M84,Q84)=2,M84/Q84,"n.d.")</f>
        <v>105005.0</v>
      </c>
      <c r="T84" s="24">
        <f>IF(OR(COUNT(F84,M84)&lt;&gt;2,F84=0),"n.d.",M84/F84)</f>
        <v>1.0</v>
      </c>
      <c r="U84" s="24">
        <f>IF(OR(COUNT(G84,N84)&lt;&gt;2,G84=0),"n.d.",N84/G84)</f>
        <v>1.0</v>
      </c>
      <c r="V84" s="22">
        <v>105005</v>
      </c>
      <c r="W84" s="18" t="s">
        <v>247</v>
      </c>
    </row>
    <row r="85" spans="1:23" ht="19" customHeight="1">
      <c r="A85" s="18" t="s">
        <v>27</v>
      </c>
      <c r="B85" s="18" t="s">
        <v>48</v>
      </c>
      <c r="C85" s="18" t="s">
        <v>49</v>
      </c>
      <c r="D85" s="18" t="s">
        <v>10</v>
      </c>
      <c r="E85" s="25">
        <v>46143</v>
      </c>
      <c r="F85" s="22">
        <v>68164</v>
      </c>
      <c r="G85" s="26">
        <v>174</v>
      </c>
      <c r="H85" s="22">
        <v>68044</v>
      </c>
      <c r="I85" s="22">
        <v>0</v>
      </c>
      <c r="J85" s="23" t="s">
        <v>51</v>
      </c>
      <c r="K85" s="22">
        <v>0</v>
      </c>
      <c r="L85" s="23" t="s">
        <v>51</v>
      </c>
      <c r="M85" s="22">
        <f>V85</f>
        <v>68044.0</v>
      </c>
      <c r="N85" s="26">
        <v>173</v>
      </c>
      <c r="O85" s="22">
        <f>IF(COUNT(F85,M85)=2,F85-M85,"n.d.")</f>
        <v>120.0</v>
      </c>
      <c r="P85" s="26">
        <f>IF(COUNT(G85,N85)=2,G85-N85,"n.d.")</f>
        <v>1.0</v>
      </c>
      <c r="Q85" s="27">
        <f>IF(COUNTIFS('Taux'!$A$6:$A$20,A85,'Taux'!$B$6:$B$20,D85)=1,SUMIFS('Taux'!$D$6:$D$20,'Taux'!$A$6:$A$20,A85,'Taux'!$B$6:$B$20,D85),"n.d.")</f>
        <v>1</v>
      </c>
      <c r="R85" s="22">
        <f>IF(COUNT(F85,Q85)=2,F85/Q85,"n.d.")</f>
        <v>68164.0</v>
      </c>
      <c r="S85" s="22">
        <f>IF(COUNT(M85,Q85)=2,M85/Q85,"n.d.")</f>
        <v>68044.0</v>
      </c>
      <c r="T85" s="24">
        <f>IF(OR(COUNT(F85,M85)&lt;&gt;2,F85=0),"n.d.",M85/F85)</f>
        <v>0.9982395399331025</v>
      </c>
      <c r="U85" s="24">
        <f>IF(OR(COUNT(G85,N85)&lt;&gt;2,G85=0),"n.d.",N85/G85)</f>
        <v>0.9942528735632183</v>
      </c>
      <c r="V85" s="22">
        <v>68044</v>
      </c>
      <c r="W85" s="18" t="s">
        <v>248</v>
      </c>
    </row>
    <row r="86" spans="1:23" ht="19" customHeight="1">
      <c r="A86" s="18" t="s">
        <v>27</v>
      </c>
      <c r="B86" s="18" t="s">
        <v>48</v>
      </c>
      <c r="C86" s="18" t="s">
        <v>49</v>
      </c>
      <c r="D86" s="18" t="s">
        <v>10</v>
      </c>
      <c r="E86" s="25">
        <v>46174</v>
      </c>
      <c r="F86" s="22">
        <v>104341</v>
      </c>
      <c r="G86" s="26">
        <v>211</v>
      </c>
      <c r="H86" s="22">
        <v>102512</v>
      </c>
      <c r="I86" s="22">
        <v>0</v>
      </c>
      <c r="J86" s="23" t="s">
        <v>51</v>
      </c>
      <c r="K86" s="22">
        <v>0</v>
      </c>
      <c r="L86" s="23" t="s">
        <v>51</v>
      </c>
      <c r="M86" s="22">
        <f>V86</f>
        <v>102512.0</v>
      </c>
      <c r="N86" s="26">
        <v>206</v>
      </c>
      <c r="O86" s="22">
        <f>IF(COUNT(F86,M86)=2,F86-M86,"n.d.")</f>
        <v>1829.0</v>
      </c>
      <c r="P86" s="26">
        <f>IF(COUNT(G86,N86)=2,G86-N86,"n.d.")</f>
        <v>5.0</v>
      </c>
      <c r="Q86" s="27">
        <f>IF(COUNTIFS('Taux'!$A$6:$A$20,A86,'Taux'!$B$6:$B$20,D86)=1,SUMIFS('Taux'!$D$6:$D$20,'Taux'!$A$6:$A$20,A86,'Taux'!$B$6:$B$20,D86),"n.d.")</f>
        <v>1</v>
      </c>
      <c r="R86" s="22">
        <f>IF(COUNT(F86,Q86)=2,F86/Q86,"n.d.")</f>
        <v>104341.0</v>
      </c>
      <c r="S86" s="22">
        <f>IF(COUNT(M86,Q86)=2,M86/Q86,"n.d.")</f>
        <v>102512.0</v>
      </c>
      <c r="T86" s="24">
        <f>IF(OR(COUNT(F86,M86)&lt;&gt;2,F86=0),"n.d.",M86/F86)</f>
        <v>0.9824709366404386</v>
      </c>
      <c r="U86" s="24">
        <f>IF(OR(COUNT(G86,N86)&lt;&gt;2,G86=0),"n.d.",N86/G86)</f>
        <v>0.976303317535545</v>
      </c>
      <c r="V86" s="22">
        <v>102512</v>
      </c>
      <c r="W86" s="18" t="s">
        <v>249</v>
      </c>
    </row>
    <row r="87" spans="1:23" ht="19" customHeight="1">
      <c r="A87" s="18" t="s">
        <v>27</v>
      </c>
      <c r="B87" s="18" t="s">
        <v>48</v>
      </c>
      <c r="C87" s="18" t="s">
        <v>49</v>
      </c>
      <c r="D87" s="18" t="s">
        <v>10</v>
      </c>
      <c r="E87" s="25">
        <v>46204</v>
      </c>
      <c r="F87" s="22">
        <v>71809</v>
      </c>
      <c r="G87" s="26">
        <v>166</v>
      </c>
      <c r="H87" s="22">
        <v>65509</v>
      </c>
      <c r="I87" s="22">
        <v>0</v>
      </c>
      <c r="J87" s="23" t="s">
        <v>51</v>
      </c>
      <c r="K87" s="22">
        <v>0</v>
      </c>
      <c r="L87" s="23" t="s">
        <v>51</v>
      </c>
      <c r="M87" s="22">
        <f>V87</f>
        <v>65509.0</v>
      </c>
      <c r="N87" s="26">
        <v>141</v>
      </c>
      <c r="O87" s="22">
        <f>IF(COUNT(F87,M87)=2,F87-M87,"n.d.")</f>
        <v>6300.0</v>
      </c>
      <c r="P87" s="26">
        <f>IF(COUNT(G87,N87)=2,G87-N87,"n.d.")</f>
        <v>25.0</v>
      </c>
      <c r="Q87" s="27">
        <f>IF(COUNTIFS('Taux'!$A$6:$A$20,A87,'Taux'!$B$6:$B$20,D87)=1,SUMIFS('Taux'!$D$6:$D$20,'Taux'!$A$6:$A$20,A87,'Taux'!$B$6:$B$20,D87),"n.d.")</f>
        <v>1</v>
      </c>
      <c r="R87" s="22">
        <f>IF(COUNT(F87,Q87)=2,F87/Q87,"n.d.")</f>
        <v>71809.0</v>
      </c>
      <c r="S87" s="22">
        <f>IF(COUNT(M87,Q87)=2,M87/Q87,"n.d.")</f>
        <v>65509.0</v>
      </c>
      <c r="T87" s="24">
        <f>IF(OR(COUNT(F87,M87)&lt;&gt;2,F87=0),"n.d.",M87/F87)</f>
        <v>0.912267264549012</v>
      </c>
      <c r="U87" s="24">
        <f>IF(OR(COUNT(G87,N87)&lt;&gt;2,G87=0),"n.d.",N87/G87)</f>
        <v>0.8493975903614458</v>
      </c>
      <c r="V87" s="22">
        <v>65509</v>
      </c>
      <c r="W87" s="18" t="s">
        <v>250</v>
      </c>
    </row>
    <row r="88" spans="1:23" ht="19" customHeight="1">
      <c r="A88" s="18" t="s">
        <v>27</v>
      </c>
      <c r="B88" s="18" t="s">
        <v>48</v>
      </c>
      <c r="C88" s="18" t="s">
        <v>49</v>
      </c>
      <c r="D88" s="18" t="s">
        <v>10</v>
      </c>
      <c r="E88" s="25">
        <v>46235</v>
      </c>
      <c r="F88" s="22">
        <v>119870</v>
      </c>
      <c r="G88" s="26">
        <v>163</v>
      </c>
      <c r="H88" s="22">
        <v>80053</v>
      </c>
      <c r="I88" s="22">
        <v>0</v>
      </c>
      <c r="J88" s="23" t="s">
        <v>51</v>
      </c>
      <c r="K88" s="22">
        <v>0</v>
      </c>
      <c r="L88" s="23" t="s">
        <v>51</v>
      </c>
      <c r="M88" s="22">
        <f>V88</f>
        <v>80053.0</v>
      </c>
      <c r="N88" s="26">
        <v>120</v>
      </c>
      <c r="O88" s="22">
        <f>IF(COUNT(F88,M88)=2,F88-M88,"n.d.")</f>
        <v>39817.0</v>
      </c>
      <c r="P88" s="26">
        <f>IF(COUNT(G88,N88)=2,G88-N88,"n.d.")</f>
        <v>43.0</v>
      </c>
      <c r="Q88" s="27">
        <f>IF(COUNTIFS('Taux'!$A$6:$A$20,A88,'Taux'!$B$6:$B$20,D88)=1,SUMIFS('Taux'!$D$6:$D$20,'Taux'!$A$6:$A$20,A88,'Taux'!$B$6:$B$20,D88),"n.d.")</f>
        <v>1</v>
      </c>
      <c r="R88" s="22">
        <f>IF(COUNT(F88,Q88)=2,F88/Q88,"n.d.")</f>
        <v>119870.0</v>
      </c>
      <c r="S88" s="22">
        <f>IF(COUNT(M88,Q88)=2,M88/Q88,"n.d.")</f>
        <v>80053.0</v>
      </c>
      <c r="T88" s="24">
        <f>IF(OR(COUNT(F88,M88)&lt;&gt;2,F88=0),"n.d.",M88/F88)</f>
        <v>0.6678318178026195</v>
      </c>
      <c r="U88" s="24">
        <f>IF(OR(COUNT(G88,N88)&lt;&gt;2,G88=0),"n.d.",N88/G88)</f>
        <v>0.7361963190184049</v>
      </c>
      <c r="V88" s="22">
        <v>80053</v>
      </c>
      <c r="W88" s="18" t="s">
        <v>251</v>
      </c>
    </row>
    <row r="89" spans="1:23" ht="19" customHeight="1">
      <c r="A89" s="18" t="s">
        <v>27</v>
      </c>
      <c r="B89" s="18" t="s">
        <v>48</v>
      </c>
      <c r="C89" s="18" t="s">
        <v>49</v>
      </c>
      <c r="D89" s="18" t="s">
        <v>10</v>
      </c>
      <c r="E89" s="25">
        <v>46266</v>
      </c>
      <c r="F89" s="22">
        <v>52704</v>
      </c>
      <c r="G89" s="26">
        <v>156</v>
      </c>
      <c r="H89" s="22">
        <v>0</v>
      </c>
      <c r="I89" s="22">
        <v>0</v>
      </c>
      <c r="J89" s="23" t="s">
        <v>51</v>
      </c>
      <c r="K89" s="22">
        <v>0</v>
      </c>
      <c r="L89" s="23" t="s">
        <v>51</v>
      </c>
      <c r="M89" s="22">
        <f>V89</f>
        <v>0.0</v>
      </c>
      <c r="N89" s="26">
        <v>0</v>
      </c>
      <c r="O89" s="22">
        <f>IF(COUNT(F89,M89)=2,F89-M89,"n.d.")</f>
        <v>52704.0</v>
      </c>
      <c r="P89" s="26">
        <f>IF(COUNT(G89,N89)=2,G89-N89,"n.d.")</f>
        <v>156.0</v>
      </c>
      <c r="Q89" s="27">
        <f>IF(COUNTIFS('Taux'!$A$6:$A$20,A89,'Taux'!$B$6:$B$20,D89)=1,SUMIFS('Taux'!$D$6:$D$20,'Taux'!$A$6:$A$20,A89,'Taux'!$B$6:$B$20,D89),"n.d.")</f>
        <v>1</v>
      </c>
      <c r="R89" s="22">
        <f>IF(COUNT(F89,Q89)=2,F89/Q89,"n.d.")</f>
        <v>52704.0</v>
      </c>
      <c r="S89" s="22">
        <f>IF(COUNT(M89,Q89)=2,M89/Q89,"n.d.")</f>
        <v>0.0</v>
      </c>
      <c r="T89" s="24">
        <f>IF(OR(COUNT(F89,M89)&lt;&gt;2,F89=0),"n.d.",M89/F89)</f>
        <v>0.0</v>
      </c>
      <c r="U89" s="24">
        <f>IF(OR(COUNT(G89,N89)&lt;&gt;2,G89=0),"n.d.",N89/G89)</f>
        <v>0.0</v>
      </c>
      <c r="V89" s="22">
        <v>0</v>
      </c>
      <c r="W89" s="18" t="s">
        <v>252</v>
      </c>
    </row>
    <row r="90" spans="1:23" ht="19" customHeight="1">
      <c r="A90" s="18" t="s">
        <v>27</v>
      </c>
      <c r="B90" s="18" t="s">
        <v>57</v>
      </c>
      <c r="C90" s="18" t="s">
        <v>58</v>
      </c>
      <c r="D90" s="18" t="s">
        <v>10</v>
      </c>
      <c r="E90" s="25">
        <v>46113</v>
      </c>
      <c r="F90" s="22">
        <v>3475518</v>
      </c>
      <c r="G90" s="26">
        <v>6729</v>
      </c>
      <c r="H90" s="22">
        <v>1149668</v>
      </c>
      <c r="I90" s="22">
        <v>25</v>
      </c>
      <c r="J90" s="22">
        <v>2277102</v>
      </c>
      <c r="K90" s="23" t="s">
        <v>51</v>
      </c>
      <c r="L90" s="23" t="s">
        <v>51</v>
      </c>
      <c r="M90" s="22">
        <f>V90</f>
        <v>3426794.0</v>
      </c>
      <c r="N90" s="26">
        <v>6419</v>
      </c>
      <c r="O90" s="22">
        <f>IF(COUNT(F90,M90)=2,F90-M90,"n.d.")</f>
        <v>48724.0</v>
      </c>
      <c r="P90" s="26">
        <f>IF(COUNT(G90,N90)=2,G90-N90,"n.d.")</f>
        <v>310.0</v>
      </c>
      <c r="Q90" s="27">
        <f>IF(COUNTIFS('Taux'!$A$6:$A$20,A90,'Taux'!$B$6:$B$20,D90)=1,SUMIFS('Taux'!$D$6:$D$20,'Taux'!$A$6:$A$20,A90,'Taux'!$B$6:$B$20,D90),"n.d.")</f>
        <v>1</v>
      </c>
      <c r="R90" s="22">
        <f>IF(COUNT(F90,Q90)=2,F90/Q90,"n.d.")</f>
        <v>3475518.0</v>
      </c>
      <c r="S90" s="22">
        <f>IF(COUNT(M90,Q90)=2,M90/Q90,"n.d.")</f>
        <v>3426794.0</v>
      </c>
      <c r="T90" s="24">
        <f>IF(OR(COUNT(F90,M90)&lt;&gt;2,F90=0),"n.d.",M90/F90)</f>
        <v>0.9859807948052636</v>
      </c>
      <c r="U90" s="24">
        <f>IF(OR(COUNT(G90,N90)&lt;&gt;2,G90=0),"n.d.",N90/G90)</f>
        <v>0.9539307475107742</v>
      </c>
      <c r="V90" s="22">
        <v>3426794</v>
      </c>
      <c r="W90" s="18" t="s">
        <v>253</v>
      </c>
    </row>
    <row r="91" spans="1:23" ht="19" customHeight="1">
      <c r="A91" s="18" t="s">
        <v>27</v>
      </c>
      <c r="B91" s="18" t="s">
        <v>57</v>
      </c>
      <c r="C91" s="18" t="s">
        <v>58</v>
      </c>
      <c r="D91" s="18" t="s">
        <v>10</v>
      </c>
      <c r="E91" s="25">
        <v>46143</v>
      </c>
      <c r="F91" s="22">
        <v>3162844</v>
      </c>
      <c r="G91" s="26">
        <v>6720</v>
      </c>
      <c r="H91" s="22">
        <v>1210913</v>
      </c>
      <c r="I91" s="22">
        <v>0</v>
      </c>
      <c r="J91" s="22">
        <v>1866008</v>
      </c>
      <c r="K91" s="23" t="s">
        <v>51</v>
      </c>
      <c r="L91" s="23" t="s">
        <v>51</v>
      </c>
      <c r="M91" s="22">
        <f>V91</f>
        <v>3076922.0</v>
      </c>
      <c r="N91" s="26">
        <v>6100</v>
      </c>
      <c r="O91" s="22">
        <f>IF(COUNT(F91,M91)=2,F91-M91,"n.d.")</f>
        <v>85922.0</v>
      </c>
      <c r="P91" s="26">
        <f>IF(COUNT(G91,N91)=2,G91-N91,"n.d.")</f>
        <v>620.0</v>
      </c>
      <c r="Q91" s="27">
        <f>IF(COUNTIFS('Taux'!$A$6:$A$20,A91,'Taux'!$B$6:$B$20,D91)=1,SUMIFS('Taux'!$D$6:$D$20,'Taux'!$A$6:$A$20,A91,'Taux'!$B$6:$B$20,D91),"n.d.")</f>
        <v>1</v>
      </c>
      <c r="R91" s="22">
        <f>IF(COUNT(F91,Q91)=2,F91/Q91,"n.d.")</f>
        <v>3162844.0</v>
      </c>
      <c r="S91" s="22">
        <f>IF(COUNT(M91,Q91)=2,M91/Q91,"n.d.")</f>
        <v>3076922.0</v>
      </c>
      <c r="T91" s="24">
        <f>IF(OR(COUNT(F91,M91)&lt;&gt;2,F91=0),"n.d.",M91/F91)</f>
        <v>0.9728339431220762</v>
      </c>
      <c r="U91" s="24">
        <f>IF(OR(COUNT(G91,N91)&lt;&gt;2,G91=0),"n.d.",N91/G91)</f>
        <v>0.9077380952380952</v>
      </c>
      <c r="V91" s="22">
        <v>3076922</v>
      </c>
      <c r="W91" s="18" t="s">
        <v>254</v>
      </c>
    </row>
    <row r="92" spans="1:23" ht="19" customHeight="1">
      <c r="A92" s="18" t="s">
        <v>27</v>
      </c>
      <c r="B92" s="18" t="s">
        <v>57</v>
      </c>
      <c r="C92" s="18" t="s">
        <v>58</v>
      </c>
      <c r="D92" s="18" t="s">
        <v>10</v>
      </c>
      <c r="E92" s="25">
        <v>46174</v>
      </c>
      <c r="F92" s="22">
        <v>4107101</v>
      </c>
      <c r="G92" s="26">
        <v>7553</v>
      </c>
      <c r="H92" s="22">
        <v>1273686</v>
      </c>
      <c r="I92" s="22">
        <v>28</v>
      </c>
      <c r="J92" s="22">
        <v>2648945</v>
      </c>
      <c r="K92" s="23" t="s">
        <v>51</v>
      </c>
      <c r="L92" s="23" t="s">
        <v>51</v>
      </c>
      <c r="M92" s="22">
        <f>V92</f>
        <v>3922659.0</v>
      </c>
      <c r="N92" s="26">
        <v>6767</v>
      </c>
      <c r="O92" s="22">
        <f>IF(COUNT(F92,M92)=2,F92-M92,"n.d.")</f>
        <v>184442.0</v>
      </c>
      <c r="P92" s="26">
        <f>IF(COUNT(G92,N92)=2,G92-N92,"n.d.")</f>
        <v>786.0</v>
      </c>
      <c r="Q92" s="27">
        <f>IF(COUNTIFS('Taux'!$A$6:$A$20,A92,'Taux'!$B$6:$B$20,D92)=1,SUMIFS('Taux'!$D$6:$D$20,'Taux'!$A$6:$A$20,A92,'Taux'!$B$6:$B$20,D92),"n.d.")</f>
        <v>1</v>
      </c>
      <c r="R92" s="22">
        <f>IF(COUNT(F92,Q92)=2,F92/Q92,"n.d.")</f>
        <v>4107101.0</v>
      </c>
      <c r="S92" s="22">
        <f>IF(COUNT(M92,Q92)=2,M92/Q92,"n.d.")</f>
        <v>3922659.0</v>
      </c>
      <c r="T92" s="24">
        <f>IF(OR(COUNT(F92,M92)&lt;&gt;2,F92=0),"n.d.",M92/F92)</f>
        <v>0.955091924936835</v>
      </c>
      <c r="U92" s="24">
        <f>IF(OR(COUNT(G92,N92)&lt;&gt;2,G92=0),"n.d.",N92/G92)</f>
        <v>0.8959353899112935</v>
      </c>
      <c r="V92" s="22">
        <v>3922659</v>
      </c>
      <c r="W92" s="18" t="s">
        <v>255</v>
      </c>
    </row>
    <row r="93" spans="1:23" ht="19" customHeight="1">
      <c r="A93" s="18" t="s">
        <v>27</v>
      </c>
      <c r="B93" s="18" t="s">
        <v>57</v>
      </c>
      <c r="C93" s="18" t="s">
        <v>58</v>
      </c>
      <c r="D93" s="18" t="s">
        <v>10</v>
      </c>
      <c r="E93" s="25">
        <v>46204</v>
      </c>
      <c r="F93" s="22">
        <v>3892550</v>
      </c>
      <c r="G93" s="26">
        <v>6852</v>
      </c>
      <c r="H93" s="22">
        <v>1237658</v>
      </c>
      <c r="I93" s="22">
        <v>0</v>
      </c>
      <c r="J93" s="22">
        <v>2514505</v>
      </c>
      <c r="K93" s="23" t="s">
        <v>51</v>
      </c>
      <c r="L93" s="23" t="s">
        <v>51</v>
      </c>
      <c r="M93" s="22">
        <f>V93</f>
        <v>3752162.0</v>
      </c>
      <c r="N93" s="26">
        <v>5791</v>
      </c>
      <c r="O93" s="22">
        <f>IF(COUNT(F93,M93)=2,F93-M93,"n.d.")</f>
        <v>140388.0</v>
      </c>
      <c r="P93" s="26">
        <f>IF(COUNT(G93,N93)=2,G93-N93,"n.d.")</f>
        <v>1061.0</v>
      </c>
      <c r="Q93" s="27">
        <f>IF(COUNTIFS('Taux'!$A$6:$A$20,A93,'Taux'!$B$6:$B$20,D93)=1,SUMIFS('Taux'!$D$6:$D$20,'Taux'!$A$6:$A$20,A93,'Taux'!$B$6:$B$20,D93),"n.d.")</f>
        <v>1</v>
      </c>
      <c r="R93" s="22">
        <f>IF(COUNT(F93,Q93)=2,F93/Q93,"n.d.")</f>
        <v>3892550.0</v>
      </c>
      <c r="S93" s="22">
        <f>IF(COUNT(M93,Q93)=2,M93/Q93,"n.d.")</f>
        <v>3752162.0</v>
      </c>
      <c r="T93" s="24">
        <f>IF(OR(COUNT(F93,M93)&lt;&gt;2,F93=0),"n.d.",M93/F93)</f>
        <v>0.9639341819629805</v>
      </c>
      <c r="U93" s="24">
        <f>IF(OR(COUNT(G93,N93)&lt;&gt;2,G93=0),"n.d.",N93/G93)</f>
        <v>0.8451546993578517</v>
      </c>
      <c r="V93" s="22">
        <v>3752162</v>
      </c>
      <c r="W93" s="18" t="s">
        <v>256</v>
      </c>
    </row>
    <row r="94" spans="1:23" ht="19" customHeight="1">
      <c r="A94" s="18" t="s">
        <v>27</v>
      </c>
      <c r="B94" s="18" t="s">
        <v>57</v>
      </c>
      <c r="C94" s="18" t="s">
        <v>58</v>
      </c>
      <c r="D94" s="18" t="s">
        <v>10</v>
      </c>
      <c r="E94" s="25">
        <v>46235</v>
      </c>
      <c r="F94" s="22">
        <v>2506521</v>
      </c>
      <c r="G94" s="26">
        <v>6218</v>
      </c>
      <c r="H94" s="22">
        <v>918537</v>
      </c>
      <c r="I94" s="22">
        <v>791</v>
      </c>
      <c r="J94" s="22">
        <v>1491253</v>
      </c>
      <c r="K94" s="23" t="s">
        <v>51</v>
      </c>
      <c r="L94" s="23" t="s">
        <v>51</v>
      </c>
      <c r="M94" s="22">
        <f>V94</f>
        <v>2410581.0</v>
      </c>
      <c r="N94" s="26">
        <v>5481</v>
      </c>
      <c r="O94" s="22">
        <f>IF(COUNT(F94,M94)=2,F94-M94,"n.d.")</f>
        <v>95940.0</v>
      </c>
      <c r="P94" s="26">
        <f>IF(COUNT(G94,N94)=2,G94-N94,"n.d.")</f>
        <v>737.0</v>
      </c>
      <c r="Q94" s="27">
        <f>IF(COUNTIFS('Taux'!$A$6:$A$20,A94,'Taux'!$B$6:$B$20,D94)=1,SUMIFS('Taux'!$D$6:$D$20,'Taux'!$A$6:$A$20,A94,'Taux'!$B$6:$B$20,D94),"n.d.")</f>
        <v>1</v>
      </c>
      <c r="R94" s="22">
        <f>IF(COUNT(F94,Q94)=2,F94/Q94,"n.d.")</f>
        <v>2506521.0</v>
      </c>
      <c r="S94" s="22">
        <f>IF(COUNT(M94,Q94)=2,M94/Q94,"n.d.")</f>
        <v>2410581.0</v>
      </c>
      <c r="T94" s="24">
        <f>IF(OR(COUNT(F94,M94)&lt;&gt;2,F94=0),"n.d.",M94/F94)</f>
        <v>0.9617238395369518</v>
      </c>
      <c r="U94" s="24">
        <f>IF(OR(COUNT(G94,N94)&lt;&gt;2,G94=0),"n.d.",N94/G94)</f>
        <v>0.8814731424895464</v>
      </c>
      <c r="V94" s="22">
        <v>2410581</v>
      </c>
      <c r="W94" s="18" t="s">
        <v>257</v>
      </c>
    </row>
    <row r="95" spans="1:23" ht="19" customHeight="1">
      <c r="A95" s="18" t="s">
        <v>27</v>
      </c>
      <c r="B95" s="18" t="s">
        <v>57</v>
      </c>
      <c r="C95" s="18" t="s">
        <v>58</v>
      </c>
      <c r="D95" s="18" t="s">
        <v>10</v>
      </c>
      <c r="E95" s="25">
        <v>46266</v>
      </c>
      <c r="F95" s="22">
        <v>3356886</v>
      </c>
      <c r="G95" s="26">
        <v>8600</v>
      </c>
      <c r="H95" s="22">
        <v>1039257</v>
      </c>
      <c r="I95" s="22">
        <v>0</v>
      </c>
      <c r="J95" s="22">
        <v>1471093</v>
      </c>
      <c r="K95" s="23" t="s">
        <v>51</v>
      </c>
      <c r="L95" s="23" t="s">
        <v>51</v>
      </c>
      <c r="M95" s="22">
        <f>V95</f>
        <v>2510350.0</v>
      </c>
      <c r="N95" s="26">
        <v>4860</v>
      </c>
      <c r="O95" s="22">
        <f>IF(COUNT(F95,M95)=2,F95-M95,"n.d.")</f>
        <v>846536.0</v>
      </c>
      <c r="P95" s="26">
        <f>IF(COUNT(G95,N95)=2,G95-N95,"n.d.")</f>
        <v>3740.0</v>
      </c>
      <c r="Q95" s="27">
        <f>IF(COUNTIFS('Taux'!$A$6:$A$20,A95,'Taux'!$B$6:$B$20,D95)=1,SUMIFS('Taux'!$D$6:$D$20,'Taux'!$A$6:$A$20,A95,'Taux'!$B$6:$B$20,D95),"n.d.")</f>
        <v>1</v>
      </c>
      <c r="R95" s="22">
        <f>IF(COUNT(F95,Q95)=2,F95/Q95,"n.d.")</f>
        <v>3356886.0</v>
      </c>
      <c r="S95" s="22">
        <f>IF(COUNT(M95,Q95)=2,M95/Q95,"n.d.")</f>
        <v>2510350.0</v>
      </c>
      <c r="T95" s="24">
        <f>IF(OR(COUNT(F95,M95)&lt;&gt;2,F95=0),"n.d.",M95/F95)</f>
        <v>0.7478210460528001</v>
      </c>
      <c r="U95" s="24">
        <f>IF(OR(COUNT(G95,N95)&lt;&gt;2,G95=0),"n.d.",N95/G95)</f>
        <v>0.5651162790697675</v>
      </c>
      <c r="V95" s="22">
        <v>2510350</v>
      </c>
      <c r="W95" s="18" t="s">
        <v>258</v>
      </c>
    </row>
    <row r="96" spans="1:23" ht="19" customHeight="1">
      <c r="A96" s="18" t="s">
        <v>27</v>
      </c>
      <c r="B96" s="18" t="s">
        <v>62</v>
      </c>
      <c r="C96" s="18" t="s">
        <v>63</v>
      </c>
      <c r="D96" s="18" t="s">
        <v>10</v>
      </c>
      <c r="E96" s="25">
        <v>46113</v>
      </c>
      <c r="F96" s="22">
        <v>1825315</v>
      </c>
      <c r="G96" s="26">
        <v>7596</v>
      </c>
      <c r="H96" s="22">
        <v>1814597</v>
      </c>
      <c r="I96" s="22">
        <v>0</v>
      </c>
      <c r="J96" s="22">
        <v>0</v>
      </c>
      <c r="K96" s="23" t="s">
        <v>51</v>
      </c>
      <c r="L96" s="23" t="s">
        <v>51</v>
      </c>
      <c r="M96" s="22">
        <f>V96</f>
        <v>1814597.0</v>
      </c>
      <c r="N96" s="26">
        <v>7336</v>
      </c>
      <c r="O96" s="22">
        <f>IF(COUNT(F96,M96)=2,F96-M96,"n.d.")</f>
        <v>10718.0</v>
      </c>
      <c r="P96" s="26">
        <f>IF(COUNT(G96,N96)=2,G96-N96,"n.d.")</f>
        <v>260.0</v>
      </c>
      <c r="Q96" s="27">
        <f>IF(COUNTIFS('Taux'!$A$6:$A$20,A96,'Taux'!$B$6:$B$20,D96)=1,SUMIFS('Taux'!$D$6:$D$20,'Taux'!$A$6:$A$20,A96,'Taux'!$B$6:$B$20,D96),"n.d.")</f>
        <v>1</v>
      </c>
      <c r="R96" s="22">
        <f>IF(COUNT(F96,Q96)=2,F96/Q96,"n.d.")</f>
        <v>1825315.0</v>
      </c>
      <c r="S96" s="22">
        <f>IF(COUNT(M96,Q96)=2,M96/Q96,"n.d.")</f>
        <v>1814597.0</v>
      </c>
      <c r="T96" s="24">
        <f>IF(OR(COUNT(F96,M96)&lt;&gt;2,F96=0),"n.d.",M96/F96)</f>
        <v>0.994128136787349</v>
      </c>
      <c r="U96" s="24">
        <f>IF(OR(COUNT(G96,N96)&lt;&gt;2,G96=0),"n.d.",N96/G96)</f>
        <v>0.965771458662454</v>
      </c>
      <c r="V96" s="22">
        <v>1814597</v>
      </c>
      <c r="W96" s="18" t="s">
        <v>259</v>
      </c>
    </row>
    <row r="97" spans="1:23" ht="19" customHeight="1">
      <c r="A97" s="18" t="s">
        <v>27</v>
      </c>
      <c r="B97" s="18" t="s">
        <v>62</v>
      </c>
      <c r="C97" s="18" t="s">
        <v>63</v>
      </c>
      <c r="D97" s="18" t="s">
        <v>10</v>
      </c>
      <c r="E97" s="25">
        <v>46143</v>
      </c>
      <c r="F97" s="22">
        <v>678076</v>
      </c>
      <c r="G97" s="26">
        <v>5192</v>
      </c>
      <c r="H97" s="22">
        <v>598542</v>
      </c>
      <c r="I97" s="22">
        <v>0</v>
      </c>
      <c r="J97" s="22">
        <v>0</v>
      </c>
      <c r="K97" s="23" t="s">
        <v>51</v>
      </c>
      <c r="L97" s="23" t="s">
        <v>51</v>
      </c>
      <c r="M97" s="22">
        <f>V97</f>
        <v>598542.0</v>
      </c>
      <c r="N97" s="26">
        <v>5039</v>
      </c>
      <c r="O97" s="22">
        <f>IF(COUNT(F97,M97)=2,F97-M97,"n.d.")</f>
        <v>79534.0</v>
      </c>
      <c r="P97" s="26">
        <f>IF(COUNT(G97,N97)=2,G97-N97,"n.d.")</f>
        <v>153.0</v>
      </c>
      <c r="Q97" s="27">
        <f>IF(COUNTIFS('Taux'!$A$6:$A$20,A97,'Taux'!$B$6:$B$20,D97)=1,SUMIFS('Taux'!$D$6:$D$20,'Taux'!$A$6:$A$20,A97,'Taux'!$B$6:$B$20,D97),"n.d.")</f>
        <v>1</v>
      </c>
      <c r="R97" s="22">
        <f>IF(COUNT(F97,Q97)=2,F97/Q97,"n.d.")</f>
        <v>678076.0</v>
      </c>
      <c r="S97" s="22">
        <f>IF(COUNT(M97,Q97)=2,M97/Q97,"n.d.")</f>
        <v>598542.0</v>
      </c>
      <c r="T97" s="24">
        <f>IF(OR(COUNT(F97,M97)&lt;&gt;2,F97=0),"n.d.",M97/F97)</f>
        <v>0.8827063632985093</v>
      </c>
      <c r="U97" s="24">
        <f>IF(OR(COUNT(G97,N97)&lt;&gt;2,G97=0),"n.d.",N97/G97)</f>
        <v>0.9705315870570108</v>
      </c>
      <c r="V97" s="22">
        <v>598542</v>
      </c>
      <c r="W97" s="18" t="s">
        <v>260</v>
      </c>
    </row>
    <row r="98" spans="1:23" ht="19" customHeight="1">
      <c r="A98" s="18" t="s">
        <v>27</v>
      </c>
      <c r="B98" s="18" t="s">
        <v>62</v>
      </c>
      <c r="C98" s="18" t="s">
        <v>63</v>
      </c>
      <c r="D98" s="18" t="s">
        <v>10</v>
      </c>
      <c r="E98" s="25">
        <v>46174</v>
      </c>
      <c r="F98" s="22">
        <v>1738908</v>
      </c>
      <c r="G98" s="26">
        <v>7492</v>
      </c>
      <c r="H98" s="22">
        <v>1511149</v>
      </c>
      <c r="I98" s="22">
        <v>0</v>
      </c>
      <c r="J98" s="22">
        <v>0</v>
      </c>
      <c r="K98" s="23" t="s">
        <v>51</v>
      </c>
      <c r="L98" s="23" t="s">
        <v>51</v>
      </c>
      <c r="M98" s="22">
        <f>V98</f>
        <v>1511149.0</v>
      </c>
      <c r="N98" s="26">
        <v>7295</v>
      </c>
      <c r="O98" s="22">
        <f>IF(COUNT(F98,M98)=2,F98-M98,"n.d.")</f>
        <v>227759.0</v>
      </c>
      <c r="P98" s="26">
        <f>IF(COUNT(G98,N98)=2,G98-N98,"n.d.")</f>
        <v>197.0</v>
      </c>
      <c r="Q98" s="27">
        <f>IF(COUNTIFS('Taux'!$A$6:$A$20,A98,'Taux'!$B$6:$B$20,D98)=1,SUMIFS('Taux'!$D$6:$D$20,'Taux'!$A$6:$A$20,A98,'Taux'!$B$6:$B$20,D98),"n.d.")</f>
        <v>1</v>
      </c>
      <c r="R98" s="22">
        <f>IF(COUNT(F98,Q98)=2,F98/Q98,"n.d.")</f>
        <v>1738908.0</v>
      </c>
      <c r="S98" s="22">
        <f>IF(COUNT(M98,Q98)=2,M98/Q98,"n.d.")</f>
        <v>1511149.0</v>
      </c>
      <c r="T98" s="24">
        <f>IF(OR(COUNT(F98,M98)&lt;&gt;2,F98=0),"n.d.",M98/F98)</f>
        <v>0.8690218228911478</v>
      </c>
      <c r="U98" s="24">
        <f>IF(OR(COUNT(G98,N98)&lt;&gt;2,G98=0),"n.d.",N98/G98)</f>
        <v>0.9737052856380138</v>
      </c>
      <c r="V98" s="22">
        <v>1511149</v>
      </c>
      <c r="W98" s="18" t="s">
        <v>261</v>
      </c>
    </row>
    <row r="99" spans="1:23" ht="19" customHeight="1">
      <c r="A99" s="18" t="s">
        <v>27</v>
      </c>
      <c r="B99" s="18" t="s">
        <v>62</v>
      </c>
      <c r="C99" s="18" t="s">
        <v>63</v>
      </c>
      <c r="D99" s="18" t="s">
        <v>10</v>
      </c>
      <c r="E99" s="25">
        <v>46204</v>
      </c>
      <c r="F99" s="22">
        <v>1680101</v>
      </c>
      <c r="G99" s="26">
        <v>7814</v>
      </c>
      <c r="H99" s="22">
        <v>1485242</v>
      </c>
      <c r="I99" s="22">
        <v>0</v>
      </c>
      <c r="J99" s="22">
        <v>0</v>
      </c>
      <c r="K99" s="23" t="s">
        <v>51</v>
      </c>
      <c r="L99" s="23" t="s">
        <v>51</v>
      </c>
      <c r="M99" s="22">
        <f>V99</f>
        <v>1485242.0</v>
      </c>
      <c r="N99" s="26">
        <v>6970</v>
      </c>
      <c r="O99" s="22">
        <f>IF(COUNT(F99,M99)=2,F99-M99,"n.d.")</f>
        <v>194859.0</v>
      </c>
      <c r="P99" s="26">
        <f>IF(COUNT(G99,N99)=2,G99-N99,"n.d.")</f>
        <v>844.0</v>
      </c>
      <c r="Q99" s="27">
        <f>IF(COUNTIFS('Taux'!$A$6:$A$20,A99,'Taux'!$B$6:$B$20,D99)=1,SUMIFS('Taux'!$D$6:$D$20,'Taux'!$A$6:$A$20,A99,'Taux'!$B$6:$B$20,D99),"n.d.")</f>
        <v>1</v>
      </c>
      <c r="R99" s="22">
        <f>IF(COUNT(F99,Q99)=2,F99/Q99,"n.d.")</f>
        <v>1680101.0</v>
      </c>
      <c r="S99" s="22">
        <f>IF(COUNT(M99,Q99)=2,M99/Q99,"n.d.")</f>
        <v>1485242.0</v>
      </c>
      <c r="T99" s="24">
        <f>IF(OR(COUNT(F99,M99)&lt;&gt;2,F99=0),"n.d.",M99/F99)</f>
        <v>0.8840194726388473</v>
      </c>
      <c r="U99" s="24">
        <f>IF(OR(COUNT(G99,N99)&lt;&gt;2,G99=0),"n.d.",N99/G99)</f>
        <v>0.8919887381622729</v>
      </c>
      <c r="V99" s="22">
        <v>1485242</v>
      </c>
      <c r="W99" s="18" t="s">
        <v>262</v>
      </c>
    </row>
    <row r="100" spans="1:23" ht="19" customHeight="1">
      <c r="A100" s="18" t="s">
        <v>27</v>
      </c>
      <c r="B100" s="18" t="s">
        <v>62</v>
      </c>
      <c r="C100" s="18" t="s">
        <v>63</v>
      </c>
      <c r="D100" s="18" t="s">
        <v>10</v>
      </c>
      <c r="E100" s="25">
        <v>46235</v>
      </c>
      <c r="F100" s="22">
        <v>1332153</v>
      </c>
      <c r="G100" s="26">
        <v>7477</v>
      </c>
      <c r="H100" s="22">
        <v>682272</v>
      </c>
      <c r="I100" s="22">
        <v>0</v>
      </c>
      <c r="J100" s="22">
        <v>0</v>
      </c>
      <c r="K100" s="23" t="s">
        <v>51</v>
      </c>
      <c r="L100" s="23" t="s">
        <v>51</v>
      </c>
      <c r="M100" s="22">
        <f>V100</f>
        <v>682272.0</v>
      </c>
      <c r="N100" s="26">
        <v>2376</v>
      </c>
      <c r="O100" s="22">
        <f>IF(COUNT(F100,M100)=2,F100-M100,"n.d.")</f>
        <v>649881.0</v>
      </c>
      <c r="P100" s="26">
        <f>IF(COUNT(G100,N100)=2,G100-N100,"n.d.")</f>
        <v>5101.0</v>
      </c>
      <c r="Q100" s="27">
        <f>IF(COUNTIFS('Taux'!$A$6:$A$20,A100,'Taux'!$B$6:$B$20,D100)=1,SUMIFS('Taux'!$D$6:$D$20,'Taux'!$A$6:$A$20,A100,'Taux'!$B$6:$B$20,D100),"n.d.")</f>
        <v>1</v>
      </c>
      <c r="R100" s="22">
        <f>IF(COUNT(F100,Q100)=2,F100/Q100,"n.d.")</f>
        <v>1332153.0</v>
      </c>
      <c r="S100" s="22">
        <f>IF(COUNT(M100,Q100)=2,M100/Q100,"n.d.")</f>
        <v>682272.0</v>
      </c>
      <c r="T100" s="24">
        <f>IF(OR(COUNT(F100,M100)&lt;&gt;2,F100=0),"n.d.",M100/F100)</f>
        <v>0.5121573873271313</v>
      </c>
      <c r="U100" s="24">
        <f>IF(OR(COUNT(G100,N100)&lt;&gt;2,G100=0),"n.d.",N100/G100)</f>
        <v>0.317774508492711</v>
      </c>
      <c r="V100" s="22">
        <v>682272</v>
      </c>
      <c r="W100" s="18" t="s">
        <v>263</v>
      </c>
    </row>
    <row r="101" spans="1:23" ht="19" customHeight="1">
      <c r="A101" s="18" t="s">
        <v>27</v>
      </c>
      <c r="B101" s="18" t="s">
        <v>62</v>
      </c>
      <c r="C101" s="18" t="s">
        <v>63</v>
      </c>
      <c r="D101" s="18" t="s">
        <v>10</v>
      </c>
      <c r="E101" s="25">
        <v>46266</v>
      </c>
      <c r="F101" s="22">
        <v>1473477</v>
      </c>
      <c r="G101" s="26">
        <v>8999</v>
      </c>
      <c r="H101" s="22">
        <v>34796</v>
      </c>
      <c r="I101" s="22">
        <v>0</v>
      </c>
      <c r="J101" s="22">
        <v>0</v>
      </c>
      <c r="K101" s="23" t="s">
        <v>51</v>
      </c>
      <c r="L101" s="23" t="s">
        <v>51</v>
      </c>
      <c r="M101" s="22">
        <f>V101</f>
        <v>34796.0</v>
      </c>
      <c r="N101" s="26">
        <v>139</v>
      </c>
      <c r="O101" s="22">
        <f>IF(COUNT(F101,M101)=2,F101-M101,"n.d.")</f>
        <v>1438681.0</v>
      </c>
      <c r="P101" s="26">
        <f>IF(COUNT(G101,N101)=2,G101-N101,"n.d.")</f>
        <v>8860.0</v>
      </c>
      <c r="Q101" s="27">
        <f>IF(COUNTIFS('Taux'!$A$6:$A$20,A101,'Taux'!$B$6:$B$20,D101)=1,SUMIFS('Taux'!$D$6:$D$20,'Taux'!$A$6:$A$20,A101,'Taux'!$B$6:$B$20,D101),"n.d.")</f>
        <v>1</v>
      </c>
      <c r="R101" s="22">
        <f>IF(COUNT(F101,Q101)=2,F101/Q101,"n.d.")</f>
        <v>1473477.0</v>
      </c>
      <c r="S101" s="22">
        <f>IF(COUNT(M101,Q101)=2,M101/Q101,"n.d.")</f>
        <v>34796.0</v>
      </c>
      <c r="T101" s="24">
        <f>IF(OR(COUNT(F101,M101)&lt;&gt;2,F101=0),"n.d.",M101/F101)</f>
        <v>0.023614891851043485</v>
      </c>
      <c r="U101" s="24">
        <f>IF(OR(COUNT(G101,N101)&lt;&gt;2,G101=0),"n.d.",N101/G101)</f>
        <v>0.015446160684520501</v>
      </c>
      <c r="V101" s="22">
        <v>34796</v>
      </c>
      <c r="W101" s="18" t="s">
        <v>264</v>
      </c>
    </row>
    <row r="102" spans="1:23" ht="19" customHeight="1">
      <c r="A102" s="18" t="s">
        <v>27</v>
      </c>
      <c r="B102" s="18" t="s">
        <v>72</v>
      </c>
      <c r="C102" s="18" t="s">
        <v>73</v>
      </c>
      <c r="D102" s="18" t="s">
        <v>10</v>
      </c>
      <c r="E102" s="25">
        <v>46113</v>
      </c>
      <c r="F102" s="22">
        <v>1199204</v>
      </c>
      <c r="G102" s="26">
        <v>4749</v>
      </c>
      <c r="H102" s="22">
        <v>1153099</v>
      </c>
      <c r="I102" s="22">
        <v>17053</v>
      </c>
      <c r="J102" s="22">
        <v>0</v>
      </c>
      <c r="K102" s="23" t="s">
        <v>51</v>
      </c>
      <c r="L102" s="23" t="s">
        <v>51</v>
      </c>
      <c r="M102" s="22">
        <f>V102</f>
        <v>1170152.0</v>
      </c>
      <c r="N102" s="26">
        <v>4450</v>
      </c>
      <c r="O102" s="22">
        <f>IF(COUNT(F102,M102)=2,F102-M102,"n.d.")</f>
        <v>29052.0</v>
      </c>
      <c r="P102" s="26">
        <f>IF(COUNT(G102,N102)=2,G102-N102,"n.d.")</f>
        <v>299.0</v>
      </c>
      <c r="Q102" s="27">
        <f>IF(COUNTIFS('Taux'!$A$6:$A$20,A102,'Taux'!$B$6:$B$20,D102)=1,SUMIFS('Taux'!$D$6:$D$20,'Taux'!$A$6:$A$20,A102,'Taux'!$B$6:$B$20,D102),"n.d.")</f>
        <v>1</v>
      </c>
      <c r="R102" s="22">
        <f>IF(COUNT(F102,Q102)=2,F102/Q102,"n.d.")</f>
        <v>1199204.0</v>
      </c>
      <c r="S102" s="22">
        <f>IF(COUNT(M102,Q102)=2,M102/Q102,"n.d.")</f>
        <v>1170152.0</v>
      </c>
      <c r="T102" s="24">
        <f>IF(OR(COUNT(F102,M102)&lt;&gt;2,F102=0),"n.d.",M102/F102)</f>
        <v>0.97577393004026</v>
      </c>
      <c r="U102" s="24">
        <f>IF(OR(COUNT(G102,N102)&lt;&gt;2,G102=0),"n.d.",N102/G102)</f>
        <v>0.9370393767108866</v>
      </c>
      <c r="V102" s="22">
        <v>1170152</v>
      </c>
      <c r="W102" s="18" t="s">
        <v>265</v>
      </c>
    </row>
    <row r="103" spans="1:23" ht="19" customHeight="1">
      <c r="A103" s="18" t="s">
        <v>27</v>
      </c>
      <c r="B103" s="18" t="s">
        <v>72</v>
      </c>
      <c r="C103" s="18" t="s">
        <v>73</v>
      </c>
      <c r="D103" s="18" t="s">
        <v>10</v>
      </c>
      <c r="E103" s="25">
        <v>46143</v>
      </c>
      <c r="F103" s="22">
        <v>1425617</v>
      </c>
      <c r="G103" s="26">
        <v>5501</v>
      </c>
      <c r="H103" s="22">
        <v>1363390</v>
      </c>
      <c r="I103" s="22">
        <v>37569</v>
      </c>
      <c r="J103" s="22">
        <v>0</v>
      </c>
      <c r="K103" s="23" t="s">
        <v>51</v>
      </c>
      <c r="L103" s="23" t="s">
        <v>51</v>
      </c>
      <c r="M103" s="22">
        <f>V103</f>
        <v>1400959.0</v>
      </c>
      <c r="N103" s="26">
        <v>5067</v>
      </c>
      <c r="O103" s="22">
        <f>IF(COUNT(F103,M103)=2,F103-M103,"n.d.")</f>
        <v>24658.0</v>
      </c>
      <c r="P103" s="26">
        <f>IF(COUNT(G103,N103)=2,G103-N103,"n.d.")</f>
        <v>434.0</v>
      </c>
      <c r="Q103" s="27">
        <f>IF(COUNTIFS('Taux'!$A$6:$A$20,A103,'Taux'!$B$6:$B$20,D103)=1,SUMIFS('Taux'!$D$6:$D$20,'Taux'!$A$6:$A$20,A103,'Taux'!$B$6:$B$20,D103),"n.d.")</f>
        <v>1</v>
      </c>
      <c r="R103" s="22">
        <f>IF(COUNT(F103,Q103)=2,F103/Q103,"n.d.")</f>
        <v>1425617.0</v>
      </c>
      <c r="S103" s="22">
        <f>IF(COUNT(M103,Q103)=2,M103/Q103,"n.d.")</f>
        <v>1400959.0</v>
      </c>
      <c r="T103" s="24">
        <f>IF(OR(COUNT(F103,M103)&lt;&gt;2,F103=0),"n.d.",M103/F103)</f>
        <v>0.9827036293759124</v>
      </c>
      <c r="U103" s="24">
        <f>IF(OR(COUNT(G103,N103)&lt;&gt;2,G103=0),"n.d.",N103/G103)</f>
        <v>0.9211052535902563</v>
      </c>
      <c r="V103" s="22">
        <v>1400959</v>
      </c>
      <c r="W103" s="18" t="s">
        <v>266</v>
      </c>
    </row>
    <row r="104" spans="1:23" ht="19" customHeight="1">
      <c r="A104" s="18" t="s">
        <v>27</v>
      </c>
      <c r="B104" s="18" t="s">
        <v>72</v>
      </c>
      <c r="C104" s="18" t="s">
        <v>73</v>
      </c>
      <c r="D104" s="18" t="s">
        <v>10</v>
      </c>
      <c r="E104" s="25">
        <v>46174</v>
      </c>
      <c r="F104" s="22">
        <v>977488</v>
      </c>
      <c r="G104" s="26">
        <v>4259</v>
      </c>
      <c r="H104" s="22">
        <v>901639</v>
      </c>
      <c r="I104" s="22">
        <v>34867</v>
      </c>
      <c r="J104" s="22">
        <v>0</v>
      </c>
      <c r="K104" s="23" t="s">
        <v>51</v>
      </c>
      <c r="L104" s="23" t="s">
        <v>51</v>
      </c>
      <c r="M104" s="22">
        <f>V104</f>
        <v>936506.0</v>
      </c>
      <c r="N104" s="26">
        <v>3860</v>
      </c>
      <c r="O104" s="22">
        <f>IF(COUNT(F104,M104)=2,F104-M104,"n.d.")</f>
        <v>40982.0</v>
      </c>
      <c r="P104" s="26">
        <f>IF(COUNT(G104,N104)=2,G104-N104,"n.d.")</f>
        <v>399.0</v>
      </c>
      <c r="Q104" s="27">
        <f>IF(COUNTIFS('Taux'!$A$6:$A$20,A104,'Taux'!$B$6:$B$20,D104)=1,SUMIFS('Taux'!$D$6:$D$20,'Taux'!$A$6:$A$20,A104,'Taux'!$B$6:$B$20,D104),"n.d.")</f>
        <v>1</v>
      </c>
      <c r="R104" s="22">
        <f>IF(COUNT(F104,Q104)=2,F104/Q104,"n.d.")</f>
        <v>977488.0</v>
      </c>
      <c r="S104" s="22">
        <f>IF(COUNT(M104,Q104)=2,M104/Q104,"n.d.")</f>
        <v>936506.0</v>
      </c>
      <c r="T104" s="24">
        <f>IF(OR(COUNT(F104,M104)&lt;&gt;2,F104=0),"n.d.",M104/F104)</f>
        <v>0.9580741656163554</v>
      </c>
      <c r="U104" s="24">
        <f>IF(OR(COUNT(G104,N104)&lt;&gt;2,G104=0),"n.d.",N104/G104)</f>
        <v>0.9063160366283165</v>
      </c>
      <c r="V104" s="22">
        <v>936506</v>
      </c>
      <c r="W104" s="18" t="s">
        <v>267</v>
      </c>
    </row>
    <row r="105" spans="1:23" ht="19" customHeight="1">
      <c r="A105" s="18" t="s">
        <v>27</v>
      </c>
      <c r="B105" s="18" t="s">
        <v>72</v>
      </c>
      <c r="C105" s="18" t="s">
        <v>73</v>
      </c>
      <c r="D105" s="18" t="s">
        <v>10</v>
      </c>
      <c r="E105" s="25">
        <v>46204</v>
      </c>
      <c r="F105" s="22">
        <v>1234017</v>
      </c>
      <c r="G105" s="26">
        <v>4939</v>
      </c>
      <c r="H105" s="22">
        <v>1049130</v>
      </c>
      <c r="I105" s="22">
        <v>40480</v>
      </c>
      <c r="J105" s="22">
        <v>0</v>
      </c>
      <c r="K105" s="23" t="s">
        <v>51</v>
      </c>
      <c r="L105" s="23" t="s">
        <v>51</v>
      </c>
      <c r="M105" s="22">
        <f>V105</f>
        <v>1089611.0</v>
      </c>
      <c r="N105" s="26">
        <v>4184</v>
      </c>
      <c r="O105" s="22">
        <f>IF(COUNT(F105,M105)=2,F105-M105,"n.d.")</f>
        <v>144406.0</v>
      </c>
      <c r="P105" s="26">
        <f>IF(COUNT(G105,N105)=2,G105-N105,"n.d.")</f>
        <v>755.0</v>
      </c>
      <c r="Q105" s="27">
        <f>IF(COUNTIFS('Taux'!$A$6:$A$20,A105,'Taux'!$B$6:$B$20,D105)=1,SUMIFS('Taux'!$D$6:$D$20,'Taux'!$A$6:$A$20,A105,'Taux'!$B$6:$B$20,D105),"n.d.")</f>
        <v>1</v>
      </c>
      <c r="R105" s="22">
        <f>IF(COUNT(F105,Q105)=2,F105/Q105,"n.d.")</f>
        <v>1234017.0</v>
      </c>
      <c r="S105" s="22">
        <f>IF(COUNT(M105,Q105)=2,M105/Q105,"n.d.")</f>
        <v>1089611.0</v>
      </c>
      <c r="T105" s="24">
        <f>IF(OR(COUNT(F105,M105)&lt;&gt;2,F105=0),"n.d.",M105/F105)</f>
        <v>0.8829789216842232</v>
      </c>
      <c r="U105" s="24">
        <f>IF(OR(COUNT(G105,N105)&lt;&gt;2,G105=0),"n.d.",N105/G105)</f>
        <v>0.8471350475804819</v>
      </c>
      <c r="V105" s="22">
        <v>1089611</v>
      </c>
      <c r="W105" s="18" t="s">
        <v>268</v>
      </c>
    </row>
    <row r="106" spans="1:23" ht="19" customHeight="1">
      <c r="A106" s="18" t="s">
        <v>27</v>
      </c>
      <c r="B106" s="18" t="s">
        <v>72</v>
      </c>
      <c r="C106" s="18" t="s">
        <v>73</v>
      </c>
      <c r="D106" s="18" t="s">
        <v>10</v>
      </c>
      <c r="E106" s="25">
        <v>46235</v>
      </c>
      <c r="F106" s="22">
        <v>898183</v>
      </c>
      <c r="G106" s="26">
        <v>3997</v>
      </c>
      <c r="H106" s="22">
        <v>635297</v>
      </c>
      <c r="I106" s="22">
        <v>29482</v>
      </c>
      <c r="J106" s="22">
        <v>0</v>
      </c>
      <c r="K106" s="23" t="s">
        <v>51</v>
      </c>
      <c r="L106" s="23" t="s">
        <v>51</v>
      </c>
      <c r="M106" s="22">
        <f>V106</f>
        <v>664779.0</v>
      </c>
      <c r="N106" s="26">
        <v>2990</v>
      </c>
      <c r="O106" s="22">
        <f>IF(COUNT(F106,M106)=2,F106-M106,"n.d.")</f>
        <v>233404.0</v>
      </c>
      <c r="P106" s="26">
        <f>IF(COUNT(G106,N106)=2,G106-N106,"n.d.")</f>
        <v>1007.0</v>
      </c>
      <c r="Q106" s="27">
        <f>IF(COUNTIFS('Taux'!$A$6:$A$20,A106,'Taux'!$B$6:$B$20,D106)=1,SUMIFS('Taux'!$D$6:$D$20,'Taux'!$A$6:$A$20,A106,'Taux'!$B$6:$B$20,D106),"n.d.")</f>
        <v>1</v>
      </c>
      <c r="R106" s="22">
        <f>IF(COUNT(F106,Q106)=2,F106/Q106,"n.d.")</f>
        <v>898183.0</v>
      </c>
      <c r="S106" s="22">
        <f>IF(COUNT(M106,Q106)=2,M106/Q106,"n.d.")</f>
        <v>664779.0</v>
      </c>
      <c r="T106" s="24">
        <f>IF(OR(COUNT(F106,M106)&lt;&gt;2,F106=0),"n.d.",M106/F106)</f>
        <v>0.7401375888877879</v>
      </c>
      <c r="U106" s="24">
        <f>IF(OR(COUNT(G106,N106)&lt;&gt;2,G106=0),"n.d.",N106/G106)</f>
        <v>0.7480610457843383</v>
      </c>
      <c r="V106" s="22">
        <v>664779</v>
      </c>
      <c r="W106" s="18" t="s">
        <v>269</v>
      </c>
    </row>
    <row r="107" spans="1:23" ht="19" customHeight="1">
      <c r="A107" s="18" t="s">
        <v>27</v>
      </c>
      <c r="B107" s="18" t="s">
        <v>72</v>
      </c>
      <c r="C107" s="18" t="s">
        <v>73</v>
      </c>
      <c r="D107" s="18" t="s">
        <v>10</v>
      </c>
      <c r="E107" s="25">
        <v>46266</v>
      </c>
      <c r="F107" s="22">
        <v>820358</v>
      </c>
      <c r="G107" s="26">
        <v>3487</v>
      </c>
      <c r="H107" s="22">
        <v>252064</v>
      </c>
      <c r="I107" s="22">
        <v>22786</v>
      </c>
      <c r="J107" s="22">
        <v>0</v>
      </c>
      <c r="K107" s="23" t="s">
        <v>51</v>
      </c>
      <c r="L107" s="23" t="s">
        <v>51</v>
      </c>
      <c r="M107" s="22">
        <f>V107</f>
        <v>274850.0</v>
      </c>
      <c r="N107" s="26">
        <v>1415</v>
      </c>
      <c r="O107" s="22">
        <f>IF(COUNT(F107,M107)=2,F107-M107,"n.d.")</f>
        <v>545508.0</v>
      </c>
      <c r="P107" s="26">
        <f>IF(COUNT(G107,N107)=2,G107-N107,"n.d.")</f>
        <v>2072.0</v>
      </c>
      <c r="Q107" s="27">
        <f>IF(COUNTIFS('Taux'!$A$6:$A$20,A107,'Taux'!$B$6:$B$20,D107)=1,SUMIFS('Taux'!$D$6:$D$20,'Taux'!$A$6:$A$20,A107,'Taux'!$B$6:$B$20,D107),"n.d.")</f>
        <v>1</v>
      </c>
      <c r="R107" s="22">
        <f>IF(COUNT(F107,Q107)=2,F107/Q107,"n.d.")</f>
        <v>820358.0</v>
      </c>
      <c r="S107" s="22">
        <f>IF(COUNT(M107,Q107)=2,M107/Q107,"n.d.")</f>
        <v>274850.0</v>
      </c>
      <c r="T107" s="24">
        <f>IF(OR(COUNT(F107,M107)&lt;&gt;2,F107=0),"n.d.",M107/F107)</f>
        <v>0.33503665472878913</v>
      </c>
      <c r="U107" s="24">
        <f>IF(OR(COUNT(G107,N107)&lt;&gt;2,G107=0),"n.d.",N107/G107)</f>
        <v>0.4057929452251219</v>
      </c>
      <c r="V107" s="22">
        <v>274850</v>
      </c>
      <c r="W107" s="18" t="s">
        <v>270</v>
      </c>
    </row>
    <row r="108" spans="1:23" ht="19" customHeight="1">
      <c r="A108" s="18" t="s">
        <v>27</v>
      </c>
      <c r="B108" s="18" t="s">
        <v>77</v>
      </c>
      <c r="C108" s="18" t="s">
        <v>78</v>
      </c>
      <c r="D108" s="18" t="s">
        <v>10</v>
      </c>
      <c r="E108" s="25">
        <v>46113</v>
      </c>
      <c r="F108" s="22">
        <v>4060466</v>
      </c>
      <c r="G108" s="26">
        <v>3126</v>
      </c>
      <c r="H108" s="22">
        <v>2347164</v>
      </c>
      <c r="I108" s="22">
        <v>1136</v>
      </c>
      <c r="J108" s="22">
        <v>1699865</v>
      </c>
      <c r="K108" s="23" t="s">
        <v>51</v>
      </c>
      <c r="L108" s="23" t="s">
        <v>51</v>
      </c>
      <c r="M108" s="22">
        <f>V108</f>
        <v>4048164.0</v>
      </c>
      <c r="N108" s="26">
        <v>2938</v>
      </c>
      <c r="O108" s="22">
        <f>IF(COUNT(F108,M108)=2,F108-M108,"n.d.")</f>
        <v>12302.0</v>
      </c>
      <c r="P108" s="26">
        <f>IF(COUNT(G108,N108)=2,G108-N108,"n.d.")</f>
        <v>188.0</v>
      </c>
      <c r="Q108" s="27">
        <f>IF(COUNTIFS('Taux'!$A$6:$A$20,A108,'Taux'!$B$6:$B$20,D108)=1,SUMIFS('Taux'!$D$6:$D$20,'Taux'!$A$6:$A$20,A108,'Taux'!$B$6:$B$20,D108),"n.d.")</f>
        <v>1</v>
      </c>
      <c r="R108" s="22">
        <f>IF(COUNT(F108,Q108)=2,F108/Q108,"n.d.")</f>
        <v>4060466.0</v>
      </c>
      <c r="S108" s="22">
        <f>IF(COUNT(M108,Q108)=2,M108/Q108,"n.d.")</f>
        <v>4048164.0</v>
      </c>
      <c r="T108" s="24">
        <f>IF(OR(COUNT(F108,M108)&lt;&gt;2,F108=0),"n.d.",M108/F108)</f>
        <v>0.996970298482982</v>
      </c>
      <c r="U108" s="24">
        <f>IF(OR(COUNT(G108,N108)&lt;&gt;2,G108=0),"n.d.",N108/G108)</f>
        <v>0.9398592450415867</v>
      </c>
      <c r="V108" s="22">
        <v>4048164</v>
      </c>
      <c r="W108" s="18" t="s">
        <v>271</v>
      </c>
    </row>
    <row r="109" spans="1:23" ht="19" customHeight="1">
      <c r="A109" s="18" t="s">
        <v>27</v>
      </c>
      <c r="B109" s="18" t="s">
        <v>77</v>
      </c>
      <c r="C109" s="18" t="s">
        <v>78</v>
      </c>
      <c r="D109" s="18" t="s">
        <v>10</v>
      </c>
      <c r="E109" s="25">
        <v>46143</v>
      </c>
      <c r="F109" s="22">
        <v>3650675</v>
      </c>
      <c r="G109" s="26">
        <v>3258</v>
      </c>
      <c r="H109" s="22">
        <v>1989474</v>
      </c>
      <c r="I109" s="22">
        <v>0</v>
      </c>
      <c r="J109" s="22">
        <v>1639479</v>
      </c>
      <c r="K109" s="23" t="s">
        <v>51</v>
      </c>
      <c r="L109" s="23" t="s">
        <v>51</v>
      </c>
      <c r="M109" s="22">
        <f>V109</f>
        <v>3628953.0</v>
      </c>
      <c r="N109" s="26">
        <v>2880</v>
      </c>
      <c r="O109" s="22">
        <f>IF(COUNT(F109,M109)=2,F109-M109,"n.d.")</f>
        <v>21722.0</v>
      </c>
      <c r="P109" s="26">
        <f>IF(COUNT(G109,N109)=2,G109-N109,"n.d.")</f>
        <v>378.0</v>
      </c>
      <c r="Q109" s="27">
        <f>IF(COUNTIFS('Taux'!$A$6:$A$20,A109,'Taux'!$B$6:$B$20,D109)=1,SUMIFS('Taux'!$D$6:$D$20,'Taux'!$A$6:$A$20,A109,'Taux'!$B$6:$B$20,D109),"n.d.")</f>
        <v>1</v>
      </c>
      <c r="R109" s="22">
        <f>IF(COUNT(F109,Q109)=2,F109/Q109,"n.d.")</f>
        <v>3650675.0</v>
      </c>
      <c r="S109" s="22">
        <f>IF(COUNT(M109,Q109)=2,M109/Q109,"n.d.")</f>
        <v>3628953.0</v>
      </c>
      <c r="T109" s="24">
        <f>IF(OR(COUNT(F109,M109)&lt;&gt;2,F109=0),"n.d.",M109/F109)</f>
        <v>0.9940498674902587</v>
      </c>
      <c r="U109" s="24">
        <f>IF(OR(COUNT(G109,N109)&lt;&gt;2,G109=0),"n.d.",N109/G109)</f>
        <v>0.8839779005524862</v>
      </c>
      <c r="V109" s="22">
        <v>3628953</v>
      </c>
      <c r="W109" s="18" t="s">
        <v>272</v>
      </c>
    </row>
    <row r="110" spans="1:23" ht="19" customHeight="1">
      <c r="A110" s="18" t="s">
        <v>27</v>
      </c>
      <c r="B110" s="18" t="s">
        <v>77</v>
      </c>
      <c r="C110" s="18" t="s">
        <v>78</v>
      </c>
      <c r="D110" s="18" t="s">
        <v>10</v>
      </c>
      <c r="E110" s="25">
        <v>46174</v>
      </c>
      <c r="F110" s="22">
        <v>2534318</v>
      </c>
      <c r="G110" s="26">
        <v>2789</v>
      </c>
      <c r="H110" s="22">
        <v>418075</v>
      </c>
      <c r="I110" s="22">
        <v>3785</v>
      </c>
      <c r="J110" s="22">
        <v>2090995</v>
      </c>
      <c r="K110" s="23" t="s">
        <v>51</v>
      </c>
      <c r="L110" s="23" t="s">
        <v>51</v>
      </c>
      <c r="M110" s="22">
        <f>V110</f>
        <v>2512855.0</v>
      </c>
      <c r="N110" s="26">
        <v>2335</v>
      </c>
      <c r="O110" s="22">
        <f>IF(COUNT(F110,M110)=2,F110-M110,"n.d.")</f>
        <v>21463.0</v>
      </c>
      <c r="P110" s="26">
        <f>IF(COUNT(G110,N110)=2,G110-N110,"n.d.")</f>
        <v>454.0</v>
      </c>
      <c r="Q110" s="27">
        <f>IF(COUNTIFS('Taux'!$A$6:$A$20,A110,'Taux'!$B$6:$B$20,D110)=1,SUMIFS('Taux'!$D$6:$D$20,'Taux'!$A$6:$A$20,A110,'Taux'!$B$6:$B$20,D110),"n.d.")</f>
        <v>1</v>
      </c>
      <c r="R110" s="22">
        <f>IF(COUNT(F110,Q110)=2,F110/Q110,"n.d.")</f>
        <v>2534318.0</v>
      </c>
      <c r="S110" s="22">
        <f>IF(COUNT(M110,Q110)=2,M110/Q110,"n.d.")</f>
        <v>2512855.0</v>
      </c>
      <c r="T110" s="24">
        <f>IF(OR(COUNT(F110,M110)&lt;&gt;2,F110=0),"n.d.",M110/F110)</f>
        <v>0.9915310549031338</v>
      </c>
      <c r="U110" s="24">
        <f>IF(OR(COUNT(G110,N110)&lt;&gt;2,G110=0),"n.d.",N110/G110)</f>
        <v>0.837217640731445</v>
      </c>
      <c r="V110" s="22">
        <v>2512855</v>
      </c>
      <c r="W110" s="18" t="s">
        <v>273</v>
      </c>
    </row>
    <row r="111" spans="1:23" ht="19" customHeight="1">
      <c r="A111" s="18" t="s">
        <v>27</v>
      </c>
      <c r="B111" s="18" t="s">
        <v>77</v>
      </c>
      <c r="C111" s="18" t="s">
        <v>78</v>
      </c>
      <c r="D111" s="18" t="s">
        <v>10</v>
      </c>
      <c r="E111" s="25">
        <v>46204</v>
      </c>
      <c r="F111" s="22">
        <v>1649935</v>
      </c>
      <c r="G111" s="26">
        <v>2993</v>
      </c>
      <c r="H111" s="22">
        <v>109120</v>
      </c>
      <c r="I111" s="22">
        <v>17939</v>
      </c>
      <c r="J111" s="22">
        <v>1478610</v>
      </c>
      <c r="K111" s="23" t="s">
        <v>51</v>
      </c>
      <c r="L111" s="23" t="s">
        <v>51</v>
      </c>
      <c r="M111" s="22">
        <f>V111</f>
        <v>1605668.0</v>
      </c>
      <c r="N111" s="26">
        <v>1896</v>
      </c>
      <c r="O111" s="22">
        <f>IF(COUNT(F111,M111)=2,F111-M111,"n.d.")</f>
        <v>44267.0</v>
      </c>
      <c r="P111" s="26">
        <f>IF(COUNT(G111,N111)=2,G111-N111,"n.d.")</f>
        <v>1097.0</v>
      </c>
      <c r="Q111" s="27">
        <f>IF(COUNTIFS('Taux'!$A$6:$A$20,A111,'Taux'!$B$6:$B$20,D111)=1,SUMIFS('Taux'!$D$6:$D$20,'Taux'!$A$6:$A$20,A111,'Taux'!$B$6:$B$20,D111),"n.d.")</f>
        <v>1</v>
      </c>
      <c r="R111" s="22">
        <f>IF(COUNT(F111,Q111)=2,F111/Q111,"n.d.")</f>
        <v>1649935.0</v>
      </c>
      <c r="S111" s="22">
        <f>IF(COUNT(M111,Q111)=2,M111/Q111,"n.d.")</f>
        <v>1605668.0</v>
      </c>
      <c r="T111" s="24">
        <f>IF(OR(COUNT(F111,M111)&lt;&gt;2,F111=0),"n.d.",M111/F111)</f>
        <v>0.9731704582301727</v>
      </c>
      <c r="U111" s="24">
        <f>IF(OR(COUNT(G111,N111)&lt;&gt;2,G111=0),"n.d.",N111/G111)</f>
        <v>0.6334781156030739</v>
      </c>
      <c r="V111" s="22">
        <v>1605668</v>
      </c>
      <c r="W111" s="18" t="s">
        <v>274</v>
      </c>
    </row>
    <row r="112" spans="1:23" ht="19" customHeight="1">
      <c r="A112" s="18" t="s">
        <v>27</v>
      </c>
      <c r="B112" s="18" t="s">
        <v>77</v>
      </c>
      <c r="C112" s="18" t="s">
        <v>78</v>
      </c>
      <c r="D112" s="18" t="s">
        <v>10</v>
      </c>
      <c r="E112" s="25">
        <v>46235</v>
      </c>
      <c r="F112" s="22">
        <v>1234586</v>
      </c>
      <c r="G112" s="26">
        <v>2780</v>
      </c>
      <c r="H112" s="22">
        <v>83327</v>
      </c>
      <c r="I112" s="22">
        <v>6237</v>
      </c>
      <c r="J112" s="22">
        <v>1110613</v>
      </c>
      <c r="K112" s="23" t="s">
        <v>51</v>
      </c>
      <c r="L112" s="23" t="s">
        <v>51</v>
      </c>
      <c r="M112" s="22">
        <f>V112</f>
        <v>1200177.0</v>
      </c>
      <c r="N112" s="26">
        <v>1378</v>
      </c>
      <c r="O112" s="22">
        <f>IF(COUNT(F112,M112)=2,F112-M112,"n.d.")</f>
        <v>34409.0</v>
      </c>
      <c r="P112" s="26">
        <f>IF(COUNT(G112,N112)=2,G112-N112,"n.d.")</f>
        <v>1402.0</v>
      </c>
      <c r="Q112" s="27">
        <f>IF(COUNTIFS('Taux'!$A$6:$A$20,A112,'Taux'!$B$6:$B$20,D112)=1,SUMIFS('Taux'!$D$6:$D$20,'Taux'!$A$6:$A$20,A112,'Taux'!$B$6:$B$20,D112),"n.d.")</f>
        <v>1</v>
      </c>
      <c r="R112" s="22">
        <f>IF(COUNT(F112,Q112)=2,F112/Q112,"n.d.")</f>
        <v>1234586.0</v>
      </c>
      <c r="S112" s="22">
        <f>IF(COUNT(M112,Q112)=2,M112/Q112,"n.d.")</f>
        <v>1200177.0</v>
      </c>
      <c r="T112" s="24">
        <f>IF(OR(COUNT(F112,M112)&lt;&gt;2,F112=0),"n.d.",M112/F112)</f>
        <v>0.9721291185871215</v>
      </c>
      <c r="U112" s="24">
        <f>IF(OR(COUNT(G112,N112)&lt;&gt;2,G112=0),"n.d.",N112/G112)</f>
        <v>0.4956834532374101</v>
      </c>
      <c r="V112" s="22">
        <v>1200177</v>
      </c>
      <c r="W112" s="18" t="s">
        <v>275</v>
      </c>
    </row>
    <row r="113" spans="1:23" ht="19" customHeight="1">
      <c r="A113" s="18" t="s">
        <v>27</v>
      </c>
      <c r="B113" s="18" t="s">
        <v>77</v>
      </c>
      <c r="C113" s="18" t="s">
        <v>78</v>
      </c>
      <c r="D113" s="18" t="s">
        <v>10</v>
      </c>
      <c r="E113" s="25">
        <v>46266</v>
      </c>
      <c r="F113" s="22">
        <v>1001410</v>
      </c>
      <c r="G113" s="26">
        <v>2643</v>
      </c>
      <c r="H113" s="22">
        <v>54571</v>
      </c>
      <c r="I113" s="22">
        <v>149</v>
      </c>
      <c r="J113" s="22">
        <v>914999</v>
      </c>
      <c r="K113" s="23" t="s">
        <v>51</v>
      </c>
      <c r="L113" s="23" t="s">
        <v>51</v>
      </c>
      <c r="M113" s="22">
        <f>V113</f>
        <v>969719.0</v>
      </c>
      <c r="N113" s="26">
        <v>1319</v>
      </c>
      <c r="O113" s="22">
        <f>IF(COUNT(F113,M113)=2,F113-M113,"n.d.")</f>
        <v>31691.0</v>
      </c>
      <c r="P113" s="26">
        <f>IF(COUNT(G113,N113)=2,G113-N113,"n.d.")</f>
        <v>1324.0</v>
      </c>
      <c r="Q113" s="27">
        <f>IF(COUNTIFS('Taux'!$A$6:$A$20,A113,'Taux'!$B$6:$B$20,D113)=1,SUMIFS('Taux'!$D$6:$D$20,'Taux'!$A$6:$A$20,A113,'Taux'!$B$6:$B$20,D113),"n.d.")</f>
        <v>1</v>
      </c>
      <c r="R113" s="22">
        <f>IF(COUNT(F113,Q113)=2,F113/Q113,"n.d.")</f>
        <v>1001410.0</v>
      </c>
      <c r="S113" s="22">
        <f>IF(COUNT(M113,Q113)=2,M113/Q113,"n.d.")</f>
        <v>969719.0</v>
      </c>
      <c r="T113" s="24">
        <f>IF(OR(COUNT(F113,M113)&lt;&gt;2,F113=0),"n.d.",M113/F113)</f>
        <v>0.9683536213938347</v>
      </c>
      <c r="U113" s="24">
        <f>IF(OR(COUNT(G113,N113)&lt;&gt;2,G113=0),"n.d.",N113/G113)</f>
        <v>0.49905410518350357</v>
      </c>
      <c r="V113" s="22">
        <v>969719</v>
      </c>
      <c r="W113" s="18" t="s">
        <v>276</v>
      </c>
    </row>
    <row r="114" spans="1:23" ht="19" customHeight="1">
      <c r="A114" s="18" t="s">
        <v>27</v>
      </c>
      <c r="B114" s="18" t="s">
        <v>82</v>
      </c>
      <c r="C114" s="18" t="s">
        <v>82</v>
      </c>
      <c r="D114" s="18" t="s">
        <v>19</v>
      </c>
      <c r="E114" s="25">
        <v>46113</v>
      </c>
      <c r="F114" s="22">
        <v>103356</v>
      </c>
      <c r="G114" s="26">
        <v>2185</v>
      </c>
      <c r="H114" s="22">
        <v>78140</v>
      </c>
      <c r="I114" s="22">
        <v>2351</v>
      </c>
      <c r="J114" s="22">
        <v>1484</v>
      </c>
      <c r="K114" s="23" t="s">
        <v>51</v>
      </c>
      <c r="L114" s="23" t="s">
        <v>51</v>
      </c>
      <c r="M114" s="22">
        <f>V114</f>
        <v>81975.0</v>
      </c>
      <c r="N114" s="26">
        <v>1519</v>
      </c>
      <c r="O114" s="22">
        <f>IF(COUNT(F114,M114)=2,F114-M114,"n.d.")</f>
        <v>21381.0</v>
      </c>
      <c r="P114" s="26">
        <f>IF(COUNT(G114,N114)=2,G114-N114,"n.d.")</f>
        <v>666.0</v>
      </c>
      <c r="Q114" s="27">
        <f>IF(COUNTIFS('Taux'!$A$6:$A$20,A114,'Taux'!$B$6:$B$20,D114)=1,SUMIFS('Taux'!$D$6:$D$20,'Taux'!$A$6:$A$20,A114,'Taux'!$B$6:$B$20,D114),"n.d.")</f>
        <v>0.85443381</v>
      </c>
      <c r="R114" s="22">
        <f>IF(COUNT(F114,Q114)=2,F114/Q114,"n.d.")</f>
        <v>120964.31436859925</v>
      </c>
      <c r="S114" s="22">
        <f>IF(COUNT(M114,Q114)=2,M114/Q114,"n.d.")</f>
        <v>95940.7259410767</v>
      </c>
      <c r="T114" s="24">
        <f>IF(OR(COUNT(F114,M114)&lt;&gt;2,F114=0),"n.d.",M114/F114)</f>
        <v>0.793132474166957</v>
      </c>
      <c r="U114" s="24">
        <f>IF(OR(COUNT(G114,N114)&lt;&gt;2,G114=0),"n.d.",N114/G114)</f>
        <v>0.6951945080091533</v>
      </c>
      <c r="V114" s="22">
        <v>81975</v>
      </c>
      <c r="W114" s="18" t="s">
        <v>277</v>
      </c>
    </row>
    <row r="115" spans="1:23" ht="19" customHeight="1">
      <c r="A115" s="18" t="s">
        <v>27</v>
      </c>
      <c r="B115" s="18" t="s">
        <v>82</v>
      </c>
      <c r="C115" s="18" t="s">
        <v>82</v>
      </c>
      <c r="D115" s="18" t="s">
        <v>19</v>
      </c>
      <c r="E115" s="25">
        <v>46143</v>
      </c>
      <c r="F115" s="22">
        <v>145777</v>
      </c>
      <c r="G115" s="26">
        <v>4446</v>
      </c>
      <c r="H115" s="22">
        <v>110936</v>
      </c>
      <c r="I115" s="22">
        <v>2383</v>
      </c>
      <c r="J115" s="22">
        <v>2026</v>
      </c>
      <c r="K115" s="23" t="s">
        <v>51</v>
      </c>
      <c r="L115" s="23" t="s">
        <v>51</v>
      </c>
      <c r="M115" s="22">
        <f>V115</f>
        <v>115345.0</v>
      </c>
      <c r="N115" s="26">
        <v>2573</v>
      </c>
      <c r="O115" s="22">
        <f>IF(COUNT(F115,M115)=2,F115-M115,"n.d.")</f>
        <v>30432.0</v>
      </c>
      <c r="P115" s="26">
        <f>IF(COUNT(G115,N115)=2,G115-N115,"n.d.")</f>
        <v>1873.0</v>
      </c>
      <c r="Q115" s="27">
        <f>IF(COUNTIFS('Taux'!$A$6:$A$20,A115,'Taux'!$B$6:$B$20,D115)=1,SUMIFS('Taux'!$D$6:$D$20,'Taux'!$A$6:$A$20,A115,'Taux'!$B$6:$B$20,D115),"n.d.")</f>
        <v>0.85443381</v>
      </c>
      <c r="R115" s="22">
        <f>IF(COUNT(F115,Q115)=2,F115/Q115,"n.d.")</f>
        <v>170612.39652958023</v>
      </c>
      <c r="S115" s="22">
        <f>IF(COUNT(M115,Q115)=2,M115/Q115,"n.d.")</f>
        <v>134995.82840711792</v>
      </c>
      <c r="T115" s="24">
        <f>IF(OR(COUNT(F115,M115)&lt;&gt;2,F115=0),"n.d.",M115/F115)</f>
        <v>0.7912427886429272</v>
      </c>
      <c r="U115" s="24">
        <f>IF(OR(COUNT(G115,N115)&lt;&gt;2,G115=0),"n.d.",N115/G115)</f>
        <v>0.5787224471434997</v>
      </c>
      <c r="V115" s="22">
        <v>115345</v>
      </c>
      <c r="W115" s="18" t="s">
        <v>278</v>
      </c>
    </row>
    <row r="116" spans="1:23" ht="19" customHeight="1">
      <c r="A116" s="18" t="s">
        <v>27</v>
      </c>
      <c r="B116" s="18" t="s">
        <v>82</v>
      </c>
      <c r="C116" s="18" t="s">
        <v>82</v>
      </c>
      <c r="D116" s="18" t="s">
        <v>19</v>
      </c>
      <c r="E116" s="25">
        <v>46174</v>
      </c>
      <c r="F116" s="22">
        <v>79929</v>
      </c>
      <c r="G116" s="26">
        <v>4121</v>
      </c>
      <c r="H116" s="22">
        <v>53420</v>
      </c>
      <c r="I116" s="22">
        <v>3252</v>
      </c>
      <c r="J116" s="22">
        <v>8481</v>
      </c>
      <c r="K116" s="23" t="s">
        <v>51</v>
      </c>
      <c r="L116" s="23" t="s">
        <v>51</v>
      </c>
      <c r="M116" s="22">
        <f>V116</f>
        <v>65153.0</v>
      </c>
      <c r="N116" s="26">
        <v>1541</v>
      </c>
      <c r="O116" s="22">
        <f>IF(COUNT(F116,M116)=2,F116-M116,"n.d.")</f>
        <v>14776.0</v>
      </c>
      <c r="P116" s="26">
        <f>IF(COUNT(G116,N116)=2,G116-N116,"n.d.")</f>
        <v>2580.0</v>
      </c>
      <c r="Q116" s="27">
        <f>IF(COUNTIFS('Taux'!$A$6:$A$20,A116,'Taux'!$B$6:$B$20,D116)=1,SUMIFS('Taux'!$D$6:$D$20,'Taux'!$A$6:$A$20,A116,'Taux'!$B$6:$B$20,D116),"n.d.")</f>
        <v>0.85443381</v>
      </c>
      <c r="R116" s="22">
        <f>IF(COUNT(F116,Q116)=2,F116/Q116,"n.d.")</f>
        <v>93546.15777669192</v>
      </c>
      <c r="S116" s="22">
        <f>IF(COUNT(M116,Q116)=2,M116/Q116,"n.d.")</f>
        <v>76252.8346110274</v>
      </c>
      <c r="T116" s="24">
        <f>IF(OR(COUNT(F116,M116)&lt;&gt;2,F116=0),"n.d.",M116/F116)</f>
        <v>0.8151359331406623</v>
      </c>
      <c r="U116" s="24">
        <f>IF(OR(COUNT(G116,N116)&lt;&gt;2,G116=0),"n.d.",N116/G116)</f>
        <v>0.37393836447464207</v>
      </c>
      <c r="V116" s="22">
        <v>65153</v>
      </c>
      <c r="W116" s="18" t="s">
        <v>279</v>
      </c>
    </row>
    <row r="117" spans="1:23" ht="19" customHeight="1">
      <c r="A117" s="18" t="s">
        <v>27</v>
      </c>
      <c r="B117" s="18" t="s">
        <v>82</v>
      </c>
      <c r="C117" s="18" t="s">
        <v>82</v>
      </c>
      <c r="D117" s="18" t="s">
        <v>19</v>
      </c>
      <c r="E117" s="25">
        <v>46204</v>
      </c>
      <c r="F117" s="22">
        <v>114841</v>
      </c>
      <c r="G117" s="26">
        <v>1636</v>
      </c>
      <c r="H117" s="22">
        <v>68133</v>
      </c>
      <c r="I117" s="22">
        <v>2678</v>
      </c>
      <c r="J117" s="22">
        <v>11187</v>
      </c>
      <c r="K117" s="23" t="s">
        <v>51</v>
      </c>
      <c r="L117" s="23" t="s">
        <v>51</v>
      </c>
      <c r="M117" s="22">
        <f>V117</f>
        <v>81998.0</v>
      </c>
      <c r="N117" s="26">
        <v>732</v>
      </c>
      <c r="O117" s="22">
        <f>IF(COUNT(F117,M117)=2,F117-M117,"n.d.")</f>
        <v>32843.0</v>
      </c>
      <c r="P117" s="26">
        <f>IF(COUNT(G117,N117)=2,G117-N117,"n.d.")</f>
        <v>904.0</v>
      </c>
      <c r="Q117" s="27">
        <f>IF(COUNTIFS('Taux'!$A$6:$A$20,A117,'Taux'!$B$6:$B$20,D117)=1,SUMIFS('Taux'!$D$6:$D$20,'Taux'!$A$6:$A$20,A117,'Taux'!$B$6:$B$20,D117),"n.d.")</f>
        <v>0.85443381</v>
      </c>
      <c r="R117" s="22">
        <f>IF(COUNT(F117,Q117)=2,F117/Q117,"n.d.")</f>
        <v>134405.9641085598</v>
      </c>
      <c r="S117" s="22">
        <f>IF(COUNT(M117,Q117)=2,M117/Q117,"n.d.")</f>
        <v>95967.64435152677</v>
      </c>
      <c r="T117" s="24">
        <f>IF(OR(COUNT(F117,M117)&lt;&gt;2,F117=0),"n.d.",M117/F117)</f>
        <v>0.714013287937235</v>
      </c>
      <c r="U117" s="24">
        <f>IF(OR(COUNT(G117,N117)&lt;&gt;2,G117=0),"n.d.",N117/G117)</f>
        <v>0.4474327628361858</v>
      </c>
      <c r="V117" s="22">
        <v>81998</v>
      </c>
      <c r="W117" s="18" t="s">
        <v>280</v>
      </c>
    </row>
    <row r="118" spans="1:23" ht="19" customHeight="1">
      <c r="A118" s="18" t="s">
        <v>27</v>
      </c>
      <c r="B118" s="18" t="s">
        <v>82</v>
      </c>
      <c r="C118" s="18" t="s">
        <v>82</v>
      </c>
      <c r="D118" s="18" t="s">
        <v>19</v>
      </c>
      <c r="E118" s="25">
        <v>46235</v>
      </c>
      <c r="F118" s="22">
        <v>134216</v>
      </c>
      <c r="G118" s="26">
        <v>2515</v>
      </c>
      <c r="H118" s="22">
        <v>92823</v>
      </c>
      <c r="I118" s="22">
        <v>1958</v>
      </c>
      <c r="J118" s="22">
        <v>1245</v>
      </c>
      <c r="K118" s="23" t="s">
        <v>51</v>
      </c>
      <c r="L118" s="23" t="s">
        <v>51</v>
      </c>
      <c r="M118" s="22">
        <f>V118</f>
        <v>96026.0</v>
      </c>
      <c r="N118" s="26">
        <v>1154</v>
      </c>
      <c r="O118" s="22">
        <f>IF(COUNT(F118,M118)=2,F118-M118,"n.d.")</f>
        <v>38190.0</v>
      </c>
      <c r="P118" s="26">
        <f>IF(COUNT(G118,N118)=2,G118-N118,"n.d.")</f>
        <v>1361.0</v>
      </c>
      <c r="Q118" s="27">
        <f>IF(COUNTIFS('Taux'!$A$6:$A$20,A118,'Taux'!$B$6:$B$20,D118)=1,SUMIFS('Taux'!$D$6:$D$20,'Taux'!$A$6:$A$20,A118,'Taux'!$B$6:$B$20,D118),"n.d.")</f>
        <v>0.85443381</v>
      </c>
      <c r="R118" s="22">
        <f>IF(COUNT(F118,Q118)=2,F118/Q118,"n.d.")</f>
        <v>157081.79899856725</v>
      </c>
      <c r="S118" s="22">
        <f>IF(COUNT(M118,Q118)=2,M118/Q118,"n.d.")</f>
        <v>112385.53399472804</v>
      </c>
      <c r="T118" s="24">
        <f>IF(OR(COUNT(F118,M118)&lt;&gt;2,F118=0),"n.d.",M118/F118)</f>
        <v>0.7154586636466591</v>
      </c>
      <c r="U118" s="24">
        <f>IF(OR(COUNT(G118,N118)&lt;&gt;2,G118=0),"n.d.",N118/G118)</f>
        <v>0.4588469184890656</v>
      </c>
      <c r="V118" s="22">
        <v>96026</v>
      </c>
      <c r="W118" s="18" t="s">
        <v>281</v>
      </c>
    </row>
    <row r="119" spans="1:23" ht="19" customHeight="1">
      <c r="A119" s="18" t="s">
        <v>27</v>
      </c>
      <c r="B119" s="18" t="s">
        <v>82</v>
      </c>
      <c r="C119" s="18" t="s">
        <v>82</v>
      </c>
      <c r="D119" s="18" t="s">
        <v>19</v>
      </c>
      <c r="E119" s="25">
        <v>46266</v>
      </c>
      <c r="F119" s="22">
        <v>505169</v>
      </c>
      <c r="G119" s="26">
        <v>1483</v>
      </c>
      <c r="H119" s="22">
        <v>0</v>
      </c>
      <c r="I119" s="22">
        <v>405</v>
      </c>
      <c r="J119" s="22">
        <v>228</v>
      </c>
      <c r="K119" s="23" t="s">
        <v>51</v>
      </c>
      <c r="L119" s="23" t="s">
        <v>51</v>
      </c>
      <c r="M119" s="22">
        <f>V119</f>
        <v>633.0</v>
      </c>
      <c r="N119" s="26">
        <v>24</v>
      </c>
      <c r="O119" s="22">
        <f>IF(COUNT(F119,M119)=2,F119-M119,"n.d.")</f>
        <v>504536.0</v>
      </c>
      <c r="P119" s="26">
        <f>IF(COUNT(G119,N119)=2,G119-N119,"n.d.")</f>
        <v>1459.0</v>
      </c>
      <c r="Q119" s="27">
        <f>IF(COUNTIFS('Taux'!$A$6:$A$20,A119,'Taux'!$B$6:$B$20,D119)=1,SUMIFS('Taux'!$D$6:$D$20,'Taux'!$A$6:$A$20,A119,'Taux'!$B$6:$B$20,D119),"n.d.")</f>
        <v>0.85443381</v>
      </c>
      <c r="R119" s="22">
        <f>IF(COUNT(F119,Q119)=2,F119/Q119,"n.d.")</f>
        <v>591232.4560283961</v>
      </c>
      <c r="S119" s="22">
        <f>IF(COUNT(M119,Q119)=2,M119/Q119,"n.d.")</f>
        <v>740.8414702128887</v>
      </c>
      <c r="T119" s="24">
        <f>IF(OR(COUNT(F119,M119)&lt;&gt;2,F119=0),"n.d.",M119/F119)</f>
        <v>0.0012530460103450528</v>
      </c>
      <c r="U119" s="24">
        <f>IF(OR(COUNT(G119,N119)&lt;&gt;2,G119=0),"n.d.",N119/G119)</f>
        <v>0.016183412002697236</v>
      </c>
      <c r="V119" s="22">
        <v>633</v>
      </c>
      <c r="W119" s="18" t="s">
        <v>282</v>
      </c>
    </row>
    <row r="120" spans="1:23" ht="19" customHeight="1">
      <c r="A120" s="18" t="s">
        <v>27</v>
      </c>
      <c r="B120" s="18" t="s">
        <v>91</v>
      </c>
      <c r="C120" s="18" t="s">
        <v>92</v>
      </c>
      <c r="D120" s="18" t="s">
        <v>16</v>
      </c>
      <c r="E120" s="25">
        <v>46113</v>
      </c>
      <c r="F120" s="22">
        <v>112393.3500000001</v>
      </c>
      <c r="G120" s="26">
        <v>359</v>
      </c>
      <c r="H120" s="22">
        <v>99722.84000000005</v>
      </c>
      <c r="I120" s="23" t="s">
        <v>51</v>
      </c>
      <c r="J120" s="23" t="s">
        <v>51</v>
      </c>
      <c r="K120" s="22">
        <v>0</v>
      </c>
      <c r="L120" s="22">
        <v>12670.51</v>
      </c>
      <c r="M120" s="22">
        <f>V120</f>
        <v>112393.35000000005</v>
      </c>
      <c r="N120" s="26">
        <v>359</v>
      </c>
      <c r="O120" s="22">
        <f>IF(COUNT(F120,M120)=2,F120-M120,"n.d.")</f>
        <v>1.4551915228366852e-11</v>
      </c>
      <c r="P120" s="26">
        <f>IF(COUNT(G120,N120)=2,G120-N120,"n.d.")</f>
        <v>0</v>
      </c>
      <c r="Q120" s="27">
        <f>IF(COUNTIFS('Taux'!$A$6:$A$20,A120,'Taux'!$B$6:$B$20,D120)=1,SUMIFS('Taux'!$D$6:$D$20,'Taux'!$A$6:$A$20,A120,'Taux'!$B$6:$B$20,D120),"n.d.")</f>
        <v>7.47595715</v>
      </c>
      <c r="R120" s="22">
        <f>IF(COUNT(F120,Q120)=2,F120/Q120,"n.d.")</f>
        <v>15033.974612869479</v>
      </c>
      <c r="S120" s="22">
        <f>IF(COUNT(M120,Q120)=2,M120/Q120,"n.d.")</f>
        <v>15033.974612869477</v>
      </c>
      <c r="T120" s="24">
        <f>IF(OR(COUNT(F120,M120)&lt;&gt;2,F120=0),"n.d.",M120/F120)</f>
        <v>0.9999999999999999</v>
      </c>
      <c r="U120" s="24">
        <f>IF(OR(COUNT(G120,N120)&lt;&gt;2,G120=0),"n.d.",N120/G120)</f>
        <v>1.0</v>
      </c>
      <c r="V120" s="22">
        <v>112393.35</v>
      </c>
      <c r="W120" s="18" t="s">
        <v>283</v>
      </c>
    </row>
    <row r="121" spans="1:23" ht="19" customHeight="1">
      <c r="A121" s="18" t="s">
        <v>27</v>
      </c>
      <c r="B121" s="18" t="s">
        <v>91</v>
      </c>
      <c r="C121" s="18" t="s">
        <v>92</v>
      </c>
      <c r="D121" s="18" t="s">
        <v>16</v>
      </c>
      <c r="E121" s="25">
        <v>46143</v>
      </c>
      <c r="F121" s="22">
        <v>169276.62</v>
      </c>
      <c r="G121" s="26">
        <v>361</v>
      </c>
      <c r="H121" s="22">
        <v>133360.3</v>
      </c>
      <c r="I121" s="23" t="s">
        <v>51</v>
      </c>
      <c r="J121" s="23" t="s">
        <v>51</v>
      </c>
      <c r="K121" s="22">
        <v>0</v>
      </c>
      <c r="L121" s="22">
        <v>35916.32</v>
      </c>
      <c r="M121" s="22">
        <f>V121</f>
        <v>169276.62000000002</v>
      </c>
      <c r="N121" s="26">
        <v>361</v>
      </c>
      <c r="O121" s="22">
        <f>IF(COUNT(F121,M121)=2,F121-M121,"n.d.")</f>
        <v>-2.9103830456733704e-11</v>
      </c>
      <c r="P121" s="26">
        <f>IF(COUNT(G121,N121)=2,G121-N121,"n.d.")</f>
        <v>0</v>
      </c>
      <c r="Q121" s="27">
        <f>IF(COUNTIFS('Taux'!$A$6:$A$20,A121,'Taux'!$B$6:$B$20,D121)=1,SUMIFS('Taux'!$D$6:$D$20,'Taux'!$A$6:$A$20,A121,'Taux'!$B$6:$B$20,D121),"n.d.")</f>
        <v>7.47595715</v>
      </c>
      <c r="R121" s="22">
        <f>IF(COUNT(F121,Q121)=2,F121/Q121,"n.d.")</f>
        <v>22642.802333344032</v>
      </c>
      <c r="S121" s="22">
        <f>IF(COUNT(M121,Q121)=2,M121/Q121,"n.d.")</f>
        <v>22642.802333344036</v>
      </c>
      <c r="T121" s="24">
        <f>IF(OR(COUNT(F121,M121)&lt;&gt;2,F121=0),"n.d.",M121/F121)</f>
        <v>1.0000000000000002</v>
      </c>
      <c r="U121" s="24">
        <f>IF(OR(COUNT(G121,N121)&lt;&gt;2,G121=0),"n.d.",N121/G121)</f>
        <v>1.0</v>
      </c>
      <c r="V121" s="22">
        <v>169276.62</v>
      </c>
      <c r="W121" s="18" t="s">
        <v>284</v>
      </c>
    </row>
    <row r="122" spans="1:23" ht="19" customHeight="1">
      <c r="A122" s="18" t="s">
        <v>27</v>
      </c>
      <c r="B122" s="18" t="s">
        <v>91</v>
      </c>
      <c r="C122" s="18" t="s">
        <v>92</v>
      </c>
      <c r="D122" s="18" t="s">
        <v>16</v>
      </c>
      <c r="E122" s="25">
        <v>46174</v>
      </c>
      <c r="F122" s="22">
        <v>89121.87000000007</v>
      </c>
      <c r="G122" s="26">
        <v>296</v>
      </c>
      <c r="H122" s="22">
        <v>73694.54999999997</v>
      </c>
      <c r="I122" s="23" t="s">
        <v>51</v>
      </c>
      <c r="J122" s="23" t="s">
        <v>51</v>
      </c>
      <c r="K122" s="22">
        <v>0</v>
      </c>
      <c r="L122" s="22">
        <v>15427.32</v>
      </c>
      <c r="M122" s="22">
        <f>V122</f>
        <v>89121.86999999997</v>
      </c>
      <c r="N122" s="26">
        <v>296</v>
      </c>
      <c r="O122" s="22">
        <f>IF(COUNT(F122,M122)=2,F122-M122,"n.d.")</f>
        <v>1.0186340659856796e-10</v>
      </c>
      <c r="P122" s="26">
        <f>IF(COUNT(G122,N122)=2,G122-N122,"n.d.")</f>
        <v>0</v>
      </c>
      <c r="Q122" s="27">
        <f>IF(COUNTIFS('Taux'!$A$6:$A$20,A122,'Taux'!$B$6:$B$20,D122)=1,SUMIFS('Taux'!$D$6:$D$20,'Taux'!$A$6:$A$20,A122,'Taux'!$B$6:$B$20,D122),"n.d.")</f>
        <v>7.47595715</v>
      </c>
      <c r="R122" s="22">
        <f>IF(COUNT(F122,Q122)=2,F122/Q122,"n.d.")</f>
        <v>11921.131730938301</v>
      </c>
      <c r="S122" s="22">
        <f>IF(COUNT(M122,Q122)=2,M122/Q122,"n.d.")</f>
        <v>11921.131730938287</v>
      </c>
      <c r="T122" s="24">
        <f>IF(OR(COUNT(F122,M122)&lt;&gt;2,F122=0),"n.d.",M122/F122)</f>
        <v>0.9999999999999989</v>
      </c>
      <c r="U122" s="24">
        <f>IF(OR(COUNT(G122,N122)&lt;&gt;2,G122=0),"n.d.",N122/G122)</f>
        <v>1.0</v>
      </c>
      <c r="V122" s="22">
        <v>89121.86999999997</v>
      </c>
      <c r="W122" s="18" t="s">
        <v>285</v>
      </c>
    </row>
    <row r="123" spans="1:23" ht="19" customHeight="1">
      <c r="A123" s="18" t="s">
        <v>27</v>
      </c>
      <c r="B123" s="18" t="s">
        <v>91</v>
      </c>
      <c r="C123" s="18" t="s">
        <v>92</v>
      </c>
      <c r="D123" s="18" t="s">
        <v>16</v>
      </c>
      <c r="E123" s="25">
        <v>46204</v>
      </c>
      <c r="F123" s="22">
        <v>74452.37999999999</v>
      </c>
      <c r="G123" s="26">
        <v>313</v>
      </c>
      <c r="H123" s="22">
        <v>67214.93999999992</v>
      </c>
      <c r="I123" s="23" t="s">
        <v>51</v>
      </c>
      <c r="J123" s="23" t="s">
        <v>51</v>
      </c>
      <c r="K123" s="22">
        <v>0</v>
      </c>
      <c r="L123" s="22">
        <v>7237.440000000001</v>
      </c>
      <c r="M123" s="22">
        <f>V123</f>
        <v>74452.37999999992</v>
      </c>
      <c r="N123" s="26">
        <v>313</v>
      </c>
      <c r="O123" s="22">
        <f>IF(COUNT(F123,M123)=2,F123-M123,"n.d.")</f>
        <v>7.275957614183426e-11</v>
      </c>
      <c r="P123" s="26">
        <f>IF(COUNT(G123,N123)=2,G123-N123,"n.d.")</f>
        <v>0</v>
      </c>
      <c r="Q123" s="27">
        <f>IF(COUNTIFS('Taux'!$A$6:$A$20,A123,'Taux'!$B$6:$B$20,D123)=1,SUMIFS('Taux'!$D$6:$D$20,'Taux'!$A$6:$A$20,A123,'Taux'!$B$6:$B$20,D123),"n.d.")</f>
        <v>7.47595715</v>
      </c>
      <c r="R123" s="22">
        <f>IF(COUNT(F123,Q123)=2,F123/Q123,"n.d.")</f>
        <v>9958.909408676853</v>
      </c>
      <c r="S123" s="22">
        <f>IF(COUNT(M123,Q123)=2,M123/Q123,"n.d.")</f>
        <v>9958.909408676844</v>
      </c>
      <c r="T123" s="24">
        <f>IF(OR(COUNT(F123,M123)&lt;&gt;2,F123=0),"n.d.",M123/F123)</f>
        <v>0.999999999999999</v>
      </c>
      <c r="U123" s="24">
        <f>IF(OR(COUNT(G123,N123)&lt;&gt;2,G123=0),"n.d.",N123/G123)</f>
        <v>1.0</v>
      </c>
      <c r="V123" s="22">
        <v>74452.37999999992</v>
      </c>
      <c r="W123" s="18" t="s">
        <v>286</v>
      </c>
    </row>
    <row r="124" spans="1:23" ht="19" customHeight="1">
      <c r="A124" s="18" t="s">
        <v>27</v>
      </c>
      <c r="B124" s="18" t="s">
        <v>91</v>
      </c>
      <c r="C124" s="18" t="s">
        <v>92</v>
      </c>
      <c r="D124" s="18" t="s">
        <v>16</v>
      </c>
      <c r="E124" s="25">
        <v>46235</v>
      </c>
      <c r="F124" s="22">
        <v>80425.65000000029</v>
      </c>
      <c r="G124" s="26">
        <v>1111</v>
      </c>
      <c r="H124" s="22">
        <v>62933.94000000001</v>
      </c>
      <c r="I124" s="23" t="s">
        <v>51</v>
      </c>
      <c r="J124" s="23" t="s">
        <v>51</v>
      </c>
      <c r="K124" s="22">
        <v>0</v>
      </c>
      <c r="L124" s="22">
        <v>16845.81999999999</v>
      </c>
      <c r="M124" s="22">
        <f>V124</f>
        <v>79779.76000000001</v>
      </c>
      <c r="N124" s="26">
        <v>1095</v>
      </c>
      <c r="O124" s="22">
        <f>IF(COUNT(F124,M124)=2,F124-M124,"n.d.")</f>
        <v>645.8900000002759</v>
      </c>
      <c r="P124" s="26">
        <f>IF(COUNT(G124,N124)=2,G124-N124,"n.d.")</f>
        <v>16</v>
      </c>
      <c r="Q124" s="27">
        <f>IF(COUNTIFS('Taux'!$A$6:$A$20,A124,'Taux'!$B$6:$B$20,D124)=1,SUMIFS('Taux'!$D$6:$D$20,'Taux'!$A$6:$A$20,A124,'Taux'!$B$6:$B$20,D124),"n.d.")</f>
        <v>7.47595715</v>
      </c>
      <c r="R124" s="22">
        <f>IF(COUNT(F124,Q124)=2,F124/Q124,"n.d.")</f>
        <v>10757.906765155854</v>
      </c>
      <c r="S124" s="22">
        <f>IF(COUNT(M124,Q124)=2,M124/Q124,"n.d.")</f>
        <v>10671.511138878051</v>
      </c>
      <c r="T124" s="24">
        <f>IF(OR(COUNT(F124,M124)&lt;&gt;2,F124=0),"n.d.",M124/F124)</f>
        <v>0.9919691043839836</v>
      </c>
      <c r="U124" s="24">
        <f>IF(OR(COUNT(G124,N124)&lt;&gt;2,G124=0),"n.d.",N124/G124)</f>
        <v>0.9855985598559855</v>
      </c>
      <c r="V124" s="22">
        <v>79779.76000000001</v>
      </c>
      <c r="W124" s="18" t="s">
        <v>287</v>
      </c>
    </row>
    <row r="125" spans="1:23" ht="19" customHeight="1">
      <c r="A125" s="18" t="s">
        <v>27</v>
      </c>
      <c r="B125" s="18" t="s">
        <v>91</v>
      </c>
      <c r="C125" s="18" t="s">
        <v>92</v>
      </c>
      <c r="D125" s="18" t="s">
        <v>16</v>
      </c>
      <c r="E125" s="25">
        <v>46266</v>
      </c>
      <c r="F125" s="22">
        <v>55289.88000000001</v>
      </c>
      <c r="G125" s="26">
        <v>270</v>
      </c>
      <c r="H125" s="22">
        <v>35497.24999999999</v>
      </c>
      <c r="I125" s="23" t="s">
        <v>51</v>
      </c>
      <c r="J125" s="23" t="s">
        <v>51</v>
      </c>
      <c r="K125" s="22">
        <v>0</v>
      </c>
      <c r="L125" s="22">
        <v>4271.81</v>
      </c>
      <c r="M125" s="22">
        <f>V125</f>
        <v>39769.05999999999</v>
      </c>
      <c r="N125" s="26">
        <v>158</v>
      </c>
      <c r="O125" s="22">
        <f>IF(COUNT(F125,M125)=2,F125-M125,"n.d.")</f>
        <v>15520.820000000022</v>
      </c>
      <c r="P125" s="26">
        <f>IF(COUNT(G125,N125)=2,G125-N125,"n.d.")</f>
        <v>112</v>
      </c>
      <c r="Q125" s="27">
        <f>IF(COUNTIFS('Taux'!$A$6:$A$20,A125,'Taux'!$B$6:$B$20,D125)=1,SUMIFS('Taux'!$D$6:$D$20,'Taux'!$A$6:$A$20,A125,'Taux'!$B$6:$B$20,D125),"n.d.")</f>
        <v>7.47595715</v>
      </c>
      <c r="R125" s="22">
        <f>IF(COUNT(F125,Q125)=2,F125/Q125,"n.d.")</f>
        <v>7395.692469960186</v>
      </c>
      <c r="S125" s="22">
        <f>IF(COUNT(M125,Q125)=2,M125/Q125,"n.d.")</f>
        <v>5319.594428119481</v>
      </c>
      <c r="T125" s="24">
        <f>IF(OR(COUNT(F125,M125)&lt;&gt;2,F125=0),"n.d.",M125/F125)</f>
        <v>0.7192828054609629</v>
      </c>
      <c r="U125" s="24">
        <f>IF(OR(COUNT(G125,N125)&lt;&gt;2,G125=0),"n.d.",N125/G125)</f>
        <v>0.5851851851851851</v>
      </c>
      <c r="V125" s="22">
        <v>39769.05999999999</v>
      </c>
      <c r="W125" s="18" t="s">
        <v>288</v>
      </c>
    </row>
    <row r="126" spans="1:23" ht="19" customHeight="1">
      <c r="A126" s="18" t="s">
        <v>27</v>
      </c>
      <c r="B126" s="18" t="s">
        <v>99</v>
      </c>
      <c r="C126" s="18" t="s">
        <v>100</v>
      </c>
      <c r="D126" s="18" t="s">
        <v>21</v>
      </c>
      <c r="E126" s="25">
        <v>46113</v>
      </c>
      <c r="F126" s="22">
        <v>61630.93000000002</v>
      </c>
      <c r="G126" s="26">
        <v>148</v>
      </c>
      <c r="H126" s="22">
        <v>44529.71000000001</v>
      </c>
      <c r="I126" s="23" t="s">
        <v>51</v>
      </c>
      <c r="J126" s="23" t="s">
        <v>51</v>
      </c>
      <c r="K126" s="22">
        <v>0</v>
      </c>
      <c r="L126" s="22">
        <v>13050.29</v>
      </c>
      <c r="M126" s="22">
        <f>V126</f>
        <v>57580.000000000015</v>
      </c>
      <c r="N126" s="26">
        <v>147</v>
      </c>
      <c r="O126" s="22">
        <f>IF(COUNT(F126,M126)=2,F126-M126,"n.d.")</f>
        <v>4050.9300000000076</v>
      </c>
      <c r="P126" s="26">
        <f>IF(COUNT(G126,N126)=2,G126-N126,"n.d.")</f>
        <v>1</v>
      </c>
      <c r="Q126" s="27">
        <f>IF(COUNTIFS('Taux'!$A$6:$A$20,A126,'Taux'!$B$6:$B$20,D126)=1,SUMIFS('Taux'!$D$6:$D$20,'Taux'!$A$6:$A$20,A126,'Taux'!$B$6:$B$20,D126),"n.d.")</f>
        <v>10.90384939</v>
      </c>
      <c r="R126" s="22">
        <f>IF(COUNT(F126,Q126)=2,F126/Q126,"n.d.")</f>
        <v>5652.2176522836235</v>
      </c>
      <c r="S126" s="22">
        <f>IF(COUNT(M126,Q126)=2,M126/Q126,"n.d.")</f>
        <v>5280.7039001113735</v>
      </c>
      <c r="T126" s="24">
        <f>IF(OR(COUNT(F126,M126)&lt;&gt;2,F126=0),"n.d.",M126/F126)</f>
        <v>0.9342711524878822</v>
      </c>
      <c r="U126" s="24">
        <f>IF(OR(COUNT(G126,N126)&lt;&gt;2,G126=0),"n.d.",N126/G126)</f>
        <v>0.9932432432432432</v>
      </c>
      <c r="V126" s="22">
        <v>57580.00000000001</v>
      </c>
      <c r="W126" s="18" t="s">
        <v>289</v>
      </c>
    </row>
    <row r="127" spans="1:23" ht="19" customHeight="1">
      <c r="A127" s="18" t="s">
        <v>27</v>
      </c>
      <c r="B127" s="18" t="s">
        <v>99</v>
      </c>
      <c r="C127" s="18" t="s">
        <v>100</v>
      </c>
      <c r="D127" s="18" t="s">
        <v>21</v>
      </c>
      <c r="E127" s="25">
        <v>46143</v>
      </c>
      <c r="F127" s="22">
        <v>146993.7100000001</v>
      </c>
      <c r="G127" s="26">
        <v>129</v>
      </c>
      <c r="H127" s="22">
        <v>119196.88</v>
      </c>
      <c r="I127" s="23" t="s">
        <v>51</v>
      </c>
      <c r="J127" s="23" t="s">
        <v>51</v>
      </c>
      <c r="K127" s="22">
        <v>0</v>
      </c>
      <c r="L127" s="22">
        <v>27796.83</v>
      </c>
      <c r="M127" s="22">
        <f>V127</f>
        <v>146993.71000000002</v>
      </c>
      <c r="N127" s="26">
        <v>129</v>
      </c>
      <c r="O127" s="22">
        <f>IF(COUNT(F127,M127)=2,F127-M127,"n.d.")</f>
        <v>2.9103830456733704e-11</v>
      </c>
      <c r="P127" s="26">
        <f>IF(COUNT(G127,N127)=2,G127-N127,"n.d.")</f>
        <v>0</v>
      </c>
      <c r="Q127" s="27">
        <f>IF(COUNTIFS('Taux'!$A$6:$A$20,A127,'Taux'!$B$6:$B$20,D127)=1,SUMIFS('Taux'!$D$6:$D$20,'Taux'!$A$6:$A$20,A127,'Taux'!$B$6:$B$20,D127),"n.d.")</f>
        <v>10.90384939</v>
      </c>
      <c r="R127" s="22">
        <f>IF(COUNT(F127,Q127)=2,F127/Q127,"n.d.")</f>
        <v>13480.900619813134</v>
      </c>
      <c r="S127" s="22">
        <f>IF(COUNT(M127,Q127)=2,M127/Q127,"n.d.")</f>
        <v>13480.90061981313</v>
      </c>
      <c r="T127" s="24">
        <f>IF(OR(COUNT(F127,M127)&lt;&gt;2,F127=0),"n.d.",M127/F127)</f>
        <v>0.9999999999999998</v>
      </c>
      <c r="U127" s="24">
        <f>IF(OR(COUNT(G127,N127)&lt;&gt;2,G127=0),"n.d.",N127/G127)</f>
        <v>1.0</v>
      </c>
      <c r="V127" s="22">
        <v>146993.71</v>
      </c>
      <c r="W127" s="18" t="s">
        <v>290</v>
      </c>
    </row>
    <row r="128" spans="1:23" ht="19" customHeight="1">
      <c r="A128" s="18" t="s">
        <v>27</v>
      </c>
      <c r="B128" s="18" t="s">
        <v>99</v>
      </c>
      <c r="C128" s="18" t="s">
        <v>100</v>
      </c>
      <c r="D128" s="18" t="s">
        <v>21</v>
      </c>
      <c r="E128" s="25">
        <v>46174</v>
      </c>
      <c r="F128" s="22">
        <v>55560.72999999998</v>
      </c>
      <c r="G128" s="26">
        <v>180</v>
      </c>
      <c r="H128" s="22">
        <v>48189.56999999999</v>
      </c>
      <c r="I128" s="23" t="s">
        <v>51</v>
      </c>
      <c r="J128" s="23" t="s">
        <v>51</v>
      </c>
      <c r="K128" s="22">
        <v>0</v>
      </c>
      <c r="L128" s="22">
        <v>7371.159999999999</v>
      </c>
      <c r="M128" s="22">
        <f>V128</f>
        <v>55560.72999999998</v>
      </c>
      <c r="N128" s="26">
        <v>180</v>
      </c>
      <c r="O128" s="22">
        <f>IF(COUNT(F128,M128)=2,F128-M128,"n.d.")</f>
        <v>0.0</v>
      </c>
      <c r="P128" s="26">
        <f>IF(COUNT(G128,N128)=2,G128-N128,"n.d.")</f>
        <v>0</v>
      </c>
      <c r="Q128" s="27">
        <f>IF(COUNTIFS('Taux'!$A$6:$A$20,A128,'Taux'!$B$6:$B$20,D128)=1,SUMIFS('Taux'!$D$6:$D$20,'Taux'!$A$6:$A$20,A128,'Taux'!$B$6:$B$20,D128),"n.d.")</f>
        <v>10.90384939</v>
      </c>
      <c r="R128" s="22">
        <f>IF(COUNT(F128,Q128)=2,F128/Q128,"n.d.")</f>
        <v>5095.5151720047725</v>
      </c>
      <c r="S128" s="22">
        <f>IF(COUNT(M128,Q128)=2,M128/Q128,"n.d.")</f>
        <v>5095.5151720047725</v>
      </c>
      <c r="T128" s="24">
        <f>IF(OR(COUNT(F128,M128)&lt;&gt;2,F128=0),"n.d.",M128/F128)</f>
        <v>1.0</v>
      </c>
      <c r="U128" s="24">
        <f>IF(OR(COUNT(G128,N128)&lt;&gt;2,G128=0),"n.d.",N128/G128)</f>
        <v>1.0</v>
      </c>
      <c r="V128" s="22">
        <v>55560.72999999998</v>
      </c>
      <c r="W128" s="18" t="s">
        <v>291</v>
      </c>
    </row>
    <row r="129" spans="1:23" ht="19" customHeight="1">
      <c r="A129" s="18" t="s">
        <v>27</v>
      </c>
      <c r="B129" s="18" t="s">
        <v>99</v>
      </c>
      <c r="C129" s="18" t="s">
        <v>100</v>
      </c>
      <c r="D129" s="18" t="s">
        <v>21</v>
      </c>
      <c r="E129" s="25">
        <v>46204</v>
      </c>
      <c r="F129" s="22">
        <v>42542.55999999998</v>
      </c>
      <c r="G129" s="26">
        <v>115</v>
      </c>
      <c r="H129" s="22">
        <v>35319.84</v>
      </c>
      <c r="I129" s="23" t="s">
        <v>51</v>
      </c>
      <c r="J129" s="23" t="s">
        <v>51</v>
      </c>
      <c r="K129" s="22">
        <v>0</v>
      </c>
      <c r="L129" s="22">
        <v>7222.72</v>
      </c>
      <c r="M129" s="22">
        <f>V129</f>
        <v>42542.560000000005</v>
      </c>
      <c r="N129" s="26">
        <v>115</v>
      </c>
      <c r="O129" s="22">
        <f>IF(COUNT(F129,M129)=2,F129-M129,"n.d.")</f>
        <v>-2.9103830456733704e-11</v>
      </c>
      <c r="P129" s="26">
        <f>IF(COUNT(G129,N129)=2,G129-N129,"n.d.")</f>
        <v>0</v>
      </c>
      <c r="Q129" s="27">
        <f>IF(COUNTIFS('Taux'!$A$6:$A$20,A129,'Taux'!$B$6:$B$20,D129)=1,SUMIFS('Taux'!$D$6:$D$20,'Taux'!$A$6:$A$20,A129,'Taux'!$B$6:$B$20,D129),"n.d.")</f>
        <v>10.90384939</v>
      </c>
      <c r="R129" s="22">
        <f>IF(COUNT(F129,Q129)=2,F129/Q129,"n.d.")</f>
        <v>3901.6092829580048</v>
      </c>
      <c r="S129" s="22">
        <f>IF(COUNT(M129,Q129)=2,M129/Q129,"n.d.")</f>
        <v>3901.6092829580075</v>
      </c>
      <c r="T129" s="24">
        <f>IF(OR(COUNT(F129,M129)&lt;&gt;2,F129=0),"n.d.",M129/F129)</f>
        <v>1.0000000000000007</v>
      </c>
      <c r="U129" s="24">
        <f>IF(OR(COUNT(G129,N129)&lt;&gt;2,G129=0),"n.d.",N129/G129)</f>
        <v>1.0</v>
      </c>
      <c r="V129" s="22">
        <v>42542.56</v>
      </c>
      <c r="W129" s="18" t="s">
        <v>292</v>
      </c>
    </row>
    <row r="130" spans="1:23" ht="19" customHeight="1">
      <c r="A130" s="18" t="s">
        <v>27</v>
      </c>
      <c r="B130" s="18" t="s">
        <v>99</v>
      </c>
      <c r="C130" s="18" t="s">
        <v>100</v>
      </c>
      <c r="D130" s="18" t="s">
        <v>21</v>
      </c>
      <c r="E130" s="25">
        <v>46235</v>
      </c>
      <c r="F130" s="22">
        <v>43074.34000000001</v>
      </c>
      <c r="G130" s="26">
        <v>91</v>
      </c>
      <c r="H130" s="22">
        <v>38392.78000000001</v>
      </c>
      <c r="I130" s="23" t="s">
        <v>51</v>
      </c>
      <c r="J130" s="23" t="s">
        <v>51</v>
      </c>
      <c r="K130" s="22">
        <v>0</v>
      </c>
      <c r="L130" s="22">
        <v>2935.37</v>
      </c>
      <c r="M130" s="22">
        <f>V130</f>
        <v>41328.15000000001</v>
      </c>
      <c r="N130" s="26">
        <v>74</v>
      </c>
      <c r="O130" s="22">
        <f>IF(COUNT(F130,M130)=2,F130-M130,"n.d.")</f>
        <v>1746.1900000000023</v>
      </c>
      <c r="P130" s="26">
        <f>IF(COUNT(G130,N130)=2,G130-N130,"n.d.")</f>
        <v>17</v>
      </c>
      <c r="Q130" s="27">
        <f>IF(COUNTIFS('Taux'!$A$6:$A$20,A130,'Taux'!$B$6:$B$20,D130)=1,SUMIFS('Taux'!$D$6:$D$20,'Taux'!$A$6:$A$20,A130,'Taux'!$B$6:$B$20,D130),"n.d.")</f>
        <v>10.90384939</v>
      </c>
      <c r="R130" s="22">
        <f>IF(COUNT(F130,Q130)=2,F130/Q130,"n.d.")</f>
        <v>3950.379215573521</v>
      </c>
      <c r="S130" s="22">
        <f>IF(COUNT(M130,Q130)=2,M130/Q130,"n.d.")</f>
        <v>3790.2348539317095</v>
      </c>
      <c r="T130" s="24">
        <f>IF(OR(COUNT(F130,M130)&lt;&gt;2,F130=0),"n.d.",M130/F130)</f>
        <v>0.9594610155373245</v>
      </c>
      <c r="U130" s="24">
        <f>IF(OR(COUNT(G130,N130)&lt;&gt;2,G130=0),"n.d.",N130/G130)</f>
        <v>0.8131868131868132</v>
      </c>
      <c r="V130" s="22">
        <v>41328.15000000001</v>
      </c>
      <c r="W130" s="18" t="s">
        <v>293</v>
      </c>
    </row>
    <row r="131" spans="1:23" ht="19" customHeight="1">
      <c r="A131" s="18" t="s">
        <v>27</v>
      </c>
      <c r="B131" s="18" t="s">
        <v>99</v>
      </c>
      <c r="C131" s="18" t="s">
        <v>100</v>
      </c>
      <c r="D131" s="18" t="s">
        <v>21</v>
      </c>
      <c r="E131" s="25">
        <v>46266</v>
      </c>
      <c r="F131" s="22">
        <v>46303.51000000002</v>
      </c>
      <c r="G131" s="26">
        <v>123</v>
      </c>
      <c r="H131" s="22">
        <v>29683.47</v>
      </c>
      <c r="I131" s="23" t="s">
        <v>51</v>
      </c>
      <c r="J131" s="23" t="s">
        <v>51</v>
      </c>
      <c r="K131" s="22">
        <v>0</v>
      </c>
      <c r="L131" s="22">
        <v>333.07</v>
      </c>
      <c r="M131" s="22">
        <f>V131</f>
        <v>30016.54</v>
      </c>
      <c r="N131" s="26">
        <v>25</v>
      </c>
      <c r="O131" s="22">
        <f>IF(COUNT(F131,M131)=2,F131-M131,"n.d.")</f>
        <v>16286.970000000016</v>
      </c>
      <c r="P131" s="26">
        <f>IF(COUNT(G131,N131)=2,G131-N131,"n.d.")</f>
        <v>98</v>
      </c>
      <c r="Q131" s="27">
        <f>IF(COUNTIFS('Taux'!$A$6:$A$20,A131,'Taux'!$B$6:$B$20,D131)=1,SUMIFS('Taux'!$D$6:$D$20,'Taux'!$A$6:$A$20,A131,'Taux'!$B$6:$B$20,D131),"n.d.")</f>
        <v>10.90384939</v>
      </c>
      <c r="R131" s="22">
        <f>IF(COUNT(F131,Q131)=2,F131/Q131,"n.d.")</f>
        <v>4246.528757308892</v>
      </c>
      <c r="S131" s="22">
        <f>IF(COUNT(M131,Q131)=2,M131/Q131,"n.d.")</f>
        <v>2752.838830250938</v>
      </c>
      <c r="T131" s="24">
        <f>IF(OR(COUNT(F131,M131)&lt;&gt;2,F131=0),"n.d.",M131/F131)</f>
        <v>0.6482562553033234</v>
      </c>
      <c r="U131" s="24">
        <f>IF(OR(COUNT(G131,N131)&lt;&gt;2,G131=0),"n.d.",N131/G131)</f>
        <v>0.2032520325203252</v>
      </c>
      <c r="V131" s="22">
        <v>30016.54</v>
      </c>
      <c r="W131" s="18" t="s">
        <v>294</v>
      </c>
    </row>
    <row r="132" spans="1:23" ht="19" customHeight="1">
      <c r="A132" s="18" t="s">
        <v>27</v>
      </c>
      <c r="B132" s="18" t="s">
        <v>105</v>
      </c>
      <c r="C132" s="18" t="s">
        <v>106</v>
      </c>
      <c r="D132" s="18" t="s">
        <v>23</v>
      </c>
      <c r="E132" s="25">
        <v>46113</v>
      </c>
      <c r="F132" s="22">
        <v>384406.8300000001</v>
      </c>
      <c r="G132" s="26">
        <v>600</v>
      </c>
      <c r="H132" s="22">
        <v>368266.0900000003</v>
      </c>
      <c r="I132" s="23" t="s">
        <v>51</v>
      </c>
      <c r="J132" s="23" t="s">
        <v>51</v>
      </c>
      <c r="K132" s="22">
        <v>0</v>
      </c>
      <c r="L132" s="22">
        <v>16140.74</v>
      </c>
      <c r="M132" s="22">
        <f>V132</f>
        <v>384406.8300000003</v>
      </c>
      <c r="N132" s="26">
        <v>600</v>
      </c>
      <c r="O132" s="22">
        <f>IF(COUNT(F132,M132)=2,F132-M132,"n.d.")</f>
        <v>-2.3283064365386963e-10</v>
      </c>
      <c r="P132" s="26">
        <f>IF(COUNT(G132,N132)=2,G132-N132,"n.d.")</f>
        <v>0</v>
      </c>
      <c r="Q132" s="27">
        <f>IF(COUNTIFS('Taux'!$A$6:$A$20,A132,'Taux'!$B$6:$B$20,D132)=1,SUMIFS('Taux'!$D$6:$D$20,'Taux'!$A$6:$A$20,A132,'Taux'!$B$6:$B$20,D132),"n.d.")</f>
        <v>11.34339828</v>
      </c>
      <c r="R132" s="22">
        <f>IF(COUNT(F132,Q132)=2,F132/Q132,"n.d.")</f>
        <v>33888.15419430023</v>
      </c>
      <c r="S132" s="22">
        <f>IF(COUNT(M132,Q132)=2,M132/Q132,"n.d.")</f>
        <v>33888.15419430025</v>
      </c>
      <c r="T132" s="24">
        <f>IF(OR(COUNT(F132,M132)&lt;&gt;2,F132=0),"n.d.",M132/F132)</f>
        <v>1.0000000000000007</v>
      </c>
      <c r="U132" s="24">
        <f>IF(OR(COUNT(G132,N132)&lt;&gt;2,G132=0),"n.d.",N132/G132)</f>
        <v>1.0</v>
      </c>
      <c r="V132" s="22">
        <v>384406.8300000003</v>
      </c>
      <c r="W132" s="18" t="s">
        <v>295</v>
      </c>
    </row>
    <row r="133" spans="1:23" ht="19" customHeight="1">
      <c r="A133" s="18" t="s">
        <v>27</v>
      </c>
      <c r="B133" s="18" t="s">
        <v>105</v>
      </c>
      <c r="C133" s="18" t="s">
        <v>106</v>
      </c>
      <c r="D133" s="18" t="s">
        <v>23</v>
      </c>
      <c r="E133" s="25">
        <v>46143</v>
      </c>
      <c r="F133" s="22">
        <v>139417.6299999999</v>
      </c>
      <c r="G133" s="26">
        <v>518</v>
      </c>
      <c r="H133" s="22">
        <v>129130.2099999999</v>
      </c>
      <c r="I133" s="23" t="s">
        <v>51</v>
      </c>
      <c r="J133" s="23" t="s">
        <v>51</v>
      </c>
      <c r="K133" s="22">
        <v>0</v>
      </c>
      <c r="L133" s="22">
        <v>6916.57</v>
      </c>
      <c r="M133" s="22">
        <f>V133</f>
        <v>136046.7799999999</v>
      </c>
      <c r="N133" s="26">
        <v>516</v>
      </c>
      <c r="O133" s="22">
        <f>IF(COUNT(F133,M133)=2,F133-M133,"n.d.")</f>
        <v>3370.850000000006</v>
      </c>
      <c r="P133" s="26">
        <f>IF(COUNT(G133,N133)=2,G133-N133,"n.d.")</f>
        <v>2</v>
      </c>
      <c r="Q133" s="27">
        <f>IF(COUNTIFS('Taux'!$A$6:$A$20,A133,'Taux'!$B$6:$B$20,D133)=1,SUMIFS('Taux'!$D$6:$D$20,'Taux'!$A$6:$A$20,A133,'Taux'!$B$6:$B$20,D133),"n.d.")</f>
        <v>11.34339828</v>
      </c>
      <c r="R133" s="22">
        <f>IF(COUNT(F133,Q133)=2,F133/Q133,"n.d.")</f>
        <v>12290.640472865412</v>
      </c>
      <c r="S133" s="22">
        <f>IF(COUNT(M133,Q133)=2,M133/Q133,"n.d.")</f>
        <v>11993.476438173684</v>
      </c>
      <c r="T133" s="24">
        <f>IF(OR(COUNT(F133,M133)&lt;&gt;2,F133=0),"n.d.",M133/F133)</f>
        <v>0.9758219243864639</v>
      </c>
      <c r="U133" s="24">
        <f>IF(OR(COUNT(G133,N133)&lt;&gt;2,G133=0),"n.d.",N133/G133)</f>
        <v>0.9961389961389961</v>
      </c>
      <c r="V133" s="22">
        <v>136046.7799999999</v>
      </c>
      <c r="W133" s="18" t="s">
        <v>296</v>
      </c>
    </row>
    <row r="134" spans="1:23" ht="19" customHeight="1">
      <c r="A134" s="18" t="s">
        <v>27</v>
      </c>
      <c r="B134" s="18" t="s">
        <v>105</v>
      </c>
      <c r="C134" s="18" t="s">
        <v>106</v>
      </c>
      <c r="D134" s="18" t="s">
        <v>23</v>
      </c>
      <c r="E134" s="25">
        <v>46174</v>
      </c>
      <c r="F134" s="22">
        <v>233126.0399999999</v>
      </c>
      <c r="G134" s="26">
        <v>635</v>
      </c>
      <c r="H134" s="22">
        <v>221743.1099999998</v>
      </c>
      <c r="I134" s="23" t="s">
        <v>51</v>
      </c>
      <c r="J134" s="23" t="s">
        <v>51</v>
      </c>
      <c r="K134" s="22">
        <v>0</v>
      </c>
      <c r="L134" s="22">
        <v>9133.240000000005</v>
      </c>
      <c r="M134" s="22">
        <f>V134</f>
        <v>230876.3499999998</v>
      </c>
      <c r="N134" s="26">
        <v>623</v>
      </c>
      <c r="O134" s="22">
        <f>IF(COUNT(F134,M134)=2,F134-M134,"n.d.")</f>
        <v>2249.6900000000605</v>
      </c>
      <c r="P134" s="26">
        <f>IF(COUNT(G134,N134)=2,G134-N134,"n.d.")</f>
        <v>12</v>
      </c>
      <c r="Q134" s="27">
        <f>IF(COUNTIFS('Taux'!$A$6:$A$20,A134,'Taux'!$B$6:$B$20,D134)=1,SUMIFS('Taux'!$D$6:$D$20,'Taux'!$A$6:$A$20,A134,'Taux'!$B$6:$B$20,D134),"n.d.")</f>
        <v>11.34339828</v>
      </c>
      <c r="R134" s="22">
        <f>IF(COUNT(F134,Q134)=2,F134/Q134,"n.d.")</f>
        <v>20551.693085751358</v>
      </c>
      <c r="S134" s="22">
        <f>IF(COUNT(M134,Q134)=2,M134/Q134,"n.d.")</f>
        <v>20353.367156918674</v>
      </c>
      <c r="T134" s="24">
        <f>IF(OR(COUNT(F134,M134)&lt;&gt;2,F134=0),"n.d.",M134/F134)</f>
        <v>0.9903498982782015</v>
      </c>
      <c r="U134" s="24">
        <f>IF(OR(COUNT(G134,N134)&lt;&gt;2,G134=0),"n.d.",N134/G134)</f>
        <v>0.9811023622047244</v>
      </c>
      <c r="V134" s="22">
        <v>230876.3499999998</v>
      </c>
      <c r="W134" s="18" t="s">
        <v>297</v>
      </c>
    </row>
    <row r="135" spans="1:23" ht="19" customHeight="1">
      <c r="A135" s="18" t="s">
        <v>27</v>
      </c>
      <c r="B135" s="18" t="s">
        <v>105</v>
      </c>
      <c r="C135" s="18" t="s">
        <v>106</v>
      </c>
      <c r="D135" s="18" t="s">
        <v>23</v>
      </c>
      <c r="E135" s="25">
        <v>46204</v>
      </c>
      <c r="F135" s="22">
        <v>250328.1900000002</v>
      </c>
      <c r="G135" s="26">
        <v>541</v>
      </c>
      <c r="H135" s="22">
        <v>240575.4300000002</v>
      </c>
      <c r="I135" s="23" t="s">
        <v>51</v>
      </c>
      <c r="J135" s="23" t="s">
        <v>51</v>
      </c>
      <c r="K135" s="22">
        <v>0</v>
      </c>
      <c r="L135" s="22">
        <v>5510.730000000005</v>
      </c>
      <c r="M135" s="22">
        <f>V135</f>
        <v>246086.16000000018</v>
      </c>
      <c r="N135" s="26">
        <v>517</v>
      </c>
      <c r="O135" s="22">
        <f>IF(COUNT(F135,M135)=2,F135-M135,"n.d.")</f>
        <v>4242.030000000057</v>
      </c>
      <c r="P135" s="26">
        <f>IF(COUNT(G135,N135)=2,G135-N135,"n.d.")</f>
        <v>24</v>
      </c>
      <c r="Q135" s="27">
        <f>IF(COUNTIFS('Taux'!$A$6:$A$20,A135,'Taux'!$B$6:$B$20,D135)=1,SUMIFS('Taux'!$D$6:$D$20,'Taux'!$A$6:$A$20,A135,'Taux'!$B$6:$B$20,D135),"n.d.")</f>
        <v>11.34339828</v>
      </c>
      <c r="R135" s="22">
        <f>IF(COUNT(F135,Q135)=2,F135/Q135,"n.d.")</f>
        <v>22068.183080670267</v>
      </c>
      <c r="S135" s="22">
        <f>IF(COUNT(M135,Q135)=2,M135/Q135,"n.d.")</f>
        <v>21694.218427813164</v>
      </c>
      <c r="T135" s="24">
        <f>IF(OR(COUNT(F135,M135)&lt;&gt;2,F135=0),"n.d.",M135/F135)</f>
        <v>0.9830541258657283</v>
      </c>
      <c r="U135" s="24">
        <f>IF(OR(COUNT(G135,N135)&lt;&gt;2,G135=0),"n.d.",N135/G135)</f>
        <v>0.955637707948244</v>
      </c>
      <c r="V135" s="22">
        <v>246086.1600000002</v>
      </c>
      <c r="W135" s="18" t="s">
        <v>298</v>
      </c>
    </row>
    <row r="136" spans="1:23" ht="19" customHeight="1">
      <c r="A136" s="18" t="s">
        <v>27</v>
      </c>
      <c r="B136" s="18" t="s">
        <v>105</v>
      </c>
      <c r="C136" s="18" t="s">
        <v>106</v>
      </c>
      <c r="D136" s="18" t="s">
        <v>23</v>
      </c>
      <c r="E136" s="25">
        <v>46235</v>
      </c>
      <c r="F136" s="22">
        <v>125416.33</v>
      </c>
      <c r="G136" s="26">
        <v>441</v>
      </c>
      <c r="H136" s="22">
        <v>114417.87</v>
      </c>
      <c r="I136" s="23" t="s">
        <v>51</v>
      </c>
      <c r="J136" s="23" t="s">
        <v>51</v>
      </c>
      <c r="K136" s="22">
        <v>0</v>
      </c>
      <c r="L136" s="22">
        <v>7751.849999999999</v>
      </c>
      <c r="M136" s="22">
        <f>V136</f>
        <v>122169.72000000004</v>
      </c>
      <c r="N136" s="26">
        <v>405</v>
      </c>
      <c r="O136" s="22">
        <f>IF(COUNT(F136,M136)=2,F136-M136,"n.d.")</f>
        <v>3246.6100000000006</v>
      </c>
      <c r="P136" s="26">
        <f>IF(COUNT(G136,N136)=2,G136-N136,"n.d.")</f>
        <v>36</v>
      </c>
      <c r="Q136" s="27">
        <f>IF(COUNTIFS('Taux'!$A$6:$A$20,A136,'Taux'!$B$6:$B$20,D136)=1,SUMIFS('Taux'!$D$6:$D$20,'Taux'!$A$6:$A$20,A136,'Taux'!$B$6:$B$20,D136),"n.d.")</f>
        <v>11.34339828</v>
      </c>
      <c r="R136" s="22">
        <f>IF(COUNT(F136,Q136)=2,F136/Q136,"n.d.")</f>
        <v>11056.327822071327</v>
      </c>
      <c r="S136" s="22">
        <f>IF(COUNT(M136,Q136)=2,M136/Q136,"n.d.")</f>
        <v>10770.116413473937</v>
      </c>
      <c r="T136" s="24">
        <f>IF(OR(COUNT(F136,M136)&lt;&gt;2,F136=0),"n.d.",M136/F136)</f>
        <v>0.9741133391480998</v>
      </c>
      <c r="U136" s="24">
        <f>IF(OR(COUNT(G136,N136)&lt;&gt;2,G136=0),"n.d.",N136/G136)</f>
        <v>0.9183673469387755</v>
      </c>
      <c r="V136" s="22">
        <v>122169.72</v>
      </c>
      <c r="W136" s="18" t="s">
        <v>299</v>
      </c>
    </row>
    <row r="137" spans="1:23" ht="19" customHeight="1">
      <c r="A137" s="18" t="s">
        <v>27</v>
      </c>
      <c r="B137" s="18" t="s">
        <v>105</v>
      </c>
      <c r="C137" s="18" t="s">
        <v>106</v>
      </c>
      <c r="D137" s="18" t="s">
        <v>23</v>
      </c>
      <c r="E137" s="25">
        <v>46266</v>
      </c>
      <c r="F137" s="22">
        <v>310723.4099999999</v>
      </c>
      <c r="G137" s="26">
        <v>698</v>
      </c>
      <c r="H137" s="22">
        <v>146150.0899999998</v>
      </c>
      <c r="I137" s="23" t="s">
        <v>51</v>
      </c>
      <c r="J137" s="23" t="s">
        <v>51</v>
      </c>
      <c r="K137" s="22">
        <v>0</v>
      </c>
      <c r="L137" s="22">
        <v>5055.880000000003</v>
      </c>
      <c r="M137" s="22">
        <f>V137</f>
        <v>151205.96999999977</v>
      </c>
      <c r="N137" s="26">
        <v>398</v>
      </c>
      <c r="O137" s="22">
        <f>IF(COUNT(F137,M137)=2,F137-M137,"n.d.")</f>
        <v>159517.4400000001</v>
      </c>
      <c r="P137" s="26">
        <f>IF(COUNT(G137,N137)=2,G137-N137,"n.d.")</f>
        <v>300</v>
      </c>
      <c r="Q137" s="27">
        <f>IF(COUNTIFS('Taux'!$A$6:$A$20,A137,'Taux'!$B$6:$B$20,D137)=1,SUMIFS('Taux'!$D$6:$D$20,'Taux'!$A$6:$A$20,A137,'Taux'!$B$6:$B$20,D137),"n.d.")</f>
        <v>11.34339828</v>
      </c>
      <c r="R137" s="22">
        <f>IF(COUNT(F137,Q137)=2,F137/Q137,"n.d.")</f>
        <v>27392.444691627265</v>
      </c>
      <c r="S137" s="22">
        <f>IF(COUNT(M137,Q137)=2,M137/Q137,"n.d.")</f>
        <v>13329.865201559312</v>
      </c>
      <c r="T137" s="24">
        <f>IF(OR(COUNT(F137,M137)&lt;&gt;2,F137=0),"n.d.",M137/F137)</f>
        <v>0.4866256134354339</v>
      </c>
      <c r="U137" s="24">
        <f>IF(OR(COUNT(G137,N137)&lt;&gt;2,G137=0),"n.d.",N137/G137)</f>
        <v>0.5702005730659025</v>
      </c>
      <c r="V137" s="22">
        <v>151205.9699999998</v>
      </c>
      <c r="W137" s="18" t="s">
        <v>300</v>
      </c>
    </row>
    <row r="138" spans="1:23" ht="19" customHeight="1">
      <c r="A138" s="18" t="s">
        <v>27</v>
      </c>
      <c r="B138" s="18" t="s">
        <v>111</v>
      </c>
      <c r="C138" s="18" t="s">
        <v>112</v>
      </c>
      <c r="D138" s="18" t="s">
        <v>25</v>
      </c>
      <c r="E138" s="25">
        <v>46113</v>
      </c>
      <c r="F138" s="22">
        <v>3310607.740000024</v>
      </c>
      <c r="G138" s="26">
        <v>16725</v>
      </c>
      <c r="H138" s="22">
        <v>2257245.010000002</v>
      </c>
      <c r="I138" s="22">
        <v>0</v>
      </c>
      <c r="J138" s="22">
        <v>35981.14000000003</v>
      </c>
      <c r="K138" s="23" t="s">
        <v>51</v>
      </c>
      <c r="L138" s="23" t="s">
        <v>51</v>
      </c>
      <c r="M138" s="22">
        <f>V138</f>
        <v>2293226.1500000022</v>
      </c>
      <c r="N138" s="26">
        <v>14335</v>
      </c>
      <c r="O138" s="22">
        <f>IF(COUNT(F138,M138)=2,F138-M138,"n.d.")</f>
        <v>1017381.5900000217</v>
      </c>
      <c r="P138" s="26">
        <f>IF(COUNT(G138,N138)=2,G138-N138,"n.d.")</f>
        <v>2390</v>
      </c>
      <c r="Q138" s="27">
        <f>IF(COUNTIFS('Taux'!$A$6:$A$20,A138,'Taux'!$B$6:$B$20,D138)=1,SUMIFS('Taux'!$D$6:$D$20,'Taux'!$A$6:$A$20,A138,'Taux'!$B$6:$B$20,D138),"n.d.")</f>
        <v>18.58943911</v>
      </c>
      <c r="R138" s="22">
        <f>IF(COUNT(F138,Q138)=2,F138/Q138,"n.d.")</f>
        <v>178090.78156742858</v>
      </c>
      <c r="S138" s="22">
        <f>IF(COUNT(M138,Q138)=2,M138/Q138,"n.d.")</f>
        <v>123361.77204864586</v>
      </c>
      <c r="T138" s="24">
        <f>IF(OR(COUNT(F138,M138)&lt;&gt;2,F138=0),"n.d.",M138/F138)</f>
        <v>0.6926903849986122</v>
      </c>
      <c r="U138" s="24">
        <f>IF(OR(COUNT(G138,N138)&lt;&gt;2,G138=0),"n.d.",N138/G138)</f>
        <v>0.8571001494768311</v>
      </c>
      <c r="V138" s="22">
        <v>2293226.150000002</v>
      </c>
      <c r="W138" s="18" t="s">
        <v>301</v>
      </c>
    </row>
    <row r="139" spans="1:23" ht="19" customHeight="1">
      <c r="A139" s="18" t="s">
        <v>27</v>
      </c>
      <c r="B139" s="18" t="s">
        <v>111</v>
      </c>
      <c r="C139" s="18" t="s">
        <v>112</v>
      </c>
      <c r="D139" s="18" t="s">
        <v>25</v>
      </c>
      <c r="E139" s="25">
        <v>46143</v>
      </c>
      <c r="F139" s="22">
        <v>3439878.800000015</v>
      </c>
      <c r="G139" s="26">
        <v>16808</v>
      </c>
      <c r="H139" s="22">
        <v>2214528.610000001</v>
      </c>
      <c r="I139" s="22">
        <v>0</v>
      </c>
      <c r="J139" s="22">
        <v>35065.13999999982</v>
      </c>
      <c r="K139" s="23" t="s">
        <v>51</v>
      </c>
      <c r="L139" s="23" t="s">
        <v>51</v>
      </c>
      <c r="M139" s="22">
        <f>V139</f>
        <v>2249593.750000001</v>
      </c>
      <c r="N139" s="26">
        <v>13970</v>
      </c>
      <c r="O139" s="22">
        <f>IF(COUNT(F139,M139)=2,F139-M139,"n.d.")</f>
        <v>1190285.0500000138</v>
      </c>
      <c r="P139" s="26">
        <f>IF(COUNT(G139,N139)=2,G139-N139,"n.d.")</f>
        <v>2838</v>
      </c>
      <c r="Q139" s="27">
        <f>IF(COUNTIFS('Taux'!$A$6:$A$20,A139,'Taux'!$B$6:$B$20,D139)=1,SUMIFS('Taux'!$D$6:$D$20,'Taux'!$A$6:$A$20,A139,'Taux'!$B$6:$B$20,D139),"n.d.")</f>
        <v>18.58943911</v>
      </c>
      <c r="R139" s="22">
        <f>IF(COUNT(F139,Q139)=2,F139/Q139,"n.d.")</f>
        <v>185044.78696990738</v>
      </c>
      <c r="S139" s="22">
        <f>IF(COUNT(M139,Q139)=2,M139/Q139,"n.d.")</f>
        <v>121014.61139781537</v>
      </c>
      <c r="T139" s="24">
        <f>IF(OR(COUNT(F139,M139)&lt;&gt;2,F139=0),"n.d.",M139/F139)</f>
        <v>0.6539747127137129</v>
      </c>
      <c r="U139" s="24">
        <f>IF(OR(COUNT(G139,N139)&lt;&gt;2,G139=0),"n.d.",N139/G139)</f>
        <v>0.831151832460733</v>
      </c>
      <c r="V139" s="22">
        <v>2249593.750000001</v>
      </c>
      <c r="W139" s="18" t="s">
        <v>302</v>
      </c>
    </row>
    <row r="140" spans="1:23" ht="19" customHeight="1">
      <c r="A140" s="18" t="s">
        <v>27</v>
      </c>
      <c r="B140" s="18" t="s">
        <v>111</v>
      </c>
      <c r="C140" s="18" t="s">
        <v>112</v>
      </c>
      <c r="D140" s="18" t="s">
        <v>25</v>
      </c>
      <c r="E140" s="25">
        <v>46174</v>
      </c>
      <c r="F140" s="22">
        <v>3537916.199999996</v>
      </c>
      <c r="G140" s="26">
        <v>18981</v>
      </c>
      <c r="H140" s="22">
        <v>1802014.029999999</v>
      </c>
      <c r="I140" s="22">
        <v>0</v>
      </c>
      <c r="J140" s="22">
        <v>37194.56999999994</v>
      </c>
      <c r="K140" s="23" t="s">
        <v>51</v>
      </c>
      <c r="L140" s="23" t="s">
        <v>51</v>
      </c>
      <c r="M140" s="22">
        <f>V140</f>
        <v>1839208.5999999985</v>
      </c>
      <c r="N140" s="26">
        <v>14984</v>
      </c>
      <c r="O140" s="22">
        <f>IF(COUNT(F140,M140)=2,F140-M140,"n.d.")</f>
        <v>1698707.599999998</v>
      </c>
      <c r="P140" s="26">
        <f>IF(COUNT(G140,N140)=2,G140-N140,"n.d.")</f>
        <v>3997</v>
      </c>
      <c r="Q140" s="27">
        <f>IF(COUNTIFS('Taux'!$A$6:$A$20,A140,'Taux'!$B$6:$B$20,D140)=1,SUMIFS('Taux'!$D$6:$D$20,'Taux'!$A$6:$A$20,A140,'Taux'!$B$6:$B$20,D140),"n.d.")</f>
        <v>18.58943911</v>
      </c>
      <c r="R140" s="22">
        <f>IF(COUNT(F140,Q140)=2,F140/Q140,"n.d.")</f>
        <v>190318.60934937032</v>
      </c>
      <c r="S140" s="22">
        <f>IF(COUNT(M140,Q140)=2,M140/Q140,"n.d.")</f>
        <v>98938.35898527002</v>
      </c>
      <c r="T140" s="24">
        <f>IF(OR(COUNT(F140,M140)&lt;&gt;2,F140=0),"n.d.",M140/F140)</f>
        <v>0.5198564624000988</v>
      </c>
      <c r="U140" s="24">
        <f>IF(OR(COUNT(G140,N140)&lt;&gt;2,G140=0),"n.d.",N140/G140)</f>
        <v>0.7894209999473157</v>
      </c>
      <c r="V140" s="22">
        <v>1839208.599999998</v>
      </c>
      <c r="W140" s="18" t="s">
        <v>303</v>
      </c>
    </row>
    <row r="141" spans="1:23" ht="19" customHeight="1">
      <c r="A141" s="18" t="s">
        <v>27</v>
      </c>
      <c r="B141" s="18" t="s">
        <v>111</v>
      </c>
      <c r="C141" s="18" t="s">
        <v>112</v>
      </c>
      <c r="D141" s="18" t="s">
        <v>25</v>
      </c>
      <c r="E141" s="25">
        <v>46204</v>
      </c>
      <c r="F141" s="22">
        <v>4252435.729999964</v>
      </c>
      <c r="G141" s="26">
        <v>20844</v>
      </c>
      <c r="H141" s="22">
        <v>1844608.780000006</v>
      </c>
      <c r="I141" s="22">
        <v>0</v>
      </c>
      <c r="J141" s="22">
        <v>36958.94999999987</v>
      </c>
      <c r="K141" s="23" t="s">
        <v>51</v>
      </c>
      <c r="L141" s="23" t="s">
        <v>51</v>
      </c>
      <c r="M141" s="22">
        <f>V141</f>
        <v>1881567.7300000058</v>
      </c>
      <c r="N141" s="26">
        <v>14764</v>
      </c>
      <c r="O141" s="22">
        <f>IF(COUNT(F141,M141)=2,F141-M141,"n.d.")</f>
        <v>2370867.999999958</v>
      </c>
      <c r="P141" s="26">
        <f>IF(COUNT(G141,N141)=2,G141-N141,"n.d.")</f>
        <v>6080</v>
      </c>
      <c r="Q141" s="27">
        <f>IF(COUNTIFS('Taux'!$A$6:$A$20,A141,'Taux'!$B$6:$B$20,D141)=1,SUMIFS('Taux'!$D$6:$D$20,'Taux'!$A$6:$A$20,A141,'Taux'!$B$6:$B$20,D141),"n.d.")</f>
        <v>18.58943911</v>
      </c>
      <c r="R141" s="22">
        <f>IF(COUNT(F141,Q141)=2,F141/Q141,"n.d.")</f>
        <v>228755.46189623384</v>
      </c>
      <c r="S141" s="22">
        <f>IF(COUNT(M141,Q141)=2,M141/Q141,"n.d.")</f>
        <v>101217.02536941179</v>
      </c>
      <c r="T141" s="24">
        <f>IF(OR(COUNT(F141,M141)&lt;&gt;2,F141=0),"n.d.",M141/F141)</f>
        <v>0.4424682345522531</v>
      </c>
      <c r="U141" s="24">
        <f>IF(OR(COUNT(G141,N141)&lt;&gt;2,G141=0),"n.d.",N141/G141)</f>
        <v>0.7083093456150451</v>
      </c>
      <c r="V141" s="22">
        <v>1881567.730000006</v>
      </c>
      <c r="W141" s="18" t="s">
        <v>304</v>
      </c>
    </row>
    <row r="142" spans="1:23" ht="19" customHeight="1">
      <c r="A142" s="18" t="s">
        <v>27</v>
      </c>
      <c r="B142" s="18" t="s">
        <v>111</v>
      </c>
      <c r="C142" s="18" t="s">
        <v>112</v>
      </c>
      <c r="D142" s="18" t="s">
        <v>25</v>
      </c>
      <c r="E142" s="25">
        <v>46235</v>
      </c>
      <c r="F142" s="22">
        <v>4095709.079999954</v>
      </c>
      <c r="G142" s="26">
        <v>20683</v>
      </c>
      <c r="H142" s="22">
        <v>1530045.009999999</v>
      </c>
      <c r="I142" s="22">
        <v>0</v>
      </c>
      <c r="J142" s="22">
        <v>23251.49000000008</v>
      </c>
      <c r="K142" s="23" t="s">
        <v>51</v>
      </c>
      <c r="L142" s="23" t="s">
        <v>51</v>
      </c>
      <c r="M142" s="22">
        <f>V142</f>
        <v>1553296.4999999988</v>
      </c>
      <c r="N142" s="26">
        <v>12141</v>
      </c>
      <c r="O142" s="22">
        <f>IF(COUNT(F142,M142)=2,F142-M142,"n.d.")</f>
        <v>2542412.5799999554</v>
      </c>
      <c r="P142" s="26">
        <f>IF(COUNT(G142,N142)=2,G142-N142,"n.d.")</f>
        <v>8542</v>
      </c>
      <c r="Q142" s="27">
        <f>IF(COUNTIFS('Taux'!$A$6:$A$20,A142,'Taux'!$B$6:$B$20,D142)=1,SUMIFS('Taux'!$D$6:$D$20,'Taux'!$A$6:$A$20,A142,'Taux'!$B$6:$B$20,D142),"n.d.")</f>
        <v>18.58943911</v>
      </c>
      <c r="R142" s="22">
        <f>IF(COUNT(F142,Q142)=2,F142/Q142,"n.d.")</f>
        <v>220324.51090989122</v>
      </c>
      <c r="S142" s="22">
        <f>IF(COUNT(M142,Q142)=2,M142/Q142,"n.d.")</f>
        <v>83558.00789946473</v>
      </c>
      <c r="T142" s="24">
        <f>IF(OR(COUNT(F142,M142)&lt;&gt;2,F142=0),"n.d.",M142/F142)</f>
        <v>0.379249714679446</v>
      </c>
      <c r="U142" s="24">
        <f>IF(OR(COUNT(G142,N142)&lt;&gt;2,G142=0),"n.d.",N142/G142)</f>
        <v>0.5870038195619591</v>
      </c>
      <c r="V142" s="22">
        <v>1553296.499999999</v>
      </c>
      <c r="W142" s="18" t="s">
        <v>305</v>
      </c>
    </row>
    <row r="143" spans="1:23" ht="19" customHeight="1">
      <c r="A143" s="18" t="s">
        <v>27</v>
      </c>
      <c r="B143" s="18" t="s">
        <v>111</v>
      </c>
      <c r="C143" s="18" t="s">
        <v>112</v>
      </c>
      <c r="D143" s="18" t="s">
        <v>25</v>
      </c>
      <c r="E143" s="25">
        <v>46266</v>
      </c>
      <c r="F143" s="22">
        <v>4343101.549999991</v>
      </c>
      <c r="G143" s="26">
        <v>23633</v>
      </c>
      <c r="H143" s="22">
        <v>0</v>
      </c>
      <c r="I143" s="22">
        <v>0</v>
      </c>
      <c r="J143" s="22">
        <v>21748.81000000002</v>
      </c>
      <c r="K143" s="23" t="s">
        <v>51</v>
      </c>
      <c r="L143" s="23" t="s">
        <v>51</v>
      </c>
      <c r="M143" s="22">
        <f>V143</f>
        <v>21748.81000000002</v>
      </c>
      <c r="N143" s="26">
        <v>7481</v>
      </c>
      <c r="O143" s="22">
        <f>IF(COUNT(F143,M143)=2,F143-M143,"n.d.")</f>
        <v>4321352.739999992</v>
      </c>
      <c r="P143" s="26">
        <f>IF(COUNT(G143,N143)=2,G143-N143,"n.d.")</f>
        <v>16152</v>
      </c>
      <c r="Q143" s="27">
        <f>IF(COUNTIFS('Taux'!$A$6:$A$20,A143,'Taux'!$B$6:$B$20,D143)=1,SUMIFS('Taux'!$D$6:$D$20,'Taux'!$A$6:$A$20,A143,'Taux'!$B$6:$B$20,D143),"n.d.")</f>
        <v>18.58943911</v>
      </c>
      <c r="R143" s="22">
        <f>IF(COUNT(F143,Q143)=2,F143/Q143,"n.d.")</f>
        <v>233632.7376151798</v>
      </c>
      <c r="S143" s="22">
        <f>IF(COUNT(M143,Q143)=2,M143/Q143,"n.d.")</f>
        <v>1169.9551487973872</v>
      </c>
      <c r="T143" s="24">
        <f>IF(OR(COUNT(F143,M143)&lt;&gt;2,F143=0),"n.d.",M143/F143)</f>
        <v>0.005007667849719071</v>
      </c>
      <c r="U143" s="24">
        <f>IF(OR(COUNT(G143,N143)&lt;&gt;2,G143=0),"n.d.",N143/G143)</f>
        <v>0.31654889349638216</v>
      </c>
      <c r="V143" s="22">
        <v>21748.81000000002</v>
      </c>
      <c r="W143" s="18" t="s">
        <v>306</v>
      </c>
    </row>
    <row r="144" spans="1:23" ht="19" customHeight="1">
      <c r="A144" s="18" t="s">
        <v>27</v>
      </c>
      <c r="B144" s="18" t="s">
        <v>233</v>
      </c>
      <c r="C144" s="18" t="s">
        <v>234</v>
      </c>
      <c r="D144" s="18" t="s">
        <v>14</v>
      </c>
      <c r="E144" s="25">
        <v>46113</v>
      </c>
      <c r="F144" s="22">
        <v>22695.36</v>
      </c>
      <c r="G144" s="26">
        <v>189</v>
      </c>
      <c r="H144" s="23" t="s">
        <v>51</v>
      </c>
      <c r="I144" s="23" t="s">
        <v>51</v>
      </c>
      <c r="J144" s="23" t="s">
        <v>51</v>
      </c>
      <c r="K144" s="23" t="s">
        <v>51</v>
      </c>
      <c r="L144" s="23" t="s">
        <v>51</v>
      </c>
      <c r="M144" s="22">
        <f>IF(COUNT()=0,SUM(),"n.d.")</f>
        <v>0</v>
      </c>
      <c r="N144" s="23" t="s">
        <v>51</v>
      </c>
      <c r="O144" s="22">
        <f>IF(COUNT(F144,M144)=2,F144-M144,"n.d.")</f>
        <v>22695.36</v>
      </c>
      <c r="P144" s="26" t="str">
        <f>IF(COUNT(G144,N144)=2,G144-N144,"n.d.")</f>
        <v>n.d.</v>
      </c>
      <c r="Q144" s="27">
        <f>IF(COUNTIFS('Taux'!$A$6:$A$20,A144,'Taux'!$B$6:$B$20,D144)=1,SUMIFS('Taux'!$D$6:$D$20,'Taux'!$A$6:$A$20,A144,'Taux'!$B$6:$B$20,D144),"n.d.")</f>
        <v>5.855892595</v>
      </c>
      <c r="R144" s="22">
        <f>IF(COUNT(F144,Q144)=2,F144/Q144,"n.d.")</f>
        <v>3875.6448537628958</v>
      </c>
      <c r="S144" s="22">
        <f>IF(COUNT(M144,Q144)=2,M144/Q144,"n.d.")</f>
        <v>0.0</v>
      </c>
      <c r="T144" s="24">
        <f>IF(OR(COUNT(F144,M144)&lt;&gt;2,F144=0),"n.d.",M144/F144)</f>
        <v>0.0</v>
      </c>
      <c r="U144" s="24" t="str">
        <f>IF(OR(COUNT(G144,N144)&lt;&gt;2,G144=0),"n.d.",N144/G144)</f>
        <v>n.d.</v>
      </c>
      <c r="V144" s="23" t="s">
        <v>51</v>
      </c>
      <c r="W144" s="18" t="s">
        <v>307</v>
      </c>
    </row>
    <row r="145" spans="1:23" ht="19" customHeight="1">
      <c r="A145" s="18" t="s">
        <v>27</v>
      </c>
      <c r="B145" s="18" t="s">
        <v>233</v>
      </c>
      <c r="C145" s="18" t="s">
        <v>234</v>
      </c>
      <c r="D145" s="18" t="s">
        <v>14</v>
      </c>
      <c r="E145" s="25">
        <v>46143</v>
      </c>
      <c r="F145" s="22">
        <v>14874.3</v>
      </c>
      <c r="G145" s="26">
        <v>89</v>
      </c>
      <c r="H145" s="23" t="s">
        <v>51</v>
      </c>
      <c r="I145" s="23" t="s">
        <v>51</v>
      </c>
      <c r="J145" s="23" t="s">
        <v>51</v>
      </c>
      <c r="K145" s="23" t="s">
        <v>51</v>
      </c>
      <c r="L145" s="23" t="s">
        <v>51</v>
      </c>
      <c r="M145" s="22">
        <f>IF(COUNT()=0,SUM(),"n.d.")</f>
        <v>0</v>
      </c>
      <c r="N145" s="23" t="s">
        <v>51</v>
      </c>
      <c r="O145" s="22">
        <f>IF(COUNT(F145,M145)=2,F145-M145,"n.d.")</f>
        <v>14874.300000000003</v>
      </c>
      <c r="P145" s="26" t="str">
        <f>IF(COUNT(G145,N145)=2,G145-N145,"n.d.")</f>
        <v>n.d.</v>
      </c>
      <c r="Q145" s="27">
        <f>IF(COUNTIFS('Taux'!$A$6:$A$20,A145,'Taux'!$B$6:$B$20,D145)=1,SUMIFS('Taux'!$D$6:$D$20,'Taux'!$A$6:$A$20,A145,'Taux'!$B$6:$B$20,D145),"n.d.")</f>
        <v>5.855892595</v>
      </c>
      <c r="R145" s="22">
        <f>IF(COUNT(F145,Q145)=2,F145/Q145,"n.d.")</f>
        <v>2540.0568331291265</v>
      </c>
      <c r="S145" s="22">
        <f>IF(COUNT(M145,Q145)=2,M145/Q145,"n.d.")</f>
        <v>0.0</v>
      </c>
      <c r="T145" s="24">
        <f>IF(OR(COUNT(F145,M145)&lt;&gt;2,F145=0),"n.d.",M145/F145)</f>
        <v>0.0</v>
      </c>
      <c r="U145" s="24" t="str">
        <f>IF(OR(COUNT(G145,N145)&lt;&gt;2,G145=0),"n.d.",N145/G145)</f>
        <v>n.d.</v>
      </c>
      <c r="V145" s="23" t="s">
        <v>51</v>
      </c>
      <c r="W145" s="18" t="s">
        <v>308</v>
      </c>
    </row>
    <row r="146" spans="1:23" ht="19" customHeight="1">
      <c r="A146" s="18" t="s">
        <v>27</v>
      </c>
      <c r="B146" s="18" t="s">
        <v>233</v>
      </c>
      <c r="C146" s="18" t="s">
        <v>234</v>
      </c>
      <c r="D146" s="18" t="s">
        <v>14</v>
      </c>
      <c r="E146" s="25">
        <v>46174</v>
      </c>
      <c r="F146" s="22">
        <v>9310.760000000026</v>
      </c>
      <c r="G146" s="26">
        <v>238</v>
      </c>
      <c r="H146" s="23" t="s">
        <v>51</v>
      </c>
      <c r="I146" s="23" t="s">
        <v>51</v>
      </c>
      <c r="J146" s="23" t="s">
        <v>51</v>
      </c>
      <c r="K146" s="23" t="s">
        <v>51</v>
      </c>
      <c r="L146" s="23" t="s">
        <v>51</v>
      </c>
      <c r="M146" s="22">
        <f>IF(COUNT()=0,SUM(),"n.d.")</f>
        <v>0</v>
      </c>
      <c r="N146" s="23" t="s">
        <v>51</v>
      </c>
      <c r="O146" s="22">
        <f>IF(COUNT(F146,M146)=2,F146-M146,"n.d.")</f>
        <v>9310.760000000026</v>
      </c>
      <c r="P146" s="26" t="str">
        <f>IF(COUNT(G146,N146)=2,G146-N146,"n.d.")</f>
        <v>n.d.</v>
      </c>
      <c r="Q146" s="27">
        <f>IF(COUNTIFS('Taux'!$A$6:$A$20,A146,'Taux'!$B$6:$B$20,D146)=1,SUMIFS('Taux'!$D$6:$D$20,'Taux'!$A$6:$A$20,A146,'Taux'!$B$6:$B$20,D146),"n.d.")</f>
        <v>5.855892595</v>
      </c>
      <c r="R146" s="22">
        <f>IF(COUNT(F146,Q146)=2,F146/Q146,"n.d.")</f>
        <v>1589.981347668489</v>
      </c>
      <c r="S146" s="22">
        <f>IF(COUNT(M146,Q146)=2,M146/Q146,"n.d.")</f>
        <v>0.0</v>
      </c>
      <c r="T146" s="24">
        <f>IF(OR(COUNT(F146,M146)&lt;&gt;2,F146=0),"n.d.",M146/F146)</f>
        <v>0.0</v>
      </c>
      <c r="U146" s="24" t="str">
        <f>IF(OR(COUNT(G146,N146)&lt;&gt;2,G146=0),"n.d.",N146/G146)</f>
        <v>n.d.</v>
      </c>
      <c r="V146" s="23" t="s">
        <v>51</v>
      </c>
      <c r="W146" s="18" t="s">
        <v>309</v>
      </c>
    </row>
    <row r="147" spans="1:23" ht="19" customHeight="1">
      <c r="A147" s="18" t="s">
        <v>27</v>
      </c>
      <c r="B147" s="18" t="s">
        <v>233</v>
      </c>
      <c r="C147" s="18" t="s">
        <v>234</v>
      </c>
      <c r="D147" s="18" t="s">
        <v>14</v>
      </c>
      <c r="E147" s="25">
        <v>46204</v>
      </c>
      <c r="F147" s="22">
        <v>9959.560000000005</v>
      </c>
      <c r="G147" s="26">
        <v>113</v>
      </c>
      <c r="H147" s="23" t="s">
        <v>51</v>
      </c>
      <c r="I147" s="23" t="s">
        <v>51</v>
      </c>
      <c r="J147" s="23" t="s">
        <v>51</v>
      </c>
      <c r="K147" s="23" t="s">
        <v>51</v>
      </c>
      <c r="L147" s="23" t="s">
        <v>51</v>
      </c>
      <c r="M147" s="22">
        <f>IF(COUNT()=0,SUM(),"n.d.")</f>
        <v>0</v>
      </c>
      <c r="N147" s="23" t="s">
        <v>51</v>
      </c>
      <c r="O147" s="22">
        <f>IF(COUNT(F147,M147)=2,F147-M147,"n.d.")</f>
        <v>9959.560000000005</v>
      </c>
      <c r="P147" s="26" t="str">
        <f>IF(COUNT(G147,N147)=2,G147-N147,"n.d.")</f>
        <v>n.d.</v>
      </c>
      <c r="Q147" s="27">
        <f>IF(COUNTIFS('Taux'!$A$6:$A$20,A147,'Taux'!$B$6:$B$20,D147)=1,SUMIFS('Taux'!$D$6:$D$20,'Taux'!$A$6:$A$20,A147,'Taux'!$B$6:$B$20,D147),"n.d.")</f>
        <v>5.855892595</v>
      </c>
      <c r="R147" s="22">
        <f>IF(COUNT(F147,Q147)=2,F147/Q147,"n.d.")</f>
        <v>1700.7757294769858</v>
      </c>
      <c r="S147" s="22">
        <f>IF(COUNT(M147,Q147)=2,M147/Q147,"n.d.")</f>
        <v>0.0</v>
      </c>
      <c r="T147" s="24">
        <f>IF(OR(COUNT(F147,M147)&lt;&gt;2,F147=0),"n.d.",M147/F147)</f>
        <v>0.0</v>
      </c>
      <c r="U147" s="24" t="str">
        <f>IF(OR(COUNT(G147,N147)&lt;&gt;2,G147=0),"n.d.",N147/G147)</f>
        <v>n.d.</v>
      </c>
      <c r="V147" s="23" t="s">
        <v>51</v>
      </c>
      <c r="W147" s="18" t="s">
        <v>310</v>
      </c>
    </row>
    <row r="148" spans="1:23" ht="19" customHeight="1">
      <c r="A148" s="18" t="s">
        <v>27</v>
      </c>
      <c r="B148" s="18" t="s">
        <v>233</v>
      </c>
      <c r="C148" s="18" t="s">
        <v>234</v>
      </c>
      <c r="D148" s="18" t="s">
        <v>14</v>
      </c>
      <c r="E148" s="25">
        <v>46235</v>
      </c>
      <c r="F148" s="22">
        <v>1465.87</v>
      </c>
      <c r="G148" s="26">
        <v>13</v>
      </c>
      <c r="H148" s="23" t="s">
        <v>51</v>
      </c>
      <c r="I148" s="23" t="s">
        <v>51</v>
      </c>
      <c r="J148" s="23" t="s">
        <v>51</v>
      </c>
      <c r="K148" s="23" t="s">
        <v>51</v>
      </c>
      <c r="L148" s="23" t="s">
        <v>51</v>
      </c>
      <c r="M148" s="22">
        <f>IF(COUNT()=0,SUM(),"n.d.")</f>
        <v>0</v>
      </c>
      <c r="N148" s="23" t="s">
        <v>51</v>
      </c>
      <c r="O148" s="22">
        <f>IF(COUNT(F148,M148)=2,F148-M148,"n.d.")</f>
        <v>1465.87</v>
      </c>
      <c r="P148" s="26" t="str">
        <f>IF(COUNT(G148,N148)=2,G148-N148,"n.d.")</f>
        <v>n.d.</v>
      </c>
      <c r="Q148" s="27">
        <f>IF(COUNTIFS('Taux'!$A$6:$A$20,A148,'Taux'!$B$6:$B$20,D148)=1,SUMIFS('Taux'!$D$6:$D$20,'Taux'!$A$6:$A$20,A148,'Taux'!$B$6:$B$20,D148),"n.d.")</f>
        <v>5.855892595</v>
      </c>
      <c r="R148" s="22">
        <f>IF(COUNT(F148,Q148)=2,F148/Q148,"n.d.")</f>
        <v>250.3239217965882</v>
      </c>
      <c r="S148" s="22">
        <f>IF(COUNT(M148,Q148)=2,M148/Q148,"n.d.")</f>
        <v>0.0</v>
      </c>
      <c r="T148" s="24">
        <f>IF(OR(COUNT(F148,M148)&lt;&gt;2,F148=0),"n.d.",M148/F148)</f>
        <v>0.0</v>
      </c>
      <c r="U148" s="24" t="str">
        <f>IF(OR(COUNT(G148,N148)&lt;&gt;2,G148=0),"n.d.",N148/G148)</f>
        <v>n.d.</v>
      </c>
      <c r="V148" s="23" t="s">
        <v>51</v>
      </c>
      <c r="W148" s="18" t="s">
        <v>311</v>
      </c>
    </row>
    <row r="149" spans="1:23" ht="19" customHeight="1">
      <c r="A149" s="18" t="s">
        <v>27</v>
      </c>
      <c r="B149" s="18" t="s">
        <v>233</v>
      </c>
      <c r="C149" s="18" t="s">
        <v>234</v>
      </c>
      <c r="D149" s="18" t="s">
        <v>14</v>
      </c>
      <c r="E149" s="25">
        <v>46266</v>
      </c>
      <c r="F149" s="22">
        <v>15278.08</v>
      </c>
      <c r="G149" s="26">
        <v>83</v>
      </c>
      <c r="H149" s="23" t="s">
        <v>51</v>
      </c>
      <c r="I149" s="23" t="s">
        <v>51</v>
      </c>
      <c r="J149" s="23" t="s">
        <v>51</v>
      </c>
      <c r="K149" s="23" t="s">
        <v>51</v>
      </c>
      <c r="L149" s="23" t="s">
        <v>51</v>
      </c>
      <c r="M149" s="22">
        <f>IF(COUNT()=0,SUM(),"n.d.")</f>
        <v>0</v>
      </c>
      <c r="N149" s="23" t="s">
        <v>51</v>
      </c>
      <c r="O149" s="22">
        <f>IF(COUNT(F149,M149)=2,F149-M149,"n.d.")</f>
        <v>15278.08</v>
      </c>
      <c r="P149" s="26" t="str">
        <f>IF(COUNT(G149,N149)=2,G149-N149,"n.d.")</f>
        <v>n.d.</v>
      </c>
      <c r="Q149" s="27">
        <f>IF(COUNTIFS('Taux'!$A$6:$A$20,A149,'Taux'!$B$6:$B$20,D149)=1,SUMIFS('Taux'!$D$6:$D$20,'Taux'!$A$6:$A$20,A149,'Taux'!$B$6:$B$20,D149),"n.d.")</f>
        <v>5.855892595</v>
      </c>
      <c r="R149" s="22">
        <f>IF(COUNT(F149,Q149)=2,F149/Q149,"n.d.")</f>
        <v>2609.0096005252976</v>
      </c>
      <c r="S149" s="22">
        <f>IF(COUNT(M149,Q149)=2,M149/Q149,"n.d.")</f>
        <v>0.0</v>
      </c>
      <c r="T149" s="24">
        <f>IF(OR(COUNT(F149,M149)&lt;&gt;2,F149=0),"n.d.",M149/F149)</f>
        <v>0.0</v>
      </c>
      <c r="U149" s="24" t="str">
        <f>IF(OR(COUNT(G149,N149)&lt;&gt;2,G149=0),"n.d.",N149/G149)</f>
        <v>n.d.</v>
      </c>
      <c r="V149" s="23" t="s">
        <v>51</v>
      </c>
      <c r="W149" s="18" t="s">
        <v>312</v>
      </c>
    </row>
    <row r="150" spans="1:23" ht="19" customHeight="1">
      <c r="A150" s="18" t="s">
        <v>27</v>
      </c>
      <c r="B150" s="18" t="s">
        <v>86</v>
      </c>
      <c r="C150" s="18" t="s">
        <v>87</v>
      </c>
      <c r="D150" s="18" t="s">
        <v>10</v>
      </c>
      <c r="E150" s="25">
        <v>46113</v>
      </c>
      <c r="F150" s="22">
        <v>6180</v>
      </c>
      <c r="G150" s="26">
        <v>75</v>
      </c>
      <c r="H150" s="22">
        <v>6180</v>
      </c>
      <c r="I150" s="22">
        <v>0</v>
      </c>
      <c r="J150" s="22">
        <v>0</v>
      </c>
      <c r="K150" s="23" t="s">
        <v>51</v>
      </c>
      <c r="L150" s="23" t="s">
        <v>51</v>
      </c>
      <c r="M150" s="22">
        <f>V150</f>
        <v>6180.0</v>
      </c>
      <c r="N150" s="26">
        <v>75</v>
      </c>
      <c r="O150" s="22">
        <f>IF(COUNT(F150,M150)=2,F150-M150,"n.d.")</f>
        <v>0.0</v>
      </c>
      <c r="P150" s="26">
        <f>IF(COUNT(G150,N150)=2,G150-N150,"n.d.")</f>
        <v>0.0</v>
      </c>
      <c r="Q150" s="27">
        <f>IF(COUNTIFS('Taux'!$A$6:$A$20,A150,'Taux'!$B$6:$B$20,D150)=1,SUMIFS('Taux'!$D$6:$D$20,'Taux'!$A$6:$A$20,A150,'Taux'!$B$6:$B$20,D150),"n.d.")</f>
        <v>1</v>
      </c>
      <c r="R150" s="22">
        <f>IF(COUNT(F150,Q150)=2,F150/Q150,"n.d.")</f>
        <v>6180.0</v>
      </c>
      <c r="S150" s="22">
        <f>IF(COUNT(M150,Q150)=2,M150/Q150,"n.d.")</f>
        <v>6180.0</v>
      </c>
      <c r="T150" s="24">
        <f>IF(OR(COUNT(F150,M150)&lt;&gt;2,F150=0),"n.d.",M150/F150)</f>
        <v>1.0</v>
      </c>
      <c r="U150" s="24">
        <f>IF(OR(COUNT(G150,N150)&lt;&gt;2,G150=0),"n.d.",N150/G150)</f>
        <v>1.0</v>
      </c>
      <c r="V150" s="22">
        <v>6180</v>
      </c>
      <c r="W150" s="18" t="s">
        <v>313</v>
      </c>
    </row>
    <row r="151" spans="1:23" ht="19" customHeight="1">
      <c r="A151" s="18" t="s">
        <v>27</v>
      </c>
      <c r="B151" s="18" t="s">
        <v>86</v>
      </c>
      <c r="C151" s="18" t="s">
        <v>87</v>
      </c>
      <c r="D151" s="18" t="s">
        <v>10</v>
      </c>
      <c r="E151" s="25">
        <v>46143</v>
      </c>
      <c r="F151" s="22">
        <v>13201</v>
      </c>
      <c r="G151" s="26">
        <v>68</v>
      </c>
      <c r="H151" s="22">
        <v>13201</v>
      </c>
      <c r="I151" s="22">
        <v>0</v>
      </c>
      <c r="J151" s="22">
        <v>0</v>
      </c>
      <c r="K151" s="23" t="s">
        <v>51</v>
      </c>
      <c r="L151" s="23" t="s">
        <v>51</v>
      </c>
      <c r="M151" s="22">
        <f>V151</f>
        <v>13201.0</v>
      </c>
      <c r="N151" s="26">
        <v>68</v>
      </c>
      <c r="O151" s="22">
        <f>IF(COUNT(F151,M151)=2,F151-M151,"n.d.")</f>
        <v>0.0</v>
      </c>
      <c r="P151" s="26">
        <f>IF(COUNT(G151,N151)=2,G151-N151,"n.d.")</f>
        <v>0.0</v>
      </c>
      <c r="Q151" s="27">
        <f>IF(COUNTIFS('Taux'!$A$6:$A$20,A151,'Taux'!$B$6:$B$20,D151)=1,SUMIFS('Taux'!$D$6:$D$20,'Taux'!$A$6:$A$20,A151,'Taux'!$B$6:$B$20,D151),"n.d.")</f>
        <v>1</v>
      </c>
      <c r="R151" s="22">
        <f>IF(COUNT(F151,Q151)=2,F151/Q151,"n.d.")</f>
        <v>13201.0</v>
      </c>
      <c r="S151" s="22">
        <f>IF(COUNT(M151,Q151)=2,M151/Q151,"n.d.")</f>
        <v>13201.0</v>
      </c>
      <c r="T151" s="24">
        <f>IF(OR(COUNT(F151,M151)&lt;&gt;2,F151=0),"n.d.",M151/F151)</f>
        <v>1.0</v>
      </c>
      <c r="U151" s="24">
        <f>IF(OR(COUNT(G151,N151)&lt;&gt;2,G151=0),"n.d.",N151/G151)</f>
        <v>1.0</v>
      </c>
      <c r="V151" s="22">
        <v>13201</v>
      </c>
      <c r="W151" s="18" t="s">
        <v>314</v>
      </c>
    </row>
    <row r="152" spans="1:23" ht="19" customHeight="1">
      <c r="A152" s="18" t="s">
        <v>27</v>
      </c>
      <c r="B152" s="18" t="s">
        <v>86</v>
      </c>
      <c r="C152" s="18" t="s">
        <v>87</v>
      </c>
      <c r="D152" s="18" t="s">
        <v>10</v>
      </c>
      <c r="E152" s="25">
        <v>46174</v>
      </c>
      <c r="F152" s="22">
        <v>5127</v>
      </c>
      <c r="G152" s="26">
        <v>70</v>
      </c>
      <c r="H152" s="22">
        <v>5127</v>
      </c>
      <c r="I152" s="22">
        <v>0</v>
      </c>
      <c r="J152" s="22">
        <v>0</v>
      </c>
      <c r="K152" s="23" t="s">
        <v>51</v>
      </c>
      <c r="L152" s="23" t="s">
        <v>51</v>
      </c>
      <c r="M152" s="22">
        <f>V152</f>
        <v>5127.0</v>
      </c>
      <c r="N152" s="26">
        <v>70</v>
      </c>
      <c r="O152" s="22">
        <f>IF(COUNT(F152,M152)=2,F152-M152,"n.d.")</f>
        <v>0.0</v>
      </c>
      <c r="P152" s="26">
        <f>IF(COUNT(G152,N152)=2,G152-N152,"n.d.")</f>
        <v>0.0</v>
      </c>
      <c r="Q152" s="27">
        <f>IF(COUNTIFS('Taux'!$A$6:$A$20,A152,'Taux'!$B$6:$B$20,D152)=1,SUMIFS('Taux'!$D$6:$D$20,'Taux'!$A$6:$A$20,A152,'Taux'!$B$6:$B$20,D152),"n.d.")</f>
        <v>1</v>
      </c>
      <c r="R152" s="22">
        <f>IF(COUNT(F152,Q152)=2,F152/Q152,"n.d.")</f>
        <v>5127.0</v>
      </c>
      <c r="S152" s="22">
        <f>IF(COUNT(M152,Q152)=2,M152/Q152,"n.d.")</f>
        <v>5127.0</v>
      </c>
      <c r="T152" s="24">
        <f>IF(OR(COUNT(F152,M152)&lt;&gt;2,F152=0),"n.d.",M152/F152)</f>
        <v>1.0</v>
      </c>
      <c r="U152" s="24">
        <f>IF(OR(COUNT(G152,N152)&lt;&gt;2,G152=0),"n.d.",N152/G152)</f>
        <v>1.0</v>
      </c>
      <c r="V152" s="22">
        <v>5127</v>
      </c>
      <c r="W152" s="18" t="s">
        <v>315</v>
      </c>
    </row>
    <row r="153" spans="1:23" ht="19" customHeight="1">
      <c r="A153" s="18" t="s">
        <v>27</v>
      </c>
      <c r="B153" s="18" t="s">
        <v>86</v>
      </c>
      <c r="C153" s="18" t="s">
        <v>87</v>
      </c>
      <c r="D153" s="18" t="s">
        <v>10</v>
      </c>
      <c r="E153" s="25">
        <v>46204</v>
      </c>
      <c r="F153" s="22">
        <v>11384</v>
      </c>
      <c r="G153" s="26">
        <v>99</v>
      </c>
      <c r="H153" s="22">
        <v>11376</v>
      </c>
      <c r="I153" s="22">
        <v>0</v>
      </c>
      <c r="J153" s="22">
        <v>0</v>
      </c>
      <c r="K153" s="23" t="s">
        <v>51</v>
      </c>
      <c r="L153" s="23" t="s">
        <v>51</v>
      </c>
      <c r="M153" s="22">
        <f>V153</f>
        <v>11376.0</v>
      </c>
      <c r="N153" s="26">
        <v>95</v>
      </c>
      <c r="O153" s="22">
        <f>IF(COUNT(F153,M153)=2,F153-M153,"n.d.")</f>
        <v>8.0</v>
      </c>
      <c r="P153" s="26">
        <f>IF(COUNT(G153,N153)=2,G153-N153,"n.d.")</f>
        <v>4.0</v>
      </c>
      <c r="Q153" s="27">
        <f>IF(COUNTIFS('Taux'!$A$6:$A$20,A153,'Taux'!$B$6:$B$20,D153)=1,SUMIFS('Taux'!$D$6:$D$20,'Taux'!$A$6:$A$20,A153,'Taux'!$B$6:$B$20,D153),"n.d.")</f>
        <v>1</v>
      </c>
      <c r="R153" s="22">
        <f>IF(COUNT(F153,Q153)=2,F153/Q153,"n.d.")</f>
        <v>11384.0</v>
      </c>
      <c r="S153" s="22">
        <f>IF(COUNT(M153,Q153)=2,M153/Q153,"n.d.")</f>
        <v>11376.0</v>
      </c>
      <c r="T153" s="24">
        <f>IF(OR(COUNT(F153,M153)&lt;&gt;2,F153=0),"n.d.",M153/F153)</f>
        <v>0.9992972593113141</v>
      </c>
      <c r="U153" s="24">
        <f>IF(OR(COUNT(G153,N153)&lt;&gt;2,G153=0),"n.d.",N153/G153)</f>
        <v>0.9595959595959596</v>
      </c>
      <c r="V153" s="22">
        <v>11376</v>
      </c>
      <c r="W153" s="18" t="s">
        <v>316</v>
      </c>
    </row>
    <row r="154" spans="1:23" ht="19" customHeight="1">
      <c r="A154" s="18" t="s">
        <v>27</v>
      </c>
      <c r="B154" s="18" t="s">
        <v>86</v>
      </c>
      <c r="C154" s="18" t="s">
        <v>87</v>
      </c>
      <c r="D154" s="18" t="s">
        <v>10</v>
      </c>
      <c r="E154" s="25">
        <v>46235</v>
      </c>
      <c r="F154" s="22">
        <v>6744</v>
      </c>
      <c r="G154" s="26">
        <v>82</v>
      </c>
      <c r="H154" s="22">
        <v>5166</v>
      </c>
      <c r="I154" s="22">
        <v>0</v>
      </c>
      <c r="J154" s="22">
        <v>27</v>
      </c>
      <c r="K154" s="23" t="s">
        <v>51</v>
      </c>
      <c r="L154" s="23" t="s">
        <v>51</v>
      </c>
      <c r="M154" s="22">
        <f>V154</f>
        <v>5192.0</v>
      </c>
      <c r="N154" s="26">
        <v>54</v>
      </c>
      <c r="O154" s="22">
        <f>IF(COUNT(F154,M154)=2,F154-M154,"n.d.")</f>
        <v>1552.0</v>
      </c>
      <c r="P154" s="26">
        <f>IF(COUNT(G154,N154)=2,G154-N154,"n.d.")</f>
        <v>28.0</v>
      </c>
      <c r="Q154" s="27">
        <f>IF(COUNTIFS('Taux'!$A$6:$A$20,A154,'Taux'!$B$6:$B$20,D154)=1,SUMIFS('Taux'!$D$6:$D$20,'Taux'!$A$6:$A$20,A154,'Taux'!$B$6:$B$20,D154),"n.d.")</f>
        <v>1</v>
      </c>
      <c r="R154" s="22">
        <f>IF(COUNT(F154,Q154)=2,F154/Q154,"n.d.")</f>
        <v>6744.0</v>
      </c>
      <c r="S154" s="22">
        <f>IF(COUNT(M154,Q154)=2,M154/Q154,"n.d.")</f>
        <v>5192.0</v>
      </c>
      <c r="T154" s="24">
        <f>IF(OR(COUNT(F154,M154)&lt;&gt;2,F154=0),"n.d.",M154/F154)</f>
        <v>0.7698695136417556</v>
      </c>
      <c r="U154" s="24">
        <f>IF(OR(COUNT(G154,N154)&lt;&gt;2,G154=0),"n.d.",N154/G154)</f>
        <v>0.6585365853658537</v>
      </c>
      <c r="V154" s="22">
        <v>5192</v>
      </c>
      <c r="W154" s="18" t="s">
        <v>317</v>
      </c>
    </row>
    <row r="155" spans="1:23" ht="19" customHeight="1">
      <c r="A155" s="18" t="s">
        <v>27</v>
      </c>
      <c r="B155" s="18" t="s">
        <v>86</v>
      </c>
      <c r="C155" s="18" t="s">
        <v>87</v>
      </c>
      <c r="D155" s="18" t="s">
        <v>10</v>
      </c>
      <c r="E155" s="25">
        <v>46266</v>
      </c>
      <c r="F155" s="22">
        <v>4508</v>
      </c>
      <c r="G155" s="26">
        <v>25</v>
      </c>
      <c r="H155" s="22">
        <v>0</v>
      </c>
      <c r="I155" s="22">
        <v>0</v>
      </c>
      <c r="J155" s="22">
        <v>0</v>
      </c>
      <c r="K155" s="23" t="s">
        <v>51</v>
      </c>
      <c r="L155" s="23" t="s">
        <v>51</v>
      </c>
      <c r="M155" s="22">
        <f>V155</f>
        <v>0.0</v>
      </c>
      <c r="N155" s="26">
        <v>0</v>
      </c>
      <c r="O155" s="22">
        <f>IF(COUNT(F155,M155)=2,F155-M155,"n.d.")</f>
        <v>4508.0</v>
      </c>
      <c r="P155" s="26">
        <f>IF(COUNT(G155,N155)=2,G155-N155,"n.d.")</f>
        <v>25.0</v>
      </c>
      <c r="Q155" s="27">
        <f>IF(COUNTIFS('Taux'!$A$6:$A$20,A155,'Taux'!$B$6:$B$20,D155)=1,SUMIFS('Taux'!$D$6:$D$20,'Taux'!$A$6:$A$20,A155,'Taux'!$B$6:$B$20,D155),"n.d.")</f>
        <v>1</v>
      </c>
      <c r="R155" s="22">
        <f>IF(COUNT(F155,Q155)=2,F155/Q155,"n.d.")</f>
        <v>4508.0</v>
      </c>
      <c r="S155" s="22">
        <f>IF(COUNT(M155,Q155)=2,M155/Q155,"n.d.")</f>
        <v>0.0</v>
      </c>
      <c r="T155" s="24">
        <f>IF(OR(COUNT(F155,M155)&lt;&gt;2,F155=0),"n.d.",M155/F155)</f>
        <v>0.0</v>
      </c>
      <c r="U155" s="24">
        <f>IF(OR(COUNT(G155,N155)&lt;&gt;2,G155=0),"n.d.",N155/G155)</f>
        <v>0.0</v>
      </c>
      <c r="V155" s="22">
        <v>0</v>
      </c>
      <c r="W155" s="18" t="s">
        <v>318</v>
      </c>
    </row>
    <row r="156" spans="1:23" ht="19" customHeight="1">
      <c r="A156" s="18" t="s">
        <v>27</v>
      </c>
      <c r="B156" s="18" t="s">
        <v>67</v>
      </c>
      <c r="C156" s="18" t="s">
        <v>68</v>
      </c>
      <c r="D156" s="18" t="s">
        <v>10</v>
      </c>
      <c r="E156" s="25">
        <v>46113</v>
      </c>
      <c r="F156" s="22">
        <v>775286</v>
      </c>
      <c r="G156" s="26">
        <v>4242</v>
      </c>
      <c r="H156" s="22">
        <v>654105</v>
      </c>
      <c r="I156" s="22">
        <v>318</v>
      </c>
      <c r="J156" s="22">
        <v>6594</v>
      </c>
      <c r="K156" s="23" t="s">
        <v>51</v>
      </c>
      <c r="L156" s="23" t="s">
        <v>51</v>
      </c>
      <c r="M156" s="22">
        <f>V156</f>
        <v>661018.0</v>
      </c>
      <c r="N156" s="26">
        <v>2435</v>
      </c>
      <c r="O156" s="22">
        <f>IF(COUNT(F156,M156)=2,F156-M156,"n.d.")</f>
        <v>114268.0</v>
      </c>
      <c r="P156" s="26">
        <f>IF(COUNT(G156,N156)=2,G156-N156,"n.d.")</f>
        <v>1807.0</v>
      </c>
      <c r="Q156" s="27">
        <f>IF(COUNTIFS('Taux'!$A$6:$A$20,A156,'Taux'!$B$6:$B$20,D156)=1,SUMIFS('Taux'!$D$6:$D$20,'Taux'!$A$6:$A$20,A156,'Taux'!$B$6:$B$20,D156),"n.d.")</f>
        <v>1</v>
      </c>
      <c r="R156" s="22">
        <f>IF(COUNT(F156,Q156)=2,F156/Q156,"n.d.")</f>
        <v>775286.0</v>
      </c>
      <c r="S156" s="22">
        <f>IF(COUNT(M156,Q156)=2,M156/Q156,"n.d.")</f>
        <v>661018.0</v>
      </c>
      <c r="T156" s="24">
        <f>IF(OR(COUNT(F156,M156)&lt;&gt;2,F156=0),"n.d.",M156/F156)</f>
        <v>0.8526118103512769</v>
      </c>
      <c r="U156" s="24">
        <f>IF(OR(COUNT(G156,N156)&lt;&gt;2,G156=0),"n.d.",N156/G156)</f>
        <v>0.5740216878830741</v>
      </c>
      <c r="V156" s="22">
        <v>661018</v>
      </c>
      <c r="W156" s="18" t="s">
        <v>319</v>
      </c>
    </row>
    <row r="157" spans="1:23" ht="19" customHeight="1">
      <c r="A157" s="18" t="s">
        <v>27</v>
      </c>
      <c r="B157" s="18" t="s">
        <v>67</v>
      </c>
      <c r="C157" s="18" t="s">
        <v>68</v>
      </c>
      <c r="D157" s="18" t="s">
        <v>10</v>
      </c>
      <c r="E157" s="25">
        <v>46143</v>
      </c>
      <c r="F157" s="22">
        <v>676517</v>
      </c>
      <c r="G157" s="26">
        <v>4226</v>
      </c>
      <c r="H157" s="22">
        <v>514245</v>
      </c>
      <c r="I157" s="22">
        <v>119</v>
      </c>
      <c r="J157" s="22">
        <v>9059</v>
      </c>
      <c r="K157" s="23" t="s">
        <v>51</v>
      </c>
      <c r="L157" s="23" t="s">
        <v>51</v>
      </c>
      <c r="M157" s="22">
        <f>V157</f>
        <v>523422.0</v>
      </c>
      <c r="N157" s="26">
        <v>1926</v>
      </c>
      <c r="O157" s="22">
        <f>IF(COUNT(F157,M157)=2,F157-M157,"n.d.")</f>
        <v>153095.0</v>
      </c>
      <c r="P157" s="26">
        <f>IF(COUNT(G157,N157)=2,G157-N157,"n.d.")</f>
        <v>2300.0</v>
      </c>
      <c r="Q157" s="27">
        <f>IF(COUNTIFS('Taux'!$A$6:$A$20,A157,'Taux'!$B$6:$B$20,D157)=1,SUMIFS('Taux'!$D$6:$D$20,'Taux'!$A$6:$A$20,A157,'Taux'!$B$6:$B$20,D157),"n.d.")</f>
        <v>1</v>
      </c>
      <c r="R157" s="22">
        <f>IF(COUNT(F157,Q157)=2,F157/Q157,"n.d.")</f>
        <v>676517.0</v>
      </c>
      <c r="S157" s="22">
        <f>IF(COUNT(M157,Q157)=2,M157/Q157,"n.d.")</f>
        <v>523422.0</v>
      </c>
      <c r="T157" s="24">
        <f>IF(OR(COUNT(F157,M157)&lt;&gt;2,F157=0),"n.d.",M157/F157)</f>
        <v>0.7737011782409016</v>
      </c>
      <c r="U157" s="24">
        <f>IF(OR(COUNT(G157,N157)&lt;&gt;2,G157=0),"n.d.",N157/G157)</f>
        <v>0.4557501183151917</v>
      </c>
      <c r="V157" s="22">
        <v>523422</v>
      </c>
      <c r="W157" s="18" t="s">
        <v>320</v>
      </c>
    </row>
    <row r="158" spans="1:23" ht="19" customHeight="1">
      <c r="A158" s="18" t="s">
        <v>27</v>
      </c>
      <c r="B158" s="18" t="s">
        <v>67</v>
      </c>
      <c r="C158" s="18" t="s">
        <v>68</v>
      </c>
      <c r="D158" s="18" t="s">
        <v>10</v>
      </c>
      <c r="E158" s="25">
        <v>46174</v>
      </c>
      <c r="F158" s="22">
        <v>803008</v>
      </c>
      <c r="G158" s="26">
        <v>3585</v>
      </c>
      <c r="H158" s="22">
        <v>691271</v>
      </c>
      <c r="I158" s="22">
        <v>7</v>
      </c>
      <c r="J158" s="22">
        <v>3</v>
      </c>
      <c r="K158" s="23" t="s">
        <v>51</v>
      </c>
      <c r="L158" s="23" t="s">
        <v>51</v>
      </c>
      <c r="M158" s="22">
        <f>V158</f>
        <v>691281.0</v>
      </c>
      <c r="N158" s="26">
        <v>2454</v>
      </c>
      <c r="O158" s="22">
        <f>IF(COUNT(F158,M158)=2,F158-M158,"n.d.")</f>
        <v>111727.0</v>
      </c>
      <c r="P158" s="26">
        <f>IF(COUNT(G158,N158)=2,G158-N158,"n.d.")</f>
        <v>1131.0</v>
      </c>
      <c r="Q158" s="27">
        <f>IF(COUNTIFS('Taux'!$A$6:$A$20,A158,'Taux'!$B$6:$B$20,D158)=1,SUMIFS('Taux'!$D$6:$D$20,'Taux'!$A$6:$A$20,A158,'Taux'!$B$6:$B$20,D158),"n.d.")</f>
        <v>1</v>
      </c>
      <c r="R158" s="22">
        <f>IF(COUNT(F158,Q158)=2,F158/Q158,"n.d.")</f>
        <v>803008.0</v>
      </c>
      <c r="S158" s="22">
        <f>IF(COUNT(M158,Q158)=2,M158/Q158,"n.d.")</f>
        <v>691281.0</v>
      </c>
      <c r="T158" s="24">
        <f>IF(OR(COUNT(F158,M158)&lt;&gt;2,F158=0),"n.d.",M158/F158)</f>
        <v>0.8608643998565394</v>
      </c>
      <c r="U158" s="24">
        <f>IF(OR(COUNT(G158,N158)&lt;&gt;2,G158=0),"n.d.",N158/G158)</f>
        <v>0.6845188284518828</v>
      </c>
      <c r="V158" s="22">
        <v>691281</v>
      </c>
      <c r="W158" s="18" t="s">
        <v>321</v>
      </c>
    </row>
    <row r="159" spans="1:23" ht="19" customHeight="1">
      <c r="A159" s="18" t="s">
        <v>27</v>
      </c>
      <c r="B159" s="18" t="s">
        <v>67</v>
      </c>
      <c r="C159" s="18" t="s">
        <v>68</v>
      </c>
      <c r="D159" s="18" t="s">
        <v>10</v>
      </c>
      <c r="E159" s="25">
        <v>46204</v>
      </c>
      <c r="F159" s="22">
        <v>943570</v>
      </c>
      <c r="G159" s="26">
        <v>4146</v>
      </c>
      <c r="H159" s="22">
        <v>748990</v>
      </c>
      <c r="I159" s="22">
        <v>1</v>
      </c>
      <c r="J159" s="22">
        <v>0</v>
      </c>
      <c r="K159" s="23" t="s">
        <v>51</v>
      </c>
      <c r="L159" s="23" t="s">
        <v>51</v>
      </c>
      <c r="M159" s="22">
        <f>V159</f>
        <v>748991.0</v>
      </c>
      <c r="N159" s="26">
        <v>2896</v>
      </c>
      <c r="O159" s="22">
        <f>IF(COUNT(F159,M159)=2,F159-M159,"n.d.")</f>
        <v>194579.0</v>
      </c>
      <c r="P159" s="26">
        <f>IF(COUNT(G159,N159)=2,G159-N159,"n.d.")</f>
        <v>1250.0</v>
      </c>
      <c r="Q159" s="27">
        <f>IF(COUNTIFS('Taux'!$A$6:$A$20,A159,'Taux'!$B$6:$B$20,D159)=1,SUMIFS('Taux'!$D$6:$D$20,'Taux'!$A$6:$A$20,A159,'Taux'!$B$6:$B$20,D159),"n.d.")</f>
        <v>1</v>
      </c>
      <c r="R159" s="22">
        <f>IF(COUNT(F159,Q159)=2,F159/Q159,"n.d.")</f>
        <v>943570.0</v>
      </c>
      <c r="S159" s="22">
        <f>IF(COUNT(M159,Q159)=2,M159/Q159,"n.d.")</f>
        <v>748991.0</v>
      </c>
      <c r="T159" s="24">
        <f>IF(OR(COUNT(F159,M159)&lt;&gt;2,F159=0),"n.d.",M159/F159)</f>
        <v>0.7937842449420817</v>
      </c>
      <c r="U159" s="24">
        <f>IF(OR(COUNT(G159,N159)&lt;&gt;2,G159=0),"n.d.",N159/G159)</f>
        <v>0.6985045827303425</v>
      </c>
      <c r="V159" s="22">
        <v>748991</v>
      </c>
      <c r="W159" s="18" t="s">
        <v>322</v>
      </c>
    </row>
    <row r="160" spans="1:23" ht="19" customHeight="1">
      <c r="A160" s="18" t="s">
        <v>27</v>
      </c>
      <c r="B160" s="18" t="s">
        <v>67</v>
      </c>
      <c r="C160" s="18" t="s">
        <v>68</v>
      </c>
      <c r="D160" s="18" t="s">
        <v>10</v>
      </c>
      <c r="E160" s="25">
        <v>46235</v>
      </c>
      <c r="F160" s="22">
        <v>970510</v>
      </c>
      <c r="G160" s="26">
        <v>3549</v>
      </c>
      <c r="H160" s="22">
        <v>600525</v>
      </c>
      <c r="I160" s="22">
        <v>0</v>
      </c>
      <c r="J160" s="22">
        <v>73</v>
      </c>
      <c r="K160" s="23" t="s">
        <v>51</v>
      </c>
      <c r="L160" s="23" t="s">
        <v>51</v>
      </c>
      <c r="M160" s="22">
        <f>V160</f>
        <v>600597.0</v>
      </c>
      <c r="N160" s="26">
        <v>1913</v>
      </c>
      <c r="O160" s="22">
        <f>IF(COUNT(F160,M160)=2,F160-M160,"n.d.")</f>
        <v>369913.0</v>
      </c>
      <c r="P160" s="26">
        <f>IF(COUNT(G160,N160)=2,G160-N160,"n.d.")</f>
        <v>1636.0</v>
      </c>
      <c r="Q160" s="27">
        <f>IF(COUNTIFS('Taux'!$A$6:$A$20,A160,'Taux'!$B$6:$B$20,D160)=1,SUMIFS('Taux'!$D$6:$D$20,'Taux'!$A$6:$A$20,A160,'Taux'!$B$6:$B$20,D160),"n.d.")</f>
        <v>1</v>
      </c>
      <c r="R160" s="22">
        <f>IF(COUNT(F160,Q160)=2,F160/Q160,"n.d.")</f>
        <v>970510.0</v>
      </c>
      <c r="S160" s="22">
        <f>IF(COUNT(M160,Q160)=2,M160/Q160,"n.d.")</f>
        <v>600597.0</v>
      </c>
      <c r="T160" s="24">
        <f>IF(OR(COUNT(F160,M160)&lt;&gt;2,F160=0),"n.d.",M160/F160)</f>
        <v>0.6188467918929222</v>
      </c>
      <c r="U160" s="24">
        <f>IF(OR(COUNT(G160,N160)&lt;&gt;2,G160=0),"n.d.",N160/G160)</f>
        <v>0.539025077486616</v>
      </c>
      <c r="V160" s="22">
        <v>600597</v>
      </c>
      <c r="W160" s="18" t="s">
        <v>323</v>
      </c>
    </row>
    <row r="161" spans="1:23" ht="19" customHeight="1">
      <c r="A161" s="18" t="s">
        <v>27</v>
      </c>
      <c r="B161" s="18" t="s">
        <v>67</v>
      </c>
      <c r="C161" s="18" t="s">
        <v>68</v>
      </c>
      <c r="D161" s="18" t="s">
        <v>10</v>
      </c>
      <c r="E161" s="25">
        <v>46266</v>
      </c>
      <c r="F161" s="22">
        <v>847485</v>
      </c>
      <c r="G161" s="26">
        <v>2966</v>
      </c>
      <c r="H161" s="22">
        <v>304811</v>
      </c>
      <c r="I161" s="22">
        <v>0</v>
      </c>
      <c r="J161" s="22">
        <v>68982</v>
      </c>
      <c r="K161" s="23" t="s">
        <v>51</v>
      </c>
      <c r="L161" s="23" t="s">
        <v>51</v>
      </c>
      <c r="M161" s="22">
        <f>V161</f>
        <v>373793.0</v>
      </c>
      <c r="N161" s="26">
        <v>1000</v>
      </c>
      <c r="O161" s="22">
        <f>IF(COUNT(F161,M161)=2,F161-M161,"n.d.")</f>
        <v>473692.0</v>
      </c>
      <c r="P161" s="26">
        <f>IF(COUNT(G161,N161)=2,G161-N161,"n.d.")</f>
        <v>1966.0</v>
      </c>
      <c r="Q161" s="27">
        <f>IF(COUNTIFS('Taux'!$A$6:$A$20,A161,'Taux'!$B$6:$B$20,D161)=1,SUMIFS('Taux'!$D$6:$D$20,'Taux'!$A$6:$A$20,A161,'Taux'!$B$6:$B$20,D161),"n.d.")</f>
        <v>1</v>
      </c>
      <c r="R161" s="22">
        <f>IF(COUNT(F161,Q161)=2,F161/Q161,"n.d.")</f>
        <v>847485.0</v>
      </c>
      <c r="S161" s="22">
        <f>IF(COUNT(M161,Q161)=2,M161/Q161,"n.d.")</f>
        <v>373793.0</v>
      </c>
      <c r="T161" s="24">
        <f>IF(OR(COUNT(F161,M161)&lt;&gt;2,F161=0),"n.d.",M161/F161)</f>
        <v>0.44106149371375303</v>
      </c>
      <c r="U161" s="24">
        <f>IF(OR(COUNT(G161,N161)&lt;&gt;2,G161=0),"n.d.",N161/G161)</f>
        <v>0.33715441672285906</v>
      </c>
      <c r="V161" s="22">
        <v>373793</v>
      </c>
      <c r="W161" s="18" t="s">
        <v>324</v>
      </c>
    </row>
  </sheetData>
  <conditionalFormatting sqref="A6:W161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83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8" customWidth="1"/>
    <col min="2" max="2" width="12.7109375" style="18" customWidth="1"/>
    <col min="3" max="3" width="22.7109375" style="18" customWidth="1"/>
    <col min="4" max="4" width="12.7109375" style="18" customWidth="1"/>
    <col min="5" max="5" width="16.7109375" style="18" customWidth="1"/>
    <col min="6" max="19" width="21.7109375" style="18" customWidth="1"/>
    <col min="20" max="20" width="58.7109375" style="18" customWidth="1"/>
    <col min="21" max="28" width="18.7109375" style="18" customWidth="1"/>
  </cols>
  <sheetData>
    <row r="2" spans="1:20" ht="19" customHeight="1">
      <c r="A2" s="19" t="s">
        <v>29</v>
      </c>
    </row>
    <row r="3" spans="1:20" ht="19" customHeight="1">
      <c r="A3" s="20" t="s">
        <v>30</v>
      </c>
    </row>
    <row r="5" spans="1:20" ht="42" customHeight="1">
      <c r="A5" s="21" t="s">
        <v>3</v>
      </c>
      <c r="B5" s="21" t="s">
        <v>31</v>
      </c>
      <c r="C5" s="21" t="s">
        <v>32</v>
      </c>
      <c r="D5" s="21" t="s">
        <v>4</v>
      </c>
      <c r="E5" s="21" t="s">
        <v>33</v>
      </c>
      <c r="F5" s="21" t="s">
        <v>34</v>
      </c>
      <c r="G5" s="21" t="s">
        <v>35</v>
      </c>
      <c r="H5" s="21" t="s">
        <v>36</v>
      </c>
      <c r="I5" s="21" t="s">
        <v>37</v>
      </c>
      <c r="J5" s="21" t="s">
        <v>38</v>
      </c>
      <c r="K5" s="21" t="s">
        <v>39</v>
      </c>
      <c r="L5" s="21" t="s">
        <v>40</v>
      </c>
      <c r="M5" s="21" t="s">
        <v>41</v>
      </c>
      <c r="N5" s="21" t="s">
        <v>42</v>
      </c>
      <c r="O5" s="21" t="s">
        <v>43</v>
      </c>
      <c r="P5" s="21" t="s">
        <v>44</v>
      </c>
      <c r="Q5" s="21" t="s">
        <v>45</v>
      </c>
      <c r="R5" s="21" t="s">
        <v>46</v>
      </c>
      <c r="S5" s="21" t="s">
        <v>47</v>
      </c>
      <c r="T5" s="21" t="s">
        <v>8</v>
      </c>
    </row>
    <row r="6" spans="1:20" ht="19" customHeight="1">
      <c r="A6" s="18" t="s">
        <v>13</v>
      </c>
      <c r="B6" s="18" t="s">
        <v>48</v>
      </c>
      <c r="C6" s="18" t="s">
        <v>49</v>
      </c>
      <c r="D6" s="18" t="s">
        <v>10</v>
      </c>
      <c r="E6" s="18" t="s">
        <v>50</v>
      </c>
      <c r="F6" s="22">
        <v>35597890</v>
      </c>
      <c r="G6" s="22">
        <v>35575075</v>
      </c>
      <c r="H6" s="22">
        <v>0</v>
      </c>
      <c r="I6" s="23" t="s">
        <v>51</v>
      </c>
      <c r="J6" s="22">
        <v>13695</v>
      </c>
      <c r="K6" s="23" t="s">
        <v>51</v>
      </c>
      <c r="L6" s="22">
        <f>IF(COUNT(G6,J6,H6)=3,SUM(G6,J6,H6),"n.d.")</f>
        <v>35588770.0</v>
      </c>
      <c r="M6" s="22">
        <f>P6</f>
        <v>9120.0</v>
      </c>
      <c r="N6" s="22">
        <f>IF(COUNT(M6,J6)=2,M6+J6,"n.d.")</f>
        <v>22815.0</v>
      </c>
      <c r="O6" s="22">
        <v>35588770</v>
      </c>
      <c r="P6" s="22">
        <v>9120</v>
      </c>
      <c r="Q6" s="27">
        <f>IF(COUNTIFS('Taux'!$A$6:$A$20,A6,'Taux'!$B$6:$B$20,D6)=1,SUMIFS('Taux'!$D$6:$D$20,'Taux'!$A$6:$A$20,A6,'Taux'!$B$6:$B$20,D6),"n.d.")</f>
        <v>1</v>
      </c>
      <c r="R6" s="22">
        <f>IF(COUNT(M6,Q6)=2,M6/Q6,"n.d.")</f>
        <v>9120.0</v>
      </c>
      <c r="S6" s="22">
        <f>IF(COUNT(N6,Q6)=2,N6/Q6,"n.d.")</f>
        <v>22815.0</v>
      </c>
      <c r="T6" s="18" t="s">
        <v>52</v>
      </c>
    </row>
    <row r="7" spans="1:20" ht="19" customHeight="1">
      <c r="A7" s="18" t="s">
        <v>13</v>
      </c>
      <c r="B7" s="18" t="s">
        <v>48</v>
      </c>
      <c r="C7" s="18" t="s">
        <v>49</v>
      </c>
      <c r="D7" s="18" t="s">
        <v>10</v>
      </c>
      <c r="E7" s="18" t="s">
        <v>53</v>
      </c>
      <c r="F7" s="22">
        <v>5799952</v>
      </c>
      <c r="G7" s="22">
        <v>5798264</v>
      </c>
      <c r="H7" s="22">
        <v>0</v>
      </c>
      <c r="I7" s="23" t="s">
        <v>51</v>
      </c>
      <c r="J7" s="22">
        <v>0</v>
      </c>
      <c r="K7" s="23" t="s">
        <v>51</v>
      </c>
      <c r="L7" s="22">
        <f>IF(COUNT(G7,J7,H7)=3,SUM(G7,J7,H7),"n.d.")</f>
        <v>5798264.0</v>
      </c>
      <c r="M7" s="22">
        <f>P7</f>
        <v>1688.0</v>
      </c>
      <c r="N7" s="22">
        <f>IF(COUNT(M7,J7)=2,M7+J7,"n.d.")</f>
        <v>1688.0</v>
      </c>
      <c r="O7" s="22">
        <v>5798264</v>
      </c>
      <c r="P7" s="22">
        <v>1688</v>
      </c>
      <c r="Q7" s="27">
        <f>IF(COUNTIFS('Taux'!$A$6:$A$20,A7,'Taux'!$B$6:$B$20,D7)=1,SUMIFS('Taux'!$D$6:$D$20,'Taux'!$A$6:$A$20,A7,'Taux'!$B$6:$B$20,D7),"n.d.")</f>
        <v>1</v>
      </c>
      <c r="R7" s="22">
        <f>IF(COUNT(M7,Q7)=2,M7/Q7,"n.d.")</f>
        <v>1688.0</v>
      </c>
      <c r="S7" s="22">
        <f>IF(COUNT(N7,Q7)=2,N7/Q7,"n.d.")</f>
        <v>1688.0</v>
      </c>
      <c r="T7" s="18" t="s">
        <v>54</v>
      </c>
    </row>
    <row r="8" spans="1:20" ht="19" customHeight="1">
      <c r="A8" s="18" t="s">
        <v>13</v>
      </c>
      <c r="B8" s="18" t="s">
        <v>48</v>
      </c>
      <c r="C8" s="18" t="s">
        <v>49</v>
      </c>
      <c r="D8" s="18" t="s">
        <v>10</v>
      </c>
      <c r="E8" s="18" t="s">
        <v>55</v>
      </c>
      <c r="F8" s="22">
        <v>649443</v>
      </c>
      <c r="G8" s="22">
        <v>537283</v>
      </c>
      <c r="H8" s="22">
        <v>0</v>
      </c>
      <c r="I8" s="23" t="s">
        <v>51</v>
      </c>
      <c r="J8" s="22">
        <v>0</v>
      </c>
      <c r="K8" s="23" t="s">
        <v>51</v>
      </c>
      <c r="L8" s="22">
        <f>IF(COUNT(G8,J8,H8)=3,SUM(G8,J8,H8),"n.d.")</f>
        <v>537283.0</v>
      </c>
      <c r="M8" s="22">
        <f>P8</f>
        <v>112161.0</v>
      </c>
      <c r="N8" s="22">
        <f>IF(COUNT(M8,J8)=2,M8+J8,"n.d.")</f>
        <v>112161.0</v>
      </c>
      <c r="O8" s="22">
        <v>537283</v>
      </c>
      <c r="P8" s="22">
        <v>112161</v>
      </c>
      <c r="Q8" s="27">
        <f>IF(COUNTIFS('Taux'!$A$6:$A$20,A8,'Taux'!$B$6:$B$20,D8)=1,SUMIFS('Taux'!$D$6:$D$20,'Taux'!$A$6:$A$20,A8,'Taux'!$B$6:$B$20,D8),"n.d.")</f>
        <v>1</v>
      </c>
      <c r="R8" s="22">
        <f>IF(COUNT(M8,Q8)=2,M8/Q8,"n.d.")</f>
        <v>112161.0</v>
      </c>
      <c r="S8" s="22">
        <f>IF(COUNT(N8,Q8)=2,N8/Q8,"n.d.")</f>
        <v>112161.0</v>
      </c>
      <c r="T8" s="18" t="s">
        <v>56</v>
      </c>
    </row>
    <row r="9" spans="1:20" ht="19" customHeight="1">
      <c r="A9" s="18" t="s">
        <v>13</v>
      </c>
      <c r="B9" s="18" t="s">
        <v>57</v>
      </c>
      <c r="C9" s="18" t="s">
        <v>58</v>
      </c>
      <c r="D9" s="18" t="s">
        <v>10</v>
      </c>
      <c r="E9" s="18" t="s">
        <v>50</v>
      </c>
      <c r="F9" s="22">
        <v>138693910</v>
      </c>
      <c r="G9" s="22">
        <v>56013616</v>
      </c>
      <c r="H9" s="22">
        <v>358781</v>
      </c>
      <c r="I9" s="22">
        <v>82320460</v>
      </c>
      <c r="J9" s="23" t="s">
        <v>51</v>
      </c>
      <c r="K9" s="23" t="s">
        <v>51</v>
      </c>
      <c r="L9" s="22">
        <f>IF(COUNT(G9,H9,I9)=3,SUM(G9,H9,I9),"n.d.")</f>
        <v>138692857.0</v>
      </c>
      <c r="M9" s="22">
        <f>P9</f>
        <v>1053.0</v>
      </c>
      <c r="N9" s="22">
        <f>IF(COUNT(M9,H9)=2,M9+H9,"n.d.")</f>
        <v>359834.0</v>
      </c>
      <c r="O9" s="22">
        <v>138692857</v>
      </c>
      <c r="P9" s="22">
        <v>1053</v>
      </c>
      <c r="Q9" s="27">
        <f>IF(COUNTIFS('Taux'!$A$6:$A$20,A9,'Taux'!$B$6:$B$20,D9)=1,SUMIFS('Taux'!$D$6:$D$20,'Taux'!$A$6:$A$20,A9,'Taux'!$B$6:$B$20,D9),"n.d.")</f>
        <v>1</v>
      </c>
      <c r="R9" s="22">
        <f>IF(COUNT(M9,Q9)=2,M9/Q9,"n.d.")</f>
        <v>1053.0</v>
      </c>
      <c r="S9" s="22">
        <f>IF(COUNT(N9,Q9)=2,N9/Q9,"n.d.")</f>
        <v>359834.0</v>
      </c>
      <c r="T9" s="18" t="s">
        <v>59</v>
      </c>
    </row>
    <row r="10" spans="1:20" ht="19" customHeight="1">
      <c r="A10" s="18" t="s">
        <v>13</v>
      </c>
      <c r="B10" s="18" t="s">
        <v>57</v>
      </c>
      <c r="C10" s="18" t="s">
        <v>58</v>
      </c>
      <c r="D10" s="18" t="s">
        <v>10</v>
      </c>
      <c r="E10" s="18" t="s">
        <v>53</v>
      </c>
      <c r="F10" s="22">
        <v>42326597</v>
      </c>
      <c r="G10" s="22">
        <v>15803469</v>
      </c>
      <c r="H10" s="22">
        <v>35204</v>
      </c>
      <c r="I10" s="22">
        <v>26453825</v>
      </c>
      <c r="J10" s="23" t="s">
        <v>51</v>
      </c>
      <c r="K10" s="23" t="s">
        <v>51</v>
      </c>
      <c r="L10" s="22">
        <f>IF(COUNT(G10,H10,I10)=3,SUM(G10,H10,I10),"n.d.")</f>
        <v>42292498.0</v>
      </c>
      <c r="M10" s="22">
        <f>P10</f>
        <v>34099.0</v>
      </c>
      <c r="N10" s="22">
        <f>IF(COUNT(M10,H10)=2,M10+H10,"n.d.")</f>
        <v>69303.0</v>
      </c>
      <c r="O10" s="22">
        <v>42292498</v>
      </c>
      <c r="P10" s="22">
        <v>34099</v>
      </c>
      <c r="Q10" s="27">
        <f>IF(COUNTIFS('Taux'!$A$6:$A$20,A10,'Taux'!$B$6:$B$20,D10)=1,SUMIFS('Taux'!$D$6:$D$20,'Taux'!$A$6:$A$20,A10,'Taux'!$B$6:$B$20,D10),"n.d.")</f>
        <v>1</v>
      </c>
      <c r="R10" s="22">
        <f>IF(COUNT(M10,Q10)=2,M10/Q10,"n.d.")</f>
        <v>34099.0</v>
      </c>
      <c r="S10" s="22">
        <f>IF(COUNT(N10,Q10)=2,N10/Q10,"n.d.")</f>
        <v>69303.0</v>
      </c>
      <c r="T10" s="18" t="s">
        <v>60</v>
      </c>
    </row>
    <row r="11" spans="1:20" ht="19" customHeight="1">
      <c r="A11" s="18" t="s">
        <v>13</v>
      </c>
      <c r="B11" s="18" t="s">
        <v>57</v>
      </c>
      <c r="C11" s="18" t="s">
        <v>58</v>
      </c>
      <c r="D11" s="18" t="s">
        <v>10</v>
      </c>
      <c r="E11" s="18" t="s">
        <v>55</v>
      </c>
      <c r="F11" s="22">
        <v>20624760</v>
      </c>
      <c r="G11" s="22">
        <v>7091021</v>
      </c>
      <c r="H11" s="22">
        <v>7998</v>
      </c>
      <c r="I11" s="22">
        <v>12175064</v>
      </c>
      <c r="J11" s="23" t="s">
        <v>51</v>
      </c>
      <c r="K11" s="23" t="s">
        <v>51</v>
      </c>
      <c r="L11" s="22">
        <f>IF(COUNT(G11,H11,I11)=3,SUM(G11,H11,I11),"n.d.")</f>
        <v>19274083.0</v>
      </c>
      <c r="M11" s="22">
        <f>P11</f>
        <v>1350677.0</v>
      </c>
      <c r="N11" s="22">
        <f>IF(COUNT(M11,H11)=2,M11+H11,"n.d.")</f>
        <v>1358675.0</v>
      </c>
      <c r="O11" s="22">
        <v>19274083</v>
      </c>
      <c r="P11" s="22">
        <v>1350677</v>
      </c>
      <c r="Q11" s="27">
        <f>IF(COUNTIFS('Taux'!$A$6:$A$20,A11,'Taux'!$B$6:$B$20,D11)=1,SUMIFS('Taux'!$D$6:$D$20,'Taux'!$A$6:$A$20,A11,'Taux'!$B$6:$B$20,D11),"n.d.")</f>
        <v>1</v>
      </c>
      <c r="R11" s="22">
        <f>IF(COUNT(M11,Q11)=2,M11/Q11,"n.d.")</f>
        <v>1350677.0</v>
      </c>
      <c r="S11" s="22">
        <f>IF(COUNT(N11,Q11)=2,N11/Q11,"n.d.")</f>
        <v>1358675.0</v>
      </c>
      <c r="T11" s="18" t="s">
        <v>61</v>
      </c>
    </row>
    <row r="12" spans="1:20" ht="19" customHeight="1">
      <c r="A12" s="18" t="s">
        <v>13</v>
      </c>
      <c r="B12" s="18" t="s">
        <v>62</v>
      </c>
      <c r="C12" s="18" t="s">
        <v>63</v>
      </c>
      <c r="D12" s="18" t="s">
        <v>10</v>
      </c>
      <c r="E12" s="18" t="s">
        <v>50</v>
      </c>
      <c r="F12" s="22">
        <v>348845</v>
      </c>
      <c r="G12" s="22">
        <v>267499</v>
      </c>
      <c r="H12" s="22">
        <v>81347</v>
      </c>
      <c r="I12" s="22">
        <v>0</v>
      </c>
      <c r="J12" s="23" t="s">
        <v>51</v>
      </c>
      <c r="K12" s="23" t="s">
        <v>51</v>
      </c>
      <c r="L12" s="22">
        <f>IF(COUNT(G12,H12,I12)=3,SUM(G12,H12,I12),"n.d.")</f>
        <v>348846.0</v>
      </c>
      <c r="M12" s="22">
        <f>P12</f>
        <v>0.0</v>
      </c>
      <c r="N12" s="22">
        <f>IF(COUNT(M12,H12)=2,M12+H12,"n.d.")</f>
        <v>81347.0</v>
      </c>
      <c r="O12" s="22">
        <v>348845</v>
      </c>
      <c r="P12" s="22">
        <v>0</v>
      </c>
      <c r="Q12" s="27">
        <f>IF(COUNTIFS('Taux'!$A$6:$A$20,A12,'Taux'!$B$6:$B$20,D12)=1,SUMIFS('Taux'!$D$6:$D$20,'Taux'!$A$6:$A$20,A12,'Taux'!$B$6:$B$20,D12),"n.d.")</f>
        <v>1</v>
      </c>
      <c r="R12" s="22">
        <f>IF(COUNT(M12,Q12)=2,M12/Q12,"n.d.")</f>
        <v>0.0</v>
      </c>
      <c r="S12" s="22">
        <f>IF(COUNT(N12,Q12)=2,N12/Q12,"n.d.")</f>
        <v>81347.0</v>
      </c>
      <c r="T12" s="18" t="s">
        <v>64</v>
      </c>
    </row>
    <row r="13" spans="1:20" ht="19" customHeight="1">
      <c r="A13" s="18" t="s">
        <v>13</v>
      </c>
      <c r="B13" s="18" t="s">
        <v>62</v>
      </c>
      <c r="C13" s="18" t="s">
        <v>63</v>
      </c>
      <c r="D13" s="18" t="s">
        <v>10</v>
      </c>
      <c r="E13" s="18" t="s">
        <v>53</v>
      </c>
      <c r="F13" s="22">
        <v>19576702</v>
      </c>
      <c r="G13" s="22">
        <v>19309241</v>
      </c>
      <c r="H13" s="22">
        <v>30485</v>
      </c>
      <c r="I13" s="22">
        <v>0</v>
      </c>
      <c r="J13" s="23" t="s">
        <v>51</v>
      </c>
      <c r="K13" s="23" t="s">
        <v>51</v>
      </c>
      <c r="L13" s="22">
        <f>IF(COUNT(G13,H13,I13)=3,SUM(G13,H13,I13),"n.d.")</f>
        <v>19339726.0</v>
      </c>
      <c r="M13" s="22">
        <f>P13</f>
        <v>236975.0</v>
      </c>
      <c r="N13" s="22">
        <f>IF(COUNT(M13,H13)=2,M13+H13,"n.d.")</f>
        <v>267460.0</v>
      </c>
      <c r="O13" s="22">
        <v>19339726</v>
      </c>
      <c r="P13" s="22">
        <v>236975</v>
      </c>
      <c r="Q13" s="27">
        <f>IF(COUNTIFS('Taux'!$A$6:$A$20,A13,'Taux'!$B$6:$B$20,D13)=1,SUMIFS('Taux'!$D$6:$D$20,'Taux'!$A$6:$A$20,A13,'Taux'!$B$6:$B$20,D13),"n.d.")</f>
        <v>1</v>
      </c>
      <c r="R13" s="22">
        <f>IF(COUNT(M13,Q13)=2,M13/Q13,"n.d.")</f>
        <v>236975.0</v>
      </c>
      <c r="S13" s="22">
        <f>IF(COUNT(N13,Q13)=2,N13/Q13,"n.d.")</f>
        <v>267460.0</v>
      </c>
      <c r="T13" s="18" t="s">
        <v>65</v>
      </c>
    </row>
    <row r="14" spans="1:20" ht="19" customHeight="1">
      <c r="A14" s="18" t="s">
        <v>13</v>
      </c>
      <c r="B14" s="18" t="s">
        <v>62</v>
      </c>
      <c r="C14" s="18" t="s">
        <v>63</v>
      </c>
      <c r="D14" s="18" t="s">
        <v>10</v>
      </c>
      <c r="E14" s="18" t="s">
        <v>55</v>
      </c>
      <c r="F14" s="22">
        <v>10212626</v>
      </c>
      <c r="G14" s="22">
        <v>7243846</v>
      </c>
      <c r="H14" s="22">
        <v>0</v>
      </c>
      <c r="I14" s="22">
        <v>0</v>
      </c>
      <c r="J14" s="23" t="s">
        <v>51</v>
      </c>
      <c r="K14" s="23" t="s">
        <v>51</v>
      </c>
      <c r="L14" s="22">
        <f>IF(COUNT(G14,H14,I14)=3,SUM(G14,H14,I14),"n.d.")</f>
        <v>7243846.0</v>
      </c>
      <c r="M14" s="22">
        <f>P14</f>
        <v>2968780.0</v>
      </c>
      <c r="N14" s="22">
        <f>IF(COUNT(M14,H14)=2,M14+H14,"n.d.")</f>
        <v>2968780.0</v>
      </c>
      <c r="O14" s="22">
        <v>7243846</v>
      </c>
      <c r="P14" s="22">
        <v>2968780</v>
      </c>
      <c r="Q14" s="27">
        <f>IF(COUNTIFS('Taux'!$A$6:$A$20,A14,'Taux'!$B$6:$B$20,D14)=1,SUMIFS('Taux'!$D$6:$D$20,'Taux'!$A$6:$A$20,A14,'Taux'!$B$6:$B$20,D14),"n.d.")</f>
        <v>1</v>
      </c>
      <c r="R14" s="22">
        <f>IF(COUNT(M14,Q14)=2,M14/Q14,"n.d.")</f>
        <v>2968780.0</v>
      </c>
      <c r="S14" s="22">
        <f>IF(COUNT(N14,Q14)=2,N14/Q14,"n.d.")</f>
        <v>2968780.0</v>
      </c>
      <c r="T14" s="18" t="s">
        <v>66</v>
      </c>
    </row>
    <row r="15" spans="1:20" ht="19" customHeight="1">
      <c r="A15" s="18" t="s">
        <v>13</v>
      </c>
      <c r="B15" s="18" t="s">
        <v>67</v>
      </c>
      <c r="C15" s="18" t="s">
        <v>68</v>
      </c>
      <c r="D15" s="18" t="s">
        <v>10</v>
      </c>
      <c r="E15" s="18" t="s">
        <v>50</v>
      </c>
      <c r="F15" s="22">
        <v>120219169</v>
      </c>
      <c r="G15" s="22">
        <v>118422535</v>
      </c>
      <c r="H15" s="22">
        <v>7679</v>
      </c>
      <c r="I15" s="22">
        <v>863519</v>
      </c>
      <c r="J15" s="23" t="s">
        <v>51</v>
      </c>
      <c r="K15" s="23" t="s">
        <v>51</v>
      </c>
      <c r="L15" s="22">
        <f>IF(COUNT(G15,H15,I15)=3,SUM(G15,H15,I15),"n.d.")</f>
        <v>119293733.0</v>
      </c>
      <c r="M15" s="22">
        <f>P15</f>
        <v>925436.0</v>
      </c>
      <c r="N15" s="22">
        <f>IF(COUNT(M15,H15)=2,M15+H15,"n.d.")</f>
        <v>933115.0</v>
      </c>
      <c r="O15" s="22">
        <v>119293733</v>
      </c>
      <c r="P15" s="22">
        <v>925436</v>
      </c>
      <c r="Q15" s="27">
        <f>IF(COUNTIFS('Taux'!$A$6:$A$20,A15,'Taux'!$B$6:$B$20,D15)=1,SUMIFS('Taux'!$D$6:$D$20,'Taux'!$A$6:$A$20,A15,'Taux'!$B$6:$B$20,D15),"n.d.")</f>
        <v>1</v>
      </c>
      <c r="R15" s="22">
        <f>IF(COUNT(M15,Q15)=2,M15/Q15,"n.d.")</f>
        <v>925436.0</v>
      </c>
      <c r="S15" s="22">
        <f>IF(COUNT(N15,Q15)=2,N15/Q15,"n.d.")</f>
        <v>933115.0</v>
      </c>
      <c r="T15" s="18" t="s">
        <v>69</v>
      </c>
    </row>
    <row r="16" spans="1:20" ht="19" customHeight="1">
      <c r="A16" s="18" t="s">
        <v>13</v>
      </c>
      <c r="B16" s="18" t="s">
        <v>67</v>
      </c>
      <c r="C16" s="18" t="s">
        <v>68</v>
      </c>
      <c r="D16" s="18" t="s">
        <v>10</v>
      </c>
      <c r="E16" s="18" t="s">
        <v>53</v>
      </c>
      <c r="F16" s="22">
        <v>18317521</v>
      </c>
      <c r="G16" s="22">
        <v>17534711</v>
      </c>
      <c r="H16" s="22">
        <v>18694</v>
      </c>
      <c r="I16" s="22">
        <v>229263</v>
      </c>
      <c r="J16" s="23" t="s">
        <v>51</v>
      </c>
      <c r="K16" s="23" t="s">
        <v>51</v>
      </c>
      <c r="L16" s="22">
        <f>IF(COUNT(G16,H16,I16)=3,SUM(G16,H16,I16),"n.d.")</f>
        <v>17782668.0</v>
      </c>
      <c r="M16" s="22">
        <f>P16</f>
        <v>534855.0</v>
      </c>
      <c r="N16" s="22">
        <f>IF(COUNT(M16,H16)=2,M16+H16,"n.d.")</f>
        <v>553549.0</v>
      </c>
      <c r="O16" s="22">
        <v>17782667</v>
      </c>
      <c r="P16" s="22">
        <v>534855</v>
      </c>
      <c r="Q16" s="27">
        <f>IF(COUNTIFS('Taux'!$A$6:$A$20,A16,'Taux'!$B$6:$B$20,D16)=1,SUMIFS('Taux'!$D$6:$D$20,'Taux'!$A$6:$A$20,A16,'Taux'!$B$6:$B$20,D16),"n.d.")</f>
        <v>1</v>
      </c>
      <c r="R16" s="22">
        <f>IF(COUNT(M16,Q16)=2,M16/Q16,"n.d.")</f>
        <v>534855.0</v>
      </c>
      <c r="S16" s="22">
        <f>IF(COUNT(N16,Q16)=2,N16/Q16,"n.d.")</f>
        <v>553549.0</v>
      </c>
      <c r="T16" s="18" t="s">
        <v>70</v>
      </c>
    </row>
    <row r="17" spans="1:20" ht="19" customHeight="1">
      <c r="A17" s="18" t="s">
        <v>13</v>
      </c>
      <c r="B17" s="18" t="s">
        <v>67</v>
      </c>
      <c r="C17" s="18" t="s">
        <v>68</v>
      </c>
      <c r="D17" s="18" t="s">
        <v>10</v>
      </c>
      <c r="E17" s="18" t="s">
        <v>55</v>
      </c>
      <c r="F17" s="22">
        <v>4971406</v>
      </c>
      <c r="G17" s="22">
        <v>2721256</v>
      </c>
      <c r="H17" s="22">
        <v>436</v>
      </c>
      <c r="I17" s="22">
        <v>263340</v>
      </c>
      <c r="J17" s="23" t="s">
        <v>51</v>
      </c>
      <c r="K17" s="23" t="s">
        <v>51</v>
      </c>
      <c r="L17" s="22">
        <f>IF(COUNT(G17,H17,I17)=3,SUM(G17,H17,I17),"n.d.")</f>
        <v>2985032.0</v>
      </c>
      <c r="M17" s="22">
        <f>P17</f>
        <v>1986374.0</v>
      </c>
      <c r="N17" s="22">
        <f>IF(COUNT(M17,H17)=2,M17+H17,"n.d.")</f>
        <v>1986810.0</v>
      </c>
      <c r="O17" s="22">
        <v>2985032</v>
      </c>
      <c r="P17" s="22">
        <v>1986374</v>
      </c>
      <c r="Q17" s="27">
        <f>IF(COUNTIFS('Taux'!$A$6:$A$20,A17,'Taux'!$B$6:$B$20,D17)=1,SUMIFS('Taux'!$D$6:$D$20,'Taux'!$A$6:$A$20,A17,'Taux'!$B$6:$B$20,D17),"n.d.")</f>
        <v>1</v>
      </c>
      <c r="R17" s="22">
        <f>IF(COUNT(M17,Q17)=2,M17/Q17,"n.d.")</f>
        <v>1986374.0</v>
      </c>
      <c r="S17" s="22">
        <f>IF(COUNT(N17,Q17)=2,N17/Q17,"n.d.")</f>
        <v>1986810.0</v>
      </c>
      <c r="T17" s="18" t="s">
        <v>71</v>
      </c>
    </row>
    <row r="18" spans="1:20" ht="19" customHeight="1">
      <c r="A18" s="18" t="s">
        <v>13</v>
      </c>
      <c r="B18" s="18" t="s">
        <v>72</v>
      </c>
      <c r="C18" s="18" t="s">
        <v>73</v>
      </c>
      <c r="D18" s="18" t="s">
        <v>10</v>
      </c>
      <c r="E18" s="18" t="s">
        <v>50</v>
      </c>
      <c r="F18" s="22">
        <v>116775257</v>
      </c>
      <c r="G18" s="22">
        <v>115026964</v>
      </c>
      <c r="H18" s="22">
        <v>1748293</v>
      </c>
      <c r="I18" s="22">
        <v>0</v>
      </c>
      <c r="J18" s="23" t="s">
        <v>51</v>
      </c>
      <c r="K18" s="23" t="s">
        <v>51</v>
      </c>
      <c r="L18" s="22">
        <f>IF(COUNT(G18,H18,I18)=3,SUM(G18,H18,I18),"n.d.")</f>
        <v>116775257.0</v>
      </c>
      <c r="M18" s="22">
        <f>P18</f>
        <v>0.0</v>
      </c>
      <c r="N18" s="22">
        <f>IF(COUNT(M18,H18)=2,M18+H18,"n.d.")</f>
        <v>1748293.0</v>
      </c>
      <c r="O18" s="22">
        <v>116775257</v>
      </c>
      <c r="P18" s="22">
        <v>0</v>
      </c>
      <c r="Q18" s="27">
        <f>IF(COUNTIFS('Taux'!$A$6:$A$20,A18,'Taux'!$B$6:$B$20,D18)=1,SUMIFS('Taux'!$D$6:$D$20,'Taux'!$A$6:$A$20,A18,'Taux'!$B$6:$B$20,D18),"n.d.")</f>
        <v>1</v>
      </c>
      <c r="R18" s="22">
        <f>IF(COUNT(M18,Q18)=2,M18/Q18,"n.d.")</f>
        <v>0.0</v>
      </c>
      <c r="S18" s="22">
        <f>IF(COUNT(N18,Q18)=2,N18/Q18,"n.d.")</f>
        <v>1748293.0</v>
      </c>
      <c r="T18" s="18" t="s">
        <v>74</v>
      </c>
    </row>
    <row r="19" spans="1:20" ht="19" customHeight="1">
      <c r="A19" s="18" t="s">
        <v>13</v>
      </c>
      <c r="B19" s="18" t="s">
        <v>72</v>
      </c>
      <c r="C19" s="18" t="s">
        <v>73</v>
      </c>
      <c r="D19" s="18" t="s">
        <v>10</v>
      </c>
      <c r="E19" s="18" t="s">
        <v>53</v>
      </c>
      <c r="F19" s="22">
        <v>12759393</v>
      </c>
      <c r="G19" s="22">
        <v>12398891</v>
      </c>
      <c r="H19" s="22">
        <v>223335</v>
      </c>
      <c r="I19" s="22">
        <v>0</v>
      </c>
      <c r="J19" s="23" t="s">
        <v>51</v>
      </c>
      <c r="K19" s="23" t="s">
        <v>51</v>
      </c>
      <c r="L19" s="22">
        <f>IF(COUNT(G19,H19,I19)=3,SUM(G19,H19,I19),"n.d.")</f>
        <v>12622226.0</v>
      </c>
      <c r="M19" s="22">
        <f>P19</f>
        <v>137168.0</v>
      </c>
      <c r="N19" s="22">
        <f>IF(COUNT(M19,H19)=2,M19+H19,"n.d.")</f>
        <v>360503.0</v>
      </c>
      <c r="O19" s="22">
        <v>12622226</v>
      </c>
      <c r="P19" s="22">
        <v>137168</v>
      </c>
      <c r="Q19" s="27">
        <f>IF(COUNTIFS('Taux'!$A$6:$A$20,A19,'Taux'!$B$6:$B$20,D19)=1,SUMIFS('Taux'!$D$6:$D$20,'Taux'!$A$6:$A$20,A19,'Taux'!$B$6:$B$20,D19),"n.d.")</f>
        <v>1</v>
      </c>
      <c r="R19" s="22">
        <f>IF(COUNT(M19,Q19)=2,M19/Q19,"n.d.")</f>
        <v>137168.0</v>
      </c>
      <c r="S19" s="22">
        <f>IF(COUNT(N19,Q19)=2,N19/Q19,"n.d.")</f>
        <v>360503.0</v>
      </c>
      <c r="T19" s="18" t="s">
        <v>75</v>
      </c>
    </row>
    <row r="20" spans="1:20" ht="19" customHeight="1">
      <c r="A20" s="18" t="s">
        <v>13</v>
      </c>
      <c r="B20" s="18" t="s">
        <v>72</v>
      </c>
      <c r="C20" s="18" t="s">
        <v>73</v>
      </c>
      <c r="D20" s="18" t="s">
        <v>10</v>
      </c>
      <c r="E20" s="18" t="s">
        <v>55</v>
      </c>
      <c r="F20" s="22">
        <v>6678520</v>
      </c>
      <c r="G20" s="22">
        <v>5764071</v>
      </c>
      <c r="H20" s="22">
        <v>264190</v>
      </c>
      <c r="I20" s="22">
        <v>0</v>
      </c>
      <c r="J20" s="23" t="s">
        <v>51</v>
      </c>
      <c r="K20" s="23" t="s">
        <v>51</v>
      </c>
      <c r="L20" s="22">
        <f>IF(COUNT(G20,H20,I20)=3,SUM(G20,H20,I20),"n.d.")</f>
        <v>6028261.0</v>
      </c>
      <c r="M20" s="22">
        <f>P20</f>
        <v>650259.0</v>
      </c>
      <c r="N20" s="22">
        <f>IF(COUNT(M20,H20)=2,M20+H20,"n.d.")</f>
        <v>914449.0</v>
      </c>
      <c r="O20" s="22">
        <v>6028261</v>
      </c>
      <c r="P20" s="22">
        <v>650259</v>
      </c>
      <c r="Q20" s="27">
        <f>IF(COUNTIFS('Taux'!$A$6:$A$20,A20,'Taux'!$B$6:$B$20,D20)=1,SUMIFS('Taux'!$D$6:$D$20,'Taux'!$A$6:$A$20,A20,'Taux'!$B$6:$B$20,D20),"n.d.")</f>
        <v>1</v>
      </c>
      <c r="R20" s="22">
        <f>IF(COUNT(M20,Q20)=2,M20/Q20,"n.d.")</f>
        <v>650259.0</v>
      </c>
      <c r="S20" s="22">
        <f>IF(COUNT(N20,Q20)=2,N20/Q20,"n.d.")</f>
        <v>914449.0</v>
      </c>
      <c r="T20" s="18" t="s">
        <v>76</v>
      </c>
    </row>
    <row r="21" spans="1:20" ht="19" customHeight="1">
      <c r="A21" s="18" t="s">
        <v>13</v>
      </c>
      <c r="B21" s="18" t="s">
        <v>77</v>
      </c>
      <c r="C21" s="18" t="s">
        <v>78</v>
      </c>
      <c r="D21" s="18" t="s">
        <v>10</v>
      </c>
      <c r="E21" s="18" t="s">
        <v>50</v>
      </c>
      <c r="F21" s="22">
        <v>1979335</v>
      </c>
      <c r="G21" s="22">
        <v>229126</v>
      </c>
      <c r="H21" s="22">
        <v>0</v>
      </c>
      <c r="I21" s="22">
        <v>1740614</v>
      </c>
      <c r="J21" s="23" t="s">
        <v>51</v>
      </c>
      <c r="K21" s="23" t="s">
        <v>51</v>
      </c>
      <c r="L21" s="22">
        <f>IF(COUNT(G21,H21,I21)=3,SUM(G21,H21,I21),"n.d.")</f>
        <v>1969740.0</v>
      </c>
      <c r="M21" s="22">
        <f>P21</f>
        <v>9595.0</v>
      </c>
      <c r="N21" s="22">
        <f>IF(COUNT(M21,H21)=2,M21+H21,"n.d.")</f>
        <v>9595.0</v>
      </c>
      <c r="O21" s="22">
        <v>1969740</v>
      </c>
      <c r="P21" s="22">
        <v>9595</v>
      </c>
      <c r="Q21" s="27">
        <f>IF(COUNTIFS('Taux'!$A$6:$A$20,A21,'Taux'!$B$6:$B$20,D21)=1,SUMIFS('Taux'!$D$6:$D$20,'Taux'!$A$6:$A$20,A21,'Taux'!$B$6:$B$20,D21),"n.d.")</f>
        <v>1</v>
      </c>
      <c r="R21" s="22">
        <f>IF(COUNT(M21,Q21)=2,M21/Q21,"n.d.")</f>
        <v>9595.0</v>
      </c>
      <c r="S21" s="22">
        <f>IF(COUNT(N21,Q21)=2,N21/Q21,"n.d.")</f>
        <v>9595.0</v>
      </c>
      <c r="T21" s="18" t="s">
        <v>79</v>
      </c>
    </row>
    <row r="22" spans="1:20" ht="19" customHeight="1">
      <c r="A22" s="18" t="s">
        <v>13</v>
      </c>
      <c r="B22" s="18" t="s">
        <v>77</v>
      </c>
      <c r="C22" s="18" t="s">
        <v>78</v>
      </c>
      <c r="D22" s="18" t="s">
        <v>10</v>
      </c>
      <c r="E22" s="18" t="s">
        <v>53</v>
      </c>
      <c r="F22" s="22">
        <v>15886362</v>
      </c>
      <c r="G22" s="22">
        <v>2805366</v>
      </c>
      <c r="H22" s="22">
        <v>12291</v>
      </c>
      <c r="I22" s="22">
        <v>12974796</v>
      </c>
      <c r="J22" s="23" t="s">
        <v>51</v>
      </c>
      <c r="K22" s="23" t="s">
        <v>51</v>
      </c>
      <c r="L22" s="22">
        <f>IF(COUNT(G22,H22,I22)=3,SUM(G22,H22,I22),"n.d.")</f>
        <v>15792453.0</v>
      </c>
      <c r="M22" s="22">
        <f>P22</f>
        <v>93910.0</v>
      </c>
      <c r="N22" s="22">
        <f>IF(COUNT(M22,H22)=2,M22+H22,"n.d.")</f>
        <v>106201.0</v>
      </c>
      <c r="O22" s="22">
        <v>15792452</v>
      </c>
      <c r="P22" s="22">
        <v>93910</v>
      </c>
      <c r="Q22" s="27">
        <f>IF(COUNTIFS('Taux'!$A$6:$A$20,A22,'Taux'!$B$6:$B$20,D22)=1,SUMIFS('Taux'!$D$6:$D$20,'Taux'!$A$6:$A$20,A22,'Taux'!$B$6:$B$20,D22),"n.d.")</f>
        <v>1</v>
      </c>
      <c r="R22" s="22">
        <f>IF(COUNT(M22,Q22)=2,M22/Q22,"n.d.")</f>
        <v>93910.0</v>
      </c>
      <c r="S22" s="22">
        <f>IF(COUNT(N22,Q22)=2,N22/Q22,"n.d.")</f>
        <v>106201.0</v>
      </c>
      <c r="T22" s="18" t="s">
        <v>80</v>
      </c>
    </row>
    <row r="23" spans="1:20" ht="19" customHeight="1">
      <c r="A23" s="18" t="s">
        <v>13</v>
      </c>
      <c r="B23" s="18" t="s">
        <v>77</v>
      </c>
      <c r="C23" s="18" t="s">
        <v>78</v>
      </c>
      <c r="D23" s="18" t="s">
        <v>10</v>
      </c>
      <c r="E23" s="18" t="s">
        <v>55</v>
      </c>
      <c r="F23" s="22">
        <v>14274561</v>
      </c>
      <c r="G23" s="22">
        <v>4906894</v>
      </c>
      <c r="H23" s="22">
        <v>212</v>
      </c>
      <c r="I23" s="22">
        <v>8890050</v>
      </c>
      <c r="J23" s="23" t="s">
        <v>51</v>
      </c>
      <c r="K23" s="23" t="s">
        <v>51</v>
      </c>
      <c r="L23" s="22">
        <f>IF(COUNT(G23,H23,I23)=3,SUM(G23,H23,I23),"n.d.")</f>
        <v>13797156.0</v>
      </c>
      <c r="M23" s="22">
        <f>P23</f>
        <v>477404.0</v>
      </c>
      <c r="N23" s="22">
        <f>IF(COUNT(M23,H23)=2,M23+H23,"n.d.")</f>
        <v>477616.0</v>
      </c>
      <c r="O23" s="22">
        <v>13797157</v>
      </c>
      <c r="P23" s="22">
        <v>477404</v>
      </c>
      <c r="Q23" s="27">
        <f>IF(COUNTIFS('Taux'!$A$6:$A$20,A23,'Taux'!$B$6:$B$20,D23)=1,SUMIFS('Taux'!$D$6:$D$20,'Taux'!$A$6:$A$20,A23,'Taux'!$B$6:$B$20,D23),"n.d.")</f>
        <v>1</v>
      </c>
      <c r="R23" s="22">
        <f>IF(COUNT(M23,Q23)=2,M23/Q23,"n.d.")</f>
        <v>477404.0</v>
      </c>
      <c r="S23" s="22">
        <f>IF(COUNT(N23,Q23)=2,N23/Q23,"n.d.")</f>
        <v>477616.0</v>
      </c>
      <c r="T23" s="18" t="s">
        <v>81</v>
      </c>
    </row>
    <row r="24" spans="1:20" ht="19" customHeight="1">
      <c r="A24" s="18" t="s">
        <v>13</v>
      </c>
      <c r="B24" s="18" t="s">
        <v>82</v>
      </c>
      <c r="C24" s="18" t="s">
        <v>82</v>
      </c>
      <c r="D24" s="18" t="s">
        <v>19</v>
      </c>
      <c r="E24" s="18" t="s">
        <v>50</v>
      </c>
      <c r="F24" s="22">
        <v>1919718</v>
      </c>
      <c r="G24" s="22">
        <v>215128</v>
      </c>
      <c r="H24" s="22">
        <v>1495177</v>
      </c>
      <c r="I24" s="22">
        <v>209412</v>
      </c>
      <c r="J24" s="23" t="s">
        <v>51</v>
      </c>
      <c r="K24" s="23" t="s">
        <v>51</v>
      </c>
      <c r="L24" s="22">
        <f>IF(COUNT(G24,H24,I24)=3,SUM(G24,H24,I24),"n.d.")</f>
        <v>1919717.0</v>
      </c>
      <c r="M24" s="22">
        <f>P24</f>
        <v>0.0</v>
      </c>
      <c r="N24" s="22">
        <f>IF(COUNT(M24,H24)=2,M24+H24,"n.d.")</f>
        <v>1495177.0</v>
      </c>
      <c r="O24" s="22">
        <v>1919718</v>
      </c>
      <c r="P24" s="22">
        <v>0</v>
      </c>
      <c r="Q24" s="27">
        <f>IF(COUNTIFS('Taux'!$A$6:$A$20,A24,'Taux'!$B$6:$B$20,D24)=1,SUMIFS('Taux'!$D$6:$D$20,'Taux'!$A$6:$A$20,A24,'Taux'!$B$6:$B$20,D24),"n.d.")</f>
        <v>0.85443381</v>
      </c>
      <c r="R24" s="22">
        <f>IF(COUNT(M24,Q24)=2,M24/Q24,"n.d.")</f>
        <v>0.0</v>
      </c>
      <c r="S24" s="22">
        <f>IF(COUNT(N24,Q24)=2,N24/Q24,"n.d.")</f>
        <v>1749903.8339786672</v>
      </c>
      <c r="T24" s="18" t="s">
        <v>83</v>
      </c>
    </row>
    <row r="25" spans="1:20" ht="19" customHeight="1">
      <c r="A25" s="18" t="s">
        <v>13</v>
      </c>
      <c r="B25" s="18" t="s">
        <v>82</v>
      </c>
      <c r="C25" s="18" t="s">
        <v>82</v>
      </c>
      <c r="D25" s="18" t="s">
        <v>19</v>
      </c>
      <c r="E25" s="18" t="s">
        <v>53</v>
      </c>
      <c r="F25" s="22">
        <v>1293122</v>
      </c>
      <c r="G25" s="22">
        <v>616931</v>
      </c>
      <c r="H25" s="22">
        <v>586462</v>
      </c>
      <c r="I25" s="22">
        <v>49680</v>
      </c>
      <c r="J25" s="23" t="s">
        <v>51</v>
      </c>
      <c r="K25" s="23" t="s">
        <v>51</v>
      </c>
      <c r="L25" s="22">
        <f>IF(COUNT(G25,H25,I25)=3,SUM(G25,H25,I25),"n.d.")</f>
        <v>1253073.0</v>
      </c>
      <c r="M25" s="22">
        <f>P25</f>
        <v>40048.0</v>
      </c>
      <c r="N25" s="22">
        <f>IF(COUNT(M25,H25)=2,M25+H25,"n.d.")</f>
        <v>626510.0</v>
      </c>
      <c r="O25" s="22">
        <v>1253073</v>
      </c>
      <c r="P25" s="22">
        <v>40048</v>
      </c>
      <c r="Q25" s="27">
        <f>IF(COUNTIFS('Taux'!$A$6:$A$20,A25,'Taux'!$B$6:$B$20,D25)=1,SUMIFS('Taux'!$D$6:$D$20,'Taux'!$A$6:$A$20,A25,'Taux'!$B$6:$B$20,D25),"n.d.")</f>
        <v>0.85443381</v>
      </c>
      <c r="R25" s="22">
        <f>IF(COUNT(M25,Q25)=2,M25/Q25,"n.d.")</f>
        <v>46870.804421936446</v>
      </c>
      <c r="S25" s="22">
        <f>IF(COUNT(N25,Q25)=2,N25/Q25,"n.d.")</f>
        <v>733245.7970032811</v>
      </c>
      <c r="T25" s="18" t="s">
        <v>84</v>
      </c>
    </row>
    <row r="26" spans="1:20" ht="19" customHeight="1">
      <c r="A26" s="18" t="s">
        <v>13</v>
      </c>
      <c r="B26" s="18" t="s">
        <v>82</v>
      </c>
      <c r="C26" s="18" t="s">
        <v>82</v>
      </c>
      <c r="D26" s="18" t="s">
        <v>19</v>
      </c>
      <c r="E26" s="18" t="s">
        <v>55</v>
      </c>
      <c r="F26" s="22">
        <v>804306</v>
      </c>
      <c r="G26" s="22">
        <v>456551</v>
      </c>
      <c r="H26" s="22">
        <v>21906</v>
      </c>
      <c r="I26" s="22">
        <v>25241</v>
      </c>
      <c r="J26" s="23" t="s">
        <v>51</v>
      </c>
      <c r="K26" s="23" t="s">
        <v>51</v>
      </c>
      <c r="L26" s="22">
        <f>IF(COUNT(G26,H26,I26)=3,SUM(G26,H26,I26),"n.d.")</f>
        <v>503698.0</v>
      </c>
      <c r="M26" s="22">
        <f>P26</f>
        <v>300608.0</v>
      </c>
      <c r="N26" s="22">
        <f>IF(COUNT(M26,H26)=2,M26+H26,"n.d.")</f>
        <v>322514.0</v>
      </c>
      <c r="O26" s="22">
        <v>503698</v>
      </c>
      <c r="P26" s="22">
        <v>300608</v>
      </c>
      <c r="Q26" s="27">
        <f>IF(COUNTIFS('Taux'!$A$6:$A$20,A26,'Taux'!$B$6:$B$20,D26)=1,SUMIFS('Taux'!$D$6:$D$20,'Taux'!$A$6:$A$20,A26,'Taux'!$B$6:$B$20,D26),"n.d.")</f>
        <v>0.85443381</v>
      </c>
      <c r="R26" s="22">
        <f>IF(COUNT(M26,Q26)=2,M26/Q26,"n.d.")</f>
        <v>351821.28385111544</v>
      </c>
      <c r="S26" s="22">
        <f>IF(COUNT(N26,Q26)=2,N26/Q26,"n.d.")</f>
        <v>377459.31425630266</v>
      </c>
      <c r="T26" s="18" t="s">
        <v>85</v>
      </c>
    </row>
    <row r="27" spans="1:20" ht="19" customHeight="1">
      <c r="A27" s="18" t="s">
        <v>13</v>
      </c>
      <c r="B27" s="18" t="s">
        <v>86</v>
      </c>
      <c r="C27" s="18" t="s">
        <v>87</v>
      </c>
      <c r="D27" s="18" t="s">
        <v>10</v>
      </c>
      <c r="E27" s="18" t="s">
        <v>50</v>
      </c>
      <c r="F27" s="22">
        <v>1091685.037869048</v>
      </c>
      <c r="G27" s="22">
        <v>1034853.737869048</v>
      </c>
      <c r="H27" s="22">
        <v>0</v>
      </c>
      <c r="I27" s="22">
        <v>50654.21000000002</v>
      </c>
      <c r="J27" s="23" t="s">
        <v>51</v>
      </c>
      <c r="K27" s="23" t="s">
        <v>51</v>
      </c>
      <c r="L27" s="22">
        <f>IF(COUNT(G27,H27,I27)=3,SUM(G27,H27,I27),"n.d.")</f>
        <v>1085507.9478690478</v>
      </c>
      <c r="M27" s="22">
        <f>P27</f>
        <v>6177.090000000084</v>
      </c>
      <c r="N27" s="22">
        <f>IF(COUNT(M27,H27)=2,M27+H27,"n.d.")</f>
        <v>6177.090000000084</v>
      </c>
      <c r="O27" s="22">
        <v>1085507.947869048</v>
      </c>
      <c r="P27" s="22">
        <v>6177.090000000084</v>
      </c>
      <c r="Q27" s="27">
        <f>IF(COUNTIFS('Taux'!$A$6:$A$20,A27,'Taux'!$B$6:$B$20,D27)=1,SUMIFS('Taux'!$D$6:$D$20,'Taux'!$A$6:$A$20,A27,'Taux'!$B$6:$B$20,D27),"n.d.")</f>
        <v>1</v>
      </c>
      <c r="R27" s="22">
        <f>IF(COUNT(M27,Q27)=2,M27/Q27,"n.d.")</f>
        <v>6177.090000000084</v>
      </c>
      <c r="S27" s="22">
        <f>IF(COUNT(N27,Q27)=2,N27/Q27,"n.d.")</f>
        <v>6177.090000000084</v>
      </c>
      <c r="T27" s="18" t="s">
        <v>88</v>
      </c>
    </row>
    <row r="28" spans="1:20" ht="19" customHeight="1">
      <c r="A28" s="18" t="s">
        <v>13</v>
      </c>
      <c r="B28" s="18" t="s">
        <v>86</v>
      </c>
      <c r="C28" s="18" t="s">
        <v>87</v>
      </c>
      <c r="D28" s="18" t="s">
        <v>10</v>
      </c>
      <c r="E28" s="18" t="s">
        <v>53</v>
      </c>
      <c r="F28" s="22">
        <v>245197.5900000002</v>
      </c>
      <c r="G28" s="22">
        <v>244204.3300000002</v>
      </c>
      <c r="H28" s="22">
        <v>0</v>
      </c>
      <c r="I28" s="22">
        <v>563.38</v>
      </c>
      <c r="J28" s="23" t="s">
        <v>51</v>
      </c>
      <c r="K28" s="23" t="s">
        <v>51</v>
      </c>
      <c r="L28" s="22">
        <f>IF(COUNT(G28,H28,I28)=3,SUM(G28,H28,I28),"n.d.")</f>
        <v>244767.71000000025</v>
      </c>
      <c r="M28" s="22">
        <f>P28</f>
        <v>429.87999999994645</v>
      </c>
      <c r="N28" s="22">
        <f>IF(COUNT(M28,H28)=2,M28+H28,"n.d.")</f>
        <v>429.87999999994645</v>
      </c>
      <c r="O28" s="22">
        <v>244767.7100000003</v>
      </c>
      <c r="P28" s="22">
        <v>429.8799999999464</v>
      </c>
      <c r="Q28" s="27">
        <f>IF(COUNTIFS('Taux'!$A$6:$A$20,A28,'Taux'!$B$6:$B$20,D28)=1,SUMIFS('Taux'!$D$6:$D$20,'Taux'!$A$6:$A$20,A28,'Taux'!$B$6:$B$20,D28),"n.d.")</f>
        <v>1</v>
      </c>
      <c r="R28" s="22">
        <f>IF(COUNT(M28,Q28)=2,M28/Q28,"n.d.")</f>
        <v>429.87999999994645</v>
      </c>
      <c r="S28" s="22">
        <f>IF(COUNT(N28,Q28)=2,N28/Q28,"n.d.")</f>
        <v>429.87999999994645</v>
      </c>
      <c r="T28" s="18" t="s">
        <v>89</v>
      </c>
    </row>
    <row r="29" spans="1:20" ht="19" customHeight="1">
      <c r="A29" s="18" t="s">
        <v>13</v>
      </c>
      <c r="B29" s="18" t="s">
        <v>86</v>
      </c>
      <c r="C29" s="18" t="s">
        <v>87</v>
      </c>
      <c r="D29" s="18" t="s">
        <v>10</v>
      </c>
      <c r="E29" s="18" t="s">
        <v>55</v>
      </c>
      <c r="F29" s="22">
        <v>54745.46</v>
      </c>
      <c r="G29" s="22">
        <v>49360.14000000005</v>
      </c>
      <c r="H29" s="22">
        <v>0</v>
      </c>
      <c r="I29" s="22">
        <v>0</v>
      </c>
      <c r="J29" s="23" t="s">
        <v>51</v>
      </c>
      <c r="K29" s="23" t="s">
        <v>51</v>
      </c>
      <c r="L29" s="22">
        <f>IF(COUNT(G29,H29,I29)=3,SUM(G29,H29,I29),"n.d.")</f>
        <v>49360.14000000005</v>
      </c>
      <c r="M29" s="22">
        <f>P29</f>
        <v>5385.319999999949</v>
      </c>
      <c r="N29" s="22">
        <f>IF(COUNT(M29,H29)=2,M29+H29,"n.d.")</f>
        <v>5385.319999999949</v>
      </c>
      <c r="O29" s="22">
        <v>49360.14000000005</v>
      </c>
      <c r="P29" s="22">
        <v>5385.319999999949</v>
      </c>
      <c r="Q29" s="27">
        <f>IF(COUNTIFS('Taux'!$A$6:$A$20,A29,'Taux'!$B$6:$B$20,D29)=1,SUMIFS('Taux'!$D$6:$D$20,'Taux'!$A$6:$A$20,A29,'Taux'!$B$6:$B$20,D29),"n.d.")</f>
        <v>1</v>
      </c>
      <c r="R29" s="22">
        <f>IF(COUNT(M29,Q29)=2,M29/Q29,"n.d.")</f>
        <v>5385.319999999949</v>
      </c>
      <c r="S29" s="22">
        <f>IF(COUNT(N29,Q29)=2,N29/Q29,"n.d.")</f>
        <v>5385.319999999949</v>
      </c>
      <c r="T29" s="18" t="s">
        <v>90</v>
      </c>
    </row>
    <row r="30" spans="1:20" ht="19" customHeight="1">
      <c r="A30" s="18" t="s">
        <v>13</v>
      </c>
      <c r="B30" s="18" t="s">
        <v>91</v>
      </c>
      <c r="C30" s="18" t="s">
        <v>92</v>
      </c>
      <c r="D30" s="18" t="s">
        <v>16</v>
      </c>
      <c r="E30" s="18" t="s">
        <v>93</v>
      </c>
      <c r="F30" s="22">
        <v>1360.75</v>
      </c>
      <c r="G30" s="22">
        <v>1100.43</v>
      </c>
      <c r="H30" s="23" t="s">
        <v>51</v>
      </c>
      <c r="I30" s="23" t="s">
        <v>51</v>
      </c>
      <c r="J30" s="22">
        <v>0</v>
      </c>
      <c r="K30" s="22">
        <v>260.32</v>
      </c>
      <c r="L30" s="22">
        <f>IF(COUNT(G30,J30,K30)=3,SUM(G30,J30,K30),"n.d.")</f>
        <v>1360.75</v>
      </c>
      <c r="M30" s="22">
        <f>P30</f>
        <v>0</v>
      </c>
      <c r="N30" s="22">
        <f>IF(COUNT(M30)=1,M30,"n.d.")</f>
        <v>0</v>
      </c>
      <c r="O30" s="22">
        <v>1360.75</v>
      </c>
      <c r="P30" s="22">
        <v>0</v>
      </c>
      <c r="Q30" s="27">
        <f>IF(COUNTIFS('Taux'!$A$6:$A$20,A30,'Taux'!$B$6:$B$20,D30)=1,SUMIFS('Taux'!$D$6:$D$20,'Taux'!$A$6:$A$20,A30,'Taux'!$B$6:$B$20,D30),"n.d.")</f>
        <v>7.47595715</v>
      </c>
      <c r="R30" s="22">
        <f>IF(COUNT(M30,Q30)=2,M30/Q30,"n.d.")</f>
        <v>0.0</v>
      </c>
      <c r="S30" s="22">
        <f>IF(COUNT(N30,Q30)=2,N30/Q30,"n.d.")</f>
        <v>0.0</v>
      </c>
      <c r="T30" s="18" t="s">
        <v>94</v>
      </c>
    </row>
    <row r="31" spans="1:20" ht="19" customHeight="1">
      <c r="A31" s="18" t="s">
        <v>13</v>
      </c>
      <c r="B31" s="18" t="s">
        <v>91</v>
      </c>
      <c r="C31" s="18" t="s">
        <v>92</v>
      </c>
      <c r="D31" s="18" t="s">
        <v>16</v>
      </c>
      <c r="E31" s="18" t="s">
        <v>95</v>
      </c>
      <c r="F31" s="22">
        <v>707.71</v>
      </c>
      <c r="G31" s="22">
        <v>707.71</v>
      </c>
      <c r="H31" s="23" t="s">
        <v>51</v>
      </c>
      <c r="I31" s="23" t="s">
        <v>51</v>
      </c>
      <c r="J31" s="22">
        <v>0</v>
      </c>
      <c r="K31" s="22">
        <v>0</v>
      </c>
      <c r="L31" s="22">
        <f>IF(COUNT(G31,J31,K31)=3,SUM(G31,J31,K31),"n.d.")</f>
        <v>707.71</v>
      </c>
      <c r="M31" s="22">
        <f>P31</f>
        <v>0</v>
      </c>
      <c r="N31" s="22">
        <f>IF(COUNT(M31)=1,M31,"n.d.")</f>
        <v>0</v>
      </c>
      <c r="O31" s="22">
        <v>707.71</v>
      </c>
      <c r="P31" s="22">
        <v>0</v>
      </c>
      <c r="Q31" s="27">
        <f>IF(COUNTIFS('Taux'!$A$6:$A$20,A31,'Taux'!$B$6:$B$20,D31)=1,SUMIFS('Taux'!$D$6:$D$20,'Taux'!$A$6:$A$20,A31,'Taux'!$B$6:$B$20,D31),"n.d.")</f>
        <v>7.47595715</v>
      </c>
      <c r="R31" s="22">
        <f>IF(COUNT(M31,Q31)=2,M31/Q31,"n.d.")</f>
        <v>0.0</v>
      </c>
      <c r="S31" s="22">
        <f>IF(COUNT(N31,Q31)=2,N31/Q31,"n.d.")</f>
        <v>0.0</v>
      </c>
      <c r="T31" s="18" t="s">
        <v>96</v>
      </c>
    </row>
    <row r="32" spans="1:20" ht="19" customHeight="1">
      <c r="A32" s="18" t="s">
        <v>13</v>
      </c>
      <c r="B32" s="18" t="s">
        <v>91</v>
      </c>
      <c r="C32" s="18" t="s">
        <v>92</v>
      </c>
      <c r="D32" s="18" t="s">
        <v>16</v>
      </c>
      <c r="E32" s="18" t="s">
        <v>53</v>
      </c>
      <c r="F32" s="22">
        <v>979562.14</v>
      </c>
      <c r="G32" s="22">
        <v>916209.2199999997</v>
      </c>
      <c r="H32" s="23" t="s">
        <v>51</v>
      </c>
      <c r="I32" s="23" t="s">
        <v>51</v>
      </c>
      <c r="J32" s="22">
        <v>0</v>
      </c>
      <c r="K32" s="22">
        <v>63352.92000000001</v>
      </c>
      <c r="L32" s="22">
        <f>IF(COUNT(G32,J32,K32)=3,SUM(G32,J32,K32),"n.d.")</f>
        <v>979562.1399999998</v>
      </c>
      <c r="M32" s="22">
        <f>P32</f>
        <v>0</v>
      </c>
      <c r="N32" s="22">
        <f>IF(COUNT(M32)=1,M32,"n.d.")</f>
        <v>0</v>
      </c>
      <c r="O32" s="22">
        <v>979562.1399999998</v>
      </c>
      <c r="P32" s="22">
        <v>0</v>
      </c>
      <c r="Q32" s="27">
        <f>IF(COUNTIFS('Taux'!$A$6:$A$20,A32,'Taux'!$B$6:$B$20,D32)=1,SUMIFS('Taux'!$D$6:$D$20,'Taux'!$A$6:$A$20,A32,'Taux'!$B$6:$B$20,D32),"n.d.")</f>
        <v>7.47595715</v>
      </c>
      <c r="R32" s="22">
        <f>IF(COUNT(M32,Q32)=2,M32/Q32,"n.d.")</f>
        <v>0.0</v>
      </c>
      <c r="S32" s="22">
        <f>IF(COUNT(N32,Q32)=2,N32/Q32,"n.d.")</f>
        <v>0.0</v>
      </c>
      <c r="T32" s="18" t="s">
        <v>97</v>
      </c>
    </row>
    <row r="33" spans="1:20" ht="19" customHeight="1">
      <c r="A33" s="18" t="s">
        <v>13</v>
      </c>
      <c r="B33" s="18" t="s">
        <v>91</v>
      </c>
      <c r="C33" s="18" t="s">
        <v>92</v>
      </c>
      <c r="D33" s="18" t="s">
        <v>16</v>
      </c>
      <c r="E33" s="18" t="s">
        <v>55</v>
      </c>
      <c r="F33" s="22">
        <v>860922.6800000001</v>
      </c>
      <c r="G33" s="22">
        <v>432030.6900000002</v>
      </c>
      <c r="H33" s="23" t="s">
        <v>51</v>
      </c>
      <c r="I33" s="23" t="s">
        <v>51</v>
      </c>
      <c r="J33" s="22">
        <v>0</v>
      </c>
      <c r="K33" s="22">
        <v>246594.18</v>
      </c>
      <c r="L33" s="22">
        <f>IF(COUNT(G33,J33,K33)=3,SUM(G33,J33,K33),"n.d.")</f>
        <v>678624.8700000002</v>
      </c>
      <c r="M33" s="22">
        <f>P33</f>
        <v>182297.80999999982</v>
      </c>
      <c r="N33" s="22">
        <f>IF(COUNT(M33)=1,M33,"n.d.")</f>
        <v>182297.80999999982</v>
      </c>
      <c r="O33" s="22">
        <v>678624.8700000002</v>
      </c>
      <c r="P33" s="22">
        <v>182297.8099999998</v>
      </c>
      <c r="Q33" s="27">
        <f>IF(COUNTIFS('Taux'!$A$6:$A$20,A33,'Taux'!$B$6:$B$20,D33)=1,SUMIFS('Taux'!$D$6:$D$20,'Taux'!$A$6:$A$20,A33,'Taux'!$B$6:$B$20,D33),"n.d.")</f>
        <v>7.47595715</v>
      </c>
      <c r="R33" s="22">
        <f>IF(COUNT(M33,Q33)=2,M33/Q33,"n.d.")</f>
        <v>24384.544526181482</v>
      </c>
      <c r="S33" s="22">
        <f>IF(COUNT(N33,Q33)=2,N33/Q33,"n.d.")</f>
        <v>24384.544526181482</v>
      </c>
      <c r="T33" s="18" t="s">
        <v>98</v>
      </c>
    </row>
    <row r="34" spans="1:20" ht="19" customHeight="1">
      <c r="A34" s="18" t="s">
        <v>13</v>
      </c>
      <c r="B34" s="18" t="s">
        <v>99</v>
      </c>
      <c r="C34" s="18" t="s">
        <v>100</v>
      </c>
      <c r="D34" s="18" t="s">
        <v>21</v>
      </c>
      <c r="E34" s="18" t="s">
        <v>93</v>
      </c>
      <c r="F34" s="22">
        <v>0</v>
      </c>
      <c r="G34" s="22">
        <v>0</v>
      </c>
      <c r="H34" s="23" t="s">
        <v>51</v>
      </c>
      <c r="I34" s="23" t="s">
        <v>51</v>
      </c>
      <c r="J34" s="22">
        <v>0</v>
      </c>
      <c r="K34" s="22">
        <v>0</v>
      </c>
      <c r="L34" s="22">
        <f>IF(COUNT(G34,J34,K34)=3,SUM(G34,J34,K34),"n.d.")</f>
        <v>0</v>
      </c>
      <c r="M34" s="22">
        <f>P34</f>
        <v>0</v>
      </c>
      <c r="N34" s="22">
        <f>IF(COUNT(M34)=1,M34,"n.d.")</f>
        <v>0</v>
      </c>
      <c r="O34" s="22">
        <v>0</v>
      </c>
      <c r="P34" s="22">
        <v>0</v>
      </c>
      <c r="Q34" s="27">
        <f>IF(COUNTIFS('Taux'!$A$6:$A$20,A34,'Taux'!$B$6:$B$20,D34)=1,SUMIFS('Taux'!$D$6:$D$20,'Taux'!$A$6:$A$20,A34,'Taux'!$B$6:$B$20,D34),"n.d.")</f>
        <v>10.90384939</v>
      </c>
      <c r="R34" s="22">
        <f>IF(COUNT(M34,Q34)=2,M34/Q34,"n.d.")</f>
        <v>0.0</v>
      </c>
      <c r="S34" s="22">
        <f>IF(COUNT(N34,Q34)=2,N34/Q34,"n.d.")</f>
        <v>0.0</v>
      </c>
      <c r="T34" s="18" t="s">
        <v>101</v>
      </c>
    </row>
    <row r="35" spans="1:20" ht="19" customHeight="1">
      <c r="A35" s="18" t="s">
        <v>13</v>
      </c>
      <c r="B35" s="18" t="s">
        <v>99</v>
      </c>
      <c r="C35" s="18" t="s">
        <v>100</v>
      </c>
      <c r="D35" s="18" t="s">
        <v>21</v>
      </c>
      <c r="E35" s="18" t="s">
        <v>95</v>
      </c>
      <c r="F35" s="22">
        <v>19392.95</v>
      </c>
      <c r="G35" s="22">
        <v>18849.71</v>
      </c>
      <c r="H35" s="23" t="s">
        <v>51</v>
      </c>
      <c r="I35" s="23" t="s">
        <v>51</v>
      </c>
      <c r="J35" s="22">
        <v>0</v>
      </c>
      <c r="K35" s="22">
        <v>543.24</v>
      </c>
      <c r="L35" s="22">
        <f>IF(COUNT(G35,J35,K35)=3,SUM(G35,J35,K35),"n.d.")</f>
        <v>19392.95</v>
      </c>
      <c r="M35" s="22">
        <f>P35</f>
        <v>0</v>
      </c>
      <c r="N35" s="22">
        <f>IF(COUNT(M35)=1,M35,"n.d.")</f>
        <v>0</v>
      </c>
      <c r="O35" s="22">
        <v>19392.95</v>
      </c>
      <c r="P35" s="22">
        <v>0</v>
      </c>
      <c r="Q35" s="27">
        <f>IF(COUNTIFS('Taux'!$A$6:$A$20,A35,'Taux'!$B$6:$B$20,D35)=1,SUMIFS('Taux'!$D$6:$D$20,'Taux'!$A$6:$A$20,A35,'Taux'!$B$6:$B$20,D35),"n.d.")</f>
        <v>10.90384939</v>
      </c>
      <c r="R35" s="22">
        <f>IF(COUNT(M35,Q35)=2,M35/Q35,"n.d.")</f>
        <v>0.0</v>
      </c>
      <c r="S35" s="22">
        <f>IF(COUNT(N35,Q35)=2,N35/Q35,"n.d.")</f>
        <v>0.0</v>
      </c>
      <c r="T35" s="18" t="s">
        <v>102</v>
      </c>
    </row>
    <row r="36" spans="1:20" ht="19" customHeight="1">
      <c r="A36" s="18" t="s">
        <v>13</v>
      </c>
      <c r="B36" s="18" t="s">
        <v>99</v>
      </c>
      <c r="C36" s="18" t="s">
        <v>100</v>
      </c>
      <c r="D36" s="18" t="s">
        <v>21</v>
      </c>
      <c r="E36" s="18" t="s">
        <v>53</v>
      </c>
      <c r="F36" s="22">
        <v>1208230.41</v>
      </c>
      <c r="G36" s="22">
        <v>422096.93</v>
      </c>
      <c r="H36" s="23" t="s">
        <v>51</v>
      </c>
      <c r="I36" s="23" t="s">
        <v>51</v>
      </c>
      <c r="J36" s="22">
        <v>0</v>
      </c>
      <c r="K36" s="22">
        <v>786133.4799999997</v>
      </c>
      <c r="L36" s="22">
        <f>IF(COUNT(G36,J36,K36)=3,SUM(G36,J36,K36),"n.d.")</f>
        <v>1208230.4099999997</v>
      </c>
      <c r="M36" s="22">
        <f>P36</f>
        <v>0</v>
      </c>
      <c r="N36" s="22">
        <f>IF(COUNT(M36)=1,M36,"n.d.")</f>
        <v>0</v>
      </c>
      <c r="O36" s="22">
        <v>1208230.41</v>
      </c>
      <c r="P36" s="22">
        <v>0</v>
      </c>
      <c r="Q36" s="27">
        <f>IF(COUNTIFS('Taux'!$A$6:$A$20,A36,'Taux'!$B$6:$B$20,D36)=1,SUMIFS('Taux'!$D$6:$D$20,'Taux'!$A$6:$A$20,A36,'Taux'!$B$6:$B$20,D36),"n.d.")</f>
        <v>10.90384939</v>
      </c>
      <c r="R36" s="22">
        <f>IF(COUNT(M36,Q36)=2,M36/Q36,"n.d.")</f>
        <v>0.0</v>
      </c>
      <c r="S36" s="22">
        <f>IF(COUNT(N36,Q36)=2,N36/Q36,"n.d.")</f>
        <v>0.0</v>
      </c>
      <c r="T36" s="18" t="s">
        <v>103</v>
      </c>
    </row>
    <row r="37" spans="1:20" ht="19" customHeight="1">
      <c r="A37" s="18" t="s">
        <v>13</v>
      </c>
      <c r="B37" s="18" t="s">
        <v>99</v>
      </c>
      <c r="C37" s="18" t="s">
        <v>100</v>
      </c>
      <c r="D37" s="18" t="s">
        <v>21</v>
      </c>
      <c r="E37" s="18" t="s">
        <v>55</v>
      </c>
      <c r="F37" s="22">
        <v>695256.0099999999</v>
      </c>
      <c r="G37" s="22">
        <v>508406.14</v>
      </c>
      <c r="H37" s="23" t="s">
        <v>51</v>
      </c>
      <c r="I37" s="23" t="s">
        <v>51</v>
      </c>
      <c r="J37" s="22">
        <v>0</v>
      </c>
      <c r="K37" s="22">
        <v>64601.81</v>
      </c>
      <c r="L37" s="22">
        <f>IF(COUNT(G37,J37,K37)=3,SUM(G37,J37,K37),"n.d.")</f>
        <v>573007.95</v>
      </c>
      <c r="M37" s="22">
        <f>P37</f>
        <v>122248.05999999994</v>
      </c>
      <c r="N37" s="22">
        <f>IF(COUNT(M37)=1,M37,"n.d.")</f>
        <v>122248.05999999994</v>
      </c>
      <c r="O37" s="22">
        <v>573007.95</v>
      </c>
      <c r="P37" s="22">
        <v>122248.0599999999</v>
      </c>
      <c r="Q37" s="27">
        <f>IF(COUNTIFS('Taux'!$A$6:$A$20,A37,'Taux'!$B$6:$B$20,D37)=1,SUMIFS('Taux'!$D$6:$D$20,'Taux'!$A$6:$A$20,A37,'Taux'!$B$6:$B$20,D37),"n.d.")</f>
        <v>10.90384939</v>
      </c>
      <c r="R37" s="22">
        <f>IF(COUNT(M37,Q37)=2,M37/Q37,"n.d.")</f>
        <v>11211.458965318663</v>
      </c>
      <c r="S37" s="22">
        <f>IF(COUNT(N37,Q37)=2,N37/Q37,"n.d.")</f>
        <v>11211.458965318663</v>
      </c>
      <c r="T37" s="18" t="s">
        <v>104</v>
      </c>
    </row>
    <row r="38" spans="1:20" ht="19" customHeight="1">
      <c r="A38" s="18" t="s">
        <v>13</v>
      </c>
      <c r="B38" s="18" t="s">
        <v>105</v>
      </c>
      <c r="C38" s="18" t="s">
        <v>106</v>
      </c>
      <c r="D38" s="18" t="s">
        <v>23</v>
      </c>
      <c r="E38" s="18" t="s">
        <v>93</v>
      </c>
      <c r="F38" s="22">
        <v>0</v>
      </c>
      <c r="G38" s="22">
        <v>0</v>
      </c>
      <c r="H38" s="23" t="s">
        <v>51</v>
      </c>
      <c r="I38" s="23" t="s">
        <v>51</v>
      </c>
      <c r="J38" s="22">
        <v>0</v>
      </c>
      <c r="K38" s="22">
        <v>0</v>
      </c>
      <c r="L38" s="22">
        <f>IF(COUNT(G38,J38,K38)=3,SUM(G38,J38,K38),"n.d.")</f>
        <v>0</v>
      </c>
      <c r="M38" s="22">
        <f>P38</f>
        <v>0</v>
      </c>
      <c r="N38" s="22">
        <f>IF(COUNT(M38)=1,M38,"n.d.")</f>
        <v>0</v>
      </c>
      <c r="O38" s="22">
        <v>0</v>
      </c>
      <c r="P38" s="22">
        <v>0</v>
      </c>
      <c r="Q38" s="27">
        <f>IF(COUNTIFS('Taux'!$A$6:$A$20,A38,'Taux'!$B$6:$B$20,D38)=1,SUMIFS('Taux'!$D$6:$D$20,'Taux'!$A$6:$A$20,A38,'Taux'!$B$6:$B$20,D38),"n.d.")</f>
        <v>11.34339828</v>
      </c>
      <c r="R38" s="22">
        <f>IF(COUNT(M38,Q38)=2,M38/Q38,"n.d.")</f>
        <v>0.0</v>
      </c>
      <c r="S38" s="22">
        <f>IF(COUNT(N38,Q38)=2,N38/Q38,"n.d.")</f>
        <v>0.0</v>
      </c>
      <c r="T38" s="18" t="s">
        <v>107</v>
      </c>
    </row>
    <row r="39" spans="1:20" ht="19" customHeight="1">
      <c r="A39" s="18" t="s">
        <v>13</v>
      </c>
      <c r="B39" s="18" t="s">
        <v>105</v>
      </c>
      <c r="C39" s="18" t="s">
        <v>106</v>
      </c>
      <c r="D39" s="18" t="s">
        <v>23</v>
      </c>
      <c r="E39" s="18" t="s">
        <v>95</v>
      </c>
      <c r="F39" s="22">
        <v>0</v>
      </c>
      <c r="G39" s="22">
        <v>0</v>
      </c>
      <c r="H39" s="23" t="s">
        <v>51</v>
      </c>
      <c r="I39" s="23" t="s">
        <v>51</v>
      </c>
      <c r="J39" s="22">
        <v>0</v>
      </c>
      <c r="K39" s="22">
        <v>0</v>
      </c>
      <c r="L39" s="22">
        <f>IF(COUNT(G39,J39,K39)=3,SUM(G39,J39,K39),"n.d.")</f>
        <v>0</v>
      </c>
      <c r="M39" s="22">
        <f>P39</f>
        <v>0</v>
      </c>
      <c r="N39" s="22">
        <f>IF(COUNT(M39)=1,M39,"n.d.")</f>
        <v>0</v>
      </c>
      <c r="O39" s="22">
        <v>0</v>
      </c>
      <c r="P39" s="22">
        <v>0</v>
      </c>
      <c r="Q39" s="27">
        <f>IF(COUNTIFS('Taux'!$A$6:$A$20,A39,'Taux'!$B$6:$B$20,D39)=1,SUMIFS('Taux'!$D$6:$D$20,'Taux'!$A$6:$A$20,A39,'Taux'!$B$6:$B$20,D39),"n.d.")</f>
        <v>11.34339828</v>
      </c>
      <c r="R39" s="22">
        <f>IF(COUNT(M39,Q39)=2,M39/Q39,"n.d.")</f>
        <v>0.0</v>
      </c>
      <c r="S39" s="22">
        <f>IF(COUNT(N39,Q39)=2,N39/Q39,"n.d.")</f>
        <v>0.0</v>
      </c>
      <c r="T39" s="18" t="s">
        <v>108</v>
      </c>
    </row>
    <row r="40" spans="1:20" ht="19" customHeight="1">
      <c r="A40" s="18" t="s">
        <v>13</v>
      </c>
      <c r="B40" s="18" t="s">
        <v>105</v>
      </c>
      <c r="C40" s="18" t="s">
        <v>106</v>
      </c>
      <c r="D40" s="18" t="s">
        <v>23</v>
      </c>
      <c r="E40" s="18" t="s">
        <v>53</v>
      </c>
      <c r="F40" s="22">
        <v>1598170.86</v>
      </c>
      <c r="G40" s="22">
        <v>1480274.83</v>
      </c>
      <c r="H40" s="23" t="s">
        <v>51</v>
      </c>
      <c r="I40" s="23" t="s">
        <v>51</v>
      </c>
      <c r="J40" s="22">
        <v>0</v>
      </c>
      <c r="K40" s="22">
        <v>117896.0300000001</v>
      </c>
      <c r="L40" s="22">
        <f>IF(COUNT(G40,J40,K40)=3,SUM(G40,J40,K40),"n.d.")</f>
        <v>1598170.86</v>
      </c>
      <c r="M40" s="22">
        <f>P40</f>
        <v>0</v>
      </c>
      <c r="N40" s="22">
        <f>IF(COUNT(M40)=1,M40,"n.d.")</f>
        <v>0</v>
      </c>
      <c r="O40" s="22">
        <v>1598170.86</v>
      </c>
      <c r="P40" s="22">
        <v>0</v>
      </c>
      <c r="Q40" s="27">
        <f>IF(COUNTIFS('Taux'!$A$6:$A$20,A40,'Taux'!$B$6:$B$20,D40)=1,SUMIFS('Taux'!$D$6:$D$20,'Taux'!$A$6:$A$20,A40,'Taux'!$B$6:$B$20,D40),"n.d.")</f>
        <v>11.34339828</v>
      </c>
      <c r="R40" s="22">
        <f>IF(COUNT(M40,Q40)=2,M40/Q40,"n.d.")</f>
        <v>0.0</v>
      </c>
      <c r="S40" s="22">
        <f>IF(COUNT(N40,Q40)=2,N40/Q40,"n.d.")</f>
        <v>0.0</v>
      </c>
      <c r="T40" s="18" t="s">
        <v>109</v>
      </c>
    </row>
    <row r="41" spans="1:20" ht="19" customHeight="1">
      <c r="A41" s="18" t="s">
        <v>13</v>
      </c>
      <c r="B41" s="18" t="s">
        <v>105</v>
      </c>
      <c r="C41" s="18" t="s">
        <v>106</v>
      </c>
      <c r="D41" s="18" t="s">
        <v>23</v>
      </c>
      <c r="E41" s="18" t="s">
        <v>55</v>
      </c>
      <c r="F41" s="22">
        <v>1887916.95</v>
      </c>
      <c r="G41" s="22">
        <v>1239545.429999999</v>
      </c>
      <c r="H41" s="23" t="s">
        <v>51</v>
      </c>
      <c r="I41" s="23" t="s">
        <v>51</v>
      </c>
      <c r="J41" s="22">
        <v>0</v>
      </c>
      <c r="K41" s="22">
        <v>491727.46</v>
      </c>
      <c r="L41" s="22">
        <f>IF(COUNT(G41,J41,K41)=3,SUM(G41,J41,K41),"n.d.")</f>
        <v>1731272.8899999992</v>
      </c>
      <c r="M41" s="22">
        <f>P41</f>
        <v>156644.06000000075</v>
      </c>
      <c r="N41" s="22">
        <f>IF(COUNT(M41)=1,M41,"n.d.")</f>
        <v>156644.06000000075</v>
      </c>
      <c r="O41" s="22">
        <v>1731272.889999999</v>
      </c>
      <c r="P41" s="22">
        <v>156644.0600000008</v>
      </c>
      <c r="Q41" s="27">
        <f>IF(COUNTIFS('Taux'!$A$6:$A$20,A41,'Taux'!$B$6:$B$20,D41)=1,SUMIFS('Taux'!$D$6:$D$20,'Taux'!$A$6:$A$20,A41,'Taux'!$B$6:$B$20,D41),"n.d.")</f>
        <v>11.34339828</v>
      </c>
      <c r="R41" s="22">
        <f>IF(COUNT(M41,Q41)=2,M41/Q41,"n.d.")</f>
        <v>13809.270919825338</v>
      </c>
      <c r="S41" s="22">
        <f>IF(COUNT(N41,Q41)=2,N41/Q41,"n.d.")</f>
        <v>13809.270919825338</v>
      </c>
      <c r="T41" s="18" t="s">
        <v>110</v>
      </c>
    </row>
    <row r="42" spans="1:20" ht="19" customHeight="1">
      <c r="A42" s="18" t="s">
        <v>13</v>
      </c>
      <c r="B42" s="18" t="s">
        <v>111</v>
      </c>
      <c r="C42" s="18" t="s">
        <v>112</v>
      </c>
      <c r="D42" s="18" t="s">
        <v>25</v>
      </c>
      <c r="E42" s="18" t="s">
        <v>50</v>
      </c>
      <c r="F42" s="22">
        <v>28354693.2399995</v>
      </c>
      <c r="G42" s="22">
        <v>11342512.68</v>
      </c>
      <c r="H42" s="22">
        <v>4489640.28</v>
      </c>
      <c r="I42" s="22">
        <v>705346.939999964</v>
      </c>
      <c r="J42" s="23" t="s">
        <v>51</v>
      </c>
      <c r="K42" s="23" t="s">
        <v>51</v>
      </c>
      <c r="L42" s="22">
        <f>IF(COUNT(G42,H42,I42)=3,SUM(G42,H42,I42),"n.d.")</f>
        <v>16537499.899999963</v>
      </c>
      <c r="M42" s="22">
        <f>P42</f>
        <v>11817193.339999534</v>
      </c>
      <c r="N42" s="22">
        <f>IF(COUNT(M42,H42)=2,M42+H42,"n.d.")</f>
        <v>16306833.619999535</v>
      </c>
      <c r="O42" s="22">
        <v>16537499.89999996</v>
      </c>
      <c r="P42" s="22">
        <v>11817193.33999953</v>
      </c>
      <c r="Q42" s="27">
        <f>IF(COUNTIFS('Taux'!$A$6:$A$20,A42,'Taux'!$B$6:$B$20,D42)=1,SUMIFS('Taux'!$D$6:$D$20,'Taux'!$A$6:$A$20,A42,'Taux'!$B$6:$B$20,D42),"n.d.")</f>
        <v>18.58943911</v>
      </c>
      <c r="R42" s="22">
        <f>IF(COUNT(M42,Q42)=2,M42/Q42,"n.d.")</f>
        <v>635693.9157805248</v>
      </c>
      <c r="S42" s="22">
        <f>IF(COUNT(N42,Q42)=2,N42/Q42,"n.d.")</f>
        <v>877209.5555711221</v>
      </c>
      <c r="T42" s="18" t="s">
        <v>113</v>
      </c>
    </row>
    <row r="43" spans="1:20" ht="19" customHeight="1">
      <c r="A43" s="18" t="s">
        <v>13</v>
      </c>
      <c r="B43" s="18" t="s">
        <v>111</v>
      </c>
      <c r="C43" s="18" t="s">
        <v>112</v>
      </c>
      <c r="D43" s="18" t="s">
        <v>25</v>
      </c>
      <c r="E43" s="18" t="s">
        <v>53</v>
      </c>
      <c r="F43" s="22">
        <v>30300988.4499998</v>
      </c>
      <c r="G43" s="22">
        <v>22612303.8800004</v>
      </c>
      <c r="H43" s="22">
        <v>0</v>
      </c>
      <c r="I43" s="22">
        <v>379707.170000025</v>
      </c>
      <c r="J43" s="23" t="s">
        <v>51</v>
      </c>
      <c r="K43" s="23" t="s">
        <v>51</v>
      </c>
      <c r="L43" s="22">
        <f>IF(COUNT(G43,H43,I43)=3,SUM(G43,H43,I43),"n.d.")</f>
        <v>22992011.050000425</v>
      </c>
      <c r="M43" s="22">
        <f>P43</f>
        <v>7308977.399999376</v>
      </c>
      <c r="N43" s="22">
        <f>IF(COUNT(M43,H43)=2,M43+H43,"n.d.")</f>
        <v>7308977.399999376</v>
      </c>
      <c r="O43" s="22">
        <v>22992011.05000043</v>
      </c>
      <c r="P43" s="22">
        <v>7308977.399999376</v>
      </c>
      <c r="Q43" s="27">
        <f>IF(COUNTIFS('Taux'!$A$6:$A$20,A43,'Taux'!$B$6:$B$20,D43)=1,SUMIFS('Taux'!$D$6:$D$20,'Taux'!$A$6:$A$20,A43,'Taux'!$B$6:$B$20,D43),"n.d.")</f>
        <v>18.58943911</v>
      </c>
      <c r="R43" s="22">
        <f>IF(COUNT(M43,Q43)=2,M43/Q43,"n.d.")</f>
        <v>393179.01722314936</v>
      </c>
      <c r="S43" s="22">
        <f>IF(COUNT(N43,Q43)=2,N43/Q43,"n.d.")</f>
        <v>393179.01722314936</v>
      </c>
      <c r="T43" s="18" t="s">
        <v>114</v>
      </c>
    </row>
    <row r="44" spans="1:20" ht="19" customHeight="1">
      <c r="A44" s="18" t="s">
        <v>13</v>
      </c>
      <c r="B44" s="18" t="s">
        <v>111</v>
      </c>
      <c r="C44" s="18" t="s">
        <v>112</v>
      </c>
      <c r="D44" s="18" t="s">
        <v>25</v>
      </c>
      <c r="E44" s="18" t="s">
        <v>55</v>
      </c>
      <c r="F44" s="22">
        <v>22015137.43999991</v>
      </c>
      <c r="G44" s="22">
        <v>9769166.46999998</v>
      </c>
      <c r="H44" s="22">
        <v>0</v>
      </c>
      <c r="I44" s="22">
        <v>193278.500000003</v>
      </c>
      <c r="J44" s="23" t="s">
        <v>51</v>
      </c>
      <c r="K44" s="23" t="s">
        <v>51</v>
      </c>
      <c r="L44" s="22">
        <f>IF(COUNT(G44,H44,I44)=3,SUM(G44,H44,I44),"n.d.")</f>
        <v>9962444.969999984</v>
      </c>
      <c r="M44" s="22">
        <f>P44</f>
        <v>12052692.469999924</v>
      </c>
      <c r="N44" s="22">
        <f>IF(COUNT(M44,H44)=2,M44+H44,"n.d.")</f>
        <v>12052692.469999924</v>
      </c>
      <c r="O44" s="22">
        <v>9962444.969999984</v>
      </c>
      <c r="P44" s="22">
        <v>12052692.46999992</v>
      </c>
      <c r="Q44" s="27">
        <f>IF(COUNTIFS('Taux'!$A$6:$A$20,A44,'Taux'!$B$6:$B$20,D44)=1,SUMIFS('Taux'!$D$6:$D$20,'Taux'!$A$6:$A$20,A44,'Taux'!$B$6:$B$20,D44),"n.d.")</f>
        <v>18.58943911</v>
      </c>
      <c r="R44" s="22">
        <f>IF(COUNT(M44,Q44)=2,M44/Q44,"n.d.")</f>
        <v>648362.3523378014</v>
      </c>
      <c r="S44" s="22">
        <f>IF(COUNT(N44,Q44)=2,N44/Q44,"n.d.")</f>
        <v>648362.3523378014</v>
      </c>
      <c r="T44" s="18" t="s">
        <v>115</v>
      </c>
    </row>
    <row r="45" spans="1:20" ht="19" customHeight="1">
      <c r="A45" s="18" t="s">
        <v>27</v>
      </c>
      <c r="B45" s="18" t="s">
        <v>48</v>
      </c>
      <c r="C45" s="18" t="s">
        <v>49</v>
      </c>
      <c r="D45" s="18" t="s">
        <v>10</v>
      </c>
      <c r="E45" s="18" t="s">
        <v>50</v>
      </c>
      <c r="F45" s="22">
        <v>35597890</v>
      </c>
      <c r="G45" s="22">
        <v>35556336</v>
      </c>
      <c r="H45" s="22">
        <v>0</v>
      </c>
      <c r="I45" s="23" t="s">
        <v>51</v>
      </c>
      <c r="J45" s="22">
        <v>41555</v>
      </c>
      <c r="K45" s="23" t="s">
        <v>51</v>
      </c>
      <c r="L45" s="22">
        <f>IF(COUNT(G45,J45,H45)=3,SUM(G45,J45,H45),"n.d.")</f>
        <v>35597891.0</v>
      </c>
      <c r="M45" s="22">
        <f>P45</f>
        <v>0.0</v>
      </c>
      <c r="N45" s="22">
        <f>IF(COUNT(M45,J45)=2,M45+J45,"n.d.")</f>
        <v>41555.0</v>
      </c>
      <c r="O45" s="22">
        <v>35597890</v>
      </c>
      <c r="P45" s="22">
        <v>0</v>
      </c>
      <c r="Q45" s="27">
        <f>IF(COUNTIFS('Taux'!$A$6:$A$20,A45,'Taux'!$B$6:$B$20,D45)=1,SUMIFS('Taux'!$D$6:$D$20,'Taux'!$A$6:$A$20,A45,'Taux'!$B$6:$B$20,D45),"n.d.")</f>
        <v>1</v>
      </c>
      <c r="R45" s="22">
        <f>IF(COUNT(M45,Q45)=2,M45/Q45,"n.d.")</f>
        <v>0.0</v>
      </c>
      <c r="S45" s="22">
        <f>IF(COUNT(N45,Q45)=2,N45/Q45,"n.d.")</f>
        <v>41555.0</v>
      </c>
      <c r="T45" s="18" t="s">
        <v>116</v>
      </c>
    </row>
    <row r="46" spans="1:20" ht="19" customHeight="1">
      <c r="A46" s="18" t="s">
        <v>27</v>
      </c>
      <c r="B46" s="18" t="s">
        <v>48</v>
      </c>
      <c r="C46" s="18" t="s">
        <v>49</v>
      </c>
      <c r="D46" s="18" t="s">
        <v>10</v>
      </c>
      <c r="E46" s="18" t="s">
        <v>53</v>
      </c>
      <c r="F46" s="22">
        <v>5799952</v>
      </c>
      <c r="G46" s="22">
        <v>5798562</v>
      </c>
      <c r="H46" s="22">
        <v>0</v>
      </c>
      <c r="I46" s="23" t="s">
        <v>51</v>
      </c>
      <c r="J46" s="22">
        <v>0</v>
      </c>
      <c r="K46" s="23" t="s">
        <v>51</v>
      </c>
      <c r="L46" s="22">
        <f>IF(COUNT(G46,J46,H46)=3,SUM(G46,J46,H46),"n.d.")</f>
        <v>5798562.0</v>
      </c>
      <c r="M46" s="22">
        <f>P46</f>
        <v>1390.0</v>
      </c>
      <c r="N46" s="22">
        <f>IF(COUNT(M46,J46)=2,M46+J46,"n.d.")</f>
        <v>1390.0</v>
      </c>
      <c r="O46" s="22">
        <v>5798562</v>
      </c>
      <c r="P46" s="22">
        <v>1390</v>
      </c>
      <c r="Q46" s="27">
        <f>IF(COUNTIFS('Taux'!$A$6:$A$20,A46,'Taux'!$B$6:$B$20,D46)=1,SUMIFS('Taux'!$D$6:$D$20,'Taux'!$A$6:$A$20,A46,'Taux'!$B$6:$B$20,D46),"n.d.")</f>
        <v>1</v>
      </c>
      <c r="R46" s="22">
        <f>IF(COUNT(M46,Q46)=2,M46/Q46,"n.d.")</f>
        <v>1390.0</v>
      </c>
      <c r="S46" s="22">
        <f>IF(COUNT(N46,Q46)=2,N46/Q46,"n.d.")</f>
        <v>1390.0</v>
      </c>
      <c r="T46" s="18" t="s">
        <v>117</v>
      </c>
    </row>
    <row r="47" spans="1:20" ht="19" customHeight="1">
      <c r="A47" s="18" t="s">
        <v>27</v>
      </c>
      <c r="B47" s="18" t="s">
        <v>48</v>
      </c>
      <c r="C47" s="18" t="s">
        <v>49</v>
      </c>
      <c r="D47" s="18" t="s">
        <v>10</v>
      </c>
      <c r="E47" s="18" t="s">
        <v>55</v>
      </c>
      <c r="F47" s="22">
        <v>893826</v>
      </c>
      <c r="G47" s="22">
        <v>789171</v>
      </c>
      <c r="H47" s="22">
        <v>0</v>
      </c>
      <c r="I47" s="23" t="s">
        <v>51</v>
      </c>
      <c r="J47" s="22">
        <v>0</v>
      </c>
      <c r="K47" s="23" t="s">
        <v>51</v>
      </c>
      <c r="L47" s="22">
        <f>IF(COUNT(G47,J47,H47)=3,SUM(G47,J47,H47),"n.d.")</f>
        <v>789171.0</v>
      </c>
      <c r="M47" s="22">
        <f>P47</f>
        <v>104655.0</v>
      </c>
      <c r="N47" s="22">
        <f>IF(COUNT(M47,J47)=2,M47+J47,"n.d.")</f>
        <v>104655.0</v>
      </c>
      <c r="O47" s="22">
        <v>789171</v>
      </c>
      <c r="P47" s="22">
        <v>104655</v>
      </c>
      <c r="Q47" s="27">
        <f>IF(COUNTIFS('Taux'!$A$6:$A$20,A47,'Taux'!$B$6:$B$20,D47)=1,SUMIFS('Taux'!$D$6:$D$20,'Taux'!$A$6:$A$20,A47,'Taux'!$B$6:$B$20,D47),"n.d.")</f>
        <v>1</v>
      </c>
      <c r="R47" s="22">
        <f>IF(COUNT(M47,Q47)=2,M47/Q47,"n.d.")</f>
        <v>104655.0</v>
      </c>
      <c r="S47" s="22">
        <f>IF(COUNT(N47,Q47)=2,N47/Q47,"n.d.")</f>
        <v>104655.0</v>
      </c>
      <c r="T47" s="18" t="s">
        <v>118</v>
      </c>
    </row>
    <row r="48" spans="1:20" ht="19" customHeight="1">
      <c r="A48" s="18" t="s">
        <v>27</v>
      </c>
      <c r="B48" s="18" t="s">
        <v>57</v>
      </c>
      <c r="C48" s="18" t="s">
        <v>58</v>
      </c>
      <c r="D48" s="18" t="s">
        <v>10</v>
      </c>
      <c r="E48" s="18" t="s">
        <v>50</v>
      </c>
      <c r="F48" s="22">
        <v>137446609</v>
      </c>
      <c r="G48" s="22">
        <v>55414344</v>
      </c>
      <c r="H48" s="22">
        <v>285655</v>
      </c>
      <c r="I48" s="22">
        <v>81748642</v>
      </c>
      <c r="J48" s="23" t="s">
        <v>51</v>
      </c>
      <c r="K48" s="23" t="s">
        <v>51</v>
      </c>
      <c r="L48" s="22">
        <f>IF(COUNT(G48,H48,I48)=3,SUM(G48,H48,I48),"n.d.")</f>
        <v>137448641.0</v>
      </c>
      <c r="M48" s="22">
        <f>P48</f>
        <v>-2032.0</v>
      </c>
      <c r="N48" s="22">
        <f>IF(COUNT(M48,H48)=2,M48+H48,"n.d.")</f>
        <v>283623.0</v>
      </c>
      <c r="O48" s="22">
        <v>137448641</v>
      </c>
      <c r="P48" s="22">
        <v>-2032</v>
      </c>
      <c r="Q48" s="27">
        <f>IF(COUNTIFS('Taux'!$A$6:$A$20,A48,'Taux'!$B$6:$B$20,D48)=1,SUMIFS('Taux'!$D$6:$D$20,'Taux'!$A$6:$A$20,A48,'Taux'!$B$6:$B$20,D48),"n.d.")</f>
        <v>1</v>
      </c>
      <c r="R48" s="22">
        <f>IF(COUNT(M48,Q48)=2,M48/Q48,"n.d.")</f>
        <v>-2032.0</v>
      </c>
      <c r="S48" s="22">
        <f>IF(COUNT(N48,Q48)=2,N48/Q48,"n.d.")</f>
        <v>283623.0</v>
      </c>
      <c r="T48" s="18" t="s">
        <v>119</v>
      </c>
    </row>
    <row r="49" spans="1:20" ht="19" customHeight="1">
      <c r="A49" s="18" t="s">
        <v>27</v>
      </c>
      <c r="B49" s="18" t="s">
        <v>57</v>
      </c>
      <c r="C49" s="18" t="s">
        <v>58</v>
      </c>
      <c r="D49" s="18" t="s">
        <v>10</v>
      </c>
      <c r="E49" s="18" t="s">
        <v>53</v>
      </c>
      <c r="F49" s="22">
        <v>42179412</v>
      </c>
      <c r="G49" s="22">
        <v>15769045</v>
      </c>
      <c r="H49" s="22">
        <v>16089</v>
      </c>
      <c r="I49" s="22">
        <v>26379277</v>
      </c>
      <c r="J49" s="23" t="s">
        <v>51</v>
      </c>
      <c r="K49" s="23" t="s">
        <v>51</v>
      </c>
      <c r="L49" s="22">
        <f>IF(COUNT(G49,H49,I49)=3,SUM(G49,H49,I49),"n.d.")</f>
        <v>42164411.0</v>
      </c>
      <c r="M49" s="22">
        <f>P49</f>
        <v>15001.0</v>
      </c>
      <c r="N49" s="22">
        <f>IF(COUNT(M49,H49)=2,M49+H49,"n.d.")</f>
        <v>31090.0</v>
      </c>
      <c r="O49" s="22">
        <v>42164411</v>
      </c>
      <c r="P49" s="22">
        <v>15001</v>
      </c>
      <c r="Q49" s="27">
        <f>IF(COUNTIFS('Taux'!$A$6:$A$20,A49,'Taux'!$B$6:$B$20,D49)=1,SUMIFS('Taux'!$D$6:$D$20,'Taux'!$A$6:$A$20,A49,'Taux'!$B$6:$B$20,D49),"n.d.")</f>
        <v>1</v>
      </c>
      <c r="R49" s="22">
        <f>IF(COUNT(M49,Q49)=2,M49/Q49,"n.d.")</f>
        <v>15001.0</v>
      </c>
      <c r="S49" s="22">
        <f>IF(COUNT(N49,Q49)=2,N49/Q49,"n.d.")</f>
        <v>31090.0</v>
      </c>
      <c r="T49" s="18" t="s">
        <v>120</v>
      </c>
    </row>
    <row r="50" spans="1:20" ht="19" customHeight="1">
      <c r="A50" s="18" t="s">
        <v>27</v>
      </c>
      <c r="B50" s="18" t="s">
        <v>57</v>
      </c>
      <c r="C50" s="18" t="s">
        <v>58</v>
      </c>
      <c r="D50" s="18" t="s">
        <v>10</v>
      </c>
      <c r="E50" s="18" t="s">
        <v>55</v>
      </c>
      <c r="F50" s="22">
        <v>30594590</v>
      </c>
      <c r="G50" s="22">
        <v>10593638</v>
      </c>
      <c r="H50" s="22">
        <v>11103</v>
      </c>
      <c r="I50" s="22">
        <v>18522500</v>
      </c>
      <c r="J50" s="23" t="s">
        <v>51</v>
      </c>
      <c r="K50" s="23" t="s">
        <v>51</v>
      </c>
      <c r="L50" s="22">
        <f>IF(COUNT(G50,H50,I50)=3,SUM(G50,H50,I50),"n.d.")</f>
        <v>29127241.0</v>
      </c>
      <c r="M50" s="22">
        <f>P50</f>
        <v>1467349.0</v>
      </c>
      <c r="N50" s="22">
        <f>IF(COUNT(M50,H50)=2,M50+H50,"n.d.")</f>
        <v>1478452.0</v>
      </c>
      <c r="O50" s="22">
        <v>29127240</v>
      </c>
      <c r="P50" s="22">
        <v>1467349</v>
      </c>
      <c r="Q50" s="27">
        <f>IF(COUNTIFS('Taux'!$A$6:$A$20,A50,'Taux'!$B$6:$B$20,D50)=1,SUMIFS('Taux'!$D$6:$D$20,'Taux'!$A$6:$A$20,A50,'Taux'!$B$6:$B$20,D50),"n.d.")</f>
        <v>1</v>
      </c>
      <c r="R50" s="22">
        <f>IF(COUNT(M50,Q50)=2,M50/Q50,"n.d.")</f>
        <v>1467349.0</v>
      </c>
      <c r="S50" s="22">
        <f>IF(COUNT(N50,Q50)=2,N50/Q50,"n.d.")</f>
        <v>1478452.0</v>
      </c>
      <c r="T50" s="18" t="s">
        <v>121</v>
      </c>
    </row>
    <row r="51" spans="1:20" ht="19" customHeight="1">
      <c r="A51" s="18" t="s">
        <v>27</v>
      </c>
      <c r="B51" s="18" t="s">
        <v>62</v>
      </c>
      <c r="C51" s="18" t="s">
        <v>63</v>
      </c>
      <c r="D51" s="18" t="s">
        <v>10</v>
      </c>
      <c r="E51" s="18" t="s">
        <v>50</v>
      </c>
      <c r="F51" s="22">
        <v>69830</v>
      </c>
      <c r="G51" s="22">
        <v>0</v>
      </c>
      <c r="H51" s="22">
        <v>69830</v>
      </c>
      <c r="I51" s="22">
        <v>0</v>
      </c>
      <c r="J51" s="23" t="s">
        <v>51</v>
      </c>
      <c r="K51" s="23" t="s">
        <v>51</v>
      </c>
      <c r="L51" s="22">
        <f>IF(COUNT(G51,H51,I51)=3,SUM(G51,H51,I51),"n.d.")</f>
        <v>69830.0</v>
      </c>
      <c r="M51" s="22">
        <f>P51</f>
        <v>0.0</v>
      </c>
      <c r="N51" s="22">
        <f>IF(COUNT(M51,H51)=2,M51+H51,"n.d.")</f>
        <v>69830.0</v>
      </c>
      <c r="O51" s="22">
        <v>69830</v>
      </c>
      <c r="P51" s="22">
        <v>0</v>
      </c>
      <c r="Q51" s="27">
        <f>IF(COUNTIFS('Taux'!$A$6:$A$20,A51,'Taux'!$B$6:$B$20,D51)=1,SUMIFS('Taux'!$D$6:$D$20,'Taux'!$A$6:$A$20,A51,'Taux'!$B$6:$B$20,D51),"n.d.")</f>
        <v>1</v>
      </c>
      <c r="R51" s="22">
        <f>IF(COUNT(M51,Q51)=2,M51/Q51,"n.d.")</f>
        <v>0.0</v>
      </c>
      <c r="S51" s="22">
        <f>IF(COUNT(N51,Q51)=2,N51/Q51,"n.d.")</f>
        <v>69830.0</v>
      </c>
      <c r="T51" s="18" t="s">
        <v>122</v>
      </c>
    </row>
    <row r="52" spans="1:20" ht="19" customHeight="1">
      <c r="A52" s="18" t="s">
        <v>27</v>
      </c>
      <c r="B52" s="18" t="s">
        <v>62</v>
      </c>
      <c r="C52" s="18" t="s">
        <v>63</v>
      </c>
      <c r="D52" s="18" t="s">
        <v>10</v>
      </c>
      <c r="E52" s="18" t="s">
        <v>53</v>
      </c>
      <c r="F52" s="22">
        <v>397822</v>
      </c>
      <c r="G52" s="22">
        <v>130289</v>
      </c>
      <c r="H52" s="22">
        <v>30485</v>
      </c>
      <c r="I52" s="22">
        <v>0</v>
      </c>
      <c r="J52" s="23" t="s">
        <v>51</v>
      </c>
      <c r="K52" s="23" t="s">
        <v>51</v>
      </c>
      <c r="L52" s="22">
        <f>IF(COUNT(G52,H52,I52)=3,SUM(G52,H52,I52),"n.d.")</f>
        <v>160774.0</v>
      </c>
      <c r="M52" s="22">
        <f>P52</f>
        <v>237048.0</v>
      </c>
      <c r="N52" s="22">
        <f>IF(COUNT(M52,H52)=2,M52+H52,"n.d.")</f>
        <v>267533.0</v>
      </c>
      <c r="O52" s="22">
        <v>160775</v>
      </c>
      <c r="P52" s="22">
        <v>237048</v>
      </c>
      <c r="Q52" s="27">
        <f>IF(COUNTIFS('Taux'!$A$6:$A$20,A52,'Taux'!$B$6:$B$20,D52)=1,SUMIFS('Taux'!$D$6:$D$20,'Taux'!$A$6:$A$20,A52,'Taux'!$B$6:$B$20,D52),"n.d.")</f>
        <v>1</v>
      </c>
      <c r="R52" s="22">
        <f>IF(COUNT(M52,Q52)=2,M52/Q52,"n.d.")</f>
        <v>237048.0</v>
      </c>
      <c r="S52" s="22">
        <f>IF(COUNT(N52,Q52)=2,N52/Q52,"n.d.")</f>
        <v>267533.0</v>
      </c>
      <c r="T52" s="18" t="s">
        <v>123</v>
      </c>
    </row>
    <row r="53" spans="1:20" ht="19" customHeight="1">
      <c r="A53" s="18" t="s">
        <v>27</v>
      </c>
      <c r="B53" s="18" t="s">
        <v>62</v>
      </c>
      <c r="C53" s="18" t="s">
        <v>63</v>
      </c>
      <c r="D53" s="18" t="s">
        <v>10</v>
      </c>
      <c r="E53" s="18" t="s">
        <v>55</v>
      </c>
      <c r="F53" s="22">
        <v>13207110</v>
      </c>
      <c r="G53" s="22">
        <v>10545535</v>
      </c>
      <c r="H53" s="22">
        <v>0</v>
      </c>
      <c r="I53" s="22">
        <v>0</v>
      </c>
      <c r="J53" s="23" t="s">
        <v>51</v>
      </c>
      <c r="K53" s="23" t="s">
        <v>51</v>
      </c>
      <c r="L53" s="22">
        <f>IF(COUNT(G53,H53,I53)=3,SUM(G53,H53,I53),"n.d.")</f>
        <v>10545535.0</v>
      </c>
      <c r="M53" s="22">
        <f>P53</f>
        <v>2661575.0</v>
      </c>
      <c r="N53" s="22">
        <f>IF(COUNT(M53,H53)=2,M53+H53,"n.d.")</f>
        <v>2661575.0</v>
      </c>
      <c r="O53" s="22">
        <v>10545535</v>
      </c>
      <c r="P53" s="22">
        <v>2661575</v>
      </c>
      <c r="Q53" s="27">
        <f>IF(COUNTIFS('Taux'!$A$6:$A$20,A53,'Taux'!$B$6:$B$20,D53)=1,SUMIFS('Taux'!$D$6:$D$20,'Taux'!$A$6:$A$20,A53,'Taux'!$B$6:$B$20,D53),"n.d.")</f>
        <v>1</v>
      </c>
      <c r="R53" s="22">
        <f>IF(COUNT(M53,Q53)=2,M53/Q53,"n.d.")</f>
        <v>2661575.0</v>
      </c>
      <c r="S53" s="22">
        <f>IF(COUNT(N53,Q53)=2,N53/Q53,"n.d.")</f>
        <v>2661575.0</v>
      </c>
      <c r="T53" s="18" t="s">
        <v>124</v>
      </c>
    </row>
    <row r="54" spans="1:20" ht="19" customHeight="1">
      <c r="A54" s="18" t="s">
        <v>27</v>
      </c>
      <c r="B54" s="18" t="s">
        <v>72</v>
      </c>
      <c r="C54" s="18" t="s">
        <v>73</v>
      </c>
      <c r="D54" s="18" t="s">
        <v>10</v>
      </c>
      <c r="E54" s="18" t="s">
        <v>50</v>
      </c>
      <c r="F54" s="22">
        <v>116775257</v>
      </c>
      <c r="G54" s="22">
        <v>115014042</v>
      </c>
      <c r="H54" s="22">
        <v>1761215</v>
      </c>
      <c r="I54" s="22">
        <v>0</v>
      </c>
      <c r="J54" s="23" t="s">
        <v>51</v>
      </c>
      <c r="K54" s="23" t="s">
        <v>51</v>
      </c>
      <c r="L54" s="22">
        <f>IF(COUNT(G54,H54,I54)=3,SUM(G54,H54,I54),"n.d.")</f>
        <v>116775257.0</v>
      </c>
      <c r="M54" s="22">
        <f>P54</f>
        <v>0.0</v>
      </c>
      <c r="N54" s="22">
        <f>IF(COUNT(M54,H54)=2,M54+H54,"n.d.")</f>
        <v>1761215.0</v>
      </c>
      <c r="O54" s="22">
        <v>116775257</v>
      </c>
      <c r="P54" s="22">
        <v>0</v>
      </c>
      <c r="Q54" s="27">
        <f>IF(COUNTIFS('Taux'!$A$6:$A$20,A54,'Taux'!$B$6:$B$20,D54)=1,SUMIFS('Taux'!$D$6:$D$20,'Taux'!$A$6:$A$20,A54,'Taux'!$B$6:$B$20,D54),"n.d.")</f>
        <v>1</v>
      </c>
      <c r="R54" s="22">
        <f>IF(COUNT(M54,Q54)=2,M54/Q54,"n.d.")</f>
        <v>0.0</v>
      </c>
      <c r="S54" s="22">
        <f>IF(COUNT(N54,Q54)=2,N54/Q54,"n.d.")</f>
        <v>1761215.0</v>
      </c>
      <c r="T54" s="18" t="s">
        <v>125</v>
      </c>
    </row>
    <row r="55" spans="1:20" ht="19" customHeight="1">
      <c r="A55" s="18" t="s">
        <v>27</v>
      </c>
      <c r="B55" s="18" t="s">
        <v>72</v>
      </c>
      <c r="C55" s="18" t="s">
        <v>73</v>
      </c>
      <c r="D55" s="18" t="s">
        <v>10</v>
      </c>
      <c r="E55" s="18" t="s">
        <v>53</v>
      </c>
      <c r="F55" s="22">
        <v>12759393</v>
      </c>
      <c r="G55" s="22">
        <v>12420075</v>
      </c>
      <c r="H55" s="22">
        <v>206237</v>
      </c>
      <c r="I55" s="22">
        <v>0</v>
      </c>
      <c r="J55" s="23" t="s">
        <v>51</v>
      </c>
      <c r="K55" s="23" t="s">
        <v>51</v>
      </c>
      <c r="L55" s="22">
        <f>IF(COUNT(G55,H55,I55)=3,SUM(G55,H55,I55),"n.d.")</f>
        <v>12626312.0</v>
      </c>
      <c r="M55" s="22">
        <f>P55</f>
        <v>133081.0</v>
      </c>
      <c r="N55" s="22">
        <f>IF(COUNT(M55,H55)=2,M55+H55,"n.d.")</f>
        <v>339318.0</v>
      </c>
      <c r="O55" s="22">
        <v>12626312</v>
      </c>
      <c r="P55" s="22">
        <v>133081</v>
      </c>
      <c r="Q55" s="27">
        <f>IF(COUNTIFS('Taux'!$A$6:$A$20,A55,'Taux'!$B$6:$B$20,D55)=1,SUMIFS('Taux'!$D$6:$D$20,'Taux'!$A$6:$A$20,A55,'Taux'!$B$6:$B$20,D55),"n.d.")</f>
        <v>1</v>
      </c>
      <c r="R55" s="22">
        <f>IF(COUNT(M55,Q55)=2,M55/Q55,"n.d.")</f>
        <v>133081.0</v>
      </c>
      <c r="S55" s="22">
        <f>IF(COUNT(N55,Q55)=2,N55/Q55,"n.d.")</f>
        <v>339318.0</v>
      </c>
      <c r="T55" s="18" t="s">
        <v>126</v>
      </c>
    </row>
    <row r="56" spans="1:20" ht="19" customHeight="1">
      <c r="A56" s="18" t="s">
        <v>27</v>
      </c>
      <c r="B56" s="18" t="s">
        <v>72</v>
      </c>
      <c r="C56" s="18" t="s">
        <v>73</v>
      </c>
      <c r="D56" s="18" t="s">
        <v>10</v>
      </c>
      <c r="E56" s="18" t="s">
        <v>55</v>
      </c>
      <c r="F56" s="22">
        <v>9631077</v>
      </c>
      <c r="G56" s="22">
        <v>8297208</v>
      </c>
      <c r="H56" s="22">
        <v>266604</v>
      </c>
      <c r="I56" s="22">
        <v>0</v>
      </c>
      <c r="J56" s="23" t="s">
        <v>51</v>
      </c>
      <c r="K56" s="23" t="s">
        <v>51</v>
      </c>
      <c r="L56" s="22">
        <f>IF(COUNT(G56,H56,I56)=3,SUM(G56,H56,I56),"n.d.")</f>
        <v>8563812.0</v>
      </c>
      <c r="M56" s="22">
        <f>P56</f>
        <v>1067265.0</v>
      </c>
      <c r="N56" s="22">
        <f>IF(COUNT(M56,H56)=2,M56+H56,"n.d.")</f>
        <v>1333869.0</v>
      </c>
      <c r="O56" s="22">
        <v>8563812</v>
      </c>
      <c r="P56" s="22">
        <v>1067265</v>
      </c>
      <c r="Q56" s="27">
        <f>IF(COUNTIFS('Taux'!$A$6:$A$20,A56,'Taux'!$B$6:$B$20,D56)=1,SUMIFS('Taux'!$D$6:$D$20,'Taux'!$A$6:$A$20,A56,'Taux'!$B$6:$B$20,D56),"n.d.")</f>
        <v>1</v>
      </c>
      <c r="R56" s="22">
        <f>IF(COUNT(M56,Q56)=2,M56/Q56,"n.d.")</f>
        <v>1067265.0</v>
      </c>
      <c r="S56" s="22">
        <f>IF(COUNT(N56,Q56)=2,N56/Q56,"n.d.")</f>
        <v>1333869.0</v>
      </c>
      <c r="T56" s="18" t="s">
        <v>127</v>
      </c>
    </row>
    <row r="57" spans="1:20" ht="19" customHeight="1">
      <c r="A57" s="18" t="s">
        <v>27</v>
      </c>
      <c r="B57" s="18" t="s">
        <v>77</v>
      </c>
      <c r="C57" s="18" t="s">
        <v>78</v>
      </c>
      <c r="D57" s="18" t="s">
        <v>10</v>
      </c>
      <c r="E57" s="18" t="s">
        <v>50</v>
      </c>
      <c r="F57" s="22">
        <v>1979499</v>
      </c>
      <c r="G57" s="22">
        <v>230893</v>
      </c>
      <c r="H57" s="22">
        <v>17364</v>
      </c>
      <c r="I57" s="22">
        <v>1740614</v>
      </c>
      <c r="J57" s="23" t="s">
        <v>51</v>
      </c>
      <c r="K57" s="23" t="s">
        <v>51</v>
      </c>
      <c r="L57" s="22">
        <f>IF(COUNT(G57,H57,I57)=3,SUM(G57,H57,I57),"n.d.")</f>
        <v>1988871.0</v>
      </c>
      <c r="M57" s="22">
        <f>P57</f>
        <v>-9373.0</v>
      </c>
      <c r="N57" s="22">
        <f>IF(COUNT(M57,H57)=2,M57+H57,"n.d.")</f>
        <v>7991.0</v>
      </c>
      <c r="O57" s="22">
        <v>1988872</v>
      </c>
      <c r="P57" s="22">
        <v>-9373</v>
      </c>
      <c r="Q57" s="27">
        <f>IF(COUNTIFS('Taux'!$A$6:$A$20,A57,'Taux'!$B$6:$B$20,D57)=1,SUMIFS('Taux'!$D$6:$D$20,'Taux'!$A$6:$A$20,A57,'Taux'!$B$6:$B$20,D57),"n.d.")</f>
        <v>1</v>
      </c>
      <c r="R57" s="22">
        <f>IF(COUNT(M57,Q57)=2,M57/Q57,"n.d.")</f>
        <v>-9373.0</v>
      </c>
      <c r="S57" s="22">
        <f>IF(COUNT(N57,Q57)=2,N57/Q57,"n.d.")</f>
        <v>7991.0</v>
      </c>
      <c r="T57" s="18" t="s">
        <v>128</v>
      </c>
    </row>
    <row r="58" spans="1:20" ht="19" customHeight="1">
      <c r="A58" s="18" t="s">
        <v>27</v>
      </c>
      <c r="B58" s="18" t="s">
        <v>77</v>
      </c>
      <c r="C58" s="18" t="s">
        <v>78</v>
      </c>
      <c r="D58" s="18" t="s">
        <v>10</v>
      </c>
      <c r="E58" s="18" t="s">
        <v>53</v>
      </c>
      <c r="F58" s="22">
        <v>15874670</v>
      </c>
      <c r="G58" s="22">
        <v>2826091</v>
      </c>
      <c r="H58" s="22">
        <v>16585</v>
      </c>
      <c r="I58" s="22">
        <v>12984476</v>
      </c>
      <c r="J58" s="23" t="s">
        <v>51</v>
      </c>
      <c r="K58" s="23" t="s">
        <v>51</v>
      </c>
      <c r="L58" s="22">
        <f>IF(COUNT(G58,H58,I58)=3,SUM(G58,H58,I58),"n.d.")</f>
        <v>15827152.0</v>
      </c>
      <c r="M58" s="22">
        <f>P58</f>
        <v>47517.0</v>
      </c>
      <c r="N58" s="22">
        <f>IF(COUNT(M58,H58)=2,M58+H58,"n.d.")</f>
        <v>64102.0</v>
      </c>
      <c r="O58" s="22">
        <v>15827152</v>
      </c>
      <c r="P58" s="22">
        <v>47517</v>
      </c>
      <c r="Q58" s="27">
        <f>IF(COUNTIFS('Taux'!$A$6:$A$20,A58,'Taux'!$B$6:$B$20,D58)=1,SUMIFS('Taux'!$D$6:$D$20,'Taux'!$A$6:$A$20,A58,'Taux'!$B$6:$B$20,D58),"n.d.")</f>
        <v>1</v>
      </c>
      <c r="R58" s="22">
        <f>IF(COUNT(M58,Q58)=2,M58/Q58,"n.d.")</f>
        <v>47517.0</v>
      </c>
      <c r="S58" s="22">
        <f>IF(COUNT(N58,Q58)=2,N58/Q58,"n.d.")</f>
        <v>64102.0</v>
      </c>
      <c r="T58" s="18" t="s">
        <v>129</v>
      </c>
    </row>
    <row r="59" spans="1:20" ht="19" customHeight="1">
      <c r="A59" s="18" t="s">
        <v>27</v>
      </c>
      <c r="B59" s="18" t="s">
        <v>77</v>
      </c>
      <c r="C59" s="18" t="s">
        <v>78</v>
      </c>
      <c r="D59" s="18" t="s">
        <v>10</v>
      </c>
      <c r="E59" s="18" t="s">
        <v>55</v>
      </c>
      <c r="F59" s="22">
        <v>14607616</v>
      </c>
      <c r="G59" s="22">
        <v>5075468</v>
      </c>
      <c r="H59" s="22">
        <v>31511</v>
      </c>
      <c r="I59" s="22">
        <v>8996648</v>
      </c>
      <c r="J59" s="23" t="s">
        <v>51</v>
      </c>
      <c r="K59" s="23" t="s">
        <v>51</v>
      </c>
      <c r="L59" s="22">
        <f>IF(COUNT(G59,H59,I59)=3,SUM(G59,H59,I59),"n.d.")</f>
        <v>14103627.0</v>
      </c>
      <c r="M59" s="22">
        <f>P59</f>
        <v>503988.0</v>
      </c>
      <c r="N59" s="22">
        <f>IF(COUNT(M59,H59)=2,M59+H59,"n.d.")</f>
        <v>535499.0</v>
      </c>
      <c r="O59" s="22">
        <v>14103627</v>
      </c>
      <c r="P59" s="22">
        <v>503988</v>
      </c>
      <c r="Q59" s="27">
        <f>IF(COUNTIFS('Taux'!$A$6:$A$20,A59,'Taux'!$B$6:$B$20,D59)=1,SUMIFS('Taux'!$D$6:$D$20,'Taux'!$A$6:$A$20,A59,'Taux'!$B$6:$B$20,D59),"n.d.")</f>
        <v>1</v>
      </c>
      <c r="R59" s="22">
        <f>IF(COUNT(M59,Q59)=2,M59/Q59,"n.d.")</f>
        <v>503988.0</v>
      </c>
      <c r="S59" s="22">
        <f>IF(COUNT(N59,Q59)=2,N59/Q59,"n.d.")</f>
        <v>535499.0</v>
      </c>
      <c r="T59" s="18" t="s">
        <v>130</v>
      </c>
    </row>
    <row r="60" spans="1:20" ht="19" customHeight="1">
      <c r="A60" s="18" t="s">
        <v>27</v>
      </c>
      <c r="B60" s="18" t="s">
        <v>82</v>
      </c>
      <c r="C60" s="18" t="s">
        <v>82</v>
      </c>
      <c r="D60" s="18" t="s">
        <v>19</v>
      </c>
      <c r="E60" s="18" t="s">
        <v>50</v>
      </c>
      <c r="F60" s="22">
        <v>1921923</v>
      </c>
      <c r="G60" s="22">
        <v>217007</v>
      </c>
      <c r="H60" s="22">
        <v>1495177</v>
      </c>
      <c r="I60" s="22">
        <v>209412</v>
      </c>
      <c r="J60" s="23" t="s">
        <v>51</v>
      </c>
      <c r="K60" s="23" t="s">
        <v>51</v>
      </c>
      <c r="L60" s="22">
        <f>IF(COUNT(G60,H60,I60)=3,SUM(G60,H60,I60),"n.d.")</f>
        <v>1921596.0</v>
      </c>
      <c r="M60" s="22">
        <f>P60</f>
        <v>326.0</v>
      </c>
      <c r="N60" s="22">
        <f>IF(COUNT(M60,H60)=2,M60+H60,"n.d.")</f>
        <v>1495503.0</v>
      </c>
      <c r="O60" s="22">
        <v>1921597</v>
      </c>
      <c r="P60" s="22">
        <v>326</v>
      </c>
      <c r="Q60" s="27">
        <f>IF(COUNTIFS('Taux'!$A$6:$A$20,A60,'Taux'!$B$6:$B$20,D60)=1,SUMIFS('Taux'!$D$6:$D$20,'Taux'!$A$6:$A$20,A60,'Taux'!$B$6:$B$20,D60),"n.d.")</f>
        <v>0.85443381</v>
      </c>
      <c r="R60" s="22">
        <f>IF(COUNT(M60,Q60)=2,M60/Q60,"n.d.")</f>
        <v>381.5392089879964</v>
      </c>
      <c r="S60" s="22">
        <f>IF(COUNT(N60,Q60)=2,N60/Q60,"n.d.")</f>
        <v>1750285.3731876551</v>
      </c>
      <c r="T60" s="18" t="s">
        <v>131</v>
      </c>
    </row>
    <row r="61" spans="1:20" ht="19" customHeight="1">
      <c r="A61" s="18" t="s">
        <v>27</v>
      </c>
      <c r="B61" s="18" t="s">
        <v>82</v>
      </c>
      <c r="C61" s="18" t="s">
        <v>82</v>
      </c>
      <c r="D61" s="18" t="s">
        <v>19</v>
      </c>
      <c r="E61" s="18" t="s">
        <v>53</v>
      </c>
      <c r="F61" s="22">
        <v>1318194</v>
      </c>
      <c r="G61" s="22">
        <v>641750</v>
      </c>
      <c r="H61" s="22">
        <v>586481</v>
      </c>
      <c r="I61" s="22">
        <v>49941</v>
      </c>
      <c r="J61" s="23" t="s">
        <v>51</v>
      </c>
      <c r="K61" s="23" t="s">
        <v>51</v>
      </c>
      <c r="L61" s="22">
        <f>IF(COUNT(G61,H61,I61)=3,SUM(G61,H61,I61),"n.d.")</f>
        <v>1278172.0</v>
      </c>
      <c r="M61" s="22">
        <f>P61</f>
        <v>40022.0</v>
      </c>
      <c r="N61" s="22">
        <f>IF(COUNT(M61,H61)=2,M61+H61,"n.d.")</f>
        <v>626503.0</v>
      </c>
      <c r="O61" s="22">
        <v>1278173</v>
      </c>
      <c r="P61" s="22">
        <v>40022</v>
      </c>
      <c r="Q61" s="27">
        <f>IF(COUNTIFS('Taux'!$A$6:$A$20,A61,'Taux'!$B$6:$B$20,D61)=1,SUMIFS('Taux'!$D$6:$D$20,'Taux'!$A$6:$A$20,A61,'Taux'!$B$6:$B$20,D61),"n.d.")</f>
        <v>0.85443381</v>
      </c>
      <c r="R61" s="22">
        <f>IF(COUNT(M61,Q61)=2,M61/Q61,"n.d.")</f>
        <v>46840.37491447114</v>
      </c>
      <c r="S61" s="22">
        <f>IF(COUNT(N61,Q61)=2,N61/Q61,"n.d.")</f>
        <v>733237.6044435789</v>
      </c>
      <c r="T61" s="18" t="s">
        <v>132</v>
      </c>
    </row>
    <row r="62" spans="1:20" ht="19" customHeight="1">
      <c r="A62" s="18" t="s">
        <v>27</v>
      </c>
      <c r="B62" s="18" t="s">
        <v>82</v>
      </c>
      <c r="C62" s="18" t="s">
        <v>82</v>
      </c>
      <c r="D62" s="18" t="s">
        <v>19</v>
      </c>
      <c r="E62" s="18" t="s">
        <v>55</v>
      </c>
      <c r="F62" s="22">
        <v>1701435</v>
      </c>
      <c r="G62" s="22">
        <v>802363</v>
      </c>
      <c r="H62" s="22">
        <v>28939</v>
      </c>
      <c r="I62" s="22">
        <v>44304</v>
      </c>
      <c r="J62" s="23" t="s">
        <v>51</v>
      </c>
      <c r="K62" s="23" t="s">
        <v>51</v>
      </c>
      <c r="L62" s="22">
        <f>IF(COUNT(G62,H62,I62)=3,SUM(G62,H62,I62),"n.d.")</f>
        <v>875606.0</v>
      </c>
      <c r="M62" s="22">
        <f>P62</f>
        <v>825829.0</v>
      </c>
      <c r="N62" s="22">
        <f>IF(COUNT(M62,H62)=2,M62+H62,"n.d.")</f>
        <v>854768.0</v>
      </c>
      <c r="O62" s="22">
        <v>875606</v>
      </c>
      <c r="P62" s="22">
        <v>825829</v>
      </c>
      <c r="Q62" s="27">
        <f>IF(COUNTIFS('Taux'!$A$6:$A$20,A62,'Taux'!$B$6:$B$20,D62)=1,SUMIFS('Taux'!$D$6:$D$20,'Taux'!$A$6:$A$20,A62,'Taux'!$B$6:$B$20,D62),"n.d.")</f>
        <v>0.85443381</v>
      </c>
      <c r="R62" s="22">
        <f>IF(COUNT(M62,Q62)=2,M62/Q62,"n.d.")</f>
        <v>966521.9123292885</v>
      </c>
      <c r="S62" s="22">
        <f>IF(COUNT(N62,Q62)=2,N62/Q62,"n.d.")</f>
        <v>1000391.1245038396</v>
      </c>
      <c r="T62" s="18" t="s">
        <v>133</v>
      </c>
    </row>
    <row r="63" spans="1:20" ht="19" customHeight="1">
      <c r="A63" s="18" t="s">
        <v>27</v>
      </c>
      <c r="B63" s="18" t="s">
        <v>91</v>
      </c>
      <c r="C63" s="18" t="s">
        <v>92</v>
      </c>
      <c r="D63" s="18" t="s">
        <v>16</v>
      </c>
      <c r="E63" s="18" t="s">
        <v>93</v>
      </c>
      <c r="F63" s="22">
        <v>1360.75</v>
      </c>
      <c r="G63" s="22">
        <v>1100.43</v>
      </c>
      <c r="H63" s="23" t="s">
        <v>51</v>
      </c>
      <c r="I63" s="23" t="s">
        <v>51</v>
      </c>
      <c r="J63" s="22">
        <v>0</v>
      </c>
      <c r="K63" s="22">
        <v>260.32</v>
      </c>
      <c r="L63" s="22">
        <f>IF(COUNT(G63,J63,K63)=3,SUM(G63,J63,K63),"n.d.")</f>
        <v>1360.75</v>
      </c>
      <c r="M63" s="22">
        <f>P63</f>
        <v>0</v>
      </c>
      <c r="N63" s="22">
        <f>IF(COUNT(M63)=1,M63,"n.d.")</f>
        <v>0</v>
      </c>
      <c r="O63" s="22">
        <v>1360.75</v>
      </c>
      <c r="P63" s="22">
        <v>0</v>
      </c>
      <c r="Q63" s="27">
        <f>IF(COUNTIFS('Taux'!$A$6:$A$20,A63,'Taux'!$B$6:$B$20,D63)=1,SUMIFS('Taux'!$D$6:$D$20,'Taux'!$A$6:$A$20,A63,'Taux'!$B$6:$B$20,D63),"n.d.")</f>
        <v>7.47595715</v>
      </c>
      <c r="R63" s="22">
        <f>IF(COUNT(M63,Q63)=2,M63/Q63,"n.d.")</f>
        <v>0.0</v>
      </c>
      <c r="S63" s="22">
        <f>IF(COUNT(N63,Q63)=2,N63/Q63,"n.d.")</f>
        <v>0.0</v>
      </c>
      <c r="T63" s="18" t="s">
        <v>134</v>
      </c>
    </row>
    <row r="64" spans="1:20" ht="19" customHeight="1">
      <c r="A64" s="18" t="s">
        <v>27</v>
      </c>
      <c r="B64" s="18" t="s">
        <v>91</v>
      </c>
      <c r="C64" s="18" t="s">
        <v>92</v>
      </c>
      <c r="D64" s="18" t="s">
        <v>16</v>
      </c>
      <c r="E64" s="18" t="s">
        <v>95</v>
      </c>
      <c r="F64" s="22">
        <v>707.71</v>
      </c>
      <c r="G64" s="22">
        <v>707.71</v>
      </c>
      <c r="H64" s="23" t="s">
        <v>51</v>
      </c>
      <c r="I64" s="23" t="s">
        <v>51</v>
      </c>
      <c r="J64" s="22">
        <v>0</v>
      </c>
      <c r="K64" s="22">
        <v>0</v>
      </c>
      <c r="L64" s="22">
        <f>IF(COUNT(G64,J64,K64)=3,SUM(G64,J64,K64),"n.d.")</f>
        <v>707.71</v>
      </c>
      <c r="M64" s="22">
        <f>P64</f>
        <v>0</v>
      </c>
      <c r="N64" s="22">
        <f>IF(COUNT(M64)=1,M64,"n.d.")</f>
        <v>0</v>
      </c>
      <c r="O64" s="22">
        <v>707.71</v>
      </c>
      <c r="P64" s="22">
        <v>0</v>
      </c>
      <c r="Q64" s="27">
        <f>IF(COUNTIFS('Taux'!$A$6:$A$20,A64,'Taux'!$B$6:$B$20,D64)=1,SUMIFS('Taux'!$D$6:$D$20,'Taux'!$A$6:$A$20,A64,'Taux'!$B$6:$B$20,D64),"n.d.")</f>
        <v>7.47595715</v>
      </c>
      <c r="R64" s="22">
        <f>IF(COUNT(M64,Q64)=2,M64/Q64,"n.d.")</f>
        <v>0.0</v>
      </c>
      <c r="S64" s="22">
        <f>IF(COUNT(N64,Q64)=2,N64/Q64,"n.d.")</f>
        <v>0.0</v>
      </c>
      <c r="T64" s="18" t="s">
        <v>135</v>
      </c>
    </row>
    <row r="65" spans="1:20" ht="19" customHeight="1">
      <c r="A65" s="18" t="s">
        <v>27</v>
      </c>
      <c r="B65" s="18" t="s">
        <v>91</v>
      </c>
      <c r="C65" s="18" t="s">
        <v>92</v>
      </c>
      <c r="D65" s="18" t="s">
        <v>16</v>
      </c>
      <c r="E65" s="18" t="s">
        <v>53</v>
      </c>
      <c r="F65" s="22">
        <v>979562.14</v>
      </c>
      <c r="G65" s="22">
        <v>916209.2199999997</v>
      </c>
      <c r="H65" s="23" t="s">
        <v>51</v>
      </c>
      <c r="I65" s="23" t="s">
        <v>51</v>
      </c>
      <c r="J65" s="22">
        <v>0</v>
      </c>
      <c r="K65" s="22">
        <v>63352.92000000001</v>
      </c>
      <c r="L65" s="22">
        <f>IF(COUNT(G65,J65,K65)=3,SUM(G65,J65,K65),"n.d.")</f>
        <v>979562.1399999998</v>
      </c>
      <c r="M65" s="22">
        <f>P65</f>
        <v>0</v>
      </c>
      <c r="N65" s="22">
        <f>IF(COUNT(M65)=1,M65,"n.d.")</f>
        <v>0</v>
      </c>
      <c r="O65" s="22">
        <v>979562.1399999998</v>
      </c>
      <c r="P65" s="22">
        <v>0</v>
      </c>
      <c r="Q65" s="27">
        <f>IF(COUNTIFS('Taux'!$A$6:$A$20,A65,'Taux'!$B$6:$B$20,D65)=1,SUMIFS('Taux'!$D$6:$D$20,'Taux'!$A$6:$A$20,A65,'Taux'!$B$6:$B$20,D65),"n.d.")</f>
        <v>7.47595715</v>
      </c>
      <c r="R65" s="22">
        <f>IF(COUNT(M65,Q65)=2,M65/Q65,"n.d.")</f>
        <v>0.0</v>
      </c>
      <c r="S65" s="22">
        <f>IF(COUNT(N65,Q65)=2,N65/Q65,"n.d.")</f>
        <v>0.0</v>
      </c>
      <c r="T65" s="18" t="s">
        <v>136</v>
      </c>
    </row>
    <row r="66" spans="1:20" ht="19" customHeight="1">
      <c r="A66" s="18" t="s">
        <v>27</v>
      </c>
      <c r="B66" s="18" t="s">
        <v>91</v>
      </c>
      <c r="C66" s="18" t="s">
        <v>92</v>
      </c>
      <c r="D66" s="18" t="s">
        <v>16</v>
      </c>
      <c r="E66" s="18" t="s">
        <v>55</v>
      </c>
      <c r="F66" s="22">
        <v>1079874.72</v>
      </c>
      <c r="G66" s="22">
        <v>787924.5800000007</v>
      </c>
      <c r="H66" s="23" t="s">
        <v>51</v>
      </c>
      <c r="I66" s="23" t="s">
        <v>51</v>
      </c>
      <c r="J66" s="22">
        <v>0</v>
      </c>
      <c r="K66" s="22">
        <v>275783.4300000001</v>
      </c>
      <c r="L66" s="22">
        <f>IF(COUNT(G66,J66,K66)=3,SUM(G66,J66,K66),"n.d.")</f>
        <v>1063708.0100000007</v>
      </c>
      <c r="M66" s="22">
        <f>P66</f>
        <v>16166.709999999264</v>
      </c>
      <c r="N66" s="22">
        <f>IF(COUNT(M66)=1,M66,"n.d.")</f>
        <v>16166.709999999264</v>
      </c>
      <c r="O66" s="22">
        <v>1063708.010000001</v>
      </c>
      <c r="P66" s="22">
        <v>16166.70999999926</v>
      </c>
      <c r="Q66" s="27">
        <f>IF(COUNTIFS('Taux'!$A$6:$A$20,A66,'Taux'!$B$6:$B$20,D66)=1,SUMIFS('Taux'!$D$6:$D$20,'Taux'!$A$6:$A$20,A66,'Taux'!$B$6:$B$20,D66),"n.d.")</f>
        <v>7.47595715</v>
      </c>
      <c r="R66" s="22">
        <f>IF(COUNT(M66,Q66)=2,M66/Q66,"n.d.")</f>
        <v>2162.4936681183713</v>
      </c>
      <c r="S66" s="22">
        <f>IF(COUNT(N66,Q66)=2,N66/Q66,"n.d.")</f>
        <v>2162.4936681183713</v>
      </c>
      <c r="T66" s="18" t="s">
        <v>137</v>
      </c>
    </row>
    <row r="67" spans="1:20" ht="19" customHeight="1">
      <c r="A67" s="18" t="s">
        <v>27</v>
      </c>
      <c r="B67" s="18" t="s">
        <v>99</v>
      </c>
      <c r="C67" s="18" t="s">
        <v>100</v>
      </c>
      <c r="D67" s="18" t="s">
        <v>21</v>
      </c>
      <c r="E67" s="18" t="s">
        <v>93</v>
      </c>
      <c r="F67" s="22">
        <v>0</v>
      </c>
      <c r="G67" s="22">
        <v>0</v>
      </c>
      <c r="H67" s="23" t="s">
        <v>51</v>
      </c>
      <c r="I67" s="23" t="s">
        <v>51</v>
      </c>
      <c r="J67" s="22">
        <v>0</v>
      </c>
      <c r="K67" s="22">
        <v>0</v>
      </c>
      <c r="L67" s="22">
        <f>IF(COUNT(G67,J67,K67)=3,SUM(G67,J67,K67),"n.d.")</f>
        <v>0</v>
      </c>
      <c r="M67" s="22">
        <f>P67</f>
        <v>0</v>
      </c>
      <c r="N67" s="22">
        <f>IF(COUNT(M67)=1,M67,"n.d.")</f>
        <v>0</v>
      </c>
      <c r="O67" s="22">
        <v>0</v>
      </c>
      <c r="P67" s="22">
        <v>0</v>
      </c>
      <c r="Q67" s="27">
        <f>IF(COUNTIFS('Taux'!$A$6:$A$20,A67,'Taux'!$B$6:$B$20,D67)=1,SUMIFS('Taux'!$D$6:$D$20,'Taux'!$A$6:$A$20,A67,'Taux'!$B$6:$B$20,D67),"n.d.")</f>
        <v>10.90384939</v>
      </c>
      <c r="R67" s="22">
        <f>IF(COUNT(M67,Q67)=2,M67/Q67,"n.d.")</f>
        <v>0.0</v>
      </c>
      <c r="S67" s="22">
        <f>IF(COUNT(N67,Q67)=2,N67/Q67,"n.d.")</f>
        <v>0.0</v>
      </c>
      <c r="T67" s="18" t="s">
        <v>138</v>
      </c>
    </row>
    <row r="68" spans="1:20" ht="19" customHeight="1">
      <c r="A68" s="18" t="s">
        <v>27</v>
      </c>
      <c r="B68" s="18" t="s">
        <v>99</v>
      </c>
      <c r="C68" s="18" t="s">
        <v>100</v>
      </c>
      <c r="D68" s="18" t="s">
        <v>21</v>
      </c>
      <c r="E68" s="18" t="s">
        <v>95</v>
      </c>
      <c r="F68" s="22">
        <v>19392.95</v>
      </c>
      <c r="G68" s="22">
        <v>18849.71</v>
      </c>
      <c r="H68" s="23" t="s">
        <v>51</v>
      </c>
      <c r="I68" s="23" t="s">
        <v>51</v>
      </c>
      <c r="J68" s="22">
        <v>0</v>
      </c>
      <c r="K68" s="22">
        <v>543.24</v>
      </c>
      <c r="L68" s="22">
        <f>IF(COUNT(G68,J68,K68)=3,SUM(G68,J68,K68),"n.d.")</f>
        <v>19392.95</v>
      </c>
      <c r="M68" s="22">
        <f>P68</f>
        <v>0</v>
      </c>
      <c r="N68" s="22">
        <f>IF(COUNT(M68)=1,M68,"n.d.")</f>
        <v>0</v>
      </c>
      <c r="O68" s="22">
        <v>19392.95</v>
      </c>
      <c r="P68" s="22">
        <v>0</v>
      </c>
      <c r="Q68" s="27">
        <f>IF(COUNTIFS('Taux'!$A$6:$A$20,A68,'Taux'!$B$6:$B$20,D68)=1,SUMIFS('Taux'!$D$6:$D$20,'Taux'!$A$6:$A$20,A68,'Taux'!$B$6:$B$20,D68),"n.d.")</f>
        <v>10.90384939</v>
      </c>
      <c r="R68" s="22">
        <f>IF(COUNT(M68,Q68)=2,M68/Q68,"n.d.")</f>
        <v>0.0</v>
      </c>
      <c r="S68" s="22">
        <f>IF(COUNT(N68,Q68)=2,N68/Q68,"n.d.")</f>
        <v>0.0</v>
      </c>
      <c r="T68" s="18" t="s">
        <v>139</v>
      </c>
    </row>
    <row r="69" spans="1:20" ht="19" customHeight="1">
      <c r="A69" s="18" t="s">
        <v>27</v>
      </c>
      <c r="B69" s="18" t="s">
        <v>99</v>
      </c>
      <c r="C69" s="18" t="s">
        <v>100</v>
      </c>
      <c r="D69" s="18" t="s">
        <v>21</v>
      </c>
      <c r="E69" s="18" t="s">
        <v>53</v>
      </c>
      <c r="F69" s="22">
        <v>1208230.41</v>
      </c>
      <c r="G69" s="22">
        <v>422096.93</v>
      </c>
      <c r="H69" s="23" t="s">
        <v>51</v>
      </c>
      <c r="I69" s="23" t="s">
        <v>51</v>
      </c>
      <c r="J69" s="22">
        <v>0</v>
      </c>
      <c r="K69" s="22">
        <v>786133.4799999997</v>
      </c>
      <c r="L69" s="22">
        <f>IF(COUNT(G69,J69,K69)=3,SUM(G69,J69,K69),"n.d.")</f>
        <v>1208230.4099999997</v>
      </c>
      <c r="M69" s="22">
        <f>P69</f>
        <v>0</v>
      </c>
      <c r="N69" s="22">
        <f>IF(COUNT(M69)=1,M69,"n.d.")</f>
        <v>0</v>
      </c>
      <c r="O69" s="22">
        <v>1208230.41</v>
      </c>
      <c r="P69" s="22">
        <v>0</v>
      </c>
      <c r="Q69" s="27">
        <f>IF(COUNTIFS('Taux'!$A$6:$A$20,A69,'Taux'!$B$6:$B$20,D69)=1,SUMIFS('Taux'!$D$6:$D$20,'Taux'!$A$6:$A$20,A69,'Taux'!$B$6:$B$20,D69),"n.d.")</f>
        <v>10.90384939</v>
      </c>
      <c r="R69" s="22">
        <f>IF(COUNT(M69,Q69)=2,M69/Q69,"n.d.")</f>
        <v>0.0</v>
      </c>
      <c r="S69" s="22">
        <f>IF(COUNT(N69,Q69)=2,N69/Q69,"n.d.")</f>
        <v>0.0</v>
      </c>
      <c r="T69" s="18" t="s">
        <v>140</v>
      </c>
    </row>
    <row r="70" spans="1:20" ht="19" customHeight="1">
      <c r="A70" s="18" t="s">
        <v>27</v>
      </c>
      <c r="B70" s="18" t="s">
        <v>99</v>
      </c>
      <c r="C70" s="18" t="s">
        <v>100</v>
      </c>
      <c r="D70" s="18" t="s">
        <v>21</v>
      </c>
      <c r="E70" s="18" t="s">
        <v>55</v>
      </c>
      <c r="F70" s="22">
        <v>826942.6</v>
      </c>
      <c r="G70" s="22">
        <v>708259.4800000004</v>
      </c>
      <c r="H70" s="23" t="s">
        <v>51</v>
      </c>
      <c r="I70" s="23" t="s">
        <v>51</v>
      </c>
      <c r="J70" s="22">
        <v>0</v>
      </c>
      <c r="K70" s="22">
        <v>96599.03</v>
      </c>
      <c r="L70" s="22">
        <f>IF(COUNT(G70,J70,K70)=3,SUM(G70,J70,K70),"n.d.")</f>
        <v>804858.5100000005</v>
      </c>
      <c r="M70" s="22">
        <f>P70</f>
        <v>22084.0899999995</v>
      </c>
      <c r="N70" s="22">
        <f>IF(COUNT(M70)=1,M70,"n.d.")</f>
        <v>22084.0899999995</v>
      </c>
      <c r="O70" s="22">
        <v>804858.5100000005</v>
      </c>
      <c r="P70" s="22">
        <v>22084.0899999995</v>
      </c>
      <c r="Q70" s="27">
        <f>IF(COUNTIFS('Taux'!$A$6:$A$20,A70,'Taux'!$B$6:$B$20,D70)=1,SUMIFS('Taux'!$D$6:$D$20,'Taux'!$A$6:$A$20,A70,'Taux'!$B$6:$B$20,D70),"n.d.")</f>
        <v>10.90384939</v>
      </c>
      <c r="R70" s="22">
        <f>IF(COUNT(M70,Q70)=2,M70/Q70,"n.d.")</f>
        <v>2025.348040871968</v>
      </c>
      <c r="S70" s="22">
        <f>IF(COUNT(N70,Q70)=2,N70/Q70,"n.d.")</f>
        <v>2025.348040871968</v>
      </c>
      <c r="T70" s="18" t="s">
        <v>141</v>
      </c>
    </row>
    <row r="71" spans="1:20" ht="19" customHeight="1">
      <c r="A71" s="18" t="s">
        <v>27</v>
      </c>
      <c r="B71" s="18" t="s">
        <v>105</v>
      </c>
      <c r="C71" s="18" t="s">
        <v>106</v>
      </c>
      <c r="D71" s="18" t="s">
        <v>23</v>
      </c>
      <c r="E71" s="18" t="s">
        <v>93</v>
      </c>
      <c r="F71" s="22">
        <v>0</v>
      </c>
      <c r="G71" s="22">
        <v>0</v>
      </c>
      <c r="H71" s="23" t="s">
        <v>51</v>
      </c>
      <c r="I71" s="23" t="s">
        <v>51</v>
      </c>
      <c r="J71" s="22">
        <v>0</v>
      </c>
      <c r="K71" s="22">
        <v>0</v>
      </c>
      <c r="L71" s="22">
        <f>IF(COUNT(G71,J71,K71)=3,SUM(G71,J71,K71),"n.d.")</f>
        <v>0</v>
      </c>
      <c r="M71" s="22">
        <f>P71</f>
        <v>0</v>
      </c>
      <c r="N71" s="22">
        <f>IF(COUNT(M71)=1,M71,"n.d.")</f>
        <v>0</v>
      </c>
      <c r="O71" s="22">
        <v>0</v>
      </c>
      <c r="P71" s="22">
        <v>0</v>
      </c>
      <c r="Q71" s="27">
        <f>IF(COUNTIFS('Taux'!$A$6:$A$20,A71,'Taux'!$B$6:$B$20,D71)=1,SUMIFS('Taux'!$D$6:$D$20,'Taux'!$A$6:$A$20,A71,'Taux'!$B$6:$B$20,D71),"n.d.")</f>
        <v>11.34339828</v>
      </c>
      <c r="R71" s="22">
        <f>IF(COUNT(M71,Q71)=2,M71/Q71,"n.d.")</f>
        <v>0.0</v>
      </c>
      <c r="S71" s="22">
        <f>IF(COUNT(N71,Q71)=2,N71/Q71,"n.d.")</f>
        <v>0.0</v>
      </c>
      <c r="T71" s="18" t="s">
        <v>142</v>
      </c>
    </row>
    <row r="72" spans="1:20" ht="19" customHeight="1">
      <c r="A72" s="18" t="s">
        <v>27</v>
      </c>
      <c r="B72" s="18" t="s">
        <v>105</v>
      </c>
      <c r="C72" s="18" t="s">
        <v>106</v>
      </c>
      <c r="D72" s="18" t="s">
        <v>23</v>
      </c>
      <c r="E72" s="18" t="s">
        <v>95</v>
      </c>
      <c r="F72" s="22">
        <v>0</v>
      </c>
      <c r="G72" s="22">
        <v>0</v>
      </c>
      <c r="H72" s="23" t="s">
        <v>51</v>
      </c>
      <c r="I72" s="23" t="s">
        <v>51</v>
      </c>
      <c r="J72" s="22">
        <v>0</v>
      </c>
      <c r="K72" s="22">
        <v>0</v>
      </c>
      <c r="L72" s="22">
        <f>IF(COUNT(G72,J72,K72)=3,SUM(G72,J72,K72),"n.d.")</f>
        <v>0</v>
      </c>
      <c r="M72" s="22">
        <f>P72</f>
        <v>0</v>
      </c>
      <c r="N72" s="22">
        <f>IF(COUNT(M72)=1,M72,"n.d.")</f>
        <v>0</v>
      </c>
      <c r="O72" s="22">
        <v>0</v>
      </c>
      <c r="P72" s="22">
        <v>0</v>
      </c>
      <c r="Q72" s="27">
        <f>IF(COUNTIFS('Taux'!$A$6:$A$20,A72,'Taux'!$B$6:$B$20,D72)=1,SUMIFS('Taux'!$D$6:$D$20,'Taux'!$A$6:$A$20,A72,'Taux'!$B$6:$B$20,D72),"n.d.")</f>
        <v>11.34339828</v>
      </c>
      <c r="R72" s="22">
        <f>IF(COUNT(M72,Q72)=2,M72/Q72,"n.d.")</f>
        <v>0.0</v>
      </c>
      <c r="S72" s="22">
        <f>IF(COUNT(N72,Q72)=2,N72/Q72,"n.d.")</f>
        <v>0.0</v>
      </c>
      <c r="T72" s="18" t="s">
        <v>143</v>
      </c>
    </row>
    <row r="73" spans="1:20" ht="19" customHeight="1">
      <c r="A73" s="18" t="s">
        <v>27</v>
      </c>
      <c r="B73" s="18" t="s">
        <v>105</v>
      </c>
      <c r="C73" s="18" t="s">
        <v>106</v>
      </c>
      <c r="D73" s="18" t="s">
        <v>23</v>
      </c>
      <c r="E73" s="18" t="s">
        <v>53</v>
      </c>
      <c r="F73" s="22">
        <v>1598170.86</v>
      </c>
      <c r="G73" s="22">
        <v>1480274.83</v>
      </c>
      <c r="H73" s="23" t="s">
        <v>51</v>
      </c>
      <c r="I73" s="23" t="s">
        <v>51</v>
      </c>
      <c r="J73" s="22">
        <v>0</v>
      </c>
      <c r="K73" s="22">
        <v>117896.0300000001</v>
      </c>
      <c r="L73" s="22">
        <f>IF(COUNT(G73,J73,K73)=3,SUM(G73,J73,K73),"n.d.")</f>
        <v>1598170.86</v>
      </c>
      <c r="M73" s="22">
        <f>P73</f>
        <v>0</v>
      </c>
      <c r="N73" s="22">
        <f>IF(COUNT(M73)=1,M73,"n.d.")</f>
        <v>0</v>
      </c>
      <c r="O73" s="22">
        <v>1598170.86</v>
      </c>
      <c r="P73" s="22">
        <v>0</v>
      </c>
      <c r="Q73" s="27">
        <f>IF(COUNTIFS('Taux'!$A$6:$A$20,A73,'Taux'!$B$6:$B$20,D73)=1,SUMIFS('Taux'!$D$6:$D$20,'Taux'!$A$6:$A$20,A73,'Taux'!$B$6:$B$20,D73),"n.d.")</f>
        <v>11.34339828</v>
      </c>
      <c r="R73" s="22">
        <f>IF(COUNT(M73,Q73)=2,M73/Q73,"n.d.")</f>
        <v>0.0</v>
      </c>
      <c r="S73" s="22">
        <f>IF(COUNT(N73,Q73)=2,N73/Q73,"n.d.")</f>
        <v>0.0</v>
      </c>
      <c r="T73" s="18" t="s">
        <v>144</v>
      </c>
    </row>
    <row r="74" spans="1:20" ht="19" customHeight="1">
      <c r="A74" s="18" t="s">
        <v>27</v>
      </c>
      <c r="B74" s="18" t="s">
        <v>105</v>
      </c>
      <c r="C74" s="18" t="s">
        <v>106</v>
      </c>
      <c r="D74" s="18" t="s">
        <v>23</v>
      </c>
      <c r="E74" s="18" t="s">
        <v>55</v>
      </c>
      <c r="F74" s="22">
        <v>2532380.35</v>
      </c>
      <c r="G74" s="22">
        <v>1844080.159999999</v>
      </c>
      <c r="H74" s="23" t="s">
        <v>51</v>
      </c>
      <c r="I74" s="23" t="s">
        <v>51</v>
      </c>
      <c r="J74" s="22">
        <v>0</v>
      </c>
      <c r="K74" s="22">
        <v>515673.5699999998</v>
      </c>
      <c r="L74" s="22">
        <f>IF(COUNT(G74,J74,K74)=3,SUM(G74,J74,K74),"n.d.")</f>
        <v>2359753.729999999</v>
      </c>
      <c r="M74" s="22">
        <f>P74</f>
        <v>172626.62000000104</v>
      </c>
      <c r="N74" s="22">
        <f>IF(COUNT(M74)=1,M74,"n.d.")</f>
        <v>172626.62000000104</v>
      </c>
      <c r="O74" s="22">
        <v>2359753.729999999</v>
      </c>
      <c r="P74" s="22">
        <v>172626.620000001</v>
      </c>
      <c r="Q74" s="27">
        <f>IF(COUNTIFS('Taux'!$A$6:$A$20,A74,'Taux'!$B$6:$B$20,D74)=1,SUMIFS('Taux'!$D$6:$D$20,'Taux'!$A$6:$A$20,A74,'Taux'!$B$6:$B$20,D74),"n.d.")</f>
        <v>11.34339828</v>
      </c>
      <c r="R74" s="22">
        <f>IF(COUNT(M74,Q74)=2,M74/Q74,"n.d.")</f>
        <v>15218.245515046927</v>
      </c>
      <c r="S74" s="22">
        <f>IF(COUNT(N74,Q74)=2,N74/Q74,"n.d.")</f>
        <v>15218.245515046927</v>
      </c>
      <c r="T74" s="18" t="s">
        <v>145</v>
      </c>
    </row>
    <row r="75" spans="1:20" ht="19" customHeight="1">
      <c r="A75" s="18" t="s">
        <v>27</v>
      </c>
      <c r="B75" s="18" t="s">
        <v>111</v>
      </c>
      <c r="C75" s="18" t="s">
        <v>112</v>
      </c>
      <c r="D75" s="18" t="s">
        <v>25</v>
      </c>
      <c r="E75" s="18" t="s">
        <v>50</v>
      </c>
      <c r="F75" s="22">
        <v>27676837.5499995</v>
      </c>
      <c r="G75" s="22">
        <v>11108503.58</v>
      </c>
      <c r="H75" s="22">
        <v>4485046.75000003</v>
      </c>
      <c r="I75" s="22">
        <v>697193.2399999649</v>
      </c>
      <c r="J75" s="23" t="s">
        <v>51</v>
      </c>
      <c r="K75" s="23" t="s">
        <v>51</v>
      </c>
      <c r="L75" s="22">
        <f>IF(COUNT(G75,H75,I75)=3,SUM(G75,H75,I75),"n.d.")</f>
        <v>16290743.569999995</v>
      </c>
      <c r="M75" s="22">
        <f>P75</f>
        <v>11386093.979999503</v>
      </c>
      <c r="N75" s="22">
        <f>IF(COUNT(M75,H75)=2,M75+H75,"n.d.")</f>
        <v>15871140.729999533</v>
      </c>
      <c r="O75" s="22">
        <v>16290743.56999999</v>
      </c>
      <c r="P75" s="22">
        <v>11386093.9799995</v>
      </c>
      <c r="Q75" s="27">
        <f>IF(COUNTIFS('Taux'!$A$6:$A$20,A75,'Taux'!$B$6:$B$20,D75)=1,SUMIFS('Taux'!$D$6:$D$20,'Taux'!$A$6:$A$20,A75,'Taux'!$B$6:$B$20,D75),"n.d.")</f>
        <v>18.58943911</v>
      </c>
      <c r="R75" s="22">
        <f>IF(COUNT(M75,Q75)=2,M75/Q75,"n.d.")</f>
        <v>612503.3634755806</v>
      </c>
      <c r="S75" s="22">
        <f>IF(COUNT(N75,Q75)=2,N75/Q75,"n.d.")</f>
        <v>853771.8989843978</v>
      </c>
      <c r="T75" s="18" t="s">
        <v>146</v>
      </c>
    </row>
    <row r="76" spans="1:20" ht="19" customHeight="1">
      <c r="A76" s="18" t="s">
        <v>27</v>
      </c>
      <c r="B76" s="18" t="s">
        <v>111</v>
      </c>
      <c r="C76" s="18" t="s">
        <v>112</v>
      </c>
      <c r="D76" s="18" t="s">
        <v>25</v>
      </c>
      <c r="E76" s="18" t="s">
        <v>53</v>
      </c>
      <c r="F76" s="22">
        <v>28245970.93999971</v>
      </c>
      <c r="G76" s="22">
        <v>21718090.4300004</v>
      </c>
      <c r="H76" s="22">
        <v>0</v>
      </c>
      <c r="I76" s="22">
        <v>360802.280000011</v>
      </c>
      <c r="J76" s="23" t="s">
        <v>51</v>
      </c>
      <c r="K76" s="23" t="s">
        <v>51</v>
      </c>
      <c r="L76" s="22">
        <f>IF(COUNT(G76,H76,I76)=3,SUM(G76,H76,I76),"n.d.")</f>
        <v>22078892.71000041</v>
      </c>
      <c r="M76" s="22">
        <f>P76</f>
        <v>6167078.229999304</v>
      </c>
      <c r="N76" s="22">
        <f>IF(COUNT(M76,H76)=2,M76+H76,"n.d.")</f>
        <v>6167078.229999304</v>
      </c>
      <c r="O76" s="22">
        <v>22078892.71000041</v>
      </c>
      <c r="P76" s="22">
        <v>6167078.229999304</v>
      </c>
      <c r="Q76" s="27">
        <f>IF(COUNTIFS('Taux'!$A$6:$A$20,A76,'Taux'!$B$6:$B$20,D76)=1,SUMIFS('Taux'!$D$6:$D$20,'Taux'!$A$6:$A$20,A76,'Taux'!$B$6:$B$20,D76),"n.d.")</f>
        <v>18.58943911</v>
      </c>
      <c r="R76" s="22">
        <f>IF(COUNT(M76,Q76)=2,M76/Q76,"n.d.")</f>
        <v>331751.7109314926</v>
      </c>
      <c r="S76" s="22">
        <f>IF(COUNT(N76,Q76)=2,N76/Q76,"n.d.")</f>
        <v>331751.7109314926</v>
      </c>
      <c r="T76" s="18" t="s">
        <v>147</v>
      </c>
    </row>
    <row r="77" spans="1:20" ht="19" customHeight="1">
      <c r="A77" s="18" t="s">
        <v>27</v>
      </c>
      <c r="B77" s="18" t="s">
        <v>111</v>
      </c>
      <c r="C77" s="18" t="s">
        <v>112</v>
      </c>
      <c r="D77" s="18" t="s">
        <v>25</v>
      </c>
      <c r="E77" s="18" t="s">
        <v>55</v>
      </c>
      <c r="F77" s="22">
        <v>32241062.66999996</v>
      </c>
      <c r="G77" s="22">
        <v>15898790.77</v>
      </c>
      <c r="H77" s="22">
        <v>0</v>
      </c>
      <c r="I77" s="22">
        <v>303769.120000005</v>
      </c>
      <c r="J77" s="23" t="s">
        <v>51</v>
      </c>
      <c r="K77" s="23" t="s">
        <v>51</v>
      </c>
      <c r="L77" s="22">
        <f>IF(COUNT(G77,H77,I77)=3,SUM(G77,H77,I77),"n.d.")</f>
        <v>16202559.890000004</v>
      </c>
      <c r="M77" s="22">
        <f>P77</f>
        <v>16038502.77999996</v>
      </c>
      <c r="N77" s="22">
        <f>IF(COUNT(M77,H77)=2,M77+H77,"n.d.")</f>
        <v>16038502.77999996</v>
      </c>
      <c r="O77" s="22">
        <v>16202559.89</v>
      </c>
      <c r="P77" s="22">
        <v>16038502.77999996</v>
      </c>
      <c r="Q77" s="27">
        <f>IF(COUNTIFS('Taux'!$A$6:$A$20,A77,'Taux'!$B$6:$B$20,D77)=1,SUMIFS('Taux'!$D$6:$D$20,'Taux'!$A$6:$A$20,A77,'Taux'!$B$6:$B$20,D77),"n.d.")</f>
        <v>18.58943911</v>
      </c>
      <c r="R77" s="22">
        <f>IF(COUNT(M77,Q77)=2,M77/Q77,"n.d.")</f>
        <v>862774.9705138876</v>
      </c>
      <c r="S77" s="22">
        <f>IF(COUNT(N77,Q77)=2,N77/Q77,"n.d.")</f>
        <v>862774.9705138876</v>
      </c>
      <c r="T77" s="18" t="s">
        <v>148</v>
      </c>
    </row>
    <row r="78" spans="1:20" ht="19" customHeight="1">
      <c r="A78" s="18" t="s">
        <v>27</v>
      </c>
      <c r="B78" s="18" t="s">
        <v>86</v>
      </c>
      <c r="C78" s="18" t="s">
        <v>87</v>
      </c>
      <c r="D78" s="18" t="s">
        <v>10</v>
      </c>
      <c r="E78" s="18" t="s">
        <v>50</v>
      </c>
      <c r="F78" s="22">
        <v>1091686</v>
      </c>
      <c r="G78" s="22">
        <v>1034854</v>
      </c>
      <c r="H78" s="22">
        <v>0</v>
      </c>
      <c r="I78" s="22">
        <v>50654</v>
      </c>
      <c r="J78" s="23" t="s">
        <v>51</v>
      </c>
      <c r="K78" s="23" t="s">
        <v>51</v>
      </c>
      <c r="L78" s="22">
        <f>IF(COUNT(G78,H78,I78)=3,SUM(G78,H78,I78),"n.d.")</f>
        <v>1085508.0</v>
      </c>
      <c r="M78" s="22">
        <f>P78</f>
        <v>6177.0</v>
      </c>
      <c r="N78" s="22">
        <f>IF(COUNT(M78,H78)=2,M78+H78,"n.d.")</f>
        <v>6177.0</v>
      </c>
      <c r="O78" s="22">
        <v>1085509</v>
      </c>
      <c r="P78" s="22">
        <v>6177</v>
      </c>
      <c r="Q78" s="27">
        <f>IF(COUNTIFS('Taux'!$A$6:$A$20,A78,'Taux'!$B$6:$B$20,D78)=1,SUMIFS('Taux'!$D$6:$D$20,'Taux'!$A$6:$A$20,A78,'Taux'!$B$6:$B$20,D78),"n.d.")</f>
        <v>1</v>
      </c>
      <c r="R78" s="22">
        <f>IF(COUNT(M78,Q78)=2,M78/Q78,"n.d.")</f>
        <v>6177.0</v>
      </c>
      <c r="S78" s="22">
        <f>IF(COUNT(N78,Q78)=2,N78/Q78,"n.d.")</f>
        <v>6177.0</v>
      </c>
      <c r="T78" s="18" t="s">
        <v>149</v>
      </c>
    </row>
    <row r="79" spans="1:20" ht="19" customHeight="1">
      <c r="A79" s="18" t="s">
        <v>27</v>
      </c>
      <c r="B79" s="18" t="s">
        <v>86</v>
      </c>
      <c r="C79" s="18" t="s">
        <v>87</v>
      </c>
      <c r="D79" s="18" t="s">
        <v>10</v>
      </c>
      <c r="E79" s="18" t="s">
        <v>53</v>
      </c>
      <c r="F79" s="22">
        <v>245902</v>
      </c>
      <c r="G79" s="22">
        <v>244214</v>
      </c>
      <c r="H79" s="22">
        <v>0</v>
      </c>
      <c r="I79" s="22">
        <v>563</v>
      </c>
      <c r="J79" s="23" t="s">
        <v>51</v>
      </c>
      <c r="K79" s="23" t="s">
        <v>51</v>
      </c>
      <c r="L79" s="22">
        <f>IF(COUNT(G79,H79,I79)=3,SUM(G79,H79,I79),"n.d.")</f>
        <v>244777.0</v>
      </c>
      <c r="M79" s="22">
        <f>P79</f>
        <v>1125.0</v>
      </c>
      <c r="N79" s="22">
        <f>IF(COUNT(M79,H79)=2,M79+H79,"n.d.")</f>
        <v>1125.0</v>
      </c>
      <c r="O79" s="22">
        <v>244777</v>
      </c>
      <c r="P79" s="22">
        <v>1125</v>
      </c>
      <c r="Q79" s="27">
        <f>IF(COUNTIFS('Taux'!$A$6:$A$20,A79,'Taux'!$B$6:$B$20,D79)=1,SUMIFS('Taux'!$D$6:$D$20,'Taux'!$A$6:$A$20,A79,'Taux'!$B$6:$B$20,D79),"n.d.")</f>
        <v>1</v>
      </c>
      <c r="R79" s="22">
        <f>IF(COUNT(M79,Q79)=2,M79/Q79,"n.d.")</f>
        <v>1125.0</v>
      </c>
      <c r="S79" s="22">
        <f>IF(COUNT(N79,Q79)=2,N79/Q79,"n.d.")</f>
        <v>1125.0</v>
      </c>
      <c r="T79" s="18" t="s">
        <v>150</v>
      </c>
    </row>
    <row r="80" spans="1:20" ht="19" customHeight="1">
      <c r="A80" s="18" t="s">
        <v>27</v>
      </c>
      <c r="B80" s="18" t="s">
        <v>86</v>
      </c>
      <c r="C80" s="18" t="s">
        <v>87</v>
      </c>
      <c r="D80" s="18" t="s">
        <v>10</v>
      </c>
      <c r="E80" s="18" t="s">
        <v>55</v>
      </c>
      <c r="F80" s="22">
        <v>87098</v>
      </c>
      <c r="G80" s="22">
        <v>80263</v>
      </c>
      <c r="H80" s="22">
        <v>0</v>
      </c>
      <c r="I80" s="22">
        <v>27</v>
      </c>
      <c r="J80" s="23" t="s">
        <v>51</v>
      </c>
      <c r="K80" s="23" t="s">
        <v>51</v>
      </c>
      <c r="L80" s="22">
        <f>IF(COUNT(G80,H80,I80)=3,SUM(G80,H80,I80),"n.d.")</f>
        <v>80290.0</v>
      </c>
      <c r="M80" s="22">
        <f>P80</f>
        <v>6808.0</v>
      </c>
      <c r="N80" s="22">
        <f>IF(COUNT(M80,H80)=2,M80+H80,"n.d.")</f>
        <v>6808.0</v>
      </c>
      <c r="O80" s="22">
        <v>80289</v>
      </c>
      <c r="P80" s="22">
        <v>6808</v>
      </c>
      <c r="Q80" s="27">
        <f>IF(COUNTIFS('Taux'!$A$6:$A$20,A80,'Taux'!$B$6:$B$20,D80)=1,SUMIFS('Taux'!$D$6:$D$20,'Taux'!$A$6:$A$20,A80,'Taux'!$B$6:$B$20,D80),"n.d.")</f>
        <v>1</v>
      </c>
      <c r="R80" s="22">
        <f>IF(COUNT(M80,Q80)=2,M80/Q80,"n.d.")</f>
        <v>6808.0</v>
      </c>
      <c r="S80" s="22">
        <f>IF(COUNT(N80,Q80)=2,N80/Q80,"n.d.")</f>
        <v>6808.0</v>
      </c>
      <c r="T80" s="18" t="s">
        <v>151</v>
      </c>
    </row>
    <row r="81" spans="1:20" ht="19" customHeight="1">
      <c r="A81" s="18" t="s">
        <v>27</v>
      </c>
      <c r="B81" s="18" t="s">
        <v>67</v>
      </c>
      <c r="C81" s="18" t="s">
        <v>68</v>
      </c>
      <c r="D81" s="18" t="s">
        <v>10</v>
      </c>
      <c r="E81" s="18" t="s">
        <v>50</v>
      </c>
      <c r="F81" s="22">
        <v>120403637</v>
      </c>
      <c r="G81" s="22">
        <v>118585644</v>
      </c>
      <c r="H81" s="22">
        <v>7679</v>
      </c>
      <c r="I81" s="22">
        <v>999634</v>
      </c>
      <c r="J81" s="23" t="s">
        <v>51</v>
      </c>
      <c r="K81" s="23" t="s">
        <v>51</v>
      </c>
      <c r="L81" s="22">
        <f>IF(COUNT(G81,H81,I81)=3,SUM(G81,H81,I81),"n.d.")</f>
        <v>119592957.0</v>
      </c>
      <c r="M81" s="22">
        <f>P81</f>
        <v>810679.0</v>
      </c>
      <c r="N81" s="22">
        <f>IF(COUNT(M81,H81)=2,M81+H81,"n.d.")</f>
        <v>818358.0</v>
      </c>
      <c r="O81" s="22">
        <v>119592958</v>
      </c>
      <c r="P81" s="22">
        <v>810679</v>
      </c>
      <c r="Q81" s="27">
        <f>IF(COUNTIFS('Taux'!$A$6:$A$20,A81,'Taux'!$B$6:$B$20,D81)=1,SUMIFS('Taux'!$D$6:$D$20,'Taux'!$A$6:$A$20,A81,'Taux'!$B$6:$B$20,D81),"n.d.")</f>
        <v>1</v>
      </c>
      <c r="R81" s="22">
        <f>IF(COUNT(M81,Q81)=2,M81/Q81,"n.d.")</f>
        <v>810679.0</v>
      </c>
      <c r="S81" s="22">
        <f>IF(COUNT(N81,Q81)=2,N81/Q81,"n.d.")</f>
        <v>818358.0</v>
      </c>
      <c r="T81" s="18" t="s">
        <v>152</v>
      </c>
    </row>
    <row r="82" spans="1:20" ht="19" customHeight="1">
      <c r="A82" s="18" t="s">
        <v>27</v>
      </c>
      <c r="B82" s="18" t="s">
        <v>67</v>
      </c>
      <c r="C82" s="18" t="s">
        <v>68</v>
      </c>
      <c r="D82" s="18" t="s">
        <v>10</v>
      </c>
      <c r="E82" s="18" t="s">
        <v>53</v>
      </c>
      <c r="F82" s="22">
        <v>18390237</v>
      </c>
      <c r="G82" s="22">
        <v>17741701</v>
      </c>
      <c r="H82" s="22">
        <v>18694</v>
      </c>
      <c r="I82" s="22">
        <v>326166</v>
      </c>
      <c r="J82" s="23" t="s">
        <v>51</v>
      </c>
      <c r="K82" s="23" t="s">
        <v>51</v>
      </c>
      <c r="L82" s="22">
        <f>IF(COUNT(G82,H82,I82)=3,SUM(G82,H82,I82),"n.d.")</f>
        <v>18086561.0</v>
      </c>
      <c r="M82" s="22">
        <f>P82</f>
        <v>303678.0</v>
      </c>
      <c r="N82" s="22">
        <f>IF(COUNT(M82,H82)=2,M82+H82,"n.d.")</f>
        <v>322372.0</v>
      </c>
      <c r="O82" s="22">
        <v>18086560</v>
      </c>
      <c r="P82" s="22">
        <v>303678</v>
      </c>
      <c r="Q82" s="27">
        <f>IF(COUNTIFS('Taux'!$A$6:$A$20,A82,'Taux'!$B$6:$B$20,D82)=1,SUMIFS('Taux'!$D$6:$D$20,'Taux'!$A$6:$A$20,A82,'Taux'!$B$6:$B$20,D82),"n.d.")</f>
        <v>1</v>
      </c>
      <c r="R82" s="22">
        <f>IF(COUNT(M82,Q82)=2,M82/Q82,"n.d.")</f>
        <v>303678.0</v>
      </c>
      <c r="S82" s="22">
        <f>IF(COUNT(N82,Q82)=2,N82/Q82,"n.d.")</f>
        <v>322372.0</v>
      </c>
      <c r="T82" s="18" t="s">
        <v>153</v>
      </c>
    </row>
    <row r="83" spans="1:20" ht="19" customHeight="1">
      <c r="A83" s="18" t="s">
        <v>27</v>
      </c>
      <c r="B83" s="18" t="s">
        <v>67</v>
      </c>
      <c r="C83" s="18" t="s">
        <v>68</v>
      </c>
      <c r="D83" s="18" t="s">
        <v>10</v>
      </c>
      <c r="E83" s="18" t="s">
        <v>55</v>
      </c>
      <c r="F83" s="22">
        <v>7309846</v>
      </c>
      <c r="G83" s="22">
        <v>5565371</v>
      </c>
      <c r="H83" s="22">
        <v>3302</v>
      </c>
      <c r="I83" s="22">
        <v>106277</v>
      </c>
      <c r="J83" s="23" t="s">
        <v>51</v>
      </c>
      <c r="K83" s="23" t="s">
        <v>51</v>
      </c>
      <c r="L83" s="22">
        <f>IF(COUNT(G83,H83,I83)=3,SUM(G83,H83,I83),"n.d.")</f>
        <v>5674950.0</v>
      </c>
      <c r="M83" s="22">
        <f>P83</f>
        <v>1634895.0</v>
      </c>
      <c r="N83" s="22">
        <f>IF(COUNT(M83,H83)=2,M83+H83,"n.d.")</f>
        <v>1638197.0</v>
      </c>
      <c r="O83" s="22">
        <v>5674951</v>
      </c>
      <c r="P83" s="22">
        <v>1634895</v>
      </c>
      <c r="Q83" s="27">
        <f>IF(COUNTIFS('Taux'!$A$6:$A$20,A83,'Taux'!$B$6:$B$20,D83)=1,SUMIFS('Taux'!$D$6:$D$20,'Taux'!$A$6:$A$20,A83,'Taux'!$B$6:$B$20,D83),"n.d.")</f>
        <v>1</v>
      </c>
      <c r="R83" s="22">
        <f>IF(COUNT(M83,Q83)=2,M83/Q83,"n.d.")</f>
        <v>1634895.0</v>
      </c>
      <c r="S83" s="22">
        <f>IF(COUNT(N83,Q83)=2,N83/Q83,"n.d.")</f>
        <v>1638197.0</v>
      </c>
      <c r="T83" s="18" t="s">
        <v>154</v>
      </c>
    </row>
  </sheetData>
  <conditionalFormatting sqref="A6:T83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423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8" customWidth="1"/>
    <col min="2" max="2" width="12.7109375" style="18" customWidth="1"/>
    <col min="3" max="3" width="22.7109375" style="18" customWidth="1"/>
    <col min="4" max="4" width="12.7109375" style="18" customWidth="1"/>
    <col min="5" max="5" width="18.7109375" style="18" customWidth="1"/>
    <col min="6" max="6" width="25.7109375" style="18" customWidth="1"/>
    <col min="7" max="7" width="18.7109375" style="18" customWidth="1"/>
    <col min="8" max="8" width="21.7109375" style="18" customWidth="1"/>
    <col min="9" max="9" width="24.7109375" style="18" customWidth="1"/>
    <col min="10" max="10" width="21.7109375" style="18" customWidth="1"/>
    <col min="11" max="11" width="58.7109375" style="18" customWidth="1"/>
    <col min="12" max="28" width="18.7109375" style="18" customWidth="1"/>
  </cols>
  <sheetData>
    <row r="2" spans="1:11" ht="19" customHeight="1">
      <c r="A2" s="19" t="s">
        <v>325</v>
      </c>
    </row>
    <row r="3" spans="1:11" ht="19" customHeight="1">
      <c r="A3" s="20" t="s">
        <v>326</v>
      </c>
    </row>
    <row r="5" spans="1:11" ht="42" customHeight="1">
      <c r="A5" s="21" t="s">
        <v>3</v>
      </c>
      <c r="B5" s="21" t="s">
        <v>31</v>
      </c>
      <c r="C5" s="21" t="s">
        <v>32</v>
      </c>
      <c r="D5" s="21" t="s">
        <v>4</v>
      </c>
      <c r="E5" s="21" t="s">
        <v>327</v>
      </c>
      <c r="F5" s="21" t="s">
        <v>328</v>
      </c>
      <c r="G5" s="21" t="s">
        <v>329</v>
      </c>
      <c r="H5" s="21" t="s">
        <v>330</v>
      </c>
      <c r="I5" s="21" t="s">
        <v>45</v>
      </c>
      <c r="J5" s="21" t="s">
        <v>331</v>
      </c>
      <c r="K5" s="21" t="s">
        <v>8</v>
      </c>
    </row>
    <row r="6" spans="1:11" ht="19" customHeight="1">
      <c r="A6" s="18" t="s">
        <v>9</v>
      </c>
      <c r="B6" s="18" t="s">
        <v>57</v>
      </c>
      <c r="C6" s="18" t="s">
        <v>58</v>
      </c>
      <c r="D6" s="18" t="s">
        <v>10</v>
      </c>
      <c r="E6" s="18" t="s">
        <v>33</v>
      </c>
      <c r="F6" s="18" t="s">
        <v>50</v>
      </c>
      <c r="G6" s="23" t="s">
        <v>51</v>
      </c>
      <c r="H6" s="22">
        <v>422427.44</v>
      </c>
      <c r="I6" s="27">
        <f>IF(COUNTIFS('Taux'!$A$6:$A$20,A6,'Taux'!$B$6:$B$20,D6)=1,SUMIFS('Taux'!$D$6:$D$20,'Taux'!$A$6:$A$20,A6,'Taux'!$B$6:$B$20,D6),"n.d.")</f>
        <v>1</v>
      </c>
      <c r="J6" s="22">
        <f>IF(COUNT(H6,I6)=2,H6/I6,"n.d.")</f>
        <v>422427.44</v>
      </c>
      <c r="K6" s="18" t="s">
        <v>332</v>
      </c>
    </row>
    <row r="7" spans="1:11" ht="19" customHeight="1">
      <c r="A7" s="18" t="s">
        <v>9</v>
      </c>
      <c r="B7" s="18" t="s">
        <v>57</v>
      </c>
      <c r="C7" s="18" t="s">
        <v>58</v>
      </c>
      <c r="D7" s="18" t="s">
        <v>10</v>
      </c>
      <c r="E7" s="18" t="s">
        <v>33</v>
      </c>
      <c r="F7" s="18" t="s">
        <v>53</v>
      </c>
      <c r="G7" s="23" t="s">
        <v>51</v>
      </c>
      <c r="H7" s="22">
        <v>642607.5600000001</v>
      </c>
      <c r="I7" s="27">
        <f>IF(COUNTIFS('Taux'!$A$6:$A$20,A7,'Taux'!$B$6:$B$20,D7)=1,SUMIFS('Taux'!$D$6:$D$20,'Taux'!$A$6:$A$20,A7,'Taux'!$B$6:$B$20,D7),"n.d.")</f>
        <v>1</v>
      </c>
      <c r="J7" s="22">
        <f>IF(COUNT(H7,I7)=2,H7/I7,"n.d.")</f>
        <v>642607.56</v>
      </c>
      <c r="K7" s="18" t="s">
        <v>333</v>
      </c>
    </row>
    <row r="8" spans="1:11" ht="19" customHeight="1">
      <c r="A8" s="18" t="s">
        <v>9</v>
      </c>
      <c r="B8" s="18" t="s">
        <v>57</v>
      </c>
      <c r="C8" s="18" t="s">
        <v>58</v>
      </c>
      <c r="D8" s="18" t="s">
        <v>10</v>
      </c>
      <c r="E8" s="18" t="s">
        <v>33</v>
      </c>
      <c r="F8" s="18" t="s">
        <v>55</v>
      </c>
      <c r="G8" s="23" t="s">
        <v>51</v>
      </c>
      <c r="H8" s="22">
        <v>1101493.21</v>
      </c>
      <c r="I8" s="27">
        <f>IF(COUNTIFS('Taux'!$A$6:$A$20,A8,'Taux'!$B$6:$B$20,D8)=1,SUMIFS('Taux'!$D$6:$D$20,'Taux'!$A$6:$A$20,A8,'Taux'!$B$6:$B$20,D8),"n.d.")</f>
        <v>1</v>
      </c>
      <c r="J8" s="22">
        <f>IF(COUNT(H8,I8)=2,H8/I8,"n.d.")</f>
        <v>1101493.21</v>
      </c>
      <c r="K8" s="18" t="s">
        <v>334</v>
      </c>
    </row>
    <row r="9" spans="1:11" ht="19" customHeight="1">
      <c r="A9" s="18" t="s">
        <v>9</v>
      </c>
      <c r="B9" s="18" t="s">
        <v>67</v>
      </c>
      <c r="C9" s="18" t="s">
        <v>68</v>
      </c>
      <c r="D9" s="18" t="s">
        <v>10</v>
      </c>
      <c r="E9" s="18" t="s">
        <v>33</v>
      </c>
      <c r="F9" s="18" t="s">
        <v>50</v>
      </c>
      <c r="G9" s="23" t="s">
        <v>51</v>
      </c>
      <c r="H9" s="22">
        <v>1613034.55</v>
      </c>
      <c r="I9" s="27">
        <f>IF(COUNTIFS('Taux'!$A$6:$A$20,A9,'Taux'!$B$6:$B$20,D9)=1,SUMIFS('Taux'!$D$6:$D$20,'Taux'!$A$6:$A$20,A9,'Taux'!$B$6:$B$20,D9),"n.d.")</f>
        <v>1</v>
      </c>
      <c r="J9" s="22">
        <f>IF(COUNT(H9,I9)=2,H9/I9,"n.d.")</f>
        <v>1613034.55</v>
      </c>
      <c r="K9" s="18" t="s">
        <v>335</v>
      </c>
    </row>
    <row r="10" spans="1:11" ht="19" customHeight="1">
      <c r="A10" s="18" t="s">
        <v>9</v>
      </c>
      <c r="B10" s="18" t="s">
        <v>67</v>
      </c>
      <c r="C10" s="18" t="s">
        <v>68</v>
      </c>
      <c r="D10" s="18" t="s">
        <v>10</v>
      </c>
      <c r="E10" s="18" t="s">
        <v>33</v>
      </c>
      <c r="F10" s="18" t="s">
        <v>53</v>
      </c>
      <c r="G10" s="23" t="s">
        <v>51</v>
      </c>
      <c r="H10" s="22">
        <v>1581195.84</v>
      </c>
      <c r="I10" s="27">
        <f>IF(COUNTIFS('Taux'!$A$6:$A$20,A10,'Taux'!$B$6:$B$20,D10)=1,SUMIFS('Taux'!$D$6:$D$20,'Taux'!$A$6:$A$20,A10,'Taux'!$B$6:$B$20,D10),"n.d.")</f>
        <v>1</v>
      </c>
      <c r="J10" s="22">
        <f>IF(COUNT(H10,I10)=2,H10/I10,"n.d.")</f>
        <v>1581195.84</v>
      </c>
      <c r="K10" s="18" t="s">
        <v>336</v>
      </c>
    </row>
    <row r="11" spans="1:11" ht="19" customHeight="1">
      <c r="A11" s="18" t="s">
        <v>9</v>
      </c>
      <c r="B11" s="18" t="s">
        <v>67</v>
      </c>
      <c r="C11" s="18" t="s">
        <v>68</v>
      </c>
      <c r="D11" s="18" t="s">
        <v>10</v>
      </c>
      <c r="E11" s="18" t="s">
        <v>33</v>
      </c>
      <c r="F11" s="18" t="s">
        <v>55</v>
      </c>
      <c r="G11" s="23" t="s">
        <v>51</v>
      </c>
      <c r="H11" s="22">
        <v>949880.78</v>
      </c>
      <c r="I11" s="27">
        <f>IF(COUNTIFS('Taux'!$A$6:$A$20,A11,'Taux'!$B$6:$B$20,D11)=1,SUMIFS('Taux'!$D$6:$D$20,'Taux'!$A$6:$A$20,A11,'Taux'!$B$6:$B$20,D11),"n.d.")</f>
        <v>1</v>
      </c>
      <c r="J11" s="22">
        <f>IF(COUNT(H11,I11)=2,H11/I11,"n.d.")</f>
        <v>949880.78</v>
      </c>
      <c r="K11" s="18" t="s">
        <v>337</v>
      </c>
    </row>
    <row r="12" spans="1:11" ht="19" customHeight="1">
      <c r="A12" s="18" t="s">
        <v>9</v>
      </c>
      <c r="B12" s="18" t="s">
        <v>86</v>
      </c>
      <c r="C12" s="18" t="s">
        <v>87</v>
      </c>
      <c r="D12" s="18" t="s">
        <v>10</v>
      </c>
      <c r="E12" s="18" t="s">
        <v>33</v>
      </c>
      <c r="F12" s="18" t="s">
        <v>50</v>
      </c>
      <c r="G12" s="23" t="s">
        <v>51</v>
      </c>
      <c r="H12" s="22">
        <v>6189.35</v>
      </c>
      <c r="I12" s="27">
        <f>IF(COUNTIFS('Taux'!$A$6:$A$20,A12,'Taux'!$B$6:$B$20,D12)=1,SUMIFS('Taux'!$D$6:$D$20,'Taux'!$A$6:$A$20,A12,'Taux'!$B$6:$B$20,D12),"n.d.")</f>
        <v>1</v>
      </c>
      <c r="J12" s="22">
        <f>IF(COUNT(H12,I12)=2,H12/I12,"n.d.")</f>
        <v>6189.35</v>
      </c>
      <c r="K12" s="18" t="s">
        <v>338</v>
      </c>
    </row>
    <row r="13" spans="1:11" ht="19" customHeight="1">
      <c r="A13" s="18" t="s">
        <v>9</v>
      </c>
      <c r="B13" s="18" t="s">
        <v>86</v>
      </c>
      <c r="C13" s="18" t="s">
        <v>87</v>
      </c>
      <c r="D13" s="18" t="s">
        <v>10</v>
      </c>
      <c r="E13" s="18" t="s">
        <v>33</v>
      </c>
      <c r="F13" s="18" t="s">
        <v>53</v>
      </c>
      <c r="G13" s="23" t="s">
        <v>51</v>
      </c>
      <c r="H13" s="22">
        <v>2419.39</v>
      </c>
      <c r="I13" s="27">
        <f>IF(COUNTIFS('Taux'!$A$6:$A$20,A13,'Taux'!$B$6:$B$20,D13)=1,SUMIFS('Taux'!$D$6:$D$20,'Taux'!$A$6:$A$20,A13,'Taux'!$B$6:$B$20,D13),"n.d.")</f>
        <v>1</v>
      </c>
      <c r="J13" s="22">
        <f>IF(COUNT(H13,I13)=2,H13/I13,"n.d.")</f>
        <v>2419.39</v>
      </c>
      <c r="K13" s="18" t="s">
        <v>339</v>
      </c>
    </row>
    <row r="14" spans="1:11" ht="19" customHeight="1">
      <c r="A14" s="18" t="s">
        <v>9</v>
      </c>
      <c r="B14" s="18" t="s">
        <v>86</v>
      </c>
      <c r="C14" s="18" t="s">
        <v>87</v>
      </c>
      <c r="D14" s="18" t="s">
        <v>10</v>
      </c>
      <c r="E14" s="18" t="s">
        <v>33</v>
      </c>
      <c r="F14" s="18" t="s">
        <v>55</v>
      </c>
      <c r="G14" s="23" t="s">
        <v>51</v>
      </c>
      <c r="H14" s="22">
        <v>31812.8</v>
      </c>
      <c r="I14" s="27">
        <f>IF(COUNTIFS('Taux'!$A$6:$A$20,A14,'Taux'!$B$6:$B$20,D14)=1,SUMIFS('Taux'!$D$6:$D$20,'Taux'!$A$6:$A$20,A14,'Taux'!$B$6:$B$20,D14),"n.d.")</f>
        <v>1</v>
      </c>
      <c r="J14" s="22">
        <f>IF(COUNT(H14,I14)=2,H14/I14,"n.d.")</f>
        <v>31812.8</v>
      </c>
      <c r="K14" s="18" t="s">
        <v>340</v>
      </c>
    </row>
    <row r="15" spans="1:11" ht="19" customHeight="1">
      <c r="A15" s="18" t="s">
        <v>9</v>
      </c>
      <c r="B15" s="18" t="s">
        <v>48</v>
      </c>
      <c r="C15" s="18" t="s">
        <v>49</v>
      </c>
      <c r="D15" s="18" t="s">
        <v>10</v>
      </c>
      <c r="E15" s="18" t="s">
        <v>33</v>
      </c>
      <c r="F15" s="18" t="s">
        <v>50</v>
      </c>
      <c r="G15" s="23" t="s">
        <v>51</v>
      </c>
      <c r="H15" s="22">
        <v>10137.63</v>
      </c>
      <c r="I15" s="27">
        <f>IF(COUNTIFS('Taux'!$A$6:$A$20,A15,'Taux'!$B$6:$B$20,D15)=1,SUMIFS('Taux'!$D$6:$D$20,'Taux'!$A$6:$A$20,A15,'Taux'!$B$6:$B$20,D15),"n.d.")</f>
        <v>1</v>
      </c>
      <c r="J15" s="22">
        <f>IF(COUNT(H15,I15)=2,H15/I15,"n.d.")</f>
        <v>10137.63</v>
      </c>
      <c r="K15" s="18" t="s">
        <v>341</v>
      </c>
    </row>
    <row r="16" spans="1:11" ht="19" customHeight="1">
      <c r="A16" s="18" t="s">
        <v>9</v>
      </c>
      <c r="B16" s="18" t="s">
        <v>48</v>
      </c>
      <c r="C16" s="18" t="s">
        <v>49</v>
      </c>
      <c r="D16" s="18" t="s">
        <v>10</v>
      </c>
      <c r="E16" s="18" t="s">
        <v>33</v>
      </c>
      <c r="F16" s="18" t="s">
        <v>53</v>
      </c>
      <c r="G16" s="23" t="s">
        <v>51</v>
      </c>
      <c r="H16" s="22">
        <v>56408.29</v>
      </c>
      <c r="I16" s="27">
        <f>IF(COUNTIFS('Taux'!$A$6:$A$20,A16,'Taux'!$B$6:$B$20,D16)=1,SUMIFS('Taux'!$D$6:$D$20,'Taux'!$A$6:$A$20,A16,'Taux'!$B$6:$B$20,D16),"n.d.")</f>
        <v>1</v>
      </c>
      <c r="J16" s="22">
        <f>IF(COUNT(H16,I16)=2,H16/I16,"n.d.")</f>
        <v>56408.29</v>
      </c>
      <c r="K16" s="18" t="s">
        <v>342</v>
      </c>
    </row>
    <row r="17" spans="1:11" ht="19" customHeight="1">
      <c r="A17" s="18" t="s">
        <v>9</v>
      </c>
      <c r="B17" s="18" t="s">
        <v>48</v>
      </c>
      <c r="C17" s="18" t="s">
        <v>49</v>
      </c>
      <c r="D17" s="18" t="s">
        <v>10</v>
      </c>
      <c r="E17" s="18" t="s">
        <v>33</v>
      </c>
      <c r="F17" s="18" t="s">
        <v>55</v>
      </c>
      <c r="G17" s="23" t="s">
        <v>51</v>
      </c>
      <c r="H17" s="22">
        <v>170641.08</v>
      </c>
      <c r="I17" s="27">
        <f>IF(COUNTIFS('Taux'!$A$6:$A$20,A17,'Taux'!$B$6:$B$20,D17)=1,SUMIFS('Taux'!$D$6:$D$20,'Taux'!$A$6:$A$20,A17,'Taux'!$B$6:$B$20,D17),"n.d.")</f>
        <v>1</v>
      </c>
      <c r="J17" s="22">
        <f>IF(COUNT(H17,I17)=2,H17/I17,"n.d.")</f>
        <v>170641.08</v>
      </c>
      <c r="K17" s="18" t="s">
        <v>343</v>
      </c>
    </row>
    <row r="18" spans="1:11" ht="19" customHeight="1">
      <c r="A18" s="18" t="s">
        <v>9</v>
      </c>
      <c r="B18" s="18" t="s">
        <v>72</v>
      </c>
      <c r="C18" s="18" t="s">
        <v>73</v>
      </c>
      <c r="D18" s="18" t="s">
        <v>10</v>
      </c>
      <c r="E18" s="18" t="s">
        <v>33</v>
      </c>
      <c r="F18" s="18" t="s">
        <v>50</v>
      </c>
      <c r="G18" s="23" t="s">
        <v>51</v>
      </c>
      <c r="H18" s="22">
        <v>1852194.77</v>
      </c>
      <c r="I18" s="27">
        <f>IF(COUNTIFS('Taux'!$A$6:$A$20,A18,'Taux'!$B$6:$B$20,D18)=1,SUMIFS('Taux'!$D$6:$D$20,'Taux'!$A$6:$A$20,A18,'Taux'!$B$6:$B$20,D18),"n.d.")</f>
        <v>1</v>
      </c>
      <c r="J18" s="22">
        <f>IF(COUNT(H18,I18)=2,H18/I18,"n.d.")</f>
        <v>1852194.77</v>
      </c>
      <c r="K18" s="18" t="s">
        <v>344</v>
      </c>
    </row>
    <row r="19" spans="1:11" ht="19" customHeight="1">
      <c r="A19" s="18" t="s">
        <v>9</v>
      </c>
      <c r="B19" s="18" t="s">
        <v>72</v>
      </c>
      <c r="C19" s="18" t="s">
        <v>73</v>
      </c>
      <c r="D19" s="18" t="s">
        <v>10</v>
      </c>
      <c r="E19" s="18" t="s">
        <v>33</v>
      </c>
      <c r="F19" s="18" t="s">
        <v>53</v>
      </c>
      <c r="G19" s="23" t="s">
        <v>51</v>
      </c>
      <c r="H19" s="22">
        <v>503868.5</v>
      </c>
      <c r="I19" s="27">
        <f>IF(COUNTIFS('Taux'!$A$6:$A$20,A19,'Taux'!$B$6:$B$20,D19)=1,SUMIFS('Taux'!$D$6:$D$20,'Taux'!$A$6:$A$20,A19,'Taux'!$B$6:$B$20,D19),"n.d.")</f>
        <v>1</v>
      </c>
      <c r="J19" s="22">
        <f>IF(COUNT(H19,I19)=2,H19/I19,"n.d.")</f>
        <v>503868.5</v>
      </c>
      <c r="K19" s="18" t="s">
        <v>345</v>
      </c>
    </row>
    <row r="20" spans="1:11" ht="19" customHeight="1">
      <c r="A20" s="18" t="s">
        <v>9</v>
      </c>
      <c r="B20" s="18" t="s">
        <v>72</v>
      </c>
      <c r="C20" s="18" t="s">
        <v>73</v>
      </c>
      <c r="D20" s="18" t="s">
        <v>10</v>
      </c>
      <c r="E20" s="18" t="s">
        <v>33</v>
      </c>
      <c r="F20" s="18" t="s">
        <v>55</v>
      </c>
      <c r="G20" s="23" t="s">
        <v>51</v>
      </c>
      <c r="H20" s="22">
        <v>692970.05</v>
      </c>
      <c r="I20" s="27">
        <f>IF(COUNTIFS('Taux'!$A$6:$A$20,A20,'Taux'!$B$6:$B$20,D20)=1,SUMIFS('Taux'!$D$6:$D$20,'Taux'!$A$6:$A$20,A20,'Taux'!$B$6:$B$20,D20),"n.d.")</f>
        <v>1</v>
      </c>
      <c r="J20" s="22">
        <f>IF(COUNT(H20,I20)=2,H20/I20,"n.d.")</f>
        <v>692970.05</v>
      </c>
      <c r="K20" s="18" t="s">
        <v>346</v>
      </c>
    </row>
    <row r="21" spans="1:11" ht="19" customHeight="1">
      <c r="A21" s="18" t="s">
        <v>9</v>
      </c>
      <c r="B21" s="18" t="s">
        <v>77</v>
      </c>
      <c r="C21" s="18" t="s">
        <v>78</v>
      </c>
      <c r="D21" s="18" t="s">
        <v>10</v>
      </c>
      <c r="E21" s="18" t="s">
        <v>33</v>
      </c>
      <c r="F21" s="18" t="s">
        <v>50</v>
      </c>
      <c r="G21" s="23" t="s">
        <v>51</v>
      </c>
      <c r="H21" s="22">
        <v>15440.99</v>
      </c>
      <c r="I21" s="27">
        <f>IF(COUNTIFS('Taux'!$A$6:$A$20,A21,'Taux'!$B$6:$B$20,D21)=1,SUMIFS('Taux'!$D$6:$D$20,'Taux'!$A$6:$A$20,A21,'Taux'!$B$6:$B$20,D21),"n.d.")</f>
        <v>1</v>
      </c>
      <c r="J21" s="22">
        <f>IF(COUNT(H21,I21)=2,H21/I21,"n.d.")</f>
        <v>15440.99</v>
      </c>
      <c r="K21" s="18" t="s">
        <v>347</v>
      </c>
    </row>
    <row r="22" spans="1:11" ht="19" customHeight="1">
      <c r="A22" s="18" t="s">
        <v>9</v>
      </c>
      <c r="B22" s="18" t="s">
        <v>77</v>
      </c>
      <c r="C22" s="18" t="s">
        <v>78</v>
      </c>
      <c r="D22" s="18" t="s">
        <v>10</v>
      </c>
      <c r="E22" s="18" t="s">
        <v>33</v>
      </c>
      <c r="F22" s="18" t="s">
        <v>53</v>
      </c>
      <c r="G22" s="23" t="s">
        <v>51</v>
      </c>
      <c r="H22" s="22">
        <v>192859.44</v>
      </c>
      <c r="I22" s="27">
        <f>IF(COUNTIFS('Taux'!$A$6:$A$20,A22,'Taux'!$B$6:$B$20,D22)=1,SUMIFS('Taux'!$D$6:$D$20,'Taux'!$A$6:$A$20,A22,'Taux'!$B$6:$B$20,D22),"n.d.")</f>
        <v>1</v>
      </c>
      <c r="J22" s="22">
        <f>IF(COUNT(H22,I22)=2,H22/I22,"n.d.")</f>
        <v>192859.44</v>
      </c>
      <c r="K22" s="18" t="s">
        <v>348</v>
      </c>
    </row>
    <row r="23" spans="1:11" ht="19" customHeight="1">
      <c r="A23" s="18" t="s">
        <v>9</v>
      </c>
      <c r="B23" s="18" t="s">
        <v>77</v>
      </c>
      <c r="C23" s="18" t="s">
        <v>78</v>
      </c>
      <c r="D23" s="18" t="s">
        <v>10</v>
      </c>
      <c r="E23" s="18" t="s">
        <v>33</v>
      </c>
      <c r="F23" s="18" t="s">
        <v>55</v>
      </c>
      <c r="G23" s="23" t="s">
        <v>51</v>
      </c>
      <c r="H23" s="22">
        <v>335957.45</v>
      </c>
      <c r="I23" s="27">
        <f>IF(COUNTIFS('Taux'!$A$6:$A$20,A23,'Taux'!$B$6:$B$20,D23)=1,SUMIFS('Taux'!$D$6:$D$20,'Taux'!$A$6:$A$20,A23,'Taux'!$B$6:$B$20,D23),"n.d.")</f>
        <v>1</v>
      </c>
      <c r="J23" s="22">
        <f>IF(COUNT(H23,I23)=2,H23/I23,"n.d.")</f>
        <v>335957.45</v>
      </c>
      <c r="K23" s="18" t="s">
        <v>349</v>
      </c>
    </row>
    <row r="24" spans="1:11" ht="19" customHeight="1">
      <c r="A24" s="18" t="s">
        <v>9</v>
      </c>
      <c r="B24" s="18" t="s">
        <v>62</v>
      </c>
      <c r="C24" s="18" t="s">
        <v>63</v>
      </c>
      <c r="D24" s="18" t="s">
        <v>10</v>
      </c>
      <c r="E24" s="18" t="s">
        <v>33</v>
      </c>
      <c r="F24" s="18" t="s">
        <v>50</v>
      </c>
      <c r="G24" s="23" t="s">
        <v>51</v>
      </c>
      <c r="H24" s="22">
        <v>69817.28</v>
      </c>
      <c r="I24" s="27">
        <f>IF(COUNTIFS('Taux'!$A$6:$A$20,A24,'Taux'!$B$6:$B$20,D24)=1,SUMIFS('Taux'!$D$6:$D$20,'Taux'!$A$6:$A$20,A24,'Taux'!$B$6:$B$20,D24),"n.d.")</f>
        <v>1</v>
      </c>
      <c r="J24" s="22">
        <f>IF(COUNT(H24,I24)=2,H24/I24,"n.d.")</f>
        <v>69817.28</v>
      </c>
      <c r="K24" s="18" t="s">
        <v>350</v>
      </c>
    </row>
    <row r="25" spans="1:11" ht="19" customHeight="1">
      <c r="A25" s="18" t="s">
        <v>9</v>
      </c>
      <c r="B25" s="18" t="s">
        <v>62</v>
      </c>
      <c r="C25" s="18" t="s">
        <v>63</v>
      </c>
      <c r="D25" s="18" t="s">
        <v>10</v>
      </c>
      <c r="E25" s="18" t="s">
        <v>33</v>
      </c>
      <c r="F25" s="18" t="s">
        <v>53</v>
      </c>
      <c r="G25" s="23" t="s">
        <v>51</v>
      </c>
      <c r="H25" s="22">
        <v>267460.69</v>
      </c>
      <c r="I25" s="27">
        <f>IF(COUNTIFS('Taux'!$A$6:$A$20,A25,'Taux'!$B$6:$B$20,D25)=1,SUMIFS('Taux'!$D$6:$D$20,'Taux'!$A$6:$A$20,A25,'Taux'!$B$6:$B$20,D25),"n.d.")</f>
        <v>1</v>
      </c>
      <c r="J25" s="22">
        <f>IF(COUNT(H25,I25)=2,H25/I25,"n.d.")</f>
        <v>267460.69</v>
      </c>
      <c r="K25" s="18" t="s">
        <v>351</v>
      </c>
    </row>
    <row r="26" spans="1:11" ht="19" customHeight="1">
      <c r="A26" s="18" t="s">
        <v>9</v>
      </c>
      <c r="B26" s="18" t="s">
        <v>62</v>
      </c>
      <c r="C26" s="18" t="s">
        <v>63</v>
      </c>
      <c r="D26" s="18" t="s">
        <v>10</v>
      </c>
      <c r="E26" s="18" t="s">
        <v>33</v>
      </c>
      <c r="F26" s="18" t="s">
        <v>55</v>
      </c>
      <c r="G26" s="23" t="s">
        <v>51</v>
      </c>
      <c r="H26" s="22">
        <v>3570742.93</v>
      </c>
      <c r="I26" s="27">
        <f>IF(COUNTIFS('Taux'!$A$6:$A$20,A26,'Taux'!$B$6:$B$20,D26)=1,SUMIFS('Taux'!$D$6:$D$20,'Taux'!$A$6:$A$20,A26,'Taux'!$B$6:$B$20,D26),"n.d.")</f>
        <v>1</v>
      </c>
      <c r="J26" s="22">
        <f>IF(COUNT(H26,I26)=2,H26/I26,"n.d.")</f>
        <v>3570742.93</v>
      </c>
      <c r="K26" s="18" t="s">
        <v>352</v>
      </c>
    </row>
    <row r="27" spans="1:11" ht="19" customHeight="1">
      <c r="A27" s="18" t="s">
        <v>9</v>
      </c>
      <c r="B27" s="18" t="s">
        <v>82</v>
      </c>
      <c r="C27" s="18" t="s">
        <v>82</v>
      </c>
      <c r="D27" s="18" t="s">
        <v>19</v>
      </c>
      <c r="E27" s="18" t="s">
        <v>33</v>
      </c>
      <c r="F27" s="18" t="s">
        <v>50</v>
      </c>
      <c r="G27" s="23" t="s">
        <v>51</v>
      </c>
      <c r="H27" s="23" t="s">
        <v>51</v>
      </c>
      <c r="I27" s="27" t="str">
        <f>IF(COUNTIFS('Taux'!$A$6:$A$20,A27,'Taux'!$B$6:$B$20,D27)=1,SUMIFS('Taux'!$D$6:$D$20,'Taux'!$A$6:$A$20,A27,'Taux'!$B$6:$B$20,D27),"n.d.")</f>
        <v>n.d.</v>
      </c>
      <c r="J27" s="22" t="str">
        <f>IF(COUNT(H27,I27)=2,H27/I27,"n.d.")</f>
        <v>n.d.</v>
      </c>
      <c r="K27" s="18" t="s">
        <v>353</v>
      </c>
    </row>
    <row r="28" spans="1:11" ht="19" customHeight="1">
      <c r="A28" s="18" t="s">
        <v>9</v>
      </c>
      <c r="B28" s="18" t="s">
        <v>82</v>
      </c>
      <c r="C28" s="18" t="s">
        <v>82</v>
      </c>
      <c r="D28" s="18" t="s">
        <v>19</v>
      </c>
      <c r="E28" s="18" t="s">
        <v>33</v>
      </c>
      <c r="F28" s="18" t="s">
        <v>53</v>
      </c>
      <c r="G28" s="23" t="s">
        <v>51</v>
      </c>
      <c r="H28" s="23" t="s">
        <v>51</v>
      </c>
      <c r="I28" s="27" t="str">
        <f>IF(COUNTIFS('Taux'!$A$6:$A$20,A28,'Taux'!$B$6:$B$20,D28)=1,SUMIFS('Taux'!$D$6:$D$20,'Taux'!$A$6:$A$20,A28,'Taux'!$B$6:$B$20,D28),"n.d.")</f>
        <v>n.d.</v>
      </c>
      <c r="J28" s="22" t="str">
        <f>IF(COUNT(H28,I28)=2,H28/I28,"n.d.")</f>
        <v>n.d.</v>
      </c>
      <c r="K28" s="18" t="s">
        <v>354</v>
      </c>
    </row>
    <row r="29" spans="1:11" ht="19" customHeight="1">
      <c r="A29" s="18" t="s">
        <v>9</v>
      </c>
      <c r="B29" s="18" t="s">
        <v>82</v>
      </c>
      <c r="C29" s="18" t="s">
        <v>82</v>
      </c>
      <c r="D29" s="18" t="s">
        <v>19</v>
      </c>
      <c r="E29" s="18" t="s">
        <v>33</v>
      </c>
      <c r="F29" s="18" t="s">
        <v>55</v>
      </c>
      <c r="G29" s="23" t="s">
        <v>51</v>
      </c>
      <c r="H29" s="23" t="s">
        <v>51</v>
      </c>
      <c r="I29" s="27" t="str">
        <f>IF(COUNTIFS('Taux'!$A$6:$A$20,A29,'Taux'!$B$6:$B$20,D29)=1,SUMIFS('Taux'!$D$6:$D$20,'Taux'!$A$6:$A$20,A29,'Taux'!$B$6:$B$20,D29),"n.d.")</f>
        <v>n.d.</v>
      </c>
      <c r="J29" s="22" t="str">
        <f>IF(COUNT(H29,I29)=2,H29/I29,"n.d.")</f>
        <v>n.d.</v>
      </c>
      <c r="K29" s="18" t="s">
        <v>355</v>
      </c>
    </row>
    <row r="30" spans="1:11" ht="19" customHeight="1">
      <c r="A30" s="18" t="s">
        <v>9</v>
      </c>
      <c r="B30" s="18" t="s">
        <v>111</v>
      </c>
      <c r="C30" s="18" t="s">
        <v>112</v>
      </c>
      <c r="D30" s="18" t="s">
        <v>25</v>
      </c>
      <c r="E30" s="18" t="s">
        <v>33</v>
      </c>
      <c r="F30" s="18" t="s">
        <v>50</v>
      </c>
      <c r="G30" s="23" t="s">
        <v>51</v>
      </c>
      <c r="H30" s="23" t="s">
        <v>51</v>
      </c>
      <c r="I30" s="27" t="str">
        <f>IF(COUNTIFS('Taux'!$A$6:$A$20,A30,'Taux'!$B$6:$B$20,D30)=1,SUMIFS('Taux'!$D$6:$D$20,'Taux'!$A$6:$A$20,A30,'Taux'!$B$6:$B$20,D30),"n.d.")</f>
        <v>n.d.</v>
      </c>
      <c r="J30" s="22" t="str">
        <f>IF(COUNT(H30,I30)=2,H30/I30,"n.d.")</f>
        <v>n.d.</v>
      </c>
      <c r="K30" s="18" t="s">
        <v>356</v>
      </c>
    </row>
    <row r="31" spans="1:11" ht="19" customHeight="1">
      <c r="A31" s="18" t="s">
        <v>9</v>
      </c>
      <c r="B31" s="18" t="s">
        <v>111</v>
      </c>
      <c r="C31" s="18" t="s">
        <v>112</v>
      </c>
      <c r="D31" s="18" t="s">
        <v>25</v>
      </c>
      <c r="E31" s="18" t="s">
        <v>33</v>
      </c>
      <c r="F31" s="18" t="s">
        <v>53</v>
      </c>
      <c r="G31" s="23" t="s">
        <v>51</v>
      </c>
      <c r="H31" s="23" t="s">
        <v>51</v>
      </c>
      <c r="I31" s="27" t="str">
        <f>IF(COUNTIFS('Taux'!$A$6:$A$20,A31,'Taux'!$B$6:$B$20,D31)=1,SUMIFS('Taux'!$D$6:$D$20,'Taux'!$A$6:$A$20,A31,'Taux'!$B$6:$B$20,D31),"n.d.")</f>
        <v>n.d.</v>
      </c>
      <c r="J31" s="22" t="str">
        <f>IF(COUNT(H31,I31)=2,H31/I31,"n.d.")</f>
        <v>n.d.</v>
      </c>
      <c r="K31" s="18" t="s">
        <v>357</v>
      </c>
    </row>
    <row r="32" spans="1:11" ht="19" customHeight="1">
      <c r="A32" s="18" t="s">
        <v>9</v>
      </c>
      <c r="B32" s="18" t="s">
        <v>111</v>
      </c>
      <c r="C32" s="18" t="s">
        <v>112</v>
      </c>
      <c r="D32" s="18" t="s">
        <v>25</v>
      </c>
      <c r="E32" s="18" t="s">
        <v>33</v>
      </c>
      <c r="F32" s="18" t="s">
        <v>55</v>
      </c>
      <c r="G32" s="23" t="s">
        <v>51</v>
      </c>
      <c r="H32" s="23" t="s">
        <v>51</v>
      </c>
      <c r="I32" s="27" t="str">
        <f>IF(COUNTIFS('Taux'!$A$6:$A$20,A32,'Taux'!$B$6:$B$20,D32)=1,SUMIFS('Taux'!$D$6:$D$20,'Taux'!$A$6:$A$20,A32,'Taux'!$B$6:$B$20,D32),"n.d.")</f>
        <v>n.d.</v>
      </c>
      <c r="J32" s="22" t="str">
        <f>IF(COUNT(H32,I32)=2,H32/I32,"n.d.")</f>
        <v>n.d.</v>
      </c>
      <c r="K32" s="18" t="s">
        <v>358</v>
      </c>
    </row>
    <row r="33" spans="1:11" ht="19" customHeight="1">
      <c r="A33" s="18" t="s">
        <v>9</v>
      </c>
      <c r="B33" s="18" t="s">
        <v>359</v>
      </c>
      <c r="C33" s="18" t="s">
        <v>360</v>
      </c>
      <c r="D33" s="18" t="s">
        <v>10</v>
      </c>
      <c r="E33" s="18" t="s">
        <v>33</v>
      </c>
      <c r="F33" s="18" t="s">
        <v>50</v>
      </c>
      <c r="G33" s="23" t="s">
        <v>51</v>
      </c>
      <c r="H33" s="22">
        <v>483.369</v>
      </c>
      <c r="I33" s="27">
        <f>IF(COUNTIFS('Taux'!$A$6:$A$20,A33,'Taux'!$B$6:$B$20,D33)=1,SUMIFS('Taux'!$D$6:$D$20,'Taux'!$A$6:$A$20,A33,'Taux'!$B$6:$B$20,D33),"n.d.")</f>
        <v>1</v>
      </c>
      <c r="J33" s="22">
        <f>IF(COUNT(H33,I33)=2,H33/I33,"n.d.")</f>
        <v>483.369</v>
      </c>
      <c r="K33" s="18" t="s">
        <v>361</v>
      </c>
    </row>
    <row r="34" spans="1:11" ht="19" customHeight="1">
      <c r="A34" s="18" t="s">
        <v>9</v>
      </c>
      <c r="B34" s="18" t="s">
        <v>359</v>
      </c>
      <c r="C34" s="18" t="s">
        <v>360</v>
      </c>
      <c r="D34" s="18" t="s">
        <v>10</v>
      </c>
      <c r="E34" s="18" t="s">
        <v>33</v>
      </c>
      <c r="F34" s="18" t="s">
        <v>53</v>
      </c>
      <c r="G34" s="23" t="s">
        <v>51</v>
      </c>
      <c r="H34" s="22">
        <v>9633.6484</v>
      </c>
      <c r="I34" s="27">
        <f>IF(COUNTIFS('Taux'!$A$6:$A$20,A34,'Taux'!$B$6:$B$20,D34)=1,SUMIFS('Taux'!$D$6:$D$20,'Taux'!$A$6:$A$20,A34,'Taux'!$B$6:$B$20,D34),"n.d.")</f>
        <v>1</v>
      </c>
      <c r="J34" s="22">
        <f>IF(COUNT(H34,I34)=2,H34/I34,"n.d.")</f>
        <v>9633.6484</v>
      </c>
      <c r="K34" s="18" t="s">
        <v>362</v>
      </c>
    </row>
    <row r="35" spans="1:11" ht="19" customHeight="1">
      <c r="A35" s="18" t="s">
        <v>9</v>
      </c>
      <c r="B35" s="18" t="s">
        <v>359</v>
      </c>
      <c r="C35" s="18" t="s">
        <v>360</v>
      </c>
      <c r="D35" s="18" t="s">
        <v>10</v>
      </c>
      <c r="E35" s="18" t="s">
        <v>33</v>
      </c>
      <c r="F35" s="18" t="s">
        <v>55</v>
      </c>
      <c r="G35" s="23" t="s">
        <v>51</v>
      </c>
      <c r="H35" s="22">
        <v>43608.3842</v>
      </c>
      <c r="I35" s="27">
        <f>IF(COUNTIFS('Taux'!$A$6:$A$20,A35,'Taux'!$B$6:$B$20,D35)=1,SUMIFS('Taux'!$D$6:$D$20,'Taux'!$A$6:$A$20,A35,'Taux'!$B$6:$B$20,D35),"n.d.")</f>
        <v>1</v>
      </c>
      <c r="J35" s="22">
        <f>IF(COUNT(H35,I35)=2,H35/I35,"n.d.")</f>
        <v>43608.3842</v>
      </c>
      <c r="K35" s="18" t="s">
        <v>363</v>
      </c>
    </row>
    <row r="36" spans="1:11" ht="19" customHeight="1">
      <c r="A36" s="18" t="s">
        <v>9</v>
      </c>
      <c r="B36" s="18" t="s">
        <v>233</v>
      </c>
      <c r="C36" s="18" t="s">
        <v>234</v>
      </c>
      <c r="D36" s="18" t="s">
        <v>14</v>
      </c>
      <c r="E36" s="18" t="s">
        <v>33</v>
      </c>
      <c r="F36" s="18" t="s">
        <v>50</v>
      </c>
      <c r="G36" s="23" t="s">
        <v>51</v>
      </c>
      <c r="H36" s="23" t="s">
        <v>51</v>
      </c>
      <c r="I36" s="27" t="str">
        <f>IF(COUNTIFS('Taux'!$A$6:$A$20,A36,'Taux'!$B$6:$B$20,D36)=1,SUMIFS('Taux'!$D$6:$D$20,'Taux'!$A$6:$A$20,A36,'Taux'!$B$6:$B$20,D36),"n.d.")</f>
        <v>n.d.</v>
      </c>
      <c r="J36" s="22" t="str">
        <f>IF(COUNT(H36,I36)=2,H36/I36,"n.d.")</f>
        <v>n.d.</v>
      </c>
      <c r="K36" s="18" t="s">
        <v>364</v>
      </c>
    </row>
    <row r="37" spans="1:11" ht="19" customHeight="1">
      <c r="A37" s="18" t="s">
        <v>9</v>
      </c>
      <c r="B37" s="18" t="s">
        <v>233</v>
      </c>
      <c r="C37" s="18" t="s">
        <v>234</v>
      </c>
      <c r="D37" s="18" t="s">
        <v>14</v>
      </c>
      <c r="E37" s="18" t="s">
        <v>33</v>
      </c>
      <c r="F37" s="18" t="s">
        <v>53</v>
      </c>
      <c r="G37" s="23" t="s">
        <v>51</v>
      </c>
      <c r="H37" s="23" t="s">
        <v>51</v>
      </c>
      <c r="I37" s="27" t="str">
        <f>IF(COUNTIFS('Taux'!$A$6:$A$20,A37,'Taux'!$B$6:$B$20,D37)=1,SUMIFS('Taux'!$D$6:$D$20,'Taux'!$A$6:$A$20,A37,'Taux'!$B$6:$B$20,D37),"n.d.")</f>
        <v>n.d.</v>
      </c>
      <c r="J37" s="22" t="str">
        <f>IF(COUNT(H37,I37)=2,H37/I37,"n.d.")</f>
        <v>n.d.</v>
      </c>
      <c r="K37" s="18" t="s">
        <v>365</v>
      </c>
    </row>
    <row r="38" spans="1:11" ht="19" customHeight="1">
      <c r="A38" s="18" t="s">
        <v>9</v>
      </c>
      <c r="B38" s="18" t="s">
        <v>233</v>
      </c>
      <c r="C38" s="18" t="s">
        <v>234</v>
      </c>
      <c r="D38" s="18" t="s">
        <v>14</v>
      </c>
      <c r="E38" s="18" t="s">
        <v>33</v>
      </c>
      <c r="F38" s="18" t="s">
        <v>55</v>
      </c>
      <c r="G38" s="23" t="s">
        <v>51</v>
      </c>
      <c r="H38" s="23" t="s">
        <v>51</v>
      </c>
      <c r="I38" s="27" t="str">
        <f>IF(COUNTIFS('Taux'!$A$6:$A$20,A38,'Taux'!$B$6:$B$20,D38)=1,SUMIFS('Taux'!$D$6:$D$20,'Taux'!$A$6:$A$20,A38,'Taux'!$B$6:$B$20,D38),"n.d.")</f>
        <v>n.d.</v>
      </c>
      <c r="J38" s="22" t="str">
        <f>IF(COUNT(H38,I38)=2,H38/I38,"n.d.")</f>
        <v>n.d.</v>
      </c>
      <c r="K38" s="18" t="s">
        <v>366</v>
      </c>
    </row>
    <row r="39" spans="1:11" ht="19" customHeight="1">
      <c r="A39" s="18" t="s">
        <v>9</v>
      </c>
      <c r="B39" s="18" t="s">
        <v>91</v>
      </c>
      <c r="C39" s="18" t="s">
        <v>92</v>
      </c>
      <c r="D39" s="18" t="s">
        <v>16</v>
      </c>
      <c r="E39" s="18" t="s">
        <v>33</v>
      </c>
      <c r="F39" s="18" t="s">
        <v>50</v>
      </c>
      <c r="G39" s="23" t="s">
        <v>51</v>
      </c>
      <c r="H39" s="23" t="s">
        <v>51</v>
      </c>
      <c r="I39" s="27" t="str">
        <f>IF(COUNTIFS('Taux'!$A$6:$A$20,A39,'Taux'!$B$6:$B$20,D39)=1,SUMIFS('Taux'!$D$6:$D$20,'Taux'!$A$6:$A$20,A39,'Taux'!$B$6:$B$20,D39),"n.d.")</f>
        <v>n.d.</v>
      </c>
      <c r="J39" s="22" t="str">
        <f>IF(COUNT(H39,I39)=2,H39/I39,"n.d.")</f>
        <v>n.d.</v>
      </c>
      <c r="K39" s="18" t="s">
        <v>367</v>
      </c>
    </row>
    <row r="40" spans="1:11" ht="19" customHeight="1">
      <c r="A40" s="18" t="s">
        <v>9</v>
      </c>
      <c r="B40" s="18" t="s">
        <v>91</v>
      </c>
      <c r="C40" s="18" t="s">
        <v>92</v>
      </c>
      <c r="D40" s="18" t="s">
        <v>16</v>
      </c>
      <c r="E40" s="18" t="s">
        <v>33</v>
      </c>
      <c r="F40" s="18" t="s">
        <v>53</v>
      </c>
      <c r="G40" s="23" t="s">
        <v>51</v>
      </c>
      <c r="H40" s="23" t="s">
        <v>51</v>
      </c>
      <c r="I40" s="27" t="str">
        <f>IF(COUNTIFS('Taux'!$A$6:$A$20,A40,'Taux'!$B$6:$B$20,D40)=1,SUMIFS('Taux'!$D$6:$D$20,'Taux'!$A$6:$A$20,A40,'Taux'!$B$6:$B$20,D40),"n.d.")</f>
        <v>n.d.</v>
      </c>
      <c r="J40" s="22" t="str">
        <f>IF(COUNT(H40,I40)=2,H40/I40,"n.d.")</f>
        <v>n.d.</v>
      </c>
      <c r="K40" s="18" t="s">
        <v>368</v>
      </c>
    </row>
    <row r="41" spans="1:11" ht="19" customHeight="1">
      <c r="A41" s="18" t="s">
        <v>9</v>
      </c>
      <c r="B41" s="18" t="s">
        <v>91</v>
      </c>
      <c r="C41" s="18" t="s">
        <v>92</v>
      </c>
      <c r="D41" s="18" t="s">
        <v>16</v>
      </c>
      <c r="E41" s="18" t="s">
        <v>33</v>
      </c>
      <c r="F41" s="18" t="s">
        <v>55</v>
      </c>
      <c r="G41" s="23" t="s">
        <v>51</v>
      </c>
      <c r="H41" s="23" t="s">
        <v>51</v>
      </c>
      <c r="I41" s="27" t="str">
        <f>IF(COUNTIFS('Taux'!$A$6:$A$20,A41,'Taux'!$B$6:$B$20,D41)=1,SUMIFS('Taux'!$D$6:$D$20,'Taux'!$A$6:$A$20,A41,'Taux'!$B$6:$B$20,D41),"n.d.")</f>
        <v>n.d.</v>
      </c>
      <c r="J41" s="22" t="str">
        <f>IF(COUNT(H41,I41)=2,H41/I41,"n.d.")</f>
        <v>n.d.</v>
      </c>
      <c r="K41" s="18" t="s">
        <v>369</v>
      </c>
    </row>
    <row r="42" spans="1:11" ht="19" customHeight="1">
      <c r="A42" s="18" t="s">
        <v>9</v>
      </c>
      <c r="B42" s="18" t="s">
        <v>99</v>
      </c>
      <c r="C42" s="18" t="s">
        <v>100</v>
      </c>
      <c r="D42" s="18" t="s">
        <v>21</v>
      </c>
      <c r="E42" s="18" t="s">
        <v>33</v>
      </c>
      <c r="F42" s="18" t="s">
        <v>50</v>
      </c>
      <c r="G42" s="23" t="s">
        <v>51</v>
      </c>
      <c r="H42" s="23" t="s">
        <v>51</v>
      </c>
      <c r="I42" s="27" t="str">
        <f>IF(COUNTIFS('Taux'!$A$6:$A$20,A42,'Taux'!$B$6:$B$20,D42)=1,SUMIFS('Taux'!$D$6:$D$20,'Taux'!$A$6:$A$20,A42,'Taux'!$B$6:$B$20,D42),"n.d.")</f>
        <v>n.d.</v>
      </c>
      <c r="J42" s="22" t="str">
        <f>IF(COUNT(H42,I42)=2,H42/I42,"n.d.")</f>
        <v>n.d.</v>
      </c>
      <c r="K42" s="18" t="s">
        <v>370</v>
      </c>
    </row>
    <row r="43" spans="1:11" ht="19" customHeight="1">
      <c r="A43" s="18" t="s">
        <v>9</v>
      </c>
      <c r="B43" s="18" t="s">
        <v>99</v>
      </c>
      <c r="C43" s="18" t="s">
        <v>100</v>
      </c>
      <c r="D43" s="18" t="s">
        <v>21</v>
      </c>
      <c r="E43" s="18" t="s">
        <v>33</v>
      </c>
      <c r="F43" s="18" t="s">
        <v>53</v>
      </c>
      <c r="G43" s="23" t="s">
        <v>51</v>
      </c>
      <c r="H43" s="23" t="s">
        <v>51</v>
      </c>
      <c r="I43" s="27" t="str">
        <f>IF(COUNTIFS('Taux'!$A$6:$A$20,A43,'Taux'!$B$6:$B$20,D43)=1,SUMIFS('Taux'!$D$6:$D$20,'Taux'!$A$6:$A$20,A43,'Taux'!$B$6:$B$20,D43),"n.d.")</f>
        <v>n.d.</v>
      </c>
      <c r="J43" s="22" t="str">
        <f>IF(COUNT(H43,I43)=2,H43/I43,"n.d.")</f>
        <v>n.d.</v>
      </c>
      <c r="K43" s="18" t="s">
        <v>371</v>
      </c>
    </row>
    <row r="44" spans="1:11" ht="19" customHeight="1">
      <c r="A44" s="18" t="s">
        <v>9</v>
      </c>
      <c r="B44" s="18" t="s">
        <v>99</v>
      </c>
      <c r="C44" s="18" t="s">
        <v>100</v>
      </c>
      <c r="D44" s="18" t="s">
        <v>21</v>
      </c>
      <c r="E44" s="18" t="s">
        <v>33</v>
      </c>
      <c r="F44" s="18" t="s">
        <v>55</v>
      </c>
      <c r="G44" s="23" t="s">
        <v>51</v>
      </c>
      <c r="H44" s="23" t="s">
        <v>51</v>
      </c>
      <c r="I44" s="27" t="str">
        <f>IF(COUNTIFS('Taux'!$A$6:$A$20,A44,'Taux'!$B$6:$B$20,D44)=1,SUMIFS('Taux'!$D$6:$D$20,'Taux'!$A$6:$A$20,A44,'Taux'!$B$6:$B$20,D44),"n.d.")</f>
        <v>n.d.</v>
      </c>
      <c r="J44" s="22" t="str">
        <f>IF(COUNT(H44,I44)=2,H44/I44,"n.d.")</f>
        <v>n.d.</v>
      </c>
      <c r="K44" s="18" t="s">
        <v>372</v>
      </c>
    </row>
    <row r="45" spans="1:11" ht="19" customHeight="1">
      <c r="A45" s="18" t="s">
        <v>9</v>
      </c>
      <c r="B45" s="18" t="s">
        <v>105</v>
      </c>
      <c r="C45" s="18" t="s">
        <v>106</v>
      </c>
      <c r="D45" s="18" t="s">
        <v>23</v>
      </c>
      <c r="E45" s="18" t="s">
        <v>33</v>
      </c>
      <c r="F45" s="18" t="s">
        <v>50</v>
      </c>
      <c r="G45" s="23" t="s">
        <v>51</v>
      </c>
      <c r="H45" s="23" t="s">
        <v>51</v>
      </c>
      <c r="I45" s="27" t="str">
        <f>IF(COUNTIFS('Taux'!$A$6:$A$20,A45,'Taux'!$B$6:$B$20,D45)=1,SUMIFS('Taux'!$D$6:$D$20,'Taux'!$A$6:$A$20,A45,'Taux'!$B$6:$B$20,D45),"n.d.")</f>
        <v>n.d.</v>
      </c>
      <c r="J45" s="22" t="str">
        <f>IF(COUNT(H45,I45)=2,H45/I45,"n.d.")</f>
        <v>n.d.</v>
      </c>
      <c r="K45" s="18" t="s">
        <v>373</v>
      </c>
    </row>
    <row r="46" spans="1:11" ht="19" customHeight="1">
      <c r="A46" s="18" t="s">
        <v>9</v>
      </c>
      <c r="B46" s="18" t="s">
        <v>105</v>
      </c>
      <c r="C46" s="18" t="s">
        <v>106</v>
      </c>
      <c r="D46" s="18" t="s">
        <v>23</v>
      </c>
      <c r="E46" s="18" t="s">
        <v>33</v>
      </c>
      <c r="F46" s="18" t="s">
        <v>53</v>
      </c>
      <c r="G46" s="23" t="s">
        <v>51</v>
      </c>
      <c r="H46" s="23" t="s">
        <v>51</v>
      </c>
      <c r="I46" s="27" t="str">
        <f>IF(COUNTIFS('Taux'!$A$6:$A$20,A46,'Taux'!$B$6:$B$20,D46)=1,SUMIFS('Taux'!$D$6:$D$20,'Taux'!$A$6:$A$20,A46,'Taux'!$B$6:$B$20,D46),"n.d.")</f>
        <v>n.d.</v>
      </c>
      <c r="J46" s="22" t="str">
        <f>IF(COUNT(H46,I46)=2,H46/I46,"n.d.")</f>
        <v>n.d.</v>
      </c>
      <c r="K46" s="18" t="s">
        <v>374</v>
      </c>
    </row>
    <row r="47" spans="1:11" ht="19" customHeight="1">
      <c r="A47" s="18" t="s">
        <v>9</v>
      </c>
      <c r="B47" s="18" t="s">
        <v>105</v>
      </c>
      <c r="C47" s="18" t="s">
        <v>106</v>
      </c>
      <c r="D47" s="18" t="s">
        <v>23</v>
      </c>
      <c r="E47" s="18" t="s">
        <v>33</v>
      </c>
      <c r="F47" s="18" t="s">
        <v>55</v>
      </c>
      <c r="G47" s="23" t="s">
        <v>51</v>
      </c>
      <c r="H47" s="23" t="s">
        <v>51</v>
      </c>
      <c r="I47" s="27" t="str">
        <f>IF(COUNTIFS('Taux'!$A$6:$A$20,A47,'Taux'!$B$6:$B$20,D47)=1,SUMIFS('Taux'!$D$6:$D$20,'Taux'!$A$6:$A$20,A47,'Taux'!$B$6:$B$20,D47),"n.d.")</f>
        <v>n.d.</v>
      </c>
      <c r="J47" s="22" t="str">
        <f>IF(COUNT(H47,I47)=2,H47/I47,"n.d.")</f>
        <v>n.d.</v>
      </c>
      <c r="K47" s="18" t="s">
        <v>375</v>
      </c>
    </row>
    <row r="48" spans="1:11" ht="19" customHeight="1">
      <c r="A48" s="18" t="s">
        <v>13</v>
      </c>
      <c r="B48" s="18" t="s">
        <v>48</v>
      </c>
      <c r="C48" s="18" t="s">
        <v>49</v>
      </c>
      <c r="D48" s="18" t="s">
        <v>10</v>
      </c>
      <c r="E48" s="18" t="s">
        <v>376</v>
      </c>
      <c r="F48" s="18" t="s">
        <v>377</v>
      </c>
      <c r="G48" s="26">
        <v>11</v>
      </c>
      <c r="H48" s="22">
        <v>4</v>
      </c>
      <c r="I48" s="27">
        <f>IF(COUNTIFS('Taux'!$A$6:$A$20,A48,'Taux'!$B$6:$B$20,D48)=1,SUMIFS('Taux'!$D$6:$D$20,'Taux'!$A$6:$A$20,A48,'Taux'!$B$6:$B$20,D48),"n.d.")</f>
        <v>1</v>
      </c>
      <c r="J48" s="22">
        <f>IF(COUNT(H48,I48)=2,H48/I48,"n.d.")</f>
        <v>4.0</v>
      </c>
      <c r="K48" s="18" t="s">
        <v>378</v>
      </c>
    </row>
    <row r="49" spans="1:11" ht="19" customHeight="1">
      <c r="A49" s="18" t="s">
        <v>13</v>
      </c>
      <c r="B49" s="18" t="s">
        <v>48</v>
      </c>
      <c r="C49" s="18" t="s">
        <v>49</v>
      </c>
      <c r="D49" s="18" t="s">
        <v>10</v>
      </c>
      <c r="E49" s="18" t="s">
        <v>376</v>
      </c>
      <c r="F49" s="18" t="s">
        <v>379</v>
      </c>
      <c r="G49" s="26">
        <v>12</v>
      </c>
      <c r="H49" s="22">
        <v>67</v>
      </c>
      <c r="I49" s="27">
        <f>IF(COUNTIFS('Taux'!$A$6:$A$20,A49,'Taux'!$B$6:$B$20,D49)=1,SUMIFS('Taux'!$D$6:$D$20,'Taux'!$A$6:$A$20,A49,'Taux'!$B$6:$B$20,D49),"n.d.")</f>
        <v>1</v>
      </c>
      <c r="J49" s="22">
        <f>IF(COUNT(H49,I49)=2,H49/I49,"n.d.")</f>
        <v>67.0</v>
      </c>
      <c r="K49" s="18" t="s">
        <v>380</v>
      </c>
    </row>
    <row r="50" spans="1:11" ht="19" customHeight="1">
      <c r="A50" s="18" t="s">
        <v>13</v>
      </c>
      <c r="B50" s="18" t="s">
        <v>48</v>
      </c>
      <c r="C50" s="18" t="s">
        <v>49</v>
      </c>
      <c r="D50" s="18" t="s">
        <v>10</v>
      </c>
      <c r="E50" s="18" t="s">
        <v>376</v>
      </c>
      <c r="F50" s="18" t="s">
        <v>381</v>
      </c>
      <c r="G50" s="26">
        <v>79</v>
      </c>
      <c r="H50" s="22">
        <v>3911</v>
      </c>
      <c r="I50" s="27">
        <f>IF(COUNTIFS('Taux'!$A$6:$A$20,A50,'Taux'!$B$6:$B$20,D50)=1,SUMIFS('Taux'!$D$6:$D$20,'Taux'!$A$6:$A$20,A50,'Taux'!$B$6:$B$20,D50),"n.d.")</f>
        <v>1</v>
      </c>
      <c r="J50" s="22">
        <f>IF(COUNT(H50,I50)=2,H50/I50,"n.d.")</f>
        <v>3911.0</v>
      </c>
      <c r="K50" s="18" t="s">
        <v>382</v>
      </c>
    </row>
    <row r="51" spans="1:11" ht="19" customHeight="1">
      <c r="A51" s="18" t="s">
        <v>13</v>
      </c>
      <c r="B51" s="18" t="s">
        <v>48</v>
      </c>
      <c r="C51" s="18" t="s">
        <v>49</v>
      </c>
      <c r="D51" s="18" t="s">
        <v>10</v>
      </c>
      <c r="E51" s="18" t="s">
        <v>376</v>
      </c>
      <c r="F51" s="18" t="s">
        <v>383</v>
      </c>
      <c r="G51" s="26">
        <v>179</v>
      </c>
      <c r="H51" s="22">
        <v>54979</v>
      </c>
      <c r="I51" s="27">
        <f>IF(COUNTIFS('Taux'!$A$6:$A$20,A51,'Taux'!$B$6:$B$20,D51)=1,SUMIFS('Taux'!$D$6:$D$20,'Taux'!$A$6:$A$20,A51,'Taux'!$B$6:$B$20,D51),"n.d.")</f>
        <v>1</v>
      </c>
      <c r="J51" s="22">
        <f>IF(COUNT(H51,I51)=2,H51/I51,"n.d.")</f>
        <v>54979.0</v>
      </c>
      <c r="K51" s="18" t="s">
        <v>384</v>
      </c>
    </row>
    <row r="52" spans="1:11" ht="19" customHeight="1">
      <c r="A52" s="18" t="s">
        <v>13</v>
      </c>
      <c r="B52" s="18" t="s">
        <v>48</v>
      </c>
      <c r="C52" s="18" t="s">
        <v>49</v>
      </c>
      <c r="D52" s="18" t="s">
        <v>10</v>
      </c>
      <c r="E52" s="18" t="s">
        <v>376</v>
      </c>
      <c r="F52" s="18" t="s">
        <v>385</v>
      </c>
      <c r="G52" s="26">
        <v>14</v>
      </c>
      <c r="H52" s="22">
        <v>77704</v>
      </c>
      <c r="I52" s="27">
        <f>IF(COUNTIFS('Taux'!$A$6:$A$20,A52,'Taux'!$B$6:$B$20,D52)=1,SUMIFS('Taux'!$D$6:$D$20,'Taux'!$A$6:$A$20,A52,'Taux'!$B$6:$B$20,D52),"n.d.")</f>
        <v>1</v>
      </c>
      <c r="J52" s="22">
        <f>IF(COUNT(H52,I52)=2,H52/I52,"n.d.")</f>
        <v>77704.0</v>
      </c>
      <c r="K52" s="18" t="s">
        <v>386</v>
      </c>
    </row>
    <row r="53" spans="1:11" ht="19" customHeight="1">
      <c r="A53" s="18" t="s">
        <v>13</v>
      </c>
      <c r="B53" s="18" t="s">
        <v>48</v>
      </c>
      <c r="C53" s="18" t="s">
        <v>49</v>
      </c>
      <c r="D53" s="18" t="s">
        <v>10</v>
      </c>
      <c r="E53" s="18" t="s">
        <v>33</v>
      </c>
      <c r="F53" s="18" t="s">
        <v>387</v>
      </c>
      <c r="G53" s="23" t="s">
        <v>51</v>
      </c>
      <c r="H53" s="23" t="s">
        <v>51</v>
      </c>
      <c r="I53" s="27">
        <f>IF(COUNTIFS('Taux'!$A$6:$A$20,A53,'Taux'!$B$6:$B$20,D53)=1,SUMIFS('Taux'!$D$6:$D$20,'Taux'!$A$6:$A$20,A53,'Taux'!$B$6:$B$20,D53),"n.d.")</f>
        <v>1</v>
      </c>
      <c r="J53" s="22" t="str">
        <f>IF(COUNT(H53,I53)=2,H53/I53,"n.d.")</f>
        <v>n.d.</v>
      </c>
      <c r="K53" s="18" t="s">
        <v>388</v>
      </c>
    </row>
    <row r="54" spans="1:11" ht="19" customHeight="1">
      <c r="A54" s="18" t="s">
        <v>13</v>
      </c>
      <c r="B54" s="18" t="s">
        <v>48</v>
      </c>
      <c r="C54" s="18" t="s">
        <v>49</v>
      </c>
      <c r="D54" s="18" t="s">
        <v>10</v>
      </c>
      <c r="E54" s="18" t="s">
        <v>33</v>
      </c>
      <c r="F54" s="18" t="s">
        <v>389</v>
      </c>
      <c r="G54" s="26">
        <v>4</v>
      </c>
      <c r="H54" s="22">
        <v>559</v>
      </c>
      <c r="I54" s="27">
        <f>IF(COUNTIFS('Taux'!$A$6:$A$20,A54,'Taux'!$B$6:$B$20,D54)=1,SUMIFS('Taux'!$D$6:$D$20,'Taux'!$A$6:$A$20,A54,'Taux'!$B$6:$B$20,D54),"n.d.")</f>
        <v>1</v>
      </c>
      <c r="J54" s="22">
        <f>IF(COUNT(H54,I54)=2,H54/I54,"n.d.")</f>
        <v>559.0</v>
      </c>
      <c r="K54" s="18" t="s">
        <v>390</v>
      </c>
    </row>
    <row r="55" spans="1:11" ht="19" customHeight="1">
      <c r="A55" s="18" t="s">
        <v>13</v>
      </c>
      <c r="B55" s="18" t="s">
        <v>48</v>
      </c>
      <c r="C55" s="18" t="s">
        <v>49</v>
      </c>
      <c r="D55" s="18" t="s">
        <v>10</v>
      </c>
      <c r="E55" s="18" t="s">
        <v>33</v>
      </c>
      <c r="F55" s="18" t="s">
        <v>391</v>
      </c>
      <c r="G55" s="26">
        <v>4</v>
      </c>
      <c r="H55" s="22">
        <v>2056</v>
      </c>
      <c r="I55" s="27">
        <f>IF(COUNTIFS('Taux'!$A$6:$A$20,A55,'Taux'!$B$6:$B$20,D55)=1,SUMIFS('Taux'!$D$6:$D$20,'Taux'!$A$6:$A$20,A55,'Taux'!$B$6:$B$20,D55),"n.d.")</f>
        <v>1</v>
      </c>
      <c r="J55" s="22">
        <f>IF(COUNT(H55,I55)=2,H55/I55,"n.d.")</f>
        <v>2056.0</v>
      </c>
      <c r="K55" s="18" t="s">
        <v>392</v>
      </c>
    </row>
    <row r="56" spans="1:11" ht="19" customHeight="1">
      <c r="A56" s="18" t="s">
        <v>13</v>
      </c>
      <c r="B56" s="18" t="s">
        <v>48</v>
      </c>
      <c r="C56" s="18" t="s">
        <v>49</v>
      </c>
      <c r="D56" s="18" t="s">
        <v>10</v>
      </c>
      <c r="E56" s="18" t="s">
        <v>33</v>
      </c>
      <c r="F56" s="18" t="s">
        <v>393</v>
      </c>
      <c r="G56" s="26">
        <v>9</v>
      </c>
      <c r="H56" s="22">
        <v>1953</v>
      </c>
      <c r="I56" s="27">
        <f>IF(COUNTIFS('Taux'!$A$6:$A$20,A56,'Taux'!$B$6:$B$20,D56)=1,SUMIFS('Taux'!$D$6:$D$20,'Taux'!$A$6:$A$20,A56,'Taux'!$B$6:$B$20,D56),"n.d.")</f>
        <v>1</v>
      </c>
      <c r="J56" s="22">
        <f>IF(COUNT(H56,I56)=2,H56/I56,"n.d.")</f>
        <v>1953.0</v>
      </c>
      <c r="K56" s="18" t="s">
        <v>394</v>
      </c>
    </row>
    <row r="57" spans="1:11" ht="19" customHeight="1">
      <c r="A57" s="18" t="s">
        <v>13</v>
      </c>
      <c r="B57" s="18" t="s">
        <v>48</v>
      </c>
      <c r="C57" s="18" t="s">
        <v>49</v>
      </c>
      <c r="D57" s="18" t="s">
        <v>10</v>
      </c>
      <c r="E57" s="18" t="s">
        <v>33</v>
      </c>
      <c r="F57" s="18" t="s">
        <v>395</v>
      </c>
      <c r="G57" s="26">
        <v>22</v>
      </c>
      <c r="H57" s="22">
        <v>9241</v>
      </c>
      <c r="I57" s="27">
        <f>IF(COUNTIFS('Taux'!$A$6:$A$20,A57,'Taux'!$B$6:$B$20,D57)=1,SUMIFS('Taux'!$D$6:$D$20,'Taux'!$A$6:$A$20,A57,'Taux'!$B$6:$B$20,D57),"n.d.")</f>
        <v>1</v>
      </c>
      <c r="J57" s="22">
        <f>IF(COUNT(H57,I57)=2,H57/I57,"n.d.")</f>
        <v>9241.0</v>
      </c>
      <c r="K57" s="18" t="s">
        <v>396</v>
      </c>
    </row>
    <row r="58" spans="1:11" ht="19" customHeight="1">
      <c r="A58" s="18" t="s">
        <v>13</v>
      </c>
      <c r="B58" s="18" t="s">
        <v>48</v>
      </c>
      <c r="C58" s="18" t="s">
        <v>49</v>
      </c>
      <c r="D58" s="18" t="s">
        <v>10</v>
      </c>
      <c r="E58" s="18" t="s">
        <v>33</v>
      </c>
      <c r="F58" s="18" t="s">
        <v>397</v>
      </c>
      <c r="G58" s="26">
        <v>11</v>
      </c>
      <c r="H58" s="22">
        <v>2958</v>
      </c>
      <c r="I58" s="27">
        <f>IF(COUNTIFS('Taux'!$A$6:$A$20,A58,'Taux'!$B$6:$B$20,D58)=1,SUMIFS('Taux'!$D$6:$D$20,'Taux'!$A$6:$A$20,A58,'Taux'!$B$6:$B$20,D58),"n.d.")</f>
        <v>1</v>
      </c>
      <c r="J58" s="22">
        <f>IF(COUNT(H58,I58)=2,H58/I58,"n.d.")</f>
        <v>2958.0</v>
      </c>
      <c r="K58" s="18" t="s">
        <v>398</v>
      </c>
    </row>
    <row r="59" spans="1:11" ht="19" customHeight="1">
      <c r="A59" s="18" t="s">
        <v>13</v>
      </c>
      <c r="B59" s="18" t="s">
        <v>48</v>
      </c>
      <c r="C59" s="18" t="s">
        <v>49</v>
      </c>
      <c r="D59" s="18" t="s">
        <v>10</v>
      </c>
      <c r="E59" s="18" t="s">
        <v>33</v>
      </c>
      <c r="F59" s="18" t="s">
        <v>399</v>
      </c>
      <c r="G59" s="26">
        <v>4</v>
      </c>
      <c r="H59" s="22">
        <v>841</v>
      </c>
      <c r="I59" s="27">
        <f>IF(COUNTIFS('Taux'!$A$6:$A$20,A59,'Taux'!$B$6:$B$20,D59)=1,SUMIFS('Taux'!$D$6:$D$20,'Taux'!$A$6:$A$20,A59,'Taux'!$B$6:$B$20,D59),"n.d.")</f>
        <v>1</v>
      </c>
      <c r="J59" s="22">
        <f>IF(COUNT(H59,I59)=2,H59/I59,"n.d.")</f>
        <v>841.0</v>
      </c>
      <c r="K59" s="18" t="s">
        <v>400</v>
      </c>
    </row>
    <row r="60" spans="1:11" ht="19" customHeight="1">
      <c r="A60" s="18" t="s">
        <v>13</v>
      </c>
      <c r="B60" s="18" t="s">
        <v>48</v>
      </c>
      <c r="C60" s="18" t="s">
        <v>49</v>
      </c>
      <c r="D60" s="18" t="s">
        <v>10</v>
      </c>
      <c r="E60" s="18" t="s">
        <v>33</v>
      </c>
      <c r="F60" s="18" t="s">
        <v>95</v>
      </c>
      <c r="G60" s="26">
        <v>2</v>
      </c>
      <c r="H60" s="22">
        <v>5209</v>
      </c>
      <c r="I60" s="27">
        <f>IF(COUNTIFS('Taux'!$A$6:$A$20,A60,'Taux'!$B$6:$B$20,D60)=1,SUMIFS('Taux'!$D$6:$D$20,'Taux'!$A$6:$A$20,A60,'Taux'!$B$6:$B$20,D60),"n.d.")</f>
        <v>1</v>
      </c>
      <c r="J60" s="22">
        <f>IF(COUNT(H60,I60)=2,H60/I60,"n.d.")</f>
        <v>5209.0</v>
      </c>
      <c r="K60" s="18" t="s">
        <v>401</v>
      </c>
    </row>
    <row r="61" spans="1:11" ht="19" customHeight="1">
      <c r="A61" s="18" t="s">
        <v>13</v>
      </c>
      <c r="B61" s="18" t="s">
        <v>48</v>
      </c>
      <c r="C61" s="18" t="s">
        <v>49</v>
      </c>
      <c r="D61" s="18" t="s">
        <v>10</v>
      </c>
      <c r="E61" s="18" t="s">
        <v>33</v>
      </c>
      <c r="F61" s="18" t="s">
        <v>53</v>
      </c>
      <c r="G61" s="26">
        <v>4</v>
      </c>
      <c r="H61" s="22">
        <v>1688</v>
      </c>
      <c r="I61" s="27">
        <f>IF(COUNTIFS('Taux'!$A$6:$A$20,A61,'Taux'!$B$6:$B$20,D61)=1,SUMIFS('Taux'!$D$6:$D$20,'Taux'!$A$6:$A$20,A61,'Taux'!$B$6:$B$20,D61),"n.d.")</f>
        <v>1</v>
      </c>
      <c r="J61" s="22">
        <f>IF(COUNT(H61,I61)=2,H61/I61,"n.d.")</f>
        <v>1688.0</v>
      </c>
      <c r="K61" s="18" t="s">
        <v>402</v>
      </c>
    </row>
    <row r="62" spans="1:11" ht="19" customHeight="1">
      <c r="A62" s="18" t="s">
        <v>13</v>
      </c>
      <c r="B62" s="18" t="s">
        <v>48</v>
      </c>
      <c r="C62" s="18" t="s">
        <v>49</v>
      </c>
      <c r="D62" s="18" t="s">
        <v>10</v>
      </c>
      <c r="E62" s="18" t="s">
        <v>33</v>
      </c>
      <c r="F62" s="18" t="s">
        <v>55</v>
      </c>
      <c r="G62" s="26">
        <v>235</v>
      </c>
      <c r="H62" s="22">
        <v>112161</v>
      </c>
      <c r="I62" s="27">
        <f>IF(COUNTIFS('Taux'!$A$6:$A$20,A62,'Taux'!$B$6:$B$20,D62)=1,SUMIFS('Taux'!$D$6:$D$20,'Taux'!$A$6:$A$20,A62,'Taux'!$B$6:$B$20,D62),"n.d.")</f>
        <v>1</v>
      </c>
      <c r="J62" s="22">
        <f>IF(COUNT(H62,I62)=2,H62/I62,"n.d.")</f>
        <v>112161.0</v>
      </c>
      <c r="K62" s="18" t="s">
        <v>403</v>
      </c>
    </row>
    <row r="63" spans="1:11" ht="19" customHeight="1">
      <c r="A63" s="18" t="s">
        <v>13</v>
      </c>
      <c r="B63" s="18" t="s">
        <v>57</v>
      </c>
      <c r="C63" s="18" t="s">
        <v>58</v>
      </c>
      <c r="D63" s="18" t="s">
        <v>10</v>
      </c>
      <c r="E63" s="18" t="s">
        <v>376</v>
      </c>
      <c r="F63" s="18" t="s">
        <v>377</v>
      </c>
      <c r="G63" s="26">
        <v>144</v>
      </c>
      <c r="H63" s="22">
        <v>28</v>
      </c>
      <c r="I63" s="27">
        <f>IF(COUNTIFS('Taux'!$A$6:$A$20,A63,'Taux'!$B$6:$B$20,D63)=1,SUMIFS('Taux'!$D$6:$D$20,'Taux'!$A$6:$A$20,A63,'Taux'!$B$6:$B$20,D63),"n.d.")</f>
        <v>1</v>
      </c>
      <c r="J63" s="22">
        <f>IF(COUNT(H63,I63)=2,H63/I63,"n.d.")</f>
        <v>28.0</v>
      </c>
      <c r="K63" s="18" t="s">
        <v>404</v>
      </c>
    </row>
    <row r="64" spans="1:11" ht="19" customHeight="1">
      <c r="A64" s="18" t="s">
        <v>13</v>
      </c>
      <c r="B64" s="18" t="s">
        <v>57</v>
      </c>
      <c r="C64" s="18" t="s">
        <v>58</v>
      </c>
      <c r="D64" s="18" t="s">
        <v>10</v>
      </c>
      <c r="E64" s="18" t="s">
        <v>376</v>
      </c>
      <c r="F64" s="18" t="s">
        <v>379</v>
      </c>
      <c r="G64" s="26">
        <v>510</v>
      </c>
      <c r="H64" s="22">
        <v>2762</v>
      </c>
      <c r="I64" s="27">
        <f>IF(COUNTIFS('Taux'!$A$6:$A$20,A64,'Taux'!$B$6:$B$20,D64)=1,SUMIFS('Taux'!$D$6:$D$20,'Taux'!$A$6:$A$20,A64,'Taux'!$B$6:$B$20,D64),"n.d.")</f>
        <v>1</v>
      </c>
      <c r="J64" s="22">
        <f>IF(COUNT(H64,I64)=2,H64/I64,"n.d.")</f>
        <v>2762.0</v>
      </c>
      <c r="K64" s="18" t="s">
        <v>405</v>
      </c>
    </row>
    <row r="65" spans="1:11" ht="19" customHeight="1">
      <c r="A65" s="18" t="s">
        <v>13</v>
      </c>
      <c r="B65" s="18" t="s">
        <v>57</v>
      </c>
      <c r="C65" s="18" t="s">
        <v>58</v>
      </c>
      <c r="D65" s="18" t="s">
        <v>10</v>
      </c>
      <c r="E65" s="18" t="s">
        <v>376</v>
      </c>
      <c r="F65" s="18" t="s">
        <v>381</v>
      </c>
      <c r="G65" s="26">
        <v>4113</v>
      </c>
      <c r="H65" s="22">
        <v>194406</v>
      </c>
      <c r="I65" s="27">
        <f>IF(COUNTIFS('Taux'!$A$6:$A$20,A65,'Taux'!$B$6:$B$20,D65)=1,SUMIFS('Taux'!$D$6:$D$20,'Taux'!$A$6:$A$20,A65,'Taux'!$B$6:$B$20,D65),"n.d.")</f>
        <v>1</v>
      </c>
      <c r="J65" s="22">
        <f>IF(COUNT(H65,I65)=2,H65/I65,"n.d.")</f>
        <v>194406.0</v>
      </c>
      <c r="K65" s="18" t="s">
        <v>406</v>
      </c>
    </row>
    <row r="66" spans="1:11" ht="19" customHeight="1">
      <c r="A66" s="18" t="s">
        <v>13</v>
      </c>
      <c r="B66" s="18" t="s">
        <v>57</v>
      </c>
      <c r="C66" s="18" t="s">
        <v>58</v>
      </c>
      <c r="D66" s="18" t="s">
        <v>10</v>
      </c>
      <c r="E66" s="18" t="s">
        <v>376</v>
      </c>
      <c r="F66" s="18" t="s">
        <v>383</v>
      </c>
      <c r="G66" s="26">
        <v>2734</v>
      </c>
      <c r="H66" s="22">
        <v>682236</v>
      </c>
      <c r="I66" s="27">
        <f>IF(COUNTIFS('Taux'!$A$6:$A$20,A66,'Taux'!$B$6:$B$20,D66)=1,SUMIFS('Taux'!$D$6:$D$20,'Taux'!$A$6:$A$20,A66,'Taux'!$B$6:$B$20,D66),"n.d.")</f>
        <v>1</v>
      </c>
      <c r="J66" s="22">
        <f>IF(COUNT(H66,I66)=2,H66/I66,"n.d.")</f>
        <v>682236.0</v>
      </c>
      <c r="K66" s="18" t="s">
        <v>407</v>
      </c>
    </row>
    <row r="67" spans="1:11" ht="19" customHeight="1">
      <c r="A67" s="18" t="s">
        <v>13</v>
      </c>
      <c r="B67" s="18" t="s">
        <v>57</v>
      </c>
      <c r="C67" s="18" t="s">
        <v>58</v>
      </c>
      <c r="D67" s="18" t="s">
        <v>10</v>
      </c>
      <c r="E67" s="18" t="s">
        <v>376</v>
      </c>
      <c r="F67" s="18" t="s">
        <v>385</v>
      </c>
      <c r="G67" s="26">
        <v>262</v>
      </c>
      <c r="H67" s="22">
        <v>908380</v>
      </c>
      <c r="I67" s="27">
        <f>IF(COUNTIFS('Taux'!$A$6:$A$20,A67,'Taux'!$B$6:$B$20,D67)=1,SUMIFS('Taux'!$D$6:$D$20,'Taux'!$A$6:$A$20,A67,'Taux'!$B$6:$B$20,D67),"n.d.")</f>
        <v>1</v>
      </c>
      <c r="J67" s="22">
        <f>IF(COUNT(H67,I67)=2,H67/I67,"n.d.")</f>
        <v>908380.0</v>
      </c>
      <c r="K67" s="18" t="s">
        <v>408</v>
      </c>
    </row>
    <row r="68" spans="1:11" ht="19" customHeight="1">
      <c r="A68" s="18" t="s">
        <v>13</v>
      </c>
      <c r="B68" s="18" t="s">
        <v>57</v>
      </c>
      <c r="C68" s="18" t="s">
        <v>58</v>
      </c>
      <c r="D68" s="18" t="s">
        <v>10</v>
      </c>
      <c r="E68" s="18" t="s">
        <v>33</v>
      </c>
      <c r="F68" s="18" t="s">
        <v>387</v>
      </c>
      <c r="G68" s="26">
        <v>153</v>
      </c>
      <c r="H68" s="22">
        <v>30362</v>
      </c>
      <c r="I68" s="27">
        <f>IF(COUNTIFS('Taux'!$A$6:$A$20,A68,'Taux'!$B$6:$B$20,D68)=1,SUMIFS('Taux'!$D$6:$D$20,'Taux'!$A$6:$A$20,A68,'Taux'!$B$6:$B$20,D68),"n.d.")</f>
        <v>1</v>
      </c>
      <c r="J68" s="22">
        <f>IF(COUNT(H68,I68)=2,H68/I68,"n.d.")</f>
        <v>30362.0</v>
      </c>
      <c r="K68" s="18" t="s">
        <v>409</v>
      </c>
    </row>
    <row r="69" spans="1:11" ht="19" customHeight="1">
      <c r="A69" s="18" t="s">
        <v>13</v>
      </c>
      <c r="B69" s="18" t="s">
        <v>57</v>
      </c>
      <c r="C69" s="18" t="s">
        <v>58</v>
      </c>
      <c r="D69" s="18" t="s">
        <v>10</v>
      </c>
      <c r="E69" s="18" t="s">
        <v>33</v>
      </c>
      <c r="F69" s="18" t="s">
        <v>389</v>
      </c>
      <c r="G69" s="26">
        <v>161</v>
      </c>
      <c r="H69" s="22">
        <v>19975</v>
      </c>
      <c r="I69" s="27">
        <f>IF(COUNTIFS('Taux'!$A$6:$A$20,A69,'Taux'!$B$6:$B$20,D69)=1,SUMIFS('Taux'!$D$6:$D$20,'Taux'!$A$6:$A$20,A69,'Taux'!$B$6:$B$20,D69),"n.d.")</f>
        <v>1</v>
      </c>
      <c r="J69" s="22">
        <f>IF(COUNT(H69,I69)=2,H69/I69,"n.d.")</f>
        <v>19975.0</v>
      </c>
      <c r="K69" s="18" t="s">
        <v>410</v>
      </c>
    </row>
    <row r="70" spans="1:11" ht="19" customHeight="1">
      <c r="A70" s="18" t="s">
        <v>13</v>
      </c>
      <c r="B70" s="18" t="s">
        <v>57</v>
      </c>
      <c r="C70" s="18" t="s">
        <v>58</v>
      </c>
      <c r="D70" s="18" t="s">
        <v>10</v>
      </c>
      <c r="E70" s="18" t="s">
        <v>33</v>
      </c>
      <c r="F70" s="18" t="s">
        <v>391</v>
      </c>
      <c r="G70" s="26">
        <v>150</v>
      </c>
      <c r="H70" s="22">
        <v>20965</v>
      </c>
      <c r="I70" s="27">
        <f>IF(COUNTIFS('Taux'!$A$6:$A$20,A70,'Taux'!$B$6:$B$20,D70)=1,SUMIFS('Taux'!$D$6:$D$20,'Taux'!$A$6:$A$20,A70,'Taux'!$B$6:$B$20,D70),"n.d.")</f>
        <v>1</v>
      </c>
      <c r="J70" s="22">
        <f>IF(COUNT(H70,I70)=2,H70/I70,"n.d.")</f>
        <v>20965.0</v>
      </c>
      <c r="K70" s="18" t="s">
        <v>411</v>
      </c>
    </row>
    <row r="71" spans="1:11" ht="19" customHeight="1">
      <c r="A71" s="18" t="s">
        <v>13</v>
      </c>
      <c r="B71" s="18" t="s">
        <v>57</v>
      </c>
      <c r="C71" s="18" t="s">
        <v>58</v>
      </c>
      <c r="D71" s="18" t="s">
        <v>10</v>
      </c>
      <c r="E71" s="18" t="s">
        <v>33</v>
      </c>
      <c r="F71" s="18" t="s">
        <v>393</v>
      </c>
      <c r="G71" s="26">
        <v>146</v>
      </c>
      <c r="H71" s="22">
        <v>18970</v>
      </c>
      <c r="I71" s="27">
        <f>IF(COUNTIFS('Taux'!$A$6:$A$20,A71,'Taux'!$B$6:$B$20,D71)=1,SUMIFS('Taux'!$D$6:$D$20,'Taux'!$A$6:$A$20,A71,'Taux'!$B$6:$B$20,D71),"n.d.")</f>
        <v>1</v>
      </c>
      <c r="J71" s="22">
        <f>IF(COUNT(H71,I71)=2,H71/I71,"n.d.")</f>
        <v>18970.0</v>
      </c>
      <c r="K71" s="18" t="s">
        <v>412</v>
      </c>
    </row>
    <row r="72" spans="1:11" ht="19" customHeight="1">
      <c r="A72" s="18" t="s">
        <v>13</v>
      </c>
      <c r="B72" s="18" t="s">
        <v>57</v>
      </c>
      <c r="C72" s="18" t="s">
        <v>58</v>
      </c>
      <c r="D72" s="18" t="s">
        <v>10</v>
      </c>
      <c r="E72" s="18" t="s">
        <v>33</v>
      </c>
      <c r="F72" s="18" t="s">
        <v>395</v>
      </c>
      <c r="G72" s="26">
        <v>287</v>
      </c>
      <c r="H72" s="22">
        <v>50943</v>
      </c>
      <c r="I72" s="27">
        <f>IF(COUNTIFS('Taux'!$A$6:$A$20,A72,'Taux'!$B$6:$B$20,D72)=1,SUMIFS('Taux'!$D$6:$D$20,'Taux'!$A$6:$A$20,A72,'Taux'!$B$6:$B$20,D72),"n.d.")</f>
        <v>1</v>
      </c>
      <c r="J72" s="22">
        <f>IF(COUNT(H72,I72)=2,H72/I72,"n.d.")</f>
        <v>50943.0</v>
      </c>
      <c r="K72" s="18" t="s">
        <v>413</v>
      </c>
    </row>
    <row r="73" spans="1:11" ht="19" customHeight="1">
      <c r="A73" s="18" t="s">
        <v>13</v>
      </c>
      <c r="B73" s="18" t="s">
        <v>57</v>
      </c>
      <c r="C73" s="18" t="s">
        <v>58</v>
      </c>
      <c r="D73" s="18" t="s">
        <v>10</v>
      </c>
      <c r="E73" s="18" t="s">
        <v>33</v>
      </c>
      <c r="F73" s="18" t="s">
        <v>397</v>
      </c>
      <c r="G73" s="26">
        <v>476</v>
      </c>
      <c r="H73" s="22">
        <v>110026</v>
      </c>
      <c r="I73" s="27">
        <f>IF(COUNTIFS('Taux'!$A$6:$A$20,A73,'Taux'!$B$6:$B$20,D73)=1,SUMIFS('Taux'!$D$6:$D$20,'Taux'!$A$6:$A$20,A73,'Taux'!$B$6:$B$20,D73),"n.d.")</f>
        <v>1</v>
      </c>
      <c r="J73" s="22">
        <f>IF(COUNT(H73,I73)=2,H73/I73,"n.d.")</f>
        <v>110026.0</v>
      </c>
      <c r="K73" s="18" t="s">
        <v>414</v>
      </c>
    </row>
    <row r="74" spans="1:11" ht="19" customHeight="1">
      <c r="A74" s="18" t="s">
        <v>13</v>
      </c>
      <c r="B74" s="18" t="s">
        <v>57</v>
      </c>
      <c r="C74" s="18" t="s">
        <v>58</v>
      </c>
      <c r="D74" s="18" t="s">
        <v>10</v>
      </c>
      <c r="E74" s="18" t="s">
        <v>33</v>
      </c>
      <c r="F74" s="18" t="s">
        <v>399</v>
      </c>
      <c r="G74" s="26">
        <v>239</v>
      </c>
      <c r="H74" s="22">
        <v>58139</v>
      </c>
      <c r="I74" s="27">
        <f>IF(COUNTIFS('Taux'!$A$6:$A$20,A74,'Taux'!$B$6:$B$20,D74)=1,SUMIFS('Taux'!$D$6:$D$20,'Taux'!$A$6:$A$20,A74,'Taux'!$B$6:$B$20,D74),"n.d.")</f>
        <v>1</v>
      </c>
      <c r="J74" s="22">
        <f>IF(COUNT(H74,I74)=2,H74/I74,"n.d.")</f>
        <v>58139.0</v>
      </c>
      <c r="K74" s="18" t="s">
        <v>415</v>
      </c>
    </row>
    <row r="75" spans="1:11" ht="19" customHeight="1">
      <c r="A75" s="18" t="s">
        <v>13</v>
      </c>
      <c r="B75" s="18" t="s">
        <v>57</v>
      </c>
      <c r="C75" s="18" t="s">
        <v>58</v>
      </c>
      <c r="D75" s="18" t="s">
        <v>10</v>
      </c>
      <c r="E75" s="18" t="s">
        <v>33</v>
      </c>
      <c r="F75" s="18" t="s">
        <v>95</v>
      </c>
      <c r="G75" s="26">
        <v>211</v>
      </c>
      <c r="H75" s="22">
        <v>50454</v>
      </c>
      <c r="I75" s="27">
        <f>IF(COUNTIFS('Taux'!$A$6:$A$20,A75,'Taux'!$B$6:$B$20,D75)=1,SUMIFS('Taux'!$D$6:$D$20,'Taux'!$A$6:$A$20,A75,'Taux'!$B$6:$B$20,D75),"n.d.")</f>
        <v>1</v>
      </c>
      <c r="J75" s="22">
        <f>IF(COUNT(H75,I75)=2,H75/I75,"n.d.")</f>
        <v>50454.0</v>
      </c>
      <c r="K75" s="18" t="s">
        <v>416</v>
      </c>
    </row>
    <row r="76" spans="1:11" ht="19" customHeight="1">
      <c r="A76" s="18" t="s">
        <v>13</v>
      </c>
      <c r="B76" s="18" t="s">
        <v>57</v>
      </c>
      <c r="C76" s="18" t="s">
        <v>58</v>
      </c>
      <c r="D76" s="18" t="s">
        <v>10</v>
      </c>
      <c r="E76" s="18" t="s">
        <v>33</v>
      </c>
      <c r="F76" s="18" t="s">
        <v>53</v>
      </c>
      <c r="G76" s="26">
        <v>358</v>
      </c>
      <c r="H76" s="22">
        <v>69303</v>
      </c>
      <c r="I76" s="27">
        <f>IF(COUNTIFS('Taux'!$A$6:$A$20,A76,'Taux'!$B$6:$B$20,D76)=1,SUMIFS('Taux'!$D$6:$D$20,'Taux'!$A$6:$A$20,A76,'Taux'!$B$6:$B$20,D76),"n.d.")</f>
        <v>1</v>
      </c>
      <c r="J76" s="22">
        <f>IF(COUNT(H76,I76)=2,H76/I76,"n.d.")</f>
        <v>69303.0</v>
      </c>
      <c r="K76" s="18" t="s">
        <v>417</v>
      </c>
    </row>
    <row r="77" spans="1:11" ht="19" customHeight="1">
      <c r="A77" s="18" t="s">
        <v>13</v>
      </c>
      <c r="B77" s="18" t="s">
        <v>57</v>
      </c>
      <c r="C77" s="18" t="s">
        <v>58</v>
      </c>
      <c r="D77" s="18" t="s">
        <v>10</v>
      </c>
      <c r="E77" s="18" t="s">
        <v>33</v>
      </c>
      <c r="F77" s="18" t="s">
        <v>55</v>
      </c>
      <c r="G77" s="26">
        <v>5582</v>
      </c>
      <c r="H77" s="22">
        <v>1358675</v>
      </c>
      <c r="I77" s="27">
        <f>IF(COUNTIFS('Taux'!$A$6:$A$20,A77,'Taux'!$B$6:$B$20,D77)=1,SUMIFS('Taux'!$D$6:$D$20,'Taux'!$A$6:$A$20,A77,'Taux'!$B$6:$B$20,D77),"n.d.")</f>
        <v>1</v>
      </c>
      <c r="J77" s="22">
        <f>IF(COUNT(H77,I77)=2,H77/I77,"n.d.")</f>
        <v>1358675.0</v>
      </c>
      <c r="K77" s="18" t="s">
        <v>418</v>
      </c>
    </row>
    <row r="78" spans="1:11" ht="19" customHeight="1">
      <c r="A78" s="18" t="s">
        <v>13</v>
      </c>
      <c r="B78" s="18" t="s">
        <v>62</v>
      </c>
      <c r="C78" s="18" t="s">
        <v>63</v>
      </c>
      <c r="D78" s="18" t="s">
        <v>10</v>
      </c>
      <c r="E78" s="18" t="s">
        <v>376</v>
      </c>
      <c r="F78" s="18" t="s">
        <v>377</v>
      </c>
      <c r="G78" s="26">
        <v>2280</v>
      </c>
      <c r="H78" s="22">
        <v>611</v>
      </c>
      <c r="I78" s="27">
        <f>IF(COUNTIFS('Taux'!$A$6:$A$20,A78,'Taux'!$B$6:$B$20,D78)=1,SUMIFS('Taux'!$D$6:$D$20,'Taux'!$A$6:$A$20,A78,'Taux'!$B$6:$B$20,D78),"n.d.")</f>
        <v>1</v>
      </c>
      <c r="J78" s="22">
        <f>IF(COUNT(H78,I78)=2,H78/I78,"n.d.")</f>
        <v>611.0</v>
      </c>
      <c r="K78" s="18" t="s">
        <v>419</v>
      </c>
    </row>
    <row r="79" spans="1:11" ht="19" customHeight="1">
      <c r="A79" s="18" t="s">
        <v>13</v>
      </c>
      <c r="B79" s="18" t="s">
        <v>62</v>
      </c>
      <c r="C79" s="18" t="s">
        <v>63</v>
      </c>
      <c r="D79" s="18" t="s">
        <v>10</v>
      </c>
      <c r="E79" s="18" t="s">
        <v>376</v>
      </c>
      <c r="F79" s="18" t="s">
        <v>379</v>
      </c>
      <c r="G79" s="26">
        <v>1773</v>
      </c>
      <c r="H79" s="22">
        <v>7665</v>
      </c>
      <c r="I79" s="27">
        <f>IF(COUNTIFS('Taux'!$A$6:$A$20,A79,'Taux'!$B$6:$B$20,D79)=1,SUMIFS('Taux'!$D$6:$D$20,'Taux'!$A$6:$A$20,A79,'Taux'!$B$6:$B$20,D79),"n.d.")</f>
        <v>1</v>
      </c>
      <c r="J79" s="22">
        <f>IF(COUNT(H79,I79)=2,H79/I79,"n.d.")</f>
        <v>7665.0</v>
      </c>
      <c r="K79" s="18" t="s">
        <v>420</v>
      </c>
    </row>
    <row r="80" spans="1:11" ht="19" customHeight="1">
      <c r="A80" s="18" t="s">
        <v>13</v>
      </c>
      <c r="B80" s="18" t="s">
        <v>62</v>
      </c>
      <c r="C80" s="18" t="s">
        <v>63</v>
      </c>
      <c r="D80" s="18" t="s">
        <v>10</v>
      </c>
      <c r="E80" s="18" t="s">
        <v>376</v>
      </c>
      <c r="F80" s="18" t="s">
        <v>381</v>
      </c>
      <c r="G80" s="26">
        <v>4974</v>
      </c>
      <c r="H80" s="22">
        <v>241529</v>
      </c>
      <c r="I80" s="27">
        <f>IF(COUNTIFS('Taux'!$A$6:$A$20,A80,'Taux'!$B$6:$B$20,D80)=1,SUMIFS('Taux'!$D$6:$D$20,'Taux'!$A$6:$A$20,A80,'Taux'!$B$6:$B$20,D80),"n.d.")</f>
        <v>1</v>
      </c>
      <c r="J80" s="22">
        <f>IF(COUNT(H80,I80)=2,H80/I80,"n.d.")</f>
        <v>241529.0</v>
      </c>
      <c r="K80" s="18" t="s">
        <v>421</v>
      </c>
    </row>
    <row r="81" spans="1:11" ht="19" customHeight="1">
      <c r="A81" s="18" t="s">
        <v>13</v>
      </c>
      <c r="B81" s="18" t="s">
        <v>62</v>
      </c>
      <c r="C81" s="18" t="s">
        <v>63</v>
      </c>
      <c r="D81" s="18" t="s">
        <v>10</v>
      </c>
      <c r="E81" s="18" t="s">
        <v>376</v>
      </c>
      <c r="F81" s="18" t="s">
        <v>383</v>
      </c>
      <c r="G81" s="26">
        <v>5181</v>
      </c>
      <c r="H81" s="22">
        <v>1478164</v>
      </c>
      <c r="I81" s="27">
        <f>IF(COUNTIFS('Taux'!$A$6:$A$20,A81,'Taux'!$B$6:$B$20,D81)=1,SUMIFS('Taux'!$D$6:$D$20,'Taux'!$A$6:$A$20,A81,'Taux'!$B$6:$B$20,D81),"n.d.")</f>
        <v>1</v>
      </c>
      <c r="J81" s="22">
        <f>IF(COUNT(H81,I81)=2,H81/I81,"n.d.")</f>
        <v>1478164.0</v>
      </c>
      <c r="K81" s="18" t="s">
        <v>422</v>
      </c>
    </row>
    <row r="82" spans="1:11" ht="19" customHeight="1">
      <c r="A82" s="18" t="s">
        <v>13</v>
      </c>
      <c r="B82" s="18" t="s">
        <v>62</v>
      </c>
      <c r="C82" s="18" t="s">
        <v>63</v>
      </c>
      <c r="D82" s="18" t="s">
        <v>10</v>
      </c>
      <c r="E82" s="18" t="s">
        <v>376</v>
      </c>
      <c r="F82" s="18" t="s">
        <v>385</v>
      </c>
      <c r="G82" s="26">
        <v>608</v>
      </c>
      <c r="H82" s="22">
        <v>1589619</v>
      </c>
      <c r="I82" s="27">
        <f>IF(COUNTIFS('Taux'!$A$6:$A$20,A82,'Taux'!$B$6:$B$20,D82)=1,SUMIFS('Taux'!$D$6:$D$20,'Taux'!$A$6:$A$20,A82,'Taux'!$B$6:$B$20,D82),"n.d.")</f>
        <v>1</v>
      </c>
      <c r="J82" s="22">
        <f>IF(COUNT(H82,I82)=2,H82/I82,"n.d.")</f>
        <v>1589619.0</v>
      </c>
      <c r="K82" s="18" t="s">
        <v>423</v>
      </c>
    </row>
    <row r="83" spans="1:11" ht="19" customHeight="1">
      <c r="A83" s="18" t="s">
        <v>13</v>
      </c>
      <c r="B83" s="18" t="s">
        <v>62</v>
      </c>
      <c r="C83" s="18" t="s">
        <v>63</v>
      </c>
      <c r="D83" s="18" t="s">
        <v>10</v>
      </c>
      <c r="E83" s="18" t="s">
        <v>33</v>
      </c>
      <c r="F83" s="18" t="s">
        <v>387</v>
      </c>
      <c r="G83" s="26">
        <v>264</v>
      </c>
      <c r="H83" s="22">
        <v>42586</v>
      </c>
      <c r="I83" s="27">
        <f>IF(COUNTIFS('Taux'!$A$6:$A$20,A83,'Taux'!$B$6:$B$20,D83)=1,SUMIFS('Taux'!$D$6:$D$20,'Taux'!$A$6:$A$20,A83,'Taux'!$B$6:$B$20,D83),"n.d.")</f>
        <v>1</v>
      </c>
      <c r="J83" s="22">
        <f>IF(COUNT(H83,I83)=2,H83/I83,"n.d.")</f>
        <v>42586.0</v>
      </c>
      <c r="K83" s="18" t="s">
        <v>424</v>
      </c>
    </row>
    <row r="84" spans="1:11" ht="19" customHeight="1">
      <c r="A84" s="18" t="s">
        <v>13</v>
      </c>
      <c r="B84" s="18" t="s">
        <v>62</v>
      </c>
      <c r="C84" s="18" t="s">
        <v>63</v>
      </c>
      <c r="D84" s="18" t="s">
        <v>10</v>
      </c>
      <c r="E84" s="18" t="s">
        <v>33</v>
      </c>
      <c r="F84" s="18" t="s">
        <v>389</v>
      </c>
      <c r="G84" s="26">
        <v>4</v>
      </c>
      <c r="H84" s="22">
        <v>5395</v>
      </c>
      <c r="I84" s="27">
        <f>IF(COUNTIFS('Taux'!$A$6:$A$20,A84,'Taux'!$B$6:$B$20,D84)=1,SUMIFS('Taux'!$D$6:$D$20,'Taux'!$A$6:$A$20,A84,'Taux'!$B$6:$B$20,D84),"n.d.")</f>
        <v>1</v>
      </c>
      <c r="J84" s="22">
        <f>IF(COUNT(H84,I84)=2,H84/I84,"n.d.")</f>
        <v>5395.0</v>
      </c>
      <c r="K84" s="18" t="s">
        <v>425</v>
      </c>
    </row>
    <row r="85" spans="1:11" ht="19" customHeight="1">
      <c r="A85" s="18" t="s">
        <v>13</v>
      </c>
      <c r="B85" s="18" t="s">
        <v>62</v>
      </c>
      <c r="C85" s="18" t="s">
        <v>63</v>
      </c>
      <c r="D85" s="18" t="s">
        <v>10</v>
      </c>
      <c r="E85" s="18" t="s">
        <v>33</v>
      </c>
      <c r="F85" s="18" t="s">
        <v>391</v>
      </c>
      <c r="G85" s="26">
        <v>6</v>
      </c>
      <c r="H85" s="22">
        <v>2361</v>
      </c>
      <c r="I85" s="27">
        <f>IF(COUNTIFS('Taux'!$A$6:$A$20,A85,'Taux'!$B$6:$B$20,D85)=1,SUMIFS('Taux'!$D$6:$D$20,'Taux'!$A$6:$A$20,A85,'Taux'!$B$6:$B$20,D85),"n.d.")</f>
        <v>1</v>
      </c>
      <c r="J85" s="22">
        <f>IF(COUNT(H85,I85)=2,H85/I85,"n.d.")</f>
        <v>2361.0</v>
      </c>
      <c r="K85" s="18" t="s">
        <v>426</v>
      </c>
    </row>
    <row r="86" spans="1:11" ht="19" customHeight="1">
      <c r="A86" s="18" t="s">
        <v>13</v>
      </c>
      <c r="B86" s="18" t="s">
        <v>62</v>
      </c>
      <c r="C86" s="18" t="s">
        <v>63</v>
      </c>
      <c r="D86" s="18" t="s">
        <v>10</v>
      </c>
      <c r="E86" s="18" t="s">
        <v>33</v>
      </c>
      <c r="F86" s="18" t="s">
        <v>393</v>
      </c>
      <c r="G86" s="23" t="s">
        <v>51</v>
      </c>
      <c r="H86" s="23" t="s">
        <v>51</v>
      </c>
      <c r="I86" s="27">
        <f>IF(COUNTIFS('Taux'!$A$6:$A$20,A86,'Taux'!$B$6:$B$20,D86)=1,SUMIFS('Taux'!$D$6:$D$20,'Taux'!$A$6:$A$20,A86,'Taux'!$B$6:$B$20,D86),"n.d.")</f>
        <v>1</v>
      </c>
      <c r="J86" s="22" t="str">
        <f>IF(COUNT(H86,I86)=2,H86/I86,"n.d.")</f>
        <v>n.d.</v>
      </c>
      <c r="K86" s="18" t="s">
        <v>427</v>
      </c>
    </row>
    <row r="87" spans="1:11" ht="19" customHeight="1">
      <c r="A87" s="18" t="s">
        <v>13</v>
      </c>
      <c r="B87" s="18" t="s">
        <v>62</v>
      </c>
      <c r="C87" s="18" t="s">
        <v>63</v>
      </c>
      <c r="D87" s="18" t="s">
        <v>10</v>
      </c>
      <c r="E87" s="18" t="s">
        <v>33</v>
      </c>
      <c r="F87" s="18" t="s">
        <v>395</v>
      </c>
      <c r="G87" s="26">
        <v>1</v>
      </c>
      <c r="H87" s="22">
        <v>1</v>
      </c>
      <c r="I87" s="27">
        <f>IF(COUNTIFS('Taux'!$A$6:$A$20,A87,'Taux'!$B$6:$B$20,D87)=1,SUMIFS('Taux'!$D$6:$D$20,'Taux'!$A$6:$A$20,A87,'Taux'!$B$6:$B$20,D87),"n.d.")</f>
        <v>1</v>
      </c>
      <c r="J87" s="22">
        <f>IF(COUNT(H87,I87)=2,H87/I87,"n.d.")</f>
        <v>1.0</v>
      </c>
      <c r="K87" s="18" t="s">
        <v>428</v>
      </c>
    </row>
    <row r="88" spans="1:11" ht="19" customHeight="1">
      <c r="A88" s="18" t="s">
        <v>13</v>
      </c>
      <c r="B88" s="18" t="s">
        <v>62</v>
      </c>
      <c r="C88" s="18" t="s">
        <v>63</v>
      </c>
      <c r="D88" s="18" t="s">
        <v>10</v>
      </c>
      <c r="E88" s="18" t="s">
        <v>33</v>
      </c>
      <c r="F88" s="18" t="s">
        <v>397</v>
      </c>
      <c r="G88" s="23" t="s">
        <v>51</v>
      </c>
      <c r="H88" s="23" t="s">
        <v>51</v>
      </c>
      <c r="I88" s="27">
        <f>IF(COUNTIFS('Taux'!$A$6:$A$20,A88,'Taux'!$B$6:$B$20,D88)=1,SUMIFS('Taux'!$D$6:$D$20,'Taux'!$A$6:$A$20,A88,'Taux'!$B$6:$B$20,D88),"n.d.")</f>
        <v>1</v>
      </c>
      <c r="J88" s="22" t="str">
        <f>IF(COUNT(H88,I88)=2,H88/I88,"n.d.")</f>
        <v>n.d.</v>
      </c>
      <c r="K88" s="18" t="s">
        <v>429</v>
      </c>
    </row>
    <row r="89" spans="1:11" ht="19" customHeight="1">
      <c r="A89" s="18" t="s">
        <v>13</v>
      </c>
      <c r="B89" s="18" t="s">
        <v>62</v>
      </c>
      <c r="C89" s="18" t="s">
        <v>63</v>
      </c>
      <c r="D89" s="18" t="s">
        <v>10</v>
      </c>
      <c r="E89" s="18" t="s">
        <v>33</v>
      </c>
      <c r="F89" s="18" t="s">
        <v>399</v>
      </c>
      <c r="G89" s="26">
        <v>1</v>
      </c>
      <c r="H89" s="22">
        <v>963</v>
      </c>
      <c r="I89" s="27">
        <f>IF(COUNTIFS('Taux'!$A$6:$A$20,A89,'Taux'!$B$6:$B$20,D89)=1,SUMIFS('Taux'!$D$6:$D$20,'Taux'!$A$6:$A$20,A89,'Taux'!$B$6:$B$20,D89),"n.d.")</f>
        <v>1</v>
      </c>
      <c r="J89" s="22">
        <f>IF(COUNT(H89,I89)=2,H89/I89,"n.d.")</f>
        <v>963.0</v>
      </c>
      <c r="K89" s="18" t="s">
        <v>430</v>
      </c>
    </row>
    <row r="90" spans="1:11" ht="19" customHeight="1">
      <c r="A90" s="18" t="s">
        <v>13</v>
      </c>
      <c r="B90" s="18" t="s">
        <v>62</v>
      </c>
      <c r="C90" s="18" t="s">
        <v>63</v>
      </c>
      <c r="D90" s="18" t="s">
        <v>10</v>
      </c>
      <c r="E90" s="18" t="s">
        <v>33</v>
      </c>
      <c r="F90" s="18" t="s">
        <v>95</v>
      </c>
      <c r="G90" s="26">
        <v>21</v>
      </c>
      <c r="H90" s="22">
        <v>30040</v>
      </c>
      <c r="I90" s="27">
        <f>IF(COUNTIFS('Taux'!$A$6:$A$20,A90,'Taux'!$B$6:$B$20,D90)=1,SUMIFS('Taux'!$D$6:$D$20,'Taux'!$A$6:$A$20,A90,'Taux'!$B$6:$B$20,D90),"n.d.")</f>
        <v>1</v>
      </c>
      <c r="J90" s="22">
        <f>IF(COUNT(H90,I90)=2,H90/I90,"n.d.")</f>
        <v>30040.0</v>
      </c>
      <c r="K90" s="18" t="s">
        <v>431</v>
      </c>
    </row>
    <row r="91" spans="1:11" ht="19" customHeight="1">
      <c r="A91" s="18" t="s">
        <v>13</v>
      </c>
      <c r="B91" s="18" t="s">
        <v>62</v>
      </c>
      <c r="C91" s="18" t="s">
        <v>63</v>
      </c>
      <c r="D91" s="18" t="s">
        <v>10</v>
      </c>
      <c r="E91" s="18" t="s">
        <v>33</v>
      </c>
      <c r="F91" s="18" t="s">
        <v>53</v>
      </c>
      <c r="G91" s="26">
        <v>970</v>
      </c>
      <c r="H91" s="22">
        <v>267461</v>
      </c>
      <c r="I91" s="27">
        <f>IF(COUNTIFS('Taux'!$A$6:$A$20,A91,'Taux'!$B$6:$B$20,D91)=1,SUMIFS('Taux'!$D$6:$D$20,'Taux'!$A$6:$A$20,A91,'Taux'!$B$6:$B$20,D91),"n.d.")</f>
        <v>1</v>
      </c>
      <c r="J91" s="22">
        <f>IF(COUNT(H91,I91)=2,H91/I91,"n.d.")</f>
        <v>267461.0</v>
      </c>
      <c r="K91" s="18" t="s">
        <v>432</v>
      </c>
    </row>
    <row r="92" spans="1:11" ht="19" customHeight="1">
      <c r="A92" s="18" t="s">
        <v>13</v>
      </c>
      <c r="B92" s="18" t="s">
        <v>62</v>
      </c>
      <c r="C92" s="18" t="s">
        <v>63</v>
      </c>
      <c r="D92" s="18" t="s">
        <v>10</v>
      </c>
      <c r="E92" s="18" t="s">
        <v>33</v>
      </c>
      <c r="F92" s="18" t="s">
        <v>55</v>
      </c>
      <c r="G92" s="26">
        <v>13549</v>
      </c>
      <c r="H92" s="22">
        <v>2968779</v>
      </c>
      <c r="I92" s="27">
        <f>IF(COUNTIFS('Taux'!$A$6:$A$20,A92,'Taux'!$B$6:$B$20,D92)=1,SUMIFS('Taux'!$D$6:$D$20,'Taux'!$A$6:$A$20,A92,'Taux'!$B$6:$B$20,D92),"n.d.")</f>
        <v>1</v>
      </c>
      <c r="J92" s="22">
        <f>IF(COUNT(H92,I92)=2,H92/I92,"n.d.")</f>
        <v>2968779.0</v>
      </c>
      <c r="K92" s="18" t="s">
        <v>433</v>
      </c>
    </row>
    <row r="93" spans="1:11" ht="19" customHeight="1">
      <c r="A93" s="18" t="s">
        <v>13</v>
      </c>
      <c r="B93" s="18" t="s">
        <v>67</v>
      </c>
      <c r="C93" s="18" t="s">
        <v>68</v>
      </c>
      <c r="D93" s="18" t="s">
        <v>10</v>
      </c>
      <c r="E93" s="18" t="s">
        <v>376</v>
      </c>
      <c r="F93" s="18" t="s">
        <v>377</v>
      </c>
      <c r="G93" s="26">
        <v>1162</v>
      </c>
      <c r="H93" s="22">
        <v>477</v>
      </c>
      <c r="I93" s="27">
        <f>IF(COUNTIFS('Taux'!$A$6:$A$20,A93,'Taux'!$B$6:$B$20,D93)=1,SUMIFS('Taux'!$D$6:$D$20,'Taux'!$A$6:$A$20,A93,'Taux'!$B$6:$B$20,D93),"n.d.")</f>
        <v>1</v>
      </c>
      <c r="J93" s="22">
        <f>IF(COUNT(H93,I93)=2,H93/I93,"n.d.")</f>
        <v>477.0</v>
      </c>
      <c r="K93" s="18" t="s">
        <v>434</v>
      </c>
    </row>
    <row r="94" spans="1:11" ht="19" customHeight="1">
      <c r="A94" s="18" t="s">
        <v>13</v>
      </c>
      <c r="B94" s="18" t="s">
        <v>67</v>
      </c>
      <c r="C94" s="18" t="s">
        <v>68</v>
      </c>
      <c r="D94" s="18" t="s">
        <v>10</v>
      </c>
      <c r="E94" s="18" t="s">
        <v>376</v>
      </c>
      <c r="F94" s="18" t="s">
        <v>379</v>
      </c>
      <c r="G94" s="26">
        <v>2796</v>
      </c>
      <c r="H94" s="22">
        <v>15745</v>
      </c>
      <c r="I94" s="27">
        <f>IF(COUNTIFS('Taux'!$A$6:$A$20,A94,'Taux'!$B$6:$B$20,D94)=1,SUMIFS('Taux'!$D$6:$D$20,'Taux'!$A$6:$A$20,A94,'Taux'!$B$6:$B$20,D94),"n.d.")</f>
        <v>1</v>
      </c>
      <c r="J94" s="22">
        <f>IF(COUNT(H94,I94)=2,H94/I94,"n.d.")</f>
        <v>15745.0</v>
      </c>
      <c r="K94" s="18" t="s">
        <v>435</v>
      </c>
    </row>
    <row r="95" spans="1:11" ht="19" customHeight="1">
      <c r="A95" s="18" t="s">
        <v>13</v>
      </c>
      <c r="B95" s="18" t="s">
        <v>67</v>
      </c>
      <c r="C95" s="18" t="s">
        <v>68</v>
      </c>
      <c r="D95" s="18" t="s">
        <v>10</v>
      </c>
      <c r="E95" s="18" t="s">
        <v>376</v>
      </c>
      <c r="F95" s="18" t="s">
        <v>381</v>
      </c>
      <c r="G95" s="26">
        <v>14197</v>
      </c>
      <c r="H95" s="22">
        <v>545285</v>
      </c>
      <c r="I95" s="27">
        <f>IF(COUNTIFS('Taux'!$A$6:$A$20,A95,'Taux'!$B$6:$B$20,D95)=1,SUMIFS('Taux'!$D$6:$D$20,'Taux'!$A$6:$A$20,A95,'Taux'!$B$6:$B$20,D95),"n.d.")</f>
        <v>1</v>
      </c>
      <c r="J95" s="22">
        <f>IF(COUNT(H95,I95)=2,H95/I95,"n.d.")</f>
        <v>545285.0</v>
      </c>
      <c r="K95" s="18" t="s">
        <v>436</v>
      </c>
    </row>
    <row r="96" spans="1:11" ht="19" customHeight="1">
      <c r="A96" s="18" t="s">
        <v>13</v>
      </c>
      <c r="B96" s="18" t="s">
        <v>67</v>
      </c>
      <c r="C96" s="18" t="s">
        <v>68</v>
      </c>
      <c r="D96" s="18" t="s">
        <v>10</v>
      </c>
      <c r="E96" s="18" t="s">
        <v>376</v>
      </c>
      <c r="F96" s="18" t="s">
        <v>437</v>
      </c>
      <c r="G96" s="26">
        <v>3712</v>
      </c>
      <c r="H96" s="22">
        <v>778963</v>
      </c>
      <c r="I96" s="27">
        <f>IF(COUNTIFS('Taux'!$A$6:$A$20,A96,'Taux'!$B$6:$B$20,D96)=1,SUMIFS('Taux'!$D$6:$D$20,'Taux'!$A$6:$A$20,A96,'Taux'!$B$6:$B$20,D96),"n.d.")</f>
        <v>1</v>
      </c>
      <c r="J96" s="22">
        <f>IF(COUNT(H96,I96)=2,H96/I96,"n.d.")</f>
        <v>778963.0</v>
      </c>
      <c r="K96" s="18" t="s">
        <v>438</v>
      </c>
    </row>
    <row r="97" spans="1:11" ht="19" customHeight="1">
      <c r="A97" s="18" t="s">
        <v>13</v>
      </c>
      <c r="B97" s="18" t="s">
        <v>67</v>
      </c>
      <c r="C97" s="18" t="s">
        <v>68</v>
      </c>
      <c r="D97" s="18" t="s">
        <v>10</v>
      </c>
      <c r="E97" s="18" t="s">
        <v>376</v>
      </c>
      <c r="F97" s="18" t="s">
        <v>439</v>
      </c>
      <c r="G97" s="26">
        <v>575</v>
      </c>
      <c r="H97" s="22">
        <v>398611</v>
      </c>
      <c r="I97" s="27">
        <f>IF(COUNTIFS('Taux'!$A$6:$A$20,A97,'Taux'!$B$6:$B$20,D97)=1,SUMIFS('Taux'!$D$6:$D$20,'Taux'!$A$6:$A$20,A97,'Taux'!$B$6:$B$20,D97),"n.d.")</f>
        <v>1</v>
      </c>
      <c r="J97" s="22">
        <f>IF(COUNT(H97,I97)=2,H97/I97,"n.d.")</f>
        <v>398611.0</v>
      </c>
      <c r="K97" s="18" t="s">
        <v>440</v>
      </c>
    </row>
    <row r="98" spans="1:11" ht="19" customHeight="1">
      <c r="A98" s="18" t="s">
        <v>13</v>
      </c>
      <c r="B98" s="18" t="s">
        <v>67</v>
      </c>
      <c r="C98" s="18" t="s">
        <v>68</v>
      </c>
      <c r="D98" s="18" t="s">
        <v>10</v>
      </c>
      <c r="E98" s="18" t="s">
        <v>376</v>
      </c>
      <c r="F98" s="18" t="s">
        <v>385</v>
      </c>
      <c r="G98" s="26">
        <v>865</v>
      </c>
      <c r="H98" s="22">
        <v>1734392</v>
      </c>
      <c r="I98" s="27">
        <f>IF(COUNTIFS('Taux'!$A$6:$A$20,A98,'Taux'!$B$6:$B$20,D98)=1,SUMIFS('Taux'!$D$6:$D$20,'Taux'!$A$6:$A$20,A98,'Taux'!$B$6:$B$20,D98),"n.d.")</f>
        <v>1</v>
      </c>
      <c r="J98" s="22">
        <f>IF(COUNT(H98,I98)=2,H98/I98,"n.d.")</f>
        <v>1734392.0</v>
      </c>
      <c r="K98" s="18" t="s">
        <v>441</v>
      </c>
    </row>
    <row r="99" spans="1:11" ht="19" customHeight="1">
      <c r="A99" s="18" t="s">
        <v>13</v>
      </c>
      <c r="B99" s="18" t="s">
        <v>67</v>
      </c>
      <c r="C99" s="18" t="s">
        <v>68</v>
      </c>
      <c r="D99" s="18" t="s">
        <v>10</v>
      </c>
      <c r="E99" s="18" t="s">
        <v>33</v>
      </c>
      <c r="F99" s="18" t="s">
        <v>387</v>
      </c>
      <c r="G99" s="26">
        <v>2354</v>
      </c>
      <c r="H99" s="22">
        <v>88890</v>
      </c>
      <c r="I99" s="27">
        <f>IF(COUNTIFS('Taux'!$A$6:$A$20,A99,'Taux'!$B$6:$B$20,D99)=1,SUMIFS('Taux'!$D$6:$D$20,'Taux'!$A$6:$A$20,A99,'Taux'!$B$6:$B$20,D99),"n.d.")</f>
        <v>1</v>
      </c>
      <c r="J99" s="22">
        <f>IF(COUNT(H99,I99)=2,H99/I99,"n.d.")</f>
        <v>88890.0</v>
      </c>
      <c r="K99" s="18" t="s">
        <v>442</v>
      </c>
    </row>
    <row r="100" spans="1:11" ht="19" customHeight="1">
      <c r="A100" s="18" t="s">
        <v>13</v>
      </c>
      <c r="B100" s="18" t="s">
        <v>67</v>
      </c>
      <c r="C100" s="18" t="s">
        <v>68</v>
      </c>
      <c r="D100" s="18" t="s">
        <v>10</v>
      </c>
      <c r="E100" s="18" t="s">
        <v>33</v>
      </c>
      <c r="F100" s="18" t="s">
        <v>389</v>
      </c>
      <c r="G100" s="26">
        <v>199</v>
      </c>
      <c r="H100" s="22">
        <v>13089</v>
      </c>
      <c r="I100" s="27">
        <f>IF(COUNTIFS('Taux'!$A$6:$A$20,A100,'Taux'!$B$6:$B$20,D100)=1,SUMIFS('Taux'!$D$6:$D$20,'Taux'!$A$6:$A$20,A100,'Taux'!$B$6:$B$20,D100),"n.d.")</f>
        <v>1</v>
      </c>
      <c r="J100" s="22">
        <f>IF(COUNT(H100,I100)=2,H100/I100,"n.d.")</f>
        <v>13089.0</v>
      </c>
      <c r="K100" s="18" t="s">
        <v>443</v>
      </c>
    </row>
    <row r="101" spans="1:11" ht="19" customHeight="1">
      <c r="A101" s="18" t="s">
        <v>13</v>
      </c>
      <c r="B101" s="18" t="s">
        <v>67</v>
      </c>
      <c r="C101" s="18" t="s">
        <v>68</v>
      </c>
      <c r="D101" s="18" t="s">
        <v>10</v>
      </c>
      <c r="E101" s="18" t="s">
        <v>33</v>
      </c>
      <c r="F101" s="18" t="s">
        <v>391</v>
      </c>
      <c r="G101" s="26">
        <v>400</v>
      </c>
      <c r="H101" s="22">
        <v>28105</v>
      </c>
      <c r="I101" s="27">
        <f>IF(COUNTIFS('Taux'!$A$6:$A$20,A101,'Taux'!$B$6:$B$20,D101)=1,SUMIFS('Taux'!$D$6:$D$20,'Taux'!$A$6:$A$20,A101,'Taux'!$B$6:$B$20,D101),"n.d.")</f>
        <v>1</v>
      </c>
      <c r="J101" s="22">
        <f>IF(COUNT(H101,I101)=2,H101/I101,"n.d.")</f>
        <v>28105.0</v>
      </c>
      <c r="K101" s="18" t="s">
        <v>444</v>
      </c>
    </row>
    <row r="102" spans="1:11" ht="19" customHeight="1">
      <c r="A102" s="18" t="s">
        <v>13</v>
      </c>
      <c r="B102" s="18" t="s">
        <v>67</v>
      </c>
      <c r="C102" s="18" t="s">
        <v>68</v>
      </c>
      <c r="D102" s="18" t="s">
        <v>10</v>
      </c>
      <c r="E102" s="18" t="s">
        <v>33</v>
      </c>
      <c r="F102" s="18" t="s">
        <v>393</v>
      </c>
      <c r="G102" s="26">
        <v>359</v>
      </c>
      <c r="H102" s="22">
        <v>23138</v>
      </c>
      <c r="I102" s="27">
        <f>IF(COUNTIFS('Taux'!$A$6:$A$20,A102,'Taux'!$B$6:$B$20,D102)=1,SUMIFS('Taux'!$D$6:$D$20,'Taux'!$A$6:$A$20,A102,'Taux'!$B$6:$B$20,D102),"n.d.")</f>
        <v>1</v>
      </c>
      <c r="J102" s="22">
        <f>IF(COUNT(H102,I102)=2,H102/I102,"n.d.")</f>
        <v>23138.0</v>
      </c>
      <c r="K102" s="18" t="s">
        <v>445</v>
      </c>
    </row>
    <row r="103" spans="1:11" ht="19" customHeight="1">
      <c r="A103" s="18" t="s">
        <v>13</v>
      </c>
      <c r="B103" s="18" t="s">
        <v>67</v>
      </c>
      <c r="C103" s="18" t="s">
        <v>68</v>
      </c>
      <c r="D103" s="18" t="s">
        <v>10</v>
      </c>
      <c r="E103" s="18" t="s">
        <v>33</v>
      </c>
      <c r="F103" s="18" t="s">
        <v>395</v>
      </c>
      <c r="G103" s="26">
        <v>388</v>
      </c>
      <c r="H103" s="22">
        <v>29819</v>
      </c>
      <c r="I103" s="27">
        <f>IF(COUNTIFS('Taux'!$A$6:$A$20,A103,'Taux'!$B$6:$B$20,D103)=1,SUMIFS('Taux'!$D$6:$D$20,'Taux'!$A$6:$A$20,A103,'Taux'!$B$6:$B$20,D103),"n.d.")</f>
        <v>1</v>
      </c>
      <c r="J103" s="22">
        <f>IF(COUNT(H103,I103)=2,H103/I103,"n.d.")</f>
        <v>29819.0</v>
      </c>
      <c r="K103" s="18" t="s">
        <v>446</v>
      </c>
    </row>
    <row r="104" spans="1:11" ht="19" customHeight="1">
      <c r="A104" s="18" t="s">
        <v>13</v>
      </c>
      <c r="B104" s="18" t="s">
        <v>67</v>
      </c>
      <c r="C104" s="18" t="s">
        <v>68</v>
      </c>
      <c r="D104" s="18" t="s">
        <v>10</v>
      </c>
      <c r="E104" s="18" t="s">
        <v>33</v>
      </c>
      <c r="F104" s="18" t="s">
        <v>397</v>
      </c>
      <c r="G104" s="26">
        <v>540</v>
      </c>
      <c r="H104" s="22">
        <v>273897</v>
      </c>
      <c r="I104" s="27">
        <f>IF(COUNTIFS('Taux'!$A$6:$A$20,A104,'Taux'!$B$6:$B$20,D104)=1,SUMIFS('Taux'!$D$6:$D$20,'Taux'!$A$6:$A$20,A104,'Taux'!$B$6:$B$20,D104),"n.d.")</f>
        <v>1</v>
      </c>
      <c r="J104" s="22">
        <f>IF(COUNT(H104,I104)=2,H104/I104,"n.d.")</f>
        <v>273897.0</v>
      </c>
      <c r="K104" s="18" t="s">
        <v>447</v>
      </c>
    </row>
    <row r="105" spans="1:11" ht="19" customHeight="1">
      <c r="A105" s="18" t="s">
        <v>13</v>
      </c>
      <c r="B105" s="18" t="s">
        <v>67</v>
      </c>
      <c r="C105" s="18" t="s">
        <v>68</v>
      </c>
      <c r="D105" s="18" t="s">
        <v>10</v>
      </c>
      <c r="E105" s="18" t="s">
        <v>33</v>
      </c>
      <c r="F105" s="18" t="s">
        <v>399</v>
      </c>
      <c r="G105" s="26">
        <v>1107</v>
      </c>
      <c r="H105" s="22">
        <v>222500</v>
      </c>
      <c r="I105" s="27">
        <f>IF(COUNTIFS('Taux'!$A$6:$A$20,A105,'Taux'!$B$6:$B$20,D105)=1,SUMIFS('Taux'!$D$6:$D$20,'Taux'!$A$6:$A$20,A105,'Taux'!$B$6:$B$20,D105),"n.d.")</f>
        <v>1</v>
      </c>
      <c r="J105" s="22">
        <f>IF(COUNT(H105,I105)=2,H105/I105,"n.d.")</f>
        <v>222500.0</v>
      </c>
      <c r="K105" s="18" t="s">
        <v>448</v>
      </c>
    </row>
    <row r="106" spans="1:11" ht="19" customHeight="1">
      <c r="A106" s="18" t="s">
        <v>13</v>
      </c>
      <c r="B106" s="18" t="s">
        <v>67</v>
      </c>
      <c r="C106" s="18" t="s">
        <v>68</v>
      </c>
      <c r="D106" s="18" t="s">
        <v>10</v>
      </c>
      <c r="E106" s="18" t="s">
        <v>33</v>
      </c>
      <c r="F106" s="18" t="s">
        <v>95</v>
      </c>
      <c r="G106" s="26">
        <v>3171</v>
      </c>
      <c r="H106" s="22">
        <v>253677</v>
      </c>
      <c r="I106" s="27">
        <f>IF(COUNTIFS('Taux'!$A$6:$A$20,A106,'Taux'!$B$6:$B$20,D106)=1,SUMIFS('Taux'!$D$6:$D$20,'Taux'!$A$6:$A$20,A106,'Taux'!$B$6:$B$20,D106),"n.d.")</f>
        <v>1</v>
      </c>
      <c r="J106" s="22">
        <f>IF(COUNT(H106,I106)=2,H106/I106,"n.d.")</f>
        <v>253677.0</v>
      </c>
      <c r="K106" s="18" t="s">
        <v>449</v>
      </c>
    </row>
    <row r="107" spans="1:11" ht="19" customHeight="1">
      <c r="A107" s="18" t="s">
        <v>13</v>
      </c>
      <c r="B107" s="18" t="s">
        <v>67</v>
      </c>
      <c r="C107" s="18" t="s">
        <v>68</v>
      </c>
      <c r="D107" s="18" t="s">
        <v>10</v>
      </c>
      <c r="E107" s="18" t="s">
        <v>33</v>
      </c>
      <c r="F107" s="18" t="s">
        <v>53</v>
      </c>
      <c r="G107" s="26">
        <v>4704</v>
      </c>
      <c r="H107" s="22">
        <v>553548</v>
      </c>
      <c r="I107" s="27">
        <f>IF(COUNTIFS('Taux'!$A$6:$A$20,A107,'Taux'!$B$6:$B$20,D107)=1,SUMIFS('Taux'!$D$6:$D$20,'Taux'!$A$6:$A$20,A107,'Taux'!$B$6:$B$20,D107),"n.d.")</f>
        <v>1</v>
      </c>
      <c r="J107" s="22">
        <f>IF(COUNT(H107,I107)=2,H107/I107,"n.d.")</f>
        <v>553548.0</v>
      </c>
      <c r="K107" s="18" t="s">
        <v>450</v>
      </c>
    </row>
    <row r="108" spans="1:11" ht="19" customHeight="1">
      <c r="A108" s="18" t="s">
        <v>13</v>
      </c>
      <c r="B108" s="18" t="s">
        <v>67</v>
      </c>
      <c r="C108" s="18" t="s">
        <v>68</v>
      </c>
      <c r="D108" s="18" t="s">
        <v>10</v>
      </c>
      <c r="E108" s="18" t="s">
        <v>33</v>
      </c>
      <c r="F108" s="18" t="s">
        <v>55</v>
      </c>
      <c r="G108" s="26">
        <v>10085</v>
      </c>
      <c r="H108" s="22">
        <v>1986810</v>
      </c>
      <c r="I108" s="27">
        <f>IF(COUNTIFS('Taux'!$A$6:$A$20,A108,'Taux'!$B$6:$B$20,D108)=1,SUMIFS('Taux'!$D$6:$D$20,'Taux'!$A$6:$A$20,A108,'Taux'!$B$6:$B$20,D108),"n.d.")</f>
        <v>1</v>
      </c>
      <c r="J108" s="22">
        <f>IF(COUNT(H108,I108)=2,H108/I108,"n.d.")</f>
        <v>1986810.0</v>
      </c>
      <c r="K108" s="18" t="s">
        <v>451</v>
      </c>
    </row>
    <row r="109" spans="1:11" ht="19" customHeight="1">
      <c r="A109" s="18" t="s">
        <v>13</v>
      </c>
      <c r="B109" s="18" t="s">
        <v>72</v>
      </c>
      <c r="C109" s="18" t="s">
        <v>73</v>
      </c>
      <c r="D109" s="18" t="s">
        <v>10</v>
      </c>
      <c r="E109" s="18" t="s">
        <v>376</v>
      </c>
      <c r="F109" s="18" t="s">
        <v>377</v>
      </c>
      <c r="G109" s="26">
        <v>18778</v>
      </c>
      <c r="H109" s="22">
        <v>8558</v>
      </c>
      <c r="I109" s="27">
        <f>IF(COUNTIFS('Taux'!$A$6:$A$20,A109,'Taux'!$B$6:$B$20,D109)=1,SUMIFS('Taux'!$D$6:$D$20,'Taux'!$A$6:$A$20,A109,'Taux'!$B$6:$B$20,D109),"n.d.")</f>
        <v>1</v>
      </c>
      <c r="J109" s="22">
        <f>IF(COUNT(H109,I109)=2,H109/I109,"n.d.")</f>
        <v>8558.0</v>
      </c>
      <c r="K109" s="18" t="s">
        <v>452</v>
      </c>
    </row>
    <row r="110" spans="1:11" ht="19" customHeight="1">
      <c r="A110" s="18" t="s">
        <v>13</v>
      </c>
      <c r="B110" s="18" t="s">
        <v>72</v>
      </c>
      <c r="C110" s="18" t="s">
        <v>73</v>
      </c>
      <c r="D110" s="18" t="s">
        <v>10</v>
      </c>
      <c r="E110" s="18" t="s">
        <v>376</v>
      </c>
      <c r="F110" s="18" t="s">
        <v>379</v>
      </c>
      <c r="G110" s="26">
        <v>75068</v>
      </c>
      <c r="H110" s="22">
        <v>205306</v>
      </c>
      <c r="I110" s="27">
        <f>IF(COUNTIFS('Taux'!$A$6:$A$20,A110,'Taux'!$B$6:$B$20,D110)=1,SUMIFS('Taux'!$D$6:$D$20,'Taux'!$A$6:$A$20,A110,'Taux'!$B$6:$B$20,D110),"n.d.")</f>
        <v>1</v>
      </c>
      <c r="J110" s="22">
        <f>IF(COUNT(H110,I110)=2,H110/I110,"n.d.")</f>
        <v>205306.0</v>
      </c>
      <c r="K110" s="18" t="s">
        <v>453</v>
      </c>
    </row>
    <row r="111" spans="1:11" ht="19" customHeight="1">
      <c r="A111" s="18" t="s">
        <v>13</v>
      </c>
      <c r="B111" s="18" t="s">
        <v>72</v>
      </c>
      <c r="C111" s="18" t="s">
        <v>73</v>
      </c>
      <c r="D111" s="18" t="s">
        <v>10</v>
      </c>
      <c r="E111" s="18" t="s">
        <v>376</v>
      </c>
      <c r="F111" s="18" t="s">
        <v>381</v>
      </c>
      <c r="G111" s="26">
        <v>8379</v>
      </c>
      <c r="H111" s="22">
        <v>310582</v>
      </c>
      <c r="I111" s="27">
        <f>IF(COUNTIFS('Taux'!$A$6:$A$20,A111,'Taux'!$B$6:$B$20,D111)=1,SUMIFS('Taux'!$D$6:$D$20,'Taux'!$A$6:$A$20,A111,'Taux'!$B$6:$B$20,D111),"n.d.")</f>
        <v>1</v>
      </c>
      <c r="J111" s="22">
        <f>IF(COUNT(H111,I111)=2,H111/I111,"n.d.")</f>
        <v>310582.0</v>
      </c>
      <c r="K111" s="18" t="s">
        <v>454</v>
      </c>
    </row>
    <row r="112" spans="1:11" ht="19" customHeight="1">
      <c r="A112" s="18" t="s">
        <v>13</v>
      </c>
      <c r="B112" s="18" t="s">
        <v>72</v>
      </c>
      <c r="C112" s="18" t="s">
        <v>73</v>
      </c>
      <c r="D112" s="18" t="s">
        <v>10</v>
      </c>
      <c r="E112" s="18" t="s">
        <v>376</v>
      </c>
      <c r="F112" s="18" t="s">
        <v>383</v>
      </c>
      <c r="G112" s="26">
        <v>5882</v>
      </c>
      <c r="H112" s="22">
        <v>1654928</v>
      </c>
      <c r="I112" s="27">
        <f>IF(COUNTIFS('Taux'!$A$6:$A$20,A112,'Taux'!$B$6:$B$20,D112)=1,SUMIFS('Taux'!$D$6:$D$20,'Taux'!$A$6:$A$20,A112,'Taux'!$B$6:$B$20,D112),"n.d.")</f>
        <v>1</v>
      </c>
      <c r="J112" s="22">
        <f>IF(COUNT(H112,I112)=2,H112/I112,"n.d.")</f>
        <v>1654928.0</v>
      </c>
      <c r="K112" s="18" t="s">
        <v>455</v>
      </c>
    </row>
    <row r="113" spans="1:11" ht="19" customHeight="1">
      <c r="A113" s="18" t="s">
        <v>13</v>
      </c>
      <c r="B113" s="18" t="s">
        <v>72</v>
      </c>
      <c r="C113" s="18" t="s">
        <v>73</v>
      </c>
      <c r="D113" s="18" t="s">
        <v>10</v>
      </c>
      <c r="E113" s="18" t="s">
        <v>376</v>
      </c>
      <c r="F113" s="18" t="s">
        <v>385</v>
      </c>
      <c r="G113" s="26">
        <v>366</v>
      </c>
      <c r="H113" s="22">
        <v>843871</v>
      </c>
      <c r="I113" s="27">
        <f>IF(COUNTIFS('Taux'!$A$6:$A$20,A113,'Taux'!$B$6:$B$20,D113)=1,SUMIFS('Taux'!$D$6:$D$20,'Taux'!$A$6:$A$20,A113,'Taux'!$B$6:$B$20,D113),"n.d.")</f>
        <v>1</v>
      </c>
      <c r="J113" s="22">
        <f>IF(COUNT(H113,I113)=2,H113/I113,"n.d.")</f>
        <v>843871.0</v>
      </c>
      <c r="K113" s="18" t="s">
        <v>456</v>
      </c>
    </row>
    <row r="114" spans="1:11" ht="19" customHeight="1">
      <c r="A114" s="18" t="s">
        <v>13</v>
      </c>
      <c r="B114" s="18" t="s">
        <v>72</v>
      </c>
      <c r="C114" s="18" t="s">
        <v>73</v>
      </c>
      <c r="D114" s="18" t="s">
        <v>10</v>
      </c>
      <c r="E114" s="18" t="s">
        <v>33</v>
      </c>
      <c r="F114" s="18" t="s">
        <v>387</v>
      </c>
      <c r="G114" s="26">
        <v>8231</v>
      </c>
      <c r="H114" s="22">
        <v>527268</v>
      </c>
      <c r="I114" s="27">
        <f>IF(COUNTIFS('Taux'!$A$6:$A$20,A114,'Taux'!$B$6:$B$20,D114)=1,SUMIFS('Taux'!$D$6:$D$20,'Taux'!$A$6:$A$20,A114,'Taux'!$B$6:$B$20,D114),"n.d.")</f>
        <v>1</v>
      </c>
      <c r="J114" s="22">
        <f>IF(COUNT(H114,I114)=2,H114/I114,"n.d.")</f>
        <v>527268.0</v>
      </c>
      <c r="K114" s="18" t="s">
        <v>457</v>
      </c>
    </row>
    <row r="115" spans="1:11" ht="19" customHeight="1">
      <c r="A115" s="18" t="s">
        <v>13</v>
      </c>
      <c r="B115" s="18" t="s">
        <v>72</v>
      </c>
      <c r="C115" s="18" t="s">
        <v>73</v>
      </c>
      <c r="D115" s="18" t="s">
        <v>10</v>
      </c>
      <c r="E115" s="18" t="s">
        <v>33</v>
      </c>
      <c r="F115" s="18" t="s">
        <v>389</v>
      </c>
      <c r="G115" s="26">
        <v>6209</v>
      </c>
      <c r="H115" s="22">
        <v>112892</v>
      </c>
      <c r="I115" s="27">
        <f>IF(COUNTIFS('Taux'!$A$6:$A$20,A115,'Taux'!$B$6:$B$20,D115)=1,SUMIFS('Taux'!$D$6:$D$20,'Taux'!$A$6:$A$20,A115,'Taux'!$B$6:$B$20,D115),"n.d.")</f>
        <v>1</v>
      </c>
      <c r="J115" s="22">
        <f>IF(COUNT(H115,I115)=2,H115/I115,"n.d.")</f>
        <v>112892.0</v>
      </c>
      <c r="K115" s="18" t="s">
        <v>458</v>
      </c>
    </row>
    <row r="116" spans="1:11" ht="19" customHeight="1">
      <c r="A116" s="18" t="s">
        <v>13</v>
      </c>
      <c r="B116" s="18" t="s">
        <v>72</v>
      </c>
      <c r="C116" s="18" t="s">
        <v>73</v>
      </c>
      <c r="D116" s="18" t="s">
        <v>10</v>
      </c>
      <c r="E116" s="18" t="s">
        <v>33</v>
      </c>
      <c r="F116" s="18" t="s">
        <v>391</v>
      </c>
      <c r="G116" s="26">
        <v>15777</v>
      </c>
      <c r="H116" s="22">
        <v>170983</v>
      </c>
      <c r="I116" s="27">
        <f>IF(COUNTIFS('Taux'!$A$6:$A$20,A116,'Taux'!$B$6:$B$20,D116)=1,SUMIFS('Taux'!$D$6:$D$20,'Taux'!$A$6:$A$20,A116,'Taux'!$B$6:$B$20,D116),"n.d.")</f>
        <v>1</v>
      </c>
      <c r="J116" s="22">
        <f>IF(COUNT(H116,I116)=2,H116/I116,"n.d.")</f>
        <v>170983.0</v>
      </c>
      <c r="K116" s="18" t="s">
        <v>459</v>
      </c>
    </row>
    <row r="117" spans="1:11" ht="19" customHeight="1">
      <c r="A117" s="18" t="s">
        <v>13</v>
      </c>
      <c r="B117" s="18" t="s">
        <v>72</v>
      </c>
      <c r="C117" s="18" t="s">
        <v>73</v>
      </c>
      <c r="D117" s="18" t="s">
        <v>10</v>
      </c>
      <c r="E117" s="18" t="s">
        <v>33</v>
      </c>
      <c r="F117" s="18" t="s">
        <v>393</v>
      </c>
      <c r="G117" s="26">
        <v>15829</v>
      </c>
      <c r="H117" s="22">
        <v>199362</v>
      </c>
      <c r="I117" s="27">
        <f>IF(COUNTIFS('Taux'!$A$6:$A$20,A117,'Taux'!$B$6:$B$20,D117)=1,SUMIFS('Taux'!$D$6:$D$20,'Taux'!$A$6:$A$20,A117,'Taux'!$B$6:$B$20,D117),"n.d.")</f>
        <v>1</v>
      </c>
      <c r="J117" s="22">
        <f>IF(COUNT(H117,I117)=2,H117/I117,"n.d.")</f>
        <v>199362.0</v>
      </c>
      <c r="K117" s="18" t="s">
        <v>460</v>
      </c>
    </row>
    <row r="118" spans="1:11" ht="19" customHeight="1">
      <c r="A118" s="18" t="s">
        <v>13</v>
      </c>
      <c r="B118" s="18" t="s">
        <v>72</v>
      </c>
      <c r="C118" s="18" t="s">
        <v>73</v>
      </c>
      <c r="D118" s="18" t="s">
        <v>10</v>
      </c>
      <c r="E118" s="18" t="s">
        <v>33</v>
      </c>
      <c r="F118" s="18" t="s">
        <v>395</v>
      </c>
      <c r="G118" s="26">
        <v>12963</v>
      </c>
      <c r="H118" s="22">
        <v>147913</v>
      </c>
      <c r="I118" s="27">
        <f>IF(COUNTIFS('Taux'!$A$6:$A$20,A118,'Taux'!$B$6:$B$20,D118)=1,SUMIFS('Taux'!$D$6:$D$20,'Taux'!$A$6:$A$20,A118,'Taux'!$B$6:$B$20,D118),"n.d.")</f>
        <v>1</v>
      </c>
      <c r="J118" s="22">
        <f>IF(COUNT(H118,I118)=2,H118/I118,"n.d.")</f>
        <v>147913.0</v>
      </c>
      <c r="K118" s="18" t="s">
        <v>461</v>
      </c>
    </row>
    <row r="119" spans="1:11" ht="19" customHeight="1">
      <c r="A119" s="18" t="s">
        <v>13</v>
      </c>
      <c r="B119" s="18" t="s">
        <v>72</v>
      </c>
      <c r="C119" s="18" t="s">
        <v>73</v>
      </c>
      <c r="D119" s="18" t="s">
        <v>10</v>
      </c>
      <c r="E119" s="18" t="s">
        <v>33</v>
      </c>
      <c r="F119" s="18" t="s">
        <v>397</v>
      </c>
      <c r="G119" s="26">
        <v>10844</v>
      </c>
      <c r="H119" s="22">
        <v>135893</v>
      </c>
      <c r="I119" s="27">
        <f>IF(COUNTIFS('Taux'!$A$6:$A$20,A119,'Taux'!$B$6:$B$20,D119)=1,SUMIFS('Taux'!$D$6:$D$20,'Taux'!$A$6:$A$20,A119,'Taux'!$B$6:$B$20,D119),"n.d.")</f>
        <v>1</v>
      </c>
      <c r="J119" s="22">
        <f>IF(COUNT(H119,I119)=2,H119/I119,"n.d.")</f>
        <v>135893.0</v>
      </c>
      <c r="K119" s="18" t="s">
        <v>462</v>
      </c>
    </row>
    <row r="120" spans="1:11" ht="19" customHeight="1">
      <c r="A120" s="18" t="s">
        <v>13</v>
      </c>
      <c r="B120" s="18" t="s">
        <v>72</v>
      </c>
      <c r="C120" s="18" t="s">
        <v>73</v>
      </c>
      <c r="D120" s="18" t="s">
        <v>10</v>
      </c>
      <c r="E120" s="18" t="s">
        <v>33</v>
      </c>
      <c r="F120" s="18" t="s">
        <v>399</v>
      </c>
      <c r="G120" s="26">
        <v>11955</v>
      </c>
      <c r="H120" s="22">
        <v>163480</v>
      </c>
      <c r="I120" s="27">
        <f>IF(COUNTIFS('Taux'!$A$6:$A$20,A120,'Taux'!$B$6:$B$20,D120)=1,SUMIFS('Taux'!$D$6:$D$20,'Taux'!$A$6:$A$20,A120,'Taux'!$B$6:$B$20,D120),"n.d.")</f>
        <v>1</v>
      </c>
      <c r="J120" s="22">
        <f>IF(COUNT(H120,I120)=2,H120/I120,"n.d.")</f>
        <v>163480.0</v>
      </c>
      <c r="K120" s="18" t="s">
        <v>463</v>
      </c>
    </row>
    <row r="121" spans="1:11" ht="19" customHeight="1">
      <c r="A121" s="18" t="s">
        <v>13</v>
      </c>
      <c r="B121" s="18" t="s">
        <v>72</v>
      </c>
      <c r="C121" s="18" t="s">
        <v>73</v>
      </c>
      <c r="D121" s="18" t="s">
        <v>10</v>
      </c>
      <c r="E121" s="18" t="s">
        <v>33</v>
      </c>
      <c r="F121" s="18" t="s">
        <v>95</v>
      </c>
      <c r="G121" s="26">
        <v>12805</v>
      </c>
      <c r="H121" s="22">
        <v>290503</v>
      </c>
      <c r="I121" s="27">
        <f>IF(COUNTIFS('Taux'!$A$6:$A$20,A121,'Taux'!$B$6:$B$20,D121)=1,SUMIFS('Taux'!$D$6:$D$20,'Taux'!$A$6:$A$20,A121,'Taux'!$B$6:$B$20,D121),"n.d.")</f>
        <v>1</v>
      </c>
      <c r="J121" s="22">
        <f>IF(COUNT(H121,I121)=2,H121/I121,"n.d.")</f>
        <v>290503.0</v>
      </c>
      <c r="K121" s="18" t="s">
        <v>464</v>
      </c>
    </row>
    <row r="122" spans="1:11" ht="19" customHeight="1">
      <c r="A122" s="18" t="s">
        <v>13</v>
      </c>
      <c r="B122" s="18" t="s">
        <v>72</v>
      </c>
      <c r="C122" s="18" t="s">
        <v>73</v>
      </c>
      <c r="D122" s="18" t="s">
        <v>10</v>
      </c>
      <c r="E122" s="18" t="s">
        <v>33</v>
      </c>
      <c r="F122" s="18" t="s">
        <v>53</v>
      </c>
      <c r="G122" s="26">
        <v>8118</v>
      </c>
      <c r="H122" s="22">
        <v>360502</v>
      </c>
      <c r="I122" s="27">
        <f>IF(COUNTIFS('Taux'!$A$6:$A$20,A122,'Taux'!$B$6:$B$20,D122)=1,SUMIFS('Taux'!$D$6:$D$20,'Taux'!$A$6:$A$20,A122,'Taux'!$B$6:$B$20,D122),"n.d.")</f>
        <v>1</v>
      </c>
      <c r="J122" s="22">
        <f>IF(COUNT(H122,I122)=2,H122/I122,"n.d.")</f>
        <v>360502.0</v>
      </c>
      <c r="K122" s="18" t="s">
        <v>465</v>
      </c>
    </row>
    <row r="123" spans="1:11" ht="19" customHeight="1">
      <c r="A123" s="18" t="s">
        <v>13</v>
      </c>
      <c r="B123" s="18" t="s">
        <v>72</v>
      </c>
      <c r="C123" s="18" t="s">
        <v>73</v>
      </c>
      <c r="D123" s="18" t="s">
        <v>10</v>
      </c>
      <c r="E123" s="18" t="s">
        <v>33</v>
      </c>
      <c r="F123" s="18" t="s">
        <v>55</v>
      </c>
      <c r="G123" s="26">
        <v>5742</v>
      </c>
      <c r="H123" s="22">
        <v>914449</v>
      </c>
      <c r="I123" s="27">
        <f>IF(COUNTIFS('Taux'!$A$6:$A$20,A123,'Taux'!$B$6:$B$20,D123)=1,SUMIFS('Taux'!$D$6:$D$20,'Taux'!$A$6:$A$20,A123,'Taux'!$B$6:$B$20,D123),"n.d.")</f>
        <v>1</v>
      </c>
      <c r="J123" s="22">
        <f>IF(COUNT(H123,I123)=2,H123/I123,"n.d.")</f>
        <v>914449.0</v>
      </c>
      <c r="K123" s="18" t="s">
        <v>466</v>
      </c>
    </row>
    <row r="124" spans="1:11" ht="19" customHeight="1">
      <c r="A124" s="18" t="s">
        <v>13</v>
      </c>
      <c r="B124" s="18" t="s">
        <v>77</v>
      </c>
      <c r="C124" s="18" t="s">
        <v>78</v>
      </c>
      <c r="D124" s="18" t="s">
        <v>10</v>
      </c>
      <c r="E124" s="18" t="s">
        <v>376</v>
      </c>
      <c r="F124" s="18" t="s">
        <v>377</v>
      </c>
      <c r="G124" s="26">
        <v>4094</v>
      </c>
      <c r="H124" s="22">
        <v>1230</v>
      </c>
      <c r="I124" s="27">
        <f>IF(COUNTIFS('Taux'!$A$6:$A$20,A124,'Taux'!$B$6:$B$20,D124)=1,SUMIFS('Taux'!$D$6:$D$20,'Taux'!$A$6:$A$20,A124,'Taux'!$B$6:$B$20,D124),"n.d.")</f>
        <v>1</v>
      </c>
      <c r="J124" s="22">
        <f>IF(COUNT(H124,I124)=2,H124/I124,"n.d.")</f>
        <v>1230.0</v>
      </c>
      <c r="K124" s="18" t="s">
        <v>467</v>
      </c>
    </row>
    <row r="125" spans="1:11" ht="19" customHeight="1">
      <c r="A125" s="18" t="s">
        <v>13</v>
      </c>
      <c r="B125" s="18" t="s">
        <v>77</v>
      </c>
      <c r="C125" s="18" t="s">
        <v>78</v>
      </c>
      <c r="D125" s="18" t="s">
        <v>10</v>
      </c>
      <c r="E125" s="18" t="s">
        <v>376</v>
      </c>
      <c r="F125" s="18" t="s">
        <v>379</v>
      </c>
      <c r="G125" s="26">
        <v>3459</v>
      </c>
      <c r="H125" s="22">
        <v>14166</v>
      </c>
      <c r="I125" s="27">
        <f>IF(COUNTIFS('Taux'!$A$6:$A$20,A125,'Taux'!$B$6:$B$20,D125)=1,SUMIFS('Taux'!$D$6:$D$20,'Taux'!$A$6:$A$20,A125,'Taux'!$B$6:$B$20,D125),"n.d.")</f>
        <v>1</v>
      </c>
      <c r="J125" s="22">
        <f>IF(COUNT(H125,I125)=2,H125/I125,"n.d.")</f>
        <v>14166.0</v>
      </c>
      <c r="K125" s="18" t="s">
        <v>468</v>
      </c>
    </row>
    <row r="126" spans="1:11" ht="19" customHeight="1">
      <c r="A126" s="18" t="s">
        <v>13</v>
      </c>
      <c r="B126" s="18" t="s">
        <v>77</v>
      </c>
      <c r="C126" s="18" t="s">
        <v>78</v>
      </c>
      <c r="D126" s="18" t="s">
        <v>10</v>
      </c>
      <c r="E126" s="18" t="s">
        <v>376</v>
      </c>
      <c r="F126" s="18" t="s">
        <v>381</v>
      </c>
      <c r="G126" s="26">
        <v>4817</v>
      </c>
      <c r="H126" s="22">
        <v>176203</v>
      </c>
      <c r="I126" s="27">
        <f>IF(COUNTIFS('Taux'!$A$6:$A$20,A126,'Taux'!$B$6:$B$20,D126)=1,SUMIFS('Taux'!$D$6:$D$20,'Taux'!$A$6:$A$20,A126,'Taux'!$B$6:$B$20,D126),"n.d.")</f>
        <v>1</v>
      </c>
      <c r="J126" s="22">
        <f>IF(COUNT(H126,I126)=2,H126/I126,"n.d.")</f>
        <v>176203.0</v>
      </c>
      <c r="K126" s="18" t="s">
        <v>469</v>
      </c>
    </row>
    <row r="127" spans="1:11" ht="19" customHeight="1">
      <c r="A127" s="18" t="s">
        <v>13</v>
      </c>
      <c r="B127" s="18" t="s">
        <v>77</v>
      </c>
      <c r="C127" s="18" t="s">
        <v>78</v>
      </c>
      <c r="D127" s="18" t="s">
        <v>10</v>
      </c>
      <c r="E127" s="18" t="s">
        <v>376</v>
      </c>
      <c r="F127" s="18" t="s">
        <v>383</v>
      </c>
      <c r="G127" s="26">
        <v>1230</v>
      </c>
      <c r="H127" s="22">
        <v>301838</v>
      </c>
      <c r="I127" s="27">
        <f>IF(COUNTIFS('Taux'!$A$6:$A$20,A127,'Taux'!$B$6:$B$20,D127)=1,SUMIFS('Taux'!$D$6:$D$20,'Taux'!$A$6:$A$20,A127,'Taux'!$B$6:$B$20,D127),"n.d.")</f>
        <v>1</v>
      </c>
      <c r="J127" s="22">
        <f>IF(COUNT(H127,I127)=2,H127/I127,"n.d.")</f>
        <v>301838.0</v>
      </c>
      <c r="K127" s="18" t="s">
        <v>470</v>
      </c>
    </row>
    <row r="128" spans="1:11" ht="19" customHeight="1">
      <c r="A128" s="18" t="s">
        <v>13</v>
      </c>
      <c r="B128" s="18" t="s">
        <v>77</v>
      </c>
      <c r="C128" s="18" t="s">
        <v>78</v>
      </c>
      <c r="D128" s="18" t="s">
        <v>10</v>
      </c>
      <c r="E128" s="18" t="s">
        <v>376</v>
      </c>
      <c r="F128" s="18" t="s">
        <v>385</v>
      </c>
      <c r="G128" s="26">
        <v>41</v>
      </c>
      <c r="H128" s="22">
        <v>99975</v>
      </c>
      <c r="I128" s="27">
        <f>IF(COUNTIFS('Taux'!$A$6:$A$20,A128,'Taux'!$B$6:$B$20,D128)=1,SUMIFS('Taux'!$D$6:$D$20,'Taux'!$A$6:$A$20,A128,'Taux'!$B$6:$B$20,D128),"n.d.")</f>
        <v>1</v>
      </c>
      <c r="J128" s="22">
        <f>IF(COUNT(H128,I128)=2,H128/I128,"n.d.")</f>
        <v>99975.0</v>
      </c>
      <c r="K128" s="18" t="s">
        <v>471</v>
      </c>
    </row>
    <row r="129" spans="1:11" ht="19" customHeight="1">
      <c r="A129" s="18" t="s">
        <v>13</v>
      </c>
      <c r="B129" s="18" t="s">
        <v>77</v>
      </c>
      <c r="C129" s="18" t="s">
        <v>78</v>
      </c>
      <c r="D129" s="18" t="s">
        <v>10</v>
      </c>
      <c r="E129" s="18" t="s">
        <v>33</v>
      </c>
      <c r="F129" s="18" t="s">
        <v>95</v>
      </c>
      <c r="G129" s="26">
        <v>140</v>
      </c>
      <c r="H129" s="22">
        <v>9595</v>
      </c>
      <c r="I129" s="27">
        <f>IF(COUNTIFS('Taux'!$A$6:$A$20,A129,'Taux'!$B$6:$B$20,D129)=1,SUMIFS('Taux'!$D$6:$D$20,'Taux'!$A$6:$A$20,A129,'Taux'!$B$6:$B$20,D129),"n.d.")</f>
        <v>1</v>
      </c>
      <c r="J129" s="22">
        <f>IF(COUNT(H129,I129)=2,H129/I129,"n.d.")</f>
        <v>9595.0</v>
      </c>
      <c r="K129" s="18" t="s">
        <v>472</v>
      </c>
    </row>
    <row r="130" spans="1:11" ht="19" customHeight="1">
      <c r="A130" s="18" t="s">
        <v>13</v>
      </c>
      <c r="B130" s="18" t="s">
        <v>77</v>
      </c>
      <c r="C130" s="18" t="s">
        <v>78</v>
      </c>
      <c r="D130" s="18" t="s">
        <v>10</v>
      </c>
      <c r="E130" s="18" t="s">
        <v>33</v>
      </c>
      <c r="F130" s="18" t="s">
        <v>53</v>
      </c>
      <c r="G130" s="26">
        <v>2163</v>
      </c>
      <c r="H130" s="22">
        <v>106201</v>
      </c>
      <c r="I130" s="27">
        <f>IF(COUNTIFS('Taux'!$A$6:$A$20,A130,'Taux'!$B$6:$B$20,D130)=1,SUMIFS('Taux'!$D$6:$D$20,'Taux'!$A$6:$A$20,A130,'Taux'!$B$6:$B$20,D130),"n.d.")</f>
        <v>1</v>
      </c>
      <c r="J130" s="22">
        <f>IF(COUNT(H130,I130)=2,H130/I130,"n.d.")</f>
        <v>106201.0</v>
      </c>
      <c r="K130" s="18" t="s">
        <v>473</v>
      </c>
    </row>
    <row r="131" spans="1:11" ht="19" customHeight="1">
      <c r="A131" s="18" t="s">
        <v>13</v>
      </c>
      <c r="B131" s="18" t="s">
        <v>77</v>
      </c>
      <c r="C131" s="18" t="s">
        <v>78</v>
      </c>
      <c r="D131" s="18" t="s">
        <v>10</v>
      </c>
      <c r="E131" s="18" t="s">
        <v>33</v>
      </c>
      <c r="F131" s="18" t="s">
        <v>55</v>
      </c>
      <c r="G131" s="26">
        <v>11338</v>
      </c>
      <c r="H131" s="22">
        <v>477617</v>
      </c>
      <c r="I131" s="27">
        <f>IF(COUNTIFS('Taux'!$A$6:$A$20,A131,'Taux'!$B$6:$B$20,D131)=1,SUMIFS('Taux'!$D$6:$D$20,'Taux'!$A$6:$A$20,A131,'Taux'!$B$6:$B$20,D131),"n.d.")</f>
        <v>1</v>
      </c>
      <c r="J131" s="22">
        <f>IF(COUNT(H131,I131)=2,H131/I131,"n.d.")</f>
        <v>477617.0</v>
      </c>
      <c r="K131" s="18" t="s">
        <v>474</v>
      </c>
    </row>
    <row r="132" spans="1:11" ht="19" customHeight="1">
      <c r="A132" s="18" t="s">
        <v>13</v>
      </c>
      <c r="B132" s="18" t="s">
        <v>82</v>
      </c>
      <c r="C132" s="18" t="s">
        <v>82</v>
      </c>
      <c r="D132" s="18" t="s">
        <v>19</v>
      </c>
      <c r="E132" s="18" t="s">
        <v>376</v>
      </c>
      <c r="F132" s="18" t="s">
        <v>377</v>
      </c>
      <c r="G132" s="26">
        <v>998098</v>
      </c>
      <c r="H132" s="22">
        <v>-190563</v>
      </c>
      <c r="I132" s="27">
        <f>IF(COUNTIFS('Taux'!$A$6:$A$20,A132,'Taux'!$B$6:$B$20,D132)=1,SUMIFS('Taux'!$D$6:$D$20,'Taux'!$A$6:$A$20,A132,'Taux'!$B$6:$B$20,D132),"n.d.")</f>
        <v>0.85443381</v>
      </c>
      <c r="J132" s="22">
        <f>IF(COUNT(H132,I132)=2,H132/I132,"n.d.")</f>
        <v>-223028.3935042318</v>
      </c>
      <c r="K132" s="18" t="s">
        <v>475</v>
      </c>
    </row>
    <row r="133" spans="1:11" ht="19" customHeight="1">
      <c r="A133" s="18" t="s">
        <v>13</v>
      </c>
      <c r="B133" s="18" t="s">
        <v>82</v>
      </c>
      <c r="C133" s="18" t="s">
        <v>82</v>
      </c>
      <c r="D133" s="18" t="s">
        <v>19</v>
      </c>
      <c r="E133" s="18" t="s">
        <v>376</v>
      </c>
      <c r="F133" s="18" t="s">
        <v>379</v>
      </c>
      <c r="G133" s="26">
        <v>14278</v>
      </c>
      <c r="H133" s="22">
        <v>65482</v>
      </c>
      <c r="I133" s="27">
        <f>IF(COUNTIFS('Taux'!$A$6:$A$20,A133,'Taux'!$B$6:$B$20,D133)=1,SUMIFS('Taux'!$D$6:$D$20,'Taux'!$A$6:$A$20,A133,'Taux'!$B$6:$B$20,D133),"n.d.")</f>
        <v>0.85443381</v>
      </c>
      <c r="J133" s="22">
        <f>IF(COUNT(H133,I133)=2,H133/I133,"n.d.")</f>
        <v>76637.88491703062</v>
      </c>
      <c r="K133" s="18" t="s">
        <v>476</v>
      </c>
    </row>
    <row r="134" spans="1:11" ht="19" customHeight="1">
      <c r="A134" s="18" t="s">
        <v>13</v>
      </c>
      <c r="B134" s="18" t="s">
        <v>82</v>
      </c>
      <c r="C134" s="18" t="s">
        <v>82</v>
      </c>
      <c r="D134" s="18" t="s">
        <v>19</v>
      </c>
      <c r="E134" s="18" t="s">
        <v>376</v>
      </c>
      <c r="F134" s="18" t="s">
        <v>381</v>
      </c>
      <c r="G134" s="26">
        <v>15298</v>
      </c>
      <c r="H134" s="22">
        <v>540040</v>
      </c>
      <c r="I134" s="27">
        <f>IF(COUNTIFS('Taux'!$A$6:$A$20,A134,'Taux'!$B$6:$B$20,D134)=1,SUMIFS('Taux'!$D$6:$D$20,'Taux'!$A$6:$A$20,A134,'Taux'!$B$6:$B$20,D134),"n.d.")</f>
        <v>0.85443381</v>
      </c>
      <c r="J134" s="22">
        <f>IF(COUNT(H134,I134)=2,H134/I134,"n.d.")</f>
        <v>632044.2773677226</v>
      </c>
      <c r="K134" s="18" t="s">
        <v>477</v>
      </c>
    </row>
    <row r="135" spans="1:11" ht="19" customHeight="1">
      <c r="A135" s="18" t="s">
        <v>13</v>
      </c>
      <c r="B135" s="18" t="s">
        <v>82</v>
      </c>
      <c r="C135" s="18" t="s">
        <v>82</v>
      </c>
      <c r="D135" s="18" t="s">
        <v>19</v>
      </c>
      <c r="E135" s="18" t="s">
        <v>376</v>
      </c>
      <c r="F135" s="18" t="s">
        <v>383</v>
      </c>
      <c r="G135" s="26">
        <v>3141</v>
      </c>
      <c r="H135" s="22">
        <v>869367</v>
      </c>
      <c r="I135" s="27">
        <f>IF(COUNTIFS('Taux'!$A$6:$A$20,A135,'Taux'!$B$6:$B$20,D135)=1,SUMIFS('Taux'!$D$6:$D$20,'Taux'!$A$6:$A$20,A135,'Taux'!$B$6:$B$20,D135),"n.d.")</f>
        <v>0.85443381</v>
      </c>
      <c r="J135" s="22">
        <f>IF(COUNT(H135,I135)=2,H135/I135,"n.d.")</f>
        <v>1017477.2929456057</v>
      </c>
      <c r="K135" s="18" t="s">
        <v>478</v>
      </c>
    </row>
    <row r="136" spans="1:11" ht="19" customHeight="1">
      <c r="A136" s="18" t="s">
        <v>13</v>
      </c>
      <c r="B136" s="18" t="s">
        <v>82</v>
      </c>
      <c r="C136" s="18" t="s">
        <v>82</v>
      </c>
      <c r="D136" s="18" t="s">
        <v>19</v>
      </c>
      <c r="E136" s="18" t="s">
        <v>376</v>
      </c>
      <c r="F136" s="18" t="s">
        <v>385</v>
      </c>
      <c r="G136" s="26">
        <v>431</v>
      </c>
      <c r="H136" s="22">
        <v>1159877</v>
      </c>
      <c r="I136" s="27">
        <f>IF(COUNTIFS('Taux'!$A$6:$A$20,A136,'Taux'!$B$6:$B$20,D136)=1,SUMIFS('Taux'!$D$6:$D$20,'Taux'!$A$6:$A$20,A136,'Taux'!$B$6:$B$20,D136),"n.d.")</f>
        <v>0.85443381</v>
      </c>
      <c r="J136" s="22">
        <f>IF(COUNT(H136,I136)=2,H136/I136,"n.d.")</f>
        <v>1357480.2242434672</v>
      </c>
      <c r="K136" s="18" t="s">
        <v>479</v>
      </c>
    </row>
    <row r="137" spans="1:11" ht="19" customHeight="1">
      <c r="A137" s="18" t="s">
        <v>13</v>
      </c>
      <c r="B137" s="18" t="s">
        <v>82</v>
      </c>
      <c r="C137" s="18" t="s">
        <v>82</v>
      </c>
      <c r="D137" s="18" t="s">
        <v>19</v>
      </c>
      <c r="E137" s="18" t="s">
        <v>33</v>
      </c>
      <c r="F137" s="18" t="s">
        <v>387</v>
      </c>
      <c r="G137" s="26">
        <v>1321</v>
      </c>
      <c r="H137" s="22">
        <v>68632</v>
      </c>
      <c r="I137" s="27">
        <f>IF(COUNTIFS('Taux'!$A$6:$A$20,A137,'Taux'!$B$6:$B$20,D137)=1,SUMIFS('Taux'!$D$6:$D$20,'Taux'!$A$6:$A$20,A137,'Taux'!$B$6:$B$20,D137),"n.d.")</f>
        <v>0.85443381</v>
      </c>
      <c r="J137" s="22">
        <f>IF(COUNT(H137,I137)=2,H137/I137,"n.d.")</f>
        <v>80324.53678301892</v>
      </c>
      <c r="K137" s="18" t="s">
        <v>480</v>
      </c>
    </row>
    <row r="138" spans="1:11" ht="19" customHeight="1">
      <c r="A138" s="18" t="s">
        <v>13</v>
      </c>
      <c r="B138" s="18" t="s">
        <v>82</v>
      </c>
      <c r="C138" s="18" t="s">
        <v>82</v>
      </c>
      <c r="D138" s="18" t="s">
        <v>19</v>
      </c>
      <c r="E138" s="18" t="s">
        <v>33</v>
      </c>
      <c r="F138" s="18" t="s">
        <v>389</v>
      </c>
      <c r="G138" s="26">
        <v>817</v>
      </c>
      <c r="H138" s="22">
        <v>84026</v>
      </c>
      <c r="I138" s="27">
        <f>IF(COUNTIFS('Taux'!$A$6:$A$20,A138,'Taux'!$B$6:$B$20,D138)=1,SUMIFS('Taux'!$D$6:$D$20,'Taux'!$A$6:$A$20,A138,'Taux'!$B$6:$B$20,D138),"n.d.")</f>
        <v>0.85443381</v>
      </c>
      <c r="J138" s="22">
        <f>IF(COUNT(H138,I138)=2,H138/I138,"n.d.")</f>
        <v>98341.1459338202</v>
      </c>
      <c r="K138" s="18" t="s">
        <v>481</v>
      </c>
    </row>
    <row r="139" spans="1:11" ht="19" customHeight="1">
      <c r="A139" s="18" t="s">
        <v>13</v>
      </c>
      <c r="B139" s="18" t="s">
        <v>82</v>
      </c>
      <c r="C139" s="18" t="s">
        <v>82</v>
      </c>
      <c r="D139" s="18" t="s">
        <v>19</v>
      </c>
      <c r="E139" s="18" t="s">
        <v>33</v>
      </c>
      <c r="F139" s="18" t="s">
        <v>391</v>
      </c>
      <c r="G139" s="26">
        <v>953</v>
      </c>
      <c r="H139" s="22">
        <v>100521</v>
      </c>
      <c r="I139" s="27">
        <f>IF(COUNTIFS('Taux'!$A$6:$A$20,A139,'Taux'!$B$6:$B$20,D139)=1,SUMIFS('Taux'!$D$6:$D$20,'Taux'!$A$6:$A$20,A139,'Taux'!$B$6:$B$20,D139),"n.d.")</f>
        <v>0.85443381</v>
      </c>
      <c r="J139" s="22">
        <f>IF(COUNT(H139,I139)=2,H139/I139,"n.d.")</f>
        <v>117646.32768920978</v>
      </c>
      <c r="K139" s="18" t="s">
        <v>482</v>
      </c>
    </row>
    <row r="140" spans="1:11" ht="19" customHeight="1">
      <c r="A140" s="18" t="s">
        <v>13</v>
      </c>
      <c r="B140" s="18" t="s">
        <v>82</v>
      </c>
      <c r="C140" s="18" t="s">
        <v>82</v>
      </c>
      <c r="D140" s="18" t="s">
        <v>19</v>
      </c>
      <c r="E140" s="18" t="s">
        <v>33</v>
      </c>
      <c r="F140" s="18" t="s">
        <v>393</v>
      </c>
      <c r="G140" s="26">
        <v>752</v>
      </c>
      <c r="H140" s="22">
        <v>75096</v>
      </c>
      <c r="I140" s="27">
        <f>IF(COUNTIFS('Taux'!$A$6:$A$20,A140,'Taux'!$B$6:$B$20,D140)=1,SUMIFS('Taux'!$D$6:$D$20,'Taux'!$A$6:$A$20,A140,'Taux'!$B$6:$B$20,D140),"n.d.")</f>
        <v>0.85443381</v>
      </c>
      <c r="J140" s="22">
        <f>IF(COUNT(H140,I140)=2,H140/I140,"n.d.")</f>
        <v>87889.78048516129</v>
      </c>
      <c r="K140" s="18" t="s">
        <v>483</v>
      </c>
    </row>
    <row r="141" spans="1:11" ht="19" customHeight="1">
      <c r="A141" s="18" t="s">
        <v>13</v>
      </c>
      <c r="B141" s="18" t="s">
        <v>82</v>
      </c>
      <c r="C141" s="18" t="s">
        <v>82</v>
      </c>
      <c r="D141" s="18" t="s">
        <v>19</v>
      </c>
      <c r="E141" s="18" t="s">
        <v>33</v>
      </c>
      <c r="F141" s="18" t="s">
        <v>395</v>
      </c>
      <c r="G141" s="26">
        <v>727</v>
      </c>
      <c r="H141" s="22">
        <v>86007</v>
      </c>
      <c r="I141" s="27">
        <f>IF(COUNTIFS('Taux'!$A$6:$A$20,A141,'Taux'!$B$6:$B$20,D141)=1,SUMIFS('Taux'!$D$6:$D$20,'Taux'!$A$6:$A$20,A141,'Taux'!$B$6:$B$20,D141),"n.d.")</f>
        <v>0.85443381</v>
      </c>
      <c r="J141" s="22">
        <f>IF(COUNT(H141,I141)=2,H141/I141,"n.d.")</f>
        <v>100659.64032954174</v>
      </c>
      <c r="K141" s="18" t="s">
        <v>484</v>
      </c>
    </row>
    <row r="142" spans="1:11" ht="19" customHeight="1">
      <c r="A142" s="18" t="s">
        <v>13</v>
      </c>
      <c r="B142" s="18" t="s">
        <v>82</v>
      </c>
      <c r="C142" s="18" t="s">
        <v>82</v>
      </c>
      <c r="D142" s="18" t="s">
        <v>19</v>
      </c>
      <c r="E142" s="18" t="s">
        <v>33</v>
      </c>
      <c r="F142" s="18" t="s">
        <v>397</v>
      </c>
      <c r="G142" s="26">
        <v>1294</v>
      </c>
      <c r="H142" s="22">
        <v>114129</v>
      </c>
      <c r="I142" s="27">
        <f>IF(COUNTIFS('Taux'!$A$6:$A$20,A142,'Taux'!$B$6:$B$20,D142)=1,SUMIFS('Taux'!$D$6:$D$20,'Taux'!$A$6:$A$20,A142,'Taux'!$B$6:$B$20,D142),"n.d.")</f>
        <v>0.85443381</v>
      </c>
      <c r="J142" s="22">
        <f>IF(COUNT(H142,I142)=2,H142/I142,"n.d.")</f>
        <v>133572.66375027926</v>
      </c>
      <c r="K142" s="18" t="s">
        <v>485</v>
      </c>
    </row>
    <row r="143" spans="1:11" ht="19" customHeight="1">
      <c r="A143" s="18" t="s">
        <v>13</v>
      </c>
      <c r="B143" s="18" t="s">
        <v>82</v>
      </c>
      <c r="C143" s="18" t="s">
        <v>82</v>
      </c>
      <c r="D143" s="18" t="s">
        <v>19</v>
      </c>
      <c r="E143" s="18" t="s">
        <v>33</v>
      </c>
      <c r="F143" s="18" t="s">
        <v>399</v>
      </c>
      <c r="G143" s="26">
        <v>3920</v>
      </c>
      <c r="H143" s="22">
        <v>206814</v>
      </c>
      <c r="I143" s="27">
        <f>IF(COUNTIFS('Taux'!$A$6:$A$20,A143,'Taux'!$B$6:$B$20,D143)=1,SUMIFS('Taux'!$D$6:$D$20,'Taux'!$A$6:$A$20,A143,'Taux'!$B$6:$B$20,D143),"n.d.")</f>
        <v>0.85443381</v>
      </c>
      <c r="J143" s="22">
        <f>IF(COUNT(H143,I143)=2,H143/I143,"n.d.")</f>
        <v>242048.00603571621</v>
      </c>
      <c r="K143" s="18" t="s">
        <v>486</v>
      </c>
    </row>
    <row r="144" spans="1:11" ht="19" customHeight="1">
      <c r="A144" s="18" t="s">
        <v>13</v>
      </c>
      <c r="B144" s="18" t="s">
        <v>82</v>
      </c>
      <c r="C144" s="18" t="s">
        <v>82</v>
      </c>
      <c r="D144" s="18" t="s">
        <v>19</v>
      </c>
      <c r="E144" s="18" t="s">
        <v>33</v>
      </c>
      <c r="F144" s="18" t="s">
        <v>95</v>
      </c>
      <c r="G144" s="26">
        <v>10012</v>
      </c>
      <c r="H144" s="22">
        <v>759953</v>
      </c>
      <c r="I144" s="27">
        <f>IF(COUNTIFS('Taux'!$A$6:$A$20,A144,'Taux'!$B$6:$B$20,D144)=1,SUMIFS('Taux'!$D$6:$D$20,'Taux'!$A$6:$A$20,A144,'Taux'!$B$6:$B$20,D144),"n.d.")</f>
        <v>0.85443381</v>
      </c>
      <c r="J144" s="22">
        <f>IF(COUNT(H144,I144)=2,H144/I144,"n.d.")</f>
        <v>889422.9033375916</v>
      </c>
      <c r="K144" s="18" t="s">
        <v>487</v>
      </c>
    </row>
    <row r="145" spans="1:11" ht="19" customHeight="1">
      <c r="A145" s="18" t="s">
        <v>13</v>
      </c>
      <c r="B145" s="18" t="s">
        <v>82</v>
      </c>
      <c r="C145" s="18" t="s">
        <v>82</v>
      </c>
      <c r="D145" s="18" t="s">
        <v>19</v>
      </c>
      <c r="E145" s="18" t="s">
        <v>33</v>
      </c>
      <c r="F145" s="18" t="s">
        <v>53</v>
      </c>
      <c r="G145" s="26">
        <v>16647</v>
      </c>
      <c r="H145" s="22">
        <v>626510</v>
      </c>
      <c r="I145" s="27">
        <f>IF(COUNTIFS('Taux'!$A$6:$A$20,A145,'Taux'!$B$6:$B$20,D145)=1,SUMIFS('Taux'!$D$6:$D$20,'Taux'!$A$6:$A$20,A145,'Taux'!$B$6:$B$20,D145),"n.d.")</f>
        <v>0.85443381</v>
      </c>
      <c r="J145" s="22">
        <f>IF(COUNT(H145,I145)=2,H145/I145,"n.d.")</f>
        <v>733245.7970032811</v>
      </c>
      <c r="K145" s="18" t="s">
        <v>488</v>
      </c>
    </row>
    <row r="146" spans="1:11" ht="19" customHeight="1">
      <c r="A146" s="18" t="s">
        <v>13</v>
      </c>
      <c r="B146" s="18" t="s">
        <v>82</v>
      </c>
      <c r="C146" s="18" t="s">
        <v>82</v>
      </c>
      <c r="D146" s="18" t="s">
        <v>19</v>
      </c>
      <c r="E146" s="18" t="s">
        <v>33</v>
      </c>
      <c r="F146" s="18" t="s">
        <v>55</v>
      </c>
      <c r="G146" s="26">
        <v>14520</v>
      </c>
      <c r="H146" s="22">
        <v>322515</v>
      </c>
      <c r="I146" s="27">
        <f>IF(COUNTIFS('Taux'!$A$6:$A$20,A146,'Taux'!$B$6:$B$20,D146)=1,SUMIFS('Taux'!$D$6:$D$20,'Taux'!$A$6:$A$20,A146,'Taux'!$B$6:$B$20,D146),"n.d.")</f>
        <v>0.85443381</v>
      </c>
      <c r="J146" s="22">
        <f>IF(COUNT(H146,I146)=2,H146/I146,"n.d.")</f>
        <v>377460.4846219744</v>
      </c>
      <c r="K146" s="18" t="s">
        <v>489</v>
      </c>
    </row>
    <row r="147" spans="1:11" ht="19" customHeight="1">
      <c r="A147" s="18" t="s">
        <v>13</v>
      </c>
      <c r="B147" s="18" t="s">
        <v>86</v>
      </c>
      <c r="C147" s="18" t="s">
        <v>87</v>
      </c>
      <c r="D147" s="18" t="s">
        <v>10</v>
      </c>
      <c r="E147" s="18" t="s">
        <v>376</v>
      </c>
      <c r="F147" s="18" t="s">
        <v>377</v>
      </c>
      <c r="G147" s="26">
        <v>5</v>
      </c>
      <c r="H147" s="22">
        <v>1.21</v>
      </c>
      <c r="I147" s="27">
        <f>IF(COUNTIFS('Taux'!$A$6:$A$20,A147,'Taux'!$B$6:$B$20,D147)=1,SUMIFS('Taux'!$D$6:$D$20,'Taux'!$A$6:$A$20,A147,'Taux'!$B$6:$B$20,D147),"n.d.")</f>
        <v>1</v>
      </c>
      <c r="J147" s="22">
        <f>IF(COUNT(H147,I147)=2,H147/I147,"n.d.")</f>
        <v>1.21</v>
      </c>
      <c r="K147" s="18" t="s">
        <v>490</v>
      </c>
    </row>
    <row r="148" spans="1:11" ht="19" customHeight="1">
      <c r="A148" s="18" t="s">
        <v>13</v>
      </c>
      <c r="B148" s="18" t="s">
        <v>86</v>
      </c>
      <c r="C148" s="18" t="s">
        <v>87</v>
      </c>
      <c r="D148" s="18" t="s">
        <v>10</v>
      </c>
      <c r="E148" s="18" t="s">
        <v>376</v>
      </c>
      <c r="F148" s="18" t="s">
        <v>379</v>
      </c>
      <c r="G148" s="26">
        <v>19</v>
      </c>
      <c r="H148" s="22">
        <v>83.42</v>
      </c>
      <c r="I148" s="27">
        <f>IF(COUNTIFS('Taux'!$A$6:$A$20,A148,'Taux'!$B$6:$B$20,D148)=1,SUMIFS('Taux'!$D$6:$D$20,'Taux'!$A$6:$A$20,A148,'Taux'!$B$6:$B$20,D148),"n.d.")</f>
        <v>1</v>
      </c>
      <c r="J148" s="22">
        <f>IF(COUNT(H148,I148)=2,H148/I148,"n.d.")</f>
        <v>83.42</v>
      </c>
      <c r="K148" s="18" t="s">
        <v>491</v>
      </c>
    </row>
    <row r="149" spans="1:11" ht="19" customHeight="1">
      <c r="A149" s="18" t="s">
        <v>13</v>
      </c>
      <c r="B149" s="18" t="s">
        <v>86</v>
      </c>
      <c r="C149" s="18" t="s">
        <v>87</v>
      </c>
      <c r="D149" s="18" t="s">
        <v>10</v>
      </c>
      <c r="E149" s="18" t="s">
        <v>376</v>
      </c>
      <c r="F149" s="18" t="s">
        <v>381</v>
      </c>
      <c r="G149" s="26">
        <v>32</v>
      </c>
      <c r="H149" s="22">
        <v>1265.6</v>
      </c>
      <c r="I149" s="27">
        <f>IF(COUNTIFS('Taux'!$A$6:$A$20,A149,'Taux'!$B$6:$B$20,D149)=1,SUMIFS('Taux'!$D$6:$D$20,'Taux'!$A$6:$A$20,A149,'Taux'!$B$6:$B$20,D149),"n.d.")</f>
        <v>1</v>
      </c>
      <c r="J149" s="22">
        <f>IF(COUNT(H149,I149)=2,H149/I149,"n.d.")</f>
        <v>1265.6</v>
      </c>
      <c r="K149" s="18" t="s">
        <v>492</v>
      </c>
    </row>
    <row r="150" spans="1:11" ht="19" customHeight="1">
      <c r="A150" s="18" t="s">
        <v>13</v>
      </c>
      <c r="B150" s="18" t="s">
        <v>86</v>
      </c>
      <c r="C150" s="18" t="s">
        <v>87</v>
      </c>
      <c r="D150" s="18" t="s">
        <v>10</v>
      </c>
      <c r="E150" s="18" t="s">
        <v>376</v>
      </c>
      <c r="F150" s="18" t="s">
        <v>383</v>
      </c>
      <c r="G150" s="26">
        <v>14</v>
      </c>
      <c r="H150" s="22">
        <v>3254</v>
      </c>
      <c r="I150" s="27">
        <f>IF(COUNTIFS('Taux'!$A$6:$A$20,A150,'Taux'!$B$6:$B$20,D150)=1,SUMIFS('Taux'!$D$6:$D$20,'Taux'!$A$6:$A$20,A150,'Taux'!$B$6:$B$20,D150),"n.d.")</f>
        <v>1</v>
      </c>
      <c r="J150" s="22">
        <f>IF(COUNT(H150,I150)=2,H150/I150,"n.d.")</f>
        <v>3254.0</v>
      </c>
      <c r="K150" s="18" t="s">
        <v>493</v>
      </c>
    </row>
    <row r="151" spans="1:11" ht="19" customHeight="1">
      <c r="A151" s="18" t="s">
        <v>13</v>
      </c>
      <c r="B151" s="18" t="s">
        <v>86</v>
      </c>
      <c r="C151" s="18" t="s">
        <v>87</v>
      </c>
      <c r="D151" s="18" t="s">
        <v>10</v>
      </c>
      <c r="E151" s="18" t="s">
        <v>376</v>
      </c>
      <c r="F151" s="18" t="s">
        <v>385</v>
      </c>
      <c r="G151" s="26">
        <v>4</v>
      </c>
      <c r="H151" s="22">
        <v>7388.06</v>
      </c>
      <c r="I151" s="27">
        <f>IF(COUNTIFS('Taux'!$A$6:$A$20,A151,'Taux'!$B$6:$B$20,D151)=1,SUMIFS('Taux'!$D$6:$D$20,'Taux'!$A$6:$A$20,A151,'Taux'!$B$6:$B$20,D151),"n.d.")</f>
        <v>1</v>
      </c>
      <c r="J151" s="22">
        <f>IF(COUNT(H151,I151)=2,H151/I151,"n.d.")</f>
        <v>7388.06</v>
      </c>
      <c r="K151" s="18" t="s">
        <v>494</v>
      </c>
    </row>
    <row r="152" spans="1:11" ht="19" customHeight="1">
      <c r="A152" s="18" t="s">
        <v>13</v>
      </c>
      <c r="B152" s="18" t="s">
        <v>86</v>
      </c>
      <c r="C152" s="18" t="s">
        <v>87</v>
      </c>
      <c r="D152" s="18" t="s">
        <v>10</v>
      </c>
      <c r="E152" s="18" t="s">
        <v>33</v>
      </c>
      <c r="F152" s="18" t="s">
        <v>387</v>
      </c>
      <c r="G152" s="23" t="s">
        <v>51</v>
      </c>
      <c r="H152" s="23" t="s">
        <v>51</v>
      </c>
      <c r="I152" s="27">
        <f>IF(COUNTIFS('Taux'!$A$6:$A$20,A152,'Taux'!$B$6:$B$20,D152)=1,SUMIFS('Taux'!$D$6:$D$20,'Taux'!$A$6:$A$20,A152,'Taux'!$B$6:$B$20,D152),"n.d.")</f>
        <v>1</v>
      </c>
      <c r="J152" s="22" t="str">
        <f>IF(COUNT(H152,I152)=2,H152/I152,"n.d.")</f>
        <v>n.d.</v>
      </c>
      <c r="K152" s="18" t="s">
        <v>495</v>
      </c>
    </row>
    <row r="153" spans="1:11" ht="19" customHeight="1">
      <c r="A153" s="18" t="s">
        <v>13</v>
      </c>
      <c r="B153" s="18" t="s">
        <v>86</v>
      </c>
      <c r="C153" s="18" t="s">
        <v>87</v>
      </c>
      <c r="D153" s="18" t="s">
        <v>10</v>
      </c>
      <c r="E153" s="18" t="s">
        <v>33</v>
      </c>
      <c r="F153" s="18" t="s">
        <v>389</v>
      </c>
      <c r="G153" s="23" t="s">
        <v>51</v>
      </c>
      <c r="H153" s="23" t="s">
        <v>51</v>
      </c>
      <c r="I153" s="27">
        <f>IF(COUNTIFS('Taux'!$A$6:$A$20,A153,'Taux'!$B$6:$B$20,D153)=1,SUMIFS('Taux'!$D$6:$D$20,'Taux'!$A$6:$A$20,A153,'Taux'!$B$6:$B$20,D153),"n.d.")</f>
        <v>1</v>
      </c>
      <c r="J153" s="22" t="str">
        <f>IF(COUNT(H153,I153)=2,H153/I153,"n.d.")</f>
        <v>n.d.</v>
      </c>
      <c r="K153" s="18" t="s">
        <v>496</v>
      </c>
    </row>
    <row r="154" spans="1:11" ht="19" customHeight="1">
      <c r="A154" s="18" t="s">
        <v>13</v>
      </c>
      <c r="B154" s="18" t="s">
        <v>86</v>
      </c>
      <c r="C154" s="18" t="s">
        <v>87</v>
      </c>
      <c r="D154" s="18" t="s">
        <v>10</v>
      </c>
      <c r="E154" s="18" t="s">
        <v>33</v>
      </c>
      <c r="F154" s="18" t="s">
        <v>391</v>
      </c>
      <c r="G154" s="26">
        <v>1</v>
      </c>
      <c r="H154" s="22">
        <v>2314.9</v>
      </c>
      <c r="I154" s="27">
        <f>IF(COUNTIFS('Taux'!$A$6:$A$20,A154,'Taux'!$B$6:$B$20,D154)=1,SUMIFS('Taux'!$D$6:$D$20,'Taux'!$A$6:$A$20,A154,'Taux'!$B$6:$B$20,D154),"n.d.")</f>
        <v>1</v>
      </c>
      <c r="J154" s="22">
        <f>IF(COUNT(H154,I154)=2,H154/I154,"n.d.")</f>
        <v>2314.9</v>
      </c>
      <c r="K154" s="18" t="s">
        <v>497</v>
      </c>
    </row>
    <row r="155" spans="1:11" ht="19" customHeight="1">
      <c r="A155" s="18" t="s">
        <v>13</v>
      </c>
      <c r="B155" s="18" t="s">
        <v>86</v>
      </c>
      <c r="C155" s="18" t="s">
        <v>87</v>
      </c>
      <c r="D155" s="18" t="s">
        <v>10</v>
      </c>
      <c r="E155" s="18" t="s">
        <v>33</v>
      </c>
      <c r="F155" s="18" t="s">
        <v>393</v>
      </c>
      <c r="G155" s="26">
        <v>0</v>
      </c>
      <c r="H155" s="22">
        <v>0</v>
      </c>
      <c r="I155" s="27">
        <f>IF(COUNTIFS('Taux'!$A$6:$A$20,A155,'Taux'!$B$6:$B$20,D155)=1,SUMIFS('Taux'!$D$6:$D$20,'Taux'!$A$6:$A$20,A155,'Taux'!$B$6:$B$20,D155),"n.d.")</f>
        <v>1</v>
      </c>
      <c r="J155" s="22">
        <f>IF(COUNT(H155,I155)=2,H155/I155,"n.d.")</f>
        <v>0.0</v>
      </c>
      <c r="K155" s="18" t="s">
        <v>498</v>
      </c>
    </row>
    <row r="156" spans="1:11" ht="19" customHeight="1">
      <c r="A156" s="18" t="s">
        <v>13</v>
      </c>
      <c r="B156" s="18" t="s">
        <v>86</v>
      </c>
      <c r="C156" s="18" t="s">
        <v>87</v>
      </c>
      <c r="D156" s="18" t="s">
        <v>10</v>
      </c>
      <c r="E156" s="18" t="s">
        <v>33</v>
      </c>
      <c r="F156" s="18" t="s">
        <v>395</v>
      </c>
      <c r="G156" s="26">
        <v>1</v>
      </c>
      <c r="H156" s="22">
        <v>81.01000000000001</v>
      </c>
      <c r="I156" s="27">
        <f>IF(COUNTIFS('Taux'!$A$6:$A$20,A156,'Taux'!$B$6:$B$20,D156)=1,SUMIFS('Taux'!$D$6:$D$20,'Taux'!$A$6:$A$20,A156,'Taux'!$B$6:$B$20,D156),"n.d.")</f>
        <v>1</v>
      </c>
      <c r="J156" s="22">
        <f>IF(COUNT(H156,I156)=2,H156/I156,"n.d.")</f>
        <v>81.01</v>
      </c>
      <c r="K156" s="18" t="s">
        <v>499</v>
      </c>
    </row>
    <row r="157" spans="1:11" ht="19" customHeight="1">
      <c r="A157" s="18" t="s">
        <v>13</v>
      </c>
      <c r="B157" s="18" t="s">
        <v>86</v>
      </c>
      <c r="C157" s="18" t="s">
        <v>87</v>
      </c>
      <c r="D157" s="18" t="s">
        <v>10</v>
      </c>
      <c r="E157" s="18" t="s">
        <v>33</v>
      </c>
      <c r="F157" s="18" t="s">
        <v>397</v>
      </c>
      <c r="G157" s="26">
        <v>0</v>
      </c>
      <c r="H157" s="22">
        <v>0</v>
      </c>
      <c r="I157" s="27">
        <f>IF(COUNTIFS('Taux'!$A$6:$A$20,A157,'Taux'!$B$6:$B$20,D157)=1,SUMIFS('Taux'!$D$6:$D$20,'Taux'!$A$6:$A$20,A157,'Taux'!$B$6:$B$20,D157),"n.d.")</f>
        <v>1</v>
      </c>
      <c r="J157" s="22">
        <f>IF(COUNT(H157,I157)=2,H157/I157,"n.d.")</f>
        <v>0.0</v>
      </c>
      <c r="K157" s="18" t="s">
        <v>500</v>
      </c>
    </row>
    <row r="158" spans="1:11" ht="19" customHeight="1">
      <c r="A158" s="18" t="s">
        <v>13</v>
      </c>
      <c r="B158" s="18" t="s">
        <v>86</v>
      </c>
      <c r="C158" s="18" t="s">
        <v>87</v>
      </c>
      <c r="D158" s="18" t="s">
        <v>10</v>
      </c>
      <c r="E158" s="18" t="s">
        <v>33</v>
      </c>
      <c r="F158" s="18" t="s">
        <v>399</v>
      </c>
      <c r="G158" s="26">
        <v>1</v>
      </c>
      <c r="H158" s="22">
        <v>47.06</v>
      </c>
      <c r="I158" s="27">
        <f>IF(COUNTIFS('Taux'!$A$6:$A$20,A158,'Taux'!$B$6:$B$20,D158)=1,SUMIFS('Taux'!$D$6:$D$20,'Taux'!$A$6:$A$20,A158,'Taux'!$B$6:$B$20,D158),"n.d.")</f>
        <v>1</v>
      </c>
      <c r="J158" s="22">
        <f>IF(COUNT(H158,I158)=2,H158/I158,"n.d.")</f>
        <v>47.06</v>
      </c>
      <c r="K158" s="18" t="s">
        <v>501</v>
      </c>
    </row>
    <row r="159" spans="1:11" ht="19" customHeight="1">
      <c r="A159" s="18" t="s">
        <v>13</v>
      </c>
      <c r="B159" s="18" t="s">
        <v>86</v>
      </c>
      <c r="C159" s="18" t="s">
        <v>87</v>
      </c>
      <c r="D159" s="18" t="s">
        <v>10</v>
      </c>
      <c r="E159" s="18" t="s">
        <v>33</v>
      </c>
      <c r="F159" s="18" t="s">
        <v>95</v>
      </c>
      <c r="G159" s="26">
        <v>3</v>
      </c>
      <c r="H159" s="22">
        <v>3734.12</v>
      </c>
      <c r="I159" s="27">
        <f>IF(COUNTIFS('Taux'!$A$6:$A$20,A159,'Taux'!$B$6:$B$20,D159)=1,SUMIFS('Taux'!$D$6:$D$20,'Taux'!$A$6:$A$20,A159,'Taux'!$B$6:$B$20,D159),"n.d.")</f>
        <v>1</v>
      </c>
      <c r="J159" s="22">
        <f>IF(COUNT(H159,I159)=2,H159/I159,"n.d.")</f>
        <v>3734.12</v>
      </c>
      <c r="K159" s="18" t="s">
        <v>502</v>
      </c>
    </row>
    <row r="160" spans="1:11" ht="19" customHeight="1">
      <c r="A160" s="18" t="s">
        <v>13</v>
      </c>
      <c r="B160" s="18" t="s">
        <v>86</v>
      </c>
      <c r="C160" s="18" t="s">
        <v>87</v>
      </c>
      <c r="D160" s="18" t="s">
        <v>10</v>
      </c>
      <c r="E160" s="18" t="s">
        <v>33</v>
      </c>
      <c r="F160" s="18" t="s">
        <v>53</v>
      </c>
      <c r="G160" s="26">
        <v>3</v>
      </c>
      <c r="H160" s="22">
        <v>429.88</v>
      </c>
      <c r="I160" s="27">
        <f>IF(COUNTIFS('Taux'!$A$6:$A$20,A160,'Taux'!$B$6:$B$20,D160)=1,SUMIFS('Taux'!$D$6:$D$20,'Taux'!$A$6:$A$20,A160,'Taux'!$B$6:$B$20,D160),"n.d.")</f>
        <v>1</v>
      </c>
      <c r="J160" s="22">
        <f>IF(COUNT(H160,I160)=2,H160/I160,"n.d.")</f>
        <v>429.88</v>
      </c>
      <c r="K160" s="18" t="s">
        <v>503</v>
      </c>
    </row>
    <row r="161" spans="1:11" ht="19" customHeight="1">
      <c r="A161" s="18" t="s">
        <v>13</v>
      </c>
      <c r="B161" s="18" t="s">
        <v>86</v>
      </c>
      <c r="C161" s="18" t="s">
        <v>87</v>
      </c>
      <c r="D161" s="18" t="s">
        <v>10</v>
      </c>
      <c r="E161" s="18" t="s">
        <v>33</v>
      </c>
      <c r="F161" s="18" t="s">
        <v>55</v>
      </c>
      <c r="G161" s="26">
        <v>65</v>
      </c>
      <c r="H161" s="22">
        <v>5385.32</v>
      </c>
      <c r="I161" s="27">
        <f>IF(COUNTIFS('Taux'!$A$6:$A$20,A161,'Taux'!$B$6:$B$20,D161)=1,SUMIFS('Taux'!$D$6:$D$20,'Taux'!$A$6:$A$20,A161,'Taux'!$B$6:$B$20,D161),"n.d.")</f>
        <v>1</v>
      </c>
      <c r="J161" s="22">
        <f>IF(COUNT(H161,I161)=2,H161/I161,"n.d.")</f>
        <v>5385.32</v>
      </c>
      <c r="K161" s="18" t="s">
        <v>504</v>
      </c>
    </row>
    <row r="162" spans="1:11" ht="19" customHeight="1">
      <c r="A162" s="18" t="s">
        <v>13</v>
      </c>
      <c r="B162" s="18" t="s">
        <v>91</v>
      </c>
      <c r="C162" s="18" t="s">
        <v>92</v>
      </c>
      <c r="D162" s="18" t="s">
        <v>16</v>
      </c>
      <c r="E162" s="18" t="s">
        <v>376</v>
      </c>
      <c r="F162" s="18" t="s">
        <v>505</v>
      </c>
      <c r="G162" s="26">
        <v>135</v>
      </c>
      <c r="H162" s="22">
        <v>313.4800000000001</v>
      </c>
      <c r="I162" s="27">
        <f>IF(COUNTIFS('Taux'!$A$6:$A$20,A162,'Taux'!$B$6:$B$20,D162)=1,SUMIFS('Taux'!$D$6:$D$20,'Taux'!$A$6:$A$20,A162,'Taux'!$B$6:$B$20,D162),"n.d.")</f>
        <v>7.47595715</v>
      </c>
      <c r="J162" s="22">
        <f>IF(COUNT(H162,I162)=2,H162/I162,"n.d.")</f>
        <v>41.93175451788137</v>
      </c>
      <c r="K162" s="18" t="s">
        <v>506</v>
      </c>
    </row>
    <row r="163" spans="1:11" ht="19" customHeight="1">
      <c r="A163" s="18" t="s">
        <v>13</v>
      </c>
      <c r="B163" s="18" t="s">
        <v>91</v>
      </c>
      <c r="C163" s="18" t="s">
        <v>92</v>
      </c>
      <c r="D163" s="18" t="s">
        <v>16</v>
      </c>
      <c r="E163" s="18" t="s">
        <v>376</v>
      </c>
      <c r="F163" s="18" t="s">
        <v>507</v>
      </c>
      <c r="G163" s="26">
        <v>205</v>
      </c>
      <c r="H163" s="22">
        <v>6945.040000000003</v>
      </c>
      <c r="I163" s="27">
        <f>IF(COUNTIFS('Taux'!$A$6:$A$20,A163,'Taux'!$B$6:$B$20,D163)=1,SUMIFS('Taux'!$D$6:$D$20,'Taux'!$A$6:$A$20,A163,'Taux'!$B$6:$B$20,D163),"n.d.")</f>
        <v>7.47595715</v>
      </c>
      <c r="J163" s="22">
        <f>IF(COUNT(H163,I163)=2,H163/I163,"n.d.")</f>
        <v>928.9833877659402</v>
      </c>
      <c r="K163" s="18" t="s">
        <v>508</v>
      </c>
    </row>
    <row r="164" spans="1:11" ht="19" customHeight="1">
      <c r="A164" s="18" t="s">
        <v>13</v>
      </c>
      <c r="B164" s="18" t="s">
        <v>91</v>
      </c>
      <c r="C164" s="18" t="s">
        <v>92</v>
      </c>
      <c r="D164" s="18" t="s">
        <v>16</v>
      </c>
      <c r="E164" s="18" t="s">
        <v>376</v>
      </c>
      <c r="F164" s="18" t="s">
        <v>509</v>
      </c>
      <c r="G164" s="26">
        <v>300</v>
      </c>
      <c r="H164" s="22">
        <v>78102.59999999999</v>
      </c>
      <c r="I164" s="27">
        <f>IF(COUNTIFS('Taux'!$A$6:$A$20,A164,'Taux'!$B$6:$B$20,D164)=1,SUMIFS('Taux'!$D$6:$D$20,'Taux'!$A$6:$A$20,A164,'Taux'!$B$6:$B$20,D164),"n.d.")</f>
        <v>7.47595715</v>
      </c>
      <c r="J164" s="22">
        <f>IF(COUNT(H164,I164)=2,H164/I164,"n.d.")</f>
        <v>10447.170634197655</v>
      </c>
      <c r="K164" s="18" t="s">
        <v>510</v>
      </c>
    </row>
    <row r="165" spans="1:11" ht="19" customHeight="1">
      <c r="A165" s="18" t="s">
        <v>13</v>
      </c>
      <c r="B165" s="18" t="s">
        <v>91</v>
      </c>
      <c r="C165" s="18" t="s">
        <v>92</v>
      </c>
      <c r="D165" s="18" t="s">
        <v>16</v>
      </c>
      <c r="E165" s="18" t="s">
        <v>376</v>
      </c>
      <c r="F165" s="18" t="s">
        <v>511</v>
      </c>
      <c r="G165" s="26">
        <v>51</v>
      </c>
      <c r="H165" s="22">
        <v>83888.11999999998</v>
      </c>
      <c r="I165" s="27">
        <f>IF(COUNTIFS('Taux'!$A$6:$A$20,A165,'Taux'!$B$6:$B$20,D165)=1,SUMIFS('Taux'!$D$6:$D$20,'Taux'!$A$6:$A$20,A165,'Taux'!$B$6:$B$20,D165),"n.d.")</f>
        <v>7.47595715</v>
      </c>
      <c r="J165" s="22">
        <f>IF(COUNT(H165,I165)=2,H165/I165,"n.d.")</f>
        <v>11221.05414956799</v>
      </c>
      <c r="K165" s="18" t="s">
        <v>512</v>
      </c>
    </row>
    <row r="166" spans="1:11" ht="19" customHeight="1">
      <c r="A166" s="18" t="s">
        <v>13</v>
      </c>
      <c r="B166" s="18" t="s">
        <v>91</v>
      </c>
      <c r="C166" s="18" t="s">
        <v>92</v>
      </c>
      <c r="D166" s="18" t="s">
        <v>16</v>
      </c>
      <c r="E166" s="18" t="s">
        <v>376</v>
      </c>
      <c r="F166" s="18" t="s">
        <v>513</v>
      </c>
      <c r="G166" s="26">
        <v>1</v>
      </c>
      <c r="H166" s="22">
        <v>13048.57</v>
      </c>
      <c r="I166" s="27">
        <f>IF(COUNTIFS('Taux'!$A$6:$A$20,A166,'Taux'!$B$6:$B$20,D166)=1,SUMIFS('Taux'!$D$6:$D$20,'Taux'!$A$6:$A$20,A166,'Taux'!$B$6:$B$20,D166),"n.d.")</f>
        <v>7.47595715</v>
      </c>
      <c r="J166" s="22">
        <f>IF(COUNT(H166,I166)=2,H166/I166,"n.d.")</f>
        <v>1745.4046001320378</v>
      </c>
      <c r="K166" s="18" t="s">
        <v>514</v>
      </c>
    </row>
    <row r="167" spans="1:11" ht="19" customHeight="1">
      <c r="A167" s="18" t="s">
        <v>13</v>
      </c>
      <c r="B167" s="18" t="s">
        <v>91</v>
      </c>
      <c r="C167" s="18" t="s">
        <v>92</v>
      </c>
      <c r="D167" s="18" t="s">
        <v>16</v>
      </c>
      <c r="E167" s="18" t="s">
        <v>33</v>
      </c>
      <c r="F167" s="18" t="s">
        <v>387</v>
      </c>
      <c r="G167" s="26">
        <v>0</v>
      </c>
      <c r="H167" s="22">
        <v>0</v>
      </c>
      <c r="I167" s="27">
        <f>IF(COUNTIFS('Taux'!$A$6:$A$20,A167,'Taux'!$B$6:$B$20,D167)=1,SUMIFS('Taux'!$D$6:$D$20,'Taux'!$A$6:$A$20,A167,'Taux'!$B$6:$B$20,D167),"n.d.")</f>
        <v>7.47595715</v>
      </c>
      <c r="J167" s="22">
        <f>IF(COUNT(H167,I167)=2,H167/I167,"n.d.")</f>
        <v>0.0</v>
      </c>
      <c r="K167" s="18" t="s">
        <v>515</v>
      </c>
    </row>
    <row r="168" spans="1:11" ht="19" customHeight="1">
      <c r="A168" s="18" t="s">
        <v>13</v>
      </c>
      <c r="B168" s="18" t="s">
        <v>91</v>
      </c>
      <c r="C168" s="18" t="s">
        <v>92</v>
      </c>
      <c r="D168" s="18" t="s">
        <v>16</v>
      </c>
      <c r="E168" s="18" t="s">
        <v>33</v>
      </c>
      <c r="F168" s="18" t="s">
        <v>389</v>
      </c>
      <c r="G168" s="26">
        <v>0</v>
      </c>
      <c r="H168" s="22">
        <v>0</v>
      </c>
      <c r="I168" s="27">
        <f>IF(COUNTIFS('Taux'!$A$6:$A$20,A168,'Taux'!$B$6:$B$20,D168)=1,SUMIFS('Taux'!$D$6:$D$20,'Taux'!$A$6:$A$20,A168,'Taux'!$B$6:$B$20,D168),"n.d.")</f>
        <v>7.47595715</v>
      </c>
      <c r="J168" s="22">
        <f>IF(COUNT(H168,I168)=2,H168/I168,"n.d.")</f>
        <v>0.0</v>
      </c>
      <c r="K168" s="18" t="s">
        <v>516</v>
      </c>
    </row>
    <row r="169" spans="1:11" ht="19" customHeight="1">
      <c r="A169" s="18" t="s">
        <v>13</v>
      </c>
      <c r="B169" s="18" t="s">
        <v>91</v>
      </c>
      <c r="C169" s="18" t="s">
        <v>92</v>
      </c>
      <c r="D169" s="18" t="s">
        <v>16</v>
      </c>
      <c r="E169" s="18" t="s">
        <v>33</v>
      </c>
      <c r="F169" s="18" t="s">
        <v>391</v>
      </c>
      <c r="G169" s="26">
        <v>0</v>
      </c>
      <c r="H169" s="22">
        <v>0</v>
      </c>
      <c r="I169" s="27">
        <f>IF(COUNTIFS('Taux'!$A$6:$A$20,A169,'Taux'!$B$6:$B$20,D169)=1,SUMIFS('Taux'!$D$6:$D$20,'Taux'!$A$6:$A$20,A169,'Taux'!$B$6:$B$20,D169),"n.d.")</f>
        <v>7.47595715</v>
      </c>
      <c r="J169" s="22">
        <f>IF(COUNT(H169,I169)=2,H169/I169,"n.d.")</f>
        <v>0.0</v>
      </c>
      <c r="K169" s="18" t="s">
        <v>517</v>
      </c>
    </row>
    <row r="170" spans="1:11" ht="19" customHeight="1">
      <c r="A170" s="18" t="s">
        <v>13</v>
      </c>
      <c r="B170" s="18" t="s">
        <v>91</v>
      </c>
      <c r="C170" s="18" t="s">
        <v>92</v>
      </c>
      <c r="D170" s="18" t="s">
        <v>16</v>
      </c>
      <c r="E170" s="18" t="s">
        <v>33</v>
      </c>
      <c r="F170" s="18" t="s">
        <v>393</v>
      </c>
      <c r="G170" s="26">
        <v>0</v>
      </c>
      <c r="H170" s="22">
        <v>0</v>
      </c>
      <c r="I170" s="27">
        <f>IF(COUNTIFS('Taux'!$A$6:$A$20,A170,'Taux'!$B$6:$B$20,D170)=1,SUMIFS('Taux'!$D$6:$D$20,'Taux'!$A$6:$A$20,A170,'Taux'!$B$6:$B$20,D170),"n.d.")</f>
        <v>7.47595715</v>
      </c>
      <c r="J170" s="22">
        <f>IF(COUNT(H170,I170)=2,H170/I170,"n.d.")</f>
        <v>0.0</v>
      </c>
      <c r="K170" s="18" t="s">
        <v>518</v>
      </c>
    </row>
    <row r="171" spans="1:11" ht="19" customHeight="1">
      <c r="A171" s="18" t="s">
        <v>13</v>
      </c>
      <c r="B171" s="18" t="s">
        <v>91</v>
      </c>
      <c r="C171" s="18" t="s">
        <v>92</v>
      </c>
      <c r="D171" s="18" t="s">
        <v>16</v>
      </c>
      <c r="E171" s="18" t="s">
        <v>33</v>
      </c>
      <c r="F171" s="18" t="s">
        <v>395</v>
      </c>
      <c r="G171" s="26">
        <v>0</v>
      </c>
      <c r="H171" s="22">
        <v>0</v>
      </c>
      <c r="I171" s="27">
        <f>IF(COUNTIFS('Taux'!$A$6:$A$20,A171,'Taux'!$B$6:$B$20,D171)=1,SUMIFS('Taux'!$D$6:$D$20,'Taux'!$A$6:$A$20,A171,'Taux'!$B$6:$B$20,D171),"n.d.")</f>
        <v>7.47595715</v>
      </c>
      <c r="J171" s="22">
        <f>IF(COUNT(H171,I171)=2,H171/I171,"n.d.")</f>
        <v>0.0</v>
      </c>
      <c r="K171" s="18" t="s">
        <v>519</v>
      </c>
    </row>
    <row r="172" spans="1:11" ht="19" customHeight="1">
      <c r="A172" s="18" t="s">
        <v>13</v>
      </c>
      <c r="B172" s="18" t="s">
        <v>91</v>
      </c>
      <c r="C172" s="18" t="s">
        <v>92</v>
      </c>
      <c r="D172" s="18" t="s">
        <v>16</v>
      </c>
      <c r="E172" s="18" t="s">
        <v>33</v>
      </c>
      <c r="F172" s="18" t="s">
        <v>397</v>
      </c>
      <c r="G172" s="26">
        <v>0</v>
      </c>
      <c r="H172" s="22">
        <v>0</v>
      </c>
      <c r="I172" s="27">
        <f>IF(COUNTIFS('Taux'!$A$6:$A$20,A172,'Taux'!$B$6:$B$20,D172)=1,SUMIFS('Taux'!$D$6:$D$20,'Taux'!$A$6:$A$20,A172,'Taux'!$B$6:$B$20,D172),"n.d.")</f>
        <v>7.47595715</v>
      </c>
      <c r="J172" s="22">
        <f>IF(COUNT(H172,I172)=2,H172/I172,"n.d.")</f>
        <v>0.0</v>
      </c>
      <c r="K172" s="18" t="s">
        <v>520</v>
      </c>
    </row>
    <row r="173" spans="1:11" ht="19" customHeight="1">
      <c r="A173" s="18" t="s">
        <v>13</v>
      </c>
      <c r="B173" s="18" t="s">
        <v>91</v>
      </c>
      <c r="C173" s="18" t="s">
        <v>92</v>
      </c>
      <c r="D173" s="18" t="s">
        <v>16</v>
      </c>
      <c r="E173" s="18" t="s">
        <v>33</v>
      </c>
      <c r="F173" s="18" t="s">
        <v>399</v>
      </c>
      <c r="G173" s="26">
        <v>0</v>
      </c>
      <c r="H173" s="22">
        <v>0</v>
      </c>
      <c r="I173" s="27">
        <f>IF(COUNTIFS('Taux'!$A$6:$A$20,A173,'Taux'!$B$6:$B$20,D173)=1,SUMIFS('Taux'!$D$6:$D$20,'Taux'!$A$6:$A$20,A173,'Taux'!$B$6:$B$20,D173),"n.d.")</f>
        <v>7.47595715</v>
      </c>
      <c r="J173" s="22">
        <f>IF(COUNT(H173,I173)=2,H173/I173,"n.d.")</f>
        <v>0.0</v>
      </c>
      <c r="K173" s="18" t="s">
        <v>521</v>
      </c>
    </row>
    <row r="174" spans="1:11" ht="19" customHeight="1">
      <c r="A174" s="18" t="s">
        <v>13</v>
      </c>
      <c r="B174" s="18" t="s">
        <v>91</v>
      </c>
      <c r="C174" s="18" t="s">
        <v>92</v>
      </c>
      <c r="D174" s="18" t="s">
        <v>16</v>
      </c>
      <c r="E174" s="18" t="s">
        <v>33</v>
      </c>
      <c r="F174" s="18" t="s">
        <v>95</v>
      </c>
      <c r="G174" s="26">
        <v>0</v>
      </c>
      <c r="H174" s="22">
        <v>0</v>
      </c>
      <c r="I174" s="27">
        <f>IF(COUNTIFS('Taux'!$A$6:$A$20,A174,'Taux'!$B$6:$B$20,D174)=1,SUMIFS('Taux'!$D$6:$D$20,'Taux'!$A$6:$A$20,A174,'Taux'!$B$6:$B$20,D174),"n.d.")</f>
        <v>7.47595715</v>
      </c>
      <c r="J174" s="22">
        <f>IF(COUNT(H174,I174)=2,H174/I174,"n.d.")</f>
        <v>0.0</v>
      </c>
      <c r="K174" s="18" t="s">
        <v>522</v>
      </c>
    </row>
    <row r="175" spans="1:11" ht="19" customHeight="1">
      <c r="A175" s="18" t="s">
        <v>13</v>
      </c>
      <c r="B175" s="18" t="s">
        <v>91</v>
      </c>
      <c r="C175" s="18" t="s">
        <v>92</v>
      </c>
      <c r="D175" s="18" t="s">
        <v>16</v>
      </c>
      <c r="E175" s="18" t="s">
        <v>33</v>
      </c>
      <c r="F175" s="18" t="s">
        <v>53</v>
      </c>
      <c r="G175" s="26">
        <v>0</v>
      </c>
      <c r="H175" s="22">
        <v>0</v>
      </c>
      <c r="I175" s="27">
        <f>IF(COUNTIFS('Taux'!$A$6:$A$20,A175,'Taux'!$B$6:$B$20,D175)=1,SUMIFS('Taux'!$D$6:$D$20,'Taux'!$A$6:$A$20,A175,'Taux'!$B$6:$B$20,D175),"n.d.")</f>
        <v>7.47595715</v>
      </c>
      <c r="J175" s="22">
        <f>IF(COUNT(H175,I175)=2,H175/I175,"n.d.")</f>
        <v>0.0</v>
      </c>
      <c r="K175" s="18" t="s">
        <v>523</v>
      </c>
    </row>
    <row r="176" spans="1:11" ht="19" customHeight="1">
      <c r="A176" s="18" t="s">
        <v>13</v>
      </c>
      <c r="B176" s="18" t="s">
        <v>91</v>
      </c>
      <c r="C176" s="18" t="s">
        <v>92</v>
      </c>
      <c r="D176" s="18" t="s">
        <v>16</v>
      </c>
      <c r="E176" s="18" t="s">
        <v>33</v>
      </c>
      <c r="F176" s="18" t="s">
        <v>55</v>
      </c>
      <c r="G176" s="26">
        <v>692</v>
      </c>
      <c r="H176" s="22">
        <v>182297.8099999999</v>
      </c>
      <c r="I176" s="27">
        <f>IF(COUNTIFS('Taux'!$A$6:$A$20,A176,'Taux'!$B$6:$B$20,D176)=1,SUMIFS('Taux'!$D$6:$D$20,'Taux'!$A$6:$A$20,A176,'Taux'!$B$6:$B$20,D176),"n.d.")</f>
        <v>7.47595715</v>
      </c>
      <c r="J176" s="22">
        <f>IF(COUNT(H176,I176)=2,H176/I176,"n.d.")</f>
        <v>24384.544526181493</v>
      </c>
      <c r="K176" s="18" t="s">
        <v>524</v>
      </c>
    </row>
    <row r="177" spans="1:11" ht="19" customHeight="1">
      <c r="A177" s="18" t="s">
        <v>13</v>
      </c>
      <c r="B177" s="18" t="s">
        <v>99</v>
      </c>
      <c r="C177" s="18" t="s">
        <v>100</v>
      </c>
      <c r="D177" s="18" t="s">
        <v>21</v>
      </c>
      <c r="E177" s="18" t="s">
        <v>376</v>
      </c>
      <c r="F177" s="18" t="s">
        <v>525</v>
      </c>
      <c r="G177" s="26">
        <v>215</v>
      </c>
      <c r="H177" s="22">
        <v>900.8400000000005</v>
      </c>
      <c r="I177" s="27">
        <f>IF(COUNTIFS('Taux'!$A$6:$A$20,A177,'Taux'!$B$6:$B$20,D177)=1,SUMIFS('Taux'!$D$6:$D$20,'Taux'!$A$6:$A$20,A177,'Taux'!$B$6:$B$20,D177),"n.d.")</f>
        <v>10.90384939</v>
      </c>
      <c r="J177" s="22">
        <f>IF(COUNT(H177,I177)=2,H177/I177,"n.d.")</f>
        <v>82.6166950569005</v>
      </c>
      <c r="K177" s="18" t="s">
        <v>526</v>
      </c>
    </row>
    <row r="178" spans="1:11" ht="19" customHeight="1">
      <c r="A178" s="18" t="s">
        <v>13</v>
      </c>
      <c r="B178" s="18" t="s">
        <v>99</v>
      </c>
      <c r="C178" s="18" t="s">
        <v>100</v>
      </c>
      <c r="D178" s="18" t="s">
        <v>21</v>
      </c>
      <c r="E178" s="18" t="s">
        <v>376</v>
      </c>
      <c r="F178" s="18" t="s">
        <v>527</v>
      </c>
      <c r="G178" s="26">
        <v>118</v>
      </c>
      <c r="H178" s="22">
        <v>4661.589999999999</v>
      </c>
      <c r="I178" s="27">
        <f>IF(COUNTIFS('Taux'!$A$6:$A$20,A178,'Taux'!$B$6:$B$20,D178)=1,SUMIFS('Taux'!$D$6:$D$20,'Taux'!$A$6:$A$20,A178,'Taux'!$B$6:$B$20,D178),"n.d.")</f>
        <v>10.90384939</v>
      </c>
      <c r="J178" s="22">
        <f>IF(COUNT(H178,I178)=2,H178/I178,"n.d.")</f>
        <v>427.51782726155204</v>
      </c>
      <c r="K178" s="18" t="s">
        <v>528</v>
      </c>
    </row>
    <row r="179" spans="1:11" ht="19" customHeight="1">
      <c r="A179" s="18" t="s">
        <v>13</v>
      </c>
      <c r="B179" s="18" t="s">
        <v>99</v>
      </c>
      <c r="C179" s="18" t="s">
        <v>100</v>
      </c>
      <c r="D179" s="18" t="s">
        <v>21</v>
      </c>
      <c r="E179" s="18" t="s">
        <v>376</v>
      </c>
      <c r="F179" s="18" t="s">
        <v>529</v>
      </c>
      <c r="G179" s="26">
        <v>108</v>
      </c>
      <c r="H179" s="22">
        <v>46587.51</v>
      </c>
      <c r="I179" s="27">
        <f>IF(COUNTIFS('Taux'!$A$6:$A$20,A179,'Taux'!$B$6:$B$20,D179)=1,SUMIFS('Taux'!$D$6:$D$20,'Taux'!$A$6:$A$20,A179,'Taux'!$B$6:$B$20,D179),"n.d.")</f>
        <v>10.90384939</v>
      </c>
      <c r="J179" s="22">
        <f>IF(COUNT(H179,I179)=2,H179/I179,"n.d.")</f>
        <v>4272.574604957929</v>
      </c>
      <c r="K179" s="18" t="s">
        <v>530</v>
      </c>
    </row>
    <row r="180" spans="1:11" ht="19" customHeight="1">
      <c r="A180" s="18" t="s">
        <v>13</v>
      </c>
      <c r="B180" s="18" t="s">
        <v>99</v>
      </c>
      <c r="C180" s="18" t="s">
        <v>100</v>
      </c>
      <c r="D180" s="18" t="s">
        <v>21</v>
      </c>
      <c r="E180" s="18" t="s">
        <v>376</v>
      </c>
      <c r="F180" s="18" t="s">
        <v>531</v>
      </c>
      <c r="G180" s="26">
        <v>20</v>
      </c>
      <c r="H180" s="22">
        <v>70098.11999999998</v>
      </c>
      <c r="I180" s="27">
        <f>IF(COUNTIFS('Taux'!$A$6:$A$20,A180,'Taux'!$B$6:$B$20,D180)=1,SUMIFS('Taux'!$D$6:$D$20,'Taux'!$A$6:$A$20,A180,'Taux'!$B$6:$B$20,D180),"n.d.")</f>
        <v>10.90384939</v>
      </c>
      <c r="J180" s="22">
        <f>IF(COUNT(H180,I180)=2,H180/I180,"n.d.")</f>
        <v>6428.749838042287</v>
      </c>
      <c r="K180" s="18" t="s">
        <v>532</v>
      </c>
    </row>
    <row r="181" spans="1:11" ht="19" customHeight="1">
      <c r="A181" s="18" t="s">
        <v>13</v>
      </c>
      <c r="B181" s="18" t="s">
        <v>99</v>
      </c>
      <c r="C181" s="18" t="s">
        <v>100</v>
      </c>
      <c r="D181" s="18" t="s">
        <v>21</v>
      </c>
      <c r="E181" s="18" t="s">
        <v>376</v>
      </c>
      <c r="F181" s="18" t="s">
        <v>533</v>
      </c>
      <c r="G181" s="26">
        <v>0</v>
      </c>
      <c r="H181" s="22">
        <v>0</v>
      </c>
      <c r="I181" s="27">
        <f>IF(COUNTIFS('Taux'!$A$6:$A$20,A181,'Taux'!$B$6:$B$20,D181)=1,SUMIFS('Taux'!$D$6:$D$20,'Taux'!$A$6:$A$20,A181,'Taux'!$B$6:$B$20,D181),"n.d.")</f>
        <v>10.90384939</v>
      </c>
      <c r="J181" s="22">
        <f>IF(COUNT(H181,I181)=2,H181/I181,"n.d.")</f>
        <v>0.0</v>
      </c>
      <c r="K181" s="18" t="s">
        <v>534</v>
      </c>
    </row>
    <row r="182" spans="1:11" ht="19" customHeight="1">
      <c r="A182" s="18" t="s">
        <v>13</v>
      </c>
      <c r="B182" s="18" t="s">
        <v>99</v>
      </c>
      <c r="C182" s="18" t="s">
        <v>100</v>
      </c>
      <c r="D182" s="18" t="s">
        <v>21</v>
      </c>
      <c r="E182" s="18" t="s">
        <v>33</v>
      </c>
      <c r="F182" s="18" t="s">
        <v>387</v>
      </c>
      <c r="G182" s="26">
        <v>0</v>
      </c>
      <c r="H182" s="22">
        <v>0</v>
      </c>
      <c r="I182" s="27">
        <f>IF(COUNTIFS('Taux'!$A$6:$A$20,A182,'Taux'!$B$6:$B$20,D182)=1,SUMIFS('Taux'!$D$6:$D$20,'Taux'!$A$6:$A$20,A182,'Taux'!$B$6:$B$20,D182),"n.d.")</f>
        <v>10.90384939</v>
      </c>
      <c r="J182" s="22">
        <f>IF(COUNT(H182,I182)=2,H182/I182,"n.d.")</f>
        <v>0.0</v>
      </c>
      <c r="K182" s="18" t="s">
        <v>535</v>
      </c>
    </row>
    <row r="183" spans="1:11" ht="19" customHeight="1">
      <c r="A183" s="18" t="s">
        <v>13</v>
      </c>
      <c r="B183" s="18" t="s">
        <v>99</v>
      </c>
      <c r="C183" s="18" t="s">
        <v>100</v>
      </c>
      <c r="D183" s="18" t="s">
        <v>21</v>
      </c>
      <c r="E183" s="18" t="s">
        <v>33</v>
      </c>
      <c r="F183" s="18" t="s">
        <v>389</v>
      </c>
      <c r="G183" s="26">
        <v>0</v>
      </c>
      <c r="H183" s="22">
        <v>0</v>
      </c>
      <c r="I183" s="27">
        <f>IF(COUNTIFS('Taux'!$A$6:$A$20,A183,'Taux'!$B$6:$B$20,D183)=1,SUMIFS('Taux'!$D$6:$D$20,'Taux'!$A$6:$A$20,A183,'Taux'!$B$6:$B$20,D183),"n.d.")</f>
        <v>10.90384939</v>
      </c>
      <c r="J183" s="22">
        <f>IF(COUNT(H183,I183)=2,H183/I183,"n.d.")</f>
        <v>0.0</v>
      </c>
      <c r="K183" s="18" t="s">
        <v>536</v>
      </c>
    </row>
    <row r="184" spans="1:11" ht="19" customHeight="1">
      <c r="A184" s="18" t="s">
        <v>13</v>
      </c>
      <c r="B184" s="18" t="s">
        <v>99</v>
      </c>
      <c r="C184" s="18" t="s">
        <v>100</v>
      </c>
      <c r="D184" s="18" t="s">
        <v>21</v>
      </c>
      <c r="E184" s="18" t="s">
        <v>33</v>
      </c>
      <c r="F184" s="18" t="s">
        <v>391</v>
      </c>
      <c r="G184" s="26">
        <v>0</v>
      </c>
      <c r="H184" s="22">
        <v>0</v>
      </c>
      <c r="I184" s="27">
        <f>IF(COUNTIFS('Taux'!$A$6:$A$20,A184,'Taux'!$B$6:$B$20,D184)=1,SUMIFS('Taux'!$D$6:$D$20,'Taux'!$A$6:$A$20,A184,'Taux'!$B$6:$B$20,D184),"n.d.")</f>
        <v>10.90384939</v>
      </c>
      <c r="J184" s="22">
        <f>IF(COUNT(H184,I184)=2,H184/I184,"n.d.")</f>
        <v>0.0</v>
      </c>
      <c r="K184" s="18" t="s">
        <v>537</v>
      </c>
    </row>
    <row r="185" spans="1:11" ht="19" customHeight="1">
      <c r="A185" s="18" t="s">
        <v>13</v>
      </c>
      <c r="B185" s="18" t="s">
        <v>99</v>
      </c>
      <c r="C185" s="18" t="s">
        <v>100</v>
      </c>
      <c r="D185" s="18" t="s">
        <v>21</v>
      </c>
      <c r="E185" s="18" t="s">
        <v>33</v>
      </c>
      <c r="F185" s="18" t="s">
        <v>393</v>
      </c>
      <c r="G185" s="26">
        <v>0</v>
      </c>
      <c r="H185" s="22">
        <v>0</v>
      </c>
      <c r="I185" s="27">
        <f>IF(COUNTIFS('Taux'!$A$6:$A$20,A185,'Taux'!$B$6:$B$20,D185)=1,SUMIFS('Taux'!$D$6:$D$20,'Taux'!$A$6:$A$20,A185,'Taux'!$B$6:$B$20,D185),"n.d.")</f>
        <v>10.90384939</v>
      </c>
      <c r="J185" s="22">
        <f>IF(COUNT(H185,I185)=2,H185/I185,"n.d.")</f>
        <v>0.0</v>
      </c>
      <c r="K185" s="18" t="s">
        <v>538</v>
      </c>
    </row>
    <row r="186" spans="1:11" ht="19" customHeight="1">
      <c r="A186" s="18" t="s">
        <v>13</v>
      </c>
      <c r="B186" s="18" t="s">
        <v>99</v>
      </c>
      <c r="C186" s="18" t="s">
        <v>100</v>
      </c>
      <c r="D186" s="18" t="s">
        <v>21</v>
      </c>
      <c r="E186" s="18" t="s">
        <v>33</v>
      </c>
      <c r="F186" s="18" t="s">
        <v>395</v>
      </c>
      <c r="G186" s="26">
        <v>0</v>
      </c>
      <c r="H186" s="22">
        <v>0</v>
      </c>
      <c r="I186" s="27">
        <f>IF(COUNTIFS('Taux'!$A$6:$A$20,A186,'Taux'!$B$6:$B$20,D186)=1,SUMIFS('Taux'!$D$6:$D$20,'Taux'!$A$6:$A$20,A186,'Taux'!$B$6:$B$20,D186),"n.d.")</f>
        <v>10.90384939</v>
      </c>
      <c r="J186" s="22">
        <f>IF(COUNT(H186,I186)=2,H186/I186,"n.d.")</f>
        <v>0.0</v>
      </c>
      <c r="K186" s="18" t="s">
        <v>539</v>
      </c>
    </row>
    <row r="187" spans="1:11" ht="19" customHeight="1">
      <c r="A187" s="18" t="s">
        <v>13</v>
      </c>
      <c r="B187" s="18" t="s">
        <v>99</v>
      </c>
      <c r="C187" s="18" t="s">
        <v>100</v>
      </c>
      <c r="D187" s="18" t="s">
        <v>21</v>
      </c>
      <c r="E187" s="18" t="s">
        <v>33</v>
      </c>
      <c r="F187" s="18" t="s">
        <v>397</v>
      </c>
      <c r="G187" s="26">
        <v>0</v>
      </c>
      <c r="H187" s="22">
        <v>0</v>
      </c>
      <c r="I187" s="27">
        <f>IF(COUNTIFS('Taux'!$A$6:$A$20,A187,'Taux'!$B$6:$B$20,D187)=1,SUMIFS('Taux'!$D$6:$D$20,'Taux'!$A$6:$A$20,A187,'Taux'!$B$6:$B$20,D187),"n.d.")</f>
        <v>10.90384939</v>
      </c>
      <c r="J187" s="22">
        <f>IF(COUNT(H187,I187)=2,H187/I187,"n.d.")</f>
        <v>0.0</v>
      </c>
      <c r="K187" s="18" t="s">
        <v>540</v>
      </c>
    </row>
    <row r="188" spans="1:11" ht="19" customHeight="1">
      <c r="A188" s="18" t="s">
        <v>13</v>
      </c>
      <c r="B188" s="18" t="s">
        <v>99</v>
      </c>
      <c r="C188" s="18" t="s">
        <v>100</v>
      </c>
      <c r="D188" s="18" t="s">
        <v>21</v>
      </c>
      <c r="E188" s="18" t="s">
        <v>33</v>
      </c>
      <c r="F188" s="18" t="s">
        <v>399</v>
      </c>
      <c r="G188" s="26">
        <v>0</v>
      </c>
      <c r="H188" s="22">
        <v>0</v>
      </c>
      <c r="I188" s="27">
        <f>IF(COUNTIFS('Taux'!$A$6:$A$20,A188,'Taux'!$B$6:$B$20,D188)=1,SUMIFS('Taux'!$D$6:$D$20,'Taux'!$A$6:$A$20,A188,'Taux'!$B$6:$B$20,D188),"n.d.")</f>
        <v>10.90384939</v>
      </c>
      <c r="J188" s="22">
        <f>IF(COUNT(H188,I188)=2,H188/I188,"n.d.")</f>
        <v>0.0</v>
      </c>
      <c r="K188" s="18" t="s">
        <v>541</v>
      </c>
    </row>
    <row r="189" spans="1:11" ht="19" customHeight="1">
      <c r="A189" s="18" t="s">
        <v>13</v>
      </c>
      <c r="B189" s="18" t="s">
        <v>99</v>
      </c>
      <c r="C189" s="18" t="s">
        <v>100</v>
      </c>
      <c r="D189" s="18" t="s">
        <v>21</v>
      </c>
      <c r="E189" s="18" t="s">
        <v>33</v>
      </c>
      <c r="F189" s="18" t="s">
        <v>95</v>
      </c>
      <c r="G189" s="26">
        <v>0</v>
      </c>
      <c r="H189" s="22">
        <v>0</v>
      </c>
      <c r="I189" s="27">
        <f>IF(COUNTIFS('Taux'!$A$6:$A$20,A189,'Taux'!$B$6:$B$20,D189)=1,SUMIFS('Taux'!$D$6:$D$20,'Taux'!$A$6:$A$20,A189,'Taux'!$B$6:$B$20,D189),"n.d.")</f>
        <v>10.90384939</v>
      </c>
      <c r="J189" s="22">
        <f>IF(COUNT(H189,I189)=2,H189/I189,"n.d.")</f>
        <v>0.0</v>
      </c>
      <c r="K189" s="18" t="s">
        <v>542</v>
      </c>
    </row>
    <row r="190" spans="1:11" ht="19" customHeight="1">
      <c r="A190" s="18" t="s">
        <v>13</v>
      </c>
      <c r="B190" s="18" t="s">
        <v>99</v>
      </c>
      <c r="C190" s="18" t="s">
        <v>100</v>
      </c>
      <c r="D190" s="18" t="s">
        <v>21</v>
      </c>
      <c r="E190" s="18" t="s">
        <v>33</v>
      </c>
      <c r="F190" s="18" t="s">
        <v>53</v>
      </c>
      <c r="G190" s="26">
        <v>0</v>
      </c>
      <c r="H190" s="22">
        <v>0</v>
      </c>
      <c r="I190" s="27">
        <f>IF(COUNTIFS('Taux'!$A$6:$A$20,A190,'Taux'!$B$6:$B$20,D190)=1,SUMIFS('Taux'!$D$6:$D$20,'Taux'!$A$6:$A$20,A190,'Taux'!$B$6:$B$20,D190),"n.d.")</f>
        <v>10.90384939</v>
      </c>
      <c r="J190" s="22">
        <f>IF(COUNT(H190,I190)=2,H190/I190,"n.d.")</f>
        <v>0.0</v>
      </c>
      <c r="K190" s="18" t="s">
        <v>543</v>
      </c>
    </row>
    <row r="191" spans="1:11" ht="19" customHeight="1">
      <c r="A191" s="18" t="s">
        <v>13</v>
      </c>
      <c r="B191" s="18" t="s">
        <v>99</v>
      </c>
      <c r="C191" s="18" t="s">
        <v>100</v>
      </c>
      <c r="D191" s="18" t="s">
        <v>21</v>
      </c>
      <c r="E191" s="18" t="s">
        <v>33</v>
      </c>
      <c r="F191" s="18" t="s">
        <v>55</v>
      </c>
      <c r="G191" s="26">
        <v>461</v>
      </c>
      <c r="H191" s="22">
        <v>122248.06</v>
      </c>
      <c r="I191" s="27">
        <f>IF(COUNTIFS('Taux'!$A$6:$A$20,A191,'Taux'!$B$6:$B$20,D191)=1,SUMIFS('Taux'!$D$6:$D$20,'Taux'!$A$6:$A$20,A191,'Taux'!$B$6:$B$20,D191),"n.d.")</f>
        <v>10.90384939</v>
      </c>
      <c r="J191" s="22">
        <f>IF(COUNT(H191,I191)=2,H191/I191,"n.d.")</f>
        <v>11211.458965318669</v>
      </c>
      <c r="K191" s="18" t="s">
        <v>544</v>
      </c>
    </row>
    <row r="192" spans="1:11" ht="19" customHeight="1">
      <c r="A192" s="18" t="s">
        <v>13</v>
      </c>
      <c r="B192" s="18" t="s">
        <v>105</v>
      </c>
      <c r="C192" s="18" t="s">
        <v>106</v>
      </c>
      <c r="D192" s="18" t="s">
        <v>23</v>
      </c>
      <c r="E192" s="18" t="s">
        <v>376</v>
      </c>
      <c r="F192" s="18" t="s">
        <v>545</v>
      </c>
      <c r="G192" s="26">
        <v>161</v>
      </c>
      <c r="H192" s="22">
        <v>263.22</v>
      </c>
      <c r="I192" s="27">
        <f>IF(COUNTIFS('Taux'!$A$6:$A$20,A192,'Taux'!$B$6:$B$20,D192)=1,SUMIFS('Taux'!$D$6:$D$20,'Taux'!$A$6:$A$20,A192,'Taux'!$B$6:$B$20,D192),"n.d.")</f>
        <v>11.34339828</v>
      </c>
      <c r="J192" s="22">
        <f>IF(COUNT(H192,I192)=2,H192/I192,"n.d.")</f>
        <v>23.20468641783421</v>
      </c>
      <c r="K192" s="18" t="s">
        <v>546</v>
      </c>
    </row>
    <row r="193" spans="1:11" ht="19" customHeight="1">
      <c r="A193" s="18" t="s">
        <v>13</v>
      </c>
      <c r="B193" s="18" t="s">
        <v>105</v>
      </c>
      <c r="C193" s="18" t="s">
        <v>106</v>
      </c>
      <c r="D193" s="18" t="s">
        <v>23</v>
      </c>
      <c r="E193" s="18" t="s">
        <v>376</v>
      </c>
      <c r="F193" s="18" t="s">
        <v>547</v>
      </c>
      <c r="G193" s="26">
        <v>119</v>
      </c>
      <c r="H193" s="22">
        <v>6340.86</v>
      </c>
      <c r="I193" s="27">
        <f>IF(COUNTIFS('Taux'!$A$6:$A$20,A193,'Taux'!$B$6:$B$20,D193)=1,SUMIFS('Taux'!$D$6:$D$20,'Taux'!$A$6:$A$20,A193,'Taux'!$B$6:$B$20,D193),"n.d.")</f>
        <v>11.34339828</v>
      </c>
      <c r="J193" s="22">
        <f>IF(COUNT(H193,I193)=2,H193/I193,"n.d.")</f>
        <v>558.99121616666</v>
      </c>
      <c r="K193" s="18" t="s">
        <v>548</v>
      </c>
    </row>
    <row r="194" spans="1:11" ht="19" customHeight="1">
      <c r="A194" s="18" t="s">
        <v>13</v>
      </c>
      <c r="B194" s="18" t="s">
        <v>105</v>
      </c>
      <c r="C194" s="18" t="s">
        <v>106</v>
      </c>
      <c r="D194" s="18" t="s">
        <v>23</v>
      </c>
      <c r="E194" s="18" t="s">
        <v>376</v>
      </c>
      <c r="F194" s="18" t="s">
        <v>549</v>
      </c>
      <c r="G194" s="26">
        <v>175</v>
      </c>
      <c r="H194" s="22">
        <v>65226.56999999998</v>
      </c>
      <c r="I194" s="27">
        <f>IF(COUNTIFS('Taux'!$A$6:$A$20,A194,'Taux'!$B$6:$B$20,D194)=1,SUMIFS('Taux'!$D$6:$D$20,'Taux'!$A$6:$A$20,A194,'Taux'!$B$6:$B$20,D194),"n.d.")</f>
        <v>11.34339828</v>
      </c>
      <c r="J194" s="22">
        <f>IF(COUNT(H194,I194)=2,H194/I194,"n.d.")</f>
        <v>5750.178949019497</v>
      </c>
      <c r="K194" s="18" t="s">
        <v>550</v>
      </c>
    </row>
    <row r="195" spans="1:11" ht="19" customHeight="1">
      <c r="A195" s="18" t="s">
        <v>13</v>
      </c>
      <c r="B195" s="18" t="s">
        <v>105</v>
      </c>
      <c r="C195" s="18" t="s">
        <v>106</v>
      </c>
      <c r="D195" s="18" t="s">
        <v>23</v>
      </c>
      <c r="E195" s="18" t="s">
        <v>376</v>
      </c>
      <c r="F195" s="18" t="s">
        <v>551</v>
      </c>
      <c r="G195" s="26">
        <v>32</v>
      </c>
      <c r="H195" s="22">
        <v>84813.40999999996</v>
      </c>
      <c r="I195" s="27">
        <f>IF(COUNTIFS('Taux'!$A$6:$A$20,A195,'Taux'!$B$6:$B$20,D195)=1,SUMIFS('Taux'!$D$6:$D$20,'Taux'!$A$6:$A$20,A195,'Taux'!$B$6:$B$20,D195),"n.d.")</f>
        <v>11.34339828</v>
      </c>
      <c r="J195" s="22">
        <f>IF(COUNT(H195,I195)=2,H195/I195,"n.d.")</f>
        <v>7476.896068221274</v>
      </c>
      <c r="K195" s="18" t="s">
        <v>552</v>
      </c>
    </row>
    <row r="196" spans="1:11" ht="19" customHeight="1">
      <c r="A196" s="18" t="s">
        <v>13</v>
      </c>
      <c r="B196" s="18" t="s">
        <v>105</v>
      </c>
      <c r="C196" s="18" t="s">
        <v>106</v>
      </c>
      <c r="D196" s="18" t="s">
        <v>23</v>
      </c>
      <c r="E196" s="18" t="s">
        <v>376</v>
      </c>
      <c r="F196" s="18" t="s">
        <v>553</v>
      </c>
      <c r="G196" s="26">
        <v>0</v>
      </c>
      <c r="H196" s="22">
        <v>0</v>
      </c>
      <c r="I196" s="27">
        <f>IF(COUNTIFS('Taux'!$A$6:$A$20,A196,'Taux'!$B$6:$B$20,D196)=1,SUMIFS('Taux'!$D$6:$D$20,'Taux'!$A$6:$A$20,A196,'Taux'!$B$6:$B$20,D196),"n.d.")</f>
        <v>11.34339828</v>
      </c>
      <c r="J196" s="22">
        <f>IF(COUNT(H196,I196)=2,H196/I196,"n.d.")</f>
        <v>0.0</v>
      </c>
      <c r="K196" s="18" t="s">
        <v>554</v>
      </c>
    </row>
    <row r="197" spans="1:11" ht="19" customHeight="1">
      <c r="A197" s="18" t="s">
        <v>13</v>
      </c>
      <c r="B197" s="18" t="s">
        <v>105</v>
      </c>
      <c r="C197" s="18" t="s">
        <v>106</v>
      </c>
      <c r="D197" s="18" t="s">
        <v>23</v>
      </c>
      <c r="E197" s="18" t="s">
        <v>33</v>
      </c>
      <c r="F197" s="18" t="s">
        <v>387</v>
      </c>
      <c r="G197" s="26">
        <v>0</v>
      </c>
      <c r="H197" s="22">
        <v>0</v>
      </c>
      <c r="I197" s="27">
        <f>IF(COUNTIFS('Taux'!$A$6:$A$20,A197,'Taux'!$B$6:$B$20,D197)=1,SUMIFS('Taux'!$D$6:$D$20,'Taux'!$A$6:$A$20,A197,'Taux'!$B$6:$B$20,D197),"n.d.")</f>
        <v>11.34339828</v>
      </c>
      <c r="J197" s="22">
        <f>IF(COUNT(H197,I197)=2,H197/I197,"n.d.")</f>
        <v>0.0</v>
      </c>
      <c r="K197" s="18" t="s">
        <v>555</v>
      </c>
    </row>
    <row r="198" spans="1:11" ht="19" customHeight="1">
      <c r="A198" s="18" t="s">
        <v>13</v>
      </c>
      <c r="B198" s="18" t="s">
        <v>105</v>
      </c>
      <c r="C198" s="18" t="s">
        <v>106</v>
      </c>
      <c r="D198" s="18" t="s">
        <v>23</v>
      </c>
      <c r="E198" s="18" t="s">
        <v>33</v>
      </c>
      <c r="F198" s="18" t="s">
        <v>389</v>
      </c>
      <c r="G198" s="26">
        <v>0</v>
      </c>
      <c r="H198" s="22">
        <v>0</v>
      </c>
      <c r="I198" s="27">
        <f>IF(COUNTIFS('Taux'!$A$6:$A$20,A198,'Taux'!$B$6:$B$20,D198)=1,SUMIFS('Taux'!$D$6:$D$20,'Taux'!$A$6:$A$20,A198,'Taux'!$B$6:$B$20,D198),"n.d.")</f>
        <v>11.34339828</v>
      </c>
      <c r="J198" s="22">
        <f>IF(COUNT(H198,I198)=2,H198/I198,"n.d.")</f>
        <v>0.0</v>
      </c>
      <c r="K198" s="18" t="s">
        <v>556</v>
      </c>
    </row>
    <row r="199" spans="1:11" ht="19" customHeight="1">
      <c r="A199" s="18" t="s">
        <v>13</v>
      </c>
      <c r="B199" s="18" t="s">
        <v>105</v>
      </c>
      <c r="C199" s="18" t="s">
        <v>106</v>
      </c>
      <c r="D199" s="18" t="s">
        <v>23</v>
      </c>
      <c r="E199" s="18" t="s">
        <v>33</v>
      </c>
      <c r="F199" s="18" t="s">
        <v>391</v>
      </c>
      <c r="G199" s="26">
        <v>0</v>
      </c>
      <c r="H199" s="22">
        <v>0</v>
      </c>
      <c r="I199" s="27">
        <f>IF(COUNTIFS('Taux'!$A$6:$A$20,A199,'Taux'!$B$6:$B$20,D199)=1,SUMIFS('Taux'!$D$6:$D$20,'Taux'!$A$6:$A$20,A199,'Taux'!$B$6:$B$20,D199),"n.d.")</f>
        <v>11.34339828</v>
      </c>
      <c r="J199" s="22">
        <f>IF(COUNT(H199,I199)=2,H199/I199,"n.d.")</f>
        <v>0.0</v>
      </c>
      <c r="K199" s="18" t="s">
        <v>557</v>
      </c>
    </row>
    <row r="200" spans="1:11" ht="19" customHeight="1">
      <c r="A200" s="18" t="s">
        <v>13</v>
      </c>
      <c r="B200" s="18" t="s">
        <v>105</v>
      </c>
      <c r="C200" s="18" t="s">
        <v>106</v>
      </c>
      <c r="D200" s="18" t="s">
        <v>23</v>
      </c>
      <c r="E200" s="18" t="s">
        <v>33</v>
      </c>
      <c r="F200" s="18" t="s">
        <v>393</v>
      </c>
      <c r="G200" s="26">
        <v>0</v>
      </c>
      <c r="H200" s="22">
        <v>0</v>
      </c>
      <c r="I200" s="27">
        <f>IF(COUNTIFS('Taux'!$A$6:$A$20,A200,'Taux'!$B$6:$B$20,D200)=1,SUMIFS('Taux'!$D$6:$D$20,'Taux'!$A$6:$A$20,A200,'Taux'!$B$6:$B$20,D200),"n.d.")</f>
        <v>11.34339828</v>
      </c>
      <c r="J200" s="22">
        <f>IF(COUNT(H200,I200)=2,H200/I200,"n.d.")</f>
        <v>0.0</v>
      </c>
      <c r="K200" s="18" t="s">
        <v>558</v>
      </c>
    </row>
    <row r="201" spans="1:11" ht="19" customHeight="1">
      <c r="A201" s="18" t="s">
        <v>13</v>
      </c>
      <c r="B201" s="18" t="s">
        <v>105</v>
      </c>
      <c r="C201" s="18" t="s">
        <v>106</v>
      </c>
      <c r="D201" s="18" t="s">
        <v>23</v>
      </c>
      <c r="E201" s="18" t="s">
        <v>33</v>
      </c>
      <c r="F201" s="18" t="s">
        <v>395</v>
      </c>
      <c r="G201" s="26">
        <v>0</v>
      </c>
      <c r="H201" s="22">
        <v>0</v>
      </c>
      <c r="I201" s="27">
        <f>IF(COUNTIFS('Taux'!$A$6:$A$20,A201,'Taux'!$B$6:$B$20,D201)=1,SUMIFS('Taux'!$D$6:$D$20,'Taux'!$A$6:$A$20,A201,'Taux'!$B$6:$B$20,D201),"n.d.")</f>
        <v>11.34339828</v>
      </c>
      <c r="J201" s="22">
        <f>IF(COUNT(H201,I201)=2,H201/I201,"n.d.")</f>
        <v>0.0</v>
      </c>
      <c r="K201" s="18" t="s">
        <v>559</v>
      </c>
    </row>
    <row r="202" spans="1:11" ht="19" customHeight="1">
      <c r="A202" s="18" t="s">
        <v>13</v>
      </c>
      <c r="B202" s="18" t="s">
        <v>105</v>
      </c>
      <c r="C202" s="18" t="s">
        <v>106</v>
      </c>
      <c r="D202" s="18" t="s">
        <v>23</v>
      </c>
      <c r="E202" s="18" t="s">
        <v>33</v>
      </c>
      <c r="F202" s="18" t="s">
        <v>397</v>
      </c>
      <c r="G202" s="26">
        <v>0</v>
      </c>
      <c r="H202" s="22">
        <v>0</v>
      </c>
      <c r="I202" s="27">
        <f>IF(COUNTIFS('Taux'!$A$6:$A$20,A202,'Taux'!$B$6:$B$20,D202)=1,SUMIFS('Taux'!$D$6:$D$20,'Taux'!$A$6:$A$20,A202,'Taux'!$B$6:$B$20,D202),"n.d.")</f>
        <v>11.34339828</v>
      </c>
      <c r="J202" s="22">
        <f>IF(COUNT(H202,I202)=2,H202/I202,"n.d.")</f>
        <v>0.0</v>
      </c>
      <c r="K202" s="18" t="s">
        <v>560</v>
      </c>
    </row>
    <row r="203" spans="1:11" ht="19" customHeight="1">
      <c r="A203" s="18" t="s">
        <v>13</v>
      </c>
      <c r="B203" s="18" t="s">
        <v>105</v>
      </c>
      <c r="C203" s="18" t="s">
        <v>106</v>
      </c>
      <c r="D203" s="18" t="s">
        <v>23</v>
      </c>
      <c r="E203" s="18" t="s">
        <v>33</v>
      </c>
      <c r="F203" s="18" t="s">
        <v>399</v>
      </c>
      <c r="G203" s="26">
        <v>0</v>
      </c>
      <c r="H203" s="22">
        <v>0</v>
      </c>
      <c r="I203" s="27">
        <f>IF(COUNTIFS('Taux'!$A$6:$A$20,A203,'Taux'!$B$6:$B$20,D203)=1,SUMIFS('Taux'!$D$6:$D$20,'Taux'!$A$6:$A$20,A203,'Taux'!$B$6:$B$20,D203),"n.d.")</f>
        <v>11.34339828</v>
      </c>
      <c r="J203" s="22">
        <f>IF(COUNT(H203,I203)=2,H203/I203,"n.d.")</f>
        <v>0.0</v>
      </c>
      <c r="K203" s="18" t="s">
        <v>561</v>
      </c>
    </row>
    <row r="204" spans="1:11" ht="19" customHeight="1">
      <c r="A204" s="18" t="s">
        <v>13</v>
      </c>
      <c r="B204" s="18" t="s">
        <v>105</v>
      </c>
      <c r="C204" s="18" t="s">
        <v>106</v>
      </c>
      <c r="D204" s="18" t="s">
        <v>23</v>
      </c>
      <c r="E204" s="18" t="s">
        <v>33</v>
      </c>
      <c r="F204" s="18" t="s">
        <v>95</v>
      </c>
      <c r="G204" s="26">
        <v>0</v>
      </c>
      <c r="H204" s="22">
        <v>0</v>
      </c>
      <c r="I204" s="27">
        <f>IF(COUNTIFS('Taux'!$A$6:$A$20,A204,'Taux'!$B$6:$B$20,D204)=1,SUMIFS('Taux'!$D$6:$D$20,'Taux'!$A$6:$A$20,A204,'Taux'!$B$6:$B$20,D204),"n.d.")</f>
        <v>11.34339828</v>
      </c>
      <c r="J204" s="22">
        <f>IF(COUNT(H204,I204)=2,H204/I204,"n.d.")</f>
        <v>0.0</v>
      </c>
      <c r="K204" s="18" t="s">
        <v>562</v>
      </c>
    </row>
    <row r="205" spans="1:11" ht="19" customHeight="1">
      <c r="A205" s="18" t="s">
        <v>13</v>
      </c>
      <c r="B205" s="18" t="s">
        <v>105</v>
      </c>
      <c r="C205" s="18" t="s">
        <v>106</v>
      </c>
      <c r="D205" s="18" t="s">
        <v>23</v>
      </c>
      <c r="E205" s="18" t="s">
        <v>33</v>
      </c>
      <c r="F205" s="18" t="s">
        <v>53</v>
      </c>
      <c r="G205" s="26">
        <v>0</v>
      </c>
      <c r="H205" s="22">
        <v>0</v>
      </c>
      <c r="I205" s="27">
        <f>IF(COUNTIFS('Taux'!$A$6:$A$20,A205,'Taux'!$B$6:$B$20,D205)=1,SUMIFS('Taux'!$D$6:$D$20,'Taux'!$A$6:$A$20,A205,'Taux'!$B$6:$B$20,D205),"n.d.")</f>
        <v>11.34339828</v>
      </c>
      <c r="J205" s="22">
        <f>IF(COUNT(H205,I205)=2,H205/I205,"n.d.")</f>
        <v>0.0</v>
      </c>
      <c r="K205" s="18" t="s">
        <v>563</v>
      </c>
    </row>
    <row r="206" spans="1:11" ht="19" customHeight="1">
      <c r="A206" s="18" t="s">
        <v>13</v>
      </c>
      <c r="B206" s="18" t="s">
        <v>105</v>
      </c>
      <c r="C206" s="18" t="s">
        <v>106</v>
      </c>
      <c r="D206" s="18" t="s">
        <v>23</v>
      </c>
      <c r="E206" s="18" t="s">
        <v>33</v>
      </c>
      <c r="F206" s="18" t="s">
        <v>55</v>
      </c>
      <c r="G206" s="26">
        <v>487</v>
      </c>
      <c r="H206" s="22">
        <v>156644.0600000001</v>
      </c>
      <c r="I206" s="27">
        <f>IF(COUNTIFS('Taux'!$A$6:$A$20,A206,'Taux'!$B$6:$B$20,D206)=1,SUMIFS('Taux'!$D$6:$D$20,'Taux'!$A$6:$A$20,A206,'Taux'!$B$6:$B$20,D206),"n.d.")</f>
        <v>11.34339828</v>
      </c>
      <c r="J206" s="22">
        <f>IF(COUNT(H206,I206)=2,H206/I206,"n.d.")</f>
        <v>13809.270919825283</v>
      </c>
      <c r="K206" s="18" t="s">
        <v>564</v>
      </c>
    </row>
    <row r="207" spans="1:11" ht="19" customHeight="1">
      <c r="A207" s="18" t="s">
        <v>13</v>
      </c>
      <c r="B207" s="18" t="s">
        <v>359</v>
      </c>
      <c r="C207" s="18" t="s">
        <v>360</v>
      </c>
      <c r="D207" s="18" t="s">
        <v>10</v>
      </c>
      <c r="E207" s="18" t="s">
        <v>376</v>
      </c>
      <c r="F207" s="18" t="s">
        <v>377</v>
      </c>
      <c r="G207" s="26">
        <v>1738</v>
      </c>
      <c r="H207" s="22">
        <v>697.0822685838494</v>
      </c>
      <c r="I207" s="27">
        <f>IF(COUNTIFS('Taux'!$A$6:$A$20,A207,'Taux'!$B$6:$B$20,D207)=1,SUMIFS('Taux'!$D$6:$D$20,'Taux'!$A$6:$A$20,A207,'Taux'!$B$6:$B$20,D207),"n.d.")</f>
        <v>1</v>
      </c>
      <c r="J207" s="22">
        <f>IF(COUNT(H207,I207)=2,H207/I207,"n.d.")</f>
        <v>697.0822685838494</v>
      </c>
      <c r="K207" s="18" t="s">
        <v>565</v>
      </c>
    </row>
    <row r="208" spans="1:11" ht="19" customHeight="1">
      <c r="A208" s="18" t="s">
        <v>13</v>
      </c>
      <c r="B208" s="18" t="s">
        <v>359</v>
      </c>
      <c r="C208" s="18" t="s">
        <v>360</v>
      </c>
      <c r="D208" s="18" t="s">
        <v>10</v>
      </c>
      <c r="E208" s="18" t="s">
        <v>376</v>
      </c>
      <c r="F208" s="18" t="s">
        <v>379</v>
      </c>
      <c r="G208" s="26">
        <v>2794</v>
      </c>
      <c r="H208" s="22">
        <v>10283.9429421412</v>
      </c>
      <c r="I208" s="27">
        <f>IF(COUNTIFS('Taux'!$A$6:$A$20,A208,'Taux'!$B$6:$B$20,D208)=1,SUMIFS('Taux'!$D$6:$D$20,'Taux'!$A$6:$A$20,A208,'Taux'!$B$6:$B$20,D208),"n.d.")</f>
        <v>1</v>
      </c>
      <c r="J208" s="22">
        <f>IF(COUNT(H208,I208)=2,H208/I208,"n.d.")</f>
        <v>10283.942942141204</v>
      </c>
      <c r="K208" s="18" t="s">
        <v>566</v>
      </c>
    </row>
    <row r="209" spans="1:11" ht="19" customHeight="1">
      <c r="A209" s="18" t="s">
        <v>13</v>
      </c>
      <c r="B209" s="18" t="s">
        <v>359</v>
      </c>
      <c r="C209" s="18" t="s">
        <v>360</v>
      </c>
      <c r="D209" s="18" t="s">
        <v>10</v>
      </c>
      <c r="E209" s="18" t="s">
        <v>376</v>
      </c>
      <c r="F209" s="18" t="s">
        <v>381</v>
      </c>
      <c r="G209" s="26">
        <v>554</v>
      </c>
      <c r="H209" s="22">
        <v>15916.02845264884</v>
      </c>
      <c r="I209" s="27">
        <f>IF(COUNTIFS('Taux'!$A$6:$A$20,A209,'Taux'!$B$6:$B$20,D209)=1,SUMIFS('Taux'!$D$6:$D$20,'Taux'!$A$6:$A$20,A209,'Taux'!$B$6:$B$20,D209),"n.d.")</f>
        <v>1</v>
      </c>
      <c r="J209" s="22">
        <f>IF(COUNT(H209,I209)=2,H209/I209,"n.d.")</f>
        <v>15916.028452648836</v>
      </c>
      <c r="K209" s="18" t="s">
        <v>567</v>
      </c>
    </row>
    <row r="210" spans="1:11" ht="19" customHeight="1">
      <c r="A210" s="18" t="s">
        <v>13</v>
      </c>
      <c r="B210" s="18" t="s">
        <v>359</v>
      </c>
      <c r="C210" s="18" t="s">
        <v>360</v>
      </c>
      <c r="D210" s="18" t="s">
        <v>10</v>
      </c>
      <c r="E210" s="18" t="s">
        <v>376</v>
      </c>
      <c r="F210" s="18" t="s">
        <v>383</v>
      </c>
      <c r="G210" s="26">
        <v>65</v>
      </c>
      <c r="H210" s="22">
        <v>18805.21949731111</v>
      </c>
      <c r="I210" s="27">
        <f>IF(COUNTIFS('Taux'!$A$6:$A$20,A210,'Taux'!$B$6:$B$20,D210)=1,SUMIFS('Taux'!$D$6:$D$20,'Taux'!$A$6:$A$20,A210,'Taux'!$B$6:$B$20,D210),"n.d.")</f>
        <v>1</v>
      </c>
      <c r="J210" s="22">
        <f>IF(COUNT(H210,I210)=2,H210/I210,"n.d.")</f>
        <v>18805.219497311107</v>
      </c>
      <c r="K210" s="18" t="s">
        <v>568</v>
      </c>
    </row>
    <row r="211" spans="1:11" ht="19" customHeight="1">
      <c r="A211" s="18" t="s">
        <v>13</v>
      </c>
      <c r="B211" s="18" t="s">
        <v>359</v>
      </c>
      <c r="C211" s="18" t="s">
        <v>360</v>
      </c>
      <c r="D211" s="18" t="s">
        <v>10</v>
      </c>
      <c r="E211" s="18" t="s">
        <v>376</v>
      </c>
      <c r="F211" s="18" t="s">
        <v>385</v>
      </c>
      <c r="G211" s="26">
        <v>2</v>
      </c>
      <c r="H211" s="22">
        <v>3185.245432701476</v>
      </c>
      <c r="I211" s="27">
        <f>IF(COUNTIFS('Taux'!$A$6:$A$20,A211,'Taux'!$B$6:$B$20,D211)=1,SUMIFS('Taux'!$D$6:$D$20,'Taux'!$A$6:$A$20,A211,'Taux'!$B$6:$B$20,D211),"n.d.")</f>
        <v>1</v>
      </c>
      <c r="J211" s="22">
        <f>IF(COUNT(H211,I211)=2,H211/I211,"n.d.")</f>
        <v>3185.2454327014757</v>
      </c>
      <c r="K211" s="18" t="s">
        <v>569</v>
      </c>
    </row>
    <row r="212" spans="1:11" ht="19" customHeight="1">
      <c r="A212" s="18" t="s">
        <v>13</v>
      </c>
      <c r="B212" s="18" t="s">
        <v>359</v>
      </c>
      <c r="C212" s="18" t="s">
        <v>360</v>
      </c>
      <c r="D212" s="18" t="s">
        <v>10</v>
      </c>
      <c r="E212" s="18" t="s">
        <v>33</v>
      </c>
      <c r="F212" s="18" t="s">
        <v>397</v>
      </c>
      <c r="G212" s="26">
        <v>0</v>
      </c>
      <c r="H212" s="22">
        <v>0</v>
      </c>
      <c r="I212" s="27">
        <f>IF(COUNTIFS('Taux'!$A$6:$A$20,A212,'Taux'!$B$6:$B$20,D212)=1,SUMIFS('Taux'!$D$6:$D$20,'Taux'!$A$6:$A$20,A212,'Taux'!$B$6:$B$20,D212),"n.d.")</f>
        <v>1</v>
      </c>
      <c r="J212" s="22">
        <f>IF(COUNT(H212,I212)=2,H212/I212,"n.d.")</f>
        <v>0.0</v>
      </c>
      <c r="K212" s="18" t="s">
        <v>570</v>
      </c>
    </row>
    <row r="213" spans="1:11" ht="19" customHeight="1">
      <c r="A213" s="18" t="s">
        <v>13</v>
      </c>
      <c r="B213" s="18" t="s">
        <v>359</v>
      </c>
      <c r="C213" s="18" t="s">
        <v>360</v>
      </c>
      <c r="D213" s="18" t="s">
        <v>10</v>
      </c>
      <c r="E213" s="18" t="s">
        <v>33</v>
      </c>
      <c r="F213" s="18" t="s">
        <v>399</v>
      </c>
      <c r="G213" s="26">
        <v>0</v>
      </c>
      <c r="H213" s="22">
        <v>0</v>
      </c>
      <c r="I213" s="27">
        <f>IF(COUNTIFS('Taux'!$A$6:$A$20,A213,'Taux'!$B$6:$B$20,D213)=1,SUMIFS('Taux'!$D$6:$D$20,'Taux'!$A$6:$A$20,A213,'Taux'!$B$6:$B$20,D213),"n.d.")</f>
        <v>1</v>
      </c>
      <c r="J213" s="22">
        <f>IF(COUNT(H213,I213)=2,H213/I213,"n.d.")</f>
        <v>0.0</v>
      </c>
      <c r="K213" s="18" t="s">
        <v>571</v>
      </c>
    </row>
    <row r="214" spans="1:11" ht="19" customHeight="1">
      <c r="A214" s="18" t="s">
        <v>13</v>
      </c>
      <c r="B214" s="18" t="s">
        <v>359</v>
      </c>
      <c r="C214" s="18" t="s">
        <v>360</v>
      </c>
      <c r="D214" s="18" t="s">
        <v>10</v>
      </c>
      <c r="E214" s="18" t="s">
        <v>33</v>
      </c>
      <c r="F214" s="18" t="s">
        <v>95</v>
      </c>
      <c r="G214" s="26">
        <v>10</v>
      </c>
      <c r="H214" s="22">
        <v>416.6730233799916</v>
      </c>
      <c r="I214" s="27">
        <f>IF(COUNTIFS('Taux'!$A$6:$A$20,A214,'Taux'!$B$6:$B$20,D214)=1,SUMIFS('Taux'!$D$6:$D$20,'Taux'!$A$6:$A$20,A214,'Taux'!$B$6:$B$20,D214),"n.d.")</f>
        <v>1</v>
      </c>
      <c r="J214" s="22">
        <f>IF(COUNT(H214,I214)=2,H214/I214,"n.d.")</f>
        <v>416.6730233799916</v>
      </c>
      <c r="K214" s="18" t="s">
        <v>572</v>
      </c>
    </row>
    <row r="215" spans="1:11" ht="19" customHeight="1">
      <c r="A215" s="18" t="s">
        <v>13</v>
      </c>
      <c r="B215" s="18" t="s">
        <v>359</v>
      </c>
      <c r="C215" s="18" t="s">
        <v>360</v>
      </c>
      <c r="D215" s="18" t="s">
        <v>10</v>
      </c>
      <c r="E215" s="18" t="s">
        <v>33</v>
      </c>
      <c r="F215" s="18" t="s">
        <v>53</v>
      </c>
      <c r="G215" s="26">
        <v>61</v>
      </c>
      <c r="H215" s="22">
        <v>1682.62138144094</v>
      </c>
      <c r="I215" s="27">
        <f>IF(COUNTIFS('Taux'!$A$6:$A$20,A215,'Taux'!$B$6:$B$20,D215)=1,SUMIFS('Taux'!$D$6:$D$20,'Taux'!$A$6:$A$20,A215,'Taux'!$B$6:$B$20,D215),"n.d.")</f>
        <v>1</v>
      </c>
      <c r="J215" s="22">
        <f>IF(COUNT(H215,I215)=2,H215/I215,"n.d.")</f>
        <v>1682.6213814409402</v>
      </c>
      <c r="K215" s="18" t="s">
        <v>573</v>
      </c>
    </row>
    <row r="216" spans="1:11" ht="19" customHeight="1">
      <c r="A216" s="18" t="s">
        <v>13</v>
      </c>
      <c r="B216" s="18" t="s">
        <v>359</v>
      </c>
      <c r="C216" s="18" t="s">
        <v>360</v>
      </c>
      <c r="D216" s="18" t="s">
        <v>10</v>
      </c>
      <c r="E216" s="18" t="s">
        <v>33</v>
      </c>
      <c r="F216" s="18" t="s">
        <v>55</v>
      </c>
      <c r="G216" s="26">
        <v>5082</v>
      </c>
      <c r="H216" s="22">
        <v>46788.22418856551</v>
      </c>
      <c r="I216" s="27">
        <f>IF(COUNTIFS('Taux'!$A$6:$A$20,A216,'Taux'!$B$6:$B$20,D216)=1,SUMIFS('Taux'!$D$6:$D$20,'Taux'!$A$6:$A$20,A216,'Taux'!$B$6:$B$20,D216),"n.d.")</f>
        <v>1</v>
      </c>
      <c r="J216" s="22">
        <f>IF(COUNT(H216,I216)=2,H216/I216,"n.d.")</f>
        <v>46788.22418856551</v>
      </c>
      <c r="K216" s="18" t="s">
        <v>574</v>
      </c>
    </row>
    <row r="217" spans="1:11" ht="19" customHeight="1">
      <c r="A217" s="18" t="s">
        <v>13</v>
      </c>
      <c r="B217" s="18" t="s">
        <v>233</v>
      </c>
      <c r="C217" s="18" t="s">
        <v>234</v>
      </c>
      <c r="D217" s="18" t="s">
        <v>14</v>
      </c>
      <c r="E217" s="18" t="s">
        <v>33</v>
      </c>
      <c r="F217" s="18" t="s">
        <v>387</v>
      </c>
      <c r="G217" s="26">
        <v>204408</v>
      </c>
      <c r="H217" s="22">
        <v>10455964.92999984</v>
      </c>
      <c r="I217" s="27">
        <f>IF(COUNTIFS('Taux'!$A$6:$A$20,A217,'Taux'!$B$6:$B$20,D217)=1,SUMIFS('Taux'!$D$6:$D$20,'Taux'!$A$6:$A$20,A217,'Taux'!$B$6:$B$20,D217),"n.d.")</f>
        <v>5.855892595</v>
      </c>
      <c r="J217" s="22">
        <f>IF(COUNT(H217,I217)=2,H217/I217,"n.d.")</f>
        <v>1785545.8856823249</v>
      </c>
      <c r="K217" s="18" t="s">
        <v>575</v>
      </c>
    </row>
    <row r="218" spans="1:11" ht="19" customHeight="1">
      <c r="A218" s="18" t="s">
        <v>13</v>
      </c>
      <c r="B218" s="18" t="s">
        <v>233</v>
      </c>
      <c r="C218" s="18" t="s">
        <v>234</v>
      </c>
      <c r="D218" s="18" t="s">
        <v>14</v>
      </c>
      <c r="E218" s="18" t="s">
        <v>33</v>
      </c>
      <c r="F218" s="18" t="s">
        <v>389</v>
      </c>
      <c r="G218" s="26">
        <v>7874</v>
      </c>
      <c r="H218" s="22">
        <v>1211495.900000023</v>
      </c>
      <c r="I218" s="27">
        <f>IF(COUNTIFS('Taux'!$A$6:$A$20,A218,'Taux'!$B$6:$B$20,D218)=1,SUMIFS('Taux'!$D$6:$D$20,'Taux'!$A$6:$A$20,A218,'Taux'!$B$6:$B$20,D218),"n.d.")</f>
        <v>5.855892595</v>
      </c>
      <c r="J218" s="22">
        <f>IF(COUNT(H218,I218)=2,H218/I218,"n.d.")</f>
        <v>206884.92494456738</v>
      </c>
      <c r="K218" s="18" t="s">
        <v>576</v>
      </c>
    </row>
    <row r="219" spans="1:11" ht="19" customHeight="1">
      <c r="A219" s="18" t="s">
        <v>13</v>
      </c>
      <c r="B219" s="18" t="s">
        <v>233</v>
      </c>
      <c r="C219" s="18" t="s">
        <v>234</v>
      </c>
      <c r="D219" s="18" t="s">
        <v>14</v>
      </c>
      <c r="E219" s="18" t="s">
        <v>33</v>
      </c>
      <c r="F219" s="18" t="s">
        <v>391</v>
      </c>
      <c r="G219" s="26">
        <v>5045</v>
      </c>
      <c r="H219" s="22">
        <v>1173346.680000023</v>
      </c>
      <c r="I219" s="27">
        <f>IF(COUNTIFS('Taux'!$A$6:$A$20,A219,'Taux'!$B$6:$B$20,D219)=1,SUMIFS('Taux'!$D$6:$D$20,'Taux'!$A$6:$A$20,A219,'Taux'!$B$6:$B$20,D219),"n.d.")</f>
        <v>5.855892595</v>
      </c>
      <c r="J219" s="22">
        <f>IF(COUNT(H219,I219)=2,H219/I219,"n.d.")</f>
        <v>200370.25286322262</v>
      </c>
      <c r="K219" s="18" t="s">
        <v>577</v>
      </c>
    </row>
    <row r="220" spans="1:11" ht="19" customHeight="1">
      <c r="A220" s="18" t="s">
        <v>13</v>
      </c>
      <c r="B220" s="18" t="s">
        <v>233</v>
      </c>
      <c r="C220" s="18" t="s">
        <v>234</v>
      </c>
      <c r="D220" s="18" t="s">
        <v>14</v>
      </c>
      <c r="E220" s="18" t="s">
        <v>33</v>
      </c>
      <c r="F220" s="18" t="s">
        <v>393</v>
      </c>
      <c r="G220" s="26">
        <v>48309</v>
      </c>
      <c r="H220" s="22">
        <v>1826170.719999621</v>
      </c>
      <c r="I220" s="27">
        <f>IF(COUNTIFS('Taux'!$A$6:$A$20,A220,'Taux'!$B$6:$B$20,D220)=1,SUMIFS('Taux'!$D$6:$D$20,'Taux'!$A$6:$A$20,A220,'Taux'!$B$6:$B$20,D220),"n.d.")</f>
        <v>5.855892595</v>
      </c>
      <c r="J220" s="22">
        <f>IF(COUNT(H220,I220)=2,H220/I220,"n.d.")</f>
        <v>311851.8125757429</v>
      </c>
      <c r="K220" s="18" t="s">
        <v>578</v>
      </c>
    </row>
    <row r="221" spans="1:11" ht="19" customHeight="1">
      <c r="A221" s="18" t="s">
        <v>13</v>
      </c>
      <c r="B221" s="18" t="s">
        <v>233</v>
      </c>
      <c r="C221" s="18" t="s">
        <v>234</v>
      </c>
      <c r="D221" s="18" t="s">
        <v>14</v>
      </c>
      <c r="E221" s="18" t="s">
        <v>33</v>
      </c>
      <c r="F221" s="18" t="s">
        <v>395</v>
      </c>
      <c r="G221" s="26">
        <v>21435</v>
      </c>
      <c r="H221" s="22">
        <v>2266165.230000161</v>
      </c>
      <c r="I221" s="27">
        <f>IF(COUNTIFS('Taux'!$A$6:$A$20,A221,'Taux'!$B$6:$B$20,D221)=1,SUMIFS('Taux'!$D$6:$D$20,'Taux'!$A$6:$A$20,A221,'Taux'!$B$6:$B$20,D221),"n.d.")</f>
        <v>5.855892595</v>
      </c>
      <c r="J221" s="22">
        <f>IF(COUNT(H221,I221)=2,H221/I221,"n.d.")</f>
        <v>386988.86518770934</v>
      </c>
      <c r="K221" s="18" t="s">
        <v>579</v>
      </c>
    </row>
    <row r="222" spans="1:11" ht="19" customHeight="1">
      <c r="A222" s="18" t="s">
        <v>13</v>
      </c>
      <c r="B222" s="18" t="s">
        <v>233</v>
      </c>
      <c r="C222" s="18" t="s">
        <v>234</v>
      </c>
      <c r="D222" s="18" t="s">
        <v>14</v>
      </c>
      <c r="E222" s="18" t="s">
        <v>33</v>
      </c>
      <c r="F222" s="18" t="s">
        <v>397</v>
      </c>
      <c r="G222" s="26">
        <v>5402</v>
      </c>
      <c r="H222" s="22">
        <v>1018876.380000086</v>
      </c>
      <c r="I222" s="27">
        <f>IF(COUNTIFS('Taux'!$A$6:$A$20,A222,'Taux'!$B$6:$B$20,D222)=1,SUMIFS('Taux'!$D$6:$D$20,'Taux'!$A$6:$A$20,A222,'Taux'!$B$6:$B$20,D222),"n.d.")</f>
        <v>5.855892595</v>
      </c>
      <c r="J222" s="22">
        <f>IF(COUNT(H222,I222)=2,H222/I222,"n.d.")</f>
        <v>173991.64405270075</v>
      </c>
      <c r="K222" s="18" t="s">
        <v>580</v>
      </c>
    </row>
    <row r="223" spans="1:11" ht="19" customHeight="1">
      <c r="A223" s="18" t="s">
        <v>13</v>
      </c>
      <c r="B223" s="18" t="s">
        <v>233</v>
      </c>
      <c r="C223" s="18" t="s">
        <v>234</v>
      </c>
      <c r="D223" s="18" t="s">
        <v>14</v>
      </c>
      <c r="E223" s="18" t="s">
        <v>33</v>
      </c>
      <c r="F223" s="18" t="s">
        <v>399</v>
      </c>
      <c r="G223" s="26">
        <v>23925</v>
      </c>
      <c r="H223" s="22">
        <v>1566070.45000213</v>
      </c>
      <c r="I223" s="27">
        <f>IF(COUNTIFS('Taux'!$A$6:$A$20,A223,'Taux'!$B$6:$B$20,D223)=1,SUMIFS('Taux'!$D$6:$D$20,'Taux'!$A$6:$A$20,A223,'Taux'!$B$6:$B$20,D223),"n.d.")</f>
        <v>5.855892595</v>
      </c>
      <c r="J223" s="22">
        <f>IF(COUNT(H223,I223)=2,H223/I223,"n.d.")</f>
        <v>267434.96821292536</v>
      </c>
      <c r="K223" s="18" t="s">
        <v>581</v>
      </c>
    </row>
    <row r="224" spans="1:11" ht="19" customHeight="1">
      <c r="A224" s="18" t="s">
        <v>13</v>
      </c>
      <c r="B224" s="18" t="s">
        <v>233</v>
      </c>
      <c r="C224" s="18" t="s">
        <v>234</v>
      </c>
      <c r="D224" s="18" t="s">
        <v>14</v>
      </c>
      <c r="E224" s="18" t="s">
        <v>33</v>
      </c>
      <c r="F224" s="18" t="s">
        <v>95</v>
      </c>
      <c r="G224" s="26">
        <v>11188</v>
      </c>
      <c r="H224" s="22">
        <v>2079340.85000078</v>
      </c>
      <c r="I224" s="27">
        <f>IF(COUNTIFS('Taux'!$A$6:$A$20,A224,'Taux'!$B$6:$B$20,D224)=1,SUMIFS('Taux'!$D$6:$D$20,'Taux'!$A$6:$A$20,A224,'Taux'!$B$6:$B$20,D224),"n.d.")</f>
        <v>5.855892595</v>
      </c>
      <c r="J224" s="22">
        <f>IF(COUNT(H224,I224)=2,H224/I224,"n.d.")</f>
        <v>355085.2096871117</v>
      </c>
      <c r="K224" s="18" t="s">
        <v>582</v>
      </c>
    </row>
    <row r="225" spans="1:11" ht="19" customHeight="1">
      <c r="A225" s="18" t="s">
        <v>13</v>
      </c>
      <c r="B225" s="18" t="s">
        <v>233</v>
      </c>
      <c r="C225" s="18" t="s">
        <v>234</v>
      </c>
      <c r="D225" s="18" t="s">
        <v>14</v>
      </c>
      <c r="E225" s="18" t="s">
        <v>33</v>
      </c>
      <c r="F225" s="18" t="s">
        <v>53</v>
      </c>
      <c r="G225" s="26">
        <v>8305</v>
      </c>
      <c r="H225" s="22">
        <v>675883.9200000016</v>
      </c>
      <c r="I225" s="27">
        <f>IF(COUNTIFS('Taux'!$A$6:$A$20,A225,'Taux'!$B$6:$B$20,D225)=1,SUMIFS('Taux'!$D$6:$D$20,'Taux'!$A$6:$A$20,A225,'Taux'!$B$6:$B$20,D225),"n.d.")</f>
        <v>5.855892595</v>
      </c>
      <c r="J225" s="22">
        <f>IF(COUNT(H225,I225)=2,H225/I225,"n.d.")</f>
        <v>115419.45297581085</v>
      </c>
      <c r="K225" s="18" t="s">
        <v>583</v>
      </c>
    </row>
    <row r="226" spans="1:11" ht="19" customHeight="1">
      <c r="A226" s="18" t="s">
        <v>13</v>
      </c>
      <c r="B226" s="18" t="s">
        <v>233</v>
      </c>
      <c r="C226" s="18" t="s">
        <v>234</v>
      </c>
      <c r="D226" s="18" t="s">
        <v>14</v>
      </c>
      <c r="E226" s="18" t="s">
        <v>33</v>
      </c>
      <c r="F226" s="18" t="s">
        <v>55</v>
      </c>
      <c r="G226" s="26">
        <v>661</v>
      </c>
      <c r="H226" s="22">
        <v>65237.37999999942</v>
      </c>
      <c r="I226" s="27">
        <f>IF(COUNTIFS('Taux'!$A$6:$A$20,A226,'Taux'!$B$6:$B$20,D226)=1,SUMIFS('Taux'!$D$6:$D$20,'Taux'!$A$6:$A$20,A226,'Taux'!$B$6:$B$20,D226),"n.d.")</f>
        <v>5.855892595</v>
      </c>
      <c r="J226" s="22">
        <f>IF(COUNT(H226,I226)=2,H226/I226,"n.d.")</f>
        <v>11140.46730565068</v>
      </c>
      <c r="K226" s="18" t="s">
        <v>584</v>
      </c>
    </row>
    <row r="227" spans="1:11" ht="19" customHeight="1">
      <c r="A227" s="18" t="s">
        <v>13</v>
      </c>
      <c r="B227" s="18" t="s">
        <v>111</v>
      </c>
      <c r="C227" s="18" t="s">
        <v>112</v>
      </c>
      <c r="D227" s="18" t="s">
        <v>25</v>
      </c>
      <c r="E227" s="18" t="s">
        <v>376</v>
      </c>
      <c r="F227" s="18" t="s">
        <v>377</v>
      </c>
      <c r="G227" s="26">
        <v>71052</v>
      </c>
      <c r="H227" s="22">
        <v>31178863.20999995</v>
      </c>
      <c r="I227" s="27">
        <f>IF(COUNTIFS('Taux'!$A$6:$A$20,A227,'Taux'!$B$6:$B$20,D227)=1,SUMIFS('Taux'!$D$6:$D$20,'Taux'!$A$6:$A$20,A227,'Taux'!$B$6:$B$20,D227),"n.d.")</f>
        <v>18.58943911</v>
      </c>
      <c r="J227" s="22">
        <f>IF(COUNT(H227,I227)=2,H227/I227,"n.d.")</f>
        <v>1677235.2853415352</v>
      </c>
      <c r="K227" s="18" t="s">
        <v>585</v>
      </c>
    </row>
    <row r="228" spans="1:11" ht="19" customHeight="1">
      <c r="A228" s="18" t="s">
        <v>13</v>
      </c>
      <c r="B228" s="18" t="s">
        <v>111</v>
      </c>
      <c r="C228" s="18" t="s">
        <v>112</v>
      </c>
      <c r="D228" s="18" t="s">
        <v>25</v>
      </c>
      <c r="E228" s="18" t="s">
        <v>376</v>
      </c>
      <c r="F228" s="18" t="s">
        <v>379</v>
      </c>
      <c r="G228" s="26">
        <v>0</v>
      </c>
      <c r="H228" s="22">
        <v>0</v>
      </c>
      <c r="I228" s="27">
        <f>IF(COUNTIFS('Taux'!$A$6:$A$20,A228,'Taux'!$B$6:$B$20,D228)=1,SUMIFS('Taux'!$D$6:$D$20,'Taux'!$A$6:$A$20,A228,'Taux'!$B$6:$B$20,D228),"n.d.")</f>
        <v>18.58943911</v>
      </c>
      <c r="J228" s="22">
        <f>IF(COUNT(H228,I228)=2,H228/I228,"n.d.")</f>
        <v>0.0</v>
      </c>
      <c r="K228" s="18" t="s">
        <v>586</v>
      </c>
    </row>
    <row r="229" spans="1:11" ht="19" customHeight="1">
      <c r="A229" s="18" t="s">
        <v>13</v>
      </c>
      <c r="B229" s="18" t="s">
        <v>111</v>
      </c>
      <c r="C229" s="18" t="s">
        <v>112</v>
      </c>
      <c r="D229" s="18" t="s">
        <v>25</v>
      </c>
      <c r="E229" s="18" t="s">
        <v>376</v>
      </c>
      <c r="F229" s="18" t="s">
        <v>381</v>
      </c>
      <c r="G229" s="26">
        <v>0</v>
      </c>
      <c r="H229" s="22">
        <v>0</v>
      </c>
      <c r="I229" s="27">
        <f>IF(COUNTIFS('Taux'!$A$6:$A$20,A229,'Taux'!$B$6:$B$20,D229)=1,SUMIFS('Taux'!$D$6:$D$20,'Taux'!$A$6:$A$20,A229,'Taux'!$B$6:$B$20,D229),"n.d.")</f>
        <v>18.58943911</v>
      </c>
      <c r="J229" s="22">
        <f>IF(COUNT(H229,I229)=2,H229/I229,"n.d.")</f>
        <v>0.0</v>
      </c>
      <c r="K229" s="18" t="s">
        <v>587</v>
      </c>
    </row>
    <row r="230" spans="1:11" ht="19" customHeight="1">
      <c r="A230" s="18" t="s">
        <v>13</v>
      </c>
      <c r="B230" s="18" t="s">
        <v>111</v>
      </c>
      <c r="C230" s="18" t="s">
        <v>112</v>
      </c>
      <c r="D230" s="18" t="s">
        <v>25</v>
      </c>
      <c r="E230" s="18" t="s">
        <v>376</v>
      </c>
      <c r="F230" s="18" t="s">
        <v>383</v>
      </c>
      <c r="G230" s="26">
        <v>0</v>
      </c>
      <c r="H230" s="22">
        <v>0</v>
      </c>
      <c r="I230" s="27">
        <f>IF(COUNTIFS('Taux'!$A$6:$A$20,A230,'Taux'!$B$6:$B$20,D230)=1,SUMIFS('Taux'!$D$6:$D$20,'Taux'!$A$6:$A$20,A230,'Taux'!$B$6:$B$20,D230),"n.d.")</f>
        <v>18.58943911</v>
      </c>
      <c r="J230" s="22">
        <f>IF(COUNT(H230,I230)=2,H230/I230,"n.d.")</f>
        <v>0.0</v>
      </c>
      <c r="K230" s="18" t="s">
        <v>588</v>
      </c>
    </row>
    <row r="231" spans="1:11" ht="19" customHeight="1">
      <c r="A231" s="18" t="s">
        <v>13</v>
      </c>
      <c r="B231" s="18" t="s">
        <v>111</v>
      </c>
      <c r="C231" s="18" t="s">
        <v>112</v>
      </c>
      <c r="D231" s="18" t="s">
        <v>25</v>
      </c>
      <c r="E231" s="18" t="s">
        <v>376</v>
      </c>
      <c r="F231" s="18" t="s">
        <v>385</v>
      </c>
      <c r="G231" s="26">
        <v>0</v>
      </c>
      <c r="H231" s="22">
        <v>0</v>
      </c>
      <c r="I231" s="27">
        <f>IF(COUNTIFS('Taux'!$A$6:$A$20,A231,'Taux'!$B$6:$B$20,D231)=1,SUMIFS('Taux'!$D$6:$D$20,'Taux'!$A$6:$A$20,A231,'Taux'!$B$6:$B$20,D231),"n.d.")</f>
        <v>18.58943911</v>
      </c>
      <c r="J231" s="22">
        <f>IF(COUNT(H231,I231)=2,H231/I231,"n.d.")</f>
        <v>0.0</v>
      </c>
      <c r="K231" s="18" t="s">
        <v>589</v>
      </c>
    </row>
    <row r="232" spans="1:11" ht="19" customHeight="1">
      <c r="A232" s="18" t="s">
        <v>13</v>
      </c>
      <c r="B232" s="18" t="s">
        <v>111</v>
      </c>
      <c r="C232" s="18" t="s">
        <v>112</v>
      </c>
      <c r="D232" s="18" t="s">
        <v>25</v>
      </c>
      <c r="E232" s="18" t="s">
        <v>33</v>
      </c>
      <c r="F232" s="18" t="s">
        <v>590</v>
      </c>
      <c r="G232" s="26">
        <v>199</v>
      </c>
      <c r="H232" s="22">
        <v>751149.8100000001</v>
      </c>
      <c r="I232" s="27">
        <f>IF(COUNTIFS('Taux'!$A$6:$A$20,A232,'Taux'!$B$6:$B$20,D232)=1,SUMIFS('Taux'!$D$6:$D$20,'Taux'!$A$6:$A$20,A232,'Taux'!$B$6:$B$20,D232),"n.d.")</f>
        <v>18.58943911</v>
      </c>
      <c r="J232" s="22">
        <f>IF(COUNT(H232,I232)=2,H232/I232,"n.d.")</f>
        <v>40407.341262702575</v>
      </c>
      <c r="K232" s="18" t="s">
        <v>591</v>
      </c>
    </row>
    <row r="233" spans="1:11" ht="19" customHeight="1">
      <c r="A233" s="18" t="s">
        <v>13</v>
      </c>
      <c r="B233" s="18" t="s">
        <v>111</v>
      </c>
      <c r="C233" s="18" t="s">
        <v>112</v>
      </c>
      <c r="D233" s="18" t="s">
        <v>25</v>
      </c>
      <c r="E233" s="18" t="s">
        <v>33</v>
      </c>
      <c r="F233" s="18" t="s">
        <v>391</v>
      </c>
      <c r="G233" s="26">
        <v>82</v>
      </c>
      <c r="H233" s="22">
        <v>227540</v>
      </c>
      <c r="I233" s="27">
        <f>IF(COUNTIFS('Taux'!$A$6:$A$20,A233,'Taux'!$B$6:$B$20,D233)=1,SUMIFS('Taux'!$D$6:$D$20,'Taux'!$A$6:$A$20,A233,'Taux'!$B$6:$B$20,D233),"n.d.")</f>
        <v>18.58943911</v>
      </c>
      <c r="J233" s="22">
        <f>IF(COUNT(H233,I233)=2,H233/I233,"n.d.")</f>
        <v>12240.28324112249</v>
      </c>
      <c r="K233" s="18" t="s">
        <v>592</v>
      </c>
    </row>
    <row r="234" spans="1:11" ht="19" customHeight="1">
      <c r="A234" s="18" t="s">
        <v>13</v>
      </c>
      <c r="B234" s="18" t="s">
        <v>111</v>
      </c>
      <c r="C234" s="18" t="s">
        <v>112</v>
      </c>
      <c r="D234" s="18" t="s">
        <v>25</v>
      </c>
      <c r="E234" s="18" t="s">
        <v>33</v>
      </c>
      <c r="F234" s="18" t="s">
        <v>393</v>
      </c>
      <c r="G234" s="26">
        <v>577</v>
      </c>
      <c r="H234" s="22">
        <v>1055811.67</v>
      </c>
      <c r="I234" s="27">
        <f>IF(COUNTIFS('Taux'!$A$6:$A$20,A234,'Taux'!$B$6:$B$20,D234)=1,SUMIFS('Taux'!$D$6:$D$20,'Taux'!$A$6:$A$20,A234,'Taux'!$B$6:$B$20,D234),"n.d.")</f>
        <v>18.58943911</v>
      </c>
      <c r="J234" s="22">
        <f>IF(COUNT(H234,I234)=2,H234/I234,"n.d.")</f>
        <v>56796.316647985186</v>
      </c>
      <c r="K234" s="18" t="s">
        <v>593</v>
      </c>
    </row>
    <row r="235" spans="1:11" ht="19" customHeight="1">
      <c r="A235" s="18" t="s">
        <v>13</v>
      </c>
      <c r="B235" s="18" t="s">
        <v>111</v>
      </c>
      <c r="C235" s="18" t="s">
        <v>112</v>
      </c>
      <c r="D235" s="18" t="s">
        <v>25</v>
      </c>
      <c r="E235" s="18" t="s">
        <v>33</v>
      </c>
      <c r="F235" s="18" t="s">
        <v>395</v>
      </c>
      <c r="G235" s="26">
        <v>3490</v>
      </c>
      <c r="H235" s="22">
        <v>1891299.92</v>
      </c>
      <c r="I235" s="27">
        <f>IF(COUNTIFS('Taux'!$A$6:$A$20,A235,'Taux'!$B$6:$B$20,D235)=1,SUMIFS('Taux'!$D$6:$D$20,'Taux'!$A$6:$A$20,A235,'Taux'!$B$6:$B$20,D235),"n.d.")</f>
        <v>18.58943911</v>
      </c>
      <c r="J235" s="22">
        <f>IF(COUNT(H235,I235)=2,H235/I235,"n.d.")</f>
        <v>101740.55864776438</v>
      </c>
      <c r="K235" s="18" t="s">
        <v>594</v>
      </c>
    </row>
    <row r="236" spans="1:11" ht="19" customHeight="1">
      <c r="A236" s="18" t="s">
        <v>13</v>
      </c>
      <c r="B236" s="18" t="s">
        <v>111</v>
      </c>
      <c r="C236" s="18" t="s">
        <v>112</v>
      </c>
      <c r="D236" s="18" t="s">
        <v>25</v>
      </c>
      <c r="E236" s="18" t="s">
        <v>33</v>
      </c>
      <c r="F236" s="18" t="s">
        <v>397</v>
      </c>
      <c r="G236" s="26">
        <v>3177</v>
      </c>
      <c r="H236" s="22">
        <v>1803180.89</v>
      </c>
      <c r="I236" s="27">
        <f>IF(COUNTIFS('Taux'!$A$6:$A$20,A236,'Taux'!$B$6:$B$20,D236)=1,SUMIFS('Taux'!$D$6:$D$20,'Taux'!$A$6:$A$20,A236,'Taux'!$B$6:$B$20,D236),"n.d.")</f>
        <v>18.58943911</v>
      </c>
      <c r="J236" s="22">
        <f>IF(COUNT(H236,I236)=2,H236/I236,"n.d.")</f>
        <v>97000.2849106941</v>
      </c>
      <c r="K236" s="18" t="s">
        <v>595</v>
      </c>
    </row>
    <row r="237" spans="1:11" ht="19" customHeight="1">
      <c r="A237" s="18" t="s">
        <v>13</v>
      </c>
      <c r="B237" s="18" t="s">
        <v>111</v>
      </c>
      <c r="C237" s="18" t="s">
        <v>112</v>
      </c>
      <c r="D237" s="18" t="s">
        <v>25</v>
      </c>
      <c r="E237" s="18" t="s">
        <v>33</v>
      </c>
      <c r="F237" s="18" t="s">
        <v>399</v>
      </c>
      <c r="G237" s="26">
        <v>4518</v>
      </c>
      <c r="H237" s="22">
        <v>2617980.37999999</v>
      </c>
      <c r="I237" s="27">
        <f>IF(COUNTIFS('Taux'!$A$6:$A$20,A237,'Taux'!$B$6:$B$20,D237)=1,SUMIFS('Taux'!$D$6:$D$20,'Taux'!$A$6:$A$20,A237,'Taux'!$B$6:$B$20,D237),"n.d.")</f>
        <v>18.58943911</v>
      </c>
      <c r="J237" s="22">
        <f>IF(COUNT(H237,I237)=2,H237/I237,"n.d.")</f>
        <v>140831.59607498185</v>
      </c>
      <c r="K237" s="18" t="s">
        <v>596</v>
      </c>
    </row>
    <row r="238" spans="1:11" ht="19" customHeight="1">
      <c r="A238" s="18" t="s">
        <v>13</v>
      </c>
      <c r="B238" s="18" t="s">
        <v>111</v>
      </c>
      <c r="C238" s="18" t="s">
        <v>112</v>
      </c>
      <c r="D238" s="18" t="s">
        <v>25</v>
      </c>
      <c r="E238" s="18" t="s">
        <v>33</v>
      </c>
      <c r="F238" s="18" t="s">
        <v>95</v>
      </c>
      <c r="G238" s="26">
        <v>6481</v>
      </c>
      <c r="H238" s="22">
        <v>3470230.67</v>
      </c>
      <c r="I238" s="27">
        <f>IF(COUNTIFS('Taux'!$A$6:$A$20,A238,'Taux'!$B$6:$B$20,D238)=1,SUMIFS('Taux'!$D$6:$D$20,'Taux'!$A$6:$A$20,A238,'Taux'!$B$6:$B$20,D238),"n.d.")</f>
        <v>18.58943911</v>
      </c>
      <c r="J238" s="22">
        <f>IF(COUNT(H238,I238)=2,H238/I238,"n.d.")</f>
        <v>186677.53499529872</v>
      </c>
      <c r="K238" s="18" t="s">
        <v>597</v>
      </c>
    </row>
    <row r="239" spans="1:11" ht="19" customHeight="1">
      <c r="A239" s="18" t="s">
        <v>13</v>
      </c>
      <c r="B239" s="18" t="s">
        <v>111</v>
      </c>
      <c r="C239" s="18" t="s">
        <v>112</v>
      </c>
      <c r="D239" s="18" t="s">
        <v>25</v>
      </c>
      <c r="E239" s="18" t="s">
        <v>33</v>
      </c>
      <c r="F239" s="18" t="s">
        <v>53</v>
      </c>
      <c r="G239" s="26">
        <v>13904</v>
      </c>
      <c r="H239" s="22">
        <v>7308977.3999999</v>
      </c>
      <c r="I239" s="27">
        <f>IF(COUNTIFS('Taux'!$A$6:$A$20,A239,'Taux'!$B$6:$B$20,D239)=1,SUMIFS('Taux'!$D$6:$D$20,'Taux'!$A$6:$A$20,A239,'Taux'!$B$6:$B$20,D239),"n.d.")</f>
        <v>18.58943911</v>
      </c>
      <c r="J239" s="22">
        <f>IF(COUNT(H239,I239)=2,H239/I239,"n.d.")</f>
        <v>393179.0172231775</v>
      </c>
      <c r="K239" s="18" t="s">
        <v>598</v>
      </c>
    </row>
    <row r="240" spans="1:11" ht="19" customHeight="1">
      <c r="A240" s="18" t="s">
        <v>13</v>
      </c>
      <c r="B240" s="18" t="s">
        <v>111</v>
      </c>
      <c r="C240" s="18" t="s">
        <v>112</v>
      </c>
      <c r="D240" s="18" t="s">
        <v>25</v>
      </c>
      <c r="E240" s="18" t="s">
        <v>33</v>
      </c>
      <c r="F240" s="18" t="s">
        <v>55</v>
      </c>
      <c r="G240" s="26">
        <v>38624</v>
      </c>
      <c r="H240" s="22">
        <v>12052692.47</v>
      </c>
      <c r="I240" s="27">
        <f>IF(COUNTIFS('Taux'!$A$6:$A$20,A240,'Taux'!$B$6:$B$20,D240)=1,SUMIFS('Taux'!$D$6:$D$20,'Taux'!$A$6:$A$20,A240,'Taux'!$B$6:$B$20,D240),"n.d.")</f>
        <v>18.58943911</v>
      </c>
      <c r="J240" s="22">
        <f>IF(COUNT(H240,I240)=2,H240/I240,"n.d.")</f>
        <v>648362.3523378054</v>
      </c>
      <c r="K240" s="18" t="s">
        <v>599</v>
      </c>
    </row>
    <row r="241" spans="1:11" ht="19" customHeight="1">
      <c r="A241" s="18" t="s">
        <v>27</v>
      </c>
      <c r="B241" s="18" t="s">
        <v>48</v>
      </c>
      <c r="C241" s="18" t="s">
        <v>49</v>
      </c>
      <c r="D241" s="18" t="s">
        <v>10</v>
      </c>
      <c r="E241" s="18" t="s">
        <v>376</v>
      </c>
      <c r="F241" s="18" t="s">
        <v>377</v>
      </c>
      <c r="G241" s="26">
        <v>5</v>
      </c>
      <c r="H241" s="22">
        <v>2</v>
      </c>
      <c r="I241" s="27">
        <f>IF(COUNTIFS('Taux'!$A$6:$A$20,A241,'Taux'!$B$6:$B$20,D241)=1,SUMIFS('Taux'!$D$6:$D$20,'Taux'!$A$6:$A$20,A241,'Taux'!$B$6:$B$20,D241),"n.d.")</f>
        <v>1</v>
      </c>
      <c r="J241" s="22">
        <f>IF(COUNT(H241,I241)=2,H241/I241,"n.d.")</f>
        <v>2.0</v>
      </c>
      <c r="K241" s="18" t="s">
        <v>600</v>
      </c>
    </row>
    <row r="242" spans="1:11" ht="19" customHeight="1">
      <c r="A242" s="18" t="s">
        <v>27</v>
      </c>
      <c r="B242" s="18" t="s">
        <v>48</v>
      </c>
      <c r="C242" s="18" t="s">
        <v>49</v>
      </c>
      <c r="D242" s="18" t="s">
        <v>10</v>
      </c>
      <c r="E242" s="18" t="s">
        <v>376</v>
      </c>
      <c r="F242" s="18" t="s">
        <v>379</v>
      </c>
      <c r="G242" s="26">
        <v>11</v>
      </c>
      <c r="H242" s="22">
        <v>72</v>
      </c>
      <c r="I242" s="27">
        <f>IF(COUNTIFS('Taux'!$A$6:$A$20,A242,'Taux'!$B$6:$B$20,D242)=1,SUMIFS('Taux'!$D$6:$D$20,'Taux'!$A$6:$A$20,A242,'Taux'!$B$6:$B$20,D242),"n.d.")</f>
        <v>1</v>
      </c>
      <c r="J242" s="22">
        <f>IF(COUNT(H242,I242)=2,H242/I242,"n.d.")</f>
        <v>72.0</v>
      </c>
      <c r="K242" s="18" t="s">
        <v>601</v>
      </c>
    </row>
    <row r="243" spans="1:11" ht="19" customHeight="1">
      <c r="A243" s="18" t="s">
        <v>27</v>
      </c>
      <c r="B243" s="18" t="s">
        <v>48</v>
      </c>
      <c r="C243" s="18" t="s">
        <v>49</v>
      </c>
      <c r="D243" s="18" t="s">
        <v>10</v>
      </c>
      <c r="E243" s="18" t="s">
        <v>376</v>
      </c>
      <c r="F243" s="18" t="s">
        <v>381</v>
      </c>
      <c r="G243" s="26">
        <v>54</v>
      </c>
      <c r="H243" s="22">
        <v>2685</v>
      </c>
      <c r="I243" s="27">
        <f>IF(COUNTIFS('Taux'!$A$6:$A$20,A243,'Taux'!$B$6:$B$20,D243)=1,SUMIFS('Taux'!$D$6:$D$20,'Taux'!$A$6:$A$20,A243,'Taux'!$B$6:$B$20,D243),"n.d.")</f>
        <v>1</v>
      </c>
      <c r="J243" s="22">
        <f>IF(COUNT(H243,I243)=2,H243/I243,"n.d.")</f>
        <v>2685.0</v>
      </c>
      <c r="K243" s="18" t="s">
        <v>602</v>
      </c>
    </row>
    <row r="244" spans="1:11" ht="19" customHeight="1">
      <c r="A244" s="18" t="s">
        <v>27</v>
      </c>
      <c r="B244" s="18" t="s">
        <v>48</v>
      </c>
      <c r="C244" s="18" t="s">
        <v>49</v>
      </c>
      <c r="D244" s="18" t="s">
        <v>10</v>
      </c>
      <c r="E244" s="18" t="s">
        <v>376</v>
      </c>
      <c r="F244" s="18" t="s">
        <v>383</v>
      </c>
      <c r="G244" s="26">
        <v>157</v>
      </c>
      <c r="H244" s="22">
        <v>44176</v>
      </c>
      <c r="I244" s="27">
        <f>IF(COUNTIFS('Taux'!$A$6:$A$20,A244,'Taux'!$B$6:$B$20,D244)=1,SUMIFS('Taux'!$D$6:$D$20,'Taux'!$A$6:$A$20,A244,'Taux'!$B$6:$B$20,D244),"n.d.")</f>
        <v>1</v>
      </c>
      <c r="J244" s="22">
        <f>IF(COUNT(H244,I244)=2,H244/I244,"n.d.")</f>
        <v>44176.0</v>
      </c>
      <c r="K244" s="18" t="s">
        <v>603</v>
      </c>
    </row>
    <row r="245" spans="1:11" ht="19" customHeight="1">
      <c r="A245" s="18" t="s">
        <v>27</v>
      </c>
      <c r="B245" s="18" t="s">
        <v>48</v>
      </c>
      <c r="C245" s="18" t="s">
        <v>49</v>
      </c>
      <c r="D245" s="18" t="s">
        <v>10</v>
      </c>
      <c r="E245" s="18" t="s">
        <v>376</v>
      </c>
      <c r="F245" s="18" t="s">
        <v>385</v>
      </c>
      <c r="G245" s="26">
        <v>10</v>
      </c>
      <c r="H245" s="22">
        <v>59111</v>
      </c>
      <c r="I245" s="27">
        <f>IF(COUNTIFS('Taux'!$A$6:$A$20,A245,'Taux'!$B$6:$B$20,D245)=1,SUMIFS('Taux'!$D$6:$D$20,'Taux'!$A$6:$A$20,A245,'Taux'!$B$6:$B$20,D245),"n.d.")</f>
        <v>1</v>
      </c>
      <c r="J245" s="22">
        <f>IF(COUNT(H245,I245)=2,H245/I245,"n.d.")</f>
        <v>59111.0</v>
      </c>
      <c r="K245" s="18" t="s">
        <v>604</v>
      </c>
    </row>
    <row r="246" spans="1:11" ht="19" customHeight="1">
      <c r="A246" s="18" t="s">
        <v>27</v>
      </c>
      <c r="B246" s="18" t="s">
        <v>48</v>
      </c>
      <c r="C246" s="18" t="s">
        <v>49</v>
      </c>
      <c r="D246" s="18" t="s">
        <v>10</v>
      </c>
      <c r="E246" s="18" t="s">
        <v>33</v>
      </c>
      <c r="F246" s="18" t="s">
        <v>387</v>
      </c>
      <c r="G246" s="23" t="s">
        <v>51</v>
      </c>
      <c r="H246" s="23" t="s">
        <v>51</v>
      </c>
      <c r="I246" s="27">
        <f>IF(COUNTIFS('Taux'!$A$6:$A$20,A246,'Taux'!$B$6:$B$20,D246)=1,SUMIFS('Taux'!$D$6:$D$20,'Taux'!$A$6:$A$20,A246,'Taux'!$B$6:$B$20,D246),"n.d.")</f>
        <v>1</v>
      </c>
      <c r="J246" s="22" t="str">
        <f>IF(COUNT(H246,I246)=2,H246/I246,"n.d.")</f>
        <v>n.d.</v>
      </c>
      <c r="K246" s="18" t="s">
        <v>605</v>
      </c>
    </row>
    <row r="247" spans="1:11" ht="19" customHeight="1">
      <c r="A247" s="18" t="s">
        <v>27</v>
      </c>
      <c r="B247" s="18" t="s">
        <v>48</v>
      </c>
      <c r="C247" s="18" t="s">
        <v>49</v>
      </c>
      <c r="D247" s="18" t="s">
        <v>10</v>
      </c>
      <c r="E247" s="18" t="s">
        <v>33</v>
      </c>
      <c r="F247" s="18" t="s">
        <v>389</v>
      </c>
      <c r="G247" s="23" t="s">
        <v>51</v>
      </c>
      <c r="H247" s="23" t="s">
        <v>51</v>
      </c>
      <c r="I247" s="27">
        <f>IF(COUNTIFS('Taux'!$A$6:$A$20,A247,'Taux'!$B$6:$B$20,D247)=1,SUMIFS('Taux'!$D$6:$D$20,'Taux'!$A$6:$A$20,A247,'Taux'!$B$6:$B$20,D247),"n.d.")</f>
        <v>1</v>
      </c>
      <c r="J247" s="22" t="str">
        <f>IF(COUNT(H247,I247)=2,H247/I247,"n.d.")</f>
        <v>n.d.</v>
      </c>
      <c r="K247" s="18" t="s">
        <v>606</v>
      </c>
    </row>
    <row r="248" spans="1:11" ht="19" customHeight="1">
      <c r="A248" s="18" t="s">
        <v>27</v>
      </c>
      <c r="B248" s="18" t="s">
        <v>48</v>
      </c>
      <c r="C248" s="18" t="s">
        <v>49</v>
      </c>
      <c r="D248" s="18" t="s">
        <v>10</v>
      </c>
      <c r="E248" s="18" t="s">
        <v>33</v>
      </c>
      <c r="F248" s="18" t="s">
        <v>391</v>
      </c>
      <c r="G248" s="23" t="s">
        <v>51</v>
      </c>
      <c r="H248" s="23" t="s">
        <v>51</v>
      </c>
      <c r="I248" s="27">
        <f>IF(COUNTIFS('Taux'!$A$6:$A$20,A248,'Taux'!$B$6:$B$20,D248)=1,SUMIFS('Taux'!$D$6:$D$20,'Taux'!$A$6:$A$20,A248,'Taux'!$B$6:$B$20,D248),"n.d.")</f>
        <v>1</v>
      </c>
      <c r="J248" s="22" t="str">
        <f>IF(COUNT(H248,I248)=2,H248/I248,"n.d.")</f>
        <v>n.d.</v>
      </c>
      <c r="K248" s="18" t="s">
        <v>607</v>
      </c>
    </row>
    <row r="249" spans="1:11" ht="19" customHeight="1">
      <c r="A249" s="18" t="s">
        <v>27</v>
      </c>
      <c r="B249" s="18" t="s">
        <v>48</v>
      </c>
      <c r="C249" s="18" t="s">
        <v>49</v>
      </c>
      <c r="D249" s="18" t="s">
        <v>10</v>
      </c>
      <c r="E249" s="18" t="s">
        <v>33</v>
      </c>
      <c r="F249" s="18" t="s">
        <v>393</v>
      </c>
      <c r="G249" s="23" t="s">
        <v>51</v>
      </c>
      <c r="H249" s="23" t="s">
        <v>51</v>
      </c>
      <c r="I249" s="27">
        <f>IF(COUNTIFS('Taux'!$A$6:$A$20,A249,'Taux'!$B$6:$B$20,D249)=1,SUMIFS('Taux'!$D$6:$D$20,'Taux'!$A$6:$A$20,A249,'Taux'!$B$6:$B$20,D249),"n.d.")</f>
        <v>1</v>
      </c>
      <c r="J249" s="22" t="str">
        <f>IF(COUNT(H249,I249)=2,H249/I249,"n.d.")</f>
        <v>n.d.</v>
      </c>
      <c r="K249" s="18" t="s">
        <v>608</v>
      </c>
    </row>
    <row r="250" spans="1:11" ht="19" customHeight="1">
      <c r="A250" s="18" t="s">
        <v>27</v>
      </c>
      <c r="B250" s="18" t="s">
        <v>48</v>
      </c>
      <c r="C250" s="18" t="s">
        <v>49</v>
      </c>
      <c r="D250" s="18" t="s">
        <v>10</v>
      </c>
      <c r="E250" s="18" t="s">
        <v>33</v>
      </c>
      <c r="F250" s="18" t="s">
        <v>395</v>
      </c>
      <c r="G250" s="23" t="s">
        <v>51</v>
      </c>
      <c r="H250" s="23" t="s">
        <v>51</v>
      </c>
      <c r="I250" s="27">
        <f>IF(COUNTIFS('Taux'!$A$6:$A$20,A250,'Taux'!$B$6:$B$20,D250)=1,SUMIFS('Taux'!$D$6:$D$20,'Taux'!$A$6:$A$20,A250,'Taux'!$B$6:$B$20,D250),"n.d.")</f>
        <v>1</v>
      </c>
      <c r="J250" s="22" t="str">
        <f>IF(COUNT(H250,I250)=2,H250/I250,"n.d.")</f>
        <v>n.d.</v>
      </c>
      <c r="K250" s="18" t="s">
        <v>609</v>
      </c>
    </row>
    <row r="251" spans="1:11" ht="19" customHeight="1">
      <c r="A251" s="18" t="s">
        <v>27</v>
      </c>
      <c r="B251" s="18" t="s">
        <v>48</v>
      </c>
      <c r="C251" s="18" t="s">
        <v>49</v>
      </c>
      <c r="D251" s="18" t="s">
        <v>10</v>
      </c>
      <c r="E251" s="18" t="s">
        <v>33</v>
      </c>
      <c r="F251" s="18" t="s">
        <v>397</v>
      </c>
      <c r="G251" s="23" t="s">
        <v>51</v>
      </c>
      <c r="H251" s="23" t="s">
        <v>51</v>
      </c>
      <c r="I251" s="27">
        <f>IF(COUNTIFS('Taux'!$A$6:$A$20,A251,'Taux'!$B$6:$B$20,D251)=1,SUMIFS('Taux'!$D$6:$D$20,'Taux'!$A$6:$A$20,A251,'Taux'!$B$6:$B$20,D251),"n.d.")</f>
        <v>1</v>
      </c>
      <c r="J251" s="22" t="str">
        <f>IF(COUNT(H251,I251)=2,H251/I251,"n.d.")</f>
        <v>n.d.</v>
      </c>
      <c r="K251" s="18" t="s">
        <v>610</v>
      </c>
    </row>
    <row r="252" spans="1:11" ht="19" customHeight="1">
      <c r="A252" s="18" t="s">
        <v>27</v>
      </c>
      <c r="B252" s="18" t="s">
        <v>48</v>
      </c>
      <c r="C252" s="18" t="s">
        <v>49</v>
      </c>
      <c r="D252" s="18" t="s">
        <v>10</v>
      </c>
      <c r="E252" s="18" t="s">
        <v>33</v>
      </c>
      <c r="F252" s="18" t="s">
        <v>399</v>
      </c>
      <c r="G252" s="26">
        <v>1</v>
      </c>
      <c r="H252" s="22">
        <v>0</v>
      </c>
      <c r="I252" s="27">
        <f>IF(COUNTIFS('Taux'!$A$6:$A$20,A252,'Taux'!$B$6:$B$20,D252)=1,SUMIFS('Taux'!$D$6:$D$20,'Taux'!$A$6:$A$20,A252,'Taux'!$B$6:$B$20,D252),"n.d.")</f>
        <v>1</v>
      </c>
      <c r="J252" s="22">
        <f>IF(COUNT(H252,I252)=2,H252/I252,"n.d.")</f>
        <v>0.0</v>
      </c>
      <c r="K252" s="18" t="s">
        <v>611</v>
      </c>
    </row>
    <row r="253" spans="1:11" ht="19" customHeight="1">
      <c r="A253" s="18" t="s">
        <v>27</v>
      </c>
      <c r="B253" s="18" t="s">
        <v>48</v>
      </c>
      <c r="C253" s="18" t="s">
        <v>49</v>
      </c>
      <c r="D253" s="18" t="s">
        <v>10</v>
      </c>
      <c r="E253" s="18" t="s">
        <v>33</v>
      </c>
      <c r="F253" s="18" t="s">
        <v>95</v>
      </c>
      <c r="G253" s="23" t="s">
        <v>51</v>
      </c>
      <c r="H253" s="23" t="s">
        <v>51</v>
      </c>
      <c r="I253" s="27">
        <f>IF(COUNTIFS('Taux'!$A$6:$A$20,A253,'Taux'!$B$6:$B$20,D253)=1,SUMIFS('Taux'!$D$6:$D$20,'Taux'!$A$6:$A$20,A253,'Taux'!$B$6:$B$20,D253),"n.d.")</f>
        <v>1</v>
      </c>
      <c r="J253" s="22" t="str">
        <f>IF(COUNT(H253,I253)=2,H253/I253,"n.d.")</f>
        <v>n.d.</v>
      </c>
      <c r="K253" s="18" t="s">
        <v>612</v>
      </c>
    </row>
    <row r="254" spans="1:11" ht="19" customHeight="1">
      <c r="A254" s="18" t="s">
        <v>27</v>
      </c>
      <c r="B254" s="18" t="s">
        <v>48</v>
      </c>
      <c r="C254" s="18" t="s">
        <v>49</v>
      </c>
      <c r="D254" s="18" t="s">
        <v>10</v>
      </c>
      <c r="E254" s="18" t="s">
        <v>33</v>
      </c>
      <c r="F254" s="18" t="s">
        <v>53</v>
      </c>
      <c r="G254" s="26">
        <v>2</v>
      </c>
      <c r="H254" s="22">
        <v>1390</v>
      </c>
      <c r="I254" s="27">
        <f>IF(COUNTIFS('Taux'!$A$6:$A$20,A254,'Taux'!$B$6:$B$20,D254)=1,SUMIFS('Taux'!$D$6:$D$20,'Taux'!$A$6:$A$20,A254,'Taux'!$B$6:$B$20,D254),"n.d.")</f>
        <v>1</v>
      </c>
      <c r="J254" s="22">
        <f>IF(COUNT(H254,I254)=2,H254/I254,"n.d.")</f>
        <v>1390.0</v>
      </c>
      <c r="K254" s="18" t="s">
        <v>613</v>
      </c>
    </row>
    <row r="255" spans="1:11" ht="19" customHeight="1">
      <c r="A255" s="18" t="s">
        <v>27</v>
      </c>
      <c r="B255" s="18" t="s">
        <v>48</v>
      </c>
      <c r="C255" s="18" t="s">
        <v>49</v>
      </c>
      <c r="D255" s="18" t="s">
        <v>10</v>
      </c>
      <c r="E255" s="18" t="s">
        <v>33</v>
      </c>
      <c r="F255" s="18" t="s">
        <v>55</v>
      </c>
      <c r="G255" s="26">
        <v>234</v>
      </c>
      <c r="H255" s="22">
        <v>104655</v>
      </c>
      <c r="I255" s="27">
        <f>IF(COUNTIFS('Taux'!$A$6:$A$20,A255,'Taux'!$B$6:$B$20,D255)=1,SUMIFS('Taux'!$D$6:$D$20,'Taux'!$A$6:$A$20,A255,'Taux'!$B$6:$B$20,D255),"n.d.")</f>
        <v>1</v>
      </c>
      <c r="J255" s="22">
        <f>IF(COUNT(H255,I255)=2,H255/I255,"n.d.")</f>
        <v>104655.0</v>
      </c>
      <c r="K255" s="18" t="s">
        <v>614</v>
      </c>
    </row>
    <row r="256" spans="1:11" ht="19" customHeight="1">
      <c r="A256" s="18" t="s">
        <v>27</v>
      </c>
      <c r="B256" s="18" t="s">
        <v>57</v>
      </c>
      <c r="C256" s="18" t="s">
        <v>58</v>
      </c>
      <c r="D256" s="18" t="s">
        <v>10</v>
      </c>
      <c r="E256" s="18" t="s">
        <v>376</v>
      </c>
      <c r="F256" s="18" t="s">
        <v>377</v>
      </c>
      <c r="G256" s="26">
        <v>183</v>
      </c>
      <c r="H256" s="22">
        <v>27</v>
      </c>
      <c r="I256" s="27">
        <f>IF(COUNTIFS('Taux'!$A$6:$A$20,A256,'Taux'!$B$6:$B$20,D256)=1,SUMIFS('Taux'!$D$6:$D$20,'Taux'!$A$6:$A$20,A256,'Taux'!$B$6:$B$20,D256),"n.d.")</f>
        <v>1</v>
      </c>
      <c r="J256" s="22">
        <f>IF(COUNT(H256,I256)=2,H256/I256,"n.d.")</f>
        <v>27.0</v>
      </c>
      <c r="K256" s="18" t="s">
        <v>615</v>
      </c>
    </row>
    <row r="257" spans="1:11" ht="19" customHeight="1">
      <c r="A257" s="18" t="s">
        <v>27</v>
      </c>
      <c r="B257" s="18" t="s">
        <v>57</v>
      </c>
      <c r="C257" s="18" t="s">
        <v>58</v>
      </c>
      <c r="D257" s="18" t="s">
        <v>10</v>
      </c>
      <c r="E257" s="18" t="s">
        <v>376</v>
      </c>
      <c r="F257" s="18" t="s">
        <v>379</v>
      </c>
      <c r="G257" s="26">
        <v>469</v>
      </c>
      <c r="H257" s="22">
        <v>2417</v>
      </c>
      <c r="I257" s="27">
        <f>IF(COUNTIFS('Taux'!$A$6:$A$20,A257,'Taux'!$B$6:$B$20,D257)=1,SUMIFS('Taux'!$D$6:$D$20,'Taux'!$A$6:$A$20,A257,'Taux'!$B$6:$B$20,D257),"n.d.")</f>
        <v>1</v>
      </c>
      <c r="J257" s="22">
        <f>IF(COUNT(H257,I257)=2,H257/I257,"n.d.")</f>
        <v>2417.0</v>
      </c>
      <c r="K257" s="18" t="s">
        <v>616</v>
      </c>
    </row>
    <row r="258" spans="1:11" ht="19" customHeight="1">
      <c r="A258" s="18" t="s">
        <v>27</v>
      </c>
      <c r="B258" s="18" t="s">
        <v>57</v>
      </c>
      <c r="C258" s="18" t="s">
        <v>58</v>
      </c>
      <c r="D258" s="18" t="s">
        <v>10</v>
      </c>
      <c r="E258" s="18" t="s">
        <v>376</v>
      </c>
      <c r="F258" s="18" t="s">
        <v>381</v>
      </c>
      <c r="G258" s="26">
        <v>4270</v>
      </c>
      <c r="H258" s="22">
        <v>203009</v>
      </c>
      <c r="I258" s="27">
        <f>IF(COUNTIFS('Taux'!$A$6:$A$20,A258,'Taux'!$B$6:$B$20,D258)=1,SUMIFS('Taux'!$D$6:$D$20,'Taux'!$A$6:$A$20,A258,'Taux'!$B$6:$B$20,D258),"n.d.")</f>
        <v>1</v>
      </c>
      <c r="J258" s="22">
        <f>IF(COUNT(H258,I258)=2,H258/I258,"n.d.")</f>
        <v>203009.0</v>
      </c>
      <c r="K258" s="18" t="s">
        <v>617</v>
      </c>
    </row>
    <row r="259" spans="1:11" ht="19" customHeight="1">
      <c r="A259" s="18" t="s">
        <v>27</v>
      </c>
      <c r="B259" s="18" t="s">
        <v>57</v>
      </c>
      <c r="C259" s="18" t="s">
        <v>58</v>
      </c>
      <c r="D259" s="18" t="s">
        <v>10</v>
      </c>
      <c r="E259" s="18" t="s">
        <v>376</v>
      </c>
      <c r="F259" s="18" t="s">
        <v>383</v>
      </c>
      <c r="G259" s="26">
        <v>2772</v>
      </c>
      <c r="H259" s="22">
        <v>686886</v>
      </c>
      <c r="I259" s="27">
        <f>IF(COUNTIFS('Taux'!$A$6:$A$20,A259,'Taux'!$B$6:$B$20,D259)=1,SUMIFS('Taux'!$D$6:$D$20,'Taux'!$A$6:$A$20,A259,'Taux'!$B$6:$B$20,D259),"n.d.")</f>
        <v>1</v>
      </c>
      <c r="J259" s="22">
        <f>IF(COUNT(H259,I259)=2,H259/I259,"n.d.")</f>
        <v>686886.0</v>
      </c>
      <c r="K259" s="18" t="s">
        <v>618</v>
      </c>
    </row>
    <row r="260" spans="1:11" ht="19" customHeight="1">
      <c r="A260" s="18" t="s">
        <v>27</v>
      </c>
      <c r="B260" s="18" t="s">
        <v>57</v>
      </c>
      <c r="C260" s="18" t="s">
        <v>58</v>
      </c>
      <c r="D260" s="18" t="s">
        <v>10</v>
      </c>
      <c r="E260" s="18" t="s">
        <v>376</v>
      </c>
      <c r="F260" s="18" t="s">
        <v>385</v>
      </c>
      <c r="G260" s="26">
        <v>189</v>
      </c>
      <c r="H260" s="22">
        <v>591034</v>
      </c>
      <c r="I260" s="27">
        <f>IF(COUNTIFS('Taux'!$A$6:$A$20,A260,'Taux'!$B$6:$B$20,D260)=1,SUMIFS('Taux'!$D$6:$D$20,'Taux'!$A$6:$A$20,A260,'Taux'!$B$6:$B$20,D260),"n.d.")</f>
        <v>1</v>
      </c>
      <c r="J260" s="22">
        <f>IF(COUNT(H260,I260)=2,H260/I260,"n.d.")</f>
        <v>591034.0</v>
      </c>
      <c r="K260" s="18" t="s">
        <v>619</v>
      </c>
    </row>
    <row r="261" spans="1:11" ht="19" customHeight="1">
      <c r="A261" s="18" t="s">
        <v>27</v>
      </c>
      <c r="B261" s="18" t="s">
        <v>57</v>
      </c>
      <c r="C261" s="18" t="s">
        <v>58</v>
      </c>
      <c r="D261" s="18" t="s">
        <v>10</v>
      </c>
      <c r="E261" s="18" t="s">
        <v>33</v>
      </c>
      <c r="F261" s="18" t="s">
        <v>387</v>
      </c>
      <c r="G261" s="23" t="s">
        <v>51</v>
      </c>
      <c r="H261" s="23" t="s">
        <v>51</v>
      </c>
      <c r="I261" s="27">
        <f>IF(COUNTIFS('Taux'!$A$6:$A$20,A261,'Taux'!$B$6:$B$20,D261)=1,SUMIFS('Taux'!$D$6:$D$20,'Taux'!$A$6:$A$20,A261,'Taux'!$B$6:$B$20,D261),"n.d.")</f>
        <v>1</v>
      </c>
      <c r="J261" s="22" t="str">
        <f>IF(COUNT(H261,I261)=2,H261/I261,"n.d.")</f>
        <v>n.d.</v>
      </c>
      <c r="K261" s="18" t="s">
        <v>620</v>
      </c>
    </row>
    <row r="262" spans="1:11" ht="19" customHeight="1">
      <c r="A262" s="18" t="s">
        <v>27</v>
      </c>
      <c r="B262" s="18" t="s">
        <v>57</v>
      </c>
      <c r="C262" s="18" t="s">
        <v>58</v>
      </c>
      <c r="D262" s="18" t="s">
        <v>10</v>
      </c>
      <c r="E262" s="18" t="s">
        <v>33</v>
      </c>
      <c r="F262" s="18" t="s">
        <v>389</v>
      </c>
      <c r="G262" s="23" t="s">
        <v>51</v>
      </c>
      <c r="H262" s="23" t="s">
        <v>51</v>
      </c>
      <c r="I262" s="27">
        <f>IF(COUNTIFS('Taux'!$A$6:$A$20,A262,'Taux'!$B$6:$B$20,D262)=1,SUMIFS('Taux'!$D$6:$D$20,'Taux'!$A$6:$A$20,A262,'Taux'!$B$6:$B$20,D262),"n.d.")</f>
        <v>1</v>
      </c>
      <c r="J262" s="22" t="str">
        <f>IF(COUNT(H262,I262)=2,H262/I262,"n.d.")</f>
        <v>n.d.</v>
      </c>
      <c r="K262" s="18" t="s">
        <v>621</v>
      </c>
    </row>
    <row r="263" spans="1:11" ht="19" customHeight="1">
      <c r="A263" s="18" t="s">
        <v>27</v>
      </c>
      <c r="B263" s="18" t="s">
        <v>57</v>
      </c>
      <c r="C263" s="18" t="s">
        <v>58</v>
      </c>
      <c r="D263" s="18" t="s">
        <v>10</v>
      </c>
      <c r="E263" s="18" t="s">
        <v>33</v>
      </c>
      <c r="F263" s="18" t="s">
        <v>391</v>
      </c>
      <c r="G263" s="23" t="s">
        <v>51</v>
      </c>
      <c r="H263" s="23" t="s">
        <v>51</v>
      </c>
      <c r="I263" s="27">
        <f>IF(COUNTIFS('Taux'!$A$6:$A$20,A263,'Taux'!$B$6:$B$20,D263)=1,SUMIFS('Taux'!$D$6:$D$20,'Taux'!$A$6:$A$20,A263,'Taux'!$B$6:$B$20,D263),"n.d.")</f>
        <v>1</v>
      </c>
      <c r="J263" s="22" t="str">
        <f>IF(COUNT(H263,I263)=2,H263/I263,"n.d.")</f>
        <v>n.d.</v>
      </c>
      <c r="K263" s="18" t="s">
        <v>622</v>
      </c>
    </row>
    <row r="264" spans="1:11" ht="19" customHeight="1">
      <c r="A264" s="18" t="s">
        <v>27</v>
      </c>
      <c r="B264" s="18" t="s">
        <v>57</v>
      </c>
      <c r="C264" s="18" t="s">
        <v>58</v>
      </c>
      <c r="D264" s="18" t="s">
        <v>10</v>
      </c>
      <c r="E264" s="18" t="s">
        <v>33</v>
      </c>
      <c r="F264" s="18" t="s">
        <v>393</v>
      </c>
      <c r="G264" s="26">
        <v>1</v>
      </c>
      <c r="H264" s="22">
        <v>9</v>
      </c>
      <c r="I264" s="27">
        <f>IF(COUNTIFS('Taux'!$A$6:$A$20,A264,'Taux'!$B$6:$B$20,D264)=1,SUMIFS('Taux'!$D$6:$D$20,'Taux'!$A$6:$A$20,A264,'Taux'!$B$6:$B$20,D264),"n.d.")</f>
        <v>1</v>
      </c>
      <c r="J264" s="22">
        <f>IF(COUNT(H264,I264)=2,H264/I264,"n.d.")</f>
        <v>9.0</v>
      </c>
      <c r="K264" s="18" t="s">
        <v>623</v>
      </c>
    </row>
    <row r="265" spans="1:11" ht="19" customHeight="1">
      <c r="A265" s="18" t="s">
        <v>27</v>
      </c>
      <c r="B265" s="18" t="s">
        <v>57</v>
      </c>
      <c r="C265" s="18" t="s">
        <v>58</v>
      </c>
      <c r="D265" s="18" t="s">
        <v>10</v>
      </c>
      <c r="E265" s="18" t="s">
        <v>33</v>
      </c>
      <c r="F265" s="18" t="s">
        <v>395</v>
      </c>
      <c r="G265" s="26">
        <v>3</v>
      </c>
      <c r="H265" s="22">
        <v>273</v>
      </c>
      <c r="I265" s="27">
        <f>IF(COUNTIFS('Taux'!$A$6:$A$20,A265,'Taux'!$B$6:$B$20,D265)=1,SUMIFS('Taux'!$D$6:$D$20,'Taux'!$A$6:$A$20,A265,'Taux'!$B$6:$B$20,D265),"n.d.")</f>
        <v>1</v>
      </c>
      <c r="J265" s="22">
        <f>IF(COUNT(H265,I265)=2,H265/I265,"n.d.")</f>
        <v>273.0</v>
      </c>
      <c r="K265" s="18" t="s">
        <v>624</v>
      </c>
    </row>
    <row r="266" spans="1:11" ht="19" customHeight="1">
      <c r="A266" s="18" t="s">
        <v>27</v>
      </c>
      <c r="B266" s="18" t="s">
        <v>57</v>
      </c>
      <c r="C266" s="18" t="s">
        <v>58</v>
      </c>
      <c r="D266" s="18" t="s">
        <v>10</v>
      </c>
      <c r="E266" s="18" t="s">
        <v>33</v>
      </c>
      <c r="F266" s="18" t="s">
        <v>397</v>
      </c>
      <c r="G266" s="26">
        <v>4</v>
      </c>
      <c r="H266" s="22">
        <v>640</v>
      </c>
      <c r="I266" s="27">
        <f>IF(COUNTIFS('Taux'!$A$6:$A$20,A266,'Taux'!$B$6:$B$20,D266)=1,SUMIFS('Taux'!$D$6:$D$20,'Taux'!$A$6:$A$20,A266,'Taux'!$B$6:$B$20,D266),"n.d.")</f>
        <v>1</v>
      </c>
      <c r="J266" s="22">
        <f>IF(COUNT(H266,I266)=2,H266/I266,"n.d.")</f>
        <v>640.0</v>
      </c>
      <c r="K266" s="18" t="s">
        <v>625</v>
      </c>
    </row>
    <row r="267" spans="1:11" ht="19" customHeight="1">
      <c r="A267" s="18" t="s">
        <v>27</v>
      </c>
      <c r="B267" s="18" t="s">
        <v>57</v>
      </c>
      <c r="C267" s="18" t="s">
        <v>58</v>
      </c>
      <c r="D267" s="18" t="s">
        <v>10</v>
      </c>
      <c r="E267" s="18" t="s">
        <v>33</v>
      </c>
      <c r="F267" s="18" t="s">
        <v>399</v>
      </c>
      <c r="G267" s="26">
        <v>7</v>
      </c>
      <c r="H267" s="22">
        <v>100</v>
      </c>
      <c r="I267" s="27">
        <f>IF(COUNTIFS('Taux'!$A$6:$A$20,A267,'Taux'!$B$6:$B$20,D267)=1,SUMIFS('Taux'!$D$6:$D$20,'Taux'!$A$6:$A$20,A267,'Taux'!$B$6:$B$20,D267),"n.d.")</f>
        <v>1</v>
      </c>
      <c r="J267" s="22">
        <f>IF(COUNT(H267,I267)=2,H267/I267,"n.d.")</f>
        <v>100.0</v>
      </c>
      <c r="K267" s="18" t="s">
        <v>626</v>
      </c>
    </row>
    <row r="268" spans="1:11" ht="19" customHeight="1">
      <c r="A268" s="18" t="s">
        <v>27</v>
      </c>
      <c r="B268" s="18" t="s">
        <v>57</v>
      </c>
      <c r="C268" s="18" t="s">
        <v>58</v>
      </c>
      <c r="D268" s="18" t="s">
        <v>10</v>
      </c>
      <c r="E268" s="18" t="s">
        <v>33</v>
      </c>
      <c r="F268" s="18" t="s">
        <v>95</v>
      </c>
      <c r="G268" s="23" t="s">
        <v>51</v>
      </c>
      <c r="H268" s="23" t="s">
        <v>51</v>
      </c>
      <c r="I268" s="27">
        <f>IF(COUNTIFS('Taux'!$A$6:$A$20,A268,'Taux'!$B$6:$B$20,D268)=1,SUMIFS('Taux'!$D$6:$D$20,'Taux'!$A$6:$A$20,A268,'Taux'!$B$6:$B$20,D268),"n.d.")</f>
        <v>1</v>
      </c>
      <c r="J268" s="22" t="str">
        <f>IF(COUNT(H268,I268)=2,H268/I268,"n.d.")</f>
        <v>n.d.</v>
      </c>
      <c r="K268" s="18" t="s">
        <v>627</v>
      </c>
    </row>
    <row r="269" spans="1:11" ht="19" customHeight="1">
      <c r="A269" s="18" t="s">
        <v>27</v>
      </c>
      <c r="B269" s="18" t="s">
        <v>57</v>
      </c>
      <c r="C269" s="18" t="s">
        <v>58</v>
      </c>
      <c r="D269" s="18" t="s">
        <v>10</v>
      </c>
      <c r="E269" s="18" t="s">
        <v>33</v>
      </c>
      <c r="F269" s="18" t="s">
        <v>53</v>
      </c>
      <c r="G269" s="26">
        <v>110</v>
      </c>
      <c r="H269" s="22">
        <v>15001</v>
      </c>
      <c r="I269" s="27">
        <f>IF(COUNTIFS('Taux'!$A$6:$A$20,A269,'Taux'!$B$6:$B$20,D269)=1,SUMIFS('Taux'!$D$6:$D$20,'Taux'!$A$6:$A$20,A269,'Taux'!$B$6:$B$20,D269),"n.d.")</f>
        <v>1</v>
      </c>
      <c r="J269" s="22">
        <f>IF(COUNT(H269,I269)=2,H269/I269,"n.d.")</f>
        <v>15001.0</v>
      </c>
      <c r="K269" s="18" t="s">
        <v>628</v>
      </c>
    </row>
    <row r="270" spans="1:11" ht="19" customHeight="1">
      <c r="A270" s="18" t="s">
        <v>27</v>
      </c>
      <c r="B270" s="18" t="s">
        <v>57</v>
      </c>
      <c r="C270" s="18" t="s">
        <v>58</v>
      </c>
      <c r="D270" s="18" t="s">
        <v>10</v>
      </c>
      <c r="E270" s="18" t="s">
        <v>33</v>
      </c>
      <c r="F270" s="18" t="s">
        <v>55</v>
      </c>
      <c r="G270" s="26">
        <v>7758</v>
      </c>
      <c r="H270" s="22">
        <v>1467349</v>
      </c>
      <c r="I270" s="27">
        <f>IF(COUNTIFS('Taux'!$A$6:$A$20,A270,'Taux'!$B$6:$B$20,D270)=1,SUMIFS('Taux'!$D$6:$D$20,'Taux'!$A$6:$A$20,A270,'Taux'!$B$6:$B$20,D270),"n.d.")</f>
        <v>1</v>
      </c>
      <c r="J270" s="22">
        <f>IF(COUNT(H270,I270)=2,H270/I270,"n.d.")</f>
        <v>1467349.0</v>
      </c>
      <c r="K270" s="18" t="s">
        <v>629</v>
      </c>
    </row>
    <row r="271" spans="1:11" ht="19" customHeight="1">
      <c r="A271" s="18" t="s">
        <v>27</v>
      </c>
      <c r="B271" s="18" t="s">
        <v>62</v>
      </c>
      <c r="C271" s="18" t="s">
        <v>63</v>
      </c>
      <c r="D271" s="18" t="s">
        <v>10</v>
      </c>
      <c r="E271" s="18" t="s">
        <v>376</v>
      </c>
      <c r="F271" s="18" t="s">
        <v>377</v>
      </c>
      <c r="G271" s="26">
        <v>2792</v>
      </c>
      <c r="H271" s="22">
        <v>837</v>
      </c>
      <c r="I271" s="27">
        <f>IF(COUNTIFS('Taux'!$A$6:$A$20,A271,'Taux'!$B$6:$B$20,D271)=1,SUMIFS('Taux'!$D$6:$D$20,'Taux'!$A$6:$A$20,A271,'Taux'!$B$6:$B$20,D271),"n.d.")</f>
        <v>1</v>
      </c>
      <c r="J271" s="22">
        <f>IF(COUNT(H271,I271)=2,H271/I271,"n.d.")</f>
        <v>837.0</v>
      </c>
      <c r="K271" s="18" t="s">
        <v>630</v>
      </c>
    </row>
    <row r="272" spans="1:11" ht="19" customHeight="1">
      <c r="A272" s="18" t="s">
        <v>27</v>
      </c>
      <c r="B272" s="18" t="s">
        <v>62</v>
      </c>
      <c r="C272" s="18" t="s">
        <v>63</v>
      </c>
      <c r="D272" s="18" t="s">
        <v>10</v>
      </c>
      <c r="E272" s="18" t="s">
        <v>376</v>
      </c>
      <c r="F272" s="18" t="s">
        <v>379</v>
      </c>
      <c r="G272" s="26">
        <v>2663</v>
      </c>
      <c r="H272" s="22">
        <v>12443</v>
      </c>
      <c r="I272" s="27">
        <f>IF(COUNTIFS('Taux'!$A$6:$A$20,A272,'Taux'!$B$6:$B$20,D272)=1,SUMIFS('Taux'!$D$6:$D$20,'Taux'!$A$6:$A$20,A272,'Taux'!$B$6:$B$20,D272),"n.d.")</f>
        <v>1</v>
      </c>
      <c r="J272" s="22">
        <f>IF(COUNT(H272,I272)=2,H272/I272,"n.d.")</f>
        <v>12443.0</v>
      </c>
      <c r="K272" s="18" t="s">
        <v>631</v>
      </c>
    </row>
    <row r="273" spans="1:11" ht="19" customHeight="1">
      <c r="A273" s="18" t="s">
        <v>27</v>
      </c>
      <c r="B273" s="18" t="s">
        <v>62</v>
      </c>
      <c r="C273" s="18" t="s">
        <v>63</v>
      </c>
      <c r="D273" s="18" t="s">
        <v>10</v>
      </c>
      <c r="E273" s="18" t="s">
        <v>376</v>
      </c>
      <c r="F273" s="18" t="s">
        <v>381</v>
      </c>
      <c r="G273" s="26">
        <v>5947</v>
      </c>
      <c r="H273" s="22">
        <v>265714</v>
      </c>
      <c r="I273" s="27">
        <f>IF(COUNTIFS('Taux'!$A$6:$A$20,A273,'Taux'!$B$6:$B$20,D273)=1,SUMIFS('Taux'!$D$6:$D$20,'Taux'!$A$6:$A$20,A273,'Taux'!$B$6:$B$20,D273),"n.d.")</f>
        <v>1</v>
      </c>
      <c r="J273" s="22">
        <f>IF(COUNT(H273,I273)=2,H273/I273,"n.d.")</f>
        <v>265714.0</v>
      </c>
      <c r="K273" s="18" t="s">
        <v>632</v>
      </c>
    </row>
    <row r="274" spans="1:11" ht="19" customHeight="1">
      <c r="A274" s="18" t="s">
        <v>27</v>
      </c>
      <c r="B274" s="18" t="s">
        <v>62</v>
      </c>
      <c r="C274" s="18" t="s">
        <v>63</v>
      </c>
      <c r="D274" s="18" t="s">
        <v>10</v>
      </c>
      <c r="E274" s="18" t="s">
        <v>376</v>
      </c>
      <c r="F274" s="18" t="s">
        <v>383</v>
      </c>
      <c r="G274" s="26">
        <v>4692</v>
      </c>
      <c r="H274" s="22">
        <v>1359598</v>
      </c>
      <c r="I274" s="27">
        <f>IF(COUNTIFS('Taux'!$A$6:$A$20,A274,'Taux'!$B$6:$B$20,D274)=1,SUMIFS('Taux'!$D$6:$D$20,'Taux'!$A$6:$A$20,A274,'Taux'!$B$6:$B$20,D274),"n.d.")</f>
        <v>1</v>
      </c>
      <c r="J274" s="22">
        <f>IF(COUNT(H274,I274)=2,H274/I274,"n.d.")</f>
        <v>1359598.0</v>
      </c>
      <c r="K274" s="18" t="s">
        <v>633</v>
      </c>
    </row>
    <row r="275" spans="1:11" ht="19" customHeight="1">
      <c r="A275" s="18" t="s">
        <v>27</v>
      </c>
      <c r="B275" s="18" t="s">
        <v>62</v>
      </c>
      <c r="C275" s="18" t="s">
        <v>63</v>
      </c>
      <c r="D275" s="18" t="s">
        <v>10</v>
      </c>
      <c r="E275" s="18" t="s">
        <v>376</v>
      </c>
      <c r="F275" s="18" t="s">
        <v>385</v>
      </c>
      <c r="G275" s="26">
        <v>563</v>
      </c>
      <c r="H275" s="22">
        <v>1260031</v>
      </c>
      <c r="I275" s="27">
        <f>IF(COUNTIFS('Taux'!$A$6:$A$20,A275,'Taux'!$B$6:$B$20,D275)=1,SUMIFS('Taux'!$D$6:$D$20,'Taux'!$A$6:$A$20,A275,'Taux'!$B$6:$B$20,D275),"n.d.")</f>
        <v>1</v>
      </c>
      <c r="J275" s="22">
        <f>IF(COUNT(H275,I275)=2,H275/I275,"n.d.")</f>
        <v>1260031.0</v>
      </c>
      <c r="K275" s="18" t="s">
        <v>634</v>
      </c>
    </row>
    <row r="276" spans="1:11" ht="19" customHeight="1">
      <c r="A276" s="18" t="s">
        <v>27</v>
      </c>
      <c r="B276" s="18" t="s">
        <v>62</v>
      </c>
      <c r="C276" s="18" t="s">
        <v>63</v>
      </c>
      <c r="D276" s="18" t="s">
        <v>10</v>
      </c>
      <c r="E276" s="18" t="s">
        <v>33</v>
      </c>
      <c r="F276" s="18" t="s">
        <v>387</v>
      </c>
      <c r="G276" s="23" t="s">
        <v>51</v>
      </c>
      <c r="H276" s="23" t="s">
        <v>51</v>
      </c>
      <c r="I276" s="27">
        <f>IF(COUNTIFS('Taux'!$A$6:$A$20,A276,'Taux'!$B$6:$B$20,D276)=1,SUMIFS('Taux'!$D$6:$D$20,'Taux'!$A$6:$A$20,A276,'Taux'!$B$6:$B$20,D276),"n.d.")</f>
        <v>1</v>
      </c>
      <c r="J276" s="22" t="str">
        <f>IF(COUNT(H276,I276)=2,H276/I276,"n.d.")</f>
        <v>n.d.</v>
      </c>
      <c r="K276" s="18" t="s">
        <v>635</v>
      </c>
    </row>
    <row r="277" spans="1:11" ht="19" customHeight="1">
      <c r="A277" s="18" t="s">
        <v>27</v>
      </c>
      <c r="B277" s="18" t="s">
        <v>62</v>
      </c>
      <c r="C277" s="18" t="s">
        <v>63</v>
      </c>
      <c r="D277" s="18" t="s">
        <v>10</v>
      </c>
      <c r="E277" s="18" t="s">
        <v>33</v>
      </c>
      <c r="F277" s="18" t="s">
        <v>389</v>
      </c>
      <c r="G277" s="23" t="s">
        <v>51</v>
      </c>
      <c r="H277" s="23" t="s">
        <v>51</v>
      </c>
      <c r="I277" s="27">
        <f>IF(COUNTIFS('Taux'!$A$6:$A$20,A277,'Taux'!$B$6:$B$20,D277)=1,SUMIFS('Taux'!$D$6:$D$20,'Taux'!$A$6:$A$20,A277,'Taux'!$B$6:$B$20,D277),"n.d.")</f>
        <v>1</v>
      </c>
      <c r="J277" s="22" t="str">
        <f>IF(COUNT(H277,I277)=2,H277/I277,"n.d.")</f>
        <v>n.d.</v>
      </c>
      <c r="K277" s="18" t="s">
        <v>636</v>
      </c>
    </row>
    <row r="278" spans="1:11" ht="19" customHeight="1">
      <c r="A278" s="18" t="s">
        <v>27</v>
      </c>
      <c r="B278" s="18" t="s">
        <v>62</v>
      </c>
      <c r="C278" s="18" t="s">
        <v>63</v>
      </c>
      <c r="D278" s="18" t="s">
        <v>10</v>
      </c>
      <c r="E278" s="18" t="s">
        <v>33</v>
      </c>
      <c r="F278" s="18" t="s">
        <v>391</v>
      </c>
      <c r="G278" s="23" t="s">
        <v>51</v>
      </c>
      <c r="H278" s="23" t="s">
        <v>51</v>
      </c>
      <c r="I278" s="27">
        <f>IF(COUNTIFS('Taux'!$A$6:$A$20,A278,'Taux'!$B$6:$B$20,D278)=1,SUMIFS('Taux'!$D$6:$D$20,'Taux'!$A$6:$A$20,A278,'Taux'!$B$6:$B$20,D278),"n.d.")</f>
        <v>1</v>
      </c>
      <c r="J278" s="22" t="str">
        <f>IF(COUNT(H278,I278)=2,H278/I278,"n.d.")</f>
        <v>n.d.</v>
      </c>
      <c r="K278" s="18" t="s">
        <v>637</v>
      </c>
    </row>
    <row r="279" spans="1:11" ht="19" customHeight="1">
      <c r="A279" s="18" t="s">
        <v>27</v>
      </c>
      <c r="B279" s="18" t="s">
        <v>62</v>
      </c>
      <c r="C279" s="18" t="s">
        <v>63</v>
      </c>
      <c r="D279" s="18" t="s">
        <v>10</v>
      </c>
      <c r="E279" s="18" t="s">
        <v>33</v>
      </c>
      <c r="F279" s="18" t="s">
        <v>393</v>
      </c>
      <c r="G279" s="23" t="s">
        <v>51</v>
      </c>
      <c r="H279" s="23" t="s">
        <v>51</v>
      </c>
      <c r="I279" s="27">
        <f>IF(COUNTIFS('Taux'!$A$6:$A$20,A279,'Taux'!$B$6:$B$20,D279)=1,SUMIFS('Taux'!$D$6:$D$20,'Taux'!$A$6:$A$20,A279,'Taux'!$B$6:$B$20,D279),"n.d.")</f>
        <v>1</v>
      </c>
      <c r="J279" s="22" t="str">
        <f>IF(COUNT(H279,I279)=2,H279/I279,"n.d.")</f>
        <v>n.d.</v>
      </c>
      <c r="K279" s="18" t="s">
        <v>638</v>
      </c>
    </row>
    <row r="280" spans="1:11" ht="19" customHeight="1">
      <c r="A280" s="18" t="s">
        <v>27</v>
      </c>
      <c r="B280" s="18" t="s">
        <v>62</v>
      </c>
      <c r="C280" s="18" t="s">
        <v>63</v>
      </c>
      <c r="D280" s="18" t="s">
        <v>10</v>
      </c>
      <c r="E280" s="18" t="s">
        <v>33</v>
      </c>
      <c r="F280" s="18" t="s">
        <v>395</v>
      </c>
      <c r="G280" s="23" t="s">
        <v>51</v>
      </c>
      <c r="H280" s="23" t="s">
        <v>51</v>
      </c>
      <c r="I280" s="27">
        <f>IF(COUNTIFS('Taux'!$A$6:$A$20,A280,'Taux'!$B$6:$B$20,D280)=1,SUMIFS('Taux'!$D$6:$D$20,'Taux'!$A$6:$A$20,A280,'Taux'!$B$6:$B$20,D280),"n.d.")</f>
        <v>1</v>
      </c>
      <c r="J280" s="22" t="str">
        <f>IF(COUNT(H280,I280)=2,H280/I280,"n.d.")</f>
        <v>n.d.</v>
      </c>
      <c r="K280" s="18" t="s">
        <v>639</v>
      </c>
    </row>
    <row r="281" spans="1:11" ht="19" customHeight="1">
      <c r="A281" s="18" t="s">
        <v>27</v>
      </c>
      <c r="B281" s="18" t="s">
        <v>62</v>
      </c>
      <c r="C281" s="18" t="s">
        <v>63</v>
      </c>
      <c r="D281" s="18" t="s">
        <v>10</v>
      </c>
      <c r="E281" s="18" t="s">
        <v>33</v>
      </c>
      <c r="F281" s="18" t="s">
        <v>397</v>
      </c>
      <c r="G281" s="23" t="s">
        <v>51</v>
      </c>
      <c r="H281" s="23" t="s">
        <v>51</v>
      </c>
      <c r="I281" s="27">
        <f>IF(COUNTIFS('Taux'!$A$6:$A$20,A281,'Taux'!$B$6:$B$20,D281)=1,SUMIFS('Taux'!$D$6:$D$20,'Taux'!$A$6:$A$20,A281,'Taux'!$B$6:$B$20,D281),"n.d.")</f>
        <v>1</v>
      </c>
      <c r="J281" s="22" t="str">
        <f>IF(COUNT(H281,I281)=2,H281/I281,"n.d.")</f>
        <v>n.d.</v>
      </c>
      <c r="K281" s="18" t="s">
        <v>640</v>
      </c>
    </row>
    <row r="282" spans="1:11" ht="19" customHeight="1">
      <c r="A282" s="18" t="s">
        <v>27</v>
      </c>
      <c r="B282" s="18" t="s">
        <v>62</v>
      </c>
      <c r="C282" s="18" t="s">
        <v>63</v>
      </c>
      <c r="D282" s="18" t="s">
        <v>10</v>
      </c>
      <c r="E282" s="18" t="s">
        <v>33</v>
      </c>
      <c r="F282" s="18" t="s">
        <v>399</v>
      </c>
      <c r="G282" s="23" t="s">
        <v>51</v>
      </c>
      <c r="H282" s="23" t="s">
        <v>51</v>
      </c>
      <c r="I282" s="27">
        <f>IF(COUNTIFS('Taux'!$A$6:$A$20,A282,'Taux'!$B$6:$B$20,D282)=1,SUMIFS('Taux'!$D$6:$D$20,'Taux'!$A$6:$A$20,A282,'Taux'!$B$6:$B$20,D282),"n.d.")</f>
        <v>1</v>
      </c>
      <c r="J282" s="22" t="str">
        <f>IF(COUNT(H282,I282)=2,H282/I282,"n.d.")</f>
        <v>n.d.</v>
      </c>
      <c r="K282" s="18" t="s">
        <v>641</v>
      </c>
    </row>
    <row r="283" spans="1:11" ht="19" customHeight="1">
      <c r="A283" s="18" t="s">
        <v>27</v>
      </c>
      <c r="B283" s="18" t="s">
        <v>62</v>
      </c>
      <c r="C283" s="18" t="s">
        <v>63</v>
      </c>
      <c r="D283" s="18" t="s">
        <v>10</v>
      </c>
      <c r="E283" s="18" t="s">
        <v>33</v>
      </c>
      <c r="F283" s="18" t="s">
        <v>95</v>
      </c>
      <c r="G283" s="23" t="s">
        <v>51</v>
      </c>
      <c r="H283" s="23" t="s">
        <v>51</v>
      </c>
      <c r="I283" s="27">
        <f>IF(COUNTIFS('Taux'!$A$6:$A$20,A283,'Taux'!$B$6:$B$20,D283)=1,SUMIFS('Taux'!$D$6:$D$20,'Taux'!$A$6:$A$20,A283,'Taux'!$B$6:$B$20,D283),"n.d.")</f>
        <v>1</v>
      </c>
      <c r="J283" s="22" t="str">
        <f>IF(COUNT(H283,I283)=2,H283/I283,"n.d.")</f>
        <v>n.d.</v>
      </c>
      <c r="K283" s="18" t="s">
        <v>642</v>
      </c>
    </row>
    <row r="284" spans="1:11" ht="19" customHeight="1">
      <c r="A284" s="18" t="s">
        <v>27</v>
      </c>
      <c r="B284" s="18" t="s">
        <v>62</v>
      </c>
      <c r="C284" s="18" t="s">
        <v>63</v>
      </c>
      <c r="D284" s="18" t="s">
        <v>10</v>
      </c>
      <c r="E284" s="18" t="s">
        <v>33</v>
      </c>
      <c r="F284" s="18" t="s">
        <v>53</v>
      </c>
      <c r="G284" s="26">
        <v>978</v>
      </c>
      <c r="H284" s="22">
        <v>237048</v>
      </c>
      <c r="I284" s="27">
        <f>IF(COUNTIFS('Taux'!$A$6:$A$20,A284,'Taux'!$B$6:$B$20,D284)=1,SUMIFS('Taux'!$D$6:$D$20,'Taux'!$A$6:$A$20,A284,'Taux'!$B$6:$B$20,D284),"n.d.")</f>
        <v>1</v>
      </c>
      <c r="J284" s="22">
        <f>IF(COUNT(H284,I284)=2,H284/I284,"n.d.")</f>
        <v>237048.0</v>
      </c>
      <c r="K284" s="18" t="s">
        <v>643</v>
      </c>
    </row>
    <row r="285" spans="1:11" ht="19" customHeight="1">
      <c r="A285" s="18" t="s">
        <v>27</v>
      </c>
      <c r="B285" s="18" t="s">
        <v>62</v>
      </c>
      <c r="C285" s="18" t="s">
        <v>63</v>
      </c>
      <c r="D285" s="18" t="s">
        <v>10</v>
      </c>
      <c r="E285" s="18" t="s">
        <v>33</v>
      </c>
      <c r="F285" s="18" t="s">
        <v>55</v>
      </c>
      <c r="G285" s="26">
        <v>15679</v>
      </c>
      <c r="H285" s="22">
        <v>2661575</v>
      </c>
      <c r="I285" s="27">
        <f>IF(COUNTIFS('Taux'!$A$6:$A$20,A285,'Taux'!$B$6:$B$20,D285)=1,SUMIFS('Taux'!$D$6:$D$20,'Taux'!$A$6:$A$20,A285,'Taux'!$B$6:$B$20,D285),"n.d.")</f>
        <v>1</v>
      </c>
      <c r="J285" s="22">
        <f>IF(COUNT(H285,I285)=2,H285/I285,"n.d.")</f>
        <v>2661575.0</v>
      </c>
      <c r="K285" s="18" t="s">
        <v>644</v>
      </c>
    </row>
    <row r="286" spans="1:11" ht="19" customHeight="1">
      <c r="A286" s="18" t="s">
        <v>27</v>
      </c>
      <c r="B286" s="18" t="s">
        <v>72</v>
      </c>
      <c r="C286" s="18" t="s">
        <v>73</v>
      </c>
      <c r="D286" s="18" t="s">
        <v>10</v>
      </c>
      <c r="E286" s="18" t="s">
        <v>376</v>
      </c>
      <c r="F286" s="18" t="s">
        <v>377</v>
      </c>
      <c r="G286" s="26">
        <v>18250</v>
      </c>
      <c r="H286" s="22">
        <v>7959</v>
      </c>
      <c r="I286" s="27">
        <f>IF(COUNTIFS('Taux'!$A$6:$A$20,A286,'Taux'!$B$6:$B$20,D286)=1,SUMIFS('Taux'!$D$6:$D$20,'Taux'!$A$6:$A$20,A286,'Taux'!$B$6:$B$20,D286),"n.d.")</f>
        <v>1</v>
      </c>
      <c r="J286" s="22">
        <f>IF(COUNT(H286,I286)=2,H286/I286,"n.d.")</f>
        <v>7959.0</v>
      </c>
      <c r="K286" s="18" t="s">
        <v>645</v>
      </c>
    </row>
    <row r="287" spans="1:11" ht="19" customHeight="1">
      <c r="A287" s="18" t="s">
        <v>27</v>
      </c>
      <c r="B287" s="18" t="s">
        <v>72</v>
      </c>
      <c r="C287" s="18" t="s">
        <v>73</v>
      </c>
      <c r="D287" s="18" t="s">
        <v>10</v>
      </c>
      <c r="E287" s="18" t="s">
        <v>376</v>
      </c>
      <c r="F287" s="18" t="s">
        <v>379</v>
      </c>
      <c r="G287" s="26">
        <v>75932</v>
      </c>
      <c r="H287" s="22">
        <v>206829</v>
      </c>
      <c r="I287" s="27">
        <f>IF(COUNTIFS('Taux'!$A$6:$A$20,A287,'Taux'!$B$6:$B$20,D287)=1,SUMIFS('Taux'!$D$6:$D$20,'Taux'!$A$6:$A$20,A287,'Taux'!$B$6:$B$20,D287),"n.d.")</f>
        <v>1</v>
      </c>
      <c r="J287" s="22">
        <f>IF(COUNT(H287,I287)=2,H287/I287,"n.d.")</f>
        <v>206829.0</v>
      </c>
      <c r="K287" s="18" t="s">
        <v>646</v>
      </c>
    </row>
    <row r="288" spans="1:11" ht="19" customHeight="1">
      <c r="A288" s="18" t="s">
        <v>27</v>
      </c>
      <c r="B288" s="18" t="s">
        <v>72</v>
      </c>
      <c r="C288" s="18" t="s">
        <v>73</v>
      </c>
      <c r="D288" s="18" t="s">
        <v>10</v>
      </c>
      <c r="E288" s="18" t="s">
        <v>376</v>
      </c>
      <c r="F288" s="18" t="s">
        <v>381</v>
      </c>
      <c r="G288" s="26">
        <v>8710</v>
      </c>
      <c r="H288" s="22">
        <v>316895</v>
      </c>
      <c r="I288" s="27">
        <f>IF(COUNTIFS('Taux'!$A$6:$A$20,A288,'Taux'!$B$6:$B$20,D288)=1,SUMIFS('Taux'!$D$6:$D$20,'Taux'!$A$6:$A$20,A288,'Taux'!$B$6:$B$20,D288),"n.d.")</f>
        <v>1</v>
      </c>
      <c r="J288" s="22">
        <f>IF(COUNT(H288,I288)=2,H288/I288,"n.d.")</f>
        <v>316895.0</v>
      </c>
      <c r="K288" s="18" t="s">
        <v>647</v>
      </c>
    </row>
    <row r="289" spans="1:11" ht="19" customHeight="1">
      <c r="A289" s="18" t="s">
        <v>27</v>
      </c>
      <c r="B289" s="18" t="s">
        <v>72</v>
      </c>
      <c r="C289" s="18" t="s">
        <v>73</v>
      </c>
      <c r="D289" s="18" t="s">
        <v>10</v>
      </c>
      <c r="E289" s="18" t="s">
        <v>376</v>
      </c>
      <c r="F289" s="18" t="s">
        <v>383</v>
      </c>
      <c r="G289" s="26">
        <v>6783</v>
      </c>
      <c r="H289" s="22">
        <v>1951658</v>
      </c>
      <c r="I289" s="27">
        <f>IF(COUNTIFS('Taux'!$A$6:$A$20,A289,'Taux'!$B$6:$B$20,D289)=1,SUMIFS('Taux'!$D$6:$D$20,'Taux'!$A$6:$A$20,A289,'Taux'!$B$6:$B$20,D289),"n.d.")</f>
        <v>1</v>
      </c>
      <c r="J289" s="22">
        <f>IF(COUNT(H289,I289)=2,H289/I289,"n.d.")</f>
        <v>1951658.0</v>
      </c>
      <c r="K289" s="18" t="s">
        <v>648</v>
      </c>
    </row>
    <row r="290" spans="1:11" ht="19" customHeight="1">
      <c r="A290" s="18" t="s">
        <v>27</v>
      </c>
      <c r="B290" s="18" t="s">
        <v>72</v>
      </c>
      <c r="C290" s="18" t="s">
        <v>73</v>
      </c>
      <c r="D290" s="18" t="s">
        <v>10</v>
      </c>
      <c r="E290" s="18" t="s">
        <v>376</v>
      </c>
      <c r="F290" s="18" t="s">
        <v>385</v>
      </c>
      <c r="G290" s="26">
        <v>381</v>
      </c>
      <c r="H290" s="22">
        <v>951062</v>
      </c>
      <c r="I290" s="27">
        <f>IF(COUNTIFS('Taux'!$A$6:$A$20,A290,'Taux'!$B$6:$B$20,D290)=1,SUMIFS('Taux'!$D$6:$D$20,'Taux'!$A$6:$A$20,A290,'Taux'!$B$6:$B$20,D290),"n.d.")</f>
        <v>1</v>
      </c>
      <c r="J290" s="22">
        <f>IF(COUNT(H290,I290)=2,H290/I290,"n.d.")</f>
        <v>951062.0</v>
      </c>
      <c r="K290" s="18" t="s">
        <v>649</v>
      </c>
    </row>
    <row r="291" spans="1:11" ht="19" customHeight="1">
      <c r="A291" s="18" t="s">
        <v>27</v>
      </c>
      <c r="B291" s="18" t="s">
        <v>72</v>
      </c>
      <c r="C291" s="18" t="s">
        <v>73</v>
      </c>
      <c r="D291" s="18" t="s">
        <v>10</v>
      </c>
      <c r="E291" s="18" t="s">
        <v>33</v>
      </c>
      <c r="F291" s="18" t="s">
        <v>387</v>
      </c>
      <c r="G291" s="26">
        <v>8232</v>
      </c>
      <c r="H291" s="22">
        <v>527322</v>
      </c>
      <c r="I291" s="27">
        <f>IF(COUNTIFS('Taux'!$A$6:$A$20,A291,'Taux'!$B$6:$B$20,D291)=1,SUMIFS('Taux'!$D$6:$D$20,'Taux'!$A$6:$A$20,A291,'Taux'!$B$6:$B$20,D291),"n.d.")</f>
        <v>1</v>
      </c>
      <c r="J291" s="22">
        <f>IF(COUNT(H291,I291)=2,H291/I291,"n.d.")</f>
        <v>527322.0</v>
      </c>
      <c r="K291" s="18" t="s">
        <v>650</v>
      </c>
    </row>
    <row r="292" spans="1:11" ht="19" customHeight="1">
      <c r="A292" s="18" t="s">
        <v>27</v>
      </c>
      <c r="B292" s="18" t="s">
        <v>72</v>
      </c>
      <c r="C292" s="18" t="s">
        <v>73</v>
      </c>
      <c r="D292" s="18" t="s">
        <v>10</v>
      </c>
      <c r="E292" s="18" t="s">
        <v>33</v>
      </c>
      <c r="F292" s="18" t="s">
        <v>389</v>
      </c>
      <c r="G292" s="26">
        <v>6189</v>
      </c>
      <c r="H292" s="22">
        <v>112535</v>
      </c>
      <c r="I292" s="27">
        <f>IF(COUNTIFS('Taux'!$A$6:$A$20,A292,'Taux'!$B$6:$B$20,D292)=1,SUMIFS('Taux'!$D$6:$D$20,'Taux'!$A$6:$A$20,A292,'Taux'!$B$6:$B$20,D292),"n.d.")</f>
        <v>1</v>
      </c>
      <c r="J292" s="22">
        <f>IF(COUNT(H292,I292)=2,H292/I292,"n.d.")</f>
        <v>112535.0</v>
      </c>
      <c r="K292" s="18" t="s">
        <v>651</v>
      </c>
    </row>
    <row r="293" spans="1:11" ht="19" customHeight="1">
      <c r="A293" s="18" t="s">
        <v>27</v>
      </c>
      <c r="B293" s="18" t="s">
        <v>72</v>
      </c>
      <c r="C293" s="18" t="s">
        <v>73</v>
      </c>
      <c r="D293" s="18" t="s">
        <v>10</v>
      </c>
      <c r="E293" s="18" t="s">
        <v>33</v>
      </c>
      <c r="F293" s="18" t="s">
        <v>391</v>
      </c>
      <c r="G293" s="26">
        <v>15718</v>
      </c>
      <c r="H293" s="22">
        <v>169399</v>
      </c>
      <c r="I293" s="27">
        <f>IF(COUNTIFS('Taux'!$A$6:$A$20,A293,'Taux'!$B$6:$B$20,D293)=1,SUMIFS('Taux'!$D$6:$D$20,'Taux'!$A$6:$A$20,A293,'Taux'!$B$6:$B$20,D293),"n.d.")</f>
        <v>1</v>
      </c>
      <c r="J293" s="22">
        <f>IF(COUNT(H293,I293)=2,H293/I293,"n.d.")</f>
        <v>169399.0</v>
      </c>
      <c r="K293" s="18" t="s">
        <v>652</v>
      </c>
    </row>
    <row r="294" spans="1:11" ht="19" customHeight="1">
      <c r="A294" s="18" t="s">
        <v>27</v>
      </c>
      <c r="B294" s="18" t="s">
        <v>72</v>
      </c>
      <c r="C294" s="18" t="s">
        <v>73</v>
      </c>
      <c r="D294" s="18" t="s">
        <v>10</v>
      </c>
      <c r="E294" s="18" t="s">
        <v>33</v>
      </c>
      <c r="F294" s="18" t="s">
        <v>393</v>
      </c>
      <c r="G294" s="26">
        <v>15750</v>
      </c>
      <c r="H294" s="22">
        <v>197087</v>
      </c>
      <c r="I294" s="27">
        <f>IF(COUNTIFS('Taux'!$A$6:$A$20,A294,'Taux'!$B$6:$B$20,D294)=1,SUMIFS('Taux'!$D$6:$D$20,'Taux'!$A$6:$A$20,A294,'Taux'!$B$6:$B$20,D294),"n.d.")</f>
        <v>1</v>
      </c>
      <c r="J294" s="22">
        <f>IF(COUNT(H294,I294)=2,H294/I294,"n.d.")</f>
        <v>197087.0</v>
      </c>
      <c r="K294" s="18" t="s">
        <v>653</v>
      </c>
    </row>
    <row r="295" spans="1:11" ht="19" customHeight="1">
      <c r="A295" s="18" t="s">
        <v>27</v>
      </c>
      <c r="B295" s="18" t="s">
        <v>72</v>
      </c>
      <c r="C295" s="18" t="s">
        <v>73</v>
      </c>
      <c r="D295" s="18" t="s">
        <v>10</v>
      </c>
      <c r="E295" s="18" t="s">
        <v>33</v>
      </c>
      <c r="F295" s="18" t="s">
        <v>395</v>
      </c>
      <c r="G295" s="26">
        <v>12911</v>
      </c>
      <c r="H295" s="22">
        <v>151747</v>
      </c>
      <c r="I295" s="27">
        <f>IF(COUNTIFS('Taux'!$A$6:$A$20,A295,'Taux'!$B$6:$B$20,D295)=1,SUMIFS('Taux'!$D$6:$D$20,'Taux'!$A$6:$A$20,A295,'Taux'!$B$6:$B$20,D295),"n.d.")</f>
        <v>1</v>
      </c>
      <c r="J295" s="22">
        <f>IF(COUNT(H295,I295)=2,H295/I295,"n.d.")</f>
        <v>151747.0</v>
      </c>
      <c r="K295" s="18" t="s">
        <v>654</v>
      </c>
    </row>
    <row r="296" spans="1:11" ht="19" customHeight="1">
      <c r="A296" s="18" t="s">
        <v>27</v>
      </c>
      <c r="B296" s="18" t="s">
        <v>72</v>
      </c>
      <c r="C296" s="18" t="s">
        <v>73</v>
      </c>
      <c r="D296" s="18" t="s">
        <v>10</v>
      </c>
      <c r="E296" s="18" t="s">
        <v>33</v>
      </c>
      <c r="F296" s="18" t="s">
        <v>397</v>
      </c>
      <c r="G296" s="26">
        <v>10802</v>
      </c>
      <c r="H296" s="22">
        <v>137964</v>
      </c>
      <c r="I296" s="27">
        <f>IF(COUNTIFS('Taux'!$A$6:$A$20,A296,'Taux'!$B$6:$B$20,D296)=1,SUMIFS('Taux'!$D$6:$D$20,'Taux'!$A$6:$A$20,A296,'Taux'!$B$6:$B$20,D296),"n.d.")</f>
        <v>1</v>
      </c>
      <c r="J296" s="22">
        <f>IF(COUNT(H296,I296)=2,H296/I296,"n.d.")</f>
        <v>137964.0</v>
      </c>
      <c r="K296" s="18" t="s">
        <v>655</v>
      </c>
    </row>
    <row r="297" spans="1:11" ht="19" customHeight="1">
      <c r="A297" s="18" t="s">
        <v>27</v>
      </c>
      <c r="B297" s="18" t="s">
        <v>72</v>
      </c>
      <c r="C297" s="18" t="s">
        <v>73</v>
      </c>
      <c r="D297" s="18" t="s">
        <v>10</v>
      </c>
      <c r="E297" s="18" t="s">
        <v>33</v>
      </c>
      <c r="F297" s="18" t="s">
        <v>399</v>
      </c>
      <c r="G297" s="26">
        <v>11891</v>
      </c>
      <c r="H297" s="22">
        <v>169085</v>
      </c>
      <c r="I297" s="27">
        <f>IF(COUNTIFS('Taux'!$A$6:$A$20,A297,'Taux'!$B$6:$B$20,D297)=1,SUMIFS('Taux'!$D$6:$D$20,'Taux'!$A$6:$A$20,A297,'Taux'!$B$6:$B$20,D297),"n.d.")</f>
        <v>1</v>
      </c>
      <c r="J297" s="22">
        <f>IF(COUNT(H297,I297)=2,H297/I297,"n.d.")</f>
        <v>169085.0</v>
      </c>
      <c r="K297" s="18" t="s">
        <v>656</v>
      </c>
    </row>
    <row r="298" spans="1:11" ht="19" customHeight="1">
      <c r="A298" s="18" t="s">
        <v>27</v>
      </c>
      <c r="B298" s="18" t="s">
        <v>72</v>
      </c>
      <c r="C298" s="18" t="s">
        <v>73</v>
      </c>
      <c r="D298" s="18" t="s">
        <v>10</v>
      </c>
      <c r="E298" s="18" t="s">
        <v>33</v>
      </c>
      <c r="F298" s="18" t="s">
        <v>95</v>
      </c>
      <c r="G298" s="26">
        <v>12689</v>
      </c>
      <c r="H298" s="22">
        <v>296076</v>
      </c>
      <c r="I298" s="27">
        <f>IF(COUNTIFS('Taux'!$A$6:$A$20,A298,'Taux'!$B$6:$B$20,D298)=1,SUMIFS('Taux'!$D$6:$D$20,'Taux'!$A$6:$A$20,A298,'Taux'!$B$6:$B$20,D298),"n.d.")</f>
        <v>1</v>
      </c>
      <c r="J298" s="22">
        <f>IF(COUNT(H298,I298)=2,H298/I298,"n.d.")</f>
        <v>296076.0</v>
      </c>
      <c r="K298" s="18" t="s">
        <v>657</v>
      </c>
    </row>
    <row r="299" spans="1:11" ht="19" customHeight="1">
      <c r="A299" s="18" t="s">
        <v>27</v>
      </c>
      <c r="B299" s="18" t="s">
        <v>72</v>
      </c>
      <c r="C299" s="18" t="s">
        <v>73</v>
      </c>
      <c r="D299" s="18" t="s">
        <v>10</v>
      </c>
      <c r="E299" s="18" t="s">
        <v>33</v>
      </c>
      <c r="F299" s="18" t="s">
        <v>53</v>
      </c>
      <c r="G299" s="26">
        <v>7968</v>
      </c>
      <c r="H299" s="22">
        <v>339318</v>
      </c>
      <c r="I299" s="27">
        <f>IF(COUNTIFS('Taux'!$A$6:$A$20,A299,'Taux'!$B$6:$B$20,D299)=1,SUMIFS('Taux'!$D$6:$D$20,'Taux'!$A$6:$A$20,A299,'Taux'!$B$6:$B$20,D299),"n.d.")</f>
        <v>1</v>
      </c>
      <c r="J299" s="22">
        <f>IF(COUNT(H299,I299)=2,H299/I299,"n.d.")</f>
        <v>339318.0</v>
      </c>
      <c r="K299" s="18" t="s">
        <v>658</v>
      </c>
    </row>
    <row r="300" spans="1:11" ht="19" customHeight="1">
      <c r="A300" s="18" t="s">
        <v>27</v>
      </c>
      <c r="B300" s="18" t="s">
        <v>72</v>
      </c>
      <c r="C300" s="18" t="s">
        <v>73</v>
      </c>
      <c r="D300" s="18" t="s">
        <v>10</v>
      </c>
      <c r="E300" s="18" t="s">
        <v>33</v>
      </c>
      <c r="F300" s="18" t="s">
        <v>55</v>
      </c>
      <c r="G300" s="26">
        <v>7906</v>
      </c>
      <c r="H300" s="22">
        <v>1333869</v>
      </c>
      <c r="I300" s="27">
        <f>IF(COUNTIFS('Taux'!$A$6:$A$20,A300,'Taux'!$B$6:$B$20,D300)=1,SUMIFS('Taux'!$D$6:$D$20,'Taux'!$A$6:$A$20,A300,'Taux'!$B$6:$B$20,D300),"n.d.")</f>
        <v>1</v>
      </c>
      <c r="J300" s="22">
        <f>IF(COUNT(H300,I300)=2,H300/I300,"n.d.")</f>
        <v>1333869.0</v>
      </c>
      <c r="K300" s="18" t="s">
        <v>659</v>
      </c>
    </row>
    <row r="301" spans="1:11" ht="19" customHeight="1">
      <c r="A301" s="18" t="s">
        <v>27</v>
      </c>
      <c r="B301" s="18" t="s">
        <v>77</v>
      </c>
      <c r="C301" s="18" t="s">
        <v>78</v>
      </c>
      <c r="D301" s="18" t="s">
        <v>10</v>
      </c>
      <c r="E301" s="18" t="s">
        <v>376</v>
      </c>
      <c r="F301" s="18" t="s">
        <v>377</v>
      </c>
      <c r="G301" s="26">
        <v>3811</v>
      </c>
      <c r="H301" s="22">
        <v>1102</v>
      </c>
      <c r="I301" s="27">
        <f>IF(COUNTIFS('Taux'!$A$6:$A$20,A301,'Taux'!$B$6:$B$20,D301)=1,SUMIFS('Taux'!$D$6:$D$20,'Taux'!$A$6:$A$20,A301,'Taux'!$B$6:$B$20,D301),"n.d.")</f>
        <v>1</v>
      </c>
      <c r="J301" s="22">
        <f>IF(COUNT(H301,I301)=2,H301/I301,"n.d.")</f>
        <v>1102.0</v>
      </c>
      <c r="K301" s="18" t="s">
        <v>660</v>
      </c>
    </row>
    <row r="302" spans="1:11" ht="19" customHeight="1">
      <c r="A302" s="18" t="s">
        <v>27</v>
      </c>
      <c r="B302" s="18" t="s">
        <v>77</v>
      </c>
      <c r="C302" s="18" t="s">
        <v>78</v>
      </c>
      <c r="D302" s="18" t="s">
        <v>10</v>
      </c>
      <c r="E302" s="18" t="s">
        <v>376</v>
      </c>
      <c r="F302" s="18" t="s">
        <v>379</v>
      </c>
      <c r="G302" s="26">
        <v>2952</v>
      </c>
      <c r="H302" s="22">
        <v>11915</v>
      </c>
      <c r="I302" s="27">
        <f>IF(COUNTIFS('Taux'!$A$6:$A$20,A302,'Taux'!$B$6:$B$20,D302)=1,SUMIFS('Taux'!$D$6:$D$20,'Taux'!$A$6:$A$20,A302,'Taux'!$B$6:$B$20,D302),"n.d.")</f>
        <v>1</v>
      </c>
      <c r="J302" s="22">
        <f>IF(COUNT(H302,I302)=2,H302/I302,"n.d.")</f>
        <v>11915.0</v>
      </c>
      <c r="K302" s="18" t="s">
        <v>661</v>
      </c>
    </row>
    <row r="303" spans="1:11" ht="19" customHeight="1">
      <c r="A303" s="18" t="s">
        <v>27</v>
      </c>
      <c r="B303" s="18" t="s">
        <v>77</v>
      </c>
      <c r="C303" s="18" t="s">
        <v>78</v>
      </c>
      <c r="D303" s="18" t="s">
        <v>10</v>
      </c>
      <c r="E303" s="18" t="s">
        <v>376</v>
      </c>
      <c r="F303" s="18" t="s">
        <v>381</v>
      </c>
      <c r="G303" s="26">
        <v>4828</v>
      </c>
      <c r="H303" s="22">
        <v>175661</v>
      </c>
      <c r="I303" s="27">
        <f>IF(COUNTIFS('Taux'!$A$6:$A$20,A303,'Taux'!$B$6:$B$20,D303)=1,SUMIFS('Taux'!$D$6:$D$20,'Taux'!$A$6:$A$20,A303,'Taux'!$B$6:$B$20,D303),"n.d.")</f>
        <v>1</v>
      </c>
      <c r="J303" s="22">
        <f>IF(COUNT(H303,I303)=2,H303/I303,"n.d.")</f>
        <v>175661.0</v>
      </c>
      <c r="K303" s="18" t="s">
        <v>662</v>
      </c>
    </row>
    <row r="304" spans="1:11" ht="19" customHeight="1">
      <c r="A304" s="18" t="s">
        <v>27</v>
      </c>
      <c r="B304" s="18" t="s">
        <v>77</v>
      </c>
      <c r="C304" s="18" t="s">
        <v>78</v>
      </c>
      <c r="D304" s="18" t="s">
        <v>10</v>
      </c>
      <c r="E304" s="18" t="s">
        <v>376</v>
      </c>
      <c r="F304" s="18" t="s">
        <v>383</v>
      </c>
      <c r="G304" s="26">
        <v>1069</v>
      </c>
      <c r="H304" s="22">
        <v>236826</v>
      </c>
      <c r="I304" s="27">
        <f>IF(COUNTIFS('Taux'!$A$6:$A$20,A304,'Taux'!$B$6:$B$20,D304)=1,SUMIFS('Taux'!$D$6:$D$20,'Taux'!$A$6:$A$20,A304,'Taux'!$B$6:$B$20,D304),"n.d.")</f>
        <v>1</v>
      </c>
      <c r="J304" s="22">
        <f>IF(COUNT(H304,I304)=2,H304/I304,"n.d.")</f>
        <v>236826.0</v>
      </c>
      <c r="K304" s="18" t="s">
        <v>663</v>
      </c>
    </row>
    <row r="305" spans="1:11" ht="19" customHeight="1">
      <c r="A305" s="18" t="s">
        <v>27</v>
      </c>
      <c r="B305" s="18" t="s">
        <v>77</v>
      </c>
      <c r="C305" s="18" t="s">
        <v>78</v>
      </c>
      <c r="D305" s="18" t="s">
        <v>10</v>
      </c>
      <c r="E305" s="18" t="s">
        <v>376</v>
      </c>
      <c r="F305" s="18" t="s">
        <v>385</v>
      </c>
      <c r="G305" s="26">
        <v>49</v>
      </c>
      <c r="H305" s="22">
        <v>133031</v>
      </c>
      <c r="I305" s="27">
        <f>IF(COUNTIFS('Taux'!$A$6:$A$20,A305,'Taux'!$B$6:$B$20,D305)=1,SUMIFS('Taux'!$D$6:$D$20,'Taux'!$A$6:$A$20,A305,'Taux'!$B$6:$B$20,D305),"n.d.")</f>
        <v>1</v>
      </c>
      <c r="J305" s="22">
        <f>IF(COUNT(H305,I305)=2,H305/I305,"n.d.")</f>
        <v>133031.0</v>
      </c>
      <c r="K305" s="18" t="s">
        <v>664</v>
      </c>
    </row>
    <row r="306" spans="1:11" ht="19" customHeight="1">
      <c r="A306" s="18" t="s">
        <v>27</v>
      </c>
      <c r="B306" s="18" t="s">
        <v>77</v>
      </c>
      <c r="C306" s="18" t="s">
        <v>78</v>
      </c>
      <c r="D306" s="18" t="s">
        <v>10</v>
      </c>
      <c r="E306" s="18" t="s">
        <v>33</v>
      </c>
      <c r="F306" s="18" t="s">
        <v>95</v>
      </c>
      <c r="G306" s="26">
        <v>113</v>
      </c>
      <c r="H306" s="22">
        <v>7029</v>
      </c>
      <c r="I306" s="27">
        <f>IF(COUNTIFS('Taux'!$A$6:$A$20,A306,'Taux'!$B$6:$B$20,D306)=1,SUMIFS('Taux'!$D$6:$D$20,'Taux'!$A$6:$A$20,A306,'Taux'!$B$6:$B$20,D306),"n.d.")</f>
        <v>1</v>
      </c>
      <c r="J306" s="22">
        <f>IF(COUNT(H306,I306)=2,H306/I306,"n.d.")</f>
        <v>7029.0</v>
      </c>
      <c r="K306" s="18" t="s">
        <v>665</v>
      </c>
    </row>
    <row r="307" spans="1:11" ht="19" customHeight="1">
      <c r="A307" s="18" t="s">
        <v>27</v>
      </c>
      <c r="B307" s="18" t="s">
        <v>77</v>
      </c>
      <c r="C307" s="18" t="s">
        <v>78</v>
      </c>
      <c r="D307" s="18" t="s">
        <v>10</v>
      </c>
      <c r="E307" s="18" t="s">
        <v>33</v>
      </c>
      <c r="F307" s="18" t="s">
        <v>53</v>
      </c>
      <c r="G307" s="26">
        <v>808</v>
      </c>
      <c r="H307" s="22">
        <v>47517</v>
      </c>
      <c r="I307" s="27">
        <f>IF(COUNTIFS('Taux'!$A$6:$A$20,A307,'Taux'!$B$6:$B$20,D307)=1,SUMIFS('Taux'!$D$6:$D$20,'Taux'!$A$6:$A$20,A307,'Taux'!$B$6:$B$20,D307),"n.d.")</f>
        <v>1</v>
      </c>
      <c r="J307" s="22">
        <f>IF(COUNT(H307,I307)=2,H307/I307,"n.d.")</f>
        <v>47517.0</v>
      </c>
      <c r="K307" s="18" t="s">
        <v>666</v>
      </c>
    </row>
    <row r="308" spans="1:11" ht="19" customHeight="1">
      <c r="A308" s="18" t="s">
        <v>27</v>
      </c>
      <c r="B308" s="18" t="s">
        <v>77</v>
      </c>
      <c r="C308" s="18" t="s">
        <v>78</v>
      </c>
      <c r="D308" s="18" t="s">
        <v>10</v>
      </c>
      <c r="E308" s="18" t="s">
        <v>33</v>
      </c>
      <c r="F308" s="18" t="s">
        <v>55</v>
      </c>
      <c r="G308" s="26">
        <v>11788</v>
      </c>
      <c r="H308" s="22">
        <v>503988</v>
      </c>
      <c r="I308" s="27">
        <f>IF(COUNTIFS('Taux'!$A$6:$A$20,A308,'Taux'!$B$6:$B$20,D308)=1,SUMIFS('Taux'!$D$6:$D$20,'Taux'!$A$6:$A$20,A308,'Taux'!$B$6:$B$20,D308),"n.d.")</f>
        <v>1</v>
      </c>
      <c r="J308" s="22">
        <f>IF(COUNT(H308,I308)=2,H308/I308,"n.d.")</f>
        <v>503988.0</v>
      </c>
      <c r="K308" s="18" t="s">
        <v>667</v>
      </c>
    </row>
    <row r="309" spans="1:11" ht="19" customHeight="1">
      <c r="A309" s="18" t="s">
        <v>27</v>
      </c>
      <c r="B309" s="18" t="s">
        <v>82</v>
      </c>
      <c r="C309" s="18" t="s">
        <v>82</v>
      </c>
      <c r="D309" s="18" t="s">
        <v>19</v>
      </c>
      <c r="E309" s="18" t="s">
        <v>376</v>
      </c>
      <c r="F309" s="18" t="s">
        <v>377</v>
      </c>
      <c r="G309" s="26">
        <v>962009</v>
      </c>
      <c r="H309" s="22">
        <v>-193166</v>
      </c>
      <c r="I309" s="27">
        <f>IF(COUNTIFS('Taux'!$A$6:$A$20,A309,'Taux'!$B$6:$B$20,D309)=1,SUMIFS('Taux'!$D$6:$D$20,'Taux'!$A$6:$A$20,A309,'Taux'!$B$6:$B$20,D309),"n.d.")</f>
        <v>0.85443381</v>
      </c>
      <c r="J309" s="22">
        <f>IF(COUNT(H309,I309)=2,H309/I309,"n.d.")</f>
        <v>-226074.85534777705</v>
      </c>
      <c r="K309" s="18" t="s">
        <v>668</v>
      </c>
    </row>
    <row r="310" spans="1:11" ht="19" customHeight="1">
      <c r="A310" s="18" t="s">
        <v>27</v>
      </c>
      <c r="B310" s="18" t="s">
        <v>82</v>
      </c>
      <c r="C310" s="18" t="s">
        <v>82</v>
      </c>
      <c r="D310" s="18" t="s">
        <v>19</v>
      </c>
      <c r="E310" s="18" t="s">
        <v>376</v>
      </c>
      <c r="F310" s="18" t="s">
        <v>379</v>
      </c>
      <c r="G310" s="26">
        <v>14899</v>
      </c>
      <c r="H310" s="22">
        <v>69483</v>
      </c>
      <c r="I310" s="27">
        <f>IF(COUNTIFS('Taux'!$A$6:$A$20,A310,'Taux'!$B$6:$B$20,D310)=1,SUMIFS('Taux'!$D$6:$D$20,'Taux'!$A$6:$A$20,A310,'Taux'!$B$6:$B$20,D310),"n.d.")</f>
        <v>0.85443381</v>
      </c>
      <c r="J310" s="22">
        <f>IF(COUNT(H310,I310)=2,H310/I310,"n.d.")</f>
        <v>81320.51796967164</v>
      </c>
      <c r="K310" s="18" t="s">
        <v>669</v>
      </c>
    </row>
    <row r="311" spans="1:11" ht="19" customHeight="1">
      <c r="A311" s="18" t="s">
        <v>27</v>
      </c>
      <c r="B311" s="18" t="s">
        <v>82</v>
      </c>
      <c r="C311" s="18" t="s">
        <v>82</v>
      </c>
      <c r="D311" s="18" t="s">
        <v>19</v>
      </c>
      <c r="E311" s="18" t="s">
        <v>376</v>
      </c>
      <c r="F311" s="18" t="s">
        <v>381</v>
      </c>
      <c r="G311" s="26">
        <v>16228</v>
      </c>
      <c r="H311" s="22">
        <v>571089</v>
      </c>
      <c r="I311" s="27">
        <f>IF(COUNTIFS('Taux'!$A$6:$A$20,A311,'Taux'!$B$6:$B$20,D311)=1,SUMIFS('Taux'!$D$6:$D$20,'Taux'!$A$6:$A$20,A311,'Taux'!$B$6:$B$20,D311),"n.d.")</f>
        <v>0.85443381</v>
      </c>
      <c r="J311" s="22">
        <f>IF(COUNT(H311,I311)=2,H311/I311,"n.d.")</f>
        <v>668382.96110965</v>
      </c>
      <c r="K311" s="18" t="s">
        <v>670</v>
      </c>
    </row>
    <row r="312" spans="1:11" ht="19" customHeight="1">
      <c r="A312" s="18" t="s">
        <v>27</v>
      </c>
      <c r="B312" s="18" t="s">
        <v>82</v>
      </c>
      <c r="C312" s="18" t="s">
        <v>82</v>
      </c>
      <c r="D312" s="18" t="s">
        <v>19</v>
      </c>
      <c r="E312" s="18" t="s">
        <v>376</v>
      </c>
      <c r="F312" s="18" t="s">
        <v>383</v>
      </c>
      <c r="G312" s="26">
        <v>3273</v>
      </c>
      <c r="H312" s="22">
        <v>906305</v>
      </c>
      <c r="I312" s="27">
        <f>IF(COUNTIFS('Taux'!$A$6:$A$20,A312,'Taux'!$B$6:$B$20,D312)=1,SUMIFS('Taux'!$D$6:$D$20,'Taux'!$A$6:$A$20,A312,'Taux'!$B$6:$B$20,D312),"n.d.")</f>
        <v>0.85443381</v>
      </c>
      <c r="J312" s="22">
        <f>IF(COUNT(H312,I312)=2,H312/I312,"n.d.")</f>
        <v>1060708.2601284236</v>
      </c>
      <c r="K312" s="18" t="s">
        <v>671</v>
      </c>
    </row>
    <row r="313" spans="1:11" ht="19" customHeight="1">
      <c r="A313" s="18" t="s">
        <v>27</v>
      </c>
      <c r="B313" s="18" t="s">
        <v>82</v>
      </c>
      <c r="C313" s="18" t="s">
        <v>82</v>
      </c>
      <c r="D313" s="18" t="s">
        <v>19</v>
      </c>
      <c r="E313" s="18" t="s">
        <v>376</v>
      </c>
      <c r="F313" s="18" t="s">
        <v>385</v>
      </c>
      <c r="G313" s="26">
        <v>458</v>
      </c>
      <c r="H313" s="22">
        <v>1623063</v>
      </c>
      <c r="I313" s="27">
        <f>IF(COUNTIFS('Taux'!$A$6:$A$20,A313,'Taux'!$B$6:$B$20,D313)=1,SUMIFS('Taux'!$D$6:$D$20,'Taux'!$A$6:$A$20,A313,'Taux'!$B$6:$B$20,D313),"n.d.")</f>
        <v>0.85443381</v>
      </c>
      <c r="J313" s="22">
        <f>IF(COUNT(H313,I313)=2,H313/I313,"n.d.")</f>
        <v>1899577.2182751056</v>
      </c>
      <c r="K313" s="18" t="s">
        <v>672</v>
      </c>
    </row>
    <row r="314" spans="1:11" ht="19" customHeight="1">
      <c r="A314" s="18" t="s">
        <v>27</v>
      </c>
      <c r="B314" s="18" t="s">
        <v>82</v>
      </c>
      <c r="C314" s="18" t="s">
        <v>82</v>
      </c>
      <c r="D314" s="18" t="s">
        <v>19</v>
      </c>
      <c r="E314" s="18" t="s">
        <v>33</v>
      </c>
      <c r="F314" s="18" t="s">
        <v>387</v>
      </c>
      <c r="G314" s="26">
        <v>1321</v>
      </c>
      <c r="H314" s="22">
        <v>68632</v>
      </c>
      <c r="I314" s="27">
        <f>IF(COUNTIFS('Taux'!$A$6:$A$20,A314,'Taux'!$B$6:$B$20,D314)=1,SUMIFS('Taux'!$D$6:$D$20,'Taux'!$A$6:$A$20,A314,'Taux'!$B$6:$B$20,D314),"n.d.")</f>
        <v>0.85443381</v>
      </c>
      <c r="J314" s="22">
        <f>IF(COUNT(H314,I314)=2,H314/I314,"n.d.")</f>
        <v>80324.53678301892</v>
      </c>
      <c r="K314" s="18" t="s">
        <v>673</v>
      </c>
    </row>
    <row r="315" spans="1:11" ht="19" customHeight="1">
      <c r="A315" s="18" t="s">
        <v>27</v>
      </c>
      <c r="B315" s="18" t="s">
        <v>82</v>
      </c>
      <c r="C315" s="18" t="s">
        <v>82</v>
      </c>
      <c r="D315" s="18" t="s">
        <v>19</v>
      </c>
      <c r="E315" s="18" t="s">
        <v>33</v>
      </c>
      <c r="F315" s="18" t="s">
        <v>389</v>
      </c>
      <c r="G315" s="26">
        <v>817</v>
      </c>
      <c r="H315" s="22">
        <v>84026</v>
      </c>
      <c r="I315" s="27">
        <f>IF(COUNTIFS('Taux'!$A$6:$A$20,A315,'Taux'!$B$6:$B$20,D315)=1,SUMIFS('Taux'!$D$6:$D$20,'Taux'!$A$6:$A$20,A315,'Taux'!$B$6:$B$20,D315),"n.d.")</f>
        <v>0.85443381</v>
      </c>
      <c r="J315" s="22">
        <f>IF(COUNT(H315,I315)=2,H315/I315,"n.d.")</f>
        <v>98341.1459338202</v>
      </c>
      <c r="K315" s="18" t="s">
        <v>674</v>
      </c>
    </row>
    <row r="316" spans="1:11" ht="19" customHeight="1">
      <c r="A316" s="18" t="s">
        <v>27</v>
      </c>
      <c r="B316" s="18" t="s">
        <v>82</v>
      </c>
      <c r="C316" s="18" t="s">
        <v>82</v>
      </c>
      <c r="D316" s="18" t="s">
        <v>19</v>
      </c>
      <c r="E316" s="18" t="s">
        <v>33</v>
      </c>
      <c r="F316" s="18" t="s">
        <v>391</v>
      </c>
      <c r="G316" s="26">
        <v>953</v>
      </c>
      <c r="H316" s="22">
        <v>100521</v>
      </c>
      <c r="I316" s="27">
        <f>IF(COUNTIFS('Taux'!$A$6:$A$20,A316,'Taux'!$B$6:$B$20,D316)=1,SUMIFS('Taux'!$D$6:$D$20,'Taux'!$A$6:$A$20,A316,'Taux'!$B$6:$B$20,D316),"n.d.")</f>
        <v>0.85443381</v>
      </c>
      <c r="J316" s="22">
        <f>IF(COUNT(H316,I316)=2,H316/I316,"n.d.")</f>
        <v>117646.32768920978</v>
      </c>
      <c r="K316" s="18" t="s">
        <v>675</v>
      </c>
    </row>
    <row r="317" spans="1:11" ht="19" customHeight="1">
      <c r="A317" s="18" t="s">
        <v>27</v>
      </c>
      <c r="B317" s="18" t="s">
        <v>82</v>
      </c>
      <c r="C317" s="18" t="s">
        <v>82</v>
      </c>
      <c r="D317" s="18" t="s">
        <v>19</v>
      </c>
      <c r="E317" s="18" t="s">
        <v>33</v>
      </c>
      <c r="F317" s="18" t="s">
        <v>393</v>
      </c>
      <c r="G317" s="26">
        <v>752</v>
      </c>
      <c r="H317" s="22">
        <v>75096</v>
      </c>
      <c r="I317" s="27">
        <f>IF(COUNTIFS('Taux'!$A$6:$A$20,A317,'Taux'!$B$6:$B$20,D317)=1,SUMIFS('Taux'!$D$6:$D$20,'Taux'!$A$6:$A$20,A317,'Taux'!$B$6:$B$20,D317),"n.d.")</f>
        <v>0.85443381</v>
      </c>
      <c r="J317" s="22">
        <f>IF(COUNT(H317,I317)=2,H317/I317,"n.d.")</f>
        <v>87889.78048516129</v>
      </c>
      <c r="K317" s="18" t="s">
        <v>676</v>
      </c>
    </row>
    <row r="318" spans="1:11" ht="19" customHeight="1">
      <c r="A318" s="18" t="s">
        <v>27</v>
      </c>
      <c r="B318" s="18" t="s">
        <v>82</v>
      </c>
      <c r="C318" s="18" t="s">
        <v>82</v>
      </c>
      <c r="D318" s="18" t="s">
        <v>19</v>
      </c>
      <c r="E318" s="18" t="s">
        <v>33</v>
      </c>
      <c r="F318" s="18" t="s">
        <v>395</v>
      </c>
      <c r="G318" s="26">
        <v>727</v>
      </c>
      <c r="H318" s="22">
        <v>86007</v>
      </c>
      <c r="I318" s="27">
        <f>IF(COUNTIFS('Taux'!$A$6:$A$20,A318,'Taux'!$B$6:$B$20,D318)=1,SUMIFS('Taux'!$D$6:$D$20,'Taux'!$A$6:$A$20,A318,'Taux'!$B$6:$B$20,D318),"n.d.")</f>
        <v>0.85443381</v>
      </c>
      <c r="J318" s="22">
        <f>IF(COUNT(H318,I318)=2,H318/I318,"n.d.")</f>
        <v>100659.64032954174</v>
      </c>
      <c r="K318" s="18" t="s">
        <v>677</v>
      </c>
    </row>
    <row r="319" spans="1:11" ht="19" customHeight="1">
      <c r="A319" s="18" t="s">
        <v>27</v>
      </c>
      <c r="B319" s="18" t="s">
        <v>82</v>
      </c>
      <c r="C319" s="18" t="s">
        <v>82</v>
      </c>
      <c r="D319" s="18" t="s">
        <v>19</v>
      </c>
      <c r="E319" s="18" t="s">
        <v>33</v>
      </c>
      <c r="F319" s="18" t="s">
        <v>397</v>
      </c>
      <c r="G319" s="26">
        <v>1294</v>
      </c>
      <c r="H319" s="22">
        <v>114129</v>
      </c>
      <c r="I319" s="27">
        <f>IF(COUNTIFS('Taux'!$A$6:$A$20,A319,'Taux'!$B$6:$B$20,D319)=1,SUMIFS('Taux'!$D$6:$D$20,'Taux'!$A$6:$A$20,A319,'Taux'!$B$6:$B$20,D319),"n.d.")</f>
        <v>0.85443381</v>
      </c>
      <c r="J319" s="22">
        <f>IF(COUNT(H319,I319)=2,H319/I319,"n.d.")</f>
        <v>133572.66375027926</v>
      </c>
      <c r="K319" s="18" t="s">
        <v>678</v>
      </c>
    </row>
    <row r="320" spans="1:11" ht="19" customHeight="1">
      <c r="A320" s="18" t="s">
        <v>27</v>
      </c>
      <c r="B320" s="18" t="s">
        <v>82</v>
      </c>
      <c r="C320" s="18" t="s">
        <v>82</v>
      </c>
      <c r="D320" s="18" t="s">
        <v>19</v>
      </c>
      <c r="E320" s="18" t="s">
        <v>33</v>
      </c>
      <c r="F320" s="18" t="s">
        <v>399</v>
      </c>
      <c r="G320" s="26">
        <v>3922</v>
      </c>
      <c r="H320" s="22">
        <v>206890</v>
      </c>
      <c r="I320" s="27">
        <f>IF(COUNTIFS('Taux'!$A$6:$A$20,A320,'Taux'!$B$6:$B$20,D320)=1,SUMIFS('Taux'!$D$6:$D$20,'Taux'!$A$6:$A$20,A320,'Taux'!$B$6:$B$20,D320),"n.d.")</f>
        <v>0.85443381</v>
      </c>
      <c r="J320" s="22">
        <f>IF(COUNT(H320,I320)=2,H320/I320,"n.d.")</f>
        <v>242136.95382676864</v>
      </c>
      <c r="K320" s="18" t="s">
        <v>679</v>
      </c>
    </row>
    <row r="321" spans="1:11" ht="19" customHeight="1">
      <c r="A321" s="18" t="s">
        <v>27</v>
      </c>
      <c r="B321" s="18" t="s">
        <v>82</v>
      </c>
      <c r="C321" s="18" t="s">
        <v>82</v>
      </c>
      <c r="D321" s="18" t="s">
        <v>19</v>
      </c>
      <c r="E321" s="18" t="s">
        <v>33</v>
      </c>
      <c r="F321" s="18" t="s">
        <v>95</v>
      </c>
      <c r="G321" s="26">
        <v>10013</v>
      </c>
      <c r="H321" s="22">
        <v>760202</v>
      </c>
      <c r="I321" s="27">
        <f>IF(COUNTIFS('Taux'!$A$6:$A$20,A321,'Taux'!$B$6:$B$20,D321)=1,SUMIFS('Taux'!$D$6:$D$20,'Taux'!$A$6:$A$20,A321,'Taux'!$B$6:$B$20,D321),"n.d.")</f>
        <v>0.85443381</v>
      </c>
      <c r="J321" s="22">
        <f>IF(COUNT(H321,I321)=2,H321/I321,"n.d.")</f>
        <v>889714.3243898554</v>
      </c>
      <c r="K321" s="18" t="s">
        <v>680</v>
      </c>
    </row>
    <row r="322" spans="1:11" ht="19" customHeight="1">
      <c r="A322" s="18" t="s">
        <v>27</v>
      </c>
      <c r="B322" s="18" t="s">
        <v>82</v>
      </c>
      <c r="C322" s="18" t="s">
        <v>82</v>
      </c>
      <c r="D322" s="18" t="s">
        <v>19</v>
      </c>
      <c r="E322" s="18" t="s">
        <v>33</v>
      </c>
      <c r="F322" s="18" t="s">
        <v>53</v>
      </c>
      <c r="G322" s="26">
        <v>16652</v>
      </c>
      <c r="H322" s="22">
        <v>626503</v>
      </c>
      <c r="I322" s="27">
        <f>IF(COUNTIFS('Taux'!$A$6:$A$20,A322,'Taux'!$B$6:$B$20,D322)=1,SUMIFS('Taux'!$D$6:$D$20,'Taux'!$A$6:$A$20,A322,'Taux'!$B$6:$B$20,D322),"n.d.")</f>
        <v>0.85443381</v>
      </c>
      <c r="J322" s="22">
        <f>IF(COUNT(H322,I322)=2,H322/I322,"n.d.")</f>
        <v>733237.6044435789</v>
      </c>
      <c r="K322" s="18" t="s">
        <v>681</v>
      </c>
    </row>
    <row r="323" spans="1:11" ht="19" customHeight="1">
      <c r="A323" s="18" t="s">
        <v>27</v>
      </c>
      <c r="B323" s="18" t="s">
        <v>82</v>
      </c>
      <c r="C323" s="18" t="s">
        <v>82</v>
      </c>
      <c r="D323" s="18" t="s">
        <v>19</v>
      </c>
      <c r="E323" s="18" t="s">
        <v>33</v>
      </c>
      <c r="F323" s="18" t="s">
        <v>55</v>
      </c>
      <c r="G323" s="26">
        <v>17246</v>
      </c>
      <c r="H323" s="22">
        <v>854768</v>
      </c>
      <c r="I323" s="27">
        <f>IF(COUNTIFS('Taux'!$A$6:$A$20,A323,'Taux'!$B$6:$B$20,D323)=1,SUMIFS('Taux'!$D$6:$D$20,'Taux'!$A$6:$A$20,A323,'Taux'!$B$6:$B$20,D323),"n.d.")</f>
        <v>0.85443381</v>
      </c>
      <c r="J323" s="22">
        <f>IF(COUNT(H323,I323)=2,H323/I323,"n.d.")</f>
        <v>1000391.1245038396</v>
      </c>
      <c r="K323" s="18" t="s">
        <v>682</v>
      </c>
    </row>
    <row r="324" spans="1:11" ht="19" customHeight="1">
      <c r="A324" s="18" t="s">
        <v>27</v>
      </c>
      <c r="B324" s="18" t="s">
        <v>91</v>
      </c>
      <c r="C324" s="18" t="s">
        <v>92</v>
      </c>
      <c r="D324" s="18" t="s">
        <v>16</v>
      </c>
      <c r="E324" s="18" t="s">
        <v>376</v>
      </c>
      <c r="F324" s="18" t="s">
        <v>505</v>
      </c>
      <c r="G324" s="26">
        <v>33</v>
      </c>
      <c r="H324" s="22">
        <v>85.11000000000001</v>
      </c>
      <c r="I324" s="27">
        <f>IF(COUNTIFS('Taux'!$A$6:$A$20,A324,'Taux'!$B$6:$B$20,D324)=1,SUMIFS('Taux'!$D$6:$D$20,'Taux'!$A$6:$A$20,A324,'Taux'!$B$6:$B$20,D324),"n.d.")</f>
        <v>7.47595715</v>
      </c>
      <c r="J324" s="22">
        <f>IF(COUNT(H324,I324)=2,H324/I324,"n.d.")</f>
        <v>11.384495428789345</v>
      </c>
      <c r="K324" s="18" t="s">
        <v>683</v>
      </c>
    </row>
    <row r="325" spans="1:11" ht="19" customHeight="1">
      <c r="A325" s="18" t="s">
        <v>27</v>
      </c>
      <c r="B325" s="18" t="s">
        <v>91</v>
      </c>
      <c r="C325" s="18" t="s">
        <v>92</v>
      </c>
      <c r="D325" s="18" t="s">
        <v>16</v>
      </c>
      <c r="E325" s="18" t="s">
        <v>376</v>
      </c>
      <c r="F325" s="18" t="s">
        <v>507</v>
      </c>
      <c r="G325" s="26">
        <v>46</v>
      </c>
      <c r="H325" s="22">
        <v>1732.46</v>
      </c>
      <c r="I325" s="27">
        <f>IF(COUNTIFS('Taux'!$A$6:$A$20,A325,'Taux'!$B$6:$B$20,D325)=1,SUMIFS('Taux'!$D$6:$D$20,'Taux'!$A$6:$A$20,A325,'Taux'!$B$6:$B$20,D325),"n.d.")</f>
        <v>7.47595715</v>
      </c>
      <c r="J325" s="22">
        <f>IF(COUNT(H325,I325)=2,H325/I325,"n.d.")</f>
        <v>231.73755082317456</v>
      </c>
      <c r="K325" s="18" t="s">
        <v>684</v>
      </c>
    </row>
    <row r="326" spans="1:11" ht="19" customHeight="1">
      <c r="A326" s="18" t="s">
        <v>27</v>
      </c>
      <c r="B326" s="18" t="s">
        <v>91</v>
      </c>
      <c r="C326" s="18" t="s">
        <v>92</v>
      </c>
      <c r="D326" s="18" t="s">
        <v>16</v>
      </c>
      <c r="E326" s="18" t="s">
        <v>376</v>
      </c>
      <c r="F326" s="18" t="s">
        <v>685</v>
      </c>
      <c r="G326" s="26">
        <v>45</v>
      </c>
      <c r="H326" s="22">
        <v>10677.66</v>
      </c>
      <c r="I326" s="27">
        <f>IF(COUNTIFS('Taux'!$A$6:$A$20,A326,'Taux'!$B$6:$B$20,D326)=1,SUMIFS('Taux'!$D$6:$D$20,'Taux'!$A$6:$A$20,A326,'Taux'!$B$6:$B$20,D326),"n.d.")</f>
        <v>7.47595715</v>
      </c>
      <c r="J326" s="22">
        <f>IF(COUNT(H326,I326)=2,H326/I326,"n.d.")</f>
        <v>1428.2666133258933</v>
      </c>
      <c r="K326" s="18" t="s">
        <v>686</v>
      </c>
    </row>
    <row r="327" spans="1:11" ht="19" customHeight="1">
      <c r="A327" s="18" t="s">
        <v>27</v>
      </c>
      <c r="B327" s="18" t="s">
        <v>91</v>
      </c>
      <c r="C327" s="18" t="s">
        <v>92</v>
      </c>
      <c r="D327" s="18" t="s">
        <v>16</v>
      </c>
      <c r="E327" s="18" t="s">
        <v>376</v>
      </c>
      <c r="F327" s="18" t="s">
        <v>687</v>
      </c>
      <c r="G327" s="26">
        <v>4</v>
      </c>
      <c r="H327" s="22">
        <v>3671.48</v>
      </c>
      <c r="I327" s="27">
        <f>IF(COUNTIFS('Taux'!$A$6:$A$20,A327,'Taux'!$B$6:$B$20,D327)=1,SUMIFS('Taux'!$D$6:$D$20,'Taux'!$A$6:$A$20,A327,'Taux'!$B$6:$B$20,D327),"n.d.")</f>
        <v>7.47595715</v>
      </c>
      <c r="J327" s="22">
        <f>IF(COUNT(H327,I327)=2,H327/I327,"n.d.")</f>
        <v>491.1050085406121</v>
      </c>
      <c r="K327" s="18" t="s">
        <v>688</v>
      </c>
    </row>
    <row r="328" spans="1:11" ht="19" customHeight="1">
      <c r="A328" s="18" t="s">
        <v>27</v>
      </c>
      <c r="B328" s="18" t="s">
        <v>91</v>
      </c>
      <c r="C328" s="18" t="s">
        <v>92</v>
      </c>
      <c r="D328" s="18" t="s">
        <v>16</v>
      </c>
      <c r="E328" s="18" t="s">
        <v>376</v>
      </c>
      <c r="F328" s="18" t="s">
        <v>689</v>
      </c>
      <c r="G328" s="26">
        <v>0</v>
      </c>
      <c r="H328" s="22">
        <v>0</v>
      </c>
      <c r="I328" s="27">
        <f>IF(COUNTIFS('Taux'!$A$6:$A$20,A328,'Taux'!$B$6:$B$20,D328)=1,SUMIFS('Taux'!$D$6:$D$20,'Taux'!$A$6:$A$20,A328,'Taux'!$B$6:$B$20,D328),"n.d.")</f>
        <v>7.47595715</v>
      </c>
      <c r="J328" s="22">
        <f>IF(COUNT(H328,I328)=2,H328/I328,"n.d.")</f>
        <v>0.0</v>
      </c>
      <c r="K328" s="18" t="s">
        <v>690</v>
      </c>
    </row>
    <row r="329" spans="1:11" ht="19" customHeight="1">
      <c r="A329" s="18" t="s">
        <v>27</v>
      </c>
      <c r="B329" s="18" t="s">
        <v>91</v>
      </c>
      <c r="C329" s="18" t="s">
        <v>92</v>
      </c>
      <c r="D329" s="18" t="s">
        <v>16</v>
      </c>
      <c r="E329" s="18" t="s">
        <v>33</v>
      </c>
      <c r="F329" s="18" t="s">
        <v>387</v>
      </c>
      <c r="G329" s="26">
        <v>0</v>
      </c>
      <c r="H329" s="22">
        <v>0</v>
      </c>
      <c r="I329" s="27">
        <f>IF(COUNTIFS('Taux'!$A$6:$A$20,A329,'Taux'!$B$6:$B$20,D329)=1,SUMIFS('Taux'!$D$6:$D$20,'Taux'!$A$6:$A$20,A329,'Taux'!$B$6:$B$20,D329),"n.d.")</f>
        <v>7.47595715</v>
      </c>
      <c r="J329" s="22">
        <f>IF(COUNT(H329,I329)=2,H329/I329,"n.d.")</f>
        <v>0.0</v>
      </c>
      <c r="K329" s="18" t="s">
        <v>691</v>
      </c>
    </row>
    <row r="330" spans="1:11" ht="19" customHeight="1">
      <c r="A330" s="18" t="s">
        <v>27</v>
      </c>
      <c r="B330" s="18" t="s">
        <v>91</v>
      </c>
      <c r="C330" s="18" t="s">
        <v>92</v>
      </c>
      <c r="D330" s="18" t="s">
        <v>16</v>
      </c>
      <c r="E330" s="18" t="s">
        <v>33</v>
      </c>
      <c r="F330" s="18" t="s">
        <v>389</v>
      </c>
      <c r="G330" s="26">
        <v>0</v>
      </c>
      <c r="H330" s="22">
        <v>0</v>
      </c>
      <c r="I330" s="27">
        <f>IF(COUNTIFS('Taux'!$A$6:$A$20,A330,'Taux'!$B$6:$B$20,D330)=1,SUMIFS('Taux'!$D$6:$D$20,'Taux'!$A$6:$A$20,A330,'Taux'!$B$6:$B$20,D330),"n.d.")</f>
        <v>7.47595715</v>
      </c>
      <c r="J330" s="22">
        <f>IF(COUNT(H330,I330)=2,H330/I330,"n.d.")</f>
        <v>0.0</v>
      </c>
      <c r="K330" s="18" t="s">
        <v>692</v>
      </c>
    </row>
    <row r="331" spans="1:11" ht="19" customHeight="1">
      <c r="A331" s="18" t="s">
        <v>27</v>
      </c>
      <c r="B331" s="18" t="s">
        <v>91</v>
      </c>
      <c r="C331" s="18" t="s">
        <v>92</v>
      </c>
      <c r="D331" s="18" t="s">
        <v>16</v>
      </c>
      <c r="E331" s="18" t="s">
        <v>33</v>
      </c>
      <c r="F331" s="18" t="s">
        <v>391</v>
      </c>
      <c r="G331" s="26">
        <v>0</v>
      </c>
      <c r="H331" s="22">
        <v>0</v>
      </c>
      <c r="I331" s="27">
        <f>IF(COUNTIFS('Taux'!$A$6:$A$20,A331,'Taux'!$B$6:$B$20,D331)=1,SUMIFS('Taux'!$D$6:$D$20,'Taux'!$A$6:$A$20,A331,'Taux'!$B$6:$B$20,D331),"n.d.")</f>
        <v>7.47595715</v>
      </c>
      <c r="J331" s="22">
        <f>IF(COUNT(H331,I331)=2,H331/I331,"n.d.")</f>
        <v>0.0</v>
      </c>
      <c r="K331" s="18" t="s">
        <v>693</v>
      </c>
    </row>
    <row r="332" spans="1:11" ht="19" customHeight="1">
      <c r="A332" s="18" t="s">
        <v>27</v>
      </c>
      <c r="B332" s="18" t="s">
        <v>91</v>
      </c>
      <c r="C332" s="18" t="s">
        <v>92</v>
      </c>
      <c r="D332" s="18" t="s">
        <v>16</v>
      </c>
      <c r="E332" s="18" t="s">
        <v>33</v>
      </c>
      <c r="F332" s="18" t="s">
        <v>393</v>
      </c>
      <c r="G332" s="26">
        <v>0</v>
      </c>
      <c r="H332" s="22">
        <v>0</v>
      </c>
      <c r="I332" s="27">
        <f>IF(COUNTIFS('Taux'!$A$6:$A$20,A332,'Taux'!$B$6:$B$20,D332)=1,SUMIFS('Taux'!$D$6:$D$20,'Taux'!$A$6:$A$20,A332,'Taux'!$B$6:$B$20,D332),"n.d.")</f>
        <v>7.47595715</v>
      </c>
      <c r="J332" s="22">
        <f>IF(COUNT(H332,I332)=2,H332/I332,"n.d.")</f>
        <v>0.0</v>
      </c>
      <c r="K332" s="18" t="s">
        <v>694</v>
      </c>
    </row>
    <row r="333" spans="1:11" ht="19" customHeight="1">
      <c r="A333" s="18" t="s">
        <v>27</v>
      </c>
      <c r="B333" s="18" t="s">
        <v>91</v>
      </c>
      <c r="C333" s="18" t="s">
        <v>92</v>
      </c>
      <c r="D333" s="18" t="s">
        <v>16</v>
      </c>
      <c r="E333" s="18" t="s">
        <v>33</v>
      </c>
      <c r="F333" s="18" t="s">
        <v>395</v>
      </c>
      <c r="G333" s="26">
        <v>0</v>
      </c>
      <c r="H333" s="22">
        <v>0</v>
      </c>
      <c r="I333" s="27">
        <f>IF(COUNTIFS('Taux'!$A$6:$A$20,A333,'Taux'!$B$6:$B$20,D333)=1,SUMIFS('Taux'!$D$6:$D$20,'Taux'!$A$6:$A$20,A333,'Taux'!$B$6:$B$20,D333),"n.d.")</f>
        <v>7.47595715</v>
      </c>
      <c r="J333" s="22">
        <f>IF(COUNT(H333,I333)=2,H333/I333,"n.d.")</f>
        <v>0.0</v>
      </c>
      <c r="K333" s="18" t="s">
        <v>695</v>
      </c>
    </row>
    <row r="334" spans="1:11" ht="19" customHeight="1">
      <c r="A334" s="18" t="s">
        <v>27</v>
      </c>
      <c r="B334" s="18" t="s">
        <v>91</v>
      </c>
      <c r="C334" s="18" t="s">
        <v>92</v>
      </c>
      <c r="D334" s="18" t="s">
        <v>16</v>
      </c>
      <c r="E334" s="18" t="s">
        <v>33</v>
      </c>
      <c r="F334" s="18" t="s">
        <v>397</v>
      </c>
      <c r="G334" s="26">
        <v>0</v>
      </c>
      <c r="H334" s="22">
        <v>0</v>
      </c>
      <c r="I334" s="27">
        <f>IF(COUNTIFS('Taux'!$A$6:$A$20,A334,'Taux'!$B$6:$B$20,D334)=1,SUMIFS('Taux'!$D$6:$D$20,'Taux'!$A$6:$A$20,A334,'Taux'!$B$6:$B$20,D334),"n.d.")</f>
        <v>7.47595715</v>
      </c>
      <c r="J334" s="22">
        <f>IF(COUNT(H334,I334)=2,H334/I334,"n.d.")</f>
        <v>0.0</v>
      </c>
      <c r="K334" s="18" t="s">
        <v>696</v>
      </c>
    </row>
    <row r="335" spans="1:11" ht="19" customHeight="1">
      <c r="A335" s="18" t="s">
        <v>27</v>
      </c>
      <c r="B335" s="18" t="s">
        <v>91</v>
      </c>
      <c r="C335" s="18" t="s">
        <v>92</v>
      </c>
      <c r="D335" s="18" t="s">
        <v>16</v>
      </c>
      <c r="E335" s="18" t="s">
        <v>33</v>
      </c>
      <c r="F335" s="18" t="s">
        <v>399</v>
      </c>
      <c r="G335" s="26">
        <v>0</v>
      </c>
      <c r="H335" s="22">
        <v>0</v>
      </c>
      <c r="I335" s="27">
        <f>IF(COUNTIFS('Taux'!$A$6:$A$20,A335,'Taux'!$B$6:$B$20,D335)=1,SUMIFS('Taux'!$D$6:$D$20,'Taux'!$A$6:$A$20,A335,'Taux'!$B$6:$B$20,D335),"n.d.")</f>
        <v>7.47595715</v>
      </c>
      <c r="J335" s="22">
        <f>IF(COUNT(H335,I335)=2,H335/I335,"n.d.")</f>
        <v>0.0</v>
      </c>
      <c r="K335" s="18" t="s">
        <v>697</v>
      </c>
    </row>
    <row r="336" spans="1:11" ht="19" customHeight="1">
      <c r="A336" s="18" t="s">
        <v>27</v>
      </c>
      <c r="B336" s="18" t="s">
        <v>91</v>
      </c>
      <c r="C336" s="18" t="s">
        <v>92</v>
      </c>
      <c r="D336" s="18" t="s">
        <v>16</v>
      </c>
      <c r="E336" s="18" t="s">
        <v>33</v>
      </c>
      <c r="F336" s="18" t="s">
        <v>95</v>
      </c>
      <c r="G336" s="26">
        <v>0</v>
      </c>
      <c r="H336" s="22">
        <v>0</v>
      </c>
      <c r="I336" s="27">
        <f>IF(COUNTIFS('Taux'!$A$6:$A$20,A336,'Taux'!$B$6:$B$20,D336)=1,SUMIFS('Taux'!$D$6:$D$20,'Taux'!$A$6:$A$20,A336,'Taux'!$B$6:$B$20,D336),"n.d.")</f>
        <v>7.47595715</v>
      </c>
      <c r="J336" s="22">
        <f>IF(COUNT(H336,I336)=2,H336/I336,"n.d.")</f>
        <v>0.0</v>
      </c>
      <c r="K336" s="18" t="s">
        <v>698</v>
      </c>
    </row>
    <row r="337" spans="1:11" ht="19" customHeight="1">
      <c r="A337" s="18" t="s">
        <v>27</v>
      </c>
      <c r="B337" s="18" t="s">
        <v>91</v>
      </c>
      <c r="C337" s="18" t="s">
        <v>92</v>
      </c>
      <c r="D337" s="18" t="s">
        <v>16</v>
      </c>
      <c r="E337" s="18" t="s">
        <v>33</v>
      </c>
      <c r="F337" s="18" t="s">
        <v>53</v>
      </c>
      <c r="G337" s="26">
        <v>0</v>
      </c>
      <c r="H337" s="22">
        <v>0</v>
      </c>
      <c r="I337" s="27">
        <f>IF(COUNTIFS('Taux'!$A$6:$A$20,A337,'Taux'!$B$6:$B$20,D337)=1,SUMIFS('Taux'!$D$6:$D$20,'Taux'!$A$6:$A$20,A337,'Taux'!$B$6:$B$20,D337),"n.d.")</f>
        <v>7.47595715</v>
      </c>
      <c r="J337" s="22">
        <f>IF(COUNT(H337,I337)=2,H337/I337,"n.d.")</f>
        <v>0.0</v>
      </c>
      <c r="K337" s="18" t="s">
        <v>699</v>
      </c>
    </row>
    <row r="338" spans="1:11" ht="19" customHeight="1">
      <c r="A338" s="18" t="s">
        <v>27</v>
      </c>
      <c r="B338" s="18" t="s">
        <v>91</v>
      </c>
      <c r="C338" s="18" t="s">
        <v>92</v>
      </c>
      <c r="D338" s="18" t="s">
        <v>16</v>
      </c>
      <c r="E338" s="18" t="s">
        <v>33</v>
      </c>
      <c r="F338" s="18" t="s">
        <v>55</v>
      </c>
      <c r="G338" s="26">
        <v>128</v>
      </c>
      <c r="H338" s="22">
        <v>16166.71</v>
      </c>
      <c r="I338" s="27">
        <f>IF(COUNTIFS('Taux'!$A$6:$A$20,A338,'Taux'!$B$6:$B$20,D338)=1,SUMIFS('Taux'!$D$6:$D$20,'Taux'!$A$6:$A$20,A338,'Taux'!$B$6:$B$20,D338),"n.d.")</f>
        <v>7.47595715</v>
      </c>
      <c r="J338" s="22">
        <f>IF(COUNT(H338,I338)=2,H338/I338,"n.d.")</f>
        <v>2162.493668118469</v>
      </c>
      <c r="K338" s="18" t="s">
        <v>700</v>
      </c>
    </row>
    <row r="339" spans="1:11" ht="19" customHeight="1">
      <c r="A339" s="18" t="s">
        <v>27</v>
      </c>
      <c r="B339" s="18" t="s">
        <v>99</v>
      </c>
      <c r="C339" s="18" t="s">
        <v>100</v>
      </c>
      <c r="D339" s="18" t="s">
        <v>21</v>
      </c>
      <c r="E339" s="18" t="s">
        <v>376</v>
      </c>
      <c r="F339" s="18" t="s">
        <v>701</v>
      </c>
      <c r="G339" s="26">
        <v>61</v>
      </c>
      <c r="H339" s="22">
        <v>276.7200000000001</v>
      </c>
      <c r="I339" s="27">
        <f>IF(COUNTIFS('Taux'!$A$6:$A$20,A339,'Taux'!$B$6:$B$20,D339)=1,SUMIFS('Taux'!$D$6:$D$20,'Taux'!$A$6:$A$20,A339,'Taux'!$B$6:$B$20,D339),"n.d.")</f>
        <v>10.90384939</v>
      </c>
      <c r="J339" s="22">
        <f>IF(COUNT(H339,I339)=2,H339/I339,"n.d.")</f>
        <v>25.378193526203884</v>
      </c>
      <c r="K339" s="18" t="s">
        <v>702</v>
      </c>
    </row>
    <row r="340" spans="1:11" ht="19" customHeight="1">
      <c r="A340" s="18" t="s">
        <v>27</v>
      </c>
      <c r="B340" s="18" t="s">
        <v>99</v>
      </c>
      <c r="C340" s="18" t="s">
        <v>100</v>
      </c>
      <c r="D340" s="18" t="s">
        <v>21</v>
      </c>
      <c r="E340" s="18" t="s">
        <v>376</v>
      </c>
      <c r="F340" s="18" t="s">
        <v>703</v>
      </c>
      <c r="G340" s="26">
        <v>33</v>
      </c>
      <c r="H340" s="22">
        <v>1069.52</v>
      </c>
      <c r="I340" s="27">
        <f>IF(COUNTIFS('Taux'!$A$6:$A$20,A340,'Taux'!$B$6:$B$20,D340)=1,SUMIFS('Taux'!$D$6:$D$20,'Taux'!$A$6:$A$20,A340,'Taux'!$B$6:$B$20,D340),"n.d.")</f>
        <v>10.90384939</v>
      </c>
      <c r="J340" s="22">
        <f>IF(COUNT(H340,I340)=2,H340/I340,"n.d.")</f>
        <v>98.08646118873074</v>
      </c>
      <c r="K340" s="18" t="s">
        <v>704</v>
      </c>
    </row>
    <row r="341" spans="1:11" ht="19" customHeight="1">
      <c r="A341" s="18" t="s">
        <v>27</v>
      </c>
      <c r="B341" s="18" t="s">
        <v>99</v>
      </c>
      <c r="C341" s="18" t="s">
        <v>100</v>
      </c>
      <c r="D341" s="18" t="s">
        <v>21</v>
      </c>
      <c r="E341" s="18" t="s">
        <v>376</v>
      </c>
      <c r="F341" s="18" t="s">
        <v>705</v>
      </c>
      <c r="G341" s="26">
        <v>16</v>
      </c>
      <c r="H341" s="22">
        <v>6367.809999999999</v>
      </c>
      <c r="I341" s="27">
        <f>IF(COUNTIFS('Taux'!$A$6:$A$20,A341,'Taux'!$B$6:$B$20,D341)=1,SUMIFS('Taux'!$D$6:$D$20,'Taux'!$A$6:$A$20,A341,'Taux'!$B$6:$B$20,D341),"n.d.")</f>
        <v>10.90384939</v>
      </c>
      <c r="J341" s="22">
        <f>IF(COUNT(H341,I341)=2,H341/I341,"n.d.")</f>
        <v>583.9965109789543</v>
      </c>
      <c r="K341" s="18" t="s">
        <v>706</v>
      </c>
    </row>
    <row r="342" spans="1:11" ht="19" customHeight="1">
      <c r="A342" s="18" t="s">
        <v>27</v>
      </c>
      <c r="B342" s="18" t="s">
        <v>99</v>
      </c>
      <c r="C342" s="18" t="s">
        <v>100</v>
      </c>
      <c r="D342" s="18" t="s">
        <v>21</v>
      </c>
      <c r="E342" s="18" t="s">
        <v>376</v>
      </c>
      <c r="F342" s="18" t="s">
        <v>707</v>
      </c>
      <c r="G342" s="26">
        <v>6</v>
      </c>
      <c r="H342" s="22">
        <v>14370.04</v>
      </c>
      <c r="I342" s="27">
        <f>IF(COUNTIFS('Taux'!$A$6:$A$20,A342,'Taux'!$B$6:$B$20,D342)=1,SUMIFS('Taux'!$D$6:$D$20,'Taux'!$A$6:$A$20,A342,'Taux'!$B$6:$B$20,D342),"n.d.")</f>
        <v>10.90384939</v>
      </c>
      <c r="J342" s="22">
        <f>IF(COUNT(H342,I342)=2,H342/I342,"n.d.")</f>
        <v>1317.8868751781247</v>
      </c>
      <c r="K342" s="18" t="s">
        <v>708</v>
      </c>
    </row>
    <row r="343" spans="1:11" ht="19" customHeight="1">
      <c r="A343" s="18" t="s">
        <v>27</v>
      </c>
      <c r="B343" s="18" t="s">
        <v>99</v>
      </c>
      <c r="C343" s="18" t="s">
        <v>100</v>
      </c>
      <c r="D343" s="18" t="s">
        <v>21</v>
      </c>
      <c r="E343" s="18" t="s">
        <v>376</v>
      </c>
      <c r="F343" s="18" t="s">
        <v>709</v>
      </c>
      <c r="G343" s="26">
        <v>0</v>
      </c>
      <c r="H343" s="22">
        <v>0</v>
      </c>
      <c r="I343" s="27">
        <f>IF(COUNTIFS('Taux'!$A$6:$A$20,A343,'Taux'!$B$6:$B$20,D343)=1,SUMIFS('Taux'!$D$6:$D$20,'Taux'!$A$6:$A$20,A343,'Taux'!$B$6:$B$20,D343),"n.d.")</f>
        <v>10.90384939</v>
      </c>
      <c r="J343" s="22">
        <f>IF(COUNT(H343,I343)=2,H343/I343,"n.d.")</f>
        <v>0.0</v>
      </c>
      <c r="K343" s="18" t="s">
        <v>710</v>
      </c>
    </row>
    <row r="344" spans="1:11" ht="19" customHeight="1">
      <c r="A344" s="18" t="s">
        <v>27</v>
      </c>
      <c r="B344" s="18" t="s">
        <v>99</v>
      </c>
      <c r="C344" s="18" t="s">
        <v>100</v>
      </c>
      <c r="D344" s="18" t="s">
        <v>21</v>
      </c>
      <c r="E344" s="18" t="s">
        <v>33</v>
      </c>
      <c r="F344" s="18" t="s">
        <v>387</v>
      </c>
      <c r="G344" s="26">
        <v>0</v>
      </c>
      <c r="H344" s="22">
        <v>0</v>
      </c>
      <c r="I344" s="27">
        <f>IF(COUNTIFS('Taux'!$A$6:$A$20,A344,'Taux'!$B$6:$B$20,D344)=1,SUMIFS('Taux'!$D$6:$D$20,'Taux'!$A$6:$A$20,A344,'Taux'!$B$6:$B$20,D344),"n.d.")</f>
        <v>10.90384939</v>
      </c>
      <c r="J344" s="22">
        <f>IF(COUNT(H344,I344)=2,H344/I344,"n.d.")</f>
        <v>0.0</v>
      </c>
      <c r="K344" s="18" t="s">
        <v>711</v>
      </c>
    </row>
    <row r="345" spans="1:11" ht="19" customHeight="1">
      <c r="A345" s="18" t="s">
        <v>27</v>
      </c>
      <c r="B345" s="18" t="s">
        <v>99</v>
      </c>
      <c r="C345" s="18" t="s">
        <v>100</v>
      </c>
      <c r="D345" s="18" t="s">
        <v>21</v>
      </c>
      <c r="E345" s="18" t="s">
        <v>33</v>
      </c>
      <c r="F345" s="18" t="s">
        <v>389</v>
      </c>
      <c r="G345" s="26">
        <v>0</v>
      </c>
      <c r="H345" s="22">
        <v>0</v>
      </c>
      <c r="I345" s="27">
        <f>IF(COUNTIFS('Taux'!$A$6:$A$20,A345,'Taux'!$B$6:$B$20,D345)=1,SUMIFS('Taux'!$D$6:$D$20,'Taux'!$A$6:$A$20,A345,'Taux'!$B$6:$B$20,D345),"n.d.")</f>
        <v>10.90384939</v>
      </c>
      <c r="J345" s="22">
        <f>IF(COUNT(H345,I345)=2,H345/I345,"n.d.")</f>
        <v>0.0</v>
      </c>
      <c r="K345" s="18" t="s">
        <v>712</v>
      </c>
    </row>
    <row r="346" spans="1:11" ht="19" customHeight="1">
      <c r="A346" s="18" t="s">
        <v>27</v>
      </c>
      <c r="B346" s="18" t="s">
        <v>99</v>
      </c>
      <c r="C346" s="18" t="s">
        <v>100</v>
      </c>
      <c r="D346" s="18" t="s">
        <v>21</v>
      </c>
      <c r="E346" s="18" t="s">
        <v>33</v>
      </c>
      <c r="F346" s="18" t="s">
        <v>391</v>
      </c>
      <c r="G346" s="26">
        <v>0</v>
      </c>
      <c r="H346" s="22">
        <v>0</v>
      </c>
      <c r="I346" s="27">
        <f>IF(COUNTIFS('Taux'!$A$6:$A$20,A346,'Taux'!$B$6:$B$20,D346)=1,SUMIFS('Taux'!$D$6:$D$20,'Taux'!$A$6:$A$20,A346,'Taux'!$B$6:$B$20,D346),"n.d.")</f>
        <v>10.90384939</v>
      </c>
      <c r="J346" s="22">
        <f>IF(COUNT(H346,I346)=2,H346/I346,"n.d.")</f>
        <v>0.0</v>
      </c>
      <c r="K346" s="18" t="s">
        <v>713</v>
      </c>
    </row>
    <row r="347" spans="1:11" ht="19" customHeight="1">
      <c r="A347" s="18" t="s">
        <v>27</v>
      </c>
      <c r="B347" s="18" t="s">
        <v>99</v>
      </c>
      <c r="C347" s="18" t="s">
        <v>100</v>
      </c>
      <c r="D347" s="18" t="s">
        <v>21</v>
      </c>
      <c r="E347" s="18" t="s">
        <v>33</v>
      </c>
      <c r="F347" s="18" t="s">
        <v>393</v>
      </c>
      <c r="G347" s="26">
        <v>0</v>
      </c>
      <c r="H347" s="22">
        <v>0</v>
      </c>
      <c r="I347" s="27">
        <f>IF(COUNTIFS('Taux'!$A$6:$A$20,A347,'Taux'!$B$6:$B$20,D347)=1,SUMIFS('Taux'!$D$6:$D$20,'Taux'!$A$6:$A$20,A347,'Taux'!$B$6:$B$20,D347),"n.d.")</f>
        <v>10.90384939</v>
      </c>
      <c r="J347" s="22">
        <f>IF(COUNT(H347,I347)=2,H347/I347,"n.d.")</f>
        <v>0.0</v>
      </c>
      <c r="K347" s="18" t="s">
        <v>714</v>
      </c>
    </row>
    <row r="348" spans="1:11" ht="19" customHeight="1">
      <c r="A348" s="18" t="s">
        <v>27</v>
      </c>
      <c r="B348" s="18" t="s">
        <v>99</v>
      </c>
      <c r="C348" s="18" t="s">
        <v>100</v>
      </c>
      <c r="D348" s="18" t="s">
        <v>21</v>
      </c>
      <c r="E348" s="18" t="s">
        <v>33</v>
      </c>
      <c r="F348" s="18" t="s">
        <v>395</v>
      </c>
      <c r="G348" s="26">
        <v>0</v>
      </c>
      <c r="H348" s="22">
        <v>0</v>
      </c>
      <c r="I348" s="27">
        <f>IF(COUNTIFS('Taux'!$A$6:$A$20,A348,'Taux'!$B$6:$B$20,D348)=1,SUMIFS('Taux'!$D$6:$D$20,'Taux'!$A$6:$A$20,A348,'Taux'!$B$6:$B$20,D348),"n.d.")</f>
        <v>10.90384939</v>
      </c>
      <c r="J348" s="22">
        <f>IF(COUNT(H348,I348)=2,H348/I348,"n.d.")</f>
        <v>0.0</v>
      </c>
      <c r="K348" s="18" t="s">
        <v>715</v>
      </c>
    </row>
    <row r="349" spans="1:11" ht="19" customHeight="1">
      <c r="A349" s="18" t="s">
        <v>27</v>
      </c>
      <c r="B349" s="18" t="s">
        <v>99</v>
      </c>
      <c r="C349" s="18" t="s">
        <v>100</v>
      </c>
      <c r="D349" s="18" t="s">
        <v>21</v>
      </c>
      <c r="E349" s="18" t="s">
        <v>33</v>
      </c>
      <c r="F349" s="18" t="s">
        <v>397</v>
      </c>
      <c r="G349" s="26">
        <v>0</v>
      </c>
      <c r="H349" s="22">
        <v>0</v>
      </c>
      <c r="I349" s="27">
        <f>IF(COUNTIFS('Taux'!$A$6:$A$20,A349,'Taux'!$B$6:$B$20,D349)=1,SUMIFS('Taux'!$D$6:$D$20,'Taux'!$A$6:$A$20,A349,'Taux'!$B$6:$B$20,D349),"n.d.")</f>
        <v>10.90384939</v>
      </c>
      <c r="J349" s="22">
        <f>IF(COUNT(H349,I349)=2,H349/I349,"n.d.")</f>
        <v>0.0</v>
      </c>
      <c r="K349" s="18" t="s">
        <v>716</v>
      </c>
    </row>
    <row r="350" spans="1:11" ht="19" customHeight="1">
      <c r="A350" s="18" t="s">
        <v>27</v>
      </c>
      <c r="B350" s="18" t="s">
        <v>99</v>
      </c>
      <c r="C350" s="18" t="s">
        <v>100</v>
      </c>
      <c r="D350" s="18" t="s">
        <v>21</v>
      </c>
      <c r="E350" s="18" t="s">
        <v>33</v>
      </c>
      <c r="F350" s="18" t="s">
        <v>399</v>
      </c>
      <c r="G350" s="26">
        <v>0</v>
      </c>
      <c r="H350" s="22">
        <v>0</v>
      </c>
      <c r="I350" s="27">
        <f>IF(COUNTIFS('Taux'!$A$6:$A$20,A350,'Taux'!$B$6:$B$20,D350)=1,SUMIFS('Taux'!$D$6:$D$20,'Taux'!$A$6:$A$20,A350,'Taux'!$B$6:$B$20,D350),"n.d.")</f>
        <v>10.90384939</v>
      </c>
      <c r="J350" s="22">
        <f>IF(COUNT(H350,I350)=2,H350/I350,"n.d.")</f>
        <v>0.0</v>
      </c>
      <c r="K350" s="18" t="s">
        <v>717</v>
      </c>
    </row>
    <row r="351" spans="1:11" ht="19" customHeight="1">
      <c r="A351" s="18" t="s">
        <v>27</v>
      </c>
      <c r="B351" s="18" t="s">
        <v>99</v>
      </c>
      <c r="C351" s="18" t="s">
        <v>100</v>
      </c>
      <c r="D351" s="18" t="s">
        <v>21</v>
      </c>
      <c r="E351" s="18" t="s">
        <v>33</v>
      </c>
      <c r="F351" s="18" t="s">
        <v>95</v>
      </c>
      <c r="G351" s="26">
        <v>0</v>
      </c>
      <c r="H351" s="22">
        <v>0</v>
      </c>
      <c r="I351" s="27">
        <f>IF(COUNTIFS('Taux'!$A$6:$A$20,A351,'Taux'!$B$6:$B$20,D351)=1,SUMIFS('Taux'!$D$6:$D$20,'Taux'!$A$6:$A$20,A351,'Taux'!$B$6:$B$20,D351),"n.d.")</f>
        <v>10.90384939</v>
      </c>
      <c r="J351" s="22">
        <f>IF(COUNT(H351,I351)=2,H351/I351,"n.d.")</f>
        <v>0.0</v>
      </c>
      <c r="K351" s="18" t="s">
        <v>718</v>
      </c>
    </row>
    <row r="352" spans="1:11" ht="19" customHeight="1">
      <c r="A352" s="18" t="s">
        <v>27</v>
      </c>
      <c r="B352" s="18" t="s">
        <v>99</v>
      </c>
      <c r="C352" s="18" t="s">
        <v>100</v>
      </c>
      <c r="D352" s="18" t="s">
        <v>21</v>
      </c>
      <c r="E352" s="18" t="s">
        <v>33</v>
      </c>
      <c r="F352" s="18" t="s">
        <v>53</v>
      </c>
      <c r="G352" s="26">
        <v>0</v>
      </c>
      <c r="H352" s="22">
        <v>0</v>
      </c>
      <c r="I352" s="27">
        <f>IF(COUNTIFS('Taux'!$A$6:$A$20,A352,'Taux'!$B$6:$B$20,D352)=1,SUMIFS('Taux'!$D$6:$D$20,'Taux'!$A$6:$A$20,A352,'Taux'!$B$6:$B$20,D352),"n.d.")</f>
        <v>10.90384939</v>
      </c>
      <c r="J352" s="22">
        <f>IF(COUNT(H352,I352)=2,H352/I352,"n.d.")</f>
        <v>0.0</v>
      </c>
      <c r="K352" s="18" t="s">
        <v>719</v>
      </c>
    </row>
    <row r="353" spans="1:11" ht="19" customHeight="1">
      <c r="A353" s="18" t="s">
        <v>27</v>
      </c>
      <c r="B353" s="18" t="s">
        <v>99</v>
      </c>
      <c r="C353" s="18" t="s">
        <v>100</v>
      </c>
      <c r="D353" s="18" t="s">
        <v>21</v>
      </c>
      <c r="E353" s="18" t="s">
        <v>33</v>
      </c>
      <c r="F353" s="18" t="s">
        <v>55</v>
      </c>
      <c r="G353" s="26">
        <v>116</v>
      </c>
      <c r="H353" s="22">
        <v>22084.09000000001</v>
      </c>
      <c r="I353" s="27">
        <f>IF(COUNTIFS('Taux'!$A$6:$A$20,A353,'Taux'!$B$6:$B$20,D353)=1,SUMIFS('Taux'!$D$6:$D$20,'Taux'!$A$6:$A$20,A353,'Taux'!$B$6:$B$20,D353),"n.d.")</f>
        <v>10.90384939</v>
      </c>
      <c r="J353" s="22">
        <f>IF(COUNT(H353,I353)=2,H353/I353,"n.d.")</f>
        <v>2025.3480408720143</v>
      </c>
      <c r="K353" s="18" t="s">
        <v>720</v>
      </c>
    </row>
    <row r="354" spans="1:11" ht="19" customHeight="1">
      <c r="A354" s="18" t="s">
        <v>27</v>
      </c>
      <c r="B354" s="18" t="s">
        <v>105</v>
      </c>
      <c r="C354" s="18" t="s">
        <v>106</v>
      </c>
      <c r="D354" s="18" t="s">
        <v>23</v>
      </c>
      <c r="E354" s="18" t="s">
        <v>376</v>
      </c>
      <c r="F354" s="18" t="s">
        <v>525</v>
      </c>
      <c r="G354" s="26">
        <v>102</v>
      </c>
      <c r="H354" s="22">
        <v>199.05</v>
      </c>
      <c r="I354" s="27">
        <f>IF(COUNTIFS('Taux'!$A$6:$A$20,A354,'Taux'!$B$6:$B$20,D354)=1,SUMIFS('Taux'!$D$6:$D$20,'Taux'!$A$6:$A$20,A354,'Taux'!$B$6:$B$20,D354),"n.d.")</f>
        <v>11.34339828</v>
      </c>
      <c r="J354" s="22">
        <f>IF(COUNT(H354,I354)=2,H354/I354,"n.d.")</f>
        <v>17.547651513828356</v>
      </c>
      <c r="K354" s="18" t="s">
        <v>721</v>
      </c>
    </row>
    <row r="355" spans="1:11" ht="19" customHeight="1">
      <c r="A355" s="18" t="s">
        <v>27</v>
      </c>
      <c r="B355" s="18" t="s">
        <v>105</v>
      </c>
      <c r="C355" s="18" t="s">
        <v>106</v>
      </c>
      <c r="D355" s="18" t="s">
        <v>23</v>
      </c>
      <c r="E355" s="18" t="s">
        <v>376</v>
      </c>
      <c r="F355" s="18" t="s">
        <v>527</v>
      </c>
      <c r="G355" s="26">
        <v>94</v>
      </c>
      <c r="H355" s="22">
        <v>5458.84</v>
      </c>
      <c r="I355" s="27">
        <f>IF(COUNTIFS('Taux'!$A$6:$A$20,A355,'Taux'!$B$6:$B$20,D355)=1,SUMIFS('Taux'!$D$6:$D$20,'Taux'!$A$6:$A$20,A355,'Taux'!$B$6:$B$20,D355),"n.d.")</f>
        <v>11.34339828</v>
      </c>
      <c r="J355" s="22">
        <f>IF(COUNT(H355,I355)=2,H355/I355,"n.d.")</f>
        <v>481.2349760851384</v>
      </c>
      <c r="K355" s="18" t="s">
        <v>722</v>
      </c>
    </row>
    <row r="356" spans="1:11" ht="19" customHeight="1">
      <c r="A356" s="18" t="s">
        <v>27</v>
      </c>
      <c r="B356" s="18" t="s">
        <v>105</v>
      </c>
      <c r="C356" s="18" t="s">
        <v>106</v>
      </c>
      <c r="D356" s="18" t="s">
        <v>23</v>
      </c>
      <c r="E356" s="18" t="s">
        <v>376</v>
      </c>
      <c r="F356" s="18" t="s">
        <v>723</v>
      </c>
      <c r="G356" s="26">
        <v>142</v>
      </c>
      <c r="H356" s="22">
        <v>57058.09000000001</v>
      </c>
      <c r="I356" s="27">
        <f>IF(COUNTIFS('Taux'!$A$6:$A$20,A356,'Taux'!$B$6:$B$20,D356)=1,SUMIFS('Taux'!$D$6:$D$20,'Taux'!$A$6:$A$20,A356,'Taux'!$B$6:$B$20,D356),"n.d.")</f>
        <v>11.34339828</v>
      </c>
      <c r="J356" s="22">
        <f>IF(COUNT(H356,I356)=2,H356/I356,"n.d.")</f>
        <v>5030.0702304177585</v>
      </c>
      <c r="K356" s="18" t="s">
        <v>724</v>
      </c>
    </row>
    <row r="357" spans="1:11" ht="19" customHeight="1">
      <c r="A357" s="18" t="s">
        <v>27</v>
      </c>
      <c r="B357" s="18" t="s">
        <v>105</v>
      </c>
      <c r="C357" s="18" t="s">
        <v>106</v>
      </c>
      <c r="D357" s="18" t="s">
        <v>23</v>
      </c>
      <c r="E357" s="18" t="s">
        <v>376</v>
      </c>
      <c r="F357" s="18" t="s">
        <v>725</v>
      </c>
      <c r="G357" s="26">
        <v>36</v>
      </c>
      <c r="H357" s="22">
        <v>109910.64</v>
      </c>
      <c r="I357" s="27">
        <f>IF(COUNTIFS('Taux'!$A$6:$A$20,A357,'Taux'!$B$6:$B$20,D357)=1,SUMIFS('Taux'!$D$6:$D$20,'Taux'!$A$6:$A$20,A357,'Taux'!$B$6:$B$20,D357),"n.d.")</f>
        <v>11.34339828</v>
      </c>
      <c r="J357" s="22">
        <f>IF(COUNT(H357,I357)=2,H357/I357,"n.d.")</f>
        <v>9689.392657030112</v>
      </c>
      <c r="K357" s="18" t="s">
        <v>726</v>
      </c>
    </row>
    <row r="358" spans="1:11" ht="19" customHeight="1">
      <c r="A358" s="18" t="s">
        <v>27</v>
      </c>
      <c r="B358" s="18" t="s">
        <v>105</v>
      </c>
      <c r="C358" s="18" t="s">
        <v>106</v>
      </c>
      <c r="D358" s="18" t="s">
        <v>23</v>
      </c>
      <c r="E358" s="18" t="s">
        <v>376</v>
      </c>
      <c r="F358" s="18" t="s">
        <v>727</v>
      </c>
      <c r="G358" s="26">
        <v>0</v>
      </c>
      <c r="H358" s="22">
        <v>0</v>
      </c>
      <c r="I358" s="27">
        <f>IF(COUNTIFS('Taux'!$A$6:$A$20,A358,'Taux'!$B$6:$B$20,D358)=1,SUMIFS('Taux'!$D$6:$D$20,'Taux'!$A$6:$A$20,A358,'Taux'!$B$6:$B$20,D358),"n.d.")</f>
        <v>11.34339828</v>
      </c>
      <c r="J358" s="22">
        <f>IF(COUNT(H358,I358)=2,H358/I358,"n.d.")</f>
        <v>0.0</v>
      </c>
      <c r="K358" s="18" t="s">
        <v>728</v>
      </c>
    </row>
    <row r="359" spans="1:11" ht="19" customHeight="1">
      <c r="A359" s="18" t="s">
        <v>27</v>
      </c>
      <c r="B359" s="18" t="s">
        <v>105</v>
      </c>
      <c r="C359" s="18" t="s">
        <v>106</v>
      </c>
      <c r="D359" s="18" t="s">
        <v>23</v>
      </c>
      <c r="E359" s="18" t="s">
        <v>33</v>
      </c>
      <c r="F359" s="18" t="s">
        <v>387</v>
      </c>
      <c r="G359" s="26">
        <v>0</v>
      </c>
      <c r="H359" s="22">
        <v>0</v>
      </c>
      <c r="I359" s="27">
        <f>IF(COUNTIFS('Taux'!$A$6:$A$20,A359,'Taux'!$B$6:$B$20,D359)=1,SUMIFS('Taux'!$D$6:$D$20,'Taux'!$A$6:$A$20,A359,'Taux'!$B$6:$B$20,D359),"n.d.")</f>
        <v>11.34339828</v>
      </c>
      <c r="J359" s="22">
        <f>IF(COUNT(H359,I359)=2,H359/I359,"n.d.")</f>
        <v>0.0</v>
      </c>
      <c r="K359" s="18" t="s">
        <v>729</v>
      </c>
    </row>
    <row r="360" spans="1:11" ht="19" customHeight="1">
      <c r="A360" s="18" t="s">
        <v>27</v>
      </c>
      <c r="B360" s="18" t="s">
        <v>105</v>
      </c>
      <c r="C360" s="18" t="s">
        <v>106</v>
      </c>
      <c r="D360" s="18" t="s">
        <v>23</v>
      </c>
      <c r="E360" s="18" t="s">
        <v>33</v>
      </c>
      <c r="F360" s="18" t="s">
        <v>389</v>
      </c>
      <c r="G360" s="26">
        <v>0</v>
      </c>
      <c r="H360" s="22">
        <v>0</v>
      </c>
      <c r="I360" s="27">
        <f>IF(COUNTIFS('Taux'!$A$6:$A$20,A360,'Taux'!$B$6:$B$20,D360)=1,SUMIFS('Taux'!$D$6:$D$20,'Taux'!$A$6:$A$20,A360,'Taux'!$B$6:$B$20,D360),"n.d.")</f>
        <v>11.34339828</v>
      </c>
      <c r="J360" s="22">
        <f>IF(COUNT(H360,I360)=2,H360/I360,"n.d.")</f>
        <v>0.0</v>
      </c>
      <c r="K360" s="18" t="s">
        <v>730</v>
      </c>
    </row>
    <row r="361" spans="1:11" ht="19" customHeight="1">
      <c r="A361" s="18" t="s">
        <v>27</v>
      </c>
      <c r="B361" s="18" t="s">
        <v>105</v>
      </c>
      <c r="C361" s="18" t="s">
        <v>106</v>
      </c>
      <c r="D361" s="18" t="s">
        <v>23</v>
      </c>
      <c r="E361" s="18" t="s">
        <v>33</v>
      </c>
      <c r="F361" s="18" t="s">
        <v>391</v>
      </c>
      <c r="G361" s="26">
        <v>0</v>
      </c>
      <c r="H361" s="22">
        <v>0</v>
      </c>
      <c r="I361" s="27">
        <f>IF(COUNTIFS('Taux'!$A$6:$A$20,A361,'Taux'!$B$6:$B$20,D361)=1,SUMIFS('Taux'!$D$6:$D$20,'Taux'!$A$6:$A$20,A361,'Taux'!$B$6:$B$20,D361),"n.d.")</f>
        <v>11.34339828</v>
      </c>
      <c r="J361" s="22">
        <f>IF(COUNT(H361,I361)=2,H361/I361,"n.d.")</f>
        <v>0.0</v>
      </c>
      <c r="K361" s="18" t="s">
        <v>731</v>
      </c>
    </row>
    <row r="362" spans="1:11" ht="19" customHeight="1">
      <c r="A362" s="18" t="s">
        <v>27</v>
      </c>
      <c r="B362" s="18" t="s">
        <v>105</v>
      </c>
      <c r="C362" s="18" t="s">
        <v>106</v>
      </c>
      <c r="D362" s="18" t="s">
        <v>23</v>
      </c>
      <c r="E362" s="18" t="s">
        <v>33</v>
      </c>
      <c r="F362" s="18" t="s">
        <v>393</v>
      </c>
      <c r="G362" s="26">
        <v>0</v>
      </c>
      <c r="H362" s="22">
        <v>0</v>
      </c>
      <c r="I362" s="27">
        <f>IF(COUNTIFS('Taux'!$A$6:$A$20,A362,'Taux'!$B$6:$B$20,D362)=1,SUMIFS('Taux'!$D$6:$D$20,'Taux'!$A$6:$A$20,A362,'Taux'!$B$6:$B$20,D362),"n.d.")</f>
        <v>11.34339828</v>
      </c>
      <c r="J362" s="22">
        <f>IF(COUNT(H362,I362)=2,H362/I362,"n.d.")</f>
        <v>0.0</v>
      </c>
      <c r="K362" s="18" t="s">
        <v>732</v>
      </c>
    </row>
    <row r="363" spans="1:11" ht="19" customHeight="1">
      <c r="A363" s="18" t="s">
        <v>27</v>
      </c>
      <c r="B363" s="18" t="s">
        <v>105</v>
      </c>
      <c r="C363" s="18" t="s">
        <v>106</v>
      </c>
      <c r="D363" s="18" t="s">
        <v>23</v>
      </c>
      <c r="E363" s="18" t="s">
        <v>33</v>
      </c>
      <c r="F363" s="18" t="s">
        <v>395</v>
      </c>
      <c r="G363" s="26">
        <v>0</v>
      </c>
      <c r="H363" s="22">
        <v>0</v>
      </c>
      <c r="I363" s="27">
        <f>IF(COUNTIFS('Taux'!$A$6:$A$20,A363,'Taux'!$B$6:$B$20,D363)=1,SUMIFS('Taux'!$D$6:$D$20,'Taux'!$A$6:$A$20,A363,'Taux'!$B$6:$B$20,D363),"n.d.")</f>
        <v>11.34339828</v>
      </c>
      <c r="J363" s="22">
        <f>IF(COUNT(H363,I363)=2,H363/I363,"n.d.")</f>
        <v>0.0</v>
      </c>
      <c r="K363" s="18" t="s">
        <v>733</v>
      </c>
    </row>
    <row r="364" spans="1:11" ht="19" customHeight="1">
      <c r="A364" s="18" t="s">
        <v>27</v>
      </c>
      <c r="B364" s="18" t="s">
        <v>105</v>
      </c>
      <c r="C364" s="18" t="s">
        <v>106</v>
      </c>
      <c r="D364" s="18" t="s">
        <v>23</v>
      </c>
      <c r="E364" s="18" t="s">
        <v>33</v>
      </c>
      <c r="F364" s="18" t="s">
        <v>397</v>
      </c>
      <c r="G364" s="26">
        <v>0</v>
      </c>
      <c r="H364" s="22">
        <v>0</v>
      </c>
      <c r="I364" s="27">
        <f>IF(COUNTIFS('Taux'!$A$6:$A$20,A364,'Taux'!$B$6:$B$20,D364)=1,SUMIFS('Taux'!$D$6:$D$20,'Taux'!$A$6:$A$20,A364,'Taux'!$B$6:$B$20,D364),"n.d.")</f>
        <v>11.34339828</v>
      </c>
      <c r="J364" s="22">
        <f>IF(COUNT(H364,I364)=2,H364/I364,"n.d.")</f>
        <v>0.0</v>
      </c>
      <c r="K364" s="18" t="s">
        <v>734</v>
      </c>
    </row>
    <row r="365" spans="1:11" ht="19" customHeight="1">
      <c r="A365" s="18" t="s">
        <v>27</v>
      </c>
      <c r="B365" s="18" t="s">
        <v>105</v>
      </c>
      <c r="C365" s="18" t="s">
        <v>106</v>
      </c>
      <c r="D365" s="18" t="s">
        <v>23</v>
      </c>
      <c r="E365" s="18" t="s">
        <v>33</v>
      </c>
      <c r="F365" s="18" t="s">
        <v>399</v>
      </c>
      <c r="G365" s="26">
        <v>0</v>
      </c>
      <c r="H365" s="22">
        <v>0</v>
      </c>
      <c r="I365" s="27">
        <f>IF(COUNTIFS('Taux'!$A$6:$A$20,A365,'Taux'!$B$6:$B$20,D365)=1,SUMIFS('Taux'!$D$6:$D$20,'Taux'!$A$6:$A$20,A365,'Taux'!$B$6:$B$20,D365),"n.d.")</f>
        <v>11.34339828</v>
      </c>
      <c r="J365" s="22">
        <f>IF(COUNT(H365,I365)=2,H365/I365,"n.d.")</f>
        <v>0.0</v>
      </c>
      <c r="K365" s="18" t="s">
        <v>735</v>
      </c>
    </row>
    <row r="366" spans="1:11" ht="19" customHeight="1">
      <c r="A366" s="18" t="s">
        <v>27</v>
      </c>
      <c r="B366" s="18" t="s">
        <v>105</v>
      </c>
      <c r="C366" s="18" t="s">
        <v>106</v>
      </c>
      <c r="D366" s="18" t="s">
        <v>23</v>
      </c>
      <c r="E366" s="18" t="s">
        <v>33</v>
      </c>
      <c r="F366" s="18" t="s">
        <v>95</v>
      </c>
      <c r="G366" s="26">
        <v>0</v>
      </c>
      <c r="H366" s="22">
        <v>0</v>
      </c>
      <c r="I366" s="27">
        <f>IF(COUNTIFS('Taux'!$A$6:$A$20,A366,'Taux'!$B$6:$B$20,D366)=1,SUMIFS('Taux'!$D$6:$D$20,'Taux'!$A$6:$A$20,A366,'Taux'!$B$6:$B$20,D366),"n.d.")</f>
        <v>11.34339828</v>
      </c>
      <c r="J366" s="22">
        <f>IF(COUNT(H366,I366)=2,H366/I366,"n.d.")</f>
        <v>0.0</v>
      </c>
      <c r="K366" s="18" t="s">
        <v>736</v>
      </c>
    </row>
    <row r="367" spans="1:11" ht="19" customHeight="1">
      <c r="A367" s="18" t="s">
        <v>27</v>
      </c>
      <c r="B367" s="18" t="s">
        <v>105</v>
      </c>
      <c r="C367" s="18" t="s">
        <v>106</v>
      </c>
      <c r="D367" s="18" t="s">
        <v>23</v>
      </c>
      <c r="E367" s="18" t="s">
        <v>33</v>
      </c>
      <c r="F367" s="18" t="s">
        <v>53</v>
      </c>
      <c r="G367" s="26">
        <v>0</v>
      </c>
      <c r="H367" s="22">
        <v>0</v>
      </c>
      <c r="I367" s="27">
        <f>IF(COUNTIFS('Taux'!$A$6:$A$20,A367,'Taux'!$B$6:$B$20,D367)=1,SUMIFS('Taux'!$D$6:$D$20,'Taux'!$A$6:$A$20,A367,'Taux'!$B$6:$B$20,D367),"n.d.")</f>
        <v>11.34339828</v>
      </c>
      <c r="J367" s="22">
        <f>IF(COUNT(H367,I367)=2,H367/I367,"n.d.")</f>
        <v>0.0</v>
      </c>
      <c r="K367" s="18" t="s">
        <v>737</v>
      </c>
    </row>
    <row r="368" spans="1:11" ht="19" customHeight="1">
      <c r="A368" s="18" t="s">
        <v>27</v>
      </c>
      <c r="B368" s="18" t="s">
        <v>105</v>
      </c>
      <c r="C368" s="18" t="s">
        <v>106</v>
      </c>
      <c r="D368" s="18" t="s">
        <v>23</v>
      </c>
      <c r="E368" s="18" t="s">
        <v>33</v>
      </c>
      <c r="F368" s="18" t="s">
        <v>55</v>
      </c>
      <c r="G368" s="26">
        <v>374</v>
      </c>
      <c r="H368" s="22">
        <v>172626.6199999999</v>
      </c>
      <c r="I368" s="27">
        <f>IF(COUNTIFS('Taux'!$A$6:$A$20,A368,'Taux'!$B$6:$B$20,D368)=1,SUMIFS('Taux'!$D$6:$D$20,'Taux'!$A$6:$A$20,A368,'Taux'!$B$6:$B$20,D368),"n.d.")</f>
        <v>11.34339828</v>
      </c>
      <c r="J368" s="22">
        <f>IF(COUNT(H368,I368)=2,H368/I368,"n.d.")</f>
        <v>15218.24551504683</v>
      </c>
      <c r="K368" s="18" t="s">
        <v>738</v>
      </c>
    </row>
    <row r="369" spans="1:11" ht="19" customHeight="1">
      <c r="A369" s="18" t="s">
        <v>27</v>
      </c>
      <c r="B369" s="18" t="s">
        <v>111</v>
      </c>
      <c r="C369" s="18" t="s">
        <v>112</v>
      </c>
      <c r="D369" s="18" t="s">
        <v>25</v>
      </c>
      <c r="E369" s="18" t="s">
        <v>376</v>
      </c>
      <c r="F369" s="18" t="s">
        <v>377</v>
      </c>
      <c r="G369" s="26">
        <v>72025</v>
      </c>
      <c r="H369" s="22">
        <v>33591674.99</v>
      </c>
      <c r="I369" s="27">
        <f>IF(COUNTIFS('Taux'!$A$6:$A$20,A369,'Taux'!$B$6:$B$20,D369)=1,SUMIFS('Taux'!$D$6:$D$20,'Taux'!$A$6:$A$20,A369,'Taux'!$B$6:$B$20,D369),"n.d.")</f>
        <v>18.58943911</v>
      </c>
      <c r="J369" s="22">
        <f>IF(COUNT(H369,I369)=2,H369/I369,"n.d.")</f>
        <v>1807030.0449210273</v>
      </c>
      <c r="K369" s="18" t="s">
        <v>739</v>
      </c>
    </row>
    <row r="370" spans="1:11" ht="19" customHeight="1">
      <c r="A370" s="18" t="s">
        <v>27</v>
      </c>
      <c r="B370" s="18" t="s">
        <v>111</v>
      </c>
      <c r="C370" s="18" t="s">
        <v>112</v>
      </c>
      <c r="D370" s="18" t="s">
        <v>25</v>
      </c>
      <c r="E370" s="18" t="s">
        <v>376</v>
      </c>
      <c r="F370" s="18" t="s">
        <v>379</v>
      </c>
      <c r="G370" s="26">
        <v>0</v>
      </c>
      <c r="H370" s="22">
        <v>0</v>
      </c>
      <c r="I370" s="27">
        <f>IF(COUNTIFS('Taux'!$A$6:$A$20,A370,'Taux'!$B$6:$B$20,D370)=1,SUMIFS('Taux'!$D$6:$D$20,'Taux'!$A$6:$A$20,A370,'Taux'!$B$6:$B$20,D370),"n.d.")</f>
        <v>18.58943911</v>
      </c>
      <c r="J370" s="22">
        <f>IF(COUNT(H370,I370)=2,H370/I370,"n.d.")</f>
        <v>0.0</v>
      </c>
      <c r="K370" s="18" t="s">
        <v>740</v>
      </c>
    </row>
    <row r="371" spans="1:11" ht="19" customHeight="1">
      <c r="A371" s="18" t="s">
        <v>27</v>
      </c>
      <c r="B371" s="18" t="s">
        <v>111</v>
      </c>
      <c r="C371" s="18" t="s">
        <v>112</v>
      </c>
      <c r="D371" s="18" t="s">
        <v>25</v>
      </c>
      <c r="E371" s="18" t="s">
        <v>376</v>
      </c>
      <c r="F371" s="18" t="s">
        <v>381</v>
      </c>
      <c r="G371" s="26">
        <v>0</v>
      </c>
      <c r="H371" s="22">
        <v>0</v>
      </c>
      <c r="I371" s="27">
        <f>IF(COUNTIFS('Taux'!$A$6:$A$20,A371,'Taux'!$B$6:$B$20,D371)=1,SUMIFS('Taux'!$D$6:$D$20,'Taux'!$A$6:$A$20,A371,'Taux'!$B$6:$B$20,D371),"n.d.")</f>
        <v>18.58943911</v>
      </c>
      <c r="J371" s="22">
        <f>IF(COUNT(H371,I371)=2,H371/I371,"n.d.")</f>
        <v>0.0</v>
      </c>
      <c r="K371" s="18" t="s">
        <v>741</v>
      </c>
    </row>
    <row r="372" spans="1:11" ht="19" customHeight="1">
      <c r="A372" s="18" t="s">
        <v>27</v>
      </c>
      <c r="B372" s="18" t="s">
        <v>111</v>
      </c>
      <c r="C372" s="18" t="s">
        <v>112</v>
      </c>
      <c r="D372" s="18" t="s">
        <v>25</v>
      </c>
      <c r="E372" s="18" t="s">
        <v>376</v>
      </c>
      <c r="F372" s="18" t="s">
        <v>383</v>
      </c>
      <c r="G372" s="26">
        <v>0</v>
      </c>
      <c r="H372" s="22">
        <v>0</v>
      </c>
      <c r="I372" s="27">
        <f>IF(COUNTIFS('Taux'!$A$6:$A$20,A372,'Taux'!$B$6:$B$20,D372)=1,SUMIFS('Taux'!$D$6:$D$20,'Taux'!$A$6:$A$20,A372,'Taux'!$B$6:$B$20,D372),"n.d.")</f>
        <v>18.58943911</v>
      </c>
      <c r="J372" s="22">
        <f>IF(COUNT(H372,I372)=2,H372/I372,"n.d.")</f>
        <v>0.0</v>
      </c>
      <c r="K372" s="18" t="s">
        <v>742</v>
      </c>
    </row>
    <row r="373" spans="1:11" ht="19" customHeight="1">
      <c r="A373" s="18" t="s">
        <v>27</v>
      </c>
      <c r="B373" s="18" t="s">
        <v>111</v>
      </c>
      <c r="C373" s="18" t="s">
        <v>112</v>
      </c>
      <c r="D373" s="18" t="s">
        <v>25</v>
      </c>
      <c r="E373" s="18" t="s">
        <v>376</v>
      </c>
      <c r="F373" s="18" t="s">
        <v>385</v>
      </c>
      <c r="G373" s="26">
        <v>0</v>
      </c>
      <c r="H373" s="22">
        <v>0</v>
      </c>
      <c r="I373" s="27">
        <f>IF(COUNTIFS('Taux'!$A$6:$A$20,A373,'Taux'!$B$6:$B$20,D373)=1,SUMIFS('Taux'!$D$6:$D$20,'Taux'!$A$6:$A$20,A373,'Taux'!$B$6:$B$20,D373),"n.d.")</f>
        <v>18.58943911</v>
      </c>
      <c r="J373" s="22">
        <f>IF(COUNT(H373,I373)=2,H373/I373,"n.d.")</f>
        <v>0.0</v>
      </c>
      <c r="K373" s="18" t="s">
        <v>743</v>
      </c>
    </row>
    <row r="374" spans="1:11" ht="19" customHeight="1">
      <c r="A374" s="18" t="s">
        <v>27</v>
      </c>
      <c r="B374" s="18" t="s">
        <v>111</v>
      </c>
      <c r="C374" s="18" t="s">
        <v>112</v>
      </c>
      <c r="D374" s="18" t="s">
        <v>25</v>
      </c>
      <c r="E374" s="18" t="s">
        <v>33</v>
      </c>
      <c r="F374" s="18" t="s">
        <v>590</v>
      </c>
      <c r="G374" s="26">
        <v>191</v>
      </c>
      <c r="H374" s="22">
        <v>688714.21</v>
      </c>
      <c r="I374" s="27">
        <f>IF(COUNTIFS('Taux'!$A$6:$A$20,A374,'Taux'!$B$6:$B$20,D374)=1,SUMIFS('Taux'!$D$6:$D$20,'Taux'!$A$6:$A$20,A374,'Taux'!$B$6:$B$20,D374),"n.d.")</f>
        <v>18.58943911</v>
      </c>
      <c r="J374" s="22">
        <f>IF(COUNT(H374,I374)=2,H374/I374,"n.d.")</f>
        <v>37048.68156186128</v>
      </c>
      <c r="K374" s="18" t="s">
        <v>744</v>
      </c>
    </row>
    <row r="375" spans="1:11" ht="19" customHeight="1">
      <c r="A375" s="18" t="s">
        <v>27</v>
      </c>
      <c r="B375" s="18" t="s">
        <v>111</v>
      </c>
      <c r="C375" s="18" t="s">
        <v>112</v>
      </c>
      <c r="D375" s="18" t="s">
        <v>25</v>
      </c>
      <c r="E375" s="18" t="s">
        <v>33</v>
      </c>
      <c r="F375" s="18" t="s">
        <v>391</v>
      </c>
      <c r="G375" s="26">
        <v>76</v>
      </c>
      <c r="H375" s="22">
        <v>217714.23</v>
      </c>
      <c r="I375" s="27">
        <f>IF(COUNTIFS('Taux'!$A$6:$A$20,A375,'Taux'!$B$6:$B$20,D375)=1,SUMIFS('Taux'!$D$6:$D$20,'Taux'!$A$6:$A$20,A375,'Taux'!$B$6:$B$20,D375),"n.d.")</f>
        <v>18.58943911</v>
      </c>
      <c r="J375" s="22">
        <f>IF(COUNT(H375,I375)=2,H375/I375,"n.d.")</f>
        <v>11711.71592169679</v>
      </c>
      <c r="K375" s="18" t="s">
        <v>745</v>
      </c>
    </row>
    <row r="376" spans="1:11" ht="19" customHeight="1">
      <c r="A376" s="18" t="s">
        <v>27</v>
      </c>
      <c r="B376" s="18" t="s">
        <v>111</v>
      </c>
      <c r="C376" s="18" t="s">
        <v>112</v>
      </c>
      <c r="D376" s="18" t="s">
        <v>25</v>
      </c>
      <c r="E376" s="18" t="s">
        <v>33</v>
      </c>
      <c r="F376" s="18" t="s">
        <v>393</v>
      </c>
      <c r="G376" s="26">
        <v>536</v>
      </c>
      <c r="H376" s="22">
        <v>1009033.569999999</v>
      </c>
      <c r="I376" s="27">
        <f>IF(COUNTIFS('Taux'!$A$6:$A$20,A376,'Taux'!$B$6:$B$20,D376)=1,SUMIFS('Taux'!$D$6:$D$20,'Taux'!$A$6:$A$20,A376,'Taux'!$B$6:$B$20,D376),"n.d.")</f>
        <v>18.58943911</v>
      </c>
      <c r="J376" s="22">
        <f>IF(COUNT(H376,I376)=2,H376/I376,"n.d.")</f>
        <v>54279.93626000259</v>
      </c>
      <c r="K376" s="18" t="s">
        <v>746</v>
      </c>
    </row>
    <row r="377" spans="1:11" ht="19" customHeight="1">
      <c r="A377" s="18" t="s">
        <v>27</v>
      </c>
      <c r="B377" s="18" t="s">
        <v>111</v>
      </c>
      <c r="C377" s="18" t="s">
        <v>112</v>
      </c>
      <c r="D377" s="18" t="s">
        <v>25</v>
      </c>
      <c r="E377" s="18" t="s">
        <v>33</v>
      </c>
      <c r="F377" s="18" t="s">
        <v>395</v>
      </c>
      <c r="G377" s="26">
        <v>3378</v>
      </c>
      <c r="H377" s="22">
        <v>1988576.570000006</v>
      </c>
      <c r="I377" s="27">
        <f>IF(COUNTIFS('Taux'!$A$6:$A$20,A377,'Taux'!$B$6:$B$20,D377)=1,SUMIFS('Taux'!$D$6:$D$20,'Taux'!$A$6:$A$20,A377,'Taux'!$B$6:$B$20,D377),"n.d.")</f>
        <v>18.58943911</v>
      </c>
      <c r="J377" s="22">
        <f>IF(COUNT(H377,I377)=2,H377/I377,"n.d.")</f>
        <v>106973.45725349351</v>
      </c>
      <c r="K377" s="18" t="s">
        <v>747</v>
      </c>
    </row>
    <row r="378" spans="1:11" ht="19" customHeight="1">
      <c r="A378" s="18" t="s">
        <v>27</v>
      </c>
      <c r="B378" s="18" t="s">
        <v>111</v>
      </c>
      <c r="C378" s="18" t="s">
        <v>112</v>
      </c>
      <c r="D378" s="18" t="s">
        <v>25</v>
      </c>
      <c r="E378" s="18" t="s">
        <v>33</v>
      </c>
      <c r="F378" s="18" t="s">
        <v>397</v>
      </c>
      <c r="G378" s="26">
        <v>2953</v>
      </c>
      <c r="H378" s="22">
        <v>1765334.320000004</v>
      </c>
      <c r="I378" s="27">
        <f>IF(COUNTIFS('Taux'!$A$6:$A$20,A378,'Taux'!$B$6:$B$20,D378)=1,SUMIFS('Taux'!$D$6:$D$20,'Taux'!$A$6:$A$20,A378,'Taux'!$B$6:$B$20,D378),"n.d.")</f>
        <v>18.58943911</v>
      </c>
      <c r="J378" s="22">
        <f>IF(COUNT(H378,I378)=2,H378/I378,"n.d.")</f>
        <v>94964.36710940677</v>
      </c>
      <c r="K378" s="18" t="s">
        <v>748</v>
      </c>
    </row>
    <row r="379" spans="1:11" ht="19" customHeight="1">
      <c r="A379" s="18" t="s">
        <v>27</v>
      </c>
      <c r="B379" s="18" t="s">
        <v>111</v>
      </c>
      <c r="C379" s="18" t="s">
        <v>112</v>
      </c>
      <c r="D379" s="18" t="s">
        <v>25</v>
      </c>
      <c r="E379" s="18" t="s">
        <v>33</v>
      </c>
      <c r="F379" s="18" t="s">
        <v>399</v>
      </c>
      <c r="G379" s="26">
        <v>3919</v>
      </c>
      <c r="H379" s="22">
        <v>2536581.889999996</v>
      </c>
      <c r="I379" s="27">
        <f>IF(COUNTIFS('Taux'!$A$6:$A$20,A379,'Taux'!$B$6:$B$20,D379)=1,SUMIFS('Taux'!$D$6:$D$20,'Taux'!$A$6:$A$20,A379,'Taux'!$B$6:$B$20,D379),"n.d.")</f>
        <v>18.58943911</v>
      </c>
      <c r="J379" s="22">
        <f>IF(COUNT(H379,I379)=2,H379/I379,"n.d.")</f>
        <v>136452.8469627396</v>
      </c>
      <c r="K379" s="18" t="s">
        <v>749</v>
      </c>
    </row>
    <row r="380" spans="1:11" ht="19" customHeight="1">
      <c r="A380" s="18" t="s">
        <v>27</v>
      </c>
      <c r="B380" s="18" t="s">
        <v>111</v>
      </c>
      <c r="C380" s="18" t="s">
        <v>112</v>
      </c>
      <c r="D380" s="18" t="s">
        <v>25</v>
      </c>
      <c r="E380" s="18" t="s">
        <v>33</v>
      </c>
      <c r="F380" s="18" t="s">
        <v>95</v>
      </c>
      <c r="G380" s="26">
        <v>5286</v>
      </c>
      <c r="H380" s="22">
        <v>3180139.190000006</v>
      </c>
      <c r="I380" s="27">
        <f>IF(COUNTIFS('Taux'!$A$6:$A$20,A380,'Taux'!$B$6:$B$20,D380)=1,SUMIFS('Taux'!$D$6:$D$20,'Taux'!$A$6:$A$20,A380,'Taux'!$B$6:$B$20,D380),"n.d.")</f>
        <v>18.58943911</v>
      </c>
      <c r="J380" s="22">
        <f>IF(COUNT(H380,I380)=2,H380/I380,"n.d.")</f>
        <v>171072.35840640732</v>
      </c>
      <c r="K380" s="18" t="s">
        <v>750</v>
      </c>
    </row>
    <row r="381" spans="1:11" ht="19" customHeight="1">
      <c r="A381" s="18" t="s">
        <v>27</v>
      </c>
      <c r="B381" s="18" t="s">
        <v>111</v>
      </c>
      <c r="C381" s="18" t="s">
        <v>112</v>
      </c>
      <c r="D381" s="18" t="s">
        <v>25</v>
      </c>
      <c r="E381" s="18" t="s">
        <v>33</v>
      </c>
      <c r="F381" s="18" t="s">
        <v>53</v>
      </c>
      <c r="G381" s="26">
        <v>10227</v>
      </c>
      <c r="H381" s="22">
        <v>6167078.229999923</v>
      </c>
      <c r="I381" s="27">
        <f>IF(COUNTIFS('Taux'!$A$6:$A$20,A381,'Taux'!$B$6:$B$20,D381)=1,SUMIFS('Taux'!$D$6:$D$20,'Taux'!$A$6:$A$20,A381,'Taux'!$B$6:$B$20,D381),"n.d.")</f>
        <v>18.58943911</v>
      </c>
      <c r="J381" s="22">
        <f>IF(COUNT(H381,I381)=2,H381/I381,"n.d.")</f>
        <v>331751.7109315259</v>
      </c>
      <c r="K381" s="18" t="s">
        <v>751</v>
      </c>
    </row>
    <row r="382" spans="1:11" ht="19" customHeight="1">
      <c r="A382" s="18" t="s">
        <v>27</v>
      </c>
      <c r="B382" s="18" t="s">
        <v>111</v>
      </c>
      <c r="C382" s="18" t="s">
        <v>112</v>
      </c>
      <c r="D382" s="18" t="s">
        <v>25</v>
      </c>
      <c r="E382" s="18" t="s">
        <v>33</v>
      </c>
      <c r="F382" s="18" t="s">
        <v>55</v>
      </c>
      <c r="G382" s="26">
        <v>45459</v>
      </c>
      <c r="H382" s="22">
        <v>16038502.78000003</v>
      </c>
      <c r="I382" s="27">
        <f>IF(COUNTIFS('Taux'!$A$6:$A$20,A382,'Taux'!$B$6:$B$20,D382)=1,SUMIFS('Taux'!$D$6:$D$20,'Taux'!$A$6:$A$20,A382,'Taux'!$B$6:$B$20,D382),"n.d.")</f>
        <v>18.58943911</v>
      </c>
      <c r="J382" s="22">
        <f>IF(COUNT(H382,I382)=2,H382/I382,"n.d.")</f>
        <v>862774.9705138912</v>
      </c>
      <c r="K382" s="18" t="s">
        <v>752</v>
      </c>
    </row>
    <row r="383" spans="1:11" ht="19" customHeight="1">
      <c r="A383" s="18" t="s">
        <v>27</v>
      </c>
      <c r="B383" s="18" t="s">
        <v>233</v>
      </c>
      <c r="C383" s="18" t="s">
        <v>234</v>
      </c>
      <c r="D383" s="18" t="s">
        <v>14</v>
      </c>
      <c r="E383" s="18" t="s">
        <v>33</v>
      </c>
      <c r="F383" s="18" t="s">
        <v>387</v>
      </c>
      <c r="G383" s="26">
        <v>200151</v>
      </c>
      <c r="H383" s="22">
        <v>10286587.01999989</v>
      </c>
      <c r="I383" s="27">
        <f>IF(COUNTIFS('Taux'!$A$6:$A$20,A383,'Taux'!$B$6:$B$20,D383)=1,SUMIFS('Taux'!$D$6:$D$20,'Taux'!$A$6:$A$20,A383,'Taux'!$B$6:$B$20,D383),"n.d.")</f>
        <v>5.855892595</v>
      </c>
      <c r="J383" s="22">
        <f>IF(COUNT(H383,I383)=2,H383/I383,"n.d.")</f>
        <v>1756621.5317512823</v>
      </c>
      <c r="K383" s="18" t="s">
        <v>753</v>
      </c>
    </row>
    <row r="384" spans="1:11" ht="19" customHeight="1">
      <c r="A384" s="18" t="s">
        <v>27</v>
      </c>
      <c r="B384" s="18" t="s">
        <v>233</v>
      </c>
      <c r="C384" s="18" t="s">
        <v>234</v>
      </c>
      <c r="D384" s="18" t="s">
        <v>14</v>
      </c>
      <c r="E384" s="18" t="s">
        <v>33</v>
      </c>
      <c r="F384" s="18" t="s">
        <v>389</v>
      </c>
      <c r="G384" s="26">
        <v>7776</v>
      </c>
      <c r="H384" s="22">
        <v>1205925.600000004</v>
      </c>
      <c r="I384" s="27">
        <f>IF(COUNTIFS('Taux'!$A$6:$A$20,A384,'Taux'!$B$6:$B$20,D384)=1,SUMIFS('Taux'!$D$6:$D$20,'Taux'!$A$6:$A$20,A384,'Taux'!$B$6:$B$20,D384),"n.d.")</f>
        <v>5.855892595</v>
      </c>
      <c r="J384" s="22">
        <f>IF(COUNT(H384,I384)=2,H384/I384,"n.d.")</f>
        <v>205933.69506634612</v>
      </c>
      <c r="K384" s="18" t="s">
        <v>754</v>
      </c>
    </row>
    <row r="385" spans="1:11" ht="19" customHeight="1">
      <c r="A385" s="18" t="s">
        <v>27</v>
      </c>
      <c r="B385" s="18" t="s">
        <v>233</v>
      </c>
      <c r="C385" s="18" t="s">
        <v>234</v>
      </c>
      <c r="D385" s="18" t="s">
        <v>14</v>
      </c>
      <c r="E385" s="18" t="s">
        <v>33</v>
      </c>
      <c r="F385" s="18" t="s">
        <v>391</v>
      </c>
      <c r="G385" s="26">
        <v>5035</v>
      </c>
      <c r="H385" s="22">
        <v>1171305.16000001</v>
      </c>
      <c r="I385" s="27">
        <f>IF(COUNTIFS('Taux'!$A$6:$A$20,A385,'Taux'!$B$6:$B$20,D385)=1,SUMIFS('Taux'!$D$6:$D$20,'Taux'!$A$6:$A$20,A385,'Taux'!$B$6:$B$20,D385),"n.d.")</f>
        <v>5.855892595</v>
      </c>
      <c r="J385" s="22">
        <f>IF(COUNT(H385,I385)=2,H385/I385,"n.d.")</f>
        <v>200021.6262504743</v>
      </c>
      <c r="K385" s="18" t="s">
        <v>755</v>
      </c>
    </row>
    <row r="386" spans="1:11" ht="19" customHeight="1">
      <c r="A386" s="18" t="s">
        <v>27</v>
      </c>
      <c r="B386" s="18" t="s">
        <v>233</v>
      </c>
      <c r="C386" s="18" t="s">
        <v>234</v>
      </c>
      <c r="D386" s="18" t="s">
        <v>14</v>
      </c>
      <c r="E386" s="18" t="s">
        <v>33</v>
      </c>
      <c r="F386" s="18" t="s">
        <v>393</v>
      </c>
      <c r="G386" s="26">
        <v>47428</v>
      </c>
      <c r="H386" s="22">
        <v>1814453.939999312</v>
      </c>
      <c r="I386" s="27">
        <f>IF(COUNTIFS('Taux'!$A$6:$A$20,A386,'Taux'!$B$6:$B$20,D386)=1,SUMIFS('Taux'!$D$6:$D$20,'Taux'!$A$6:$A$20,A386,'Taux'!$B$6:$B$20,D386),"n.d.")</f>
        <v>5.855892595</v>
      </c>
      <c r="J386" s="22">
        <f>IF(COUNT(H386,I386)=2,H386/I386,"n.d.")</f>
        <v>309850.95962117997</v>
      </c>
      <c r="K386" s="18" t="s">
        <v>756</v>
      </c>
    </row>
    <row r="387" spans="1:11" ht="19" customHeight="1">
      <c r="A387" s="18" t="s">
        <v>27</v>
      </c>
      <c r="B387" s="18" t="s">
        <v>233</v>
      </c>
      <c r="C387" s="18" t="s">
        <v>234</v>
      </c>
      <c r="D387" s="18" t="s">
        <v>14</v>
      </c>
      <c r="E387" s="18" t="s">
        <v>33</v>
      </c>
      <c r="F387" s="18" t="s">
        <v>395</v>
      </c>
      <c r="G387" s="26">
        <v>21231</v>
      </c>
      <c r="H387" s="22">
        <v>2252780.370000178</v>
      </c>
      <c r="I387" s="27">
        <f>IF(COUNTIFS('Taux'!$A$6:$A$20,A387,'Taux'!$B$6:$B$20,D387)=1,SUMIFS('Taux'!$D$6:$D$20,'Taux'!$A$6:$A$20,A387,'Taux'!$B$6:$B$20,D387),"n.d.")</f>
        <v>5.855892595</v>
      </c>
      <c r="J387" s="22">
        <f>IF(COUNT(H387,I387)=2,H387/I387,"n.d.")</f>
        <v>384703.15728189657</v>
      </c>
      <c r="K387" s="18" t="s">
        <v>757</v>
      </c>
    </row>
    <row r="388" spans="1:11" ht="19" customHeight="1">
      <c r="A388" s="18" t="s">
        <v>27</v>
      </c>
      <c r="B388" s="18" t="s">
        <v>233</v>
      </c>
      <c r="C388" s="18" t="s">
        <v>234</v>
      </c>
      <c r="D388" s="18" t="s">
        <v>14</v>
      </c>
      <c r="E388" s="18" t="s">
        <v>33</v>
      </c>
      <c r="F388" s="18" t="s">
        <v>397</v>
      </c>
      <c r="G388" s="26">
        <v>5370</v>
      </c>
      <c r="H388" s="22">
        <v>1014366.430000069</v>
      </c>
      <c r="I388" s="27">
        <f>IF(COUNTIFS('Taux'!$A$6:$A$20,A388,'Taux'!$B$6:$B$20,D388)=1,SUMIFS('Taux'!$D$6:$D$20,'Taux'!$A$6:$A$20,A388,'Taux'!$B$6:$B$20,D388),"n.d.")</f>
        <v>5.855892595</v>
      </c>
      <c r="J388" s="22">
        <f>IF(COUNT(H388,I388)=2,H388/I388,"n.d.")</f>
        <v>173221.48819228273</v>
      </c>
      <c r="K388" s="18" t="s">
        <v>758</v>
      </c>
    </row>
    <row r="389" spans="1:11" ht="19" customHeight="1">
      <c r="A389" s="18" t="s">
        <v>27</v>
      </c>
      <c r="B389" s="18" t="s">
        <v>233</v>
      </c>
      <c r="C389" s="18" t="s">
        <v>234</v>
      </c>
      <c r="D389" s="18" t="s">
        <v>14</v>
      </c>
      <c r="E389" s="18" t="s">
        <v>33</v>
      </c>
      <c r="F389" s="18" t="s">
        <v>399</v>
      </c>
      <c r="G389" s="26">
        <v>23478</v>
      </c>
      <c r="H389" s="22">
        <v>1548755.750001905</v>
      </c>
      <c r="I389" s="27">
        <f>IF(COUNTIFS('Taux'!$A$6:$A$20,A389,'Taux'!$B$6:$B$20,D389)=1,SUMIFS('Taux'!$D$6:$D$20,'Taux'!$A$6:$A$20,A389,'Taux'!$B$6:$B$20,D389),"n.d.")</f>
        <v>5.855892595</v>
      </c>
      <c r="J389" s="22">
        <f>IF(COUNT(H389,I389)=2,H389/I389,"n.d.")</f>
        <v>264478.1687635965</v>
      </c>
      <c r="K389" s="18" t="s">
        <v>759</v>
      </c>
    </row>
    <row r="390" spans="1:11" ht="19" customHeight="1">
      <c r="A390" s="18" t="s">
        <v>27</v>
      </c>
      <c r="B390" s="18" t="s">
        <v>233</v>
      </c>
      <c r="C390" s="18" t="s">
        <v>234</v>
      </c>
      <c r="D390" s="18" t="s">
        <v>14</v>
      </c>
      <c r="E390" s="18" t="s">
        <v>33</v>
      </c>
      <c r="F390" s="18" t="s">
        <v>95</v>
      </c>
      <c r="G390" s="26">
        <v>10987</v>
      </c>
      <c r="H390" s="22">
        <v>2051330.700000692</v>
      </c>
      <c r="I390" s="27">
        <f>IF(COUNTIFS('Taux'!$A$6:$A$20,A390,'Taux'!$B$6:$B$20,D390)=1,SUMIFS('Taux'!$D$6:$D$20,'Taux'!$A$6:$A$20,A390,'Taux'!$B$6:$B$20,D390),"n.d.")</f>
        <v>5.855892595</v>
      </c>
      <c r="J390" s="22">
        <f>IF(COUNT(H390,I390)=2,H390/I390,"n.d.")</f>
        <v>350301.96792752005</v>
      </c>
      <c r="K390" s="18" t="s">
        <v>760</v>
      </c>
    </row>
    <row r="391" spans="1:11" ht="19" customHeight="1">
      <c r="A391" s="18" t="s">
        <v>27</v>
      </c>
      <c r="B391" s="18" t="s">
        <v>233</v>
      </c>
      <c r="C391" s="18" t="s">
        <v>234</v>
      </c>
      <c r="D391" s="18" t="s">
        <v>14</v>
      </c>
      <c r="E391" s="18" t="s">
        <v>33</v>
      </c>
      <c r="F391" s="18" t="s">
        <v>53</v>
      </c>
      <c r="G391" s="26">
        <v>8100</v>
      </c>
      <c r="H391" s="22">
        <v>656996.040000002</v>
      </c>
      <c r="I391" s="27">
        <f>IF(COUNTIFS('Taux'!$A$6:$A$20,A391,'Taux'!$B$6:$B$20,D391)=1,SUMIFS('Taux'!$D$6:$D$20,'Taux'!$A$6:$A$20,A391,'Taux'!$B$6:$B$20,D391),"n.d.")</f>
        <v>5.855892595</v>
      </c>
      <c r="J391" s="22">
        <f>IF(COUNT(H391,I391)=2,H391/I391,"n.d.")</f>
        <v>112194.00447354038</v>
      </c>
      <c r="K391" s="18" t="s">
        <v>761</v>
      </c>
    </row>
    <row r="392" spans="1:11" ht="19" customHeight="1">
      <c r="A392" s="18" t="s">
        <v>27</v>
      </c>
      <c r="B392" s="18" t="s">
        <v>233</v>
      </c>
      <c r="C392" s="18" t="s">
        <v>234</v>
      </c>
      <c r="D392" s="18" t="s">
        <v>14</v>
      </c>
      <c r="E392" s="18" t="s">
        <v>33</v>
      </c>
      <c r="F392" s="18" t="s">
        <v>55</v>
      </c>
      <c r="G392" s="26">
        <v>960</v>
      </c>
      <c r="H392" s="22">
        <v>104486.6699999993</v>
      </c>
      <c r="I392" s="27">
        <f>IF(COUNTIFS('Taux'!$A$6:$A$20,A392,'Taux'!$B$6:$B$20,D392)=1,SUMIFS('Taux'!$D$6:$D$20,'Taux'!$A$6:$A$20,A392,'Taux'!$B$6:$B$20,D392),"n.d.")</f>
        <v>5.855892595</v>
      </c>
      <c r="J392" s="22">
        <f>IF(COUNT(H392,I392)=2,H392/I392,"n.d.")</f>
        <v>17842.996316089244</v>
      </c>
      <c r="K392" s="18" t="s">
        <v>762</v>
      </c>
    </row>
    <row r="393" spans="1:11" ht="19" customHeight="1">
      <c r="A393" s="18" t="s">
        <v>27</v>
      </c>
      <c r="B393" s="18" t="s">
        <v>86</v>
      </c>
      <c r="C393" s="18" t="s">
        <v>87</v>
      </c>
      <c r="D393" s="18" t="s">
        <v>10</v>
      </c>
      <c r="E393" s="18" t="s">
        <v>376</v>
      </c>
      <c r="F393" s="18" t="s">
        <v>377</v>
      </c>
      <c r="G393" s="26">
        <v>8</v>
      </c>
      <c r="H393" s="22">
        <v>3</v>
      </c>
      <c r="I393" s="27">
        <f>IF(COUNTIFS('Taux'!$A$6:$A$20,A393,'Taux'!$B$6:$B$20,D393)=1,SUMIFS('Taux'!$D$6:$D$20,'Taux'!$A$6:$A$20,A393,'Taux'!$B$6:$B$20,D393),"n.d.")</f>
        <v>1</v>
      </c>
      <c r="J393" s="22">
        <f>IF(COUNT(H393,I393)=2,H393/I393,"n.d.")</f>
        <v>3.0</v>
      </c>
      <c r="K393" s="18" t="s">
        <v>763</v>
      </c>
    </row>
    <row r="394" spans="1:11" ht="19" customHeight="1">
      <c r="A394" s="18" t="s">
        <v>27</v>
      </c>
      <c r="B394" s="18" t="s">
        <v>86</v>
      </c>
      <c r="C394" s="18" t="s">
        <v>87</v>
      </c>
      <c r="D394" s="18" t="s">
        <v>10</v>
      </c>
      <c r="E394" s="18" t="s">
        <v>376</v>
      </c>
      <c r="F394" s="18" t="s">
        <v>379</v>
      </c>
      <c r="G394" s="26">
        <v>14</v>
      </c>
      <c r="H394" s="22">
        <v>82</v>
      </c>
      <c r="I394" s="27">
        <f>IF(COUNTIFS('Taux'!$A$6:$A$20,A394,'Taux'!$B$6:$B$20,D394)=1,SUMIFS('Taux'!$D$6:$D$20,'Taux'!$A$6:$A$20,A394,'Taux'!$B$6:$B$20,D394),"n.d.")</f>
        <v>1</v>
      </c>
      <c r="J394" s="22">
        <f>IF(COUNT(H394,I394)=2,H394/I394,"n.d.")</f>
        <v>82.0</v>
      </c>
      <c r="K394" s="18" t="s">
        <v>764</v>
      </c>
    </row>
    <row r="395" spans="1:11" ht="19" customHeight="1">
      <c r="A395" s="18" t="s">
        <v>27</v>
      </c>
      <c r="B395" s="18" t="s">
        <v>86</v>
      </c>
      <c r="C395" s="18" t="s">
        <v>87</v>
      </c>
      <c r="D395" s="18" t="s">
        <v>10</v>
      </c>
      <c r="E395" s="18" t="s">
        <v>376</v>
      </c>
      <c r="F395" s="18" t="s">
        <v>381</v>
      </c>
      <c r="G395" s="26">
        <v>34</v>
      </c>
      <c r="H395" s="22">
        <v>1617</v>
      </c>
      <c r="I395" s="27">
        <f>IF(COUNTIFS('Taux'!$A$6:$A$20,A395,'Taux'!$B$6:$B$20,D395)=1,SUMIFS('Taux'!$D$6:$D$20,'Taux'!$A$6:$A$20,A395,'Taux'!$B$6:$B$20,D395),"n.d.")</f>
        <v>1</v>
      </c>
      <c r="J395" s="22">
        <f>IF(COUNT(H395,I395)=2,H395/I395,"n.d.")</f>
        <v>1617.0</v>
      </c>
      <c r="K395" s="18" t="s">
        <v>765</v>
      </c>
    </row>
    <row r="396" spans="1:11" ht="19" customHeight="1">
      <c r="A396" s="18" t="s">
        <v>27</v>
      </c>
      <c r="B396" s="18" t="s">
        <v>86</v>
      </c>
      <c r="C396" s="18" t="s">
        <v>87</v>
      </c>
      <c r="D396" s="18" t="s">
        <v>10</v>
      </c>
      <c r="E396" s="18" t="s">
        <v>376</v>
      </c>
      <c r="F396" s="18" t="s">
        <v>383</v>
      </c>
      <c r="G396" s="26">
        <v>14</v>
      </c>
      <c r="H396" s="22">
        <v>2676</v>
      </c>
      <c r="I396" s="27">
        <f>IF(COUNTIFS('Taux'!$A$6:$A$20,A396,'Taux'!$B$6:$B$20,D396)=1,SUMIFS('Taux'!$D$6:$D$20,'Taux'!$A$6:$A$20,A396,'Taux'!$B$6:$B$20,D396),"n.d.")</f>
        <v>1</v>
      </c>
      <c r="J396" s="22">
        <f>IF(COUNT(H396,I396)=2,H396/I396,"n.d.")</f>
        <v>2676.0</v>
      </c>
      <c r="K396" s="18" t="s">
        <v>766</v>
      </c>
    </row>
    <row r="397" spans="1:11" ht="19" customHeight="1">
      <c r="A397" s="18" t="s">
        <v>27</v>
      </c>
      <c r="B397" s="18" t="s">
        <v>86</v>
      </c>
      <c r="C397" s="18" t="s">
        <v>87</v>
      </c>
      <c r="D397" s="18" t="s">
        <v>10</v>
      </c>
      <c r="E397" s="18" t="s">
        <v>376</v>
      </c>
      <c r="F397" s="18" t="s">
        <v>385</v>
      </c>
      <c r="G397" s="26">
        <v>4</v>
      </c>
      <c r="H397" s="22">
        <v>9732</v>
      </c>
      <c r="I397" s="27">
        <f>IF(COUNTIFS('Taux'!$A$6:$A$20,A397,'Taux'!$B$6:$B$20,D397)=1,SUMIFS('Taux'!$D$6:$D$20,'Taux'!$A$6:$A$20,A397,'Taux'!$B$6:$B$20,D397),"n.d.")</f>
        <v>1</v>
      </c>
      <c r="J397" s="22">
        <f>IF(COUNT(H397,I397)=2,H397/I397,"n.d.")</f>
        <v>9732.0</v>
      </c>
      <c r="K397" s="18" t="s">
        <v>767</v>
      </c>
    </row>
    <row r="398" spans="1:11" ht="19" customHeight="1">
      <c r="A398" s="18" t="s">
        <v>27</v>
      </c>
      <c r="B398" s="18" t="s">
        <v>86</v>
      </c>
      <c r="C398" s="18" t="s">
        <v>87</v>
      </c>
      <c r="D398" s="18" t="s">
        <v>10</v>
      </c>
      <c r="E398" s="18" t="s">
        <v>33</v>
      </c>
      <c r="F398" s="18" t="s">
        <v>387</v>
      </c>
      <c r="G398" s="23" t="s">
        <v>51</v>
      </c>
      <c r="H398" s="23" t="s">
        <v>51</v>
      </c>
      <c r="I398" s="27">
        <f>IF(COUNTIFS('Taux'!$A$6:$A$20,A398,'Taux'!$B$6:$B$20,D398)=1,SUMIFS('Taux'!$D$6:$D$20,'Taux'!$A$6:$A$20,A398,'Taux'!$B$6:$B$20,D398),"n.d.")</f>
        <v>1</v>
      </c>
      <c r="J398" s="22" t="str">
        <f>IF(COUNT(H398,I398)=2,H398/I398,"n.d.")</f>
        <v>n.d.</v>
      </c>
      <c r="K398" s="18" t="s">
        <v>768</v>
      </c>
    </row>
    <row r="399" spans="1:11" ht="19" customHeight="1">
      <c r="A399" s="18" t="s">
        <v>27</v>
      </c>
      <c r="B399" s="18" t="s">
        <v>86</v>
      </c>
      <c r="C399" s="18" t="s">
        <v>87</v>
      </c>
      <c r="D399" s="18" t="s">
        <v>10</v>
      </c>
      <c r="E399" s="18" t="s">
        <v>33</v>
      </c>
      <c r="F399" s="18" t="s">
        <v>389</v>
      </c>
      <c r="G399" s="23" t="s">
        <v>51</v>
      </c>
      <c r="H399" s="23" t="s">
        <v>51</v>
      </c>
      <c r="I399" s="27">
        <f>IF(COUNTIFS('Taux'!$A$6:$A$20,A399,'Taux'!$B$6:$B$20,D399)=1,SUMIFS('Taux'!$D$6:$D$20,'Taux'!$A$6:$A$20,A399,'Taux'!$B$6:$B$20,D399),"n.d.")</f>
        <v>1</v>
      </c>
      <c r="J399" s="22" t="str">
        <f>IF(COUNT(H399,I399)=2,H399/I399,"n.d.")</f>
        <v>n.d.</v>
      </c>
      <c r="K399" s="18" t="s">
        <v>769</v>
      </c>
    </row>
    <row r="400" spans="1:11" ht="19" customHeight="1">
      <c r="A400" s="18" t="s">
        <v>27</v>
      </c>
      <c r="B400" s="18" t="s">
        <v>86</v>
      </c>
      <c r="C400" s="18" t="s">
        <v>87</v>
      </c>
      <c r="D400" s="18" t="s">
        <v>10</v>
      </c>
      <c r="E400" s="18" t="s">
        <v>33</v>
      </c>
      <c r="F400" s="18" t="s">
        <v>391</v>
      </c>
      <c r="G400" s="26">
        <v>1</v>
      </c>
      <c r="H400" s="22">
        <v>2315</v>
      </c>
      <c r="I400" s="27">
        <f>IF(COUNTIFS('Taux'!$A$6:$A$20,A400,'Taux'!$B$6:$B$20,D400)=1,SUMIFS('Taux'!$D$6:$D$20,'Taux'!$A$6:$A$20,A400,'Taux'!$B$6:$B$20,D400),"n.d.")</f>
        <v>1</v>
      </c>
      <c r="J400" s="22">
        <f>IF(COUNT(H400,I400)=2,H400/I400,"n.d.")</f>
        <v>2315.0</v>
      </c>
      <c r="K400" s="18" t="s">
        <v>770</v>
      </c>
    </row>
    <row r="401" spans="1:11" ht="19" customHeight="1">
      <c r="A401" s="18" t="s">
        <v>27</v>
      </c>
      <c r="B401" s="18" t="s">
        <v>86</v>
      </c>
      <c r="C401" s="18" t="s">
        <v>87</v>
      </c>
      <c r="D401" s="18" t="s">
        <v>10</v>
      </c>
      <c r="E401" s="18" t="s">
        <v>33</v>
      </c>
      <c r="F401" s="18" t="s">
        <v>393</v>
      </c>
      <c r="G401" s="23" t="s">
        <v>51</v>
      </c>
      <c r="H401" s="23" t="s">
        <v>51</v>
      </c>
      <c r="I401" s="27">
        <f>IF(COUNTIFS('Taux'!$A$6:$A$20,A401,'Taux'!$B$6:$B$20,D401)=1,SUMIFS('Taux'!$D$6:$D$20,'Taux'!$A$6:$A$20,A401,'Taux'!$B$6:$B$20,D401),"n.d.")</f>
        <v>1</v>
      </c>
      <c r="J401" s="22" t="str">
        <f>IF(COUNT(H401,I401)=2,H401/I401,"n.d.")</f>
        <v>n.d.</v>
      </c>
      <c r="K401" s="18" t="s">
        <v>771</v>
      </c>
    </row>
    <row r="402" spans="1:11" ht="19" customHeight="1">
      <c r="A402" s="18" t="s">
        <v>27</v>
      </c>
      <c r="B402" s="18" t="s">
        <v>86</v>
      </c>
      <c r="C402" s="18" t="s">
        <v>87</v>
      </c>
      <c r="D402" s="18" t="s">
        <v>10</v>
      </c>
      <c r="E402" s="18" t="s">
        <v>33</v>
      </c>
      <c r="F402" s="18" t="s">
        <v>395</v>
      </c>
      <c r="G402" s="26">
        <v>1</v>
      </c>
      <c r="H402" s="22">
        <v>81</v>
      </c>
      <c r="I402" s="27">
        <f>IF(COUNTIFS('Taux'!$A$6:$A$20,A402,'Taux'!$B$6:$B$20,D402)=1,SUMIFS('Taux'!$D$6:$D$20,'Taux'!$A$6:$A$20,A402,'Taux'!$B$6:$B$20,D402),"n.d.")</f>
        <v>1</v>
      </c>
      <c r="J402" s="22">
        <f>IF(COUNT(H402,I402)=2,H402/I402,"n.d.")</f>
        <v>81.0</v>
      </c>
      <c r="K402" s="18" t="s">
        <v>772</v>
      </c>
    </row>
    <row r="403" spans="1:11" ht="19" customHeight="1">
      <c r="A403" s="18" t="s">
        <v>27</v>
      </c>
      <c r="B403" s="18" t="s">
        <v>86</v>
      </c>
      <c r="C403" s="18" t="s">
        <v>87</v>
      </c>
      <c r="D403" s="18" t="s">
        <v>10</v>
      </c>
      <c r="E403" s="18" t="s">
        <v>33</v>
      </c>
      <c r="F403" s="18" t="s">
        <v>397</v>
      </c>
      <c r="G403" s="23" t="s">
        <v>51</v>
      </c>
      <c r="H403" s="23" t="s">
        <v>51</v>
      </c>
      <c r="I403" s="27">
        <f>IF(COUNTIFS('Taux'!$A$6:$A$20,A403,'Taux'!$B$6:$B$20,D403)=1,SUMIFS('Taux'!$D$6:$D$20,'Taux'!$A$6:$A$20,A403,'Taux'!$B$6:$B$20,D403),"n.d.")</f>
        <v>1</v>
      </c>
      <c r="J403" s="22" t="str">
        <f>IF(COUNT(H403,I403)=2,H403/I403,"n.d.")</f>
        <v>n.d.</v>
      </c>
      <c r="K403" s="18" t="s">
        <v>773</v>
      </c>
    </row>
    <row r="404" spans="1:11" ht="19" customHeight="1">
      <c r="A404" s="18" t="s">
        <v>27</v>
      </c>
      <c r="B404" s="18" t="s">
        <v>86</v>
      </c>
      <c r="C404" s="18" t="s">
        <v>87</v>
      </c>
      <c r="D404" s="18" t="s">
        <v>10</v>
      </c>
      <c r="E404" s="18" t="s">
        <v>33</v>
      </c>
      <c r="F404" s="18" t="s">
        <v>399</v>
      </c>
      <c r="G404" s="26">
        <v>1</v>
      </c>
      <c r="H404" s="22">
        <v>47</v>
      </c>
      <c r="I404" s="27">
        <f>IF(COUNTIFS('Taux'!$A$6:$A$20,A404,'Taux'!$B$6:$B$20,D404)=1,SUMIFS('Taux'!$D$6:$D$20,'Taux'!$A$6:$A$20,A404,'Taux'!$B$6:$B$20,D404),"n.d.")</f>
        <v>1</v>
      </c>
      <c r="J404" s="22">
        <f>IF(COUNT(H404,I404)=2,H404/I404,"n.d.")</f>
        <v>47.0</v>
      </c>
      <c r="K404" s="18" t="s">
        <v>774</v>
      </c>
    </row>
    <row r="405" spans="1:11" ht="19" customHeight="1">
      <c r="A405" s="18" t="s">
        <v>27</v>
      </c>
      <c r="B405" s="18" t="s">
        <v>86</v>
      </c>
      <c r="C405" s="18" t="s">
        <v>87</v>
      </c>
      <c r="D405" s="18" t="s">
        <v>10</v>
      </c>
      <c r="E405" s="18" t="s">
        <v>33</v>
      </c>
      <c r="F405" s="18" t="s">
        <v>95</v>
      </c>
      <c r="G405" s="26">
        <v>3</v>
      </c>
      <c r="H405" s="22">
        <v>3734</v>
      </c>
      <c r="I405" s="27">
        <f>IF(COUNTIFS('Taux'!$A$6:$A$20,A405,'Taux'!$B$6:$B$20,D405)=1,SUMIFS('Taux'!$D$6:$D$20,'Taux'!$A$6:$A$20,A405,'Taux'!$B$6:$B$20,D405),"n.d.")</f>
        <v>1</v>
      </c>
      <c r="J405" s="22">
        <f>IF(COUNT(H405,I405)=2,H405/I405,"n.d.")</f>
        <v>3734.0</v>
      </c>
      <c r="K405" s="18" t="s">
        <v>775</v>
      </c>
    </row>
    <row r="406" spans="1:11" ht="19" customHeight="1">
      <c r="A406" s="18" t="s">
        <v>27</v>
      </c>
      <c r="B406" s="18" t="s">
        <v>86</v>
      </c>
      <c r="C406" s="18" t="s">
        <v>87</v>
      </c>
      <c r="D406" s="18" t="s">
        <v>10</v>
      </c>
      <c r="E406" s="18" t="s">
        <v>33</v>
      </c>
      <c r="F406" s="18" t="s">
        <v>53</v>
      </c>
      <c r="G406" s="26">
        <v>9</v>
      </c>
      <c r="H406" s="22">
        <v>1125</v>
      </c>
      <c r="I406" s="27">
        <f>IF(COUNTIFS('Taux'!$A$6:$A$20,A406,'Taux'!$B$6:$B$20,D406)=1,SUMIFS('Taux'!$D$6:$D$20,'Taux'!$A$6:$A$20,A406,'Taux'!$B$6:$B$20,D406),"n.d.")</f>
        <v>1</v>
      </c>
      <c r="J406" s="22">
        <f>IF(COUNT(H406,I406)=2,H406/I406,"n.d.")</f>
        <v>1125.0</v>
      </c>
      <c r="K406" s="18" t="s">
        <v>776</v>
      </c>
    </row>
    <row r="407" spans="1:11" ht="19" customHeight="1">
      <c r="A407" s="18" t="s">
        <v>27</v>
      </c>
      <c r="B407" s="18" t="s">
        <v>86</v>
      </c>
      <c r="C407" s="18" t="s">
        <v>87</v>
      </c>
      <c r="D407" s="18" t="s">
        <v>10</v>
      </c>
      <c r="E407" s="18" t="s">
        <v>33</v>
      </c>
      <c r="F407" s="18" t="s">
        <v>55</v>
      </c>
      <c r="G407" s="26">
        <v>59</v>
      </c>
      <c r="H407" s="22">
        <v>6808</v>
      </c>
      <c r="I407" s="27">
        <f>IF(COUNTIFS('Taux'!$A$6:$A$20,A407,'Taux'!$B$6:$B$20,D407)=1,SUMIFS('Taux'!$D$6:$D$20,'Taux'!$A$6:$A$20,A407,'Taux'!$B$6:$B$20,D407),"n.d.")</f>
        <v>1</v>
      </c>
      <c r="J407" s="22">
        <f>IF(COUNT(H407,I407)=2,H407/I407,"n.d.")</f>
        <v>6808.0</v>
      </c>
      <c r="K407" s="18" t="s">
        <v>777</v>
      </c>
    </row>
    <row r="408" spans="1:11" ht="19" customHeight="1">
      <c r="A408" s="18" t="s">
        <v>27</v>
      </c>
      <c r="B408" s="18" t="s">
        <v>67</v>
      </c>
      <c r="C408" s="18" t="s">
        <v>68</v>
      </c>
      <c r="D408" s="18" t="s">
        <v>10</v>
      </c>
      <c r="E408" s="18" t="s">
        <v>376</v>
      </c>
      <c r="F408" s="18" t="s">
        <v>377</v>
      </c>
      <c r="G408" s="26">
        <v>2403</v>
      </c>
      <c r="H408" s="22">
        <v>953</v>
      </c>
      <c r="I408" s="27">
        <f>IF(COUNTIFS('Taux'!$A$6:$A$20,A408,'Taux'!$B$6:$B$20,D408)=1,SUMIFS('Taux'!$D$6:$D$20,'Taux'!$A$6:$A$20,A408,'Taux'!$B$6:$B$20,D408),"n.d.")</f>
        <v>1</v>
      </c>
      <c r="J408" s="22">
        <f>IF(COUNT(H408,I408)=2,H408/I408,"n.d.")</f>
        <v>953.0</v>
      </c>
      <c r="K408" s="18" t="s">
        <v>778</v>
      </c>
    </row>
    <row r="409" spans="1:11" ht="19" customHeight="1">
      <c r="A409" s="18" t="s">
        <v>27</v>
      </c>
      <c r="B409" s="18" t="s">
        <v>67</v>
      </c>
      <c r="C409" s="18" t="s">
        <v>68</v>
      </c>
      <c r="D409" s="18" t="s">
        <v>10</v>
      </c>
      <c r="E409" s="18" t="s">
        <v>376</v>
      </c>
      <c r="F409" s="18" t="s">
        <v>379</v>
      </c>
      <c r="G409" s="26">
        <v>4235</v>
      </c>
      <c r="H409" s="22">
        <v>22237</v>
      </c>
      <c r="I409" s="27">
        <f>IF(COUNTIFS('Taux'!$A$6:$A$20,A409,'Taux'!$B$6:$B$20,D409)=1,SUMIFS('Taux'!$D$6:$D$20,'Taux'!$A$6:$A$20,A409,'Taux'!$B$6:$B$20,D409),"n.d.")</f>
        <v>1</v>
      </c>
      <c r="J409" s="22">
        <f>IF(COUNT(H409,I409)=2,H409/I409,"n.d.")</f>
        <v>22237.0</v>
      </c>
      <c r="K409" s="18" t="s">
        <v>779</v>
      </c>
    </row>
    <row r="410" spans="1:11" ht="19" customHeight="1">
      <c r="A410" s="18" t="s">
        <v>27</v>
      </c>
      <c r="B410" s="18" t="s">
        <v>67</v>
      </c>
      <c r="C410" s="18" t="s">
        <v>68</v>
      </c>
      <c r="D410" s="18" t="s">
        <v>10</v>
      </c>
      <c r="E410" s="18" t="s">
        <v>376</v>
      </c>
      <c r="F410" s="18" t="s">
        <v>381</v>
      </c>
      <c r="G410" s="26">
        <v>12403</v>
      </c>
      <c r="H410" s="22">
        <v>494708</v>
      </c>
      <c r="I410" s="27">
        <f>IF(COUNTIFS('Taux'!$A$6:$A$20,A410,'Taux'!$B$6:$B$20,D410)=1,SUMIFS('Taux'!$D$6:$D$20,'Taux'!$A$6:$A$20,A410,'Taux'!$B$6:$B$20,D410),"n.d.")</f>
        <v>1</v>
      </c>
      <c r="J410" s="22">
        <f>IF(COUNT(H410,I410)=2,H410/I410,"n.d.")</f>
        <v>494708.0</v>
      </c>
      <c r="K410" s="18" t="s">
        <v>780</v>
      </c>
    </row>
    <row r="411" spans="1:11" ht="19" customHeight="1">
      <c r="A411" s="18" t="s">
        <v>27</v>
      </c>
      <c r="B411" s="18" t="s">
        <v>67</v>
      </c>
      <c r="C411" s="18" t="s">
        <v>68</v>
      </c>
      <c r="D411" s="18" t="s">
        <v>10</v>
      </c>
      <c r="E411" s="18" t="s">
        <v>376</v>
      </c>
      <c r="F411" s="18" t="s">
        <v>437</v>
      </c>
      <c r="G411" s="26">
        <v>3657</v>
      </c>
      <c r="H411" s="22">
        <v>773945</v>
      </c>
      <c r="I411" s="27">
        <f>IF(COUNTIFS('Taux'!$A$6:$A$20,A411,'Taux'!$B$6:$B$20,D411)=1,SUMIFS('Taux'!$D$6:$D$20,'Taux'!$A$6:$A$20,A411,'Taux'!$B$6:$B$20,D411),"n.d.")</f>
        <v>1</v>
      </c>
      <c r="J411" s="22">
        <f>IF(COUNT(H411,I411)=2,H411/I411,"n.d.")</f>
        <v>773945.0</v>
      </c>
      <c r="K411" s="18" t="s">
        <v>781</v>
      </c>
    </row>
    <row r="412" spans="1:11" ht="19" customHeight="1">
      <c r="A412" s="18" t="s">
        <v>27</v>
      </c>
      <c r="B412" s="18" t="s">
        <v>67</v>
      </c>
      <c r="C412" s="18" t="s">
        <v>68</v>
      </c>
      <c r="D412" s="18" t="s">
        <v>10</v>
      </c>
      <c r="E412" s="18" t="s">
        <v>376</v>
      </c>
      <c r="F412" s="18" t="s">
        <v>439</v>
      </c>
      <c r="G412" s="26">
        <v>384</v>
      </c>
      <c r="H412" s="22">
        <v>268082</v>
      </c>
      <c r="I412" s="27">
        <f>IF(COUNTIFS('Taux'!$A$6:$A$20,A412,'Taux'!$B$6:$B$20,D412)=1,SUMIFS('Taux'!$D$6:$D$20,'Taux'!$A$6:$A$20,A412,'Taux'!$B$6:$B$20,D412),"n.d.")</f>
        <v>1</v>
      </c>
      <c r="J412" s="22">
        <f>IF(COUNT(H412,I412)=2,H412/I412,"n.d.")</f>
        <v>268082.0</v>
      </c>
      <c r="K412" s="18" t="s">
        <v>782</v>
      </c>
    </row>
    <row r="413" spans="1:11" ht="19" customHeight="1">
      <c r="A413" s="18" t="s">
        <v>27</v>
      </c>
      <c r="B413" s="18" t="s">
        <v>67</v>
      </c>
      <c r="C413" s="18" t="s">
        <v>68</v>
      </c>
      <c r="D413" s="18" t="s">
        <v>10</v>
      </c>
      <c r="E413" s="18" t="s">
        <v>376</v>
      </c>
      <c r="F413" s="18" t="s">
        <v>385</v>
      </c>
      <c r="G413" s="26">
        <v>666</v>
      </c>
      <c r="H413" s="22">
        <v>1189327</v>
      </c>
      <c r="I413" s="27">
        <f>IF(COUNTIFS('Taux'!$A$6:$A$20,A413,'Taux'!$B$6:$B$20,D413)=1,SUMIFS('Taux'!$D$6:$D$20,'Taux'!$A$6:$A$20,A413,'Taux'!$B$6:$B$20,D413),"n.d.")</f>
        <v>1</v>
      </c>
      <c r="J413" s="22">
        <f>IF(COUNT(H413,I413)=2,H413/I413,"n.d.")</f>
        <v>1189327.0</v>
      </c>
      <c r="K413" s="18" t="s">
        <v>783</v>
      </c>
    </row>
    <row r="414" spans="1:11" ht="19" customHeight="1">
      <c r="A414" s="18" t="s">
        <v>27</v>
      </c>
      <c r="B414" s="18" t="s">
        <v>67</v>
      </c>
      <c r="C414" s="18" t="s">
        <v>68</v>
      </c>
      <c r="D414" s="18" t="s">
        <v>10</v>
      </c>
      <c r="E414" s="18" t="s">
        <v>33</v>
      </c>
      <c r="F414" s="18" t="s">
        <v>387</v>
      </c>
      <c r="G414" s="26">
        <v>2355</v>
      </c>
      <c r="H414" s="22">
        <v>97381</v>
      </c>
      <c r="I414" s="27">
        <f>IF(COUNTIFS('Taux'!$A$6:$A$20,A414,'Taux'!$B$6:$B$20,D414)=1,SUMIFS('Taux'!$D$6:$D$20,'Taux'!$A$6:$A$20,A414,'Taux'!$B$6:$B$20,D414),"n.d.")</f>
        <v>1</v>
      </c>
      <c r="J414" s="22">
        <f>IF(COUNT(H414,I414)=2,H414/I414,"n.d.")</f>
        <v>97381.0</v>
      </c>
      <c r="K414" s="18" t="s">
        <v>784</v>
      </c>
    </row>
    <row r="415" spans="1:11" ht="19" customHeight="1">
      <c r="A415" s="18" t="s">
        <v>27</v>
      </c>
      <c r="B415" s="18" t="s">
        <v>67</v>
      </c>
      <c r="C415" s="18" t="s">
        <v>68</v>
      </c>
      <c r="D415" s="18" t="s">
        <v>10</v>
      </c>
      <c r="E415" s="18" t="s">
        <v>33</v>
      </c>
      <c r="F415" s="18" t="s">
        <v>389</v>
      </c>
      <c r="G415" s="26">
        <v>218</v>
      </c>
      <c r="H415" s="22">
        <v>13021</v>
      </c>
      <c r="I415" s="27">
        <f>IF(COUNTIFS('Taux'!$A$6:$A$20,A415,'Taux'!$B$6:$B$20,D415)=1,SUMIFS('Taux'!$D$6:$D$20,'Taux'!$A$6:$A$20,A415,'Taux'!$B$6:$B$20,D415),"n.d.")</f>
        <v>1</v>
      </c>
      <c r="J415" s="22">
        <f>IF(COUNT(H415,I415)=2,H415/I415,"n.d.")</f>
        <v>13021.0</v>
      </c>
      <c r="K415" s="18" t="s">
        <v>785</v>
      </c>
    </row>
    <row r="416" spans="1:11" ht="19" customHeight="1">
      <c r="A416" s="18" t="s">
        <v>27</v>
      </c>
      <c r="B416" s="18" t="s">
        <v>67</v>
      </c>
      <c r="C416" s="18" t="s">
        <v>68</v>
      </c>
      <c r="D416" s="18" t="s">
        <v>10</v>
      </c>
      <c r="E416" s="18" t="s">
        <v>33</v>
      </c>
      <c r="F416" s="18" t="s">
        <v>391</v>
      </c>
      <c r="G416" s="26">
        <v>141</v>
      </c>
      <c r="H416" s="22">
        <v>22544</v>
      </c>
      <c r="I416" s="27">
        <f>IF(COUNTIFS('Taux'!$A$6:$A$20,A416,'Taux'!$B$6:$B$20,D416)=1,SUMIFS('Taux'!$D$6:$D$20,'Taux'!$A$6:$A$20,A416,'Taux'!$B$6:$B$20,D416),"n.d.")</f>
        <v>1</v>
      </c>
      <c r="J416" s="22">
        <f>IF(COUNT(H416,I416)=2,H416/I416,"n.d.")</f>
        <v>22544.0</v>
      </c>
      <c r="K416" s="18" t="s">
        <v>786</v>
      </c>
    </row>
    <row r="417" spans="1:11" ht="19" customHeight="1">
      <c r="A417" s="18" t="s">
        <v>27</v>
      </c>
      <c r="B417" s="18" t="s">
        <v>67</v>
      </c>
      <c r="C417" s="18" t="s">
        <v>68</v>
      </c>
      <c r="D417" s="18" t="s">
        <v>10</v>
      </c>
      <c r="E417" s="18" t="s">
        <v>33</v>
      </c>
      <c r="F417" s="18" t="s">
        <v>393</v>
      </c>
      <c r="G417" s="26">
        <v>378</v>
      </c>
      <c r="H417" s="22">
        <v>27140</v>
      </c>
      <c r="I417" s="27">
        <f>IF(COUNTIFS('Taux'!$A$6:$A$20,A417,'Taux'!$B$6:$B$20,D417)=1,SUMIFS('Taux'!$D$6:$D$20,'Taux'!$A$6:$A$20,A417,'Taux'!$B$6:$B$20,D417),"n.d.")</f>
        <v>1</v>
      </c>
      <c r="J417" s="22">
        <f>IF(COUNT(H417,I417)=2,H417/I417,"n.d.")</f>
        <v>27140.0</v>
      </c>
      <c r="K417" s="18" t="s">
        <v>787</v>
      </c>
    </row>
    <row r="418" spans="1:11" ht="19" customHeight="1">
      <c r="A418" s="18" t="s">
        <v>27</v>
      </c>
      <c r="B418" s="18" t="s">
        <v>67</v>
      </c>
      <c r="C418" s="18" t="s">
        <v>68</v>
      </c>
      <c r="D418" s="18" t="s">
        <v>10</v>
      </c>
      <c r="E418" s="18" t="s">
        <v>33</v>
      </c>
      <c r="F418" s="18" t="s">
        <v>395</v>
      </c>
      <c r="G418" s="26">
        <v>377</v>
      </c>
      <c r="H418" s="22">
        <v>25847</v>
      </c>
      <c r="I418" s="27">
        <f>IF(COUNTIFS('Taux'!$A$6:$A$20,A418,'Taux'!$B$6:$B$20,D418)=1,SUMIFS('Taux'!$D$6:$D$20,'Taux'!$A$6:$A$20,A418,'Taux'!$B$6:$B$20,D418),"n.d.")</f>
        <v>1</v>
      </c>
      <c r="J418" s="22">
        <f>IF(COUNT(H418,I418)=2,H418/I418,"n.d.")</f>
        <v>25847.0</v>
      </c>
      <c r="K418" s="18" t="s">
        <v>788</v>
      </c>
    </row>
    <row r="419" spans="1:11" ht="19" customHeight="1">
      <c r="A419" s="18" t="s">
        <v>27</v>
      </c>
      <c r="B419" s="18" t="s">
        <v>67</v>
      </c>
      <c r="C419" s="18" t="s">
        <v>68</v>
      </c>
      <c r="D419" s="18" t="s">
        <v>10</v>
      </c>
      <c r="E419" s="18" t="s">
        <v>33</v>
      </c>
      <c r="F419" s="18" t="s">
        <v>397</v>
      </c>
      <c r="G419" s="26">
        <v>538</v>
      </c>
      <c r="H419" s="22">
        <v>259900</v>
      </c>
      <c r="I419" s="27">
        <f>IF(COUNTIFS('Taux'!$A$6:$A$20,A419,'Taux'!$B$6:$B$20,D419)=1,SUMIFS('Taux'!$D$6:$D$20,'Taux'!$A$6:$A$20,A419,'Taux'!$B$6:$B$20,D419),"n.d.")</f>
        <v>1</v>
      </c>
      <c r="J419" s="22">
        <f>IF(COUNT(H419,I419)=2,H419/I419,"n.d.")</f>
        <v>259900.0</v>
      </c>
      <c r="K419" s="18" t="s">
        <v>789</v>
      </c>
    </row>
    <row r="420" spans="1:11" ht="19" customHeight="1">
      <c r="A420" s="18" t="s">
        <v>27</v>
      </c>
      <c r="B420" s="18" t="s">
        <v>67</v>
      </c>
      <c r="C420" s="18" t="s">
        <v>68</v>
      </c>
      <c r="D420" s="18" t="s">
        <v>10</v>
      </c>
      <c r="E420" s="18" t="s">
        <v>33</v>
      </c>
      <c r="F420" s="18" t="s">
        <v>399</v>
      </c>
      <c r="G420" s="26">
        <v>805</v>
      </c>
      <c r="H420" s="22">
        <v>191046</v>
      </c>
      <c r="I420" s="27">
        <f>IF(COUNTIFS('Taux'!$A$6:$A$20,A420,'Taux'!$B$6:$B$20,D420)=1,SUMIFS('Taux'!$D$6:$D$20,'Taux'!$A$6:$A$20,A420,'Taux'!$B$6:$B$20,D420),"n.d.")</f>
        <v>1</v>
      </c>
      <c r="J420" s="22">
        <f>IF(COUNT(H420,I420)=2,H420/I420,"n.d.")</f>
        <v>191046.0</v>
      </c>
      <c r="K420" s="18" t="s">
        <v>790</v>
      </c>
    </row>
    <row r="421" spans="1:11" ht="19" customHeight="1">
      <c r="A421" s="18" t="s">
        <v>27</v>
      </c>
      <c r="B421" s="18" t="s">
        <v>67</v>
      </c>
      <c r="C421" s="18" t="s">
        <v>68</v>
      </c>
      <c r="D421" s="18" t="s">
        <v>10</v>
      </c>
      <c r="E421" s="18" t="s">
        <v>33</v>
      </c>
      <c r="F421" s="18" t="s">
        <v>95</v>
      </c>
      <c r="G421" s="26">
        <v>1969</v>
      </c>
      <c r="H421" s="22">
        <v>173800</v>
      </c>
      <c r="I421" s="27">
        <f>IF(COUNTIFS('Taux'!$A$6:$A$20,A421,'Taux'!$B$6:$B$20,D421)=1,SUMIFS('Taux'!$D$6:$D$20,'Taux'!$A$6:$A$20,A421,'Taux'!$B$6:$B$20,D421),"n.d.")</f>
        <v>1</v>
      </c>
      <c r="J421" s="22">
        <f>IF(COUNT(H421,I421)=2,H421/I421,"n.d.")</f>
        <v>173800.0</v>
      </c>
      <c r="K421" s="18" t="s">
        <v>791</v>
      </c>
    </row>
    <row r="422" spans="1:11" ht="19" customHeight="1">
      <c r="A422" s="18" t="s">
        <v>27</v>
      </c>
      <c r="B422" s="18" t="s">
        <v>67</v>
      </c>
      <c r="C422" s="18" t="s">
        <v>68</v>
      </c>
      <c r="D422" s="18" t="s">
        <v>10</v>
      </c>
      <c r="E422" s="18" t="s">
        <v>33</v>
      </c>
      <c r="F422" s="18" t="s">
        <v>53</v>
      </c>
      <c r="G422" s="26">
        <v>2544</v>
      </c>
      <c r="H422" s="22">
        <v>303678</v>
      </c>
      <c r="I422" s="27">
        <f>IF(COUNTIFS('Taux'!$A$6:$A$20,A422,'Taux'!$B$6:$B$20,D422)=1,SUMIFS('Taux'!$D$6:$D$20,'Taux'!$A$6:$A$20,A422,'Taux'!$B$6:$B$20,D422),"n.d.")</f>
        <v>1</v>
      </c>
      <c r="J422" s="22">
        <f>IF(COUNT(H422,I422)=2,H422/I422,"n.d.")</f>
        <v>303678.0</v>
      </c>
      <c r="K422" s="18" t="s">
        <v>792</v>
      </c>
    </row>
    <row r="423" spans="1:11" ht="19" customHeight="1">
      <c r="A423" s="18" t="s">
        <v>27</v>
      </c>
      <c r="B423" s="18" t="s">
        <v>67</v>
      </c>
      <c r="C423" s="18" t="s">
        <v>68</v>
      </c>
      <c r="D423" s="18" t="s">
        <v>10</v>
      </c>
      <c r="E423" s="18" t="s">
        <v>33</v>
      </c>
      <c r="F423" s="18" t="s">
        <v>55</v>
      </c>
      <c r="G423" s="26">
        <v>14153</v>
      </c>
      <c r="H423" s="22">
        <v>1634895</v>
      </c>
      <c r="I423" s="27">
        <f>IF(COUNTIFS('Taux'!$A$6:$A$20,A423,'Taux'!$B$6:$B$20,D423)=1,SUMIFS('Taux'!$D$6:$D$20,'Taux'!$A$6:$A$20,A423,'Taux'!$B$6:$B$20,D423),"n.d.")</f>
        <v>1</v>
      </c>
      <c r="J423" s="22">
        <f>IF(COUNT(H423,I423)=2,H423/I423,"n.d.")</f>
        <v>1634895.0</v>
      </c>
      <c r="K423" s="18" t="s">
        <v>793</v>
      </c>
    </row>
  </sheetData>
  <conditionalFormatting sqref="A6:K423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2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8" customWidth="1"/>
    <col min="2" max="2" width="12.7109375" style="18" customWidth="1"/>
    <col min="3" max="3" width="17.7109375" style="18" customWidth="1"/>
    <col min="4" max="4" width="25.7109375" style="18" customWidth="1"/>
    <col min="5" max="5" width="20.7109375" style="18" customWidth="1"/>
    <col min="6" max="6" width="64.7109375" style="18" customWidth="1"/>
    <col min="7" max="7" width="18.7109375" style="18" customWidth="1"/>
    <col min="8" max="8" width="25.7109375" customWidth="1"/>
    <col min="9" max="28" width="18.7109375" style="18" customWidth="1"/>
  </cols>
  <sheetData>
    <row r="2" spans="1:8" ht="19" customHeight="1">
      <c r="A2" s="19" t="s">
        <v>1</v>
      </c>
    </row>
    <row r="3" spans="1:8" ht="19" customHeight="1">
      <c r="A3" s="20" t="s">
        <v>2937</v>
      </c>
    </row>
    <row r="5" spans="1:8" ht="42" customHeight="1">
      <c r="A5" s="21" t="s">
        <v>3</v>
      </c>
      <c r="B5" s="21" t="s">
        <v>4</v>
      </c>
      <c r="C5" s="21" t="s">
        <v>5</v>
      </c>
      <c r="D5" s="21" t="s">
        <v>6</v>
      </c>
      <c r="E5" s="21" t="s">
        <v>7</v>
      </c>
      <c r="F5" s="21" t="s">
        <v>8</v>
      </c>
      <c r="H5" s="21" t="s">
        <v>28</v>
      </c>
    </row>
    <row r="6" spans="1:8" ht="19" customHeight="1">
      <c r="A6" s="18" t="s">
        <v>9</v>
      </c>
      <c r="B6" s="18" t="s">
        <v>10</v>
      </c>
      <c r="C6" s="28">
        <v>46112</v>
      </c>
      <c r="D6" s="27">
        <v>1</v>
      </c>
      <c r="E6" s="18" t="s">
        <v>11</v>
      </c>
      <c r="F6" s="18" t="s">
        <v>12</v>
      </c>
      <c r="H6" t="s">
        <v>9</v>
      </c>
    </row>
    <row r="7" spans="1:8" ht="19" customHeight="1">
      <c r="A7" s="18" t="s">
        <v>13</v>
      </c>
      <c r="B7" s="18" t="s">
        <v>14</v>
      </c>
      <c r="C7" s="28">
        <v>46295</v>
      </c>
      <c r="D7" s="27">
        <v>5.855892595</v>
      </c>
      <c r="E7" s="18" t="s">
        <v>11</v>
      </c>
      <c r="F7" s="18" t="s">
        <v>15</v>
      </c>
      <c r="H7" t="s">
        <v>13</v>
      </c>
    </row>
    <row r="8" spans="1:8" ht="19" customHeight="1">
      <c r="A8" s="18" t="s">
        <v>13</v>
      </c>
      <c r="B8" s="18" t="s">
        <v>16</v>
      </c>
      <c r="C8" s="28">
        <v>46295</v>
      </c>
      <c r="D8" s="27">
        <v>7.47595715</v>
      </c>
      <c r="E8" s="18" t="s">
        <v>11</v>
      </c>
      <c r="F8" s="18" t="s">
        <v>17</v>
      </c>
      <c r="H8" t="s">
        <v>27</v>
      </c>
    </row>
    <row r="9" spans="1:8" ht="19" customHeight="1">
      <c r="A9" s="18" t="s">
        <v>13</v>
      </c>
      <c r="B9" s="18" t="s">
        <v>10</v>
      </c>
      <c r="C9" s="28">
        <v>46295</v>
      </c>
      <c r="D9" s="27">
        <v>1</v>
      </c>
      <c r="E9" s="18" t="s">
        <v>11</v>
      </c>
      <c r="F9" s="18" t="s">
        <v>18</v>
      </c>
    </row>
    <row r="10" spans="1:8" ht="19" customHeight="1">
      <c r="A10" s="18" t="s">
        <v>13</v>
      </c>
      <c r="B10" s="18" t="s">
        <v>19</v>
      </c>
      <c r="C10" s="28">
        <v>46295</v>
      </c>
      <c r="D10" s="27">
        <v>0.85443381</v>
      </c>
      <c r="E10" s="18" t="s">
        <v>11</v>
      </c>
      <c r="F10" s="18" t="s">
        <v>20</v>
      </c>
    </row>
    <row r="11" spans="1:8" ht="19" customHeight="1">
      <c r="A11" s="18" t="s">
        <v>13</v>
      </c>
      <c r="B11" s="18" t="s">
        <v>21</v>
      </c>
      <c r="C11" s="28">
        <v>46295</v>
      </c>
      <c r="D11" s="27">
        <v>10.90384939</v>
      </c>
      <c r="E11" s="18" t="s">
        <v>11</v>
      </c>
      <c r="F11" s="18" t="s">
        <v>22</v>
      </c>
    </row>
    <row r="12" spans="1:8" ht="19" customHeight="1">
      <c r="A12" s="18" t="s">
        <v>13</v>
      </c>
      <c r="B12" s="18" t="s">
        <v>23</v>
      </c>
      <c r="C12" s="28">
        <v>46295</v>
      </c>
      <c r="D12" s="27">
        <v>11.34339828</v>
      </c>
      <c r="E12" s="18" t="s">
        <v>11</v>
      </c>
      <c r="F12" s="18" t="s">
        <v>24</v>
      </c>
    </row>
    <row r="13" spans="1:8" ht="19" customHeight="1">
      <c r="A13" s="18" t="s">
        <v>13</v>
      </c>
      <c r="B13" s="18" t="s">
        <v>25</v>
      </c>
      <c r="C13" s="28">
        <v>46295</v>
      </c>
      <c r="D13" s="27">
        <v>18.58943911</v>
      </c>
      <c r="E13" s="18" t="s">
        <v>11</v>
      </c>
      <c r="F13" s="18" t="s">
        <v>26</v>
      </c>
    </row>
    <row r="14" spans="1:8" ht="19" customHeight="1">
      <c r="A14" s="18" t="s">
        <v>27</v>
      </c>
      <c r="B14" s="18" t="s">
        <v>14</v>
      </c>
      <c r="C14" s="28">
        <v>46295</v>
      </c>
      <c r="D14" s="27">
        <v>5.855892595</v>
      </c>
      <c r="E14" s="18" t="s">
        <v>11</v>
      </c>
      <c r="F14" s="18" t="s">
        <v>15</v>
      </c>
    </row>
    <row r="15" spans="1:8" ht="19" customHeight="1">
      <c r="A15" s="18" t="s">
        <v>27</v>
      </c>
      <c r="B15" s="18" t="s">
        <v>16</v>
      </c>
      <c r="C15" s="28">
        <v>46295</v>
      </c>
      <c r="D15" s="27">
        <v>7.47595715</v>
      </c>
      <c r="E15" s="18" t="s">
        <v>11</v>
      </c>
      <c r="F15" s="18" t="s">
        <v>17</v>
      </c>
    </row>
    <row r="16" spans="1:8" ht="19" customHeight="1">
      <c r="A16" s="18" t="s">
        <v>27</v>
      </c>
      <c r="B16" s="18" t="s">
        <v>10</v>
      </c>
      <c r="C16" s="28">
        <v>46295</v>
      </c>
      <c r="D16" s="27">
        <v>1</v>
      </c>
      <c r="E16" s="18" t="s">
        <v>11</v>
      </c>
      <c r="F16" s="18" t="s">
        <v>18</v>
      </c>
    </row>
    <row r="17" spans="1:6" ht="19" customHeight="1">
      <c r="A17" s="18" t="s">
        <v>27</v>
      </c>
      <c r="B17" s="18" t="s">
        <v>19</v>
      </c>
      <c r="C17" s="28">
        <v>46295</v>
      </c>
      <c r="D17" s="27">
        <v>0.85443381</v>
      </c>
      <c r="E17" s="18" t="s">
        <v>11</v>
      </c>
      <c r="F17" s="18" t="s">
        <v>20</v>
      </c>
    </row>
    <row r="18" spans="1:6" ht="19" customHeight="1">
      <c r="A18" s="18" t="s">
        <v>27</v>
      </c>
      <c r="B18" s="18" t="s">
        <v>21</v>
      </c>
      <c r="C18" s="28">
        <v>46295</v>
      </c>
      <c r="D18" s="27">
        <v>10.90384939</v>
      </c>
      <c r="E18" s="18" t="s">
        <v>11</v>
      </c>
      <c r="F18" s="18" t="s">
        <v>22</v>
      </c>
    </row>
    <row r="19" spans="1:6" ht="19" customHeight="1">
      <c r="A19" s="18" t="s">
        <v>27</v>
      </c>
      <c r="B19" s="18" t="s">
        <v>23</v>
      </c>
      <c r="C19" s="28">
        <v>46295</v>
      </c>
      <c r="D19" s="27">
        <v>11.34339828</v>
      </c>
      <c r="E19" s="18" t="s">
        <v>11</v>
      </c>
      <c r="F19" s="18" t="s">
        <v>24</v>
      </c>
    </row>
    <row r="20" spans="1:6" ht="19" customHeight="1">
      <c r="A20" s="18" t="s">
        <v>27</v>
      </c>
      <c r="B20" s="18" t="s">
        <v>25</v>
      </c>
      <c r="C20" s="28">
        <v>46295</v>
      </c>
      <c r="D20" s="27">
        <v>18.58943911</v>
      </c>
      <c r="E20" s="18" t="s">
        <v>11</v>
      </c>
      <c r="F20" s="18" t="s">
        <v>26</v>
      </c>
    </row>
  </sheetData>
  <conditionalFormatting sqref="A6:F20">
    <cfRule type="containsText" dxfId="0" priority="1" operator="containsText" text="n.d.">
      <formula>NOT(ISERROR(SEARCH("n.d.",A6)))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64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9" customHeight="1"/>
  <cols>
    <col min="1" max="1" width="15.7109375" style="18" customWidth="1"/>
    <col min="2" max="2" width="14.7109375" style="18" customWidth="1"/>
    <col min="3" max="3" width="26.7109375" style="18" customWidth="1"/>
    <col min="4" max="4" width="12.7109375" style="18" customWidth="1"/>
    <col min="5" max="5" width="100.7109375" style="18" customWidth="1"/>
    <col min="6" max="6" width="64.7109375" style="18" customWidth="1"/>
    <col min="7" max="28" width="18.7109375" style="18" customWidth="1"/>
  </cols>
  <sheetData>
    <row r="2" spans="1:6" ht="19" customHeight="1">
      <c r="A2" s="19" t="s">
        <v>819</v>
      </c>
    </row>
    <row r="3" spans="1:6" ht="19" customHeight="1">
      <c r="A3" s="20" t="s">
        <v>820</v>
      </c>
    </row>
    <row r="5" spans="1:6" ht="42" customHeight="1">
      <c r="A5" s="21" t="s">
        <v>3</v>
      </c>
      <c r="B5" s="21" t="s">
        <v>821</v>
      </c>
      <c r="C5" s="21" t="s">
        <v>822</v>
      </c>
      <c r="D5" s="21" t="s">
        <v>32</v>
      </c>
      <c r="E5" s="21" t="s">
        <v>823</v>
      </c>
      <c r="F5" s="21" t="s">
        <v>8</v>
      </c>
    </row>
    <row r="6" spans="1:6" ht="32" customHeight="1">
      <c r="A6" s="18" t="s">
        <v>13</v>
      </c>
      <c r="B6" s="18" t="s">
        <v>824</v>
      </c>
      <c r="C6" s="18" t="s">
        <v>825</v>
      </c>
      <c r="D6" s="18" t="s">
        <v>111</v>
      </c>
      <c r="E6" s="29" t="s">
        <v>826</v>
      </c>
      <c r="F6" s="18" t="s">
        <v>827</v>
      </c>
    </row>
    <row r="7" spans="1:6" ht="32" customHeight="1">
      <c r="A7" s="18" t="s">
        <v>13</v>
      </c>
      <c r="B7" s="18" t="s">
        <v>824</v>
      </c>
      <c r="C7" s="18" t="s">
        <v>828</v>
      </c>
      <c r="D7" s="18" t="s">
        <v>111</v>
      </c>
      <c r="E7" s="29" t="s">
        <v>829</v>
      </c>
      <c r="F7" s="18" t="s">
        <v>827</v>
      </c>
    </row>
    <row r="8" spans="1:6" ht="32" customHeight="1">
      <c r="A8" s="18" t="s">
        <v>13</v>
      </c>
      <c r="B8" s="18" t="s">
        <v>824</v>
      </c>
      <c r="C8" s="18" t="s">
        <v>830</v>
      </c>
      <c r="D8" s="18" t="s">
        <v>82</v>
      </c>
      <c r="E8" s="29" t="s">
        <v>831</v>
      </c>
      <c r="F8" s="18" t="s">
        <v>832</v>
      </c>
    </row>
    <row r="9" spans="1:6" ht="32" customHeight="1">
      <c r="A9" s="18" t="s">
        <v>13</v>
      </c>
      <c r="B9" s="18" t="s">
        <v>824</v>
      </c>
      <c r="C9" s="18" t="s">
        <v>833</v>
      </c>
      <c r="D9" s="18" t="s">
        <v>82</v>
      </c>
      <c r="E9" s="29" t="s">
        <v>834</v>
      </c>
      <c r="F9" s="18" t="s">
        <v>835</v>
      </c>
    </row>
    <row r="10" spans="1:6" ht="32" customHeight="1">
      <c r="A10" s="18" t="s">
        <v>13</v>
      </c>
      <c r="B10" s="18" t="s">
        <v>824</v>
      </c>
      <c r="C10" s="18" t="s">
        <v>836</v>
      </c>
      <c r="D10" s="18" t="s">
        <v>91</v>
      </c>
      <c r="E10" s="29" t="s">
        <v>837</v>
      </c>
      <c r="F10" s="18" t="s">
        <v>838</v>
      </c>
    </row>
    <row r="11" spans="1:6" ht="32" customHeight="1">
      <c r="A11" s="18" t="s">
        <v>13</v>
      </c>
      <c r="B11" s="18" t="s">
        <v>824</v>
      </c>
      <c r="C11" s="18" t="s">
        <v>836</v>
      </c>
      <c r="D11" s="18" t="s">
        <v>99</v>
      </c>
      <c r="E11" s="29" t="s">
        <v>837</v>
      </c>
      <c r="F11" s="18" t="s">
        <v>839</v>
      </c>
    </row>
    <row r="12" spans="1:6" ht="32" customHeight="1">
      <c r="A12" s="18" t="s">
        <v>13</v>
      </c>
      <c r="B12" s="18" t="s">
        <v>824</v>
      </c>
      <c r="C12" s="18" t="s">
        <v>836</v>
      </c>
      <c r="D12" s="18" t="s">
        <v>105</v>
      </c>
      <c r="E12" s="29" t="s">
        <v>837</v>
      </c>
      <c r="F12" s="18" t="s">
        <v>840</v>
      </c>
    </row>
    <row r="13" spans="1:6" ht="19" customHeight="1">
      <c r="A13" s="18" t="s">
        <v>13</v>
      </c>
      <c r="B13" s="18" t="s">
        <v>824</v>
      </c>
      <c r="C13" s="18" t="s">
        <v>841</v>
      </c>
      <c r="D13" s="18" t="s">
        <v>359</v>
      </c>
      <c r="E13" s="29" t="s">
        <v>842</v>
      </c>
      <c r="F13" s="18" t="s">
        <v>843</v>
      </c>
    </row>
    <row r="14" spans="1:6" ht="32" customHeight="1">
      <c r="A14" s="18" t="s">
        <v>13</v>
      </c>
      <c r="B14" s="18" t="s">
        <v>824</v>
      </c>
      <c r="C14" s="18" t="s">
        <v>844</v>
      </c>
      <c r="D14" s="18" t="s">
        <v>233</v>
      </c>
      <c r="E14" s="29" t="s">
        <v>845</v>
      </c>
      <c r="F14" s="18" t="s">
        <v>846</v>
      </c>
    </row>
    <row r="15" spans="1:6" ht="32" customHeight="1">
      <c r="A15" s="18" t="s">
        <v>13</v>
      </c>
      <c r="B15" s="18" t="s">
        <v>824</v>
      </c>
      <c r="C15" s="18" t="s">
        <v>830</v>
      </c>
      <c r="D15" s="18" t="s">
        <v>111</v>
      </c>
      <c r="E15" s="29" t="s">
        <v>831</v>
      </c>
      <c r="F15" s="18" t="s">
        <v>847</v>
      </c>
    </row>
    <row r="16" spans="1:6" ht="32" customHeight="1">
      <c r="A16" s="18" t="s">
        <v>13</v>
      </c>
      <c r="B16" s="18" t="s">
        <v>824</v>
      </c>
      <c r="C16" s="18" t="s">
        <v>848</v>
      </c>
      <c r="D16" s="18" t="s">
        <v>82</v>
      </c>
      <c r="E16" s="29" t="s">
        <v>849</v>
      </c>
      <c r="F16" s="18" t="s">
        <v>850</v>
      </c>
    </row>
    <row r="17" spans="1:6" ht="19" customHeight="1">
      <c r="A17" s="18" t="s">
        <v>13</v>
      </c>
      <c r="B17" s="18" t="s">
        <v>824</v>
      </c>
      <c r="C17" s="18" t="s">
        <v>848</v>
      </c>
      <c r="D17" s="18" t="s">
        <v>86</v>
      </c>
      <c r="E17" s="29" t="s">
        <v>851</v>
      </c>
      <c r="F17" s="18" t="s">
        <v>852</v>
      </c>
    </row>
    <row r="18" spans="1:6" ht="32" customHeight="1">
      <c r="A18" s="18" t="s">
        <v>13</v>
      </c>
      <c r="B18" s="18" t="s">
        <v>824</v>
      </c>
      <c r="C18" s="18" t="s">
        <v>853</v>
      </c>
      <c r="D18" s="18" t="s">
        <v>111</v>
      </c>
      <c r="E18" s="29" t="s">
        <v>854</v>
      </c>
      <c r="F18" s="18" t="s">
        <v>855</v>
      </c>
    </row>
    <row r="19" spans="1:6" ht="32" customHeight="1">
      <c r="A19" s="18" t="s">
        <v>27</v>
      </c>
      <c r="B19" s="18" t="s">
        <v>824</v>
      </c>
      <c r="C19" s="18" t="s">
        <v>830</v>
      </c>
      <c r="D19" s="18" t="s">
        <v>82</v>
      </c>
      <c r="E19" s="29" t="s">
        <v>831</v>
      </c>
      <c r="F19" s="18" t="s">
        <v>856</v>
      </c>
    </row>
    <row r="20" spans="1:6" ht="32" customHeight="1">
      <c r="A20" s="18" t="s">
        <v>27</v>
      </c>
      <c r="B20" s="18" t="s">
        <v>824</v>
      </c>
      <c r="C20" s="18" t="s">
        <v>836</v>
      </c>
      <c r="D20" s="18" t="s">
        <v>91</v>
      </c>
      <c r="E20" s="29" t="s">
        <v>837</v>
      </c>
      <c r="F20" s="18" t="s">
        <v>857</v>
      </c>
    </row>
    <row r="21" spans="1:6" ht="32" customHeight="1">
      <c r="A21" s="18" t="s">
        <v>27</v>
      </c>
      <c r="B21" s="18" t="s">
        <v>824</v>
      </c>
      <c r="C21" s="18" t="s">
        <v>836</v>
      </c>
      <c r="D21" s="18" t="s">
        <v>99</v>
      </c>
      <c r="E21" s="29" t="s">
        <v>837</v>
      </c>
      <c r="F21" s="18" t="s">
        <v>858</v>
      </c>
    </row>
    <row r="22" spans="1:6" ht="32" customHeight="1">
      <c r="A22" s="18" t="s">
        <v>27</v>
      </c>
      <c r="B22" s="18" t="s">
        <v>824</v>
      </c>
      <c r="C22" s="18" t="s">
        <v>836</v>
      </c>
      <c r="D22" s="18" t="s">
        <v>105</v>
      </c>
      <c r="E22" s="29" t="s">
        <v>837</v>
      </c>
      <c r="F22" s="18" t="s">
        <v>859</v>
      </c>
    </row>
    <row r="23" spans="1:6" ht="32" customHeight="1">
      <c r="A23" s="18" t="s">
        <v>27</v>
      </c>
      <c r="B23" s="18" t="s">
        <v>824</v>
      </c>
      <c r="C23" s="18" t="s">
        <v>830</v>
      </c>
      <c r="D23" s="18" t="s">
        <v>111</v>
      </c>
      <c r="E23" s="29" t="s">
        <v>831</v>
      </c>
      <c r="F23" s="18" t="s">
        <v>860</v>
      </c>
    </row>
    <row r="24" spans="1:6" ht="32" customHeight="1">
      <c r="A24" s="18" t="s">
        <v>27</v>
      </c>
      <c r="B24" s="18" t="s">
        <v>824</v>
      </c>
      <c r="C24" s="18" t="s">
        <v>844</v>
      </c>
      <c r="D24" s="18" t="s">
        <v>233</v>
      </c>
      <c r="E24" s="29" t="s">
        <v>845</v>
      </c>
      <c r="F24" s="18" t="s">
        <v>861</v>
      </c>
    </row>
    <row r="25" spans="1:6" ht="19" customHeight="1">
      <c r="A25" s="18" t="s">
        <v>27</v>
      </c>
      <c r="B25" s="18" t="s">
        <v>824</v>
      </c>
      <c r="C25" s="18" t="s">
        <v>862</v>
      </c>
      <c r="D25" s="18" t="s">
        <v>359</v>
      </c>
      <c r="E25" s="29" t="s">
        <v>863</v>
      </c>
      <c r="F25" s="18" t="s">
        <v>864</v>
      </c>
    </row>
    <row r="26" spans="1:6" ht="32" customHeight="1">
      <c r="A26" s="18" t="s">
        <v>27</v>
      </c>
      <c r="B26" s="18" t="s">
        <v>824</v>
      </c>
      <c r="C26" s="18" t="s">
        <v>865</v>
      </c>
      <c r="D26" s="18" t="s">
        <v>86</v>
      </c>
      <c r="E26" s="29" t="s">
        <v>866</v>
      </c>
      <c r="F26" s="18" t="s">
        <v>867</v>
      </c>
    </row>
    <row r="27" spans="1:6" ht="32" customHeight="1">
      <c r="A27" s="18" t="s">
        <v>27</v>
      </c>
      <c r="B27" s="18" t="s">
        <v>824</v>
      </c>
      <c r="C27" s="18" t="s">
        <v>868</v>
      </c>
      <c r="D27" s="18" t="s">
        <v>67</v>
      </c>
      <c r="E27" s="29" t="s">
        <v>869</v>
      </c>
      <c r="F27" s="18" t="s">
        <v>867</v>
      </c>
    </row>
    <row r="28" spans="1:6" ht="32" customHeight="1">
      <c r="A28" s="18" t="s">
        <v>27</v>
      </c>
      <c r="B28" s="18" t="s">
        <v>824</v>
      </c>
      <c r="C28" s="18" t="s">
        <v>853</v>
      </c>
      <c r="D28" s="18" t="s">
        <v>48</v>
      </c>
      <c r="E28" s="29" t="s">
        <v>870</v>
      </c>
      <c r="F28" s="18" t="s">
        <v>871</v>
      </c>
    </row>
    <row r="29" spans="1:6" ht="32" customHeight="1">
      <c r="A29" s="18" t="s">
        <v>27</v>
      </c>
      <c r="B29" s="18" t="s">
        <v>824</v>
      </c>
      <c r="C29" s="18" t="s">
        <v>853</v>
      </c>
      <c r="D29" s="18" t="s">
        <v>57</v>
      </c>
      <c r="E29" s="29" t="s">
        <v>872</v>
      </c>
      <c r="F29" s="18" t="s">
        <v>873</v>
      </c>
    </row>
    <row r="30" spans="1:6" ht="32" customHeight="1">
      <c r="A30" s="18" t="s">
        <v>27</v>
      </c>
      <c r="B30" s="18" t="s">
        <v>824</v>
      </c>
      <c r="C30" s="18" t="s">
        <v>853</v>
      </c>
      <c r="D30" s="18" t="s">
        <v>62</v>
      </c>
      <c r="E30" s="29" t="s">
        <v>874</v>
      </c>
      <c r="F30" s="18" t="s">
        <v>875</v>
      </c>
    </row>
    <row r="31" spans="1:6" ht="32" customHeight="1">
      <c r="A31" s="18" t="s">
        <v>27</v>
      </c>
      <c r="B31" s="18" t="s">
        <v>824</v>
      </c>
      <c r="C31" s="18" t="s">
        <v>853</v>
      </c>
      <c r="D31" s="18" t="s">
        <v>77</v>
      </c>
      <c r="E31" s="29" t="s">
        <v>876</v>
      </c>
      <c r="F31" s="18" t="s">
        <v>877</v>
      </c>
    </row>
    <row r="32" spans="1:6" ht="19" customHeight="1">
      <c r="A32" s="18" t="s">
        <v>27</v>
      </c>
      <c r="B32" s="18" t="s">
        <v>824</v>
      </c>
      <c r="C32" s="18" t="s">
        <v>848</v>
      </c>
      <c r="D32" s="18" t="s">
        <v>82</v>
      </c>
      <c r="E32" s="29" t="s">
        <v>878</v>
      </c>
      <c r="F32" s="18" t="s">
        <v>879</v>
      </c>
    </row>
    <row r="33" spans="1:6" ht="32" customHeight="1">
      <c r="A33" s="18" t="s">
        <v>27</v>
      </c>
      <c r="B33" s="18" t="s">
        <v>824</v>
      </c>
      <c r="C33" s="18" t="s">
        <v>853</v>
      </c>
      <c r="D33" s="18" t="s">
        <v>111</v>
      </c>
      <c r="E33" s="29" t="s">
        <v>880</v>
      </c>
      <c r="F33" s="18" t="s">
        <v>881</v>
      </c>
    </row>
    <row r="34" spans="1:6" ht="19" customHeight="1">
      <c r="A34" s="18" t="s">
        <v>27</v>
      </c>
      <c r="B34" s="18" t="s">
        <v>824</v>
      </c>
      <c r="C34" s="18" t="s">
        <v>848</v>
      </c>
      <c r="D34" s="18" t="s">
        <v>67</v>
      </c>
      <c r="E34" s="29" t="s">
        <v>882</v>
      </c>
      <c r="F34" s="18" t="s">
        <v>883</v>
      </c>
    </row>
    <row r="35" spans="1:6" ht="32" customHeight="1">
      <c r="A35" s="18" t="s">
        <v>27</v>
      </c>
      <c r="B35" s="18" t="s">
        <v>824</v>
      </c>
      <c r="C35" s="18" t="s">
        <v>853</v>
      </c>
      <c r="D35" s="18" t="s">
        <v>67</v>
      </c>
      <c r="E35" s="29" t="s">
        <v>884</v>
      </c>
      <c r="F35" s="18" t="s">
        <v>883</v>
      </c>
    </row>
    <row r="36" spans="1:6" ht="32" customHeight="1">
      <c r="A36" s="18" t="s">
        <v>27</v>
      </c>
      <c r="B36" s="18" t="s">
        <v>824</v>
      </c>
      <c r="C36" s="18" t="s">
        <v>885</v>
      </c>
      <c r="D36" s="18" t="s">
        <v>57</v>
      </c>
      <c r="E36" s="29" t="s">
        <v>886</v>
      </c>
      <c r="F36" s="18" t="s">
        <v>887</v>
      </c>
    </row>
    <row r="37" spans="1:6" ht="32" customHeight="1">
      <c r="A37" s="18" t="s">
        <v>27</v>
      </c>
      <c r="B37" s="18" t="s">
        <v>824</v>
      </c>
      <c r="C37" s="18" t="s">
        <v>885</v>
      </c>
      <c r="D37" s="18" t="s">
        <v>62</v>
      </c>
      <c r="E37" s="29" t="s">
        <v>886</v>
      </c>
      <c r="F37" s="18" t="s">
        <v>888</v>
      </c>
    </row>
    <row r="38" spans="1:6" ht="32" customHeight="1">
      <c r="A38" s="18" t="s">
        <v>27</v>
      </c>
      <c r="B38" s="18" t="s">
        <v>824</v>
      </c>
      <c r="C38" s="18" t="s">
        <v>885</v>
      </c>
      <c r="D38" s="18" t="s">
        <v>77</v>
      </c>
      <c r="E38" s="29" t="s">
        <v>886</v>
      </c>
      <c r="F38" s="18" t="s">
        <v>889</v>
      </c>
    </row>
    <row r="39" spans="1:6" ht="32" customHeight="1">
      <c r="A39" s="18" t="s">
        <v>27</v>
      </c>
      <c r="B39" s="18" t="s">
        <v>824</v>
      </c>
      <c r="C39" s="18" t="s">
        <v>885</v>
      </c>
      <c r="D39" s="18" t="s">
        <v>82</v>
      </c>
      <c r="E39" s="29" t="s">
        <v>886</v>
      </c>
      <c r="F39" s="18" t="s">
        <v>856</v>
      </c>
    </row>
    <row r="40" spans="1:6" ht="32" customHeight="1">
      <c r="A40" s="18" t="s">
        <v>27</v>
      </c>
      <c r="B40" s="18" t="s">
        <v>824</v>
      </c>
      <c r="C40" s="18" t="s">
        <v>885</v>
      </c>
      <c r="D40" s="18" t="s">
        <v>91</v>
      </c>
      <c r="E40" s="29" t="s">
        <v>890</v>
      </c>
      <c r="F40" s="18" t="s">
        <v>857</v>
      </c>
    </row>
    <row r="41" spans="1:6" ht="32" customHeight="1">
      <c r="A41" s="18" t="s">
        <v>27</v>
      </c>
      <c r="B41" s="18" t="s">
        <v>824</v>
      </c>
      <c r="C41" s="18" t="s">
        <v>885</v>
      </c>
      <c r="D41" s="18" t="s">
        <v>99</v>
      </c>
      <c r="E41" s="29" t="s">
        <v>886</v>
      </c>
      <c r="F41" s="18" t="s">
        <v>858</v>
      </c>
    </row>
    <row r="42" spans="1:6" ht="32" customHeight="1">
      <c r="A42" s="18" t="s">
        <v>27</v>
      </c>
      <c r="B42" s="18" t="s">
        <v>824</v>
      </c>
      <c r="C42" s="18" t="s">
        <v>885</v>
      </c>
      <c r="D42" s="18" t="s">
        <v>105</v>
      </c>
      <c r="E42" s="29" t="s">
        <v>886</v>
      </c>
      <c r="F42" s="18" t="s">
        <v>859</v>
      </c>
    </row>
    <row r="43" spans="1:6" ht="32" customHeight="1">
      <c r="A43" s="18" t="s">
        <v>27</v>
      </c>
      <c r="B43" s="18" t="s">
        <v>824</v>
      </c>
      <c r="C43" s="18" t="s">
        <v>885</v>
      </c>
      <c r="D43" s="18" t="s">
        <v>111</v>
      </c>
      <c r="E43" s="29" t="s">
        <v>886</v>
      </c>
      <c r="F43" s="18" t="s">
        <v>860</v>
      </c>
    </row>
    <row r="44" spans="1:6" ht="32" customHeight="1">
      <c r="A44" s="18" t="s">
        <v>27</v>
      </c>
      <c r="B44" s="18" t="s">
        <v>824</v>
      </c>
      <c r="C44" s="18" t="s">
        <v>885</v>
      </c>
      <c r="D44" s="18" t="s">
        <v>233</v>
      </c>
      <c r="E44" s="29" t="s">
        <v>886</v>
      </c>
      <c r="F44" s="18"/>
    </row>
    <row r="45" spans="1:6" ht="32" customHeight="1">
      <c r="A45" s="18" t="s">
        <v>27</v>
      </c>
      <c r="B45" s="18" t="s">
        <v>824</v>
      </c>
      <c r="C45" s="18" t="s">
        <v>885</v>
      </c>
      <c r="D45" s="18" t="s">
        <v>86</v>
      </c>
      <c r="E45" s="29" t="s">
        <v>886</v>
      </c>
      <c r="F45" s="18" t="s">
        <v>891</v>
      </c>
    </row>
    <row r="46" spans="1:6" ht="32" customHeight="1">
      <c r="A46" s="18" t="s">
        <v>27</v>
      </c>
      <c r="B46" s="18" t="s">
        <v>824</v>
      </c>
      <c r="C46" s="18" t="s">
        <v>885</v>
      </c>
      <c r="D46" s="18" t="s">
        <v>67</v>
      </c>
      <c r="E46" s="29" t="s">
        <v>886</v>
      </c>
      <c r="F46" s="18" t="s">
        <v>892</v>
      </c>
    </row>
    <row r="50" spans="1:3" ht="19" customHeight="1">
      <c r="A50" s="30" t="s">
        <v>893</v>
      </c>
    </row>
    <row r="51" spans="1:3" ht="19" customHeight="1">
      <c r="A51" s="18" t="s">
        <v>9</v>
      </c>
      <c r="B51" s="18" t="s">
        <v>894</v>
      </c>
      <c r="C51" s="18" t="s">
        <v>895</v>
      </c>
    </row>
    <row r="52" spans="1:3" ht="19" customHeight="1">
      <c r="A52" s="18" t="s">
        <v>13</v>
      </c>
      <c r="B52" s="18" t="s">
        <v>894</v>
      </c>
      <c r="C52" s="18" t="s">
        <v>895</v>
      </c>
    </row>
    <row r="53" spans="1:3" ht="19" customHeight="1">
      <c r="A53" s="18" t="s">
        <v>13</v>
      </c>
      <c r="B53" s="18" t="s">
        <v>896</v>
      </c>
      <c r="C53" s="18" t="s">
        <v>897</v>
      </c>
    </row>
    <row r="54" spans="1:3" ht="19" customHeight="1">
      <c r="A54" s="18" t="s">
        <v>13</v>
      </c>
      <c r="B54" s="18" t="s">
        <v>898</v>
      </c>
      <c r="C54" s="18" t="s">
        <v>899</v>
      </c>
    </row>
    <row r="55" spans="1:3" ht="19" customHeight="1">
      <c r="A55" s="18" t="s">
        <v>13</v>
      </c>
      <c r="B55" s="18" t="s">
        <v>900</v>
      </c>
      <c r="C55" s="18" t="s">
        <v>901</v>
      </c>
    </row>
    <row r="56" spans="1:3" ht="19" customHeight="1">
      <c r="A56" s="18" t="s">
        <v>13</v>
      </c>
      <c r="B56" s="18" t="s">
        <v>902</v>
      </c>
      <c r="C56" s="18" t="s">
        <v>903</v>
      </c>
    </row>
    <row r="57" spans="1:3" ht="19" customHeight="1">
      <c r="A57" s="18" t="s">
        <v>13</v>
      </c>
      <c r="B57" s="18" t="s">
        <v>835</v>
      </c>
      <c r="C57" s="18" t="s">
        <v>904</v>
      </c>
    </row>
    <row r="58" spans="1:3" ht="19" customHeight="1">
      <c r="A58" s="18" t="s">
        <v>27</v>
      </c>
      <c r="B58" s="18" t="s">
        <v>894</v>
      </c>
      <c r="C58" s="18" t="s">
        <v>895</v>
      </c>
    </row>
    <row r="59" spans="1:3" ht="19" customHeight="1">
      <c r="A59" s="18" t="s">
        <v>27</v>
      </c>
      <c r="B59" s="18" t="s">
        <v>905</v>
      </c>
      <c r="C59" s="18" t="s">
        <v>906</v>
      </c>
    </row>
    <row r="60" spans="1:3" ht="19" customHeight="1">
      <c r="A60" s="18" t="s">
        <v>27</v>
      </c>
      <c r="B60" s="18" t="s">
        <v>907</v>
      </c>
      <c r="C60" s="18" t="s">
        <v>908</v>
      </c>
    </row>
    <row r="61" spans="1:3" ht="19" customHeight="1">
      <c r="A61" s="18" t="s">
        <v>27</v>
      </c>
      <c r="B61" s="18" t="s">
        <v>909</v>
      </c>
      <c r="C61" s="18" t="s">
        <v>910</v>
      </c>
    </row>
    <row r="62" spans="1:3" ht="19" customHeight="1">
      <c r="A62" s="18" t="s">
        <v>27</v>
      </c>
      <c r="B62" s="18" t="s">
        <v>911</v>
      </c>
      <c r="C62" s="18" t="s">
        <v>912</v>
      </c>
    </row>
    <row r="63" spans="1:3" ht="19" customHeight="1">
      <c r="A63" s="18" t="s">
        <v>27</v>
      </c>
      <c r="B63" s="18" t="s">
        <v>913</v>
      </c>
      <c r="C63" s="18" t="s">
        <v>914</v>
      </c>
    </row>
    <row r="64" spans="1:3" ht="19" customHeight="1">
      <c r="A64" s="18" t="s">
        <v>27</v>
      </c>
      <c r="B64" s="18" t="s">
        <v>867</v>
      </c>
      <c r="C64" s="18" t="s">
        <v>915</v>
      </c>
    </row>
  </sheetData>
  <conditionalFormatting sqref="A6:F46">
    <cfRule type="containsText" dxfId="0" priority="1" operator="containsText" text="n.d.">
      <formula>NOT(ISERROR(SEARCH("n.d.",A6)))</formula>
    </cfRule>
  </conditionalFormatting>
  <conditionalFormatting sqref="B6:B46">
    <cfRule type="containsText" dxfId="1" priority="2" operator="containsText" text="warning">
      <formula>NOT(ISERROR(SEARCH("warning",B6)))</formula>
    </cfRule>
  </conditionalFormatting>
  <pageMargins left="0.3" right="0.3" top="0.4" bottom="0.4" header="0.3" footer="0.3"/>
  <pageSetup paperSize="9" fitToHeight="0" orientation="landscape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A4AAB0"/>
    <pageSetUpPr fitToPage="1"/>
  </sheetPr>
  <dimension ref="A2:AB22"/>
  <sheetViews>
    <sheetView showGridLines="0" workbookViewId="0"/>
  </sheetViews>
  <sheetFormatPr defaultRowHeight="19" customHeight="1"/>
  <cols>
    <col min="1" max="1" width="3.7109375" customWidth="1"/>
    <col min="2" max="2" width="35.7109375" customWidth="1"/>
    <col min="3" max="3" width="112.7109375" customWidth="1"/>
    <col min="4" max="28" width="18.7109375" style="18" customWidth="1"/>
  </cols>
  <sheetData>
    <row r="2" spans="2:3" ht="19" customHeight="1">
      <c r="B2" s="19" t="s">
        <v>916</v>
      </c>
    </row>
    <row r="4" spans="2:3" ht="19" customHeight="1">
      <c r="C4" s="18" t="s">
        <v>2934</v>
      </c>
    </row>
    <row r="5" spans="2:3" ht="34" customHeight="1">
      <c r="B5" s="30" t="s">
        <v>917</v>
      </c>
      <c r="C5" s="18" t="s">
        <v>3226</v>
      </c>
    </row>
    <row r="6" spans="2:3" ht="34" customHeight="1">
      <c r="B6" s="30" t="s">
        <v>919</v>
      </c>
      <c r="C6" s="18" t="s">
        <v>3227</v>
      </c>
    </row>
    <row r="7" spans="2:3" ht="34" customHeight="1">
      <c r="B7" s="30" t="s">
        <v>921</v>
      </c>
      <c r="C7" s="18" t="s">
        <v>2935</v>
      </c>
    </row>
    <row r="8" spans="2:3" ht="34" customHeight="1">
      <c r="B8" s="30" t="s">
        <v>923</v>
      </c>
      <c r="C8" s="31" t="s">
        <v>924</v>
      </c>
    </row>
    <row r="9" spans="2:3" ht="34" customHeight="1">
      <c r="B9" s="30" t="s">
        <v>925</v>
      </c>
      <c r="C9" s="18" t="s">
        <v>2936</v>
      </c>
    </row>
    <row r="10" spans="2:3" ht="34" customHeight="1">
      <c r="B10" s="30" t="s">
        <v>927</v>
      </c>
      <c r="C10" s="31" t="s">
        <v>928</v>
      </c>
    </row>
    <row r="11" spans="2:3" ht="34" customHeight="1">
      <c r="B11" s="30" t="s">
        <v>929</v>
      </c>
      <c r="C11" s="31" t="s">
        <v>930</v>
      </c>
    </row>
    <row r="12" spans="2:3" ht="34" customHeight="1">
      <c r="B12" s="30" t="s">
        <v>931</v>
      </c>
      <c r="C12" s="31" t="s">
        <v>932</v>
      </c>
    </row>
    <row r="13" spans="2:3" ht="34" customHeight="1">
      <c r="B13" s="30" t="s">
        <v>933</v>
      </c>
      <c r="C13" s="31" t="s">
        <v>934</v>
      </c>
    </row>
    <row r="14" spans="2:3" ht="34" customHeight="1">
      <c r="B14" s="30" t="s">
        <v>935</v>
      </c>
      <c r="C14" s="31" t="s">
        <v>936</v>
      </c>
    </row>
    <row r="15" spans="2:3" ht="34" customHeight="1">
      <c r="B15" s="30" t="s">
        <v>937</v>
      </c>
      <c r="C15" s="31" t="s">
        <v>938</v>
      </c>
    </row>
    <row r="16" spans="2:3" ht="34" customHeight="1">
      <c r="B16" s="30" t="s">
        <v>939</v>
      </c>
      <c r="C16" s="31" t="s">
        <v>940</v>
      </c>
    </row>
    <row r="17" spans="2:3" ht="34" customHeight="1">
      <c r="B17" s="30" t="s">
        <v>941</v>
      </c>
      <c r="C17" s="31" t="s">
        <v>942</v>
      </c>
    </row>
    <row r="18" spans="2:3" ht="34" customHeight="1">
      <c r="B18" s="30" t="s">
        <v>943</v>
      </c>
      <c r="C18" s="31" t="s">
        <v>944</v>
      </c>
    </row>
    <row r="19" spans="2:3" ht="34" customHeight="1">
      <c r="B19" s="30" t="s">
        <v>945</v>
      </c>
      <c r="C19" s="31" t="s">
        <v>946</v>
      </c>
    </row>
    <row r="20" spans="2:3" ht="34" customHeight="1">
      <c r="B20" s="30" t="s">
        <v>947</v>
      </c>
      <c r="C20" s="31" t="s">
        <v>948</v>
      </c>
    </row>
    <row r="21" spans="2:3" ht="34" customHeight="1">
      <c r="B21" s="30" t="s">
        <v>949</v>
      </c>
      <c r="C21" s="31" t="s">
        <v>950</v>
      </c>
    </row>
    <row r="22" spans="2:3" ht="34" customHeight="1">
      <c r="B22" s="30" t="s">
        <v>951</v>
      </c>
      <c r="C22" s="31" t="s">
        <v>952</v>
      </c>
    </row>
  </sheetData>
  <pageMargins left="0.3" right="0.3" top="0.4" bottom="0.4" header="0.3" footer="0.3"/>
  <pageSetup paperSize="9"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307"/>
  <sheetViews>
    <sheetView showGridLines="0" workbookViewId="0"/>
  </sheetViews>
  <sheetFormatPr defaultRowHeight="15"/>
  <cols>
    <col min="1" max="1" width="26.7109375" customWidth="1"/>
    <col min="2" max="17" width="20.7109375" customWidth="1"/>
  </cols>
  <sheetData>
    <row r="1" spans="1:11">
      <c r="A1" s="19" t="s">
        <v>0</v>
      </c>
    </row>
    <row r="5" spans="1:11">
      <c r="A5" s="30" t="s">
        <v>3081</v>
      </c>
    </row>
    <row r="6" spans="1:11" ht="32" customHeight="1">
      <c r="A6" s="32" t="s">
        <v>955</v>
      </c>
      <c r="B6" s="32" t="s">
        <v>3082</v>
      </c>
      <c r="C6" s="32" t="s">
        <v>3083</v>
      </c>
      <c r="D6" s="32" t="s">
        <v>3084</v>
      </c>
      <c r="E6" s="32" t="s">
        <v>3085</v>
      </c>
      <c r="F6" s="32" t="s">
        <v>3086</v>
      </c>
      <c r="G6" s="32" t="s">
        <v>3087</v>
      </c>
      <c r="H6" s="32" t="s">
        <v>3088</v>
      </c>
      <c r="I6" s="32" t="s">
        <v>3089</v>
      </c>
      <c r="J6" s="32" t="s">
        <v>3090</v>
      </c>
      <c r="K6" s="32" t="s">
        <v>3091</v>
      </c>
    </row>
    <row r="7" spans="1:11">
      <c r="A7" t="s">
        <v>58</v>
      </c>
      <c r="B7">
        <v>1787812</v>
      </c>
      <c r="C7">
        <v>1793165</v>
      </c>
      <c r="D7">
        <v>0.00299416269719635</v>
      </c>
      <c r="E7">
        <v>1480318</v>
      </c>
      <c r="F7">
        <v>283623</v>
      </c>
      <c r="G7">
        <v>31090</v>
      </c>
      <c r="H7">
        <v>1478452</v>
      </c>
      <c r="I7">
        <v>-2032</v>
      </c>
      <c r="J7">
        <v>15001</v>
      </c>
      <c r="K7">
        <v>1467349</v>
      </c>
    </row>
    <row r="8" spans="1:11">
      <c r="A8" t="s">
        <v>3092</v>
      </c>
      <c r="B8">
        <v>3485465.29</v>
      </c>
      <c r="C8">
        <v>2793036</v>
      </c>
      <c r="D8">
        <v>-0.1986619381884592</v>
      </c>
      <c r="E8">
        <v>2763362</v>
      </c>
      <c r="F8">
        <v>824535</v>
      </c>
      <c r="G8">
        <v>323497</v>
      </c>
      <c r="H8">
        <v>1645005</v>
      </c>
      <c r="I8">
        <v>816856</v>
      </c>
      <c r="J8">
        <v>304803</v>
      </c>
      <c r="K8">
        <v>1641703</v>
      </c>
    </row>
    <row r="9" spans="1:11">
      <c r="A9" t="s">
        <v>49</v>
      </c>
      <c r="B9">
        <v>136664</v>
      </c>
      <c r="C9">
        <v>147601</v>
      </c>
      <c r="D9">
        <v>0.08002839079786922</v>
      </c>
      <c r="E9">
        <v>106046</v>
      </c>
      <c r="F9">
        <v>41555</v>
      </c>
      <c r="G9">
        <v>1390</v>
      </c>
      <c r="H9">
        <v>104655</v>
      </c>
      <c r="I9">
        <v>0</v>
      </c>
      <c r="J9">
        <v>1390</v>
      </c>
      <c r="K9">
        <v>104655</v>
      </c>
    </row>
    <row r="10" spans="1:11">
      <c r="A10" t="s">
        <v>73</v>
      </c>
      <c r="B10">
        <v>3023244</v>
      </c>
      <c r="C10">
        <v>3434403</v>
      </c>
      <c r="D10">
        <v>0.1359992775971771</v>
      </c>
      <c r="E10">
        <v>1200347</v>
      </c>
      <c r="F10">
        <v>1761215</v>
      </c>
      <c r="G10">
        <v>339318</v>
      </c>
      <c r="H10">
        <v>1333869</v>
      </c>
      <c r="I10">
        <v>0</v>
      </c>
      <c r="J10">
        <v>133081</v>
      </c>
      <c r="K10">
        <v>1067265</v>
      </c>
    </row>
    <row r="11" spans="1:11">
      <c r="A11" t="s">
        <v>78</v>
      </c>
      <c r="B11">
        <v>593413</v>
      </c>
      <c r="C11">
        <v>607594</v>
      </c>
      <c r="D11">
        <v>0.02389735310820626</v>
      </c>
      <c r="E11">
        <v>542133</v>
      </c>
      <c r="F11">
        <v>7991</v>
      </c>
      <c r="G11">
        <v>64102</v>
      </c>
      <c r="H11">
        <v>535499</v>
      </c>
      <c r="I11">
        <v>-9373</v>
      </c>
      <c r="J11">
        <v>47517</v>
      </c>
      <c r="K11">
        <v>503988</v>
      </c>
    </row>
    <row r="12" spans="1:11">
      <c r="A12" t="s">
        <v>63</v>
      </c>
      <c r="B12">
        <v>3317587</v>
      </c>
      <c r="C12">
        <v>2998937</v>
      </c>
      <c r="D12">
        <v>-0.09604872456999621</v>
      </c>
      <c r="E12">
        <v>2898622</v>
      </c>
      <c r="F12">
        <v>69830</v>
      </c>
      <c r="G12">
        <v>267533</v>
      </c>
      <c r="H12">
        <v>2661575</v>
      </c>
      <c r="I12">
        <v>0</v>
      </c>
      <c r="J12">
        <v>237048</v>
      </c>
      <c r="K12">
        <v>2661575</v>
      </c>
    </row>
    <row r="13" spans="1:11">
      <c r="A13" t="s">
        <v>82</v>
      </c>
      <c r="B13">
        <v>2860611.285969594</v>
      </c>
      <c r="C13">
        <v>3483914.102135074</v>
      </c>
      <c r="D13">
        <v>0.2178914762808163</v>
      </c>
      <c r="E13">
        <v>1013743.826452748</v>
      </c>
      <c r="F13">
        <v>1750285.373187655</v>
      </c>
      <c r="G13">
        <v>733237.6044435789</v>
      </c>
      <c r="H13">
        <v>1000391.12450384</v>
      </c>
      <c r="I13">
        <v>381.5392089879964</v>
      </c>
      <c r="J13">
        <v>46840.37491447114</v>
      </c>
      <c r="K13">
        <v>966521.9123292885</v>
      </c>
    </row>
    <row r="14" spans="1:11">
      <c r="A14" t="s">
        <v>112</v>
      </c>
      <c r="B14">
        <v>1918750.925132073</v>
      </c>
      <c r="C14">
        <v>2048298.580429778</v>
      </c>
      <c r="D14">
        <v>0.06751666076136931</v>
      </c>
      <c r="E14">
        <v>1807030.044920961</v>
      </c>
      <c r="F14">
        <v>853771.8989843978</v>
      </c>
      <c r="G14">
        <v>331751.7109314926</v>
      </c>
      <c r="H14">
        <v>862774.9705138876</v>
      </c>
      <c r="I14">
        <v>612503.3634755806</v>
      </c>
      <c r="J14">
        <v>331751.7109314926</v>
      </c>
      <c r="K14">
        <v>862774.9705138876</v>
      </c>
    </row>
    <row r="15" spans="1:11">
      <c r="A15" t="s">
        <v>234</v>
      </c>
      <c r="B15">
        <v>3814713.483487767</v>
      </c>
      <c r="C15">
        <v>3775169.595644208</v>
      </c>
      <c r="D15">
        <v>-0.01036614886405684</v>
      </c>
      <c r="E15">
        <v>3775169.595644208</v>
      </c>
      <c r="F15">
        <v>3645132.594854578</v>
      </c>
      <c r="G15">
        <v>112194.0044735404</v>
      </c>
      <c r="H15">
        <v>17842.99631608924</v>
      </c>
      <c r="I15">
        <v>3645132.594854578</v>
      </c>
      <c r="J15">
        <v>112194.0044735404</v>
      </c>
      <c r="K15">
        <v>17842.99631608924</v>
      </c>
    </row>
    <row r="16" spans="1:11">
      <c r="A16" t="s">
        <v>92</v>
      </c>
      <c r="B16">
        <v>24384.54452618148</v>
      </c>
      <c r="C16">
        <v>2162.493668118371</v>
      </c>
      <c r="D16">
        <v>-0.9113170366665443</v>
      </c>
      <c r="E16">
        <v>2162.493668118371</v>
      </c>
      <c r="F16">
        <v>0</v>
      </c>
      <c r="G16">
        <v>0</v>
      </c>
      <c r="H16">
        <v>2162.493668118371</v>
      </c>
      <c r="I16">
        <v>0</v>
      </c>
      <c r="J16">
        <v>0</v>
      </c>
      <c r="K16">
        <v>2162.493668118371</v>
      </c>
    </row>
    <row r="17" spans="1:13">
      <c r="A17" t="s">
        <v>100</v>
      </c>
      <c r="B17">
        <v>11211.45896531866</v>
      </c>
      <c r="C17">
        <v>2025.348040871968</v>
      </c>
      <c r="D17">
        <v>-0.8193501802809835</v>
      </c>
      <c r="E17">
        <v>2025.348040871968</v>
      </c>
      <c r="F17">
        <v>0</v>
      </c>
      <c r="G17">
        <v>0</v>
      </c>
      <c r="H17">
        <v>2025.348040871968</v>
      </c>
      <c r="I17">
        <v>0</v>
      </c>
      <c r="J17">
        <v>0</v>
      </c>
      <c r="K17">
        <v>2025.348040871968</v>
      </c>
    </row>
    <row r="18" spans="1:13">
      <c r="A18" t="s">
        <v>106</v>
      </c>
      <c r="B18">
        <v>13809.27091982534</v>
      </c>
      <c r="C18">
        <v>15218.24551504693</v>
      </c>
      <c r="D18">
        <v>0.1020310632908786</v>
      </c>
      <c r="E18">
        <v>15218.24551504693</v>
      </c>
      <c r="F18">
        <v>0</v>
      </c>
      <c r="G18">
        <v>0</v>
      </c>
      <c r="H18">
        <v>15218.24551504693</v>
      </c>
      <c r="I18">
        <v>0</v>
      </c>
      <c r="J18">
        <v>0</v>
      </c>
      <c r="K18">
        <v>15218.24551504693</v>
      </c>
    </row>
    <row r="22" spans="1:13">
      <c r="A22" s="30" t="s">
        <v>3103</v>
      </c>
    </row>
    <row r="23" spans="1:13" ht="32" customHeight="1">
      <c r="A23" s="32" t="s">
        <v>3104</v>
      </c>
      <c r="B23" s="32" t="s">
        <v>58</v>
      </c>
      <c r="C23" s="32" t="s">
        <v>3092</v>
      </c>
      <c r="D23" s="32" t="s">
        <v>49</v>
      </c>
      <c r="E23" s="32" t="s">
        <v>73</v>
      </c>
      <c r="F23" s="32" t="s">
        <v>78</v>
      </c>
      <c r="G23" s="32" t="s">
        <v>63</v>
      </c>
      <c r="H23" s="32" t="s">
        <v>82</v>
      </c>
      <c r="I23" s="32" t="s">
        <v>112</v>
      </c>
      <c r="J23" s="32" t="s">
        <v>234</v>
      </c>
      <c r="K23" s="32" t="s">
        <v>92</v>
      </c>
      <c r="L23" s="32" t="s">
        <v>100</v>
      </c>
      <c r="M23" s="32" t="s">
        <v>106</v>
      </c>
    </row>
    <row r="24" spans="1:13">
      <c r="A24" t="s">
        <v>3105</v>
      </c>
      <c r="B24">
        <v>3475518</v>
      </c>
      <c r="C24">
        <v>781466</v>
      </c>
      <c r="D24">
        <v>105005</v>
      </c>
      <c r="E24">
        <v>1199204</v>
      </c>
      <c r="F24">
        <v>4060466</v>
      </c>
      <c r="G24">
        <v>1825315</v>
      </c>
      <c r="H24">
        <v>120964.3143685993</v>
      </c>
      <c r="I24">
        <v>178090.7815674286</v>
      </c>
      <c r="J24">
        <v>3875.644853762896</v>
      </c>
      <c r="K24">
        <v>15033.97461286948</v>
      </c>
      <c r="L24">
        <v>5652.217652283623</v>
      </c>
      <c r="M24">
        <v>33888.15419430023</v>
      </c>
    </row>
    <row r="25" spans="1:13">
      <c r="A25" t="s">
        <v>3106</v>
      </c>
      <c r="B25">
        <v>3162844</v>
      </c>
      <c r="C25">
        <v>689718</v>
      </c>
      <c r="D25">
        <v>68164</v>
      </c>
      <c r="E25">
        <v>1425617</v>
      </c>
      <c r="F25">
        <v>3650675</v>
      </c>
      <c r="G25">
        <v>678076</v>
      </c>
      <c r="H25">
        <v>170612.3965295802</v>
      </c>
      <c r="I25">
        <v>185044.7869699074</v>
      </c>
      <c r="J25">
        <v>2540.056833129127</v>
      </c>
      <c r="K25">
        <v>22642.80233334403</v>
      </c>
      <c r="L25">
        <v>13480.90061981313</v>
      </c>
      <c r="M25">
        <v>12290.64047286541</v>
      </c>
    </row>
    <row r="26" spans="1:13">
      <c r="A26" t="s">
        <v>3107</v>
      </c>
      <c r="B26">
        <v>4107101</v>
      </c>
      <c r="C26">
        <v>808135</v>
      </c>
      <c r="D26">
        <v>104341</v>
      </c>
      <c r="E26">
        <v>977488</v>
      </c>
      <c r="F26">
        <v>2534318</v>
      </c>
      <c r="G26">
        <v>1738908</v>
      </c>
      <c r="H26">
        <v>93546.15777669192</v>
      </c>
      <c r="I26">
        <v>190318.6093493703</v>
      </c>
      <c r="J26">
        <v>1589.981347668489</v>
      </c>
      <c r="K26">
        <v>11921.1317309383</v>
      </c>
      <c r="L26">
        <v>5095.515172004772</v>
      </c>
      <c r="M26">
        <v>20551.69308575136</v>
      </c>
    </row>
    <row r="27" spans="1:13">
      <c r="A27" t="s">
        <v>3108</v>
      </c>
      <c r="B27">
        <v>3892550</v>
      </c>
      <c r="C27">
        <v>954954</v>
      </c>
      <c r="D27">
        <v>71809</v>
      </c>
      <c r="E27">
        <v>1234017</v>
      </c>
      <c r="F27">
        <v>1649935</v>
      </c>
      <c r="G27">
        <v>1680101</v>
      </c>
      <c r="H27">
        <v>134405.9641085598</v>
      </c>
      <c r="I27">
        <v>228755.4618962338</v>
      </c>
      <c r="J27">
        <v>1700.775729476986</v>
      </c>
      <c r="K27">
        <v>9958.909408676853</v>
      </c>
      <c r="L27">
        <v>3901.609282958005</v>
      </c>
      <c r="M27">
        <v>22068.18308067027</v>
      </c>
    </row>
    <row r="28" spans="1:13">
      <c r="A28" t="s">
        <v>3109</v>
      </c>
      <c r="B28">
        <v>2506521</v>
      </c>
      <c r="C28">
        <v>977254</v>
      </c>
      <c r="D28">
        <v>119870</v>
      </c>
      <c r="E28">
        <v>898183</v>
      </c>
      <c r="F28">
        <v>1234586</v>
      </c>
      <c r="G28">
        <v>1332153</v>
      </c>
      <c r="H28">
        <v>157081.7989985672</v>
      </c>
      <c r="I28">
        <v>220324.5109098912</v>
      </c>
      <c r="J28">
        <v>250.3239217965882</v>
      </c>
      <c r="K28">
        <v>10757.90676515585</v>
      </c>
      <c r="L28">
        <v>3950.379215573521</v>
      </c>
      <c r="M28">
        <v>11056.32782207133</v>
      </c>
    </row>
    <row r="29" spans="1:13">
      <c r="A29" t="s">
        <v>3110</v>
      </c>
      <c r="B29">
        <v>3356886</v>
      </c>
      <c r="C29">
        <v>851993</v>
      </c>
      <c r="D29">
        <v>52704</v>
      </c>
      <c r="E29">
        <v>820358</v>
      </c>
      <c r="F29">
        <v>1001410</v>
      </c>
      <c r="G29">
        <v>1473477</v>
      </c>
      <c r="H29">
        <v>591232.4560283961</v>
      </c>
      <c r="I29">
        <v>233632.7376151798</v>
      </c>
      <c r="J29">
        <v>2609.009600525298</v>
      </c>
      <c r="K29">
        <v>7395.692469960186</v>
      </c>
      <c r="L29">
        <v>4246.528757308892</v>
      </c>
      <c r="M29">
        <v>27392.44469162726</v>
      </c>
    </row>
    <row r="33" spans="1:5">
      <c r="A33" s="30" t="s">
        <v>3111</v>
      </c>
    </row>
    <row r="34" spans="1:5" ht="32" customHeight="1">
      <c r="A34" s="32" t="s">
        <v>955</v>
      </c>
      <c r="B34" s="32" t="s">
        <v>3112</v>
      </c>
      <c r="C34" s="32" t="s">
        <v>3113</v>
      </c>
      <c r="D34" s="32" t="s">
        <v>3114</v>
      </c>
      <c r="E34" s="32" t="s">
        <v>3115</v>
      </c>
    </row>
    <row r="35" spans="1:5">
      <c r="A35" t="s">
        <v>58</v>
      </c>
      <c r="B35">
        <v>0.9894054395951929</v>
      </c>
      <c r="C35">
        <v>0.9539307475107742</v>
      </c>
      <c r="D35">
        <v>0.9931642617902213</v>
      </c>
      <c r="E35">
        <v>0.9859807948052636</v>
      </c>
    </row>
    <row r="36" spans="1:5">
      <c r="A36" t="s">
        <v>3092</v>
      </c>
      <c r="B36">
        <v>0.6015087641446638</v>
      </c>
      <c r="C36">
        <v>0.581422283993514</v>
      </c>
      <c r="D36">
        <v>0.7104560896824842</v>
      </c>
      <c r="E36">
        <v>0.8537773876278687</v>
      </c>
    </row>
    <row r="37" spans="1:5">
      <c r="A37" t="s">
        <v>49</v>
      </c>
      <c r="B37">
        <v>1</v>
      </c>
      <c r="C37">
        <v>1</v>
      </c>
      <c r="D37">
        <v>1</v>
      </c>
      <c r="E37">
        <v>1</v>
      </c>
    </row>
    <row r="38" spans="1:5">
      <c r="A38" t="s">
        <v>73</v>
      </c>
      <c r="B38">
        <v>0.9484958979033729</v>
      </c>
      <c r="C38">
        <v>0.9370393767108866</v>
      </c>
      <c r="D38">
        <v>0.9843784652623619</v>
      </c>
      <c r="E38">
        <v>0.97577393004026</v>
      </c>
    </row>
    <row r="39" spans="1:5">
      <c r="A39" t="s">
        <v>78</v>
      </c>
      <c r="B39">
        <v>0.6078777189888301</v>
      </c>
      <c r="C39">
        <v>0.9398592450415867</v>
      </c>
      <c r="D39">
        <v>0.9911539948773356</v>
      </c>
      <c r="E39">
        <v>0.996970298482982</v>
      </c>
    </row>
    <row r="40" spans="1:5">
      <c r="A40" t="s">
        <v>63</v>
      </c>
      <c r="B40">
        <v>0.9403706688154714</v>
      </c>
      <c r="C40">
        <v>0.965771458662454</v>
      </c>
      <c r="D40">
        <v>0.9777348442295094</v>
      </c>
      <c r="E40">
        <v>0.994128136787349</v>
      </c>
    </row>
    <row r="41" spans="1:5">
      <c r="A41" t="s">
        <v>82</v>
      </c>
      <c r="B41">
        <v>0.3012975256487628</v>
      </c>
      <c r="C41">
        <v>0.6951945080091533</v>
      </c>
      <c r="D41">
        <v>0.6731999072202525</v>
      </c>
      <c r="E41">
        <v>0.793132474166957</v>
      </c>
    </row>
    <row r="42" spans="1:5">
      <c r="A42" t="s">
        <v>112</v>
      </c>
      <c r="B42">
        <v>0.8549981233579382</v>
      </c>
      <c r="C42">
        <v>0.8571001494768311</v>
      </c>
      <c r="D42">
        <v>0.6493430482328113</v>
      </c>
      <c r="E42">
        <v>0.6926903849986122</v>
      </c>
    </row>
    <row r="43" spans="1:5">
      <c r="A43" t="s">
        <v>234</v>
      </c>
    </row>
    <row r="44" spans="1:5">
      <c r="A44" t="s">
        <v>92</v>
      </c>
      <c r="B44">
        <v>1</v>
      </c>
      <c r="C44">
        <v>1</v>
      </c>
      <c r="D44">
        <v>1</v>
      </c>
      <c r="E44">
        <v>0.9999999999999999</v>
      </c>
    </row>
    <row r="45" spans="1:5">
      <c r="A45" t="s">
        <v>100</v>
      </c>
      <c r="B45">
        <v>0.9924812030075187</v>
      </c>
      <c r="C45">
        <v>0.9932432432432432</v>
      </c>
      <c r="D45">
        <v>0.9410164877948007</v>
      </c>
      <c r="E45">
        <v>0.9342711524878822</v>
      </c>
    </row>
    <row r="46" spans="1:5">
      <c r="A46" t="s">
        <v>106</v>
      </c>
      <c r="B46">
        <v>1</v>
      </c>
      <c r="C46">
        <v>1</v>
      </c>
      <c r="D46">
        <v>0.9999999999999999</v>
      </c>
      <c r="E46">
        <v>1.000000000000001</v>
      </c>
    </row>
    <row r="50" spans="1:11">
      <c r="A50" s="30" t="s">
        <v>3123</v>
      </c>
    </row>
    <row r="51" spans="1:11" ht="32" customHeight="1">
      <c r="A51" s="32" t="s">
        <v>955</v>
      </c>
      <c r="B51" s="32" t="s">
        <v>3082</v>
      </c>
      <c r="C51" s="32" t="s">
        <v>3083</v>
      </c>
      <c r="D51" s="32" t="s">
        <v>3084</v>
      </c>
      <c r="E51" s="32" t="s">
        <v>3085</v>
      </c>
      <c r="F51" s="32" t="s">
        <v>3086</v>
      </c>
      <c r="G51" s="32" t="s">
        <v>3087</v>
      </c>
      <c r="H51" s="32" t="s">
        <v>3088</v>
      </c>
      <c r="I51" s="32" t="s">
        <v>3089</v>
      </c>
      <c r="J51" s="32" t="s">
        <v>3090</v>
      </c>
      <c r="K51" s="32" t="s">
        <v>3091</v>
      </c>
    </row>
    <row r="52" spans="1:11">
      <c r="A52" t="s">
        <v>58</v>
      </c>
      <c r="B52">
        <v>1787812</v>
      </c>
      <c r="C52">
        <v>1793165</v>
      </c>
      <c r="D52">
        <v>0.00299416269719635</v>
      </c>
      <c r="E52">
        <v>1480318</v>
      </c>
      <c r="F52">
        <v>283623</v>
      </c>
      <c r="G52">
        <v>31090</v>
      </c>
      <c r="H52">
        <v>1478452</v>
      </c>
      <c r="I52">
        <v>-2032</v>
      </c>
      <c r="J52">
        <v>15001</v>
      </c>
      <c r="K52">
        <v>1467349</v>
      </c>
    </row>
    <row r="53" spans="1:11">
      <c r="A53" t="s">
        <v>3092</v>
      </c>
      <c r="B53">
        <v>3485465.29</v>
      </c>
      <c r="C53">
        <v>2793036</v>
      </c>
      <c r="D53">
        <v>-0.1986619381884592</v>
      </c>
      <c r="E53">
        <v>2763362</v>
      </c>
      <c r="F53">
        <v>824535</v>
      </c>
      <c r="G53">
        <v>323497</v>
      </c>
      <c r="H53">
        <v>1645005</v>
      </c>
      <c r="I53">
        <v>816856</v>
      </c>
      <c r="J53">
        <v>304803</v>
      </c>
      <c r="K53">
        <v>1641703</v>
      </c>
    </row>
    <row r="54" spans="1:11">
      <c r="A54" t="s">
        <v>49</v>
      </c>
      <c r="B54">
        <v>136664</v>
      </c>
      <c r="C54">
        <v>147601</v>
      </c>
      <c r="D54">
        <v>0.08002839079786922</v>
      </c>
      <c r="E54">
        <v>106046</v>
      </c>
      <c r="F54">
        <v>41555</v>
      </c>
      <c r="G54">
        <v>1390</v>
      </c>
      <c r="H54">
        <v>104655</v>
      </c>
      <c r="I54">
        <v>0</v>
      </c>
      <c r="J54">
        <v>1390</v>
      </c>
      <c r="K54">
        <v>104655</v>
      </c>
    </row>
    <row r="55" spans="1:11">
      <c r="A55" t="s">
        <v>73</v>
      </c>
      <c r="B55">
        <v>3023244</v>
      </c>
      <c r="C55">
        <v>3434403</v>
      </c>
      <c r="D55">
        <v>0.1359992775971771</v>
      </c>
      <c r="E55">
        <v>1200347</v>
      </c>
      <c r="F55">
        <v>1761215</v>
      </c>
      <c r="G55">
        <v>339318</v>
      </c>
      <c r="H55">
        <v>1333869</v>
      </c>
      <c r="I55">
        <v>0</v>
      </c>
      <c r="J55">
        <v>133081</v>
      </c>
      <c r="K55">
        <v>1067265</v>
      </c>
    </row>
    <row r="56" spans="1:11">
      <c r="A56" t="s">
        <v>78</v>
      </c>
      <c r="B56">
        <v>593413</v>
      </c>
      <c r="C56">
        <v>607594</v>
      </c>
      <c r="D56">
        <v>0.02389735310820626</v>
      </c>
      <c r="E56">
        <v>542133</v>
      </c>
      <c r="F56">
        <v>7991</v>
      </c>
      <c r="G56">
        <v>64102</v>
      </c>
      <c r="H56">
        <v>535499</v>
      </c>
      <c r="I56">
        <v>-9373</v>
      </c>
      <c r="J56">
        <v>47517</v>
      </c>
      <c r="K56">
        <v>503988</v>
      </c>
    </row>
    <row r="57" spans="1:11">
      <c r="A57" t="s">
        <v>63</v>
      </c>
      <c r="B57">
        <v>3317587</v>
      </c>
      <c r="C57">
        <v>2998937</v>
      </c>
      <c r="D57">
        <v>-0.09604872456999621</v>
      </c>
      <c r="E57">
        <v>2898622</v>
      </c>
      <c r="F57">
        <v>69830</v>
      </c>
      <c r="G57">
        <v>267533</v>
      </c>
      <c r="H57">
        <v>2661575</v>
      </c>
      <c r="I57">
        <v>0</v>
      </c>
      <c r="J57">
        <v>237048</v>
      </c>
      <c r="K57">
        <v>2661575</v>
      </c>
    </row>
    <row r="58" spans="1:11">
      <c r="A58" t="s">
        <v>82</v>
      </c>
      <c r="B58">
        <v>2860611.285969594</v>
      </c>
      <c r="C58">
        <v>3483914.102135074</v>
      </c>
      <c r="D58">
        <v>0.2178914762808163</v>
      </c>
      <c r="E58">
        <v>1013743.826452748</v>
      </c>
      <c r="F58">
        <v>1750285.373187655</v>
      </c>
      <c r="G58">
        <v>733237.6044435789</v>
      </c>
      <c r="H58">
        <v>1000391.12450384</v>
      </c>
      <c r="I58">
        <v>381.5392089879964</v>
      </c>
      <c r="J58">
        <v>46840.37491447114</v>
      </c>
      <c r="K58">
        <v>966521.9123292885</v>
      </c>
    </row>
    <row r="59" spans="1:11">
      <c r="A59" t="s">
        <v>112</v>
      </c>
      <c r="B59">
        <v>1918750.925132073</v>
      </c>
      <c r="C59">
        <v>2048298.580429778</v>
      </c>
      <c r="D59">
        <v>0.06751666076136931</v>
      </c>
      <c r="E59">
        <v>1807030.044920961</v>
      </c>
      <c r="F59">
        <v>853771.8989843978</v>
      </c>
      <c r="G59">
        <v>331751.7109314926</v>
      </c>
      <c r="H59">
        <v>862774.9705138876</v>
      </c>
      <c r="I59">
        <v>612503.3634755806</v>
      </c>
      <c r="J59">
        <v>331751.7109314926</v>
      </c>
      <c r="K59">
        <v>862774.9705138876</v>
      </c>
    </row>
    <row r="63" spans="1:11">
      <c r="A63" s="30" t="s">
        <v>3126</v>
      </c>
    </row>
    <row r="64" spans="1:11" ht="32" customHeight="1">
      <c r="A64" s="32" t="s">
        <v>3104</v>
      </c>
      <c r="B64" s="32" t="s">
        <v>58</v>
      </c>
      <c r="C64" s="32" t="s">
        <v>3092</v>
      </c>
      <c r="D64" s="32" t="s">
        <v>49</v>
      </c>
      <c r="E64" s="32" t="s">
        <v>73</v>
      </c>
      <c r="F64" s="32" t="s">
        <v>78</v>
      </c>
      <c r="G64" s="32" t="s">
        <v>63</v>
      </c>
      <c r="H64" s="32" t="s">
        <v>82</v>
      </c>
      <c r="I64" s="32" t="s">
        <v>112</v>
      </c>
    </row>
    <row r="65" spans="1:9">
      <c r="A65" t="s">
        <v>3105</v>
      </c>
      <c r="B65">
        <v>3475518</v>
      </c>
      <c r="C65">
        <v>781466</v>
      </c>
      <c r="D65">
        <v>105005</v>
      </c>
      <c r="E65">
        <v>1199204</v>
      </c>
      <c r="F65">
        <v>4060466</v>
      </c>
      <c r="G65">
        <v>1825315</v>
      </c>
      <c r="H65">
        <v>120964.3143685993</v>
      </c>
      <c r="I65">
        <v>178090.7815674286</v>
      </c>
    </row>
    <row r="66" spans="1:9">
      <c r="A66" t="s">
        <v>3106</v>
      </c>
      <c r="B66">
        <v>3162844</v>
      </c>
      <c r="C66">
        <v>689718</v>
      </c>
      <c r="D66">
        <v>68164</v>
      </c>
      <c r="E66">
        <v>1425617</v>
      </c>
      <c r="F66">
        <v>3650675</v>
      </c>
      <c r="G66">
        <v>678076</v>
      </c>
      <c r="H66">
        <v>170612.3965295802</v>
      </c>
      <c r="I66">
        <v>185044.7869699074</v>
      </c>
    </row>
    <row r="67" spans="1:9">
      <c r="A67" t="s">
        <v>3107</v>
      </c>
      <c r="B67">
        <v>4107101</v>
      </c>
      <c r="C67">
        <v>808135</v>
      </c>
      <c r="D67">
        <v>104341</v>
      </c>
      <c r="E67">
        <v>977488</v>
      </c>
      <c r="F67">
        <v>2534318</v>
      </c>
      <c r="G67">
        <v>1738908</v>
      </c>
      <c r="H67">
        <v>93546.15777669192</v>
      </c>
      <c r="I67">
        <v>190318.6093493703</v>
      </c>
    </row>
    <row r="68" spans="1:9">
      <c r="A68" t="s">
        <v>3108</v>
      </c>
      <c r="B68">
        <v>3892550</v>
      </c>
      <c r="C68">
        <v>954954</v>
      </c>
      <c r="D68">
        <v>71809</v>
      </c>
      <c r="E68">
        <v>1234017</v>
      </c>
      <c r="F68">
        <v>1649935</v>
      </c>
      <c r="G68">
        <v>1680101</v>
      </c>
      <c r="H68">
        <v>134405.9641085598</v>
      </c>
      <c r="I68">
        <v>228755.4618962338</v>
      </c>
    </row>
    <row r="69" spans="1:9">
      <c r="A69" t="s">
        <v>3109</v>
      </c>
      <c r="B69">
        <v>2506521</v>
      </c>
      <c r="C69">
        <v>977254</v>
      </c>
      <c r="D69">
        <v>119870</v>
      </c>
      <c r="E69">
        <v>898183</v>
      </c>
      <c r="F69">
        <v>1234586</v>
      </c>
      <c r="G69">
        <v>1332153</v>
      </c>
      <c r="H69">
        <v>157081.7989985672</v>
      </c>
      <c r="I69">
        <v>220324.5109098912</v>
      </c>
    </row>
    <row r="70" spans="1:9">
      <c r="A70" t="s">
        <v>3110</v>
      </c>
      <c r="B70">
        <v>3356886</v>
      </c>
      <c r="C70">
        <v>851993</v>
      </c>
      <c r="D70">
        <v>52704</v>
      </c>
      <c r="E70">
        <v>820358</v>
      </c>
      <c r="F70">
        <v>1001410</v>
      </c>
      <c r="G70">
        <v>1473477</v>
      </c>
      <c r="H70">
        <v>591232.4560283961</v>
      </c>
      <c r="I70">
        <v>233632.7376151798</v>
      </c>
    </row>
    <row r="74" spans="1:9">
      <c r="A74" s="30" t="s">
        <v>3127</v>
      </c>
    </row>
    <row r="75" spans="1:9" ht="32" customHeight="1">
      <c r="A75" s="32" t="s">
        <v>955</v>
      </c>
      <c r="B75" s="32" t="s">
        <v>3112</v>
      </c>
      <c r="C75" s="32" t="s">
        <v>3113</v>
      </c>
      <c r="D75" s="32" t="s">
        <v>3114</v>
      </c>
      <c r="E75" s="32" t="s">
        <v>3115</v>
      </c>
    </row>
    <row r="76" spans="1:9">
      <c r="A76" t="s">
        <v>58</v>
      </c>
      <c r="B76">
        <v>0.9894054395951929</v>
      </c>
      <c r="C76">
        <v>0.9539307475107742</v>
      </c>
      <c r="D76">
        <v>0.9931642617902213</v>
      </c>
      <c r="E76">
        <v>0.9859807948052636</v>
      </c>
    </row>
    <row r="77" spans="1:9">
      <c r="A77" t="s">
        <v>3092</v>
      </c>
      <c r="B77">
        <v>0.6015087641446638</v>
      </c>
      <c r="C77">
        <v>0.581422283993514</v>
      </c>
      <c r="D77">
        <v>0.7104560896824842</v>
      </c>
      <c r="E77">
        <v>0.8537773876278687</v>
      </c>
    </row>
    <row r="78" spans="1:9">
      <c r="A78" t="s">
        <v>49</v>
      </c>
      <c r="B78">
        <v>1</v>
      </c>
      <c r="C78">
        <v>1</v>
      </c>
      <c r="D78">
        <v>1</v>
      </c>
      <c r="E78">
        <v>1</v>
      </c>
    </row>
    <row r="79" spans="1:9">
      <c r="A79" t="s">
        <v>73</v>
      </c>
      <c r="B79">
        <v>0.9484958979033729</v>
      </c>
      <c r="C79">
        <v>0.9370393767108866</v>
      </c>
      <c r="D79">
        <v>0.9843784652623619</v>
      </c>
      <c r="E79">
        <v>0.97577393004026</v>
      </c>
    </row>
    <row r="80" spans="1:9">
      <c r="A80" t="s">
        <v>78</v>
      </c>
      <c r="B80">
        <v>0.6078777189888301</v>
      </c>
      <c r="C80">
        <v>0.9398592450415867</v>
      </c>
      <c r="D80">
        <v>0.9911539948773356</v>
      </c>
      <c r="E80">
        <v>0.996970298482982</v>
      </c>
    </row>
    <row r="81" spans="1:11">
      <c r="A81" t="s">
        <v>63</v>
      </c>
      <c r="B81">
        <v>0.9403706688154714</v>
      </c>
      <c r="C81">
        <v>0.965771458662454</v>
      </c>
      <c r="D81">
        <v>0.9777348442295094</v>
      </c>
      <c r="E81">
        <v>0.994128136787349</v>
      </c>
    </row>
    <row r="82" spans="1:11">
      <c r="A82" t="s">
        <v>82</v>
      </c>
      <c r="B82">
        <v>0.3012975256487628</v>
      </c>
      <c r="C82">
        <v>0.6951945080091533</v>
      </c>
      <c r="D82">
        <v>0.6731999072202525</v>
      </c>
      <c r="E82">
        <v>0.793132474166957</v>
      </c>
    </row>
    <row r="83" spans="1:11">
      <c r="A83" t="s">
        <v>112</v>
      </c>
      <c r="B83">
        <v>0.8549981233579382</v>
      </c>
      <c r="C83">
        <v>0.8571001494768311</v>
      </c>
      <c r="D83">
        <v>0.6493430482328113</v>
      </c>
      <c r="E83">
        <v>0.6926903849986122</v>
      </c>
    </row>
    <row r="87" spans="1:11">
      <c r="A87" s="30" t="s">
        <v>3129</v>
      </c>
    </row>
    <row r="88" spans="1:11" ht="32" customHeight="1">
      <c r="A88" s="32" t="s">
        <v>955</v>
      </c>
      <c r="B88" s="32" t="s">
        <v>3082</v>
      </c>
      <c r="C88" s="32" t="s">
        <v>3083</v>
      </c>
      <c r="D88" s="32" t="s">
        <v>3084</v>
      </c>
      <c r="E88" s="32" t="s">
        <v>3085</v>
      </c>
      <c r="F88" s="32" t="s">
        <v>3086</v>
      </c>
      <c r="G88" s="32" t="s">
        <v>3087</v>
      </c>
      <c r="H88" s="32" t="s">
        <v>3088</v>
      </c>
      <c r="I88" s="32" t="s">
        <v>3089</v>
      </c>
      <c r="J88" s="32" t="s">
        <v>3090</v>
      </c>
      <c r="K88" s="32" t="s">
        <v>3091</v>
      </c>
    </row>
    <row r="89" spans="1:11">
      <c r="A89" t="s">
        <v>234</v>
      </c>
      <c r="B89">
        <v>3814713.483487767</v>
      </c>
      <c r="C89">
        <v>3775169.595644208</v>
      </c>
      <c r="D89">
        <v>-0.01036614886405684</v>
      </c>
      <c r="E89">
        <v>3775169.595644208</v>
      </c>
      <c r="F89">
        <v>3645132.594854578</v>
      </c>
      <c r="G89">
        <v>112194.0044735404</v>
      </c>
      <c r="H89">
        <v>17842.99631608924</v>
      </c>
      <c r="I89">
        <v>3645132.594854578</v>
      </c>
      <c r="J89">
        <v>112194.0044735404</v>
      </c>
      <c r="K89">
        <v>17842.99631608924</v>
      </c>
    </row>
    <row r="90" spans="1:11">
      <c r="A90" t="s">
        <v>92</v>
      </c>
      <c r="B90">
        <v>24384.54452618148</v>
      </c>
      <c r="C90">
        <v>2162.493668118371</v>
      </c>
      <c r="D90">
        <v>-0.9113170366665443</v>
      </c>
      <c r="E90">
        <v>2162.493668118371</v>
      </c>
      <c r="F90">
        <v>0</v>
      </c>
      <c r="G90">
        <v>0</v>
      </c>
      <c r="H90">
        <v>2162.493668118371</v>
      </c>
      <c r="I90">
        <v>0</v>
      </c>
      <c r="J90">
        <v>0</v>
      </c>
      <c r="K90">
        <v>2162.493668118371</v>
      </c>
    </row>
    <row r="91" spans="1:11">
      <c r="A91" t="s">
        <v>100</v>
      </c>
      <c r="B91">
        <v>11211.45896531866</v>
      </c>
      <c r="C91">
        <v>2025.348040871968</v>
      </c>
      <c r="D91">
        <v>-0.8193501802809835</v>
      </c>
      <c r="E91">
        <v>2025.348040871968</v>
      </c>
      <c r="F91">
        <v>0</v>
      </c>
      <c r="G91">
        <v>0</v>
      </c>
      <c r="H91">
        <v>2025.348040871968</v>
      </c>
      <c r="I91">
        <v>0</v>
      </c>
      <c r="J91">
        <v>0</v>
      </c>
      <c r="K91">
        <v>2025.348040871968</v>
      </c>
    </row>
    <row r="92" spans="1:11">
      <c r="A92" t="s">
        <v>106</v>
      </c>
      <c r="B92">
        <v>13809.27091982534</v>
      </c>
      <c r="C92">
        <v>15218.24551504693</v>
      </c>
      <c r="D92">
        <v>0.1020310632908786</v>
      </c>
      <c r="E92">
        <v>15218.24551504693</v>
      </c>
      <c r="F92">
        <v>0</v>
      </c>
      <c r="G92">
        <v>0</v>
      </c>
      <c r="H92">
        <v>15218.24551504693</v>
      </c>
      <c r="I92">
        <v>0</v>
      </c>
      <c r="J92">
        <v>0</v>
      </c>
      <c r="K92">
        <v>15218.24551504693</v>
      </c>
    </row>
    <row r="96" spans="1:11">
      <c r="A96" s="30" t="s">
        <v>3140</v>
      </c>
    </row>
    <row r="97" spans="1:7" ht="32" customHeight="1">
      <c r="A97" s="32" t="s">
        <v>3104</v>
      </c>
      <c r="B97" s="32" t="s">
        <v>3141</v>
      </c>
      <c r="C97" s="32" t="s">
        <v>3142</v>
      </c>
      <c r="D97" s="32" t="s">
        <v>3143</v>
      </c>
      <c r="E97" s="32" t="s">
        <v>3144</v>
      </c>
      <c r="F97" s="32" t="s">
        <v>3118</v>
      </c>
      <c r="G97" s="32" t="s">
        <v>3119</v>
      </c>
    </row>
    <row r="98" spans="1:7">
      <c r="A98" t="s">
        <v>3105</v>
      </c>
      <c r="B98">
        <v>1149668</v>
      </c>
      <c r="C98">
        <v>2277102</v>
      </c>
      <c r="D98">
        <v>48724</v>
      </c>
      <c r="E98">
        <v>25</v>
      </c>
      <c r="F98">
        <v>0.9859807948052636</v>
      </c>
      <c r="G98">
        <v>0.9539307475107742</v>
      </c>
    </row>
    <row r="99" spans="1:7">
      <c r="A99" t="s">
        <v>3106</v>
      </c>
      <c r="B99">
        <v>1210913</v>
      </c>
      <c r="C99">
        <v>1866008</v>
      </c>
      <c r="D99">
        <v>85922</v>
      </c>
      <c r="E99">
        <v>0</v>
      </c>
      <c r="F99">
        <v>0.9728339431220762</v>
      </c>
      <c r="G99">
        <v>0.9077380952380952</v>
      </c>
    </row>
    <row r="100" spans="1:7">
      <c r="A100" t="s">
        <v>3107</v>
      </c>
      <c r="B100">
        <v>1273686</v>
      </c>
      <c r="C100">
        <v>2648945</v>
      </c>
      <c r="D100">
        <v>184442</v>
      </c>
      <c r="E100">
        <v>28</v>
      </c>
      <c r="F100">
        <v>0.955091924936835</v>
      </c>
      <c r="G100">
        <v>0.8959353899112935</v>
      </c>
    </row>
    <row r="101" spans="1:7">
      <c r="A101" t="s">
        <v>3108</v>
      </c>
      <c r="B101">
        <v>1237658</v>
      </c>
      <c r="C101">
        <v>2514505</v>
      </c>
      <c r="D101">
        <v>140388</v>
      </c>
      <c r="E101">
        <v>0</v>
      </c>
      <c r="F101">
        <v>0.9639341819629805</v>
      </c>
      <c r="G101">
        <v>0.8451546993578517</v>
      </c>
    </row>
    <row r="102" spans="1:7">
      <c r="A102" t="s">
        <v>3109</v>
      </c>
      <c r="B102">
        <v>918537</v>
      </c>
      <c r="C102">
        <v>1491253</v>
      </c>
      <c r="D102">
        <v>95940</v>
      </c>
      <c r="E102">
        <v>791</v>
      </c>
      <c r="F102">
        <v>0.9617238395369518</v>
      </c>
      <c r="G102">
        <v>0.8814731424895464</v>
      </c>
    </row>
    <row r="103" spans="1:7">
      <c r="A103" t="s">
        <v>3110</v>
      </c>
      <c r="B103">
        <v>1039257</v>
      </c>
      <c r="C103">
        <v>1471093</v>
      </c>
      <c r="D103">
        <v>846536</v>
      </c>
      <c r="E103">
        <v>0</v>
      </c>
      <c r="F103">
        <v>0.7478210460528001</v>
      </c>
      <c r="G103">
        <v>0.5651162790697675</v>
      </c>
    </row>
    <row r="107" spans="1:7">
      <c r="A107" s="30" t="s">
        <v>3153</v>
      </c>
    </row>
    <row r="108" spans="1:7" ht="32" customHeight="1">
      <c r="A108" s="32" t="s">
        <v>3116</v>
      </c>
      <c r="B108" s="32" t="s">
        <v>3154</v>
      </c>
      <c r="C108" s="32" t="s">
        <v>3155</v>
      </c>
      <c r="D108" s="32" t="s">
        <v>3156</v>
      </c>
      <c r="E108" s="32" t="s">
        <v>3157</v>
      </c>
      <c r="F108" s="32" t="s">
        <v>3158</v>
      </c>
      <c r="G108" s="32" t="s">
        <v>3084</v>
      </c>
    </row>
    <row r="109" spans="1:7">
      <c r="A109">
        <v>3416903.333333333</v>
      </c>
      <c r="B109">
        <v>480.4419760029996</v>
      </c>
      <c r="C109">
        <v>0.9859807948052636</v>
      </c>
      <c r="D109">
        <v>0.9539307475107742</v>
      </c>
      <c r="E109">
        <v>1480318</v>
      </c>
      <c r="F109">
        <v>1793165</v>
      </c>
      <c r="G109">
        <v>0.00299416269719635</v>
      </c>
    </row>
    <row r="113" spans="1:7">
      <c r="A113" s="30" t="s">
        <v>3162</v>
      </c>
    </row>
    <row r="114" spans="1:7" ht="32" customHeight="1">
      <c r="A114" s="32" t="s">
        <v>3104</v>
      </c>
      <c r="B114" s="32" t="s">
        <v>3141</v>
      </c>
      <c r="C114" s="32" t="s">
        <v>3142</v>
      </c>
      <c r="D114" s="32" t="s">
        <v>3143</v>
      </c>
      <c r="E114" s="32" t="s">
        <v>3144</v>
      </c>
      <c r="F114" s="32" t="s">
        <v>3118</v>
      </c>
      <c r="G114" s="32" t="s">
        <v>3119</v>
      </c>
    </row>
    <row r="115" spans="1:7">
      <c r="A115" t="s">
        <v>3105</v>
      </c>
      <c r="B115">
        <v>654105</v>
      </c>
      <c r="C115">
        <v>6594</v>
      </c>
      <c r="D115">
        <v>114268</v>
      </c>
      <c r="E115">
        <v>318</v>
      </c>
      <c r="F115">
        <v>0.8526118103512769</v>
      </c>
      <c r="G115">
        <v>0.5740216878830741</v>
      </c>
    </row>
    <row r="116" spans="1:7">
      <c r="A116" t="s">
        <v>3106</v>
      </c>
      <c r="B116">
        <v>514245</v>
      </c>
      <c r="C116">
        <v>9059</v>
      </c>
      <c r="D116">
        <v>153095</v>
      </c>
      <c r="E116">
        <v>119</v>
      </c>
      <c r="F116">
        <v>0.7737011782409016</v>
      </c>
      <c r="G116">
        <v>0.4557501183151917</v>
      </c>
    </row>
    <row r="117" spans="1:7">
      <c r="A117" t="s">
        <v>3107</v>
      </c>
      <c r="B117">
        <v>691271</v>
      </c>
      <c r="C117">
        <v>3</v>
      </c>
      <c r="D117">
        <v>111727</v>
      </c>
      <c r="E117">
        <v>7</v>
      </c>
      <c r="F117">
        <v>0.8608643998565394</v>
      </c>
      <c r="G117">
        <v>0.6845188284518828</v>
      </c>
    </row>
    <row r="118" spans="1:7">
      <c r="A118" t="s">
        <v>3108</v>
      </c>
      <c r="B118">
        <v>748990</v>
      </c>
      <c r="C118">
        <v>0</v>
      </c>
      <c r="D118">
        <v>194579</v>
      </c>
      <c r="E118">
        <v>1</v>
      </c>
      <c r="F118">
        <v>0.7937842449420817</v>
      </c>
      <c r="G118">
        <v>0.6985045827303425</v>
      </c>
    </row>
    <row r="119" spans="1:7">
      <c r="A119" t="s">
        <v>3109</v>
      </c>
      <c r="B119">
        <v>600525</v>
      </c>
      <c r="C119">
        <v>73</v>
      </c>
      <c r="D119">
        <v>369913</v>
      </c>
      <c r="E119">
        <v>0</v>
      </c>
      <c r="F119">
        <v>0.6188467918929222</v>
      </c>
      <c r="G119">
        <v>0.539025077486616</v>
      </c>
    </row>
    <row r="120" spans="1:7">
      <c r="A120" t="s">
        <v>3110</v>
      </c>
      <c r="B120">
        <v>304811</v>
      </c>
      <c r="C120">
        <v>68982</v>
      </c>
      <c r="D120">
        <v>473692</v>
      </c>
      <c r="E120">
        <v>0</v>
      </c>
      <c r="F120">
        <v>0.441061493713753</v>
      </c>
      <c r="G120">
        <v>0.3371544167228591</v>
      </c>
    </row>
    <row r="124" spans="1:7">
      <c r="A124" s="30" t="s">
        <v>3163</v>
      </c>
    </row>
    <row r="125" spans="1:7" ht="32" customHeight="1">
      <c r="A125" s="32" t="s">
        <v>3116</v>
      </c>
      <c r="B125" s="32" t="s">
        <v>3154</v>
      </c>
      <c r="C125" s="32" t="s">
        <v>3155</v>
      </c>
      <c r="D125" s="32" t="s">
        <v>3156</v>
      </c>
      <c r="E125" s="32" t="s">
        <v>3157</v>
      </c>
      <c r="F125" s="32" t="s">
        <v>3158</v>
      </c>
      <c r="G125" s="32" t="s">
        <v>3084</v>
      </c>
    </row>
    <row r="126" spans="1:7">
      <c r="A126">
        <v>836062.6666666666</v>
      </c>
      <c r="B126">
        <v>220.8495201197499</v>
      </c>
      <c r="C126">
        <v>0.8526118103512769</v>
      </c>
      <c r="D126">
        <v>0.5740216878830741</v>
      </c>
      <c r="E126">
        <v>2749252</v>
      </c>
      <c r="F126">
        <v>2778926</v>
      </c>
      <c r="G126">
        <v>-0.1999575065071759</v>
      </c>
    </row>
    <row r="130" spans="1:7">
      <c r="A130" s="30" t="s">
        <v>3165</v>
      </c>
    </row>
    <row r="131" spans="1:7" ht="32" customHeight="1">
      <c r="A131" s="32" t="s">
        <v>3104</v>
      </c>
      <c r="B131" s="32" t="s">
        <v>3141</v>
      </c>
      <c r="C131" s="32" t="s">
        <v>3142</v>
      </c>
      <c r="D131" s="32" t="s">
        <v>3143</v>
      </c>
      <c r="E131" s="32" t="s">
        <v>3144</v>
      </c>
      <c r="F131" s="32" t="s">
        <v>3118</v>
      </c>
      <c r="G131" s="32" t="s">
        <v>3119</v>
      </c>
    </row>
    <row r="132" spans="1:7">
      <c r="A132" t="s">
        <v>3105</v>
      </c>
      <c r="B132">
        <v>6180</v>
      </c>
      <c r="C132">
        <v>0</v>
      </c>
      <c r="D132">
        <v>0</v>
      </c>
      <c r="E132">
        <v>0</v>
      </c>
      <c r="F132">
        <v>1</v>
      </c>
      <c r="G132">
        <v>1</v>
      </c>
    </row>
    <row r="133" spans="1:7">
      <c r="A133" t="s">
        <v>3106</v>
      </c>
      <c r="B133">
        <v>13201</v>
      </c>
      <c r="C133">
        <v>0</v>
      </c>
      <c r="D133">
        <v>0</v>
      </c>
      <c r="E133">
        <v>0</v>
      </c>
      <c r="F133">
        <v>1</v>
      </c>
      <c r="G133">
        <v>1</v>
      </c>
    </row>
    <row r="134" spans="1:7">
      <c r="A134" t="s">
        <v>3107</v>
      </c>
      <c r="B134">
        <v>5127</v>
      </c>
      <c r="C134">
        <v>0</v>
      </c>
      <c r="D134">
        <v>0</v>
      </c>
      <c r="E134">
        <v>0</v>
      </c>
      <c r="F134">
        <v>1</v>
      </c>
      <c r="G134">
        <v>1</v>
      </c>
    </row>
    <row r="135" spans="1:7">
      <c r="A135" t="s">
        <v>3108</v>
      </c>
      <c r="B135">
        <v>11376</v>
      </c>
      <c r="C135">
        <v>0</v>
      </c>
      <c r="D135">
        <v>8</v>
      </c>
      <c r="E135">
        <v>0</v>
      </c>
      <c r="F135">
        <v>0.9992972593113141</v>
      </c>
      <c r="G135">
        <v>0.9595959595959596</v>
      </c>
    </row>
    <row r="136" spans="1:7">
      <c r="A136" t="s">
        <v>3109</v>
      </c>
      <c r="B136">
        <v>5166</v>
      </c>
      <c r="C136">
        <v>27</v>
      </c>
      <c r="D136">
        <v>1552</v>
      </c>
      <c r="E136">
        <v>0</v>
      </c>
      <c r="F136">
        <v>0.7698695136417556</v>
      </c>
      <c r="G136">
        <v>0.6585365853658537</v>
      </c>
    </row>
    <row r="137" spans="1:7">
      <c r="A137" t="s">
        <v>3110</v>
      </c>
      <c r="B137">
        <v>0</v>
      </c>
      <c r="C137">
        <v>0</v>
      </c>
      <c r="D137">
        <v>4508</v>
      </c>
      <c r="E137">
        <v>0</v>
      </c>
      <c r="F137">
        <v>0</v>
      </c>
      <c r="G137">
        <v>0</v>
      </c>
    </row>
    <row r="141" spans="1:7">
      <c r="A141" s="30" t="s">
        <v>3166</v>
      </c>
    </row>
    <row r="142" spans="1:7" ht="32" customHeight="1">
      <c r="A142" s="32" t="s">
        <v>3116</v>
      </c>
      <c r="B142" s="32" t="s">
        <v>3154</v>
      </c>
      <c r="C142" s="32" t="s">
        <v>3155</v>
      </c>
      <c r="D142" s="32" t="s">
        <v>3156</v>
      </c>
      <c r="E142" s="32" t="s">
        <v>3157</v>
      </c>
      <c r="F142" s="32" t="s">
        <v>3158</v>
      </c>
      <c r="G142" s="32" t="s">
        <v>3084</v>
      </c>
    </row>
    <row r="143" spans="1:7">
      <c r="A143">
        <v>7857.333333333333</v>
      </c>
      <c r="B143">
        <v>112.5155131264916</v>
      </c>
      <c r="C143">
        <v>1</v>
      </c>
      <c r="D143">
        <v>1</v>
      </c>
      <c r="E143">
        <v>14110</v>
      </c>
      <c r="F143">
        <v>14110</v>
      </c>
      <c r="G143">
        <v>0.1765892919534155</v>
      </c>
    </row>
    <row r="147" spans="1:7">
      <c r="A147" s="30" t="s">
        <v>3168</v>
      </c>
    </row>
    <row r="148" spans="1:7" ht="32" customHeight="1">
      <c r="A148" s="32" t="s">
        <v>3104</v>
      </c>
      <c r="B148" s="32" t="s">
        <v>3141</v>
      </c>
      <c r="C148" s="32" t="s">
        <v>3143</v>
      </c>
      <c r="D148" s="32" t="s">
        <v>3144</v>
      </c>
      <c r="E148" s="32" t="s">
        <v>3169</v>
      </c>
      <c r="F148" s="32" t="s">
        <v>3118</v>
      </c>
      <c r="G148" s="32" t="s">
        <v>3119</v>
      </c>
    </row>
    <row r="149" spans="1:7">
      <c r="A149" t="s">
        <v>3105</v>
      </c>
      <c r="B149">
        <v>105005</v>
      </c>
      <c r="C149">
        <v>0</v>
      </c>
      <c r="D149">
        <v>0</v>
      </c>
      <c r="E149">
        <v>0</v>
      </c>
      <c r="F149">
        <v>1</v>
      </c>
      <c r="G149">
        <v>1</v>
      </c>
    </row>
    <row r="150" spans="1:7">
      <c r="A150" t="s">
        <v>3106</v>
      </c>
      <c r="B150">
        <v>68044</v>
      </c>
      <c r="C150">
        <v>120</v>
      </c>
      <c r="D150">
        <v>0</v>
      </c>
      <c r="E150">
        <v>0</v>
      </c>
      <c r="F150">
        <v>0.9982395399331025</v>
      </c>
      <c r="G150">
        <v>0.9942528735632183</v>
      </c>
    </row>
    <row r="151" spans="1:7">
      <c r="A151" t="s">
        <v>3107</v>
      </c>
      <c r="B151">
        <v>102512</v>
      </c>
      <c r="C151">
        <v>1829</v>
      </c>
      <c r="D151">
        <v>0</v>
      </c>
      <c r="E151">
        <v>0</v>
      </c>
      <c r="F151">
        <v>0.9824709366404386</v>
      </c>
      <c r="G151">
        <v>0.976303317535545</v>
      </c>
    </row>
    <row r="152" spans="1:7">
      <c r="A152" t="s">
        <v>3108</v>
      </c>
      <c r="B152">
        <v>65509</v>
      </c>
      <c r="C152">
        <v>6300</v>
      </c>
      <c r="D152">
        <v>0</v>
      </c>
      <c r="E152">
        <v>0</v>
      </c>
      <c r="F152">
        <v>0.912267264549012</v>
      </c>
      <c r="G152">
        <v>0.8493975903614458</v>
      </c>
    </row>
    <row r="153" spans="1:7">
      <c r="A153" t="s">
        <v>3109</v>
      </c>
      <c r="B153">
        <v>80053</v>
      </c>
      <c r="C153">
        <v>39817</v>
      </c>
      <c r="D153">
        <v>0</v>
      </c>
      <c r="E153">
        <v>0</v>
      </c>
      <c r="F153">
        <v>0.6678318178026195</v>
      </c>
      <c r="G153">
        <v>0.7361963190184049</v>
      </c>
    </row>
    <row r="154" spans="1:7">
      <c r="A154" t="s">
        <v>3110</v>
      </c>
      <c r="B154">
        <v>0</v>
      </c>
      <c r="C154">
        <v>52704</v>
      </c>
      <c r="D154">
        <v>0</v>
      </c>
      <c r="E154">
        <v>0</v>
      </c>
      <c r="F154">
        <v>0</v>
      </c>
      <c r="G154">
        <v>0</v>
      </c>
    </row>
    <row r="158" spans="1:7">
      <c r="A158" s="30" t="s">
        <v>3170</v>
      </c>
    </row>
    <row r="159" spans="1:7" ht="32" customHeight="1">
      <c r="A159" s="32" t="s">
        <v>3116</v>
      </c>
      <c r="B159" s="32" t="s">
        <v>3154</v>
      </c>
      <c r="C159" s="32" t="s">
        <v>3155</v>
      </c>
      <c r="D159" s="32" t="s">
        <v>3156</v>
      </c>
      <c r="E159" s="32" t="s">
        <v>3157</v>
      </c>
      <c r="F159" s="32" t="s">
        <v>3158</v>
      </c>
      <c r="G159" s="32" t="s">
        <v>3084</v>
      </c>
    </row>
    <row r="160" spans="1:7">
      <c r="A160">
        <v>86982.16666666667</v>
      </c>
      <c r="B160">
        <v>451.4645328719723</v>
      </c>
      <c r="C160">
        <v>1</v>
      </c>
      <c r="D160">
        <v>1</v>
      </c>
      <c r="E160">
        <v>106046</v>
      </c>
      <c r="F160">
        <v>147601</v>
      </c>
      <c r="G160">
        <v>0.08002839079786922</v>
      </c>
    </row>
    <row r="164" spans="1:7">
      <c r="A164" s="30" t="s">
        <v>3172</v>
      </c>
    </row>
    <row r="165" spans="1:7" ht="32" customHeight="1">
      <c r="A165" s="32" t="s">
        <v>3104</v>
      </c>
      <c r="B165" s="32" t="s">
        <v>3141</v>
      </c>
      <c r="C165" s="32" t="s">
        <v>3142</v>
      </c>
      <c r="D165" s="32" t="s">
        <v>3143</v>
      </c>
      <c r="E165" s="32" t="s">
        <v>3144</v>
      </c>
      <c r="F165" s="32" t="s">
        <v>3118</v>
      </c>
      <c r="G165" s="32" t="s">
        <v>3119</v>
      </c>
    </row>
    <row r="166" spans="1:7">
      <c r="A166" t="s">
        <v>3105</v>
      </c>
      <c r="B166">
        <v>1153099</v>
      </c>
      <c r="C166">
        <v>0</v>
      </c>
      <c r="D166">
        <v>29052</v>
      </c>
      <c r="E166">
        <v>17053</v>
      </c>
      <c r="F166">
        <v>0.97577393004026</v>
      </c>
      <c r="G166">
        <v>0.9370393767108866</v>
      </c>
    </row>
    <row r="167" spans="1:7">
      <c r="A167" t="s">
        <v>3106</v>
      </c>
      <c r="B167">
        <v>1363390</v>
      </c>
      <c r="C167">
        <v>0</v>
      </c>
      <c r="D167">
        <v>24658</v>
      </c>
      <c r="E167">
        <v>37569</v>
      </c>
      <c r="F167">
        <v>0.9827036293759124</v>
      </c>
      <c r="G167">
        <v>0.9211052535902563</v>
      </c>
    </row>
    <row r="168" spans="1:7">
      <c r="A168" t="s">
        <v>3107</v>
      </c>
      <c r="B168">
        <v>901639</v>
      </c>
      <c r="C168">
        <v>0</v>
      </c>
      <c r="D168">
        <v>40982</v>
      </c>
      <c r="E168">
        <v>34867</v>
      </c>
      <c r="F168">
        <v>0.9580741656163554</v>
      </c>
      <c r="G168">
        <v>0.9063160366283165</v>
      </c>
    </row>
    <row r="169" spans="1:7">
      <c r="A169" t="s">
        <v>3108</v>
      </c>
      <c r="B169">
        <v>1049130</v>
      </c>
      <c r="C169">
        <v>0</v>
      </c>
      <c r="D169">
        <v>144406</v>
      </c>
      <c r="E169">
        <v>40480</v>
      </c>
      <c r="F169">
        <v>0.8829789216842232</v>
      </c>
      <c r="G169">
        <v>0.8471350475804819</v>
      </c>
    </row>
    <row r="170" spans="1:7">
      <c r="A170" t="s">
        <v>3109</v>
      </c>
      <c r="B170">
        <v>635297</v>
      </c>
      <c r="C170">
        <v>0</v>
      </c>
      <c r="D170">
        <v>233404</v>
      </c>
      <c r="E170">
        <v>29482</v>
      </c>
      <c r="F170">
        <v>0.7401375888877879</v>
      </c>
      <c r="G170">
        <v>0.7480610457843383</v>
      </c>
    </row>
    <row r="171" spans="1:7">
      <c r="A171" t="s">
        <v>3110</v>
      </c>
      <c r="B171">
        <v>252064</v>
      </c>
      <c r="C171">
        <v>0</v>
      </c>
      <c r="D171">
        <v>545508</v>
      </c>
      <c r="E171">
        <v>22786</v>
      </c>
      <c r="F171">
        <v>0.3350366547287891</v>
      </c>
      <c r="G171">
        <v>0.4057929452251219</v>
      </c>
    </row>
    <row r="175" spans="1:7">
      <c r="A175" s="30" t="s">
        <v>3173</v>
      </c>
    </row>
    <row r="176" spans="1:7" ht="32" customHeight="1">
      <c r="A176" s="32" t="s">
        <v>3116</v>
      </c>
      <c r="B176" s="32" t="s">
        <v>3154</v>
      </c>
      <c r="C176" s="32" t="s">
        <v>3155</v>
      </c>
      <c r="D176" s="32" t="s">
        <v>3156</v>
      </c>
      <c r="E176" s="32" t="s">
        <v>3157</v>
      </c>
      <c r="F176" s="32" t="s">
        <v>3158</v>
      </c>
      <c r="G176" s="32" t="s">
        <v>3084</v>
      </c>
    </row>
    <row r="177" spans="1:7">
      <c r="A177">
        <v>1092477.833333333</v>
      </c>
      <c r="B177">
        <v>243.3858235556216</v>
      </c>
      <c r="C177">
        <v>0.97577393004026</v>
      </c>
      <c r="D177">
        <v>0.9370393767108866</v>
      </c>
      <c r="E177">
        <v>1200347</v>
      </c>
      <c r="F177">
        <v>3434403</v>
      </c>
      <c r="G177">
        <v>0.1359992775971771</v>
      </c>
    </row>
    <row r="181" spans="1:7">
      <c r="A181" s="30" t="s">
        <v>3175</v>
      </c>
    </row>
    <row r="182" spans="1:7" ht="32" customHeight="1">
      <c r="A182" s="32" t="s">
        <v>3104</v>
      </c>
      <c r="B182" s="32" t="s">
        <v>3141</v>
      </c>
      <c r="C182" s="32" t="s">
        <v>3142</v>
      </c>
      <c r="D182" s="32" t="s">
        <v>3143</v>
      </c>
      <c r="E182" s="32" t="s">
        <v>3144</v>
      </c>
      <c r="F182" s="32" t="s">
        <v>3118</v>
      </c>
      <c r="G182" s="32" t="s">
        <v>3119</v>
      </c>
    </row>
    <row r="183" spans="1:7">
      <c r="A183" t="s">
        <v>3105</v>
      </c>
      <c r="B183">
        <v>2347164</v>
      </c>
      <c r="C183">
        <v>1699865</v>
      </c>
      <c r="D183">
        <v>12302</v>
      </c>
      <c r="E183">
        <v>1136</v>
      </c>
      <c r="F183">
        <v>0.996970298482982</v>
      </c>
      <c r="G183">
        <v>0.9398592450415867</v>
      </c>
    </row>
    <row r="184" spans="1:7">
      <c r="A184" t="s">
        <v>3106</v>
      </c>
      <c r="B184">
        <v>1989474</v>
      </c>
      <c r="C184">
        <v>1639479</v>
      </c>
      <c r="D184">
        <v>21722</v>
      </c>
      <c r="E184">
        <v>0</v>
      </c>
      <c r="F184">
        <v>0.9940498674902587</v>
      </c>
      <c r="G184">
        <v>0.8839779005524862</v>
      </c>
    </row>
    <row r="185" spans="1:7">
      <c r="A185" t="s">
        <v>3107</v>
      </c>
      <c r="B185">
        <v>418075</v>
      </c>
      <c r="C185">
        <v>2090995</v>
      </c>
      <c r="D185">
        <v>21463</v>
      </c>
      <c r="E185">
        <v>3785</v>
      </c>
      <c r="F185">
        <v>0.9915310549031338</v>
      </c>
      <c r="G185">
        <v>0.837217640731445</v>
      </c>
    </row>
    <row r="186" spans="1:7">
      <c r="A186" t="s">
        <v>3108</v>
      </c>
      <c r="B186">
        <v>109120</v>
      </c>
      <c r="C186">
        <v>1478610</v>
      </c>
      <c r="D186">
        <v>44267</v>
      </c>
      <c r="E186">
        <v>17939</v>
      </c>
      <c r="F186">
        <v>0.9731704582301727</v>
      </c>
      <c r="G186">
        <v>0.6334781156030739</v>
      </c>
    </row>
    <row r="187" spans="1:7">
      <c r="A187" t="s">
        <v>3109</v>
      </c>
      <c r="B187">
        <v>83327</v>
      </c>
      <c r="C187">
        <v>1110613</v>
      </c>
      <c r="D187">
        <v>34409</v>
      </c>
      <c r="E187">
        <v>6237</v>
      </c>
      <c r="F187">
        <v>0.9721291185871215</v>
      </c>
      <c r="G187">
        <v>0.4956834532374101</v>
      </c>
    </row>
    <row r="188" spans="1:7">
      <c r="A188" t="s">
        <v>3110</v>
      </c>
      <c r="B188">
        <v>54571</v>
      </c>
      <c r="C188">
        <v>914999</v>
      </c>
      <c r="D188">
        <v>31691</v>
      </c>
      <c r="E188">
        <v>149</v>
      </c>
      <c r="F188">
        <v>0.9683536213938347</v>
      </c>
      <c r="G188">
        <v>0.4990541051835036</v>
      </c>
    </row>
    <row r="192" spans="1:7">
      <c r="A192" s="30" t="s">
        <v>3176</v>
      </c>
    </row>
    <row r="193" spans="1:7" ht="32" customHeight="1">
      <c r="A193" s="32" t="s">
        <v>3116</v>
      </c>
      <c r="B193" s="32" t="s">
        <v>3154</v>
      </c>
      <c r="C193" s="32" t="s">
        <v>3155</v>
      </c>
      <c r="D193" s="32" t="s">
        <v>3156</v>
      </c>
      <c r="E193" s="32" t="s">
        <v>3157</v>
      </c>
      <c r="F193" s="32" t="s">
        <v>3158</v>
      </c>
      <c r="G193" s="32" t="s">
        <v>3084</v>
      </c>
    </row>
    <row r="194" spans="1:7">
      <c r="A194">
        <v>2355231.666666667</v>
      </c>
      <c r="B194">
        <v>803.4220251293422</v>
      </c>
      <c r="C194">
        <v>0.996970298482982</v>
      </c>
      <c r="D194">
        <v>0.9398592450415867</v>
      </c>
      <c r="E194">
        <v>542133</v>
      </c>
      <c r="F194">
        <v>607594</v>
      </c>
      <c r="G194">
        <v>0.02389735310820626</v>
      </c>
    </row>
    <row r="198" spans="1:7">
      <c r="A198" s="30" t="s">
        <v>3178</v>
      </c>
    </row>
    <row r="199" spans="1:7" ht="32" customHeight="1">
      <c r="A199" s="32" t="s">
        <v>3104</v>
      </c>
      <c r="B199" s="32" t="s">
        <v>3141</v>
      </c>
      <c r="C199" s="32" t="s">
        <v>3142</v>
      </c>
      <c r="D199" s="32" t="s">
        <v>3143</v>
      </c>
      <c r="E199" s="32" t="s">
        <v>3144</v>
      </c>
      <c r="F199" s="32" t="s">
        <v>3118</v>
      </c>
      <c r="G199" s="32" t="s">
        <v>3119</v>
      </c>
    </row>
    <row r="200" spans="1:7">
      <c r="A200" t="s">
        <v>3105</v>
      </c>
      <c r="B200">
        <v>1814597</v>
      </c>
      <c r="C200">
        <v>0</v>
      </c>
      <c r="D200">
        <v>10718</v>
      </c>
      <c r="E200">
        <v>0</v>
      </c>
      <c r="F200">
        <v>0.994128136787349</v>
      </c>
      <c r="G200">
        <v>0.965771458662454</v>
      </c>
    </row>
    <row r="201" spans="1:7">
      <c r="A201" t="s">
        <v>3106</v>
      </c>
      <c r="B201">
        <v>598542</v>
      </c>
      <c r="C201">
        <v>0</v>
      </c>
      <c r="D201">
        <v>79534</v>
      </c>
      <c r="E201">
        <v>0</v>
      </c>
      <c r="F201">
        <v>0.8827063632985093</v>
      </c>
      <c r="G201">
        <v>0.9705315870570108</v>
      </c>
    </row>
    <row r="202" spans="1:7">
      <c r="A202" t="s">
        <v>3107</v>
      </c>
      <c r="B202">
        <v>1511149</v>
      </c>
      <c r="C202">
        <v>0</v>
      </c>
      <c r="D202">
        <v>227759</v>
      </c>
      <c r="E202">
        <v>0</v>
      </c>
      <c r="F202">
        <v>0.8690218228911478</v>
      </c>
      <c r="G202">
        <v>0.9737052856380138</v>
      </c>
    </row>
    <row r="203" spans="1:7">
      <c r="A203" t="s">
        <v>3108</v>
      </c>
      <c r="B203">
        <v>1485242</v>
      </c>
      <c r="C203">
        <v>0</v>
      </c>
      <c r="D203">
        <v>194859</v>
      </c>
      <c r="E203">
        <v>0</v>
      </c>
      <c r="F203">
        <v>0.8840194726388473</v>
      </c>
      <c r="G203">
        <v>0.8919887381622729</v>
      </c>
    </row>
    <row r="204" spans="1:7">
      <c r="A204" t="s">
        <v>3109</v>
      </c>
      <c r="B204">
        <v>682272</v>
      </c>
      <c r="C204">
        <v>0</v>
      </c>
      <c r="D204">
        <v>649881</v>
      </c>
      <c r="E204">
        <v>0</v>
      </c>
      <c r="F204">
        <v>0.5121573873271313</v>
      </c>
      <c r="G204">
        <v>0.317774508492711</v>
      </c>
    </row>
    <row r="205" spans="1:7">
      <c r="A205" t="s">
        <v>3110</v>
      </c>
      <c r="B205">
        <v>34796</v>
      </c>
      <c r="C205">
        <v>0</v>
      </c>
      <c r="D205">
        <v>1438681</v>
      </c>
      <c r="E205">
        <v>0</v>
      </c>
      <c r="F205">
        <v>0.02361489185104348</v>
      </c>
      <c r="G205">
        <v>0.0154461606845205</v>
      </c>
    </row>
    <row r="209" spans="1:7">
      <c r="A209" s="30" t="s">
        <v>3179</v>
      </c>
    </row>
    <row r="210" spans="1:7" ht="32" customHeight="1">
      <c r="A210" s="32" t="s">
        <v>3116</v>
      </c>
      <c r="B210" s="32" t="s">
        <v>3154</v>
      </c>
      <c r="C210" s="32" t="s">
        <v>3155</v>
      </c>
      <c r="D210" s="32" t="s">
        <v>3156</v>
      </c>
      <c r="E210" s="32" t="s">
        <v>3157</v>
      </c>
      <c r="F210" s="32" t="s">
        <v>3158</v>
      </c>
      <c r="G210" s="32" t="s">
        <v>3084</v>
      </c>
    </row>
    <row r="211" spans="1:7">
      <c r="A211">
        <v>1454671.666666667</v>
      </c>
      <c r="B211">
        <v>195.8274624186673</v>
      </c>
      <c r="C211">
        <v>0.994128136787349</v>
      </c>
      <c r="D211">
        <v>0.965771458662454</v>
      </c>
      <c r="E211">
        <v>2898622</v>
      </c>
      <c r="F211">
        <v>2998937</v>
      </c>
      <c r="G211">
        <v>-0.09604872456999621</v>
      </c>
    </row>
    <row r="215" spans="1:7">
      <c r="A215" s="30" t="s">
        <v>3182</v>
      </c>
    </row>
    <row r="216" spans="1:7" ht="32" customHeight="1">
      <c r="A216" s="32" t="s">
        <v>3104</v>
      </c>
      <c r="B216" s="32" t="s">
        <v>3141</v>
      </c>
      <c r="C216" s="32" t="s">
        <v>3142</v>
      </c>
      <c r="D216" s="32" t="s">
        <v>3143</v>
      </c>
      <c r="E216" s="32" t="s">
        <v>3144</v>
      </c>
      <c r="F216" s="32" t="s">
        <v>3118</v>
      </c>
      <c r="G216" s="32" t="s">
        <v>3119</v>
      </c>
    </row>
    <row r="217" spans="1:7">
      <c r="A217" t="s">
        <v>3105</v>
      </c>
      <c r="B217">
        <v>78140</v>
      </c>
      <c r="C217">
        <v>1484</v>
      </c>
      <c r="D217">
        <v>21381</v>
      </c>
      <c r="E217">
        <v>2351</v>
      </c>
      <c r="F217">
        <v>0.793132474166957</v>
      </c>
      <c r="G217">
        <v>0.6951945080091533</v>
      </c>
    </row>
    <row r="218" spans="1:7">
      <c r="A218" t="s">
        <v>3106</v>
      </c>
      <c r="B218">
        <v>110936</v>
      </c>
      <c r="C218">
        <v>2026</v>
      </c>
      <c r="D218">
        <v>30432</v>
      </c>
      <c r="E218">
        <v>2383</v>
      </c>
      <c r="F218">
        <v>0.7912427886429272</v>
      </c>
      <c r="G218">
        <v>0.5787224471434997</v>
      </c>
    </row>
    <row r="219" spans="1:7">
      <c r="A219" t="s">
        <v>3107</v>
      </c>
      <c r="B219">
        <v>53420</v>
      </c>
      <c r="C219">
        <v>8481</v>
      </c>
      <c r="D219">
        <v>14776</v>
      </c>
      <c r="E219">
        <v>3252</v>
      </c>
      <c r="F219">
        <v>0.8151359331406623</v>
      </c>
      <c r="G219">
        <v>0.3739383644746421</v>
      </c>
    </row>
    <row r="220" spans="1:7">
      <c r="A220" t="s">
        <v>3108</v>
      </c>
      <c r="B220">
        <v>68133</v>
      </c>
      <c r="C220">
        <v>11187</v>
      </c>
      <c r="D220">
        <v>32843</v>
      </c>
      <c r="E220">
        <v>2678</v>
      </c>
      <c r="F220">
        <v>0.714013287937235</v>
      </c>
      <c r="G220">
        <v>0.4474327628361858</v>
      </c>
    </row>
    <row r="221" spans="1:7">
      <c r="A221" t="s">
        <v>3109</v>
      </c>
      <c r="B221">
        <v>92823</v>
      </c>
      <c r="C221">
        <v>1245</v>
      </c>
      <c r="D221">
        <v>38190</v>
      </c>
      <c r="E221">
        <v>1958</v>
      </c>
      <c r="F221">
        <v>0.7154586636466591</v>
      </c>
      <c r="G221">
        <v>0.4588469184890656</v>
      </c>
    </row>
    <row r="222" spans="1:7">
      <c r="A222" t="s">
        <v>3110</v>
      </c>
      <c r="B222">
        <v>0</v>
      </c>
      <c r="C222">
        <v>228</v>
      </c>
      <c r="D222">
        <v>504536</v>
      </c>
      <c r="E222">
        <v>405</v>
      </c>
      <c r="F222">
        <v>0.001253046010345053</v>
      </c>
      <c r="G222">
        <v>0.01618341200269724</v>
      </c>
    </row>
    <row r="226" spans="1:7">
      <c r="A226" s="30" t="s">
        <v>3184</v>
      </c>
    </row>
    <row r="227" spans="1:7" ht="32" customHeight="1">
      <c r="A227" s="32" t="s">
        <v>3116</v>
      </c>
      <c r="B227" s="32" t="s">
        <v>3154</v>
      </c>
      <c r="C227" s="32" t="s">
        <v>3155</v>
      </c>
      <c r="D227" s="32" t="s">
        <v>3156</v>
      </c>
      <c r="E227" s="32" t="s">
        <v>3157</v>
      </c>
      <c r="F227" s="32" t="s">
        <v>3158</v>
      </c>
      <c r="G227" s="32" t="s">
        <v>3084</v>
      </c>
    </row>
    <row r="228" spans="1:7">
      <c r="A228">
        <v>180548</v>
      </c>
      <c r="B228">
        <v>66.11058220432076</v>
      </c>
      <c r="C228">
        <v>0.793132474166957</v>
      </c>
      <c r="D228">
        <v>0.6951945080091533</v>
      </c>
      <c r="E228">
        <v>866177</v>
      </c>
      <c r="F228">
        <v>2976774</v>
      </c>
      <c r="G228">
        <v>0.2178914762808163</v>
      </c>
    </row>
    <row r="232" spans="1:7">
      <c r="A232" s="30" t="s">
        <v>3188</v>
      </c>
    </row>
    <row r="233" spans="1:7" ht="32" customHeight="1">
      <c r="A233" s="32" t="s">
        <v>3104</v>
      </c>
      <c r="B233" s="32" t="s">
        <v>3141</v>
      </c>
      <c r="C233" s="32" t="s">
        <v>3142</v>
      </c>
      <c r="D233" s="32" t="s">
        <v>3143</v>
      </c>
      <c r="E233" s="32" t="s">
        <v>3144</v>
      </c>
      <c r="F233" s="32" t="s">
        <v>3118</v>
      </c>
      <c r="G233" s="32" t="s">
        <v>3119</v>
      </c>
    </row>
    <row r="234" spans="1:7">
      <c r="A234" t="s">
        <v>3105</v>
      </c>
      <c r="B234">
        <v>2257245.010000002</v>
      </c>
      <c r="C234">
        <v>35981.14000000003</v>
      </c>
      <c r="D234">
        <v>1017381.590000022</v>
      </c>
      <c r="E234">
        <v>0</v>
      </c>
      <c r="F234">
        <v>0.6926903849986122</v>
      </c>
      <c r="G234">
        <v>0.8571001494768311</v>
      </c>
    </row>
    <row r="235" spans="1:7">
      <c r="A235" t="s">
        <v>3106</v>
      </c>
      <c r="B235">
        <v>2214528.610000001</v>
      </c>
      <c r="C235">
        <v>35065.13999999982</v>
      </c>
      <c r="D235">
        <v>1190285.050000014</v>
      </c>
      <c r="E235">
        <v>0</v>
      </c>
      <c r="F235">
        <v>0.6539747127137129</v>
      </c>
      <c r="G235">
        <v>0.831151832460733</v>
      </c>
    </row>
    <row r="236" spans="1:7">
      <c r="A236" t="s">
        <v>3107</v>
      </c>
      <c r="B236">
        <v>1802014.029999999</v>
      </c>
      <c r="C236">
        <v>37194.56999999994</v>
      </c>
      <c r="D236">
        <v>1698707.599999998</v>
      </c>
      <c r="E236">
        <v>0</v>
      </c>
      <c r="F236">
        <v>0.5198564624000988</v>
      </c>
      <c r="G236">
        <v>0.7894209999473157</v>
      </c>
    </row>
    <row r="237" spans="1:7">
      <c r="A237" t="s">
        <v>3108</v>
      </c>
      <c r="B237">
        <v>1844608.780000006</v>
      </c>
      <c r="C237">
        <v>36958.94999999987</v>
      </c>
      <c r="D237">
        <v>2370867.999999958</v>
      </c>
      <c r="E237">
        <v>0</v>
      </c>
      <c r="F237">
        <v>0.4424682345522531</v>
      </c>
      <c r="G237">
        <v>0.7083093456150451</v>
      </c>
    </row>
    <row r="238" spans="1:7">
      <c r="A238" t="s">
        <v>3109</v>
      </c>
      <c r="B238">
        <v>1530045.009999999</v>
      </c>
      <c r="C238">
        <v>23251.49000000008</v>
      </c>
      <c r="D238">
        <v>2542412.579999955</v>
      </c>
      <c r="E238">
        <v>0</v>
      </c>
      <c r="F238">
        <v>0.379249714679446</v>
      </c>
      <c r="G238">
        <v>0.5870038195619591</v>
      </c>
    </row>
    <row r="239" spans="1:7">
      <c r="A239" t="s">
        <v>3110</v>
      </c>
      <c r="B239">
        <v>0</v>
      </c>
      <c r="C239">
        <v>21748.81000000002</v>
      </c>
      <c r="D239">
        <v>4321352.739999992</v>
      </c>
      <c r="E239">
        <v>0</v>
      </c>
      <c r="F239">
        <v>0.005007667849719071</v>
      </c>
      <c r="G239">
        <v>0.3165488934963822</v>
      </c>
    </row>
    <row r="243" spans="1:7">
      <c r="A243" s="30" t="s">
        <v>3191</v>
      </c>
    </row>
    <row r="244" spans="1:7" ht="32" customHeight="1">
      <c r="A244" s="32" t="s">
        <v>3116</v>
      </c>
      <c r="B244" s="32" t="s">
        <v>3154</v>
      </c>
      <c r="C244" s="32" t="s">
        <v>3155</v>
      </c>
      <c r="D244" s="32" t="s">
        <v>3156</v>
      </c>
      <c r="E244" s="32" t="s">
        <v>3157</v>
      </c>
      <c r="F244" s="32" t="s">
        <v>3158</v>
      </c>
      <c r="G244" s="32" t="s">
        <v>3084</v>
      </c>
    </row>
    <row r="245" spans="1:7">
      <c r="A245">
        <v>3829941.516666658</v>
      </c>
      <c r="B245">
        <v>195.2822977038253</v>
      </c>
      <c r="C245">
        <v>0.6926903849986122</v>
      </c>
      <c r="D245">
        <v>0.8571001494768311</v>
      </c>
      <c r="E245">
        <v>33591674.98999877</v>
      </c>
      <c r="F245">
        <v>38076721.7399988</v>
      </c>
      <c r="G245">
        <v>0.06751666076136931</v>
      </c>
    </row>
    <row r="249" spans="1:7">
      <c r="A249" s="30" t="s">
        <v>3195</v>
      </c>
    </row>
    <row r="250" spans="1:7" ht="32" customHeight="1">
      <c r="A250" s="32" t="s">
        <v>3104</v>
      </c>
      <c r="B250" s="32" t="s">
        <v>3196</v>
      </c>
      <c r="C250" s="32" t="s">
        <v>3197</v>
      </c>
      <c r="D250" s="32" t="s">
        <v>3198</v>
      </c>
      <c r="E250" s="32" t="s">
        <v>3199</v>
      </c>
      <c r="F250" s="32" t="s">
        <v>3200</v>
      </c>
    </row>
    <row r="251" spans="1:7">
      <c r="A251" t="s">
        <v>3105</v>
      </c>
      <c r="B251">
        <v>22695.36</v>
      </c>
      <c r="C251">
        <v>160913.0099999998</v>
      </c>
      <c r="D251">
        <v>189</v>
      </c>
      <c r="E251">
        <v>3315</v>
      </c>
      <c r="F251">
        <v>50373696.94000211</v>
      </c>
    </row>
    <row r="252" spans="1:7">
      <c r="A252" t="s">
        <v>3106</v>
      </c>
      <c r="B252">
        <v>14874.3</v>
      </c>
      <c r="C252">
        <v>27911417.86</v>
      </c>
      <c r="D252">
        <v>89</v>
      </c>
      <c r="E252">
        <v>269002</v>
      </c>
      <c r="F252">
        <v>22474628.84000267</v>
      </c>
    </row>
    <row r="253" spans="1:7">
      <c r="A253" t="s">
        <v>3107</v>
      </c>
      <c r="B253">
        <v>9310.760000000026</v>
      </c>
      <c r="C253">
        <v>150862.4499999985</v>
      </c>
      <c r="D253">
        <v>238</v>
      </c>
      <c r="E253">
        <v>2498</v>
      </c>
      <c r="F253">
        <v>22338552.44000267</v>
      </c>
    </row>
    <row r="254" spans="1:7">
      <c r="A254" t="s">
        <v>3108</v>
      </c>
      <c r="B254">
        <v>9959.560000000005</v>
      </c>
      <c r="C254">
        <v>153314.4399984963</v>
      </c>
      <c r="D254">
        <v>113</v>
      </c>
      <c r="E254">
        <v>2497</v>
      </c>
      <c r="F254">
        <v>22214733.9400027</v>
      </c>
    </row>
    <row r="255" spans="1:7">
      <c r="A255" t="s">
        <v>3109</v>
      </c>
      <c r="B255">
        <v>1465.87</v>
      </c>
      <c r="C255">
        <v>62435.82999999993</v>
      </c>
      <c r="D255">
        <v>13</v>
      </c>
      <c r="E255">
        <v>1900</v>
      </c>
      <c r="F255">
        <v>22183792.6700027</v>
      </c>
    </row>
    <row r="256" spans="1:7">
      <c r="A256" t="s">
        <v>3110</v>
      </c>
      <c r="B256">
        <v>15278.08</v>
      </c>
      <c r="C256">
        <v>75514.03999999975</v>
      </c>
      <c r="D256">
        <v>83</v>
      </c>
      <c r="E256">
        <v>2033</v>
      </c>
      <c r="F256">
        <v>22106987.68000206</v>
      </c>
    </row>
    <row r="260" spans="1:7">
      <c r="A260" s="30" t="s">
        <v>3210</v>
      </c>
    </row>
    <row r="261" spans="1:7" ht="32" customHeight="1">
      <c r="A261" s="32" t="s">
        <v>3104</v>
      </c>
      <c r="B261" s="32" t="s">
        <v>3141</v>
      </c>
      <c r="C261" s="32" t="s">
        <v>3143</v>
      </c>
      <c r="D261" s="32" t="s">
        <v>3169</v>
      </c>
      <c r="E261" s="32" t="s">
        <v>3211</v>
      </c>
      <c r="F261" s="32" t="s">
        <v>3118</v>
      </c>
      <c r="G261" s="32" t="s">
        <v>3119</v>
      </c>
    </row>
    <row r="262" spans="1:7">
      <c r="A262" t="s">
        <v>3105</v>
      </c>
      <c r="B262">
        <v>99722.84000000005</v>
      </c>
      <c r="C262">
        <v>1.455191522836685E-11</v>
      </c>
      <c r="D262">
        <v>0</v>
      </c>
      <c r="E262">
        <v>12670.51</v>
      </c>
      <c r="F262">
        <v>0.9999999999999999</v>
      </c>
      <c r="G262">
        <v>1</v>
      </c>
    </row>
    <row r="263" spans="1:7">
      <c r="A263" t="s">
        <v>3106</v>
      </c>
      <c r="B263">
        <v>133360.3</v>
      </c>
      <c r="C263">
        <v>-2.91038304567337E-11</v>
      </c>
      <c r="D263">
        <v>0</v>
      </c>
      <c r="E263">
        <v>35916.32</v>
      </c>
      <c r="F263">
        <v>1</v>
      </c>
      <c r="G263">
        <v>1</v>
      </c>
    </row>
    <row r="264" spans="1:7">
      <c r="A264" t="s">
        <v>3107</v>
      </c>
      <c r="B264">
        <v>73694.54999999997</v>
      </c>
      <c r="C264">
        <v>1.01863406598568E-10</v>
      </c>
      <c r="D264">
        <v>0</v>
      </c>
      <c r="E264">
        <v>15427.32</v>
      </c>
      <c r="F264">
        <v>0.9999999999999989</v>
      </c>
      <c r="G264">
        <v>1</v>
      </c>
    </row>
    <row r="265" spans="1:7">
      <c r="A265" t="s">
        <v>3108</v>
      </c>
      <c r="B265">
        <v>67214.93999999992</v>
      </c>
      <c r="C265">
        <v>7.275957614183426E-11</v>
      </c>
      <c r="D265">
        <v>0</v>
      </c>
      <c r="E265">
        <v>7237.440000000001</v>
      </c>
      <c r="F265">
        <v>0.999999999999999</v>
      </c>
      <c r="G265">
        <v>1</v>
      </c>
    </row>
    <row r="266" spans="1:7">
      <c r="A266" t="s">
        <v>3109</v>
      </c>
      <c r="B266">
        <v>62933.94000000001</v>
      </c>
      <c r="C266">
        <v>645.8900000002759</v>
      </c>
      <c r="D266">
        <v>0</v>
      </c>
      <c r="E266">
        <v>16845.81999999999</v>
      </c>
      <c r="F266">
        <v>0.9919691043839836</v>
      </c>
      <c r="G266">
        <v>0.9855985598559855</v>
      </c>
    </row>
    <row r="267" spans="1:7">
      <c r="A267" t="s">
        <v>3110</v>
      </c>
      <c r="B267">
        <v>35497.24999999999</v>
      </c>
      <c r="C267">
        <v>15520.82000000002</v>
      </c>
      <c r="D267">
        <v>0</v>
      </c>
      <c r="E267">
        <v>4271.81</v>
      </c>
      <c r="F267">
        <v>0.7192828054609629</v>
      </c>
      <c r="G267">
        <v>0.5851851851851851</v>
      </c>
    </row>
    <row r="271" spans="1:7">
      <c r="A271" s="30" t="s">
        <v>3213</v>
      </c>
    </row>
    <row r="272" spans="1:7" ht="32" customHeight="1">
      <c r="A272" s="32" t="s">
        <v>3116</v>
      </c>
      <c r="B272" s="32" t="s">
        <v>3154</v>
      </c>
      <c r="C272" s="32" t="s">
        <v>3155</v>
      </c>
      <c r="D272" s="32" t="s">
        <v>3156</v>
      </c>
      <c r="E272" s="32" t="s">
        <v>3157</v>
      </c>
      <c r="F272" s="32" t="s">
        <v>3158</v>
      </c>
      <c r="G272" s="32" t="s">
        <v>3084</v>
      </c>
    </row>
    <row r="273" spans="1:7">
      <c r="A273">
        <v>96826.62500000007</v>
      </c>
      <c r="B273">
        <v>214.3762915129153</v>
      </c>
      <c r="C273">
        <v>0.9999999999999999</v>
      </c>
      <c r="D273">
        <v>1</v>
      </c>
      <c r="E273">
        <v>16166.70999999926</v>
      </c>
      <c r="F273">
        <v>16166.70999999926</v>
      </c>
      <c r="G273">
        <v>-0.9113170366665443</v>
      </c>
    </row>
    <row r="277" spans="1:7">
      <c r="A277" s="30" t="s">
        <v>3217</v>
      </c>
    </row>
    <row r="278" spans="1:7" ht="32" customHeight="1">
      <c r="A278" s="32" t="s">
        <v>3104</v>
      </c>
      <c r="B278" s="32" t="s">
        <v>3141</v>
      </c>
      <c r="C278" s="32" t="s">
        <v>3143</v>
      </c>
      <c r="D278" s="32" t="s">
        <v>3169</v>
      </c>
      <c r="E278" s="32" t="s">
        <v>3211</v>
      </c>
      <c r="F278" s="32" t="s">
        <v>3118</v>
      </c>
      <c r="G278" s="32" t="s">
        <v>3119</v>
      </c>
    </row>
    <row r="279" spans="1:7">
      <c r="A279" t="s">
        <v>3105</v>
      </c>
      <c r="B279">
        <v>44529.71000000001</v>
      </c>
      <c r="C279">
        <v>4050.930000000008</v>
      </c>
      <c r="D279">
        <v>0</v>
      </c>
      <c r="E279">
        <v>13050.29</v>
      </c>
      <c r="F279">
        <v>0.9342711524878822</v>
      </c>
      <c r="G279">
        <v>0.9932432432432432</v>
      </c>
    </row>
    <row r="280" spans="1:7">
      <c r="A280" t="s">
        <v>3106</v>
      </c>
      <c r="B280">
        <v>119196.88</v>
      </c>
      <c r="C280">
        <v>2.91038304567337E-11</v>
      </c>
      <c r="D280">
        <v>0</v>
      </c>
      <c r="E280">
        <v>27796.83</v>
      </c>
      <c r="F280">
        <v>0.9999999999999998</v>
      </c>
      <c r="G280">
        <v>1</v>
      </c>
    </row>
    <row r="281" spans="1:7">
      <c r="A281" t="s">
        <v>3107</v>
      </c>
      <c r="B281">
        <v>48189.56999999999</v>
      </c>
      <c r="C281">
        <v>0</v>
      </c>
      <c r="D281">
        <v>0</v>
      </c>
      <c r="E281">
        <v>7371.159999999999</v>
      </c>
      <c r="F281">
        <v>1</v>
      </c>
      <c r="G281">
        <v>1</v>
      </c>
    </row>
    <row r="282" spans="1:7">
      <c r="A282" t="s">
        <v>3108</v>
      </c>
      <c r="B282">
        <v>35319.84</v>
      </c>
      <c r="C282">
        <v>-2.91038304567337E-11</v>
      </c>
      <c r="D282">
        <v>0</v>
      </c>
      <c r="E282">
        <v>7222.72</v>
      </c>
      <c r="F282">
        <v>1.000000000000001</v>
      </c>
      <c r="G282">
        <v>1</v>
      </c>
    </row>
    <row r="283" spans="1:7">
      <c r="A283" t="s">
        <v>3109</v>
      </c>
      <c r="B283">
        <v>38392.78000000001</v>
      </c>
      <c r="C283">
        <v>1746.190000000002</v>
      </c>
      <c r="D283">
        <v>0</v>
      </c>
      <c r="E283">
        <v>2935.37</v>
      </c>
      <c r="F283">
        <v>0.9594610155373245</v>
      </c>
      <c r="G283">
        <v>0.8131868131868132</v>
      </c>
    </row>
    <row r="284" spans="1:7">
      <c r="A284" t="s">
        <v>3110</v>
      </c>
      <c r="B284">
        <v>29683.47</v>
      </c>
      <c r="C284">
        <v>16286.97000000002</v>
      </c>
      <c r="D284">
        <v>0</v>
      </c>
      <c r="E284">
        <v>333.07</v>
      </c>
      <c r="F284">
        <v>0.6482562553033234</v>
      </c>
      <c r="G284">
        <v>0.2032520325203252</v>
      </c>
    </row>
    <row r="288" spans="1:7">
      <c r="A288" s="30" t="s">
        <v>3219</v>
      </c>
    </row>
    <row r="289" spans="1:7" ht="32" customHeight="1">
      <c r="A289" s="32" t="s">
        <v>3116</v>
      </c>
      <c r="B289" s="32" t="s">
        <v>3154</v>
      </c>
      <c r="C289" s="32" t="s">
        <v>3155</v>
      </c>
      <c r="D289" s="32" t="s">
        <v>3156</v>
      </c>
      <c r="E289" s="32" t="s">
        <v>3157</v>
      </c>
      <c r="F289" s="32" t="s">
        <v>3158</v>
      </c>
      <c r="G289" s="32" t="s">
        <v>3084</v>
      </c>
    </row>
    <row r="290" spans="1:7">
      <c r="A290">
        <v>66017.63</v>
      </c>
      <c r="B290">
        <v>503.9513740458016</v>
      </c>
      <c r="C290">
        <v>0.9342711524878822</v>
      </c>
      <c r="D290">
        <v>0.9932432432432432</v>
      </c>
      <c r="E290">
        <v>22084.0899999995</v>
      </c>
      <c r="F290">
        <v>22084.0899999995</v>
      </c>
      <c r="G290">
        <v>-0.8193501802809835</v>
      </c>
    </row>
    <row r="294" spans="1:7">
      <c r="A294" s="30" t="s">
        <v>3222</v>
      </c>
    </row>
    <row r="295" spans="1:7" ht="32" customHeight="1">
      <c r="A295" s="32" t="s">
        <v>3104</v>
      </c>
      <c r="B295" s="32" t="s">
        <v>3141</v>
      </c>
      <c r="C295" s="32" t="s">
        <v>3143</v>
      </c>
      <c r="D295" s="32" t="s">
        <v>3169</v>
      </c>
      <c r="E295" s="32" t="s">
        <v>3211</v>
      </c>
      <c r="F295" s="32" t="s">
        <v>3118</v>
      </c>
      <c r="G295" s="32" t="s">
        <v>3119</v>
      </c>
    </row>
    <row r="296" spans="1:7">
      <c r="A296" t="s">
        <v>3105</v>
      </c>
      <c r="B296">
        <v>368266.0900000003</v>
      </c>
      <c r="C296">
        <v>-2.328306436538696E-10</v>
      </c>
      <c r="D296">
        <v>0</v>
      </c>
      <c r="E296">
        <v>16140.74</v>
      </c>
      <c r="F296">
        <v>1.000000000000001</v>
      </c>
      <c r="G296">
        <v>1</v>
      </c>
    </row>
    <row r="297" spans="1:7">
      <c r="A297" t="s">
        <v>3106</v>
      </c>
      <c r="B297">
        <v>129130.2099999999</v>
      </c>
      <c r="C297">
        <v>3370.850000000006</v>
      </c>
      <c r="D297">
        <v>0</v>
      </c>
      <c r="E297">
        <v>6916.57</v>
      </c>
      <c r="F297">
        <v>0.9758219243864639</v>
      </c>
      <c r="G297">
        <v>0.9961389961389961</v>
      </c>
    </row>
    <row r="298" spans="1:7">
      <c r="A298" t="s">
        <v>3107</v>
      </c>
      <c r="B298">
        <v>221743.1099999998</v>
      </c>
      <c r="C298">
        <v>2249.690000000061</v>
      </c>
      <c r="D298">
        <v>0</v>
      </c>
      <c r="E298">
        <v>9133.240000000005</v>
      </c>
      <c r="F298">
        <v>0.9903498982782015</v>
      </c>
      <c r="G298">
        <v>0.9811023622047244</v>
      </c>
    </row>
    <row r="299" spans="1:7">
      <c r="A299" t="s">
        <v>3108</v>
      </c>
      <c r="B299">
        <v>240575.4300000002</v>
      </c>
      <c r="C299">
        <v>4242.030000000057</v>
      </c>
      <c r="D299">
        <v>0</v>
      </c>
      <c r="E299">
        <v>5510.730000000005</v>
      </c>
      <c r="F299">
        <v>0.9830541258657283</v>
      </c>
      <c r="G299">
        <v>0.955637707948244</v>
      </c>
    </row>
    <row r="300" spans="1:7">
      <c r="A300" t="s">
        <v>3109</v>
      </c>
      <c r="B300">
        <v>114417.87</v>
      </c>
      <c r="C300">
        <v>3246.610000000001</v>
      </c>
      <c r="D300">
        <v>0</v>
      </c>
      <c r="E300">
        <v>7751.849999999999</v>
      </c>
      <c r="F300">
        <v>0.9741133391480998</v>
      </c>
      <c r="G300">
        <v>0.9183673469387755</v>
      </c>
    </row>
    <row r="301" spans="1:7">
      <c r="A301" t="s">
        <v>3110</v>
      </c>
      <c r="B301">
        <v>146150.0899999998</v>
      </c>
      <c r="C301">
        <v>159517.4400000001</v>
      </c>
      <c r="D301">
        <v>0</v>
      </c>
      <c r="E301">
        <v>5055.880000000003</v>
      </c>
      <c r="F301">
        <v>0.4866256134354339</v>
      </c>
      <c r="G301">
        <v>0.5702005730659025</v>
      </c>
    </row>
    <row r="305" spans="1:7">
      <c r="A305" s="30" t="s">
        <v>3224</v>
      </c>
    </row>
    <row r="306" spans="1:7" ht="32" customHeight="1">
      <c r="A306" s="32" t="s">
        <v>3116</v>
      </c>
      <c r="B306" s="32" t="s">
        <v>3154</v>
      </c>
      <c r="C306" s="32" t="s">
        <v>3155</v>
      </c>
      <c r="D306" s="32" t="s">
        <v>3156</v>
      </c>
      <c r="E306" s="32" t="s">
        <v>3157</v>
      </c>
      <c r="F306" s="32" t="s">
        <v>3158</v>
      </c>
      <c r="G306" s="32" t="s">
        <v>3084</v>
      </c>
    </row>
    <row r="307" spans="1:7">
      <c r="A307">
        <v>240569.7383333333</v>
      </c>
      <c r="B307">
        <v>420.4539557238567</v>
      </c>
      <c r="C307">
        <v>1.000000000000001</v>
      </c>
      <c r="D307">
        <v>1</v>
      </c>
      <c r="E307">
        <v>172626.620000001</v>
      </c>
      <c r="F307">
        <v>172626.620000001</v>
      </c>
      <c r="G307">
        <v>0.1020310632908786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2:F31"/>
  <sheetViews>
    <sheetView showGridLines="0" workbookViewId="0"/>
  </sheetViews>
  <sheetFormatPr defaultRowHeight="15"/>
  <cols>
    <col min="1" max="3" width="20.7109375" customWidth="1"/>
    <col min="4" max="5" width="22.7109375" customWidth="1"/>
    <col min="6" max="6" width="65.7109375" customWidth="1"/>
  </cols>
  <sheetData>
    <row r="2" spans="1:6">
      <c r="A2" s="19" t="s">
        <v>3070</v>
      </c>
    </row>
    <row r="5" spans="1:6">
      <c r="A5" t="s">
        <v>986</v>
      </c>
      <c r="B5" t="s">
        <v>955</v>
      </c>
      <c r="C5" t="s">
        <v>3071</v>
      </c>
      <c r="D5" t="s">
        <v>3072</v>
      </c>
      <c r="E5" t="s">
        <v>3073</v>
      </c>
      <c r="F5" t="s">
        <v>8</v>
      </c>
    </row>
    <row r="6" spans="1:6">
      <c r="A6" t="s">
        <v>27</v>
      </c>
      <c r="B6" t="s">
        <v>57</v>
      </c>
      <c r="C6" t="s">
        <v>3074</v>
      </c>
      <c r="D6" s="22">
        <v>7883</v>
      </c>
      <c r="E6" s="22">
        <v>1483372</v>
      </c>
      <c r="F6" t="s">
        <v>3027</v>
      </c>
    </row>
    <row r="7" spans="1:6">
      <c r="A7" t="s">
        <v>27</v>
      </c>
      <c r="B7" t="s">
        <v>57</v>
      </c>
      <c r="C7" t="s">
        <v>3075</v>
      </c>
      <c r="D7" s="22">
        <v>7883</v>
      </c>
      <c r="E7" s="22">
        <v>1483372</v>
      </c>
      <c r="F7" t="s">
        <v>873</v>
      </c>
    </row>
    <row r="8" spans="1:6">
      <c r="A8" t="s">
        <v>27</v>
      </c>
      <c r="B8" t="s">
        <v>67</v>
      </c>
      <c r="C8" t="s">
        <v>3074</v>
      </c>
      <c r="D8" s="22">
        <v>23748</v>
      </c>
      <c r="E8" s="22">
        <v>2749252</v>
      </c>
      <c r="F8" t="s">
        <v>3053</v>
      </c>
    </row>
    <row r="9" spans="1:6">
      <c r="A9" t="s">
        <v>27</v>
      </c>
      <c r="B9" t="s">
        <v>67</v>
      </c>
      <c r="C9" t="s">
        <v>3075</v>
      </c>
      <c r="D9" s="22">
        <v>23478</v>
      </c>
      <c r="E9" s="22">
        <v>2749252</v>
      </c>
      <c r="F9" t="s">
        <v>883</v>
      </c>
    </row>
    <row r="10" spans="1:6">
      <c r="A10" t="s">
        <v>27</v>
      </c>
      <c r="B10" t="s">
        <v>86</v>
      </c>
      <c r="C10" t="s">
        <v>3074</v>
      </c>
      <c r="D10" s="22">
        <v>74</v>
      </c>
      <c r="E10" s="22">
        <v>14110</v>
      </c>
      <c r="F10" t="s">
        <v>3050</v>
      </c>
    </row>
    <row r="11" spans="1:6">
      <c r="A11" t="s">
        <v>27</v>
      </c>
      <c r="B11" t="s">
        <v>86</v>
      </c>
      <c r="C11" t="s">
        <v>3075</v>
      </c>
      <c r="D11" s="22">
        <v>74</v>
      </c>
      <c r="E11" s="22">
        <v>14110</v>
      </c>
      <c r="F11" t="s">
        <v>3051</v>
      </c>
    </row>
    <row r="12" spans="1:6">
      <c r="A12" t="s">
        <v>27</v>
      </c>
      <c r="B12" t="s">
        <v>48</v>
      </c>
      <c r="C12" t="s">
        <v>3074</v>
      </c>
      <c r="D12" s="22">
        <v>237</v>
      </c>
      <c r="E12" s="22">
        <v>106046</v>
      </c>
      <c r="F12" t="s">
        <v>3025</v>
      </c>
    </row>
    <row r="13" spans="1:6">
      <c r="A13" t="s">
        <v>27</v>
      </c>
      <c r="B13" t="s">
        <v>48</v>
      </c>
      <c r="C13" t="s">
        <v>3075</v>
      </c>
      <c r="D13" s="22">
        <v>237</v>
      </c>
      <c r="E13" s="22">
        <v>106046</v>
      </c>
      <c r="F13" t="s">
        <v>871</v>
      </c>
    </row>
    <row r="14" spans="1:6">
      <c r="A14" t="s">
        <v>27</v>
      </c>
      <c r="B14" t="s">
        <v>72</v>
      </c>
      <c r="C14" t="s">
        <v>3074</v>
      </c>
      <c r="D14" s="22">
        <v>110056</v>
      </c>
      <c r="E14" s="22">
        <v>3434403</v>
      </c>
      <c r="F14" t="s">
        <v>3031</v>
      </c>
    </row>
    <row r="15" spans="1:6">
      <c r="A15" t="s">
        <v>27</v>
      </c>
      <c r="B15" t="s">
        <v>72</v>
      </c>
      <c r="C15" t="s">
        <v>3075</v>
      </c>
      <c r="D15" s="22">
        <v>110056</v>
      </c>
      <c r="E15" s="22">
        <v>3434403</v>
      </c>
      <c r="F15" t="s">
        <v>3032</v>
      </c>
    </row>
    <row r="16" spans="1:6">
      <c r="A16" t="s">
        <v>27</v>
      </c>
      <c r="B16" t="s">
        <v>77</v>
      </c>
      <c r="C16" t="s">
        <v>3074</v>
      </c>
      <c r="D16" s="22">
        <v>12709</v>
      </c>
      <c r="E16" s="22">
        <v>558535</v>
      </c>
      <c r="F16" t="s">
        <v>3034</v>
      </c>
    </row>
    <row r="17" spans="1:6">
      <c r="A17" t="s">
        <v>27</v>
      </c>
      <c r="B17" t="s">
        <v>77</v>
      </c>
      <c r="C17" t="s">
        <v>3075</v>
      </c>
      <c r="D17" s="22">
        <v>12709</v>
      </c>
      <c r="E17" s="22">
        <v>558535</v>
      </c>
      <c r="F17" t="s">
        <v>877</v>
      </c>
    </row>
    <row r="18" spans="1:6">
      <c r="A18" t="s">
        <v>27</v>
      </c>
      <c r="B18" t="s">
        <v>62</v>
      </c>
      <c r="C18" t="s">
        <v>3074</v>
      </c>
      <c r="D18" s="22">
        <v>16657</v>
      </c>
      <c r="E18" s="22">
        <v>2898622</v>
      </c>
      <c r="F18" t="s">
        <v>3029</v>
      </c>
    </row>
    <row r="19" spans="1:6">
      <c r="A19" t="s">
        <v>27</v>
      </c>
      <c r="B19" t="s">
        <v>62</v>
      </c>
      <c r="C19" t="s">
        <v>3075</v>
      </c>
      <c r="D19" s="22">
        <v>16657</v>
      </c>
      <c r="E19" s="22">
        <v>2898622</v>
      </c>
      <c r="F19" t="s">
        <v>875</v>
      </c>
    </row>
    <row r="20" spans="1:6">
      <c r="A20" t="s">
        <v>27</v>
      </c>
      <c r="B20" t="s">
        <v>82</v>
      </c>
      <c r="C20" t="s">
        <v>3074</v>
      </c>
      <c r="D20" s="22">
        <v>996867</v>
      </c>
      <c r="E20" s="22">
        <v>2976774</v>
      </c>
      <c r="F20" t="s">
        <v>3036</v>
      </c>
    </row>
    <row r="21" spans="1:6">
      <c r="A21" t="s">
        <v>27</v>
      </c>
      <c r="B21" t="s">
        <v>82</v>
      </c>
      <c r="C21" t="s">
        <v>3075</v>
      </c>
      <c r="D21" s="22">
        <v>53697</v>
      </c>
      <c r="E21" s="22">
        <v>2976774</v>
      </c>
      <c r="F21" t="s">
        <v>879</v>
      </c>
    </row>
    <row r="22" spans="1:6">
      <c r="A22" t="s">
        <v>27</v>
      </c>
      <c r="B22" t="s">
        <v>111</v>
      </c>
      <c r="C22" t="s">
        <v>3074</v>
      </c>
      <c r="D22" s="22">
        <v>72025</v>
      </c>
      <c r="E22" s="22">
        <v>33591674.99</v>
      </c>
      <c r="F22" t="s">
        <v>3047</v>
      </c>
    </row>
    <row r="23" spans="1:6">
      <c r="A23" t="s">
        <v>27</v>
      </c>
      <c r="B23" t="s">
        <v>111</v>
      </c>
      <c r="C23" t="s">
        <v>3075</v>
      </c>
      <c r="D23" s="22">
        <v>72025</v>
      </c>
      <c r="E23" s="22">
        <v>33591674.98999996</v>
      </c>
      <c r="F23" t="s">
        <v>881</v>
      </c>
    </row>
    <row r="24" spans="1:6">
      <c r="A24" t="s">
        <v>27</v>
      </c>
      <c r="B24" t="s">
        <v>233</v>
      </c>
      <c r="C24" t="s">
        <v>3074</v>
      </c>
      <c r="D24" t="s">
        <v>51</v>
      </c>
      <c r="E24" t="s">
        <v>51</v>
      </c>
    </row>
    <row r="25" spans="1:6">
      <c r="A25" t="s">
        <v>27</v>
      </c>
      <c r="B25" t="s">
        <v>233</v>
      </c>
      <c r="C25" t="s">
        <v>3075</v>
      </c>
      <c r="D25" s="22">
        <v>330516</v>
      </c>
      <c r="E25" s="22">
        <v>22106987.68000206</v>
      </c>
      <c r="F25" t="s">
        <v>3048</v>
      </c>
    </row>
    <row r="26" spans="1:6">
      <c r="A26" t="s">
        <v>27</v>
      </c>
      <c r="B26" t="s">
        <v>91</v>
      </c>
      <c r="C26" t="s">
        <v>3074</v>
      </c>
      <c r="D26" s="22">
        <v>128</v>
      </c>
      <c r="E26" s="22">
        <v>16166.71</v>
      </c>
      <c r="F26" t="s">
        <v>3038</v>
      </c>
    </row>
    <row r="27" spans="1:6">
      <c r="A27" t="s">
        <v>27</v>
      </c>
      <c r="B27" t="s">
        <v>91</v>
      </c>
      <c r="C27" t="s">
        <v>3075</v>
      </c>
      <c r="D27" s="22">
        <v>128</v>
      </c>
      <c r="E27" s="22">
        <v>16166.71</v>
      </c>
      <c r="F27" t="s">
        <v>3039</v>
      </c>
    </row>
    <row r="28" spans="1:6">
      <c r="A28" t="s">
        <v>27</v>
      </c>
      <c r="B28" t="s">
        <v>99</v>
      </c>
      <c r="C28" t="s">
        <v>3074</v>
      </c>
      <c r="D28" s="22">
        <v>116</v>
      </c>
      <c r="E28" s="22">
        <v>22084.09</v>
      </c>
      <c r="F28" t="s">
        <v>3041</v>
      </c>
    </row>
    <row r="29" spans="1:6">
      <c r="A29" t="s">
        <v>27</v>
      </c>
      <c r="B29" t="s">
        <v>99</v>
      </c>
      <c r="C29" t="s">
        <v>3075</v>
      </c>
      <c r="D29" s="22">
        <v>116</v>
      </c>
      <c r="E29" s="22">
        <v>22084.09000000001</v>
      </c>
      <c r="F29" t="s">
        <v>3042</v>
      </c>
    </row>
    <row r="30" spans="1:6">
      <c r="A30" t="s">
        <v>27</v>
      </c>
      <c r="B30" t="s">
        <v>105</v>
      </c>
      <c r="C30" t="s">
        <v>3074</v>
      </c>
      <c r="D30" s="22">
        <v>374</v>
      </c>
      <c r="E30" s="22">
        <v>172626.62</v>
      </c>
      <c r="F30" t="s">
        <v>3044</v>
      </c>
    </row>
    <row r="31" spans="1:6">
      <c r="A31" t="s">
        <v>27</v>
      </c>
      <c r="B31" t="s">
        <v>105</v>
      </c>
      <c r="C31" t="s">
        <v>3075</v>
      </c>
      <c r="D31" s="22">
        <v>374</v>
      </c>
      <c r="E31" s="22">
        <v>172626.6199999999</v>
      </c>
      <c r="F31" t="s">
        <v>3045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>
  <dimension ref="A1:G27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5.7109375" customWidth="1"/>
    <col min="2" max="2" width="22.7109375" customWidth="1"/>
    <col min="3" max="6" width="30.7109375" customWidth="1"/>
    <col min="7" max="7" width="85.7109375" customWidth="1"/>
  </cols>
  <sheetData>
    <row r="1" spans="1:7">
      <c r="A1" s="19" t="s">
        <v>971</v>
      </c>
    </row>
    <row r="3" spans="1:7">
      <c r="A3" s="20" t="s">
        <v>972</v>
      </c>
    </row>
    <row r="5" spans="1:7">
      <c r="A5" t="s">
        <v>955</v>
      </c>
      <c r="B5" t="s">
        <v>956</v>
      </c>
      <c r="C5" t="s">
        <v>957</v>
      </c>
      <c r="D5" t="s">
        <v>958</v>
      </c>
      <c r="E5" t="s">
        <v>959</v>
      </c>
      <c r="F5" s="21" t="s">
        <v>976</v>
      </c>
      <c r="G5" t="s">
        <v>961</v>
      </c>
    </row>
    <row r="6" spans="1:7">
      <c r="A6" s="18" t="s">
        <v>58</v>
      </c>
      <c r="B6" s="18" t="s">
        <v>962</v>
      </c>
      <c r="C6" s="18" t="s">
        <v>10</v>
      </c>
      <c r="D6" s="22">
        <v>1793165</v>
      </c>
      <c r="E6" s="22">
        <v>1793165</v>
      </c>
      <c r="F6" s="22">
        <v>1483372</v>
      </c>
      <c r="G6" s="18"/>
    </row>
    <row r="7" spans="1:7">
      <c r="A7" s="18" t="s">
        <v>68</v>
      </c>
      <c r="B7" s="18" t="s">
        <v>962</v>
      </c>
      <c r="C7" s="18" t="s">
        <v>10</v>
      </c>
      <c r="D7" s="22">
        <v>2778926</v>
      </c>
      <c r="E7" s="22">
        <v>2778926</v>
      </c>
      <c r="F7" s="22">
        <v>2749252</v>
      </c>
      <c r="G7" s="18"/>
    </row>
    <row r="8" spans="1:7">
      <c r="A8" s="18" t="s">
        <v>87</v>
      </c>
      <c r="B8" s="18" t="s">
        <v>962</v>
      </c>
      <c r="C8" s="18" t="s">
        <v>10</v>
      </c>
      <c r="D8" s="22">
        <v>14110</v>
      </c>
      <c r="E8" s="22">
        <v>14110</v>
      </c>
      <c r="F8" s="22">
        <v>14110</v>
      </c>
      <c r="G8" s="18"/>
    </row>
    <row r="9" spans="1:7">
      <c r="A9" s="18" t="s">
        <v>49</v>
      </c>
      <c r="B9" s="18" t="s">
        <v>962</v>
      </c>
      <c r="C9" s="18" t="s">
        <v>10</v>
      </c>
      <c r="D9" s="22">
        <v>147601</v>
      </c>
      <c r="E9" s="22">
        <v>147601</v>
      </c>
      <c r="F9" s="22">
        <v>106046</v>
      </c>
      <c r="G9" s="18" t="s">
        <v>979</v>
      </c>
    </row>
    <row r="10" spans="1:7">
      <c r="A10" s="18" t="s">
        <v>73</v>
      </c>
      <c r="B10" s="18" t="s">
        <v>962</v>
      </c>
      <c r="C10" s="18" t="s">
        <v>10</v>
      </c>
      <c r="D10" s="22">
        <v>3434403</v>
      </c>
      <c r="E10" s="22">
        <v>3434403</v>
      </c>
      <c r="F10" s="22">
        <v>3434402</v>
      </c>
      <c r="G10" s="18"/>
    </row>
    <row r="11" spans="1:7">
      <c r="A11" s="18" t="s">
        <v>78</v>
      </c>
      <c r="B11" s="18" t="s">
        <v>962</v>
      </c>
      <c r="C11" s="18" t="s">
        <v>10</v>
      </c>
      <c r="D11" s="22">
        <v>607594</v>
      </c>
      <c r="E11" s="22">
        <v>607594</v>
      </c>
      <c r="F11" s="22">
        <v>558534</v>
      </c>
      <c r="G11" s="18"/>
    </row>
    <row r="12" spans="1:7">
      <c r="A12" s="18" t="s">
        <v>63</v>
      </c>
      <c r="B12" s="18" t="s">
        <v>962</v>
      </c>
      <c r="C12" s="18" t="s">
        <v>10</v>
      </c>
      <c r="D12" s="22">
        <v>2998937</v>
      </c>
      <c r="E12" s="22">
        <v>2998937</v>
      </c>
      <c r="F12" s="22">
        <v>2898622</v>
      </c>
      <c r="G12" s="18"/>
    </row>
    <row r="13" spans="1:7">
      <c r="A13" s="18" t="s">
        <v>82</v>
      </c>
      <c r="B13" s="18" t="s">
        <v>962</v>
      </c>
      <c r="C13" s="18" t="s">
        <v>19</v>
      </c>
      <c r="D13" s="22">
        <v>2976774</v>
      </c>
      <c r="E13" s="22">
        <v>3483914.102135074</v>
      </c>
      <c r="F13" s="22">
        <v>2976774</v>
      </c>
      <c r="G13" s="18" t="s">
        <v>963</v>
      </c>
    </row>
    <row r="14" spans="1:7">
      <c r="A14" s="18" t="s">
        <v>112</v>
      </c>
      <c r="B14" s="18" t="s">
        <v>962</v>
      </c>
      <c r="C14" s="18" t="s">
        <v>25</v>
      </c>
      <c r="D14" s="22">
        <v>38076721.7399988</v>
      </c>
      <c r="E14" s="22">
        <v>2048298.580429778</v>
      </c>
      <c r="F14" s="22">
        <v>33591674.98999996</v>
      </c>
      <c r="G14" s="18" t="s">
        <v>963</v>
      </c>
    </row>
    <row r="15" spans="1:7">
      <c r="A15" s="18" t="s">
        <v>360</v>
      </c>
      <c r="B15" s="18" t="s">
        <v>964</v>
      </c>
      <c r="C15" s="18"/>
      <c r="D15" s="23" t="s">
        <v>51</v>
      </c>
      <c r="E15" s="23" t="s">
        <v>51</v>
      </c>
      <c r="F15" s="23" t="s">
        <v>51</v>
      </c>
      <c r="G15" s="18"/>
    </row>
    <row r="16" spans="1:7">
      <c r="A16" s="18" t="s">
        <v>234</v>
      </c>
      <c r="B16" s="18" t="s">
        <v>962</v>
      </c>
      <c r="C16" s="18" t="s">
        <v>14</v>
      </c>
      <c r="D16" s="22">
        <v>22106987.68000206</v>
      </c>
      <c r="E16" s="22">
        <v>3775169.595644208</v>
      </c>
      <c r="F16" s="22">
        <v>22106987.68000206</v>
      </c>
      <c r="G16" s="18" t="s">
        <v>975</v>
      </c>
    </row>
    <row r="17" spans="1:7">
      <c r="A17" s="18" t="s">
        <v>92</v>
      </c>
      <c r="B17" s="18" t="s">
        <v>962</v>
      </c>
      <c r="C17" s="18" t="s">
        <v>16</v>
      </c>
      <c r="D17" s="22">
        <v>16166.70999999926</v>
      </c>
      <c r="E17" s="22">
        <v>2162.493668118371</v>
      </c>
      <c r="F17" s="22">
        <v>16166.71</v>
      </c>
      <c r="G17" s="18"/>
    </row>
    <row r="18" spans="1:7">
      <c r="A18" s="18" t="s">
        <v>100</v>
      </c>
      <c r="B18" s="18" t="s">
        <v>962</v>
      </c>
      <c r="C18" s="18" t="s">
        <v>21</v>
      </c>
      <c r="D18" s="22">
        <v>22084.0899999995</v>
      </c>
      <c r="E18" s="22">
        <v>2025.348040871968</v>
      </c>
      <c r="F18" s="22">
        <v>22084.09000000001</v>
      </c>
      <c r="G18" s="18"/>
    </row>
    <row r="19" spans="1:7">
      <c r="A19" s="18" t="s">
        <v>106</v>
      </c>
      <c r="B19" s="18" t="s">
        <v>962</v>
      </c>
      <c r="C19" s="18" t="s">
        <v>23</v>
      </c>
      <c r="D19" s="22">
        <v>172626.620000001</v>
      </c>
      <c r="E19" s="22">
        <v>15218.24551504693</v>
      </c>
      <c r="F19" s="22">
        <v>172626.6199999999</v>
      </c>
      <c r="G19" s="18"/>
    </row>
    <row r="22" spans="1:7">
      <c r="A22" s="30" t="s">
        <v>966</v>
      </c>
      <c r="D22" s="22">
        <v>21101524.3654331</v>
      </c>
    </row>
    <row r="23" spans="1:7">
      <c r="A23" s="30" t="s">
        <v>967</v>
      </c>
      <c r="C23" t="s">
        <v>968</v>
      </c>
    </row>
    <row r="25" spans="1:7">
      <c r="A25" s="20" t="s">
        <v>977</v>
      </c>
    </row>
    <row r="27" spans="1:7">
      <c r="A27" s="20" t="s">
        <v>978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1518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2" width="18.7109375" customWidth="1"/>
    <col min="3" max="3" width="45.7109375" customWidth="1"/>
    <col min="4" max="4" width="25.7109375" customWidth="1"/>
    <col min="5" max="5" width="12.7109375" customWidth="1"/>
    <col min="6" max="6" width="65.7109375" customWidth="1"/>
  </cols>
  <sheetData>
    <row r="1" spans="1:6">
      <c r="A1" t="s">
        <v>986</v>
      </c>
      <c r="B1" t="s">
        <v>955</v>
      </c>
      <c r="C1" t="s">
        <v>987</v>
      </c>
      <c r="D1" t="s">
        <v>988</v>
      </c>
      <c r="E1" t="s">
        <v>989</v>
      </c>
      <c r="F1" t="s">
        <v>990</v>
      </c>
    </row>
    <row r="2" spans="1:6">
      <c r="A2" t="s">
        <v>13</v>
      </c>
      <c r="B2" t="s">
        <v>49</v>
      </c>
      <c r="C2" t="s">
        <v>835</v>
      </c>
      <c r="D2" t="s">
        <v>991</v>
      </c>
      <c r="E2" t="s">
        <v>992</v>
      </c>
      <c r="F2" t="s">
        <v>993</v>
      </c>
    </row>
    <row r="3" spans="1:6">
      <c r="A3" t="s">
        <v>13</v>
      </c>
      <c r="B3" t="s">
        <v>49</v>
      </c>
      <c r="C3" t="s">
        <v>835</v>
      </c>
      <c r="D3" t="s">
        <v>991</v>
      </c>
      <c r="E3" t="s">
        <v>994</v>
      </c>
      <c r="F3" t="s">
        <v>49</v>
      </c>
    </row>
    <row r="4" spans="1:6">
      <c r="A4" t="s">
        <v>13</v>
      </c>
      <c r="B4" t="s">
        <v>49</v>
      </c>
      <c r="C4" t="s">
        <v>835</v>
      </c>
      <c r="D4" t="s">
        <v>991</v>
      </c>
      <c r="E4" t="s">
        <v>995</v>
      </c>
      <c r="F4" t="s">
        <v>996</v>
      </c>
    </row>
    <row r="5" spans="1:6">
      <c r="A5" t="s">
        <v>13</v>
      </c>
      <c r="B5" t="s">
        <v>49</v>
      </c>
      <c r="C5" t="s">
        <v>835</v>
      </c>
      <c r="D5" t="s">
        <v>991</v>
      </c>
      <c r="E5" t="s">
        <v>997</v>
      </c>
      <c r="F5" t="s">
        <v>998</v>
      </c>
    </row>
    <row r="6" spans="1:6">
      <c r="A6" t="s">
        <v>13</v>
      </c>
      <c r="B6" t="s">
        <v>49</v>
      </c>
      <c r="C6" t="s">
        <v>835</v>
      </c>
      <c r="D6" t="s">
        <v>991</v>
      </c>
      <c r="E6" t="s">
        <v>999</v>
      </c>
      <c r="F6" t="s">
        <v>1000</v>
      </c>
    </row>
    <row r="7" spans="1:6">
      <c r="A7" t="s">
        <v>13</v>
      </c>
      <c r="B7" t="s">
        <v>49</v>
      </c>
      <c r="C7" t="s">
        <v>835</v>
      </c>
      <c r="D7" t="s">
        <v>991</v>
      </c>
      <c r="E7" t="s">
        <v>1001</v>
      </c>
      <c r="F7" t="s">
        <v>10</v>
      </c>
    </row>
    <row r="8" spans="1:6">
      <c r="A8" t="s">
        <v>13</v>
      </c>
      <c r="B8" t="s">
        <v>49</v>
      </c>
      <c r="C8" t="s">
        <v>835</v>
      </c>
      <c r="D8" t="s">
        <v>991</v>
      </c>
      <c r="E8" t="s">
        <v>1002</v>
      </c>
      <c r="F8" t="s">
        <v>1003</v>
      </c>
    </row>
    <row r="9" spans="1:6">
      <c r="A9" t="s">
        <v>13</v>
      </c>
      <c r="B9" t="s">
        <v>49</v>
      </c>
      <c r="C9" t="s">
        <v>835</v>
      </c>
      <c r="D9" t="s">
        <v>991</v>
      </c>
      <c r="E9" t="s">
        <v>1004</v>
      </c>
      <c r="F9" t="s">
        <v>1005</v>
      </c>
    </row>
    <row r="10" spans="1:6">
      <c r="A10" t="s">
        <v>13</v>
      </c>
      <c r="B10" t="s">
        <v>49</v>
      </c>
      <c r="C10" t="s">
        <v>835</v>
      </c>
      <c r="D10" t="s">
        <v>991</v>
      </c>
      <c r="E10" t="s">
        <v>1006</v>
      </c>
      <c r="F10" t="s">
        <v>1007</v>
      </c>
    </row>
    <row r="11" spans="1:6">
      <c r="A11" t="s">
        <v>13</v>
      </c>
      <c r="B11" t="s">
        <v>49</v>
      </c>
      <c r="C11" t="s">
        <v>835</v>
      </c>
      <c r="D11" t="s">
        <v>991</v>
      </c>
      <c r="E11" t="s">
        <v>1008</v>
      </c>
      <c r="F11" t="s">
        <v>1009</v>
      </c>
    </row>
    <row r="12" spans="1:6">
      <c r="A12" t="s">
        <v>13</v>
      </c>
      <c r="B12" t="s">
        <v>49</v>
      </c>
      <c r="C12" t="s">
        <v>835</v>
      </c>
      <c r="D12" t="s">
        <v>991</v>
      </c>
      <c r="E12" t="s">
        <v>1010</v>
      </c>
      <c r="F12" t="s">
        <v>1011</v>
      </c>
    </row>
    <row r="13" spans="1:6">
      <c r="A13" t="s">
        <v>13</v>
      </c>
      <c r="B13" t="s">
        <v>49</v>
      </c>
      <c r="C13" t="s">
        <v>835</v>
      </c>
      <c r="D13" t="s">
        <v>991</v>
      </c>
      <c r="E13" t="s">
        <v>1012</v>
      </c>
      <c r="F13" t="s">
        <v>1013</v>
      </c>
    </row>
    <row r="14" spans="1:6">
      <c r="A14" t="s">
        <v>13</v>
      </c>
      <c r="B14" t="s">
        <v>49</v>
      </c>
      <c r="C14" t="s">
        <v>835</v>
      </c>
      <c r="D14" t="s">
        <v>991</v>
      </c>
      <c r="E14" t="s">
        <v>1014</v>
      </c>
      <c r="F14" t="s">
        <v>1015</v>
      </c>
    </row>
    <row r="15" spans="1:6">
      <c r="A15" t="s">
        <v>13</v>
      </c>
      <c r="B15" t="s">
        <v>49</v>
      </c>
      <c r="C15" t="s">
        <v>835</v>
      </c>
      <c r="D15" t="s">
        <v>991</v>
      </c>
      <c r="E15" t="s">
        <v>1016</v>
      </c>
      <c r="F15" t="s">
        <v>1017</v>
      </c>
    </row>
    <row r="16" spans="1:6">
      <c r="A16" t="s">
        <v>13</v>
      </c>
      <c r="B16" t="s">
        <v>49</v>
      </c>
      <c r="C16" t="s">
        <v>835</v>
      </c>
      <c r="D16" t="s">
        <v>991</v>
      </c>
      <c r="E16" t="s">
        <v>1018</v>
      </c>
      <c r="F16" t="s">
        <v>1019</v>
      </c>
    </row>
    <row r="17" spans="1:6">
      <c r="A17" t="s">
        <v>13</v>
      </c>
      <c r="B17" t="s">
        <v>49</v>
      </c>
      <c r="C17" t="s">
        <v>835</v>
      </c>
      <c r="D17" t="s">
        <v>991</v>
      </c>
      <c r="E17" t="s">
        <v>1020</v>
      </c>
      <c r="F17" t="s">
        <v>1021</v>
      </c>
    </row>
    <row r="18" spans="1:6">
      <c r="A18" t="s">
        <v>13</v>
      </c>
      <c r="B18" t="s">
        <v>49</v>
      </c>
      <c r="C18" t="s">
        <v>835</v>
      </c>
      <c r="D18" t="s">
        <v>991</v>
      </c>
      <c r="E18" t="s">
        <v>1022</v>
      </c>
      <c r="F18" t="s">
        <v>1023</v>
      </c>
    </row>
    <row r="19" spans="1:6">
      <c r="A19" t="s">
        <v>13</v>
      </c>
      <c r="B19" t="s">
        <v>49</v>
      </c>
      <c r="C19" t="s">
        <v>835</v>
      </c>
      <c r="D19" t="s">
        <v>991</v>
      </c>
      <c r="E19" t="s">
        <v>1024</v>
      </c>
      <c r="F19" t="s">
        <v>1025</v>
      </c>
    </row>
    <row r="20" spans="1:6">
      <c r="A20" t="s">
        <v>13</v>
      </c>
      <c r="B20" t="s">
        <v>49</v>
      </c>
      <c r="C20" t="s">
        <v>835</v>
      </c>
      <c r="D20" t="s">
        <v>991</v>
      </c>
      <c r="E20" t="s">
        <v>1026</v>
      </c>
      <c r="F20" t="s">
        <v>1027</v>
      </c>
    </row>
    <row r="21" spans="1:6">
      <c r="A21" t="s">
        <v>13</v>
      </c>
      <c r="B21" t="s">
        <v>49</v>
      </c>
      <c r="C21" t="s">
        <v>835</v>
      </c>
      <c r="D21" t="s">
        <v>991</v>
      </c>
      <c r="E21" t="s">
        <v>1028</v>
      </c>
      <c r="F21" t="s">
        <v>1029</v>
      </c>
    </row>
    <row r="22" spans="1:6">
      <c r="A22" t="s">
        <v>13</v>
      </c>
      <c r="B22" t="s">
        <v>49</v>
      </c>
      <c r="C22" t="s">
        <v>835</v>
      </c>
      <c r="D22" t="s">
        <v>991</v>
      </c>
      <c r="E22" t="s">
        <v>1030</v>
      </c>
      <c r="F22" t="s">
        <v>1031</v>
      </c>
    </row>
    <row r="23" spans="1:6">
      <c r="A23" t="s">
        <v>13</v>
      </c>
      <c r="B23" t="s">
        <v>49</v>
      </c>
      <c r="C23" t="s">
        <v>835</v>
      </c>
      <c r="D23" t="s">
        <v>991</v>
      </c>
      <c r="E23" t="s">
        <v>1032</v>
      </c>
      <c r="F23" t="s">
        <v>1033</v>
      </c>
    </row>
    <row r="24" spans="1:6">
      <c r="A24" t="s">
        <v>13</v>
      </c>
      <c r="B24" t="s">
        <v>49</v>
      </c>
      <c r="C24" t="s">
        <v>835</v>
      </c>
      <c r="D24" t="s">
        <v>991</v>
      </c>
      <c r="E24" t="s">
        <v>1034</v>
      </c>
      <c r="F24" t="s">
        <v>50</v>
      </c>
    </row>
    <row r="25" spans="1:6">
      <c r="A25" t="s">
        <v>13</v>
      </c>
      <c r="B25" t="s">
        <v>49</v>
      </c>
      <c r="C25" t="s">
        <v>835</v>
      </c>
      <c r="D25" t="s">
        <v>991</v>
      </c>
      <c r="E25" t="s">
        <v>1035</v>
      </c>
      <c r="F25">
        <v>35597890</v>
      </c>
    </row>
    <row r="26" spans="1:6">
      <c r="A26" t="s">
        <v>13</v>
      </c>
      <c r="B26" t="s">
        <v>49</v>
      </c>
      <c r="C26" t="s">
        <v>835</v>
      </c>
      <c r="D26" t="s">
        <v>991</v>
      </c>
      <c r="E26" t="s">
        <v>1036</v>
      </c>
      <c r="F26">
        <v>2025</v>
      </c>
    </row>
    <row r="27" spans="1:6">
      <c r="A27" t="s">
        <v>13</v>
      </c>
      <c r="B27" t="s">
        <v>49</v>
      </c>
      <c r="C27" t="s">
        <v>835</v>
      </c>
      <c r="D27" t="s">
        <v>991</v>
      </c>
      <c r="E27" t="s">
        <v>1037</v>
      </c>
      <c r="F27">
        <v>5799952</v>
      </c>
    </row>
    <row r="28" spans="1:6">
      <c r="A28" t="s">
        <v>13</v>
      </c>
      <c r="B28" t="s">
        <v>49</v>
      </c>
      <c r="C28" t="s">
        <v>835</v>
      </c>
      <c r="D28" t="s">
        <v>991</v>
      </c>
      <c r="E28" t="s">
        <v>1038</v>
      </c>
      <c r="F28">
        <v>2026</v>
      </c>
    </row>
    <row r="29" spans="1:6">
      <c r="A29" t="s">
        <v>13</v>
      </c>
      <c r="B29" t="s">
        <v>49</v>
      </c>
      <c r="C29" t="s">
        <v>835</v>
      </c>
      <c r="D29" t="s">
        <v>991</v>
      </c>
      <c r="E29" t="s">
        <v>1039</v>
      </c>
      <c r="F29">
        <v>649443</v>
      </c>
    </row>
    <row r="30" spans="1:6">
      <c r="A30" t="s">
        <v>13</v>
      </c>
      <c r="B30" t="s">
        <v>49</v>
      </c>
      <c r="C30" t="s">
        <v>835</v>
      </c>
      <c r="D30" t="s">
        <v>991</v>
      </c>
      <c r="E30" t="s">
        <v>1040</v>
      </c>
      <c r="F30">
        <v>114220</v>
      </c>
    </row>
    <row r="31" spans="1:6">
      <c r="A31" t="s">
        <v>13</v>
      </c>
      <c r="B31" t="s">
        <v>49</v>
      </c>
      <c r="C31" t="s">
        <v>835</v>
      </c>
      <c r="D31" t="s">
        <v>991</v>
      </c>
      <c r="E31" t="s">
        <v>1041</v>
      </c>
      <c r="F31">
        <v>112478</v>
      </c>
    </row>
    <row r="32" spans="1:6">
      <c r="A32" t="s">
        <v>13</v>
      </c>
      <c r="B32" t="s">
        <v>49</v>
      </c>
      <c r="C32" t="s">
        <v>835</v>
      </c>
      <c r="D32" t="s">
        <v>991</v>
      </c>
      <c r="E32" t="s">
        <v>1042</v>
      </c>
      <c r="F32">
        <v>145236</v>
      </c>
    </row>
    <row r="33" spans="1:6">
      <c r="A33" t="s">
        <v>13</v>
      </c>
      <c r="B33" t="s">
        <v>49</v>
      </c>
      <c r="C33" t="s">
        <v>835</v>
      </c>
      <c r="D33" t="s">
        <v>991</v>
      </c>
      <c r="E33" t="s">
        <v>1043</v>
      </c>
      <c r="F33">
        <v>105005</v>
      </c>
    </row>
    <row r="34" spans="1:6">
      <c r="A34" t="s">
        <v>13</v>
      </c>
      <c r="B34" t="s">
        <v>49</v>
      </c>
      <c r="C34" t="s">
        <v>835</v>
      </c>
      <c r="D34" t="s">
        <v>991</v>
      </c>
      <c r="E34" t="s">
        <v>1044</v>
      </c>
      <c r="F34">
        <v>68164</v>
      </c>
    </row>
    <row r="35" spans="1:6">
      <c r="A35" t="s">
        <v>13</v>
      </c>
      <c r="B35" t="s">
        <v>49</v>
      </c>
      <c r="C35" t="s">
        <v>835</v>
      </c>
      <c r="D35" t="s">
        <v>991</v>
      </c>
      <c r="E35" t="s">
        <v>1045</v>
      </c>
      <c r="F35">
        <v>104341</v>
      </c>
    </row>
    <row r="36" spans="1:6">
      <c r="A36" t="s">
        <v>13</v>
      </c>
      <c r="B36" t="s">
        <v>49</v>
      </c>
      <c r="C36" t="s">
        <v>835</v>
      </c>
      <c r="D36" t="s">
        <v>991</v>
      </c>
      <c r="E36" t="s">
        <v>1046</v>
      </c>
      <c r="F36">
        <v>0</v>
      </c>
    </row>
    <row r="37" spans="1:6">
      <c r="A37" t="s">
        <v>13</v>
      </c>
      <c r="B37" t="s">
        <v>49</v>
      </c>
      <c r="C37" t="s">
        <v>835</v>
      </c>
      <c r="D37" t="s">
        <v>991</v>
      </c>
      <c r="E37" t="s">
        <v>1047</v>
      </c>
      <c r="F37">
        <v>0</v>
      </c>
    </row>
    <row r="38" spans="1:6">
      <c r="A38" t="s">
        <v>13</v>
      </c>
      <c r="B38" t="s">
        <v>49</v>
      </c>
      <c r="C38" t="s">
        <v>835</v>
      </c>
      <c r="D38" t="s">
        <v>991</v>
      </c>
      <c r="E38" t="s">
        <v>1048</v>
      </c>
      <c r="F38">
        <v>0</v>
      </c>
    </row>
    <row r="39" spans="1:6">
      <c r="A39" t="s">
        <v>13</v>
      </c>
      <c r="B39" t="s">
        <v>49</v>
      </c>
      <c r="C39" t="s">
        <v>835</v>
      </c>
      <c r="D39" t="s">
        <v>991</v>
      </c>
      <c r="E39" t="s">
        <v>1049</v>
      </c>
      <c r="F39">
        <v>0</v>
      </c>
    </row>
    <row r="40" spans="1:6">
      <c r="A40" t="s">
        <v>13</v>
      </c>
      <c r="B40" t="s">
        <v>49</v>
      </c>
      <c r="C40" t="s">
        <v>835</v>
      </c>
      <c r="D40" t="s">
        <v>991</v>
      </c>
      <c r="E40" t="s">
        <v>1050</v>
      </c>
      <c r="F40">
        <v>0</v>
      </c>
    </row>
    <row r="41" spans="1:6">
      <c r="A41" t="s">
        <v>13</v>
      </c>
      <c r="B41" t="s">
        <v>49</v>
      </c>
      <c r="C41" t="s">
        <v>835</v>
      </c>
      <c r="D41" t="s">
        <v>991</v>
      </c>
      <c r="E41" t="s">
        <v>1051</v>
      </c>
      <c r="F41">
        <v>0</v>
      </c>
    </row>
    <row r="42" spans="1:6">
      <c r="A42" t="s">
        <v>13</v>
      </c>
      <c r="B42" t="s">
        <v>49</v>
      </c>
      <c r="C42" t="s">
        <v>835</v>
      </c>
      <c r="D42" t="s">
        <v>991</v>
      </c>
      <c r="E42" t="s">
        <v>1052</v>
      </c>
      <c r="F42" t="s">
        <v>1009</v>
      </c>
    </row>
    <row r="43" spans="1:6">
      <c r="A43" t="s">
        <v>13</v>
      </c>
      <c r="B43" t="s">
        <v>49</v>
      </c>
      <c r="C43" t="s">
        <v>835</v>
      </c>
      <c r="D43" t="s">
        <v>991</v>
      </c>
      <c r="E43" t="s">
        <v>1053</v>
      </c>
      <c r="F43">
        <v>42047286</v>
      </c>
    </row>
    <row r="44" spans="1:6">
      <c r="A44" t="s">
        <v>13</v>
      </c>
      <c r="B44" t="s">
        <v>49</v>
      </c>
      <c r="C44" t="s">
        <v>835</v>
      </c>
      <c r="D44" t="s">
        <v>991</v>
      </c>
      <c r="E44" t="s">
        <v>1054</v>
      </c>
      <c r="F44" t="s">
        <v>1055</v>
      </c>
    </row>
    <row r="45" spans="1:6">
      <c r="A45" t="s">
        <v>13</v>
      </c>
      <c r="B45" t="s">
        <v>49</v>
      </c>
      <c r="C45" t="s">
        <v>835</v>
      </c>
      <c r="D45" t="s">
        <v>991</v>
      </c>
      <c r="E45" t="s">
        <v>1056</v>
      </c>
      <c r="F45" t="s">
        <v>1007</v>
      </c>
    </row>
    <row r="46" spans="1:6">
      <c r="A46" t="s">
        <v>13</v>
      </c>
      <c r="B46" t="s">
        <v>49</v>
      </c>
      <c r="C46" t="s">
        <v>835</v>
      </c>
      <c r="D46" t="s">
        <v>991</v>
      </c>
      <c r="E46" t="s">
        <v>1057</v>
      </c>
      <c r="F46" t="s">
        <v>1009</v>
      </c>
    </row>
    <row r="47" spans="1:6">
      <c r="A47" t="s">
        <v>13</v>
      </c>
      <c r="B47" t="s">
        <v>49</v>
      </c>
      <c r="C47" t="s">
        <v>835</v>
      </c>
      <c r="D47" t="s">
        <v>991</v>
      </c>
      <c r="E47" t="s">
        <v>1058</v>
      </c>
      <c r="F47" t="s">
        <v>1011</v>
      </c>
    </row>
    <row r="48" spans="1:6">
      <c r="A48" t="s">
        <v>13</v>
      </c>
      <c r="B48" t="s">
        <v>49</v>
      </c>
      <c r="C48" t="s">
        <v>835</v>
      </c>
      <c r="D48" t="s">
        <v>991</v>
      </c>
      <c r="E48" t="s">
        <v>1059</v>
      </c>
      <c r="F48" t="s">
        <v>1013</v>
      </c>
    </row>
    <row r="49" spans="1:6">
      <c r="A49" t="s">
        <v>13</v>
      </c>
      <c r="B49" t="s">
        <v>49</v>
      </c>
      <c r="C49" t="s">
        <v>835</v>
      </c>
      <c r="D49" t="s">
        <v>991</v>
      </c>
      <c r="E49" t="s">
        <v>1060</v>
      </c>
      <c r="F49" t="s">
        <v>1015</v>
      </c>
    </row>
    <row r="50" spans="1:6">
      <c r="A50" t="s">
        <v>13</v>
      </c>
      <c r="B50" t="s">
        <v>49</v>
      </c>
      <c r="C50" t="s">
        <v>835</v>
      </c>
      <c r="D50" t="s">
        <v>991</v>
      </c>
      <c r="E50" t="s">
        <v>1061</v>
      </c>
      <c r="F50" t="s">
        <v>1017</v>
      </c>
    </row>
    <row r="51" spans="1:6">
      <c r="A51" t="s">
        <v>13</v>
      </c>
      <c r="B51" t="s">
        <v>49</v>
      </c>
      <c r="C51" t="s">
        <v>835</v>
      </c>
      <c r="D51" t="s">
        <v>991</v>
      </c>
      <c r="E51" t="s">
        <v>1062</v>
      </c>
      <c r="F51" t="s">
        <v>1019</v>
      </c>
    </row>
    <row r="52" spans="1:6">
      <c r="A52" t="s">
        <v>13</v>
      </c>
      <c r="B52" t="s">
        <v>49</v>
      </c>
      <c r="C52" t="s">
        <v>835</v>
      </c>
      <c r="D52" t="s">
        <v>991</v>
      </c>
      <c r="E52" t="s">
        <v>1063</v>
      </c>
      <c r="F52" t="s">
        <v>1021</v>
      </c>
    </row>
    <row r="53" spans="1:6">
      <c r="A53" t="s">
        <v>13</v>
      </c>
      <c r="B53" t="s">
        <v>49</v>
      </c>
      <c r="C53" t="s">
        <v>835</v>
      </c>
      <c r="D53" t="s">
        <v>991</v>
      </c>
      <c r="E53" t="s">
        <v>1064</v>
      </c>
      <c r="F53" t="s">
        <v>1023</v>
      </c>
    </row>
    <row r="54" spans="1:6">
      <c r="A54" t="s">
        <v>13</v>
      </c>
      <c r="B54" t="s">
        <v>49</v>
      </c>
      <c r="C54" t="s">
        <v>835</v>
      </c>
      <c r="D54" t="s">
        <v>991</v>
      </c>
      <c r="E54" t="s">
        <v>1065</v>
      </c>
      <c r="F54" t="s">
        <v>1066</v>
      </c>
    </row>
    <row r="55" spans="1:6">
      <c r="A55" t="s">
        <v>13</v>
      </c>
      <c r="B55" t="s">
        <v>49</v>
      </c>
      <c r="C55" t="s">
        <v>835</v>
      </c>
      <c r="D55" t="s">
        <v>991</v>
      </c>
      <c r="E55" t="s">
        <v>1067</v>
      </c>
      <c r="F55" t="s">
        <v>1027</v>
      </c>
    </row>
    <row r="56" spans="1:6">
      <c r="A56" t="s">
        <v>13</v>
      </c>
      <c r="B56" t="s">
        <v>49</v>
      </c>
      <c r="C56" t="s">
        <v>835</v>
      </c>
      <c r="D56" t="s">
        <v>991</v>
      </c>
      <c r="E56" t="s">
        <v>1068</v>
      </c>
      <c r="F56" t="s">
        <v>1029</v>
      </c>
    </row>
    <row r="57" spans="1:6">
      <c r="A57" t="s">
        <v>13</v>
      </c>
      <c r="B57" t="s">
        <v>49</v>
      </c>
      <c r="C57" t="s">
        <v>835</v>
      </c>
      <c r="D57" t="s">
        <v>991</v>
      </c>
      <c r="E57" t="s">
        <v>1069</v>
      </c>
      <c r="F57" t="s">
        <v>1031</v>
      </c>
    </row>
    <row r="58" spans="1:6">
      <c r="A58" t="s">
        <v>13</v>
      </c>
      <c r="B58" t="s">
        <v>49</v>
      </c>
      <c r="C58" t="s">
        <v>835</v>
      </c>
      <c r="D58" t="s">
        <v>991</v>
      </c>
      <c r="E58" t="s">
        <v>1070</v>
      </c>
      <c r="F58" t="s">
        <v>1033</v>
      </c>
    </row>
    <row r="59" spans="1:6">
      <c r="A59" t="s">
        <v>13</v>
      </c>
      <c r="B59" t="s">
        <v>49</v>
      </c>
      <c r="C59" t="s">
        <v>835</v>
      </c>
      <c r="D59" t="s">
        <v>991</v>
      </c>
      <c r="E59" t="s">
        <v>1071</v>
      </c>
      <c r="F59" t="s">
        <v>50</v>
      </c>
    </row>
    <row r="60" spans="1:6">
      <c r="A60" t="s">
        <v>13</v>
      </c>
      <c r="B60" t="s">
        <v>49</v>
      </c>
      <c r="C60" t="s">
        <v>835</v>
      </c>
      <c r="D60" t="s">
        <v>991</v>
      </c>
      <c r="E60" t="s">
        <v>1072</v>
      </c>
      <c r="F60">
        <v>113832</v>
      </c>
    </row>
    <row r="61" spans="1:6">
      <c r="A61" t="s">
        <v>13</v>
      </c>
      <c r="B61" t="s">
        <v>49</v>
      </c>
      <c r="C61" t="s">
        <v>835</v>
      </c>
      <c r="D61" t="s">
        <v>991</v>
      </c>
      <c r="E61" t="s">
        <v>1073</v>
      </c>
      <c r="F61">
        <v>2025</v>
      </c>
    </row>
    <row r="62" spans="1:6">
      <c r="A62" t="s">
        <v>13</v>
      </c>
      <c r="B62" t="s">
        <v>49</v>
      </c>
      <c r="C62" t="s">
        <v>835</v>
      </c>
      <c r="D62" t="s">
        <v>991</v>
      </c>
      <c r="E62" t="s">
        <v>1074</v>
      </c>
      <c r="F62">
        <v>15979</v>
      </c>
    </row>
    <row r="63" spans="1:6">
      <c r="A63" t="s">
        <v>13</v>
      </c>
      <c r="B63" t="s">
        <v>49</v>
      </c>
      <c r="C63" t="s">
        <v>835</v>
      </c>
      <c r="D63" t="s">
        <v>991</v>
      </c>
      <c r="E63" t="s">
        <v>1075</v>
      </c>
      <c r="F63">
        <v>2026</v>
      </c>
    </row>
    <row r="64" spans="1:6">
      <c r="A64" t="s">
        <v>13</v>
      </c>
      <c r="B64" t="s">
        <v>49</v>
      </c>
      <c r="C64" t="s">
        <v>835</v>
      </c>
      <c r="D64" t="s">
        <v>991</v>
      </c>
      <c r="E64" t="s">
        <v>1076</v>
      </c>
      <c r="F64">
        <v>1391</v>
      </c>
    </row>
    <row r="65" spans="1:6">
      <c r="A65" t="s">
        <v>13</v>
      </c>
      <c r="B65" t="s">
        <v>49</v>
      </c>
      <c r="C65" t="s">
        <v>835</v>
      </c>
      <c r="D65" t="s">
        <v>991</v>
      </c>
      <c r="E65" t="s">
        <v>1077</v>
      </c>
      <c r="F65">
        <v>183</v>
      </c>
    </row>
    <row r="66" spans="1:6">
      <c r="A66" t="s">
        <v>13</v>
      </c>
      <c r="B66" t="s">
        <v>49</v>
      </c>
      <c r="C66" t="s">
        <v>835</v>
      </c>
      <c r="D66" t="s">
        <v>991</v>
      </c>
      <c r="E66" t="s">
        <v>1078</v>
      </c>
      <c r="F66">
        <v>239</v>
      </c>
    </row>
    <row r="67" spans="1:6">
      <c r="A67" t="s">
        <v>13</v>
      </c>
      <c r="B67" t="s">
        <v>49</v>
      </c>
      <c r="C67" t="s">
        <v>835</v>
      </c>
      <c r="D67" t="s">
        <v>991</v>
      </c>
      <c r="E67" t="s">
        <v>1079</v>
      </c>
      <c r="F67">
        <v>298</v>
      </c>
    </row>
    <row r="68" spans="1:6">
      <c r="A68" t="s">
        <v>13</v>
      </c>
      <c r="B68" t="s">
        <v>49</v>
      </c>
      <c r="C68" t="s">
        <v>835</v>
      </c>
      <c r="D68" t="s">
        <v>991</v>
      </c>
      <c r="E68" t="s">
        <v>1080</v>
      </c>
      <c r="F68">
        <v>286</v>
      </c>
    </row>
    <row r="69" spans="1:6">
      <c r="A69" t="s">
        <v>13</v>
      </c>
      <c r="B69" t="s">
        <v>49</v>
      </c>
      <c r="C69" t="s">
        <v>835</v>
      </c>
      <c r="D69" t="s">
        <v>991</v>
      </c>
      <c r="E69" t="s">
        <v>1081</v>
      </c>
      <c r="F69">
        <v>174</v>
      </c>
    </row>
    <row r="70" spans="1:6">
      <c r="A70" t="s">
        <v>13</v>
      </c>
      <c r="B70" t="s">
        <v>49</v>
      </c>
      <c r="C70" t="s">
        <v>835</v>
      </c>
      <c r="D70" t="s">
        <v>991</v>
      </c>
      <c r="E70" t="s">
        <v>1082</v>
      </c>
      <c r="F70">
        <v>211</v>
      </c>
    </row>
    <row r="71" spans="1:6">
      <c r="A71" t="s">
        <v>13</v>
      </c>
      <c r="B71" t="s">
        <v>49</v>
      </c>
      <c r="C71" t="s">
        <v>835</v>
      </c>
      <c r="D71" t="s">
        <v>991</v>
      </c>
      <c r="E71" t="s">
        <v>1083</v>
      </c>
      <c r="F71">
        <v>0</v>
      </c>
    </row>
    <row r="72" spans="1:6">
      <c r="A72" t="s">
        <v>13</v>
      </c>
      <c r="B72" t="s">
        <v>49</v>
      </c>
      <c r="C72" t="s">
        <v>835</v>
      </c>
      <c r="D72" t="s">
        <v>991</v>
      </c>
      <c r="E72" t="s">
        <v>1084</v>
      </c>
      <c r="F72">
        <v>0</v>
      </c>
    </row>
    <row r="73" spans="1:6">
      <c r="A73" t="s">
        <v>13</v>
      </c>
      <c r="B73" t="s">
        <v>49</v>
      </c>
      <c r="C73" t="s">
        <v>835</v>
      </c>
      <c r="D73" t="s">
        <v>991</v>
      </c>
      <c r="E73" t="s">
        <v>1085</v>
      </c>
      <c r="F73">
        <v>0</v>
      </c>
    </row>
    <row r="74" spans="1:6">
      <c r="A74" t="s">
        <v>13</v>
      </c>
      <c r="B74" t="s">
        <v>49</v>
      </c>
      <c r="C74" t="s">
        <v>835</v>
      </c>
      <c r="D74" t="s">
        <v>991</v>
      </c>
      <c r="E74" t="s">
        <v>1086</v>
      </c>
      <c r="F74">
        <v>0</v>
      </c>
    </row>
    <row r="75" spans="1:6">
      <c r="A75" t="s">
        <v>13</v>
      </c>
      <c r="B75" t="s">
        <v>49</v>
      </c>
      <c r="C75" t="s">
        <v>835</v>
      </c>
      <c r="D75" t="s">
        <v>991</v>
      </c>
      <c r="E75" t="s">
        <v>1087</v>
      </c>
      <c r="F75">
        <v>0</v>
      </c>
    </row>
    <row r="76" spans="1:6">
      <c r="A76" t="s">
        <v>13</v>
      </c>
      <c r="B76" t="s">
        <v>49</v>
      </c>
      <c r="C76" t="s">
        <v>835</v>
      </c>
      <c r="D76" t="s">
        <v>991</v>
      </c>
      <c r="E76" t="s">
        <v>1088</v>
      </c>
      <c r="F76">
        <v>0</v>
      </c>
    </row>
    <row r="77" spans="1:6">
      <c r="A77" t="s">
        <v>13</v>
      </c>
      <c r="B77" t="s">
        <v>49</v>
      </c>
      <c r="C77" t="s">
        <v>835</v>
      </c>
      <c r="D77" t="s">
        <v>991</v>
      </c>
      <c r="E77" t="s">
        <v>1089</v>
      </c>
      <c r="F77" t="s">
        <v>1009</v>
      </c>
    </row>
    <row r="78" spans="1:6">
      <c r="A78" t="s">
        <v>13</v>
      </c>
      <c r="B78" t="s">
        <v>49</v>
      </c>
      <c r="C78" t="s">
        <v>835</v>
      </c>
      <c r="D78" t="s">
        <v>991</v>
      </c>
      <c r="E78" t="s">
        <v>1090</v>
      </c>
      <c r="F78">
        <v>131202</v>
      </c>
    </row>
    <row r="79" spans="1:6">
      <c r="A79" t="s">
        <v>13</v>
      </c>
      <c r="B79" t="s">
        <v>49</v>
      </c>
      <c r="C79" t="s">
        <v>835</v>
      </c>
      <c r="D79" t="s">
        <v>1091</v>
      </c>
      <c r="E79" t="s">
        <v>992</v>
      </c>
      <c r="F79" t="s">
        <v>1092</v>
      </c>
    </row>
    <row r="80" spans="1:6">
      <c r="A80" t="s">
        <v>13</v>
      </c>
      <c r="B80" t="s">
        <v>49</v>
      </c>
      <c r="C80" t="s">
        <v>835</v>
      </c>
      <c r="D80" t="s">
        <v>1091</v>
      </c>
      <c r="E80" t="s">
        <v>1093</v>
      </c>
      <c r="F80" t="s">
        <v>1094</v>
      </c>
    </row>
    <row r="81" spans="1:6">
      <c r="A81" t="s">
        <v>13</v>
      </c>
      <c r="B81" t="s">
        <v>49</v>
      </c>
      <c r="C81" t="s">
        <v>835</v>
      </c>
      <c r="D81" t="s">
        <v>1091</v>
      </c>
      <c r="E81" t="s">
        <v>994</v>
      </c>
      <c r="F81" t="s">
        <v>49</v>
      </c>
    </row>
    <row r="82" spans="1:6">
      <c r="A82" t="s">
        <v>13</v>
      </c>
      <c r="B82" t="s">
        <v>49</v>
      </c>
      <c r="C82" t="s">
        <v>835</v>
      </c>
      <c r="D82" t="s">
        <v>1091</v>
      </c>
      <c r="E82" t="s">
        <v>995</v>
      </c>
      <c r="F82" t="s">
        <v>996</v>
      </c>
    </row>
    <row r="83" spans="1:6">
      <c r="A83" t="s">
        <v>13</v>
      </c>
      <c r="B83" t="s">
        <v>49</v>
      </c>
      <c r="C83" t="s">
        <v>835</v>
      </c>
      <c r="D83" t="s">
        <v>1091</v>
      </c>
      <c r="E83" t="s">
        <v>997</v>
      </c>
      <c r="F83" t="s">
        <v>998</v>
      </c>
    </row>
    <row r="84" spans="1:6">
      <c r="A84" t="s">
        <v>13</v>
      </c>
      <c r="B84" t="s">
        <v>49</v>
      </c>
      <c r="C84" t="s">
        <v>835</v>
      </c>
      <c r="D84" t="s">
        <v>1091</v>
      </c>
      <c r="E84" t="s">
        <v>999</v>
      </c>
      <c r="F84" t="s">
        <v>1000</v>
      </c>
    </row>
    <row r="85" spans="1:6">
      <c r="A85" t="s">
        <v>13</v>
      </c>
      <c r="B85" t="s">
        <v>49</v>
      </c>
      <c r="C85" t="s">
        <v>835</v>
      </c>
      <c r="D85" t="s">
        <v>1091</v>
      </c>
      <c r="E85" t="s">
        <v>1001</v>
      </c>
      <c r="F85" t="s">
        <v>10</v>
      </c>
    </row>
    <row r="86" spans="1:6">
      <c r="A86" t="s">
        <v>13</v>
      </c>
      <c r="B86" t="s">
        <v>49</v>
      </c>
      <c r="C86" t="s">
        <v>835</v>
      </c>
      <c r="D86" t="s">
        <v>1091</v>
      </c>
      <c r="E86" t="s">
        <v>1002</v>
      </c>
      <c r="F86" t="s">
        <v>1095</v>
      </c>
    </row>
    <row r="87" spans="1:6">
      <c r="A87" t="s">
        <v>13</v>
      </c>
      <c r="B87" t="s">
        <v>49</v>
      </c>
      <c r="C87" t="s">
        <v>835</v>
      </c>
      <c r="D87" t="s">
        <v>1091</v>
      </c>
      <c r="E87" t="s">
        <v>1096</v>
      </c>
      <c r="F87" t="s">
        <v>1005</v>
      </c>
    </row>
    <row r="88" spans="1:6">
      <c r="A88" t="s">
        <v>13</v>
      </c>
      <c r="B88" t="s">
        <v>49</v>
      </c>
      <c r="C88" t="s">
        <v>835</v>
      </c>
      <c r="D88" t="s">
        <v>1091</v>
      </c>
      <c r="E88" t="s">
        <v>1006</v>
      </c>
      <c r="F88" t="s">
        <v>1097</v>
      </c>
    </row>
    <row r="89" spans="1:6">
      <c r="A89" t="s">
        <v>13</v>
      </c>
      <c r="B89" t="s">
        <v>49</v>
      </c>
      <c r="C89" t="s">
        <v>835</v>
      </c>
      <c r="D89" t="s">
        <v>1091</v>
      </c>
      <c r="E89" t="s">
        <v>1008</v>
      </c>
      <c r="F89" t="s">
        <v>1098</v>
      </c>
    </row>
    <row r="90" spans="1:6">
      <c r="A90" t="s">
        <v>13</v>
      </c>
      <c r="B90" t="s">
        <v>49</v>
      </c>
      <c r="C90" t="s">
        <v>835</v>
      </c>
      <c r="D90" t="s">
        <v>1091</v>
      </c>
      <c r="E90" t="s">
        <v>1035</v>
      </c>
      <c r="F90" t="s">
        <v>1009</v>
      </c>
    </row>
    <row r="91" spans="1:6">
      <c r="A91" t="s">
        <v>13</v>
      </c>
      <c r="B91" t="s">
        <v>49</v>
      </c>
      <c r="C91" t="s">
        <v>835</v>
      </c>
      <c r="D91" t="s">
        <v>1091</v>
      </c>
      <c r="E91" t="s">
        <v>1099</v>
      </c>
      <c r="F91" t="s">
        <v>50</v>
      </c>
    </row>
    <row r="92" spans="1:6">
      <c r="A92" t="s">
        <v>13</v>
      </c>
      <c r="B92" t="s">
        <v>49</v>
      </c>
      <c r="C92" t="s">
        <v>835</v>
      </c>
      <c r="D92" t="s">
        <v>1091</v>
      </c>
      <c r="E92" t="s">
        <v>1100</v>
      </c>
      <c r="F92">
        <v>2025</v>
      </c>
    </row>
    <row r="93" spans="1:6">
      <c r="A93" t="s">
        <v>13</v>
      </c>
      <c r="B93" t="s">
        <v>49</v>
      </c>
      <c r="C93" t="s">
        <v>835</v>
      </c>
      <c r="D93" t="s">
        <v>1091</v>
      </c>
      <c r="E93" t="s">
        <v>1101</v>
      </c>
      <c r="F93">
        <v>2026</v>
      </c>
    </row>
    <row r="94" spans="1:6">
      <c r="A94" t="s">
        <v>13</v>
      </c>
      <c r="B94" t="s">
        <v>49</v>
      </c>
      <c r="C94" t="s">
        <v>835</v>
      </c>
      <c r="D94" t="s">
        <v>1091</v>
      </c>
      <c r="E94" t="s">
        <v>1036</v>
      </c>
      <c r="F94" t="s">
        <v>1102</v>
      </c>
    </row>
    <row r="95" spans="1:6">
      <c r="A95" t="s">
        <v>13</v>
      </c>
      <c r="B95" t="s">
        <v>49</v>
      </c>
      <c r="C95" t="s">
        <v>835</v>
      </c>
      <c r="D95" t="s">
        <v>1091</v>
      </c>
      <c r="E95" t="s">
        <v>1037</v>
      </c>
      <c r="F95">
        <v>42047286</v>
      </c>
    </row>
    <row r="96" spans="1:6">
      <c r="A96" t="s">
        <v>13</v>
      </c>
      <c r="B96" t="s">
        <v>49</v>
      </c>
      <c r="C96" t="s">
        <v>835</v>
      </c>
      <c r="D96" t="s">
        <v>1091</v>
      </c>
      <c r="E96" t="s">
        <v>1103</v>
      </c>
      <c r="F96">
        <v>35597890</v>
      </c>
    </row>
    <row r="97" spans="1:6">
      <c r="A97" t="s">
        <v>13</v>
      </c>
      <c r="B97" t="s">
        <v>49</v>
      </c>
      <c r="C97" t="s">
        <v>835</v>
      </c>
      <c r="D97" t="s">
        <v>1091</v>
      </c>
      <c r="E97" t="s">
        <v>1104</v>
      </c>
      <c r="F97">
        <v>5799952</v>
      </c>
    </row>
    <row r="98" spans="1:6">
      <c r="A98" t="s">
        <v>13</v>
      </c>
      <c r="B98" t="s">
        <v>49</v>
      </c>
      <c r="C98" t="s">
        <v>835</v>
      </c>
      <c r="D98" t="s">
        <v>1091</v>
      </c>
      <c r="E98" t="s">
        <v>1105</v>
      </c>
      <c r="F98">
        <v>649443</v>
      </c>
    </row>
    <row r="99" spans="1:6">
      <c r="A99" t="s">
        <v>13</v>
      </c>
      <c r="B99" t="s">
        <v>49</v>
      </c>
      <c r="C99" t="s">
        <v>835</v>
      </c>
      <c r="D99" t="s">
        <v>1091</v>
      </c>
      <c r="E99" t="s">
        <v>1038</v>
      </c>
      <c r="F99" t="s">
        <v>1106</v>
      </c>
    </row>
    <row r="100" spans="1:6">
      <c r="A100" t="s">
        <v>13</v>
      </c>
      <c r="B100" t="s">
        <v>49</v>
      </c>
      <c r="C100" t="s">
        <v>835</v>
      </c>
      <c r="D100" t="s">
        <v>1091</v>
      </c>
      <c r="E100" t="s">
        <v>1039</v>
      </c>
      <c r="F100">
        <v>41924317</v>
      </c>
    </row>
    <row r="101" spans="1:6">
      <c r="A101" t="s">
        <v>13</v>
      </c>
      <c r="B101" t="s">
        <v>49</v>
      </c>
      <c r="C101" t="s">
        <v>835</v>
      </c>
      <c r="D101" t="s">
        <v>1091</v>
      </c>
      <c r="E101" t="s">
        <v>1040</v>
      </c>
      <c r="F101">
        <v>35588770</v>
      </c>
    </row>
    <row r="102" spans="1:6">
      <c r="A102" t="s">
        <v>13</v>
      </c>
      <c r="B102" t="s">
        <v>49</v>
      </c>
      <c r="C102" t="s">
        <v>835</v>
      </c>
      <c r="D102" t="s">
        <v>1091</v>
      </c>
      <c r="E102" t="s">
        <v>1041</v>
      </c>
      <c r="F102">
        <v>5798264</v>
      </c>
    </row>
    <row r="103" spans="1:6">
      <c r="A103" t="s">
        <v>13</v>
      </c>
      <c r="B103" t="s">
        <v>49</v>
      </c>
      <c r="C103" t="s">
        <v>835</v>
      </c>
      <c r="D103" t="s">
        <v>1091</v>
      </c>
      <c r="E103" t="s">
        <v>1042</v>
      </c>
      <c r="F103">
        <v>537283</v>
      </c>
    </row>
    <row r="104" spans="1:6">
      <c r="A104" t="s">
        <v>13</v>
      </c>
      <c r="B104" t="s">
        <v>49</v>
      </c>
      <c r="C104" t="s">
        <v>835</v>
      </c>
      <c r="D104" t="s">
        <v>1091</v>
      </c>
      <c r="E104" t="s">
        <v>1052</v>
      </c>
      <c r="F104" t="s">
        <v>1107</v>
      </c>
    </row>
    <row r="105" spans="1:6">
      <c r="A105" t="s">
        <v>13</v>
      </c>
      <c r="B105" t="s">
        <v>49</v>
      </c>
      <c r="C105" t="s">
        <v>835</v>
      </c>
      <c r="D105" t="s">
        <v>1091</v>
      </c>
      <c r="E105" t="s">
        <v>1053</v>
      </c>
      <c r="F105">
        <v>41910622</v>
      </c>
    </row>
    <row r="106" spans="1:6">
      <c r="A106" t="s">
        <v>13</v>
      </c>
      <c r="B106" t="s">
        <v>49</v>
      </c>
      <c r="C106" t="s">
        <v>835</v>
      </c>
      <c r="D106" t="s">
        <v>1091</v>
      </c>
      <c r="E106" t="s">
        <v>1108</v>
      </c>
      <c r="F106">
        <v>35575075</v>
      </c>
    </row>
    <row r="107" spans="1:6">
      <c r="A107" t="s">
        <v>13</v>
      </c>
      <c r="B107" t="s">
        <v>49</v>
      </c>
      <c r="C107" t="s">
        <v>835</v>
      </c>
      <c r="D107" t="s">
        <v>1091</v>
      </c>
      <c r="E107" t="s">
        <v>1109</v>
      </c>
      <c r="F107">
        <v>5798264</v>
      </c>
    </row>
    <row r="108" spans="1:6">
      <c r="A108" t="s">
        <v>13</v>
      </c>
      <c r="B108" t="s">
        <v>49</v>
      </c>
      <c r="C108" t="s">
        <v>835</v>
      </c>
      <c r="D108" t="s">
        <v>1091</v>
      </c>
      <c r="E108" t="s">
        <v>1110</v>
      </c>
      <c r="F108">
        <v>537283</v>
      </c>
    </row>
    <row r="109" spans="1:6">
      <c r="A109" t="s">
        <v>13</v>
      </c>
      <c r="B109" t="s">
        <v>49</v>
      </c>
      <c r="C109" t="s">
        <v>835</v>
      </c>
      <c r="D109" t="s">
        <v>1091</v>
      </c>
      <c r="E109" t="s">
        <v>1111</v>
      </c>
      <c r="F109" t="s">
        <v>1112</v>
      </c>
    </row>
    <row r="110" spans="1:6">
      <c r="A110" t="s">
        <v>13</v>
      </c>
      <c r="B110" t="s">
        <v>49</v>
      </c>
      <c r="C110" t="s">
        <v>835</v>
      </c>
      <c r="D110" t="s">
        <v>1091</v>
      </c>
      <c r="E110" t="s">
        <v>1113</v>
      </c>
      <c r="F110">
        <v>13695</v>
      </c>
    </row>
    <row r="111" spans="1:6">
      <c r="A111" t="s">
        <v>13</v>
      </c>
      <c r="B111" t="s">
        <v>49</v>
      </c>
      <c r="C111" t="s">
        <v>835</v>
      </c>
      <c r="D111" t="s">
        <v>1091</v>
      </c>
      <c r="E111" t="s">
        <v>1114</v>
      </c>
      <c r="F111">
        <v>13695</v>
      </c>
    </row>
    <row r="112" spans="1:6">
      <c r="A112" t="s">
        <v>13</v>
      </c>
      <c r="B112" t="s">
        <v>49</v>
      </c>
      <c r="C112" t="s">
        <v>835</v>
      </c>
      <c r="D112" t="s">
        <v>1091</v>
      </c>
      <c r="E112" t="s">
        <v>1115</v>
      </c>
      <c r="F112">
        <v>0</v>
      </c>
    </row>
    <row r="113" spans="1:6">
      <c r="A113" t="s">
        <v>13</v>
      </c>
      <c r="B113" t="s">
        <v>49</v>
      </c>
      <c r="C113" t="s">
        <v>835</v>
      </c>
      <c r="D113" t="s">
        <v>1091</v>
      </c>
      <c r="E113" t="s">
        <v>1116</v>
      </c>
      <c r="F113">
        <v>0</v>
      </c>
    </row>
    <row r="114" spans="1:6">
      <c r="A114" t="s">
        <v>13</v>
      </c>
      <c r="B114" t="s">
        <v>49</v>
      </c>
      <c r="C114" t="s">
        <v>835</v>
      </c>
      <c r="D114" t="s">
        <v>1091</v>
      </c>
      <c r="E114" t="s">
        <v>1054</v>
      </c>
      <c r="F114" t="s">
        <v>1117</v>
      </c>
    </row>
    <row r="115" spans="1:6">
      <c r="A115" t="s">
        <v>13</v>
      </c>
      <c r="B115" t="s">
        <v>49</v>
      </c>
      <c r="C115" t="s">
        <v>835</v>
      </c>
      <c r="D115" t="s">
        <v>1091</v>
      </c>
      <c r="E115" t="s">
        <v>1118</v>
      </c>
      <c r="F115">
        <v>0</v>
      </c>
    </row>
    <row r="116" spans="1:6">
      <c r="A116" t="s">
        <v>13</v>
      </c>
      <c r="B116" t="s">
        <v>49</v>
      </c>
      <c r="C116" t="s">
        <v>835</v>
      </c>
      <c r="D116" t="s">
        <v>1091</v>
      </c>
      <c r="E116" t="s">
        <v>1119</v>
      </c>
      <c r="F116">
        <v>0</v>
      </c>
    </row>
    <row r="117" spans="1:6">
      <c r="A117" t="s">
        <v>13</v>
      </c>
      <c r="B117" t="s">
        <v>49</v>
      </c>
      <c r="C117" t="s">
        <v>835</v>
      </c>
      <c r="D117" t="s">
        <v>1091</v>
      </c>
      <c r="E117" t="s">
        <v>1120</v>
      </c>
      <c r="F117">
        <v>0</v>
      </c>
    </row>
    <row r="118" spans="1:6">
      <c r="A118" t="s">
        <v>13</v>
      </c>
      <c r="B118" t="s">
        <v>49</v>
      </c>
      <c r="C118" t="s">
        <v>835</v>
      </c>
      <c r="D118" t="s">
        <v>1091</v>
      </c>
      <c r="E118" t="s">
        <v>1121</v>
      </c>
      <c r="F118">
        <v>0</v>
      </c>
    </row>
    <row r="119" spans="1:6">
      <c r="A119" t="s">
        <v>13</v>
      </c>
      <c r="B119" t="s">
        <v>49</v>
      </c>
      <c r="C119" t="s">
        <v>835</v>
      </c>
      <c r="D119" t="s">
        <v>1091</v>
      </c>
      <c r="E119" t="s">
        <v>1122</v>
      </c>
      <c r="F119" t="s">
        <v>1123</v>
      </c>
    </row>
    <row r="120" spans="1:6">
      <c r="A120" t="s">
        <v>13</v>
      </c>
      <c r="B120" t="s">
        <v>49</v>
      </c>
      <c r="C120" t="s">
        <v>835</v>
      </c>
      <c r="D120" t="s">
        <v>1091</v>
      </c>
      <c r="E120" t="s">
        <v>1124</v>
      </c>
      <c r="F120" t="s">
        <v>1125</v>
      </c>
    </row>
    <row r="121" spans="1:6">
      <c r="A121" t="s">
        <v>13</v>
      </c>
      <c r="B121" t="s">
        <v>49</v>
      </c>
      <c r="C121" t="s">
        <v>835</v>
      </c>
      <c r="D121" t="s">
        <v>1091</v>
      </c>
      <c r="E121" t="s">
        <v>1126</v>
      </c>
      <c r="F121" t="s">
        <v>1125</v>
      </c>
    </row>
    <row r="122" spans="1:6">
      <c r="A122" t="s">
        <v>13</v>
      </c>
      <c r="B122" t="s">
        <v>49</v>
      </c>
      <c r="C122" t="s">
        <v>835</v>
      </c>
      <c r="D122" t="s">
        <v>1091</v>
      </c>
      <c r="E122" t="s">
        <v>1127</v>
      </c>
      <c r="F122" t="s">
        <v>1125</v>
      </c>
    </row>
    <row r="123" spans="1:6">
      <c r="A123" t="s">
        <v>13</v>
      </c>
      <c r="B123" t="s">
        <v>49</v>
      </c>
      <c r="C123" t="s">
        <v>835</v>
      </c>
      <c r="D123" t="s">
        <v>1091</v>
      </c>
      <c r="E123" t="s">
        <v>1128</v>
      </c>
      <c r="F123" t="s">
        <v>1129</v>
      </c>
    </row>
    <row r="124" spans="1:6">
      <c r="A124" t="s">
        <v>13</v>
      </c>
      <c r="B124" t="s">
        <v>49</v>
      </c>
      <c r="C124" t="s">
        <v>835</v>
      </c>
      <c r="D124" t="s">
        <v>1091</v>
      </c>
      <c r="E124" t="s">
        <v>1056</v>
      </c>
      <c r="F124" t="s">
        <v>1130</v>
      </c>
    </row>
    <row r="125" spans="1:6">
      <c r="A125" t="s">
        <v>13</v>
      </c>
      <c r="B125" t="s">
        <v>49</v>
      </c>
      <c r="C125" t="s">
        <v>835</v>
      </c>
      <c r="D125" t="s">
        <v>1091</v>
      </c>
      <c r="E125" t="s">
        <v>1057</v>
      </c>
      <c r="F125">
        <v>122969</v>
      </c>
    </row>
    <row r="126" spans="1:6">
      <c r="A126" t="s">
        <v>13</v>
      </c>
      <c r="B126" t="s">
        <v>49</v>
      </c>
      <c r="C126" t="s">
        <v>835</v>
      </c>
      <c r="D126" t="s">
        <v>1091</v>
      </c>
      <c r="E126" t="s">
        <v>1058</v>
      </c>
      <c r="F126">
        <v>9120</v>
      </c>
    </row>
    <row r="127" spans="1:6">
      <c r="A127" t="s">
        <v>13</v>
      </c>
      <c r="B127" t="s">
        <v>49</v>
      </c>
      <c r="C127" t="s">
        <v>835</v>
      </c>
      <c r="D127" t="s">
        <v>1091</v>
      </c>
      <c r="E127" t="s">
        <v>1059</v>
      </c>
      <c r="F127">
        <v>1688</v>
      </c>
    </row>
    <row r="128" spans="1:6">
      <c r="A128" t="s">
        <v>13</v>
      </c>
      <c r="B128" t="s">
        <v>49</v>
      </c>
      <c r="C128" t="s">
        <v>835</v>
      </c>
      <c r="D128" t="s">
        <v>1091</v>
      </c>
      <c r="E128" t="s">
        <v>1060</v>
      </c>
      <c r="F128">
        <v>112161</v>
      </c>
    </row>
    <row r="129" spans="1:6">
      <c r="A129" t="s">
        <v>13</v>
      </c>
      <c r="B129" t="s">
        <v>49</v>
      </c>
      <c r="C129" t="s">
        <v>835</v>
      </c>
      <c r="D129" t="s">
        <v>1091</v>
      </c>
      <c r="E129" t="s">
        <v>1071</v>
      </c>
      <c r="F129" t="s">
        <v>1131</v>
      </c>
    </row>
    <row r="130" spans="1:6">
      <c r="A130" t="s">
        <v>13</v>
      </c>
      <c r="B130" t="s">
        <v>49</v>
      </c>
      <c r="C130" t="s">
        <v>835</v>
      </c>
      <c r="D130" t="s">
        <v>1091</v>
      </c>
      <c r="E130" t="s">
        <v>1072</v>
      </c>
      <c r="F130" t="s">
        <v>1132</v>
      </c>
    </row>
    <row r="131" spans="1:6">
      <c r="A131" t="s">
        <v>13</v>
      </c>
      <c r="B131" t="s">
        <v>49</v>
      </c>
      <c r="C131" t="s">
        <v>835</v>
      </c>
      <c r="D131" t="s">
        <v>1091</v>
      </c>
      <c r="E131" t="s">
        <v>1133</v>
      </c>
      <c r="F131" t="s">
        <v>1132</v>
      </c>
    </row>
    <row r="132" spans="1:6">
      <c r="A132" t="s">
        <v>13</v>
      </c>
      <c r="B132" t="s">
        <v>49</v>
      </c>
      <c r="C132" t="s">
        <v>835</v>
      </c>
      <c r="D132" t="s">
        <v>1091</v>
      </c>
      <c r="E132" t="s">
        <v>1134</v>
      </c>
      <c r="F132" t="s">
        <v>1132</v>
      </c>
    </row>
    <row r="133" spans="1:6">
      <c r="A133" t="s">
        <v>13</v>
      </c>
      <c r="B133" t="s">
        <v>49</v>
      </c>
      <c r="C133" t="s">
        <v>835</v>
      </c>
      <c r="D133" t="s">
        <v>1091</v>
      </c>
      <c r="E133" t="s">
        <v>1135</v>
      </c>
      <c r="F133" t="s">
        <v>1136</v>
      </c>
    </row>
    <row r="134" spans="1:6">
      <c r="A134" t="s">
        <v>13</v>
      </c>
      <c r="B134" t="s">
        <v>49</v>
      </c>
      <c r="C134" t="s">
        <v>835</v>
      </c>
      <c r="D134" t="s">
        <v>1091</v>
      </c>
      <c r="E134" t="s">
        <v>1076</v>
      </c>
      <c r="F134" t="s">
        <v>1137</v>
      </c>
    </row>
    <row r="135" spans="1:6">
      <c r="A135" t="s">
        <v>13</v>
      </c>
      <c r="B135" t="s">
        <v>49</v>
      </c>
      <c r="C135" t="s">
        <v>835</v>
      </c>
      <c r="D135" t="s">
        <v>1091</v>
      </c>
      <c r="E135" t="s">
        <v>1090</v>
      </c>
      <c r="F135" t="s">
        <v>1138</v>
      </c>
    </row>
    <row r="136" spans="1:6">
      <c r="A136" t="s">
        <v>13</v>
      </c>
      <c r="B136" t="s">
        <v>49</v>
      </c>
      <c r="C136" t="s">
        <v>835</v>
      </c>
      <c r="D136" t="s">
        <v>1091</v>
      </c>
      <c r="E136" t="s">
        <v>1139</v>
      </c>
      <c r="F136" t="s">
        <v>1132</v>
      </c>
    </row>
    <row r="137" spans="1:6">
      <c r="A137" t="s">
        <v>13</v>
      </c>
      <c r="B137" t="s">
        <v>49</v>
      </c>
      <c r="C137" t="s">
        <v>835</v>
      </c>
      <c r="D137" t="s">
        <v>1091</v>
      </c>
      <c r="E137" t="s">
        <v>1140</v>
      </c>
      <c r="F137" t="s">
        <v>1132</v>
      </c>
    </row>
    <row r="138" spans="1:6">
      <c r="A138" t="s">
        <v>13</v>
      </c>
      <c r="B138" t="s">
        <v>49</v>
      </c>
      <c r="C138" t="s">
        <v>835</v>
      </c>
      <c r="D138" t="s">
        <v>1091</v>
      </c>
      <c r="E138" t="s">
        <v>1141</v>
      </c>
      <c r="F138" t="s">
        <v>1142</v>
      </c>
    </row>
    <row r="139" spans="1:6">
      <c r="A139" t="s">
        <v>13</v>
      </c>
      <c r="B139" t="s">
        <v>49</v>
      </c>
      <c r="C139" t="s">
        <v>835</v>
      </c>
      <c r="D139" t="s">
        <v>1091</v>
      </c>
      <c r="E139" t="s">
        <v>1143</v>
      </c>
      <c r="F139" t="s">
        <v>1144</v>
      </c>
    </row>
    <row r="140" spans="1:6">
      <c r="A140" t="s">
        <v>13</v>
      </c>
      <c r="B140" t="s">
        <v>49</v>
      </c>
      <c r="C140" t="s">
        <v>835</v>
      </c>
      <c r="D140" t="s">
        <v>1091</v>
      </c>
      <c r="E140" t="s">
        <v>1145</v>
      </c>
      <c r="F140" t="s">
        <v>1146</v>
      </c>
    </row>
    <row r="141" spans="1:6">
      <c r="A141" t="s">
        <v>13</v>
      </c>
      <c r="B141" t="s">
        <v>49</v>
      </c>
      <c r="C141" t="s">
        <v>835</v>
      </c>
      <c r="D141" t="s">
        <v>1091</v>
      </c>
      <c r="E141" t="s">
        <v>1147</v>
      </c>
      <c r="F141" t="s">
        <v>1148</v>
      </c>
    </row>
    <row r="142" spans="1:6">
      <c r="A142" t="s">
        <v>13</v>
      </c>
      <c r="B142" t="s">
        <v>49</v>
      </c>
      <c r="C142" t="s">
        <v>835</v>
      </c>
      <c r="D142" t="s">
        <v>1091</v>
      </c>
      <c r="E142" t="s">
        <v>1149</v>
      </c>
      <c r="F142" t="s">
        <v>1150</v>
      </c>
    </row>
    <row r="143" spans="1:6">
      <c r="A143" t="s">
        <v>13</v>
      </c>
      <c r="B143" t="s">
        <v>49</v>
      </c>
      <c r="C143" t="s">
        <v>835</v>
      </c>
      <c r="D143" t="s">
        <v>1091</v>
      </c>
      <c r="E143" t="s">
        <v>1151</v>
      </c>
      <c r="F143" t="s">
        <v>1009</v>
      </c>
    </row>
    <row r="144" spans="1:6">
      <c r="A144" t="s">
        <v>13</v>
      </c>
      <c r="B144" t="s">
        <v>49</v>
      </c>
      <c r="C144" t="s">
        <v>835</v>
      </c>
      <c r="D144" t="s">
        <v>1091</v>
      </c>
      <c r="E144" t="s">
        <v>1152</v>
      </c>
      <c r="F144" t="s">
        <v>1153</v>
      </c>
    </row>
    <row r="145" spans="1:6">
      <c r="A145" t="s">
        <v>13</v>
      </c>
      <c r="B145" t="s">
        <v>49</v>
      </c>
      <c r="C145" t="s">
        <v>835</v>
      </c>
      <c r="D145" t="s">
        <v>1091</v>
      </c>
      <c r="E145" t="s">
        <v>1154</v>
      </c>
      <c r="F145" t="s">
        <v>1155</v>
      </c>
    </row>
    <row r="146" spans="1:6">
      <c r="A146" t="s">
        <v>13</v>
      </c>
      <c r="B146" t="s">
        <v>49</v>
      </c>
      <c r="C146" t="s">
        <v>835</v>
      </c>
      <c r="D146" t="s">
        <v>1091</v>
      </c>
      <c r="E146" t="s">
        <v>1156</v>
      </c>
      <c r="F146" t="s">
        <v>1157</v>
      </c>
    </row>
    <row r="147" spans="1:6">
      <c r="A147" t="s">
        <v>13</v>
      </c>
      <c r="B147" t="s">
        <v>49</v>
      </c>
      <c r="C147" t="s">
        <v>835</v>
      </c>
      <c r="D147" t="s">
        <v>1091</v>
      </c>
      <c r="E147" t="s">
        <v>1158</v>
      </c>
      <c r="F147" t="s">
        <v>1159</v>
      </c>
    </row>
    <row r="148" spans="1:6">
      <c r="A148" t="s">
        <v>13</v>
      </c>
      <c r="B148" t="s">
        <v>49</v>
      </c>
      <c r="C148" t="s">
        <v>835</v>
      </c>
      <c r="D148" t="s">
        <v>1091</v>
      </c>
      <c r="E148" t="s">
        <v>1160</v>
      </c>
      <c r="F148" t="s">
        <v>1161</v>
      </c>
    </row>
    <row r="149" spans="1:6">
      <c r="A149" t="s">
        <v>13</v>
      </c>
      <c r="B149" t="s">
        <v>49</v>
      </c>
      <c r="C149" t="s">
        <v>835</v>
      </c>
      <c r="D149" t="s">
        <v>1091</v>
      </c>
      <c r="E149" t="s">
        <v>1162</v>
      </c>
      <c r="F149" t="s">
        <v>1163</v>
      </c>
    </row>
    <row r="150" spans="1:6">
      <c r="A150" t="s">
        <v>13</v>
      </c>
      <c r="B150" t="s">
        <v>49</v>
      </c>
      <c r="C150" t="s">
        <v>835</v>
      </c>
      <c r="D150" t="s">
        <v>1091</v>
      </c>
      <c r="E150" t="s">
        <v>1164</v>
      </c>
      <c r="F150" t="s">
        <v>1165</v>
      </c>
    </row>
    <row r="151" spans="1:6">
      <c r="A151" t="s">
        <v>13</v>
      </c>
      <c r="B151" t="s">
        <v>49</v>
      </c>
      <c r="C151" t="s">
        <v>835</v>
      </c>
      <c r="D151" t="s">
        <v>1091</v>
      </c>
      <c r="E151" t="s">
        <v>1166</v>
      </c>
      <c r="F151">
        <v>649443</v>
      </c>
    </row>
    <row r="152" spans="1:6">
      <c r="A152" t="s">
        <v>13</v>
      </c>
      <c r="B152" t="s">
        <v>49</v>
      </c>
      <c r="C152" t="s">
        <v>835</v>
      </c>
      <c r="D152" t="s">
        <v>1091</v>
      </c>
      <c r="E152" t="s">
        <v>1167</v>
      </c>
      <c r="F152">
        <v>104341</v>
      </c>
    </row>
    <row r="153" spans="1:6">
      <c r="A153" t="s">
        <v>13</v>
      </c>
      <c r="B153" t="s">
        <v>49</v>
      </c>
      <c r="C153" t="s">
        <v>835</v>
      </c>
      <c r="D153" t="s">
        <v>1091</v>
      </c>
      <c r="E153" t="s">
        <v>1168</v>
      </c>
      <c r="F153">
        <v>68164</v>
      </c>
    </row>
    <row r="154" spans="1:6">
      <c r="A154" t="s">
        <v>13</v>
      </c>
      <c r="B154" t="s">
        <v>49</v>
      </c>
      <c r="C154" t="s">
        <v>835</v>
      </c>
      <c r="D154" t="s">
        <v>1091</v>
      </c>
      <c r="E154" t="s">
        <v>1169</v>
      </c>
      <c r="F154">
        <v>105005</v>
      </c>
    </row>
    <row r="155" spans="1:6">
      <c r="A155" t="s">
        <v>13</v>
      </c>
      <c r="B155" t="s">
        <v>49</v>
      </c>
      <c r="C155" t="s">
        <v>835</v>
      </c>
      <c r="D155" t="s">
        <v>1091</v>
      </c>
      <c r="E155" t="s">
        <v>1170</v>
      </c>
      <c r="F155">
        <v>145236</v>
      </c>
    </row>
    <row r="156" spans="1:6">
      <c r="A156" t="s">
        <v>13</v>
      </c>
      <c r="B156" t="s">
        <v>49</v>
      </c>
      <c r="C156" t="s">
        <v>835</v>
      </c>
      <c r="D156" t="s">
        <v>1091</v>
      </c>
      <c r="E156" t="s">
        <v>1171</v>
      </c>
      <c r="F156">
        <v>112478</v>
      </c>
    </row>
    <row r="157" spans="1:6">
      <c r="A157" t="s">
        <v>13</v>
      </c>
      <c r="B157" t="s">
        <v>49</v>
      </c>
      <c r="C157" t="s">
        <v>835</v>
      </c>
      <c r="D157" t="s">
        <v>1091</v>
      </c>
      <c r="E157" t="s">
        <v>1172</v>
      </c>
      <c r="F157">
        <v>114220</v>
      </c>
    </row>
    <row r="158" spans="1:6">
      <c r="A158" t="s">
        <v>13</v>
      </c>
      <c r="B158" t="s">
        <v>49</v>
      </c>
      <c r="C158" t="s">
        <v>835</v>
      </c>
      <c r="D158" t="s">
        <v>1091</v>
      </c>
      <c r="E158" t="s">
        <v>1173</v>
      </c>
      <c r="F158" t="s">
        <v>1174</v>
      </c>
    </row>
    <row r="159" spans="1:6">
      <c r="A159" t="s">
        <v>13</v>
      </c>
      <c r="B159" t="s">
        <v>49</v>
      </c>
      <c r="C159" t="s">
        <v>835</v>
      </c>
      <c r="D159" t="s">
        <v>1091</v>
      </c>
      <c r="E159" t="s">
        <v>1175</v>
      </c>
      <c r="F159">
        <v>1391</v>
      </c>
    </row>
    <row r="160" spans="1:6">
      <c r="A160" t="s">
        <v>13</v>
      </c>
      <c r="B160" t="s">
        <v>49</v>
      </c>
      <c r="C160" t="s">
        <v>835</v>
      </c>
      <c r="D160" t="s">
        <v>1091</v>
      </c>
      <c r="E160" t="s">
        <v>1176</v>
      </c>
      <c r="F160">
        <v>211</v>
      </c>
    </row>
    <row r="161" spans="1:6">
      <c r="A161" t="s">
        <v>13</v>
      </c>
      <c r="B161" t="s">
        <v>49</v>
      </c>
      <c r="C161" t="s">
        <v>835</v>
      </c>
      <c r="D161" t="s">
        <v>1091</v>
      </c>
      <c r="E161" t="s">
        <v>1177</v>
      </c>
      <c r="F161">
        <v>174</v>
      </c>
    </row>
    <row r="162" spans="1:6">
      <c r="A162" t="s">
        <v>13</v>
      </c>
      <c r="B162" t="s">
        <v>49</v>
      </c>
      <c r="C162" t="s">
        <v>835</v>
      </c>
      <c r="D162" t="s">
        <v>1091</v>
      </c>
      <c r="E162" t="s">
        <v>1178</v>
      </c>
      <c r="F162">
        <v>286</v>
      </c>
    </row>
    <row r="163" spans="1:6">
      <c r="A163" t="s">
        <v>13</v>
      </c>
      <c r="B163" t="s">
        <v>49</v>
      </c>
      <c r="C163" t="s">
        <v>835</v>
      </c>
      <c r="D163" t="s">
        <v>1091</v>
      </c>
      <c r="E163" t="s">
        <v>1179</v>
      </c>
      <c r="F163">
        <v>298</v>
      </c>
    </row>
    <row r="164" spans="1:6">
      <c r="A164" t="s">
        <v>13</v>
      </c>
      <c r="B164" t="s">
        <v>49</v>
      </c>
      <c r="C164" t="s">
        <v>835</v>
      </c>
      <c r="D164" t="s">
        <v>1091</v>
      </c>
      <c r="E164" t="s">
        <v>1180</v>
      </c>
      <c r="F164">
        <v>239</v>
      </c>
    </row>
    <row r="165" spans="1:6">
      <c r="A165" t="s">
        <v>13</v>
      </c>
      <c r="B165" t="s">
        <v>49</v>
      </c>
      <c r="C165" t="s">
        <v>835</v>
      </c>
      <c r="D165" t="s">
        <v>1091</v>
      </c>
      <c r="E165" t="s">
        <v>1181</v>
      </c>
      <c r="F165">
        <v>183</v>
      </c>
    </row>
    <row r="166" spans="1:6">
      <c r="A166" t="s">
        <v>13</v>
      </c>
      <c r="B166" t="s">
        <v>49</v>
      </c>
      <c r="C166" t="s">
        <v>835</v>
      </c>
      <c r="D166" t="s">
        <v>1091</v>
      </c>
      <c r="E166" t="s">
        <v>1182</v>
      </c>
      <c r="F166" t="s">
        <v>1183</v>
      </c>
    </row>
    <row r="167" spans="1:6">
      <c r="A167" t="s">
        <v>13</v>
      </c>
      <c r="B167" t="s">
        <v>49</v>
      </c>
      <c r="C167" t="s">
        <v>835</v>
      </c>
      <c r="D167" t="s">
        <v>1091</v>
      </c>
      <c r="E167" t="s">
        <v>1184</v>
      </c>
      <c r="F167">
        <v>537283</v>
      </c>
    </row>
    <row r="168" spans="1:6">
      <c r="A168" t="s">
        <v>13</v>
      </c>
      <c r="B168" t="s">
        <v>49</v>
      </c>
      <c r="C168" t="s">
        <v>835</v>
      </c>
      <c r="D168" t="s">
        <v>1091</v>
      </c>
      <c r="E168" t="s">
        <v>1185</v>
      </c>
      <c r="F168">
        <v>0</v>
      </c>
    </row>
    <row r="169" spans="1:6">
      <c r="A169" t="s">
        <v>13</v>
      </c>
      <c r="B169" t="s">
        <v>49</v>
      </c>
      <c r="C169" t="s">
        <v>835</v>
      </c>
      <c r="D169" t="s">
        <v>1091</v>
      </c>
      <c r="E169" t="s">
        <v>1186</v>
      </c>
      <c r="F169">
        <v>64232</v>
      </c>
    </row>
    <row r="170" spans="1:6">
      <c r="A170" t="s">
        <v>13</v>
      </c>
      <c r="B170" t="s">
        <v>49</v>
      </c>
      <c r="C170" t="s">
        <v>835</v>
      </c>
      <c r="D170" t="s">
        <v>1091</v>
      </c>
      <c r="E170" t="s">
        <v>1187</v>
      </c>
      <c r="F170">
        <v>105005</v>
      </c>
    </row>
    <row r="171" spans="1:6">
      <c r="A171" t="s">
        <v>13</v>
      </c>
      <c r="B171" t="s">
        <v>49</v>
      </c>
      <c r="C171" t="s">
        <v>835</v>
      </c>
      <c r="D171" t="s">
        <v>1091</v>
      </c>
      <c r="E171" t="s">
        <v>1188</v>
      </c>
      <c r="F171">
        <v>141359</v>
      </c>
    </row>
    <row r="172" spans="1:6">
      <c r="A172" t="s">
        <v>13</v>
      </c>
      <c r="B172" t="s">
        <v>49</v>
      </c>
      <c r="C172" t="s">
        <v>835</v>
      </c>
      <c r="D172" t="s">
        <v>1091</v>
      </c>
      <c r="E172" t="s">
        <v>1189</v>
      </c>
      <c r="F172">
        <v>112468</v>
      </c>
    </row>
    <row r="173" spans="1:6">
      <c r="A173" t="s">
        <v>13</v>
      </c>
      <c r="B173" t="s">
        <v>49</v>
      </c>
      <c r="C173" t="s">
        <v>835</v>
      </c>
      <c r="D173" t="s">
        <v>1091</v>
      </c>
      <c r="E173" t="s">
        <v>1190</v>
      </c>
      <c r="F173">
        <v>114220</v>
      </c>
    </row>
    <row r="174" spans="1:6">
      <c r="A174" t="s">
        <v>13</v>
      </c>
      <c r="B174" t="s">
        <v>49</v>
      </c>
      <c r="C174" t="s">
        <v>835</v>
      </c>
      <c r="D174" t="s">
        <v>1091</v>
      </c>
      <c r="E174" t="s">
        <v>1191</v>
      </c>
      <c r="F174" t="s">
        <v>1192</v>
      </c>
    </row>
    <row r="175" spans="1:6">
      <c r="A175" t="s">
        <v>13</v>
      </c>
      <c r="B175" t="s">
        <v>49</v>
      </c>
      <c r="C175" t="s">
        <v>835</v>
      </c>
      <c r="D175" t="s">
        <v>1091</v>
      </c>
      <c r="E175" t="s">
        <v>1193</v>
      </c>
      <c r="F175">
        <v>0</v>
      </c>
    </row>
    <row r="176" spans="1:6">
      <c r="A176" t="s">
        <v>13</v>
      </c>
      <c r="B176" t="s">
        <v>49</v>
      </c>
      <c r="C176" t="s">
        <v>835</v>
      </c>
      <c r="D176" t="s">
        <v>1091</v>
      </c>
      <c r="E176" t="s">
        <v>1194</v>
      </c>
      <c r="F176">
        <v>154</v>
      </c>
    </row>
    <row r="177" spans="1:6">
      <c r="A177" t="s">
        <v>13</v>
      </c>
      <c r="B177" t="s">
        <v>49</v>
      </c>
      <c r="C177" t="s">
        <v>835</v>
      </c>
      <c r="D177" t="s">
        <v>1091</v>
      </c>
      <c r="E177" t="s">
        <v>1195</v>
      </c>
      <c r="F177">
        <v>286</v>
      </c>
    </row>
    <row r="178" spans="1:6">
      <c r="A178" t="s">
        <v>13</v>
      </c>
      <c r="B178" t="s">
        <v>49</v>
      </c>
      <c r="C178" t="s">
        <v>835</v>
      </c>
      <c r="D178" t="s">
        <v>1091</v>
      </c>
      <c r="E178" t="s">
        <v>1196</v>
      </c>
      <c r="F178">
        <v>296</v>
      </c>
    </row>
    <row r="179" spans="1:6">
      <c r="A179" t="s">
        <v>13</v>
      </c>
      <c r="B179" t="s">
        <v>49</v>
      </c>
      <c r="C179" t="s">
        <v>835</v>
      </c>
      <c r="D179" t="s">
        <v>1091</v>
      </c>
      <c r="E179" t="s">
        <v>1197</v>
      </c>
      <c r="F179">
        <v>237</v>
      </c>
    </row>
    <row r="180" spans="1:6">
      <c r="A180" t="s">
        <v>13</v>
      </c>
      <c r="B180" t="s">
        <v>49</v>
      </c>
      <c r="C180" t="s">
        <v>835</v>
      </c>
      <c r="D180" t="s">
        <v>1091</v>
      </c>
      <c r="E180" t="s">
        <v>1198</v>
      </c>
      <c r="F180">
        <v>183</v>
      </c>
    </row>
    <row r="181" spans="1:6">
      <c r="A181" t="s">
        <v>13</v>
      </c>
      <c r="B181" t="s">
        <v>49</v>
      </c>
      <c r="C181" t="s">
        <v>835</v>
      </c>
      <c r="D181" t="s">
        <v>1091</v>
      </c>
      <c r="E181" t="s">
        <v>1199</v>
      </c>
      <c r="F181" t="s">
        <v>1200</v>
      </c>
    </row>
    <row r="182" spans="1:6">
      <c r="A182" t="s">
        <v>13</v>
      </c>
      <c r="B182" t="s">
        <v>49</v>
      </c>
      <c r="C182" t="s">
        <v>835</v>
      </c>
      <c r="D182" t="s">
        <v>1091</v>
      </c>
      <c r="E182" t="s">
        <v>1201</v>
      </c>
      <c r="F182" t="s">
        <v>1107</v>
      </c>
    </row>
    <row r="183" spans="1:6">
      <c r="A183" t="s">
        <v>13</v>
      </c>
      <c r="B183" t="s">
        <v>49</v>
      </c>
      <c r="C183" t="s">
        <v>835</v>
      </c>
      <c r="D183" t="s">
        <v>1091</v>
      </c>
      <c r="E183" t="s">
        <v>1202</v>
      </c>
      <c r="F183">
        <v>537283</v>
      </c>
    </row>
    <row r="184" spans="1:6">
      <c r="A184" t="s">
        <v>13</v>
      </c>
      <c r="B184" t="s">
        <v>49</v>
      </c>
      <c r="C184" t="s">
        <v>835</v>
      </c>
      <c r="D184" t="s">
        <v>1091</v>
      </c>
      <c r="E184" t="s">
        <v>1203</v>
      </c>
      <c r="F184">
        <v>0</v>
      </c>
    </row>
    <row r="185" spans="1:6">
      <c r="A185" t="s">
        <v>13</v>
      </c>
      <c r="B185" t="s">
        <v>49</v>
      </c>
      <c r="C185" t="s">
        <v>835</v>
      </c>
      <c r="D185" t="s">
        <v>1091</v>
      </c>
      <c r="E185" t="s">
        <v>1204</v>
      </c>
      <c r="F185">
        <v>64232</v>
      </c>
    </row>
    <row r="186" spans="1:6">
      <c r="A186" t="s">
        <v>13</v>
      </c>
      <c r="B186" t="s">
        <v>49</v>
      </c>
      <c r="C186" t="s">
        <v>835</v>
      </c>
      <c r="D186" t="s">
        <v>1091</v>
      </c>
      <c r="E186" t="s">
        <v>1205</v>
      </c>
      <c r="F186">
        <v>105005</v>
      </c>
    </row>
    <row r="187" spans="1:6">
      <c r="A187" t="s">
        <v>13</v>
      </c>
      <c r="B187" t="s">
        <v>49</v>
      </c>
      <c r="C187" t="s">
        <v>835</v>
      </c>
      <c r="D187" t="s">
        <v>1091</v>
      </c>
      <c r="E187" t="s">
        <v>1206</v>
      </c>
      <c r="F187">
        <v>141359</v>
      </c>
    </row>
    <row r="188" spans="1:6">
      <c r="A188" t="s">
        <v>13</v>
      </c>
      <c r="B188" t="s">
        <v>49</v>
      </c>
      <c r="C188" t="s">
        <v>835</v>
      </c>
      <c r="D188" t="s">
        <v>1091</v>
      </c>
      <c r="E188" t="s">
        <v>1207</v>
      </c>
      <c r="F188">
        <v>112468</v>
      </c>
    </row>
    <row r="189" spans="1:6">
      <c r="A189" t="s">
        <v>13</v>
      </c>
      <c r="B189" t="s">
        <v>49</v>
      </c>
      <c r="C189" t="s">
        <v>835</v>
      </c>
      <c r="D189" t="s">
        <v>1091</v>
      </c>
      <c r="E189" t="s">
        <v>1208</v>
      </c>
      <c r="F189">
        <v>114220</v>
      </c>
    </row>
    <row r="190" spans="1:6">
      <c r="A190" t="s">
        <v>13</v>
      </c>
      <c r="B190" t="s">
        <v>49</v>
      </c>
      <c r="C190" t="s">
        <v>835</v>
      </c>
      <c r="D190" t="s">
        <v>1091</v>
      </c>
      <c r="E190" t="s">
        <v>1209</v>
      </c>
      <c r="F190" t="s">
        <v>1112</v>
      </c>
    </row>
    <row r="191" spans="1:6">
      <c r="A191" t="s">
        <v>13</v>
      </c>
      <c r="B191" t="s">
        <v>49</v>
      </c>
      <c r="C191" t="s">
        <v>835</v>
      </c>
      <c r="D191" t="s">
        <v>1091</v>
      </c>
      <c r="E191" t="s">
        <v>1210</v>
      </c>
      <c r="F191">
        <v>0</v>
      </c>
    </row>
    <row r="192" spans="1:6">
      <c r="A192" t="s">
        <v>13</v>
      </c>
      <c r="B192" t="s">
        <v>49</v>
      </c>
      <c r="C192" t="s">
        <v>835</v>
      </c>
      <c r="D192" t="s">
        <v>1091</v>
      </c>
      <c r="E192" t="s">
        <v>1211</v>
      </c>
      <c r="F192">
        <v>0</v>
      </c>
    </row>
    <row r="193" spans="1:6">
      <c r="A193" t="s">
        <v>13</v>
      </c>
      <c r="B193" t="s">
        <v>49</v>
      </c>
      <c r="C193" t="s">
        <v>835</v>
      </c>
      <c r="D193" t="s">
        <v>1091</v>
      </c>
      <c r="E193" t="s">
        <v>1212</v>
      </c>
      <c r="F193">
        <v>0</v>
      </c>
    </row>
    <row r="194" spans="1:6">
      <c r="A194" t="s">
        <v>13</v>
      </c>
      <c r="B194" t="s">
        <v>49</v>
      </c>
      <c r="C194" t="s">
        <v>835</v>
      </c>
      <c r="D194" t="s">
        <v>1091</v>
      </c>
      <c r="E194" t="s">
        <v>1213</v>
      </c>
      <c r="F194">
        <v>0</v>
      </c>
    </row>
    <row r="195" spans="1:6">
      <c r="A195" t="s">
        <v>13</v>
      </c>
      <c r="B195" t="s">
        <v>49</v>
      </c>
      <c r="C195" t="s">
        <v>835</v>
      </c>
      <c r="D195" t="s">
        <v>1091</v>
      </c>
      <c r="E195" t="s">
        <v>1214</v>
      </c>
      <c r="F195">
        <v>0</v>
      </c>
    </row>
    <row r="196" spans="1:6">
      <c r="A196" t="s">
        <v>13</v>
      </c>
      <c r="B196" t="s">
        <v>49</v>
      </c>
      <c r="C196" t="s">
        <v>835</v>
      </c>
      <c r="D196" t="s">
        <v>1091</v>
      </c>
      <c r="E196" t="s">
        <v>1215</v>
      </c>
      <c r="F196">
        <v>0</v>
      </c>
    </row>
    <row r="197" spans="1:6">
      <c r="A197" t="s">
        <v>13</v>
      </c>
      <c r="B197" t="s">
        <v>49</v>
      </c>
      <c r="C197" t="s">
        <v>835</v>
      </c>
      <c r="D197" t="s">
        <v>1091</v>
      </c>
      <c r="E197" t="s">
        <v>1216</v>
      </c>
      <c r="F197">
        <v>0</v>
      </c>
    </row>
    <row r="198" spans="1:6">
      <c r="A198" t="s">
        <v>13</v>
      </c>
      <c r="B198" t="s">
        <v>49</v>
      </c>
      <c r="C198" t="s">
        <v>835</v>
      </c>
      <c r="D198" t="s">
        <v>1091</v>
      </c>
      <c r="E198" t="s">
        <v>1217</v>
      </c>
      <c r="F198" t="s">
        <v>1117</v>
      </c>
    </row>
    <row r="199" spans="1:6">
      <c r="A199" t="s">
        <v>13</v>
      </c>
      <c r="B199" t="s">
        <v>49</v>
      </c>
      <c r="C199" t="s">
        <v>835</v>
      </c>
      <c r="D199" t="s">
        <v>1091</v>
      </c>
      <c r="E199" t="s">
        <v>1218</v>
      </c>
      <c r="F199">
        <v>0</v>
      </c>
    </row>
    <row r="200" spans="1:6">
      <c r="A200" t="s">
        <v>13</v>
      </c>
      <c r="B200" t="s">
        <v>49</v>
      </c>
      <c r="C200" t="s">
        <v>835</v>
      </c>
      <c r="D200" t="s">
        <v>1091</v>
      </c>
      <c r="E200" t="s">
        <v>1219</v>
      </c>
      <c r="F200">
        <v>0</v>
      </c>
    </row>
    <row r="201" spans="1:6">
      <c r="A201" t="s">
        <v>13</v>
      </c>
      <c r="B201" t="s">
        <v>49</v>
      </c>
      <c r="C201" t="s">
        <v>835</v>
      </c>
      <c r="D201" t="s">
        <v>1091</v>
      </c>
      <c r="E201" t="s">
        <v>1220</v>
      </c>
      <c r="F201">
        <v>0</v>
      </c>
    </row>
    <row r="202" spans="1:6">
      <c r="A202" t="s">
        <v>13</v>
      </c>
      <c r="B202" t="s">
        <v>49</v>
      </c>
      <c r="C202" t="s">
        <v>835</v>
      </c>
      <c r="D202" t="s">
        <v>1091</v>
      </c>
      <c r="E202" t="s">
        <v>1221</v>
      </c>
      <c r="F202">
        <v>0</v>
      </c>
    </row>
    <row r="203" spans="1:6">
      <c r="A203" t="s">
        <v>13</v>
      </c>
      <c r="B203" t="s">
        <v>49</v>
      </c>
      <c r="C203" t="s">
        <v>835</v>
      </c>
      <c r="D203" t="s">
        <v>1091</v>
      </c>
      <c r="E203" t="s">
        <v>1222</v>
      </c>
      <c r="F203">
        <v>0</v>
      </c>
    </row>
    <row r="204" spans="1:6">
      <c r="A204" t="s">
        <v>13</v>
      </c>
      <c r="B204" t="s">
        <v>49</v>
      </c>
      <c r="C204" t="s">
        <v>835</v>
      </c>
      <c r="D204" t="s">
        <v>1091</v>
      </c>
      <c r="E204" t="s">
        <v>1223</v>
      </c>
      <c r="F204">
        <v>0</v>
      </c>
    </row>
    <row r="205" spans="1:6">
      <c r="A205" t="s">
        <v>13</v>
      </c>
      <c r="B205" t="s">
        <v>49</v>
      </c>
      <c r="C205" t="s">
        <v>835</v>
      </c>
      <c r="D205" t="s">
        <v>1091</v>
      </c>
      <c r="E205" t="s">
        <v>1224</v>
      </c>
      <c r="F205">
        <v>0</v>
      </c>
    </row>
    <row r="206" spans="1:6">
      <c r="A206" t="s">
        <v>13</v>
      </c>
      <c r="B206" t="s">
        <v>49</v>
      </c>
      <c r="C206" t="s">
        <v>835</v>
      </c>
      <c r="D206" t="s">
        <v>1091</v>
      </c>
      <c r="E206" t="s">
        <v>1225</v>
      </c>
      <c r="F206" t="s">
        <v>1226</v>
      </c>
    </row>
    <row r="207" spans="1:6">
      <c r="A207" t="s">
        <v>13</v>
      </c>
      <c r="B207" t="s">
        <v>49</v>
      </c>
      <c r="C207" t="s">
        <v>835</v>
      </c>
      <c r="D207" t="s">
        <v>1091</v>
      </c>
      <c r="E207" t="s">
        <v>1227</v>
      </c>
      <c r="F207" t="s">
        <v>1132</v>
      </c>
    </row>
    <row r="208" spans="1:6">
      <c r="A208" t="s">
        <v>13</v>
      </c>
      <c r="B208" t="s">
        <v>49</v>
      </c>
      <c r="C208" t="s">
        <v>835</v>
      </c>
      <c r="D208" t="s">
        <v>1091</v>
      </c>
      <c r="E208" t="s">
        <v>1228</v>
      </c>
      <c r="F208" t="s">
        <v>1229</v>
      </c>
    </row>
    <row r="209" spans="1:6">
      <c r="A209" t="s">
        <v>13</v>
      </c>
      <c r="B209" t="s">
        <v>49</v>
      </c>
      <c r="C209" t="s">
        <v>835</v>
      </c>
      <c r="D209" t="s">
        <v>1091</v>
      </c>
      <c r="E209" t="s">
        <v>1230</v>
      </c>
      <c r="F209" t="s">
        <v>1125</v>
      </c>
    </row>
    <row r="210" spans="1:6">
      <c r="A210" t="s">
        <v>13</v>
      </c>
      <c r="B210" t="s">
        <v>49</v>
      </c>
      <c r="C210" t="s">
        <v>835</v>
      </c>
      <c r="D210" t="s">
        <v>1091</v>
      </c>
      <c r="E210" t="s">
        <v>1231</v>
      </c>
      <c r="F210" t="s">
        <v>1232</v>
      </c>
    </row>
    <row r="211" spans="1:6">
      <c r="A211" t="s">
        <v>13</v>
      </c>
      <c r="B211" t="s">
        <v>49</v>
      </c>
      <c r="C211" t="s">
        <v>835</v>
      </c>
      <c r="D211" t="s">
        <v>1091</v>
      </c>
      <c r="E211" t="s">
        <v>1233</v>
      </c>
      <c r="F211" t="s">
        <v>1125</v>
      </c>
    </row>
    <row r="212" spans="1:6">
      <c r="A212" t="s">
        <v>13</v>
      </c>
      <c r="B212" t="s">
        <v>49</v>
      </c>
      <c r="C212" t="s">
        <v>835</v>
      </c>
      <c r="D212" t="s">
        <v>1091</v>
      </c>
      <c r="E212" t="s">
        <v>1234</v>
      </c>
      <c r="F212" t="s">
        <v>1125</v>
      </c>
    </row>
    <row r="213" spans="1:6">
      <c r="A213" t="s">
        <v>13</v>
      </c>
      <c r="B213" t="s">
        <v>49</v>
      </c>
      <c r="C213" t="s">
        <v>835</v>
      </c>
      <c r="D213" t="s">
        <v>1091</v>
      </c>
      <c r="E213" t="s">
        <v>1235</v>
      </c>
      <c r="F213" t="s">
        <v>1236</v>
      </c>
    </row>
    <row r="214" spans="1:6">
      <c r="A214" t="s">
        <v>13</v>
      </c>
      <c r="B214" t="s">
        <v>49</v>
      </c>
      <c r="C214" t="s">
        <v>835</v>
      </c>
      <c r="D214" t="s">
        <v>1091</v>
      </c>
      <c r="E214" t="s">
        <v>1237</v>
      </c>
      <c r="F214" t="s">
        <v>1132</v>
      </c>
    </row>
    <row r="215" spans="1:6">
      <c r="A215" t="s">
        <v>13</v>
      </c>
      <c r="B215" t="s">
        <v>49</v>
      </c>
      <c r="C215" t="s">
        <v>835</v>
      </c>
      <c r="D215" t="s">
        <v>1091</v>
      </c>
      <c r="E215" t="s">
        <v>1238</v>
      </c>
      <c r="F215" t="s">
        <v>1239</v>
      </c>
    </row>
    <row r="216" spans="1:6">
      <c r="A216" t="s">
        <v>13</v>
      </c>
      <c r="B216" t="s">
        <v>49</v>
      </c>
      <c r="C216" t="s">
        <v>835</v>
      </c>
      <c r="D216" t="s">
        <v>1091</v>
      </c>
      <c r="E216" t="s">
        <v>1240</v>
      </c>
      <c r="F216" t="s">
        <v>1125</v>
      </c>
    </row>
    <row r="217" spans="1:6">
      <c r="A217" t="s">
        <v>13</v>
      </c>
      <c r="B217" t="s">
        <v>49</v>
      </c>
      <c r="C217" t="s">
        <v>835</v>
      </c>
      <c r="D217" t="s">
        <v>1091</v>
      </c>
      <c r="E217" t="s">
        <v>1241</v>
      </c>
      <c r="F217" t="s">
        <v>1242</v>
      </c>
    </row>
    <row r="218" spans="1:6">
      <c r="A218" t="s">
        <v>13</v>
      </c>
      <c r="B218" t="s">
        <v>49</v>
      </c>
      <c r="C218" t="s">
        <v>835</v>
      </c>
      <c r="D218" t="s">
        <v>1091</v>
      </c>
      <c r="E218" t="s">
        <v>1243</v>
      </c>
      <c r="F218" t="s">
        <v>1242</v>
      </c>
    </row>
    <row r="219" spans="1:6">
      <c r="A219" t="s">
        <v>13</v>
      </c>
      <c r="B219" t="s">
        <v>49</v>
      </c>
      <c r="C219" t="s">
        <v>835</v>
      </c>
      <c r="D219" t="s">
        <v>1091</v>
      </c>
      <c r="E219" t="s">
        <v>1244</v>
      </c>
      <c r="F219" t="s">
        <v>1125</v>
      </c>
    </row>
    <row r="220" spans="1:6">
      <c r="A220" t="s">
        <v>13</v>
      </c>
      <c r="B220" t="s">
        <v>49</v>
      </c>
      <c r="C220" t="s">
        <v>835</v>
      </c>
      <c r="D220" t="s">
        <v>1091</v>
      </c>
      <c r="E220" t="s">
        <v>1245</v>
      </c>
      <c r="F220" t="s">
        <v>1246</v>
      </c>
    </row>
    <row r="221" spans="1:6">
      <c r="A221" t="s">
        <v>13</v>
      </c>
      <c r="B221" t="s">
        <v>49</v>
      </c>
      <c r="C221" t="s">
        <v>835</v>
      </c>
      <c r="D221" t="s">
        <v>1091</v>
      </c>
      <c r="E221" t="s">
        <v>1247</v>
      </c>
      <c r="F221">
        <v>112161</v>
      </c>
    </row>
    <row r="222" spans="1:6">
      <c r="A222" t="s">
        <v>13</v>
      </c>
      <c r="B222" t="s">
        <v>49</v>
      </c>
      <c r="C222" t="s">
        <v>835</v>
      </c>
      <c r="D222" t="s">
        <v>1091</v>
      </c>
      <c r="E222" t="s">
        <v>1248</v>
      </c>
      <c r="F222">
        <v>104341</v>
      </c>
    </row>
    <row r="223" spans="1:6">
      <c r="A223" t="s">
        <v>13</v>
      </c>
      <c r="B223" t="s">
        <v>49</v>
      </c>
      <c r="C223" t="s">
        <v>835</v>
      </c>
      <c r="D223" t="s">
        <v>1091</v>
      </c>
      <c r="E223" t="s">
        <v>1249</v>
      </c>
      <c r="F223">
        <v>3932</v>
      </c>
    </row>
    <row r="224" spans="1:6">
      <c r="A224" t="s">
        <v>13</v>
      </c>
      <c r="B224" t="s">
        <v>49</v>
      </c>
      <c r="C224" t="s">
        <v>835</v>
      </c>
      <c r="D224" t="s">
        <v>1091</v>
      </c>
      <c r="E224" t="s">
        <v>1250</v>
      </c>
      <c r="F224">
        <v>0</v>
      </c>
    </row>
    <row r="225" spans="1:6">
      <c r="A225" t="s">
        <v>13</v>
      </c>
      <c r="B225" t="s">
        <v>49</v>
      </c>
      <c r="C225" t="s">
        <v>835</v>
      </c>
      <c r="D225" t="s">
        <v>1091</v>
      </c>
      <c r="E225" t="s">
        <v>1251</v>
      </c>
      <c r="F225">
        <v>3877</v>
      </c>
    </row>
    <row r="226" spans="1:6">
      <c r="A226" t="s">
        <v>13</v>
      </c>
      <c r="B226" t="s">
        <v>49</v>
      </c>
      <c r="C226" t="s">
        <v>835</v>
      </c>
      <c r="D226" t="s">
        <v>1091</v>
      </c>
      <c r="E226" t="s">
        <v>1252</v>
      </c>
      <c r="F226">
        <v>10</v>
      </c>
    </row>
    <row r="227" spans="1:6">
      <c r="A227" t="s">
        <v>13</v>
      </c>
      <c r="B227" t="s">
        <v>49</v>
      </c>
      <c r="C227" t="s">
        <v>835</v>
      </c>
      <c r="D227" t="s">
        <v>1091</v>
      </c>
      <c r="E227" t="s">
        <v>1253</v>
      </c>
      <c r="F227">
        <v>0</v>
      </c>
    </row>
    <row r="228" spans="1:6">
      <c r="A228" t="s">
        <v>13</v>
      </c>
      <c r="B228" t="s">
        <v>49</v>
      </c>
      <c r="C228" t="s">
        <v>835</v>
      </c>
      <c r="D228" t="s">
        <v>1091</v>
      </c>
      <c r="E228" t="s">
        <v>1254</v>
      </c>
      <c r="F228" t="s">
        <v>1255</v>
      </c>
    </row>
    <row r="229" spans="1:6">
      <c r="A229" t="s">
        <v>13</v>
      </c>
      <c r="B229" t="s">
        <v>49</v>
      </c>
      <c r="C229" t="s">
        <v>835</v>
      </c>
      <c r="D229" t="s">
        <v>1091</v>
      </c>
      <c r="E229" t="s">
        <v>1256</v>
      </c>
      <c r="F229">
        <v>235</v>
      </c>
    </row>
    <row r="230" spans="1:6">
      <c r="A230" t="s">
        <v>13</v>
      </c>
      <c r="B230" t="s">
        <v>49</v>
      </c>
      <c r="C230" t="s">
        <v>835</v>
      </c>
      <c r="D230" t="s">
        <v>1091</v>
      </c>
      <c r="E230" t="s">
        <v>1257</v>
      </c>
      <c r="F230">
        <v>211</v>
      </c>
    </row>
    <row r="231" spans="1:6">
      <c r="A231" t="s">
        <v>13</v>
      </c>
      <c r="B231" t="s">
        <v>49</v>
      </c>
      <c r="C231" t="s">
        <v>835</v>
      </c>
      <c r="D231" t="s">
        <v>1091</v>
      </c>
      <c r="E231" t="s">
        <v>1258</v>
      </c>
      <c r="F231">
        <v>20</v>
      </c>
    </row>
    <row r="232" spans="1:6">
      <c r="A232" t="s">
        <v>13</v>
      </c>
      <c r="B232" t="s">
        <v>49</v>
      </c>
      <c r="C232" t="s">
        <v>835</v>
      </c>
      <c r="D232" t="s">
        <v>1091</v>
      </c>
      <c r="E232" t="s">
        <v>1259</v>
      </c>
      <c r="F232">
        <v>0</v>
      </c>
    </row>
    <row r="233" spans="1:6">
      <c r="A233" t="s">
        <v>13</v>
      </c>
      <c r="B233" t="s">
        <v>49</v>
      </c>
      <c r="C233" t="s">
        <v>835</v>
      </c>
      <c r="D233" t="s">
        <v>1091</v>
      </c>
      <c r="E233" t="s">
        <v>1260</v>
      </c>
      <c r="F233">
        <v>2</v>
      </c>
    </row>
    <row r="234" spans="1:6">
      <c r="A234" t="s">
        <v>13</v>
      </c>
      <c r="B234" t="s">
        <v>49</v>
      </c>
      <c r="C234" t="s">
        <v>835</v>
      </c>
      <c r="D234" t="s">
        <v>1091</v>
      </c>
      <c r="E234" t="s">
        <v>1261</v>
      </c>
      <c r="F234">
        <v>2</v>
      </c>
    </row>
    <row r="235" spans="1:6">
      <c r="A235" t="s">
        <v>13</v>
      </c>
      <c r="B235" t="s">
        <v>49</v>
      </c>
      <c r="C235" t="s">
        <v>835</v>
      </c>
      <c r="D235" t="s">
        <v>1091</v>
      </c>
      <c r="E235" t="s">
        <v>1262</v>
      </c>
      <c r="F235">
        <v>0</v>
      </c>
    </row>
    <row r="236" spans="1:6">
      <c r="A236" t="s">
        <v>13</v>
      </c>
      <c r="B236" t="s">
        <v>49</v>
      </c>
      <c r="C236" t="s">
        <v>835</v>
      </c>
      <c r="D236" t="s">
        <v>1091</v>
      </c>
      <c r="E236" t="s">
        <v>1263</v>
      </c>
      <c r="F236" t="s">
        <v>1131</v>
      </c>
    </row>
    <row r="237" spans="1:6">
      <c r="A237" t="s">
        <v>13</v>
      </c>
      <c r="B237" t="s">
        <v>49</v>
      </c>
      <c r="C237" t="s">
        <v>835</v>
      </c>
      <c r="D237" t="s">
        <v>1091</v>
      </c>
      <c r="E237" t="s">
        <v>1264</v>
      </c>
      <c r="F237" t="s">
        <v>1136</v>
      </c>
    </row>
    <row r="238" spans="1:6">
      <c r="A238" t="s">
        <v>13</v>
      </c>
      <c r="B238" t="s">
        <v>49</v>
      </c>
      <c r="C238" t="s">
        <v>835</v>
      </c>
      <c r="D238" t="s">
        <v>1091</v>
      </c>
      <c r="E238" t="s">
        <v>1265</v>
      </c>
      <c r="F238" t="s">
        <v>1125</v>
      </c>
    </row>
    <row r="239" spans="1:6">
      <c r="A239" t="s">
        <v>13</v>
      </c>
      <c r="B239" t="s">
        <v>49</v>
      </c>
      <c r="C239" t="s">
        <v>835</v>
      </c>
      <c r="D239" t="s">
        <v>1091</v>
      </c>
      <c r="E239" t="s">
        <v>1266</v>
      </c>
      <c r="F239" t="s">
        <v>1267</v>
      </c>
    </row>
    <row r="240" spans="1:6">
      <c r="A240" t="s">
        <v>13</v>
      </c>
      <c r="B240" t="s">
        <v>49</v>
      </c>
      <c r="C240" t="s">
        <v>835</v>
      </c>
      <c r="D240" t="s">
        <v>1091</v>
      </c>
      <c r="E240" t="s">
        <v>1268</v>
      </c>
      <c r="F240" t="s">
        <v>1132</v>
      </c>
    </row>
    <row r="241" spans="1:6">
      <c r="A241" t="s">
        <v>13</v>
      </c>
      <c r="B241" t="s">
        <v>49</v>
      </c>
      <c r="C241" t="s">
        <v>835</v>
      </c>
      <c r="D241" t="s">
        <v>1091</v>
      </c>
      <c r="E241" t="s">
        <v>1269</v>
      </c>
      <c r="F241" t="s">
        <v>1270</v>
      </c>
    </row>
    <row r="242" spans="1:6">
      <c r="A242" t="s">
        <v>13</v>
      </c>
      <c r="B242" t="s">
        <v>49</v>
      </c>
      <c r="C242" t="s">
        <v>835</v>
      </c>
      <c r="D242" t="s">
        <v>1091</v>
      </c>
      <c r="E242" t="s">
        <v>1271</v>
      </c>
      <c r="F242" t="s">
        <v>1132</v>
      </c>
    </row>
    <row r="243" spans="1:6">
      <c r="A243" t="s">
        <v>13</v>
      </c>
      <c r="B243" t="s">
        <v>49</v>
      </c>
      <c r="C243" t="s">
        <v>835</v>
      </c>
      <c r="D243" t="s">
        <v>1091</v>
      </c>
      <c r="E243" t="s">
        <v>1272</v>
      </c>
      <c r="F243" t="s">
        <v>1132</v>
      </c>
    </row>
    <row r="244" spans="1:6">
      <c r="A244" t="s">
        <v>13</v>
      </c>
      <c r="B244" t="s">
        <v>49</v>
      </c>
      <c r="C244" t="s">
        <v>835</v>
      </c>
      <c r="D244" t="s">
        <v>1273</v>
      </c>
      <c r="E244" t="s">
        <v>1274</v>
      </c>
      <c r="F244" t="s">
        <v>49</v>
      </c>
    </row>
    <row r="245" spans="1:6">
      <c r="A245" t="s">
        <v>13</v>
      </c>
      <c r="B245" t="s">
        <v>49</v>
      </c>
      <c r="C245" t="s">
        <v>835</v>
      </c>
      <c r="D245" t="s">
        <v>1273</v>
      </c>
      <c r="E245" t="s">
        <v>1275</v>
      </c>
      <c r="F245" t="s">
        <v>998</v>
      </c>
    </row>
    <row r="246" spans="1:6">
      <c r="A246" t="s">
        <v>13</v>
      </c>
      <c r="B246" t="s">
        <v>49</v>
      </c>
      <c r="C246" t="s">
        <v>835</v>
      </c>
      <c r="D246" t="s">
        <v>1273</v>
      </c>
      <c r="E246" t="s">
        <v>1276</v>
      </c>
      <c r="F246" t="s">
        <v>1277</v>
      </c>
    </row>
    <row r="247" spans="1:6">
      <c r="A247" t="s">
        <v>13</v>
      </c>
      <c r="B247" t="s">
        <v>49</v>
      </c>
      <c r="C247" t="s">
        <v>835</v>
      </c>
      <c r="D247" t="s">
        <v>1273</v>
      </c>
      <c r="E247" t="s">
        <v>1278</v>
      </c>
      <c r="F247" t="s">
        <v>998</v>
      </c>
    </row>
    <row r="248" spans="1:6">
      <c r="A248" t="s">
        <v>13</v>
      </c>
      <c r="B248" t="s">
        <v>49</v>
      </c>
      <c r="C248" t="s">
        <v>835</v>
      </c>
      <c r="D248" t="s">
        <v>1273</v>
      </c>
      <c r="E248" t="s">
        <v>1279</v>
      </c>
      <c r="F248" t="s">
        <v>1280</v>
      </c>
    </row>
    <row r="249" spans="1:6">
      <c r="A249" t="s">
        <v>13</v>
      </c>
      <c r="B249" t="s">
        <v>49</v>
      </c>
      <c r="C249" t="s">
        <v>835</v>
      </c>
      <c r="D249" t="s">
        <v>1273</v>
      </c>
      <c r="E249" t="s">
        <v>1281</v>
      </c>
      <c r="F249" t="s">
        <v>1282</v>
      </c>
    </row>
    <row r="250" spans="1:6">
      <c r="A250" t="s">
        <v>13</v>
      </c>
      <c r="B250" t="s">
        <v>49</v>
      </c>
      <c r="C250" t="s">
        <v>835</v>
      </c>
      <c r="D250" t="s">
        <v>1273</v>
      </c>
      <c r="E250" t="s">
        <v>1283</v>
      </c>
      <c r="F250" t="s">
        <v>1284</v>
      </c>
    </row>
    <row r="251" spans="1:6">
      <c r="A251" t="s">
        <v>13</v>
      </c>
      <c r="B251" t="s">
        <v>49</v>
      </c>
      <c r="C251" t="s">
        <v>835</v>
      </c>
      <c r="D251" t="s">
        <v>1273</v>
      </c>
      <c r="E251" t="s">
        <v>1285</v>
      </c>
      <c r="F251" t="s">
        <v>377</v>
      </c>
    </row>
    <row r="252" spans="1:6">
      <c r="A252" t="s">
        <v>13</v>
      </c>
      <c r="B252" t="s">
        <v>49</v>
      </c>
      <c r="C252" t="s">
        <v>835</v>
      </c>
      <c r="D252" t="s">
        <v>1273</v>
      </c>
      <c r="E252" t="s">
        <v>1286</v>
      </c>
      <c r="F252">
        <v>11</v>
      </c>
    </row>
    <row r="253" spans="1:6">
      <c r="A253" t="s">
        <v>13</v>
      </c>
      <c r="B253" t="s">
        <v>49</v>
      </c>
      <c r="C253" t="s">
        <v>835</v>
      </c>
      <c r="D253" t="s">
        <v>1273</v>
      </c>
      <c r="E253" t="s">
        <v>1287</v>
      </c>
      <c r="F253">
        <v>4</v>
      </c>
    </row>
    <row r="254" spans="1:6">
      <c r="A254" t="s">
        <v>13</v>
      </c>
      <c r="B254" t="s">
        <v>49</v>
      </c>
      <c r="C254" t="s">
        <v>835</v>
      </c>
      <c r="D254" t="s">
        <v>1273</v>
      </c>
      <c r="E254" t="s">
        <v>1288</v>
      </c>
      <c r="F254" t="s">
        <v>379</v>
      </c>
    </row>
    <row r="255" spans="1:6">
      <c r="A255" t="s">
        <v>13</v>
      </c>
      <c r="B255" t="s">
        <v>49</v>
      </c>
      <c r="C255" t="s">
        <v>835</v>
      </c>
      <c r="D255" t="s">
        <v>1273</v>
      </c>
      <c r="E255" t="s">
        <v>1096</v>
      </c>
      <c r="F255">
        <v>12</v>
      </c>
    </row>
    <row r="256" spans="1:6">
      <c r="A256" t="s">
        <v>13</v>
      </c>
      <c r="B256" t="s">
        <v>49</v>
      </c>
      <c r="C256" t="s">
        <v>835</v>
      </c>
      <c r="D256" t="s">
        <v>1273</v>
      </c>
      <c r="E256" t="s">
        <v>1004</v>
      </c>
      <c r="F256">
        <v>67</v>
      </c>
    </row>
    <row r="257" spans="1:6">
      <c r="A257" t="s">
        <v>13</v>
      </c>
      <c r="B257" t="s">
        <v>49</v>
      </c>
      <c r="C257" t="s">
        <v>835</v>
      </c>
      <c r="D257" t="s">
        <v>1273</v>
      </c>
      <c r="E257" t="s">
        <v>1289</v>
      </c>
      <c r="F257" t="s">
        <v>381</v>
      </c>
    </row>
    <row r="258" spans="1:6">
      <c r="A258" t="s">
        <v>13</v>
      </c>
      <c r="B258" t="s">
        <v>49</v>
      </c>
      <c r="C258" t="s">
        <v>835</v>
      </c>
      <c r="D258" t="s">
        <v>1273</v>
      </c>
      <c r="E258" t="s">
        <v>1290</v>
      </c>
      <c r="F258">
        <v>79</v>
      </c>
    </row>
    <row r="259" spans="1:6">
      <c r="A259" t="s">
        <v>13</v>
      </c>
      <c r="B259" t="s">
        <v>49</v>
      </c>
      <c r="C259" t="s">
        <v>835</v>
      </c>
      <c r="D259" t="s">
        <v>1273</v>
      </c>
      <c r="E259" t="s">
        <v>1291</v>
      </c>
      <c r="F259">
        <v>3911</v>
      </c>
    </row>
    <row r="260" spans="1:6">
      <c r="A260" t="s">
        <v>13</v>
      </c>
      <c r="B260" t="s">
        <v>49</v>
      </c>
      <c r="C260" t="s">
        <v>835</v>
      </c>
      <c r="D260" t="s">
        <v>1273</v>
      </c>
      <c r="E260" t="s">
        <v>1008</v>
      </c>
      <c r="F260" t="s">
        <v>383</v>
      </c>
    </row>
    <row r="261" spans="1:6">
      <c r="A261" t="s">
        <v>13</v>
      </c>
      <c r="B261" t="s">
        <v>49</v>
      </c>
      <c r="C261" t="s">
        <v>835</v>
      </c>
      <c r="D261" t="s">
        <v>1273</v>
      </c>
      <c r="E261" t="s">
        <v>1010</v>
      </c>
      <c r="F261">
        <v>179</v>
      </c>
    </row>
    <row r="262" spans="1:6">
      <c r="A262" t="s">
        <v>13</v>
      </c>
      <c r="B262" t="s">
        <v>49</v>
      </c>
      <c r="C262" t="s">
        <v>835</v>
      </c>
      <c r="D262" t="s">
        <v>1273</v>
      </c>
      <c r="E262" t="s">
        <v>1012</v>
      </c>
      <c r="F262">
        <v>54979</v>
      </c>
    </row>
    <row r="263" spans="1:6">
      <c r="A263" t="s">
        <v>13</v>
      </c>
      <c r="B263" t="s">
        <v>49</v>
      </c>
      <c r="C263" t="s">
        <v>835</v>
      </c>
      <c r="D263" t="s">
        <v>1273</v>
      </c>
      <c r="E263" t="s">
        <v>1035</v>
      </c>
      <c r="F263" t="s">
        <v>385</v>
      </c>
    </row>
    <row r="264" spans="1:6">
      <c r="A264" t="s">
        <v>13</v>
      </c>
      <c r="B264" t="s">
        <v>49</v>
      </c>
      <c r="C264" t="s">
        <v>835</v>
      </c>
      <c r="D264" t="s">
        <v>1273</v>
      </c>
      <c r="E264" t="s">
        <v>1099</v>
      </c>
      <c r="F264">
        <v>14</v>
      </c>
    </row>
    <row r="265" spans="1:6">
      <c r="A265" t="s">
        <v>13</v>
      </c>
      <c r="B265" t="s">
        <v>49</v>
      </c>
      <c r="C265" t="s">
        <v>835</v>
      </c>
      <c r="D265" t="s">
        <v>1273</v>
      </c>
      <c r="E265" t="s">
        <v>1100</v>
      </c>
      <c r="F265">
        <v>77704</v>
      </c>
    </row>
    <row r="266" spans="1:6">
      <c r="A266" t="s">
        <v>13</v>
      </c>
      <c r="B266" t="s">
        <v>49</v>
      </c>
      <c r="C266" t="s">
        <v>835</v>
      </c>
      <c r="D266" t="s">
        <v>1273</v>
      </c>
      <c r="E266" t="s">
        <v>1037</v>
      </c>
      <c r="F266" t="s">
        <v>1292</v>
      </c>
    </row>
    <row r="267" spans="1:6">
      <c r="A267" t="s">
        <v>13</v>
      </c>
      <c r="B267" t="s">
        <v>49</v>
      </c>
      <c r="C267" t="s">
        <v>835</v>
      </c>
      <c r="D267" t="s">
        <v>1273</v>
      </c>
      <c r="E267" t="s">
        <v>1103</v>
      </c>
      <c r="F267">
        <v>295</v>
      </c>
    </row>
    <row r="268" spans="1:6">
      <c r="A268" t="s">
        <v>13</v>
      </c>
      <c r="B268" t="s">
        <v>49</v>
      </c>
      <c r="C268" t="s">
        <v>835</v>
      </c>
      <c r="D268" t="s">
        <v>1273</v>
      </c>
      <c r="E268" t="s">
        <v>1104</v>
      </c>
      <c r="F268">
        <v>136664</v>
      </c>
    </row>
    <row r="269" spans="1:6">
      <c r="A269" t="s">
        <v>13</v>
      </c>
      <c r="B269" t="s">
        <v>49</v>
      </c>
      <c r="C269" t="s">
        <v>835</v>
      </c>
      <c r="D269" t="s">
        <v>1273</v>
      </c>
      <c r="E269" t="s">
        <v>1052</v>
      </c>
      <c r="F269" t="s">
        <v>1293</v>
      </c>
    </row>
    <row r="270" spans="1:6">
      <c r="A270" t="s">
        <v>13</v>
      </c>
      <c r="B270" t="s">
        <v>49</v>
      </c>
      <c r="C270" t="s">
        <v>835</v>
      </c>
      <c r="D270" t="s">
        <v>1273</v>
      </c>
      <c r="E270" t="s">
        <v>1053</v>
      </c>
      <c r="F270" t="s">
        <v>1294</v>
      </c>
    </row>
    <row r="271" spans="1:6">
      <c r="A271" t="s">
        <v>13</v>
      </c>
      <c r="B271" t="s">
        <v>49</v>
      </c>
      <c r="C271" t="s">
        <v>835</v>
      </c>
      <c r="D271" t="s">
        <v>1273</v>
      </c>
      <c r="E271" t="s">
        <v>1108</v>
      </c>
      <c r="F271" t="s">
        <v>1295</v>
      </c>
    </row>
    <row r="272" spans="1:6">
      <c r="A272" t="s">
        <v>13</v>
      </c>
      <c r="B272" t="s">
        <v>49</v>
      </c>
      <c r="C272" t="s">
        <v>835</v>
      </c>
      <c r="D272" t="s">
        <v>1273</v>
      </c>
      <c r="E272" t="s">
        <v>1109</v>
      </c>
      <c r="F272" t="s">
        <v>1295</v>
      </c>
    </row>
    <row r="273" spans="1:6">
      <c r="A273" t="s">
        <v>13</v>
      </c>
      <c r="B273" t="s">
        <v>49</v>
      </c>
      <c r="C273" t="s">
        <v>835</v>
      </c>
      <c r="D273" t="s">
        <v>1273</v>
      </c>
      <c r="E273" t="s">
        <v>1113</v>
      </c>
      <c r="F273">
        <v>2018</v>
      </c>
    </row>
    <row r="274" spans="1:6">
      <c r="A274" t="s">
        <v>13</v>
      </c>
      <c r="B274" t="s">
        <v>49</v>
      </c>
      <c r="C274" t="s">
        <v>835</v>
      </c>
      <c r="D274" t="s">
        <v>1273</v>
      </c>
      <c r="E274" t="s">
        <v>1114</v>
      </c>
      <c r="F274">
        <v>4</v>
      </c>
    </row>
    <row r="275" spans="1:6">
      <c r="A275" t="s">
        <v>13</v>
      </c>
      <c r="B275" t="s">
        <v>49</v>
      </c>
      <c r="C275" t="s">
        <v>835</v>
      </c>
      <c r="D275" t="s">
        <v>1273</v>
      </c>
      <c r="E275" t="s">
        <v>1115</v>
      </c>
      <c r="F275">
        <v>559</v>
      </c>
    </row>
    <row r="276" spans="1:6">
      <c r="A276" t="s">
        <v>13</v>
      </c>
      <c r="B276" t="s">
        <v>49</v>
      </c>
      <c r="C276" t="s">
        <v>835</v>
      </c>
      <c r="D276" t="s">
        <v>1273</v>
      </c>
      <c r="E276" t="s">
        <v>1118</v>
      </c>
      <c r="F276">
        <v>2019</v>
      </c>
    </row>
    <row r="277" spans="1:6">
      <c r="A277" t="s">
        <v>13</v>
      </c>
      <c r="B277" t="s">
        <v>49</v>
      </c>
      <c r="C277" t="s">
        <v>835</v>
      </c>
      <c r="D277" t="s">
        <v>1273</v>
      </c>
      <c r="E277" t="s">
        <v>1119</v>
      </c>
      <c r="F277">
        <v>4</v>
      </c>
    </row>
    <row r="278" spans="1:6">
      <c r="A278" t="s">
        <v>13</v>
      </c>
      <c r="B278" t="s">
        <v>49</v>
      </c>
      <c r="C278" t="s">
        <v>835</v>
      </c>
      <c r="D278" t="s">
        <v>1273</v>
      </c>
      <c r="E278" t="s">
        <v>1120</v>
      </c>
      <c r="F278">
        <v>2056</v>
      </c>
    </row>
    <row r="279" spans="1:6">
      <c r="A279" t="s">
        <v>13</v>
      </c>
      <c r="B279" t="s">
        <v>49</v>
      </c>
      <c r="C279" t="s">
        <v>835</v>
      </c>
      <c r="D279" t="s">
        <v>1273</v>
      </c>
      <c r="E279" t="s">
        <v>1124</v>
      </c>
      <c r="F279">
        <v>2020</v>
      </c>
    </row>
    <row r="280" spans="1:6">
      <c r="A280" t="s">
        <v>13</v>
      </c>
      <c r="B280" t="s">
        <v>49</v>
      </c>
      <c r="C280" t="s">
        <v>835</v>
      </c>
      <c r="D280" t="s">
        <v>1273</v>
      </c>
      <c r="E280" t="s">
        <v>1126</v>
      </c>
      <c r="F280">
        <v>9</v>
      </c>
    </row>
    <row r="281" spans="1:6">
      <c r="A281" t="s">
        <v>13</v>
      </c>
      <c r="B281" t="s">
        <v>49</v>
      </c>
      <c r="C281" t="s">
        <v>835</v>
      </c>
      <c r="D281" t="s">
        <v>1273</v>
      </c>
      <c r="E281" t="s">
        <v>1127</v>
      </c>
      <c r="F281">
        <v>1953</v>
      </c>
    </row>
    <row r="282" spans="1:6">
      <c r="A282" t="s">
        <v>13</v>
      </c>
      <c r="B282" t="s">
        <v>49</v>
      </c>
      <c r="C282" t="s">
        <v>835</v>
      </c>
      <c r="D282" t="s">
        <v>1273</v>
      </c>
      <c r="E282" t="s">
        <v>1057</v>
      </c>
      <c r="F282">
        <v>2021</v>
      </c>
    </row>
    <row r="283" spans="1:6">
      <c r="A283" t="s">
        <v>13</v>
      </c>
      <c r="B283" t="s">
        <v>49</v>
      </c>
      <c r="C283" t="s">
        <v>835</v>
      </c>
      <c r="D283" t="s">
        <v>1273</v>
      </c>
      <c r="E283" t="s">
        <v>1058</v>
      </c>
      <c r="F283">
        <v>22</v>
      </c>
    </row>
    <row r="284" spans="1:6">
      <c r="A284" t="s">
        <v>13</v>
      </c>
      <c r="B284" t="s">
        <v>49</v>
      </c>
      <c r="C284" t="s">
        <v>835</v>
      </c>
      <c r="D284" t="s">
        <v>1273</v>
      </c>
      <c r="E284" t="s">
        <v>1059</v>
      </c>
      <c r="F284">
        <v>9241</v>
      </c>
    </row>
    <row r="285" spans="1:6">
      <c r="A285" t="s">
        <v>13</v>
      </c>
      <c r="B285" t="s">
        <v>49</v>
      </c>
      <c r="C285" t="s">
        <v>835</v>
      </c>
      <c r="D285" t="s">
        <v>1273</v>
      </c>
      <c r="E285" t="s">
        <v>1072</v>
      </c>
      <c r="F285">
        <v>2022</v>
      </c>
    </row>
    <row r="286" spans="1:6">
      <c r="A286" t="s">
        <v>13</v>
      </c>
      <c r="B286" t="s">
        <v>49</v>
      </c>
      <c r="C286" t="s">
        <v>835</v>
      </c>
      <c r="D286" t="s">
        <v>1273</v>
      </c>
      <c r="E286" t="s">
        <v>1133</v>
      </c>
      <c r="F286">
        <v>11</v>
      </c>
    </row>
    <row r="287" spans="1:6">
      <c r="A287" t="s">
        <v>13</v>
      </c>
      <c r="B287" t="s">
        <v>49</v>
      </c>
      <c r="C287" t="s">
        <v>835</v>
      </c>
      <c r="D287" t="s">
        <v>1273</v>
      </c>
      <c r="E287" t="s">
        <v>1134</v>
      </c>
      <c r="F287">
        <v>2958</v>
      </c>
    </row>
    <row r="288" spans="1:6">
      <c r="A288" t="s">
        <v>13</v>
      </c>
      <c r="B288" t="s">
        <v>49</v>
      </c>
      <c r="C288" t="s">
        <v>835</v>
      </c>
      <c r="D288" t="s">
        <v>1273</v>
      </c>
      <c r="E288" t="s">
        <v>1074</v>
      </c>
      <c r="F288">
        <v>2023</v>
      </c>
    </row>
    <row r="289" spans="1:6">
      <c r="A289" t="s">
        <v>13</v>
      </c>
      <c r="B289" t="s">
        <v>49</v>
      </c>
      <c r="C289" t="s">
        <v>835</v>
      </c>
      <c r="D289" t="s">
        <v>1273</v>
      </c>
      <c r="E289" t="s">
        <v>1296</v>
      </c>
      <c r="F289">
        <v>4</v>
      </c>
    </row>
    <row r="290" spans="1:6">
      <c r="A290" t="s">
        <v>13</v>
      </c>
      <c r="B290" t="s">
        <v>49</v>
      </c>
      <c r="C290" t="s">
        <v>835</v>
      </c>
      <c r="D290" t="s">
        <v>1273</v>
      </c>
      <c r="E290" t="s">
        <v>1297</v>
      </c>
      <c r="F290">
        <v>841</v>
      </c>
    </row>
    <row r="291" spans="1:6">
      <c r="A291" t="s">
        <v>13</v>
      </c>
      <c r="B291" t="s">
        <v>49</v>
      </c>
      <c r="C291" t="s">
        <v>835</v>
      </c>
      <c r="D291" t="s">
        <v>1273</v>
      </c>
      <c r="E291" t="s">
        <v>1076</v>
      </c>
      <c r="F291">
        <v>2024</v>
      </c>
    </row>
    <row r="292" spans="1:6">
      <c r="A292" t="s">
        <v>13</v>
      </c>
      <c r="B292" t="s">
        <v>49</v>
      </c>
      <c r="C292" t="s">
        <v>835</v>
      </c>
      <c r="D292" t="s">
        <v>1273</v>
      </c>
      <c r="E292" t="s">
        <v>1077</v>
      </c>
      <c r="F292">
        <v>2</v>
      </c>
    </row>
    <row r="293" spans="1:6">
      <c r="A293" t="s">
        <v>13</v>
      </c>
      <c r="B293" t="s">
        <v>49</v>
      </c>
      <c r="C293" t="s">
        <v>835</v>
      </c>
      <c r="D293" t="s">
        <v>1273</v>
      </c>
      <c r="E293" t="s">
        <v>1078</v>
      </c>
      <c r="F293">
        <v>5209</v>
      </c>
    </row>
    <row r="294" spans="1:6">
      <c r="A294" t="s">
        <v>13</v>
      </c>
      <c r="B294" t="s">
        <v>49</v>
      </c>
      <c r="C294" t="s">
        <v>835</v>
      </c>
      <c r="D294" t="s">
        <v>1273</v>
      </c>
      <c r="E294" t="s">
        <v>1090</v>
      </c>
      <c r="F294">
        <v>2025</v>
      </c>
    </row>
    <row r="295" spans="1:6">
      <c r="A295" t="s">
        <v>13</v>
      </c>
      <c r="B295" t="s">
        <v>49</v>
      </c>
      <c r="C295" t="s">
        <v>835</v>
      </c>
      <c r="D295" t="s">
        <v>1273</v>
      </c>
      <c r="E295" t="s">
        <v>1139</v>
      </c>
      <c r="F295">
        <v>4</v>
      </c>
    </row>
    <row r="296" spans="1:6">
      <c r="A296" t="s">
        <v>13</v>
      </c>
      <c r="B296" t="s">
        <v>49</v>
      </c>
      <c r="C296" t="s">
        <v>835</v>
      </c>
      <c r="D296" t="s">
        <v>1273</v>
      </c>
      <c r="E296" t="s">
        <v>1140</v>
      </c>
      <c r="F296">
        <v>1688</v>
      </c>
    </row>
    <row r="297" spans="1:6">
      <c r="A297" t="s">
        <v>13</v>
      </c>
      <c r="B297" t="s">
        <v>49</v>
      </c>
      <c r="C297" t="s">
        <v>835</v>
      </c>
      <c r="D297" t="s">
        <v>1273</v>
      </c>
      <c r="E297" t="s">
        <v>1298</v>
      </c>
      <c r="F297">
        <v>2026</v>
      </c>
    </row>
    <row r="298" spans="1:6">
      <c r="A298" t="s">
        <v>13</v>
      </c>
      <c r="B298" t="s">
        <v>49</v>
      </c>
      <c r="C298" t="s">
        <v>835</v>
      </c>
      <c r="D298" t="s">
        <v>1273</v>
      </c>
      <c r="E298" t="s">
        <v>1299</v>
      </c>
      <c r="F298">
        <v>235</v>
      </c>
    </row>
    <row r="299" spans="1:6">
      <c r="A299" t="s">
        <v>13</v>
      </c>
      <c r="B299" t="s">
        <v>49</v>
      </c>
      <c r="C299" t="s">
        <v>835</v>
      </c>
      <c r="D299" t="s">
        <v>1273</v>
      </c>
      <c r="E299" t="s">
        <v>1300</v>
      </c>
      <c r="F299">
        <v>112161</v>
      </c>
    </row>
    <row r="300" spans="1:6">
      <c r="A300" t="s">
        <v>13</v>
      </c>
      <c r="B300" t="s">
        <v>49</v>
      </c>
      <c r="C300" t="s">
        <v>835</v>
      </c>
      <c r="D300" t="s">
        <v>1273</v>
      </c>
      <c r="E300" t="s">
        <v>1301</v>
      </c>
      <c r="F300" t="s">
        <v>1292</v>
      </c>
    </row>
    <row r="301" spans="1:6">
      <c r="A301" t="s">
        <v>13</v>
      </c>
      <c r="B301" t="s">
        <v>49</v>
      </c>
      <c r="C301" t="s">
        <v>835</v>
      </c>
      <c r="D301" t="s">
        <v>1273</v>
      </c>
      <c r="E301" t="s">
        <v>1302</v>
      </c>
      <c r="F301">
        <v>295</v>
      </c>
    </row>
    <row r="302" spans="1:6">
      <c r="A302" t="s">
        <v>13</v>
      </c>
      <c r="B302" t="s">
        <v>49</v>
      </c>
      <c r="C302" t="s">
        <v>835</v>
      </c>
      <c r="D302" t="s">
        <v>1273</v>
      </c>
      <c r="E302" t="s">
        <v>1303</v>
      </c>
      <c r="F302">
        <v>136664</v>
      </c>
    </row>
    <row r="303" spans="1:6">
      <c r="A303" t="s">
        <v>13</v>
      </c>
      <c r="B303" t="s">
        <v>58</v>
      </c>
      <c r="C303" t="s">
        <v>835</v>
      </c>
      <c r="D303" t="s">
        <v>991</v>
      </c>
      <c r="E303" t="s">
        <v>992</v>
      </c>
      <c r="F303" t="s">
        <v>993</v>
      </c>
    </row>
    <row r="304" spans="1:6">
      <c r="A304" t="s">
        <v>13</v>
      </c>
      <c r="B304" t="s">
        <v>58</v>
      </c>
      <c r="C304" t="s">
        <v>835</v>
      </c>
      <c r="D304" t="s">
        <v>991</v>
      </c>
      <c r="E304" t="s">
        <v>1304</v>
      </c>
      <c r="F304" t="s">
        <v>1305</v>
      </c>
    </row>
    <row r="305" spans="1:6">
      <c r="A305" t="s">
        <v>13</v>
      </c>
      <c r="B305" t="s">
        <v>58</v>
      </c>
      <c r="C305" t="s">
        <v>835</v>
      </c>
      <c r="D305" t="s">
        <v>991</v>
      </c>
      <c r="E305" t="s">
        <v>1093</v>
      </c>
      <c r="F305" t="s">
        <v>1094</v>
      </c>
    </row>
    <row r="306" spans="1:6">
      <c r="A306" t="s">
        <v>13</v>
      </c>
      <c r="B306" t="s">
        <v>58</v>
      </c>
      <c r="C306" t="s">
        <v>835</v>
      </c>
      <c r="D306" t="s">
        <v>991</v>
      </c>
      <c r="E306" t="s">
        <v>994</v>
      </c>
      <c r="F306" t="s">
        <v>1306</v>
      </c>
    </row>
    <row r="307" spans="1:6">
      <c r="A307" t="s">
        <v>13</v>
      </c>
      <c r="B307" t="s">
        <v>58</v>
      </c>
      <c r="C307" t="s">
        <v>835</v>
      </c>
      <c r="D307" t="s">
        <v>991</v>
      </c>
      <c r="E307" t="s">
        <v>995</v>
      </c>
      <c r="F307" t="s">
        <v>996</v>
      </c>
    </row>
    <row r="308" spans="1:6">
      <c r="A308" t="s">
        <v>13</v>
      </c>
      <c r="B308" t="s">
        <v>58</v>
      </c>
      <c r="C308" t="s">
        <v>835</v>
      </c>
      <c r="D308" t="s">
        <v>991</v>
      </c>
      <c r="E308" t="s">
        <v>997</v>
      </c>
      <c r="F308" t="s">
        <v>998</v>
      </c>
    </row>
    <row r="309" spans="1:6">
      <c r="A309" t="s">
        <v>13</v>
      </c>
      <c r="B309" t="s">
        <v>58</v>
      </c>
      <c r="C309" t="s">
        <v>835</v>
      </c>
      <c r="D309" t="s">
        <v>991</v>
      </c>
      <c r="E309" t="s">
        <v>999</v>
      </c>
      <c r="F309" t="s">
        <v>1000</v>
      </c>
    </row>
    <row r="310" spans="1:6">
      <c r="A310" t="s">
        <v>13</v>
      </c>
      <c r="B310" t="s">
        <v>58</v>
      </c>
      <c r="C310" t="s">
        <v>835</v>
      </c>
      <c r="D310" t="s">
        <v>991</v>
      </c>
      <c r="E310" t="s">
        <v>1001</v>
      </c>
      <c r="F310" t="s">
        <v>10</v>
      </c>
    </row>
    <row r="311" spans="1:6">
      <c r="A311" t="s">
        <v>13</v>
      </c>
      <c r="B311" t="s">
        <v>58</v>
      </c>
      <c r="C311" t="s">
        <v>835</v>
      </c>
      <c r="D311" t="s">
        <v>991</v>
      </c>
      <c r="E311" t="s">
        <v>1002</v>
      </c>
      <c r="F311" t="s">
        <v>1003</v>
      </c>
    </row>
    <row r="312" spans="1:6">
      <c r="A312" t="s">
        <v>13</v>
      </c>
      <c r="B312" t="s">
        <v>58</v>
      </c>
      <c r="C312" t="s">
        <v>835</v>
      </c>
      <c r="D312" t="s">
        <v>991</v>
      </c>
      <c r="E312" t="s">
        <v>1004</v>
      </c>
      <c r="F312" t="s">
        <v>1005</v>
      </c>
    </row>
    <row r="313" spans="1:6">
      <c r="A313" t="s">
        <v>13</v>
      </c>
      <c r="B313" t="s">
        <v>58</v>
      </c>
      <c r="C313" t="s">
        <v>835</v>
      </c>
      <c r="D313" t="s">
        <v>991</v>
      </c>
      <c r="E313" t="s">
        <v>1006</v>
      </c>
      <c r="F313" t="s">
        <v>1007</v>
      </c>
    </row>
    <row r="314" spans="1:6">
      <c r="A314" t="s">
        <v>13</v>
      </c>
      <c r="B314" t="s">
        <v>58</v>
      </c>
      <c r="C314" t="s">
        <v>835</v>
      </c>
      <c r="D314" t="s">
        <v>991</v>
      </c>
      <c r="E314" t="s">
        <v>1008</v>
      </c>
      <c r="F314" t="s">
        <v>1009</v>
      </c>
    </row>
    <row r="315" spans="1:6">
      <c r="A315" t="s">
        <v>13</v>
      </c>
      <c r="B315" t="s">
        <v>58</v>
      </c>
      <c r="C315" t="s">
        <v>835</v>
      </c>
      <c r="D315" t="s">
        <v>991</v>
      </c>
      <c r="E315" t="s">
        <v>1010</v>
      </c>
      <c r="F315" t="s">
        <v>1011</v>
      </c>
    </row>
    <row r="316" spans="1:6">
      <c r="A316" t="s">
        <v>13</v>
      </c>
      <c r="B316" t="s">
        <v>58</v>
      </c>
      <c r="C316" t="s">
        <v>835</v>
      </c>
      <c r="D316" t="s">
        <v>991</v>
      </c>
      <c r="E316" t="s">
        <v>1012</v>
      </c>
      <c r="F316" t="s">
        <v>1013</v>
      </c>
    </row>
    <row r="317" spans="1:6">
      <c r="A317" t="s">
        <v>13</v>
      </c>
      <c r="B317" t="s">
        <v>58</v>
      </c>
      <c r="C317" t="s">
        <v>835</v>
      </c>
      <c r="D317" t="s">
        <v>991</v>
      </c>
      <c r="E317" t="s">
        <v>1014</v>
      </c>
      <c r="F317" t="s">
        <v>1015</v>
      </c>
    </row>
    <row r="318" spans="1:6">
      <c r="A318" t="s">
        <v>13</v>
      </c>
      <c r="B318" t="s">
        <v>58</v>
      </c>
      <c r="C318" t="s">
        <v>835</v>
      </c>
      <c r="D318" t="s">
        <v>991</v>
      </c>
      <c r="E318" t="s">
        <v>1016</v>
      </c>
      <c r="F318" t="s">
        <v>1017</v>
      </c>
    </row>
    <row r="319" spans="1:6">
      <c r="A319" t="s">
        <v>13</v>
      </c>
      <c r="B319" t="s">
        <v>58</v>
      </c>
      <c r="C319" t="s">
        <v>835</v>
      </c>
      <c r="D319" t="s">
        <v>991</v>
      </c>
      <c r="E319" t="s">
        <v>1018</v>
      </c>
      <c r="F319" t="s">
        <v>1019</v>
      </c>
    </row>
    <row r="320" spans="1:6">
      <c r="A320" t="s">
        <v>13</v>
      </c>
      <c r="B320" t="s">
        <v>58</v>
      </c>
      <c r="C320" t="s">
        <v>835</v>
      </c>
      <c r="D320" t="s">
        <v>991</v>
      </c>
      <c r="E320" t="s">
        <v>1020</v>
      </c>
      <c r="F320" t="s">
        <v>1021</v>
      </c>
    </row>
    <row r="321" spans="1:6">
      <c r="A321" t="s">
        <v>13</v>
      </c>
      <c r="B321" t="s">
        <v>58</v>
      </c>
      <c r="C321" t="s">
        <v>835</v>
      </c>
      <c r="D321" t="s">
        <v>991</v>
      </c>
      <c r="E321" t="s">
        <v>1022</v>
      </c>
      <c r="F321" t="s">
        <v>1023</v>
      </c>
    </row>
    <row r="322" spans="1:6">
      <c r="A322" t="s">
        <v>13</v>
      </c>
      <c r="B322" t="s">
        <v>58</v>
      </c>
      <c r="C322" t="s">
        <v>835</v>
      </c>
      <c r="D322" t="s">
        <v>991</v>
      </c>
      <c r="E322" t="s">
        <v>1024</v>
      </c>
      <c r="F322" t="s">
        <v>1025</v>
      </c>
    </row>
    <row r="323" spans="1:6">
      <c r="A323" t="s">
        <v>13</v>
      </c>
      <c r="B323" t="s">
        <v>58</v>
      </c>
      <c r="C323" t="s">
        <v>835</v>
      </c>
      <c r="D323" t="s">
        <v>991</v>
      </c>
      <c r="E323" t="s">
        <v>1026</v>
      </c>
      <c r="F323" t="s">
        <v>1027</v>
      </c>
    </row>
    <row r="324" spans="1:6">
      <c r="A324" t="s">
        <v>13</v>
      </c>
      <c r="B324" t="s">
        <v>58</v>
      </c>
      <c r="C324" t="s">
        <v>835</v>
      </c>
      <c r="D324" t="s">
        <v>991</v>
      </c>
      <c r="E324" t="s">
        <v>1028</v>
      </c>
      <c r="F324" t="s">
        <v>1029</v>
      </c>
    </row>
    <row r="325" spans="1:6">
      <c r="A325" t="s">
        <v>13</v>
      </c>
      <c r="B325" t="s">
        <v>58</v>
      </c>
      <c r="C325" t="s">
        <v>835</v>
      </c>
      <c r="D325" t="s">
        <v>991</v>
      </c>
      <c r="E325" t="s">
        <v>1030</v>
      </c>
      <c r="F325" t="s">
        <v>1031</v>
      </c>
    </row>
    <row r="326" spans="1:6">
      <c r="A326" t="s">
        <v>13</v>
      </c>
      <c r="B326" t="s">
        <v>58</v>
      </c>
      <c r="C326" t="s">
        <v>835</v>
      </c>
      <c r="D326" t="s">
        <v>991</v>
      </c>
      <c r="E326" t="s">
        <v>1032</v>
      </c>
      <c r="F326" t="s">
        <v>1033</v>
      </c>
    </row>
    <row r="327" spans="1:6">
      <c r="A327" t="s">
        <v>13</v>
      </c>
      <c r="B327" t="s">
        <v>58</v>
      </c>
      <c r="C327" t="s">
        <v>835</v>
      </c>
      <c r="D327" t="s">
        <v>991</v>
      </c>
      <c r="E327" t="s">
        <v>1034</v>
      </c>
      <c r="F327" t="s">
        <v>50</v>
      </c>
    </row>
    <row r="328" spans="1:6">
      <c r="A328" t="s">
        <v>13</v>
      </c>
      <c r="B328" t="s">
        <v>58</v>
      </c>
      <c r="C328" t="s">
        <v>835</v>
      </c>
      <c r="D328" t="s">
        <v>991</v>
      </c>
      <c r="E328" t="s">
        <v>1035</v>
      </c>
      <c r="F328">
        <v>138693910</v>
      </c>
    </row>
    <row r="329" spans="1:6">
      <c r="A329" t="s">
        <v>13</v>
      </c>
      <c r="B329" t="s">
        <v>58</v>
      </c>
      <c r="C329" t="s">
        <v>835</v>
      </c>
      <c r="D329" t="s">
        <v>991</v>
      </c>
      <c r="E329" t="s">
        <v>1036</v>
      </c>
      <c r="F329">
        <v>2025</v>
      </c>
    </row>
    <row r="330" spans="1:6">
      <c r="A330" t="s">
        <v>13</v>
      </c>
      <c r="B330" t="s">
        <v>58</v>
      </c>
      <c r="C330" t="s">
        <v>835</v>
      </c>
      <c r="D330" t="s">
        <v>991</v>
      </c>
      <c r="E330" t="s">
        <v>1037</v>
      </c>
      <c r="F330">
        <v>42326597</v>
      </c>
    </row>
    <row r="331" spans="1:6">
      <c r="A331" t="s">
        <v>13</v>
      </c>
      <c r="B331" t="s">
        <v>58</v>
      </c>
      <c r="C331" t="s">
        <v>835</v>
      </c>
      <c r="D331" t="s">
        <v>991</v>
      </c>
      <c r="E331" t="s">
        <v>1038</v>
      </c>
      <c r="F331">
        <v>2026</v>
      </c>
    </row>
    <row r="332" spans="1:6">
      <c r="A332" t="s">
        <v>13</v>
      </c>
      <c r="B332" t="s">
        <v>58</v>
      </c>
      <c r="C332" t="s">
        <v>835</v>
      </c>
      <c r="D332" t="s">
        <v>991</v>
      </c>
      <c r="E332" t="s">
        <v>1039</v>
      </c>
      <c r="F332">
        <v>20624760</v>
      </c>
    </row>
    <row r="333" spans="1:6">
      <c r="A333" t="s">
        <v>13</v>
      </c>
      <c r="B333" t="s">
        <v>58</v>
      </c>
      <c r="C333" t="s">
        <v>835</v>
      </c>
      <c r="D333" t="s">
        <v>991</v>
      </c>
      <c r="E333" t="s">
        <v>1040</v>
      </c>
      <c r="F333">
        <v>2802916</v>
      </c>
    </row>
    <row r="334" spans="1:6">
      <c r="A334" t="s">
        <v>13</v>
      </c>
      <c r="B334" t="s">
        <v>58</v>
      </c>
      <c r="C334" t="s">
        <v>835</v>
      </c>
      <c r="D334" t="s">
        <v>991</v>
      </c>
      <c r="E334" t="s">
        <v>1041</v>
      </c>
      <c r="F334">
        <v>3537190</v>
      </c>
    </row>
    <row r="335" spans="1:6">
      <c r="A335" t="s">
        <v>13</v>
      </c>
      <c r="B335" t="s">
        <v>58</v>
      </c>
      <c r="C335" t="s">
        <v>835</v>
      </c>
      <c r="D335" t="s">
        <v>991</v>
      </c>
      <c r="E335" t="s">
        <v>1042</v>
      </c>
      <c r="F335">
        <v>3807379</v>
      </c>
    </row>
    <row r="336" spans="1:6">
      <c r="A336" t="s">
        <v>13</v>
      </c>
      <c r="B336" t="s">
        <v>58</v>
      </c>
      <c r="C336" t="s">
        <v>835</v>
      </c>
      <c r="D336" t="s">
        <v>991</v>
      </c>
      <c r="E336" t="s">
        <v>1043</v>
      </c>
      <c r="F336">
        <v>3480227</v>
      </c>
    </row>
    <row r="337" spans="1:6">
      <c r="A337" t="s">
        <v>13</v>
      </c>
      <c r="B337" t="s">
        <v>58</v>
      </c>
      <c r="C337" t="s">
        <v>835</v>
      </c>
      <c r="D337" t="s">
        <v>991</v>
      </c>
      <c r="E337" t="s">
        <v>1044</v>
      </c>
      <c r="F337">
        <v>3189964</v>
      </c>
    </row>
    <row r="338" spans="1:6">
      <c r="A338" t="s">
        <v>13</v>
      </c>
      <c r="B338" t="s">
        <v>58</v>
      </c>
      <c r="C338" t="s">
        <v>835</v>
      </c>
      <c r="D338" t="s">
        <v>991</v>
      </c>
      <c r="E338" t="s">
        <v>1045</v>
      </c>
      <c r="F338">
        <v>3807084</v>
      </c>
    </row>
    <row r="339" spans="1:6">
      <c r="A339" t="s">
        <v>13</v>
      </c>
      <c r="B339" t="s">
        <v>58</v>
      </c>
      <c r="C339" t="s">
        <v>835</v>
      </c>
      <c r="D339" t="s">
        <v>991</v>
      </c>
      <c r="E339" t="s">
        <v>1046</v>
      </c>
      <c r="F339">
        <v>0</v>
      </c>
    </row>
    <row r="340" spans="1:6">
      <c r="A340" t="s">
        <v>13</v>
      </c>
      <c r="B340" t="s">
        <v>58</v>
      </c>
      <c r="C340" t="s">
        <v>835</v>
      </c>
      <c r="D340" t="s">
        <v>991</v>
      </c>
      <c r="E340" t="s">
        <v>1047</v>
      </c>
      <c r="F340">
        <v>0</v>
      </c>
    </row>
    <row r="341" spans="1:6">
      <c r="A341" t="s">
        <v>13</v>
      </c>
      <c r="B341" t="s">
        <v>58</v>
      </c>
      <c r="C341" t="s">
        <v>835</v>
      </c>
      <c r="D341" t="s">
        <v>991</v>
      </c>
      <c r="E341" t="s">
        <v>1048</v>
      </c>
      <c r="F341">
        <v>0</v>
      </c>
    </row>
    <row r="342" spans="1:6">
      <c r="A342" t="s">
        <v>13</v>
      </c>
      <c r="B342" t="s">
        <v>58</v>
      </c>
      <c r="C342" t="s">
        <v>835</v>
      </c>
      <c r="D342" t="s">
        <v>991</v>
      </c>
      <c r="E342" t="s">
        <v>1049</v>
      </c>
      <c r="F342">
        <v>0</v>
      </c>
    </row>
    <row r="343" spans="1:6">
      <c r="A343" t="s">
        <v>13</v>
      </c>
      <c r="B343" t="s">
        <v>58</v>
      </c>
      <c r="C343" t="s">
        <v>835</v>
      </c>
      <c r="D343" t="s">
        <v>991</v>
      </c>
      <c r="E343" t="s">
        <v>1050</v>
      </c>
      <c r="F343">
        <v>0</v>
      </c>
    </row>
    <row r="344" spans="1:6">
      <c r="A344" t="s">
        <v>13</v>
      </c>
      <c r="B344" t="s">
        <v>58</v>
      </c>
      <c r="C344" t="s">
        <v>835</v>
      </c>
      <c r="D344" t="s">
        <v>991</v>
      </c>
      <c r="E344" t="s">
        <v>1051</v>
      </c>
      <c r="F344">
        <v>0</v>
      </c>
    </row>
    <row r="345" spans="1:6">
      <c r="A345" t="s">
        <v>13</v>
      </c>
      <c r="B345" t="s">
        <v>58</v>
      </c>
      <c r="C345" t="s">
        <v>835</v>
      </c>
      <c r="D345" t="s">
        <v>991</v>
      </c>
      <c r="E345" t="s">
        <v>1052</v>
      </c>
      <c r="F345" t="s">
        <v>1009</v>
      </c>
    </row>
    <row r="346" spans="1:6">
      <c r="A346" t="s">
        <v>13</v>
      </c>
      <c r="B346" t="s">
        <v>58</v>
      </c>
      <c r="C346" t="s">
        <v>835</v>
      </c>
      <c r="D346" t="s">
        <v>991</v>
      </c>
      <c r="E346" t="s">
        <v>1053</v>
      </c>
      <c r="F346">
        <v>201645267</v>
      </c>
    </row>
    <row r="347" spans="1:6">
      <c r="A347" t="s">
        <v>13</v>
      </c>
      <c r="B347" t="s">
        <v>58</v>
      </c>
      <c r="C347" t="s">
        <v>835</v>
      </c>
      <c r="D347" t="s">
        <v>991</v>
      </c>
      <c r="E347" t="s">
        <v>1054</v>
      </c>
      <c r="F347" t="s">
        <v>1055</v>
      </c>
    </row>
    <row r="348" spans="1:6">
      <c r="A348" t="s">
        <v>13</v>
      </c>
      <c r="B348" t="s">
        <v>58</v>
      </c>
      <c r="C348" t="s">
        <v>835</v>
      </c>
      <c r="D348" t="s">
        <v>991</v>
      </c>
      <c r="E348" t="s">
        <v>1056</v>
      </c>
      <c r="F348" t="s">
        <v>1007</v>
      </c>
    </row>
    <row r="349" spans="1:6">
      <c r="A349" t="s">
        <v>13</v>
      </c>
      <c r="B349" t="s">
        <v>58</v>
      </c>
      <c r="C349" t="s">
        <v>835</v>
      </c>
      <c r="D349" t="s">
        <v>991</v>
      </c>
      <c r="E349" t="s">
        <v>1057</v>
      </c>
      <c r="F349" t="s">
        <v>1009</v>
      </c>
    </row>
    <row r="350" spans="1:6">
      <c r="A350" t="s">
        <v>13</v>
      </c>
      <c r="B350" t="s">
        <v>58</v>
      </c>
      <c r="C350" t="s">
        <v>835</v>
      </c>
      <c r="D350" t="s">
        <v>991</v>
      </c>
      <c r="E350" t="s">
        <v>1058</v>
      </c>
      <c r="F350" t="s">
        <v>1011</v>
      </c>
    </row>
    <row r="351" spans="1:6">
      <c r="A351" t="s">
        <v>13</v>
      </c>
      <c r="B351" t="s">
        <v>58</v>
      </c>
      <c r="C351" t="s">
        <v>835</v>
      </c>
      <c r="D351" t="s">
        <v>991</v>
      </c>
      <c r="E351" t="s">
        <v>1059</v>
      </c>
      <c r="F351" t="s">
        <v>1013</v>
      </c>
    </row>
    <row r="352" spans="1:6">
      <c r="A352" t="s">
        <v>13</v>
      </c>
      <c r="B352" t="s">
        <v>58</v>
      </c>
      <c r="C352" t="s">
        <v>835</v>
      </c>
      <c r="D352" t="s">
        <v>991</v>
      </c>
      <c r="E352" t="s">
        <v>1060</v>
      </c>
      <c r="F352" t="s">
        <v>1015</v>
      </c>
    </row>
    <row r="353" spans="1:6">
      <c r="A353" t="s">
        <v>13</v>
      </c>
      <c r="B353" t="s">
        <v>58</v>
      </c>
      <c r="C353" t="s">
        <v>835</v>
      </c>
      <c r="D353" t="s">
        <v>991</v>
      </c>
      <c r="E353" t="s">
        <v>1061</v>
      </c>
      <c r="F353" t="s">
        <v>1017</v>
      </c>
    </row>
    <row r="354" spans="1:6">
      <c r="A354" t="s">
        <v>13</v>
      </c>
      <c r="B354" t="s">
        <v>58</v>
      </c>
      <c r="C354" t="s">
        <v>835</v>
      </c>
      <c r="D354" t="s">
        <v>991</v>
      </c>
      <c r="E354" t="s">
        <v>1062</v>
      </c>
      <c r="F354" t="s">
        <v>1019</v>
      </c>
    </row>
    <row r="355" spans="1:6">
      <c r="A355" t="s">
        <v>13</v>
      </c>
      <c r="B355" t="s">
        <v>58</v>
      </c>
      <c r="C355" t="s">
        <v>835</v>
      </c>
      <c r="D355" t="s">
        <v>991</v>
      </c>
      <c r="E355" t="s">
        <v>1063</v>
      </c>
      <c r="F355" t="s">
        <v>1021</v>
      </c>
    </row>
    <row r="356" spans="1:6">
      <c r="A356" t="s">
        <v>13</v>
      </c>
      <c r="B356" t="s">
        <v>58</v>
      </c>
      <c r="C356" t="s">
        <v>835</v>
      </c>
      <c r="D356" t="s">
        <v>991</v>
      </c>
      <c r="E356" t="s">
        <v>1064</v>
      </c>
      <c r="F356" t="s">
        <v>1023</v>
      </c>
    </row>
    <row r="357" spans="1:6">
      <c r="A357" t="s">
        <v>13</v>
      </c>
      <c r="B357" t="s">
        <v>58</v>
      </c>
      <c r="C357" t="s">
        <v>835</v>
      </c>
      <c r="D357" t="s">
        <v>991</v>
      </c>
      <c r="E357" t="s">
        <v>1065</v>
      </c>
      <c r="F357" t="s">
        <v>1066</v>
      </c>
    </row>
    <row r="358" spans="1:6">
      <c r="A358" t="s">
        <v>13</v>
      </c>
      <c r="B358" t="s">
        <v>58</v>
      </c>
      <c r="C358" t="s">
        <v>835</v>
      </c>
      <c r="D358" t="s">
        <v>991</v>
      </c>
      <c r="E358" t="s">
        <v>1067</v>
      </c>
      <c r="F358" t="s">
        <v>1027</v>
      </c>
    </row>
    <row r="359" spans="1:6">
      <c r="A359" t="s">
        <v>13</v>
      </c>
      <c r="B359" t="s">
        <v>58</v>
      </c>
      <c r="C359" t="s">
        <v>835</v>
      </c>
      <c r="D359" t="s">
        <v>991</v>
      </c>
      <c r="E359" t="s">
        <v>1068</v>
      </c>
      <c r="F359" t="s">
        <v>1029</v>
      </c>
    </row>
    <row r="360" spans="1:6">
      <c r="A360" t="s">
        <v>13</v>
      </c>
      <c r="B360" t="s">
        <v>58</v>
      </c>
      <c r="C360" t="s">
        <v>835</v>
      </c>
      <c r="D360" t="s">
        <v>991</v>
      </c>
      <c r="E360" t="s">
        <v>1069</v>
      </c>
      <c r="F360" t="s">
        <v>1031</v>
      </c>
    </row>
    <row r="361" spans="1:6">
      <c r="A361" t="s">
        <v>13</v>
      </c>
      <c r="B361" t="s">
        <v>58</v>
      </c>
      <c r="C361" t="s">
        <v>835</v>
      </c>
      <c r="D361" t="s">
        <v>991</v>
      </c>
      <c r="E361" t="s">
        <v>1070</v>
      </c>
      <c r="F361" t="s">
        <v>1033</v>
      </c>
    </row>
    <row r="362" spans="1:6">
      <c r="A362" t="s">
        <v>13</v>
      </c>
      <c r="B362" t="s">
        <v>58</v>
      </c>
      <c r="C362" t="s">
        <v>835</v>
      </c>
      <c r="D362" t="s">
        <v>991</v>
      </c>
      <c r="E362" t="s">
        <v>1071</v>
      </c>
      <c r="F362" t="s">
        <v>50</v>
      </c>
    </row>
    <row r="363" spans="1:6">
      <c r="A363" t="s">
        <v>13</v>
      </c>
      <c r="B363" t="s">
        <v>58</v>
      </c>
      <c r="C363" t="s">
        <v>835</v>
      </c>
      <c r="D363" t="s">
        <v>991</v>
      </c>
      <c r="E363" t="s">
        <v>1072</v>
      </c>
      <c r="F363">
        <v>308886</v>
      </c>
    </row>
    <row r="364" spans="1:6">
      <c r="A364" t="s">
        <v>13</v>
      </c>
      <c r="B364" t="s">
        <v>58</v>
      </c>
      <c r="C364" t="s">
        <v>835</v>
      </c>
      <c r="D364" t="s">
        <v>991</v>
      </c>
      <c r="E364" t="s">
        <v>1073</v>
      </c>
      <c r="F364">
        <v>2025</v>
      </c>
    </row>
    <row r="365" spans="1:6">
      <c r="A365" t="s">
        <v>13</v>
      </c>
      <c r="B365" t="s">
        <v>58</v>
      </c>
      <c r="C365" t="s">
        <v>835</v>
      </c>
      <c r="D365" t="s">
        <v>991</v>
      </c>
      <c r="E365" t="s">
        <v>1074</v>
      </c>
      <c r="F365">
        <v>84215</v>
      </c>
    </row>
    <row r="366" spans="1:6">
      <c r="A366" t="s">
        <v>13</v>
      </c>
      <c r="B366" t="s">
        <v>58</v>
      </c>
      <c r="C366" t="s">
        <v>835</v>
      </c>
      <c r="D366" t="s">
        <v>991</v>
      </c>
      <c r="E366" t="s">
        <v>1075</v>
      </c>
      <c r="F366">
        <v>2026</v>
      </c>
    </row>
    <row r="367" spans="1:6">
      <c r="A367" t="s">
        <v>13</v>
      </c>
      <c r="B367" t="s">
        <v>58</v>
      </c>
      <c r="C367" t="s">
        <v>835</v>
      </c>
      <c r="D367" t="s">
        <v>991</v>
      </c>
      <c r="E367" t="s">
        <v>1076</v>
      </c>
      <c r="F367">
        <v>43786</v>
      </c>
    </row>
    <row r="368" spans="1:6">
      <c r="A368" t="s">
        <v>13</v>
      </c>
      <c r="B368" t="s">
        <v>58</v>
      </c>
      <c r="C368" t="s">
        <v>835</v>
      </c>
      <c r="D368" t="s">
        <v>991</v>
      </c>
      <c r="E368" t="s">
        <v>1077</v>
      </c>
      <c r="F368">
        <v>6324</v>
      </c>
    </row>
    <row r="369" spans="1:6">
      <c r="A369" t="s">
        <v>13</v>
      </c>
      <c r="B369" t="s">
        <v>58</v>
      </c>
      <c r="C369" t="s">
        <v>835</v>
      </c>
      <c r="D369" t="s">
        <v>991</v>
      </c>
      <c r="E369" t="s">
        <v>1078</v>
      </c>
      <c r="F369">
        <v>8184</v>
      </c>
    </row>
    <row r="370" spans="1:6">
      <c r="A370" t="s">
        <v>13</v>
      </c>
      <c r="B370" t="s">
        <v>58</v>
      </c>
      <c r="C370" t="s">
        <v>835</v>
      </c>
      <c r="D370" t="s">
        <v>991</v>
      </c>
      <c r="E370" t="s">
        <v>1079</v>
      </c>
      <c r="F370">
        <v>6855</v>
      </c>
    </row>
    <row r="371" spans="1:6">
      <c r="A371" t="s">
        <v>13</v>
      </c>
      <c r="B371" t="s">
        <v>58</v>
      </c>
      <c r="C371" t="s">
        <v>835</v>
      </c>
      <c r="D371" t="s">
        <v>991</v>
      </c>
      <c r="E371" t="s">
        <v>1080</v>
      </c>
      <c r="F371">
        <v>6841</v>
      </c>
    </row>
    <row r="372" spans="1:6">
      <c r="A372" t="s">
        <v>13</v>
      </c>
      <c r="B372" t="s">
        <v>58</v>
      </c>
      <c r="C372" t="s">
        <v>835</v>
      </c>
      <c r="D372" t="s">
        <v>991</v>
      </c>
      <c r="E372" t="s">
        <v>1081</v>
      </c>
      <c r="F372">
        <v>7005</v>
      </c>
    </row>
    <row r="373" spans="1:6">
      <c r="A373" t="s">
        <v>13</v>
      </c>
      <c r="B373" t="s">
        <v>58</v>
      </c>
      <c r="C373" t="s">
        <v>835</v>
      </c>
      <c r="D373" t="s">
        <v>991</v>
      </c>
      <c r="E373" t="s">
        <v>1082</v>
      </c>
      <c r="F373">
        <v>8577</v>
      </c>
    </row>
    <row r="374" spans="1:6">
      <c r="A374" t="s">
        <v>13</v>
      </c>
      <c r="B374" t="s">
        <v>58</v>
      </c>
      <c r="C374" t="s">
        <v>835</v>
      </c>
      <c r="D374" t="s">
        <v>991</v>
      </c>
      <c r="E374" t="s">
        <v>1083</v>
      </c>
      <c r="F374">
        <v>0</v>
      </c>
    </row>
    <row r="375" spans="1:6">
      <c r="A375" t="s">
        <v>13</v>
      </c>
      <c r="B375" t="s">
        <v>58</v>
      </c>
      <c r="C375" t="s">
        <v>835</v>
      </c>
      <c r="D375" t="s">
        <v>991</v>
      </c>
      <c r="E375" t="s">
        <v>1084</v>
      </c>
      <c r="F375">
        <v>0</v>
      </c>
    </row>
    <row r="376" spans="1:6">
      <c r="A376" t="s">
        <v>13</v>
      </c>
      <c r="B376" t="s">
        <v>58</v>
      </c>
      <c r="C376" t="s">
        <v>835</v>
      </c>
      <c r="D376" t="s">
        <v>991</v>
      </c>
      <c r="E376" t="s">
        <v>1085</v>
      </c>
      <c r="F376">
        <v>0</v>
      </c>
    </row>
    <row r="377" spans="1:6">
      <c r="A377" t="s">
        <v>13</v>
      </c>
      <c r="B377" t="s">
        <v>58</v>
      </c>
      <c r="C377" t="s">
        <v>835</v>
      </c>
      <c r="D377" t="s">
        <v>991</v>
      </c>
      <c r="E377" t="s">
        <v>1086</v>
      </c>
      <c r="F377">
        <v>0</v>
      </c>
    </row>
    <row r="378" spans="1:6">
      <c r="A378" t="s">
        <v>13</v>
      </c>
      <c r="B378" t="s">
        <v>58</v>
      </c>
      <c r="C378" t="s">
        <v>835</v>
      </c>
      <c r="D378" t="s">
        <v>991</v>
      </c>
      <c r="E378" t="s">
        <v>1087</v>
      </c>
      <c r="F378">
        <v>0</v>
      </c>
    </row>
    <row r="379" spans="1:6">
      <c r="A379" t="s">
        <v>13</v>
      </c>
      <c r="B379" t="s">
        <v>58</v>
      </c>
      <c r="C379" t="s">
        <v>835</v>
      </c>
      <c r="D379" t="s">
        <v>991</v>
      </c>
      <c r="E379" t="s">
        <v>1088</v>
      </c>
      <c r="F379">
        <v>0</v>
      </c>
    </row>
    <row r="380" spans="1:6">
      <c r="A380" t="s">
        <v>13</v>
      </c>
      <c r="B380" t="s">
        <v>58</v>
      </c>
      <c r="C380" t="s">
        <v>835</v>
      </c>
      <c r="D380" t="s">
        <v>991</v>
      </c>
      <c r="E380" t="s">
        <v>1089</v>
      </c>
      <c r="F380" t="s">
        <v>1009</v>
      </c>
    </row>
    <row r="381" spans="1:6">
      <c r="A381" t="s">
        <v>13</v>
      </c>
      <c r="B381" t="s">
        <v>58</v>
      </c>
      <c r="C381" t="s">
        <v>835</v>
      </c>
      <c r="D381" t="s">
        <v>991</v>
      </c>
      <c r="E381" t="s">
        <v>1090</v>
      </c>
      <c r="F381">
        <v>436887</v>
      </c>
    </row>
    <row r="382" spans="1:6">
      <c r="A382" t="s">
        <v>13</v>
      </c>
      <c r="B382" t="s">
        <v>58</v>
      </c>
      <c r="C382" t="s">
        <v>835</v>
      </c>
      <c r="D382" t="s">
        <v>1091</v>
      </c>
      <c r="E382" t="s">
        <v>992</v>
      </c>
      <c r="F382" t="s">
        <v>1092</v>
      </c>
    </row>
    <row r="383" spans="1:6">
      <c r="A383" t="s">
        <v>13</v>
      </c>
      <c r="B383" t="s">
        <v>58</v>
      </c>
      <c r="C383" t="s">
        <v>835</v>
      </c>
      <c r="D383" t="s">
        <v>1091</v>
      </c>
      <c r="E383" t="s">
        <v>1304</v>
      </c>
      <c r="F383" t="s">
        <v>1305</v>
      </c>
    </row>
    <row r="384" spans="1:6">
      <c r="A384" t="s">
        <v>13</v>
      </c>
      <c r="B384" t="s">
        <v>58</v>
      </c>
      <c r="C384" t="s">
        <v>835</v>
      </c>
      <c r="D384" t="s">
        <v>1091</v>
      </c>
      <c r="E384" t="s">
        <v>1093</v>
      </c>
      <c r="F384" t="s">
        <v>1094</v>
      </c>
    </row>
    <row r="385" spans="1:6">
      <c r="A385" t="s">
        <v>13</v>
      </c>
      <c r="B385" t="s">
        <v>58</v>
      </c>
      <c r="C385" t="s">
        <v>835</v>
      </c>
      <c r="D385" t="s">
        <v>1091</v>
      </c>
      <c r="E385" t="s">
        <v>994</v>
      </c>
      <c r="F385" t="s">
        <v>1306</v>
      </c>
    </row>
    <row r="386" spans="1:6">
      <c r="A386" t="s">
        <v>13</v>
      </c>
      <c r="B386" t="s">
        <v>58</v>
      </c>
      <c r="C386" t="s">
        <v>835</v>
      </c>
      <c r="D386" t="s">
        <v>1091</v>
      </c>
      <c r="E386" t="s">
        <v>995</v>
      </c>
      <c r="F386" t="s">
        <v>996</v>
      </c>
    </row>
    <row r="387" spans="1:6">
      <c r="A387" t="s">
        <v>13</v>
      </c>
      <c r="B387" t="s">
        <v>58</v>
      </c>
      <c r="C387" t="s">
        <v>835</v>
      </c>
      <c r="D387" t="s">
        <v>1091</v>
      </c>
      <c r="E387" t="s">
        <v>997</v>
      </c>
      <c r="F387" t="s">
        <v>998</v>
      </c>
    </row>
    <row r="388" spans="1:6">
      <c r="A388" t="s">
        <v>13</v>
      </c>
      <c r="B388" t="s">
        <v>58</v>
      </c>
      <c r="C388" t="s">
        <v>835</v>
      </c>
      <c r="D388" t="s">
        <v>1091</v>
      </c>
      <c r="E388" t="s">
        <v>999</v>
      </c>
      <c r="F388" t="s">
        <v>1000</v>
      </c>
    </row>
    <row r="389" spans="1:6">
      <c r="A389" t="s">
        <v>13</v>
      </c>
      <c r="B389" t="s">
        <v>58</v>
      </c>
      <c r="C389" t="s">
        <v>835</v>
      </c>
      <c r="D389" t="s">
        <v>1091</v>
      </c>
      <c r="E389" t="s">
        <v>1001</v>
      </c>
      <c r="F389" t="s">
        <v>10</v>
      </c>
    </row>
    <row r="390" spans="1:6">
      <c r="A390" t="s">
        <v>13</v>
      </c>
      <c r="B390" t="s">
        <v>58</v>
      </c>
      <c r="C390" t="s">
        <v>835</v>
      </c>
      <c r="D390" t="s">
        <v>1091</v>
      </c>
      <c r="E390" t="s">
        <v>1002</v>
      </c>
      <c r="F390" t="s">
        <v>1095</v>
      </c>
    </row>
    <row r="391" spans="1:6">
      <c r="A391" t="s">
        <v>13</v>
      </c>
      <c r="B391" t="s">
        <v>58</v>
      </c>
      <c r="C391" t="s">
        <v>835</v>
      </c>
      <c r="D391" t="s">
        <v>1091</v>
      </c>
      <c r="E391" t="s">
        <v>1096</v>
      </c>
      <c r="F391" t="s">
        <v>1005</v>
      </c>
    </row>
    <row r="392" spans="1:6">
      <c r="A392" t="s">
        <v>13</v>
      </c>
      <c r="B392" t="s">
        <v>58</v>
      </c>
      <c r="C392" t="s">
        <v>835</v>
      </c>
      <c r="D392" t="s">
        <v>1091</v>
      </c>
      <c r="E392" t="s">
        <v>1006</v>
      </c>
      <c r="F392" t="s">
        <v>1097</v>
      </c>
    </row>
    <row r="393" spans="1:6">
      <c r="A393" t="s">
        <v>13</v>
      </c>
      <c r="B393" t="s">
        <v>58</v>
      </c>
      <c r="C393" t="s">
        <v>835</v>
      </c>
      <c r="D393" t="s">
        <v>1091</v>
      </c>
      <c r="E393" t="s">
        <v>1008</v>
      </c>
      <c r="F393" t="s">
        <v>1098</v>
      </c>
    </row>
    <row r="394" spans="1:6">
      <c r="A394" t="s">
        <v>13</v>
      </c>
      <c r="B394" t="s">
        <v>58</v>
      </c>
      <c r="C394" t="s">
        <v>835</v>
      </c>
      <c r="D394" t="s">
        <v>1091</v>
      </c>
      <c r="E394" t="s">
        <v>1035</v>
      </c>
      <c r="F394" t="s">
        <v>1009</v>
      </c>
    </row>
    <row r="395" spans="1:6">
      <c r="A395" t="s">
        <v>13</v>
      </c>
      <c r="B395" t="s">
        <v>58</v>
      </c>
      <c r="C395" t="s">
        <v>835</v>
      </c>
      <c r="D395" t="s">
        <v>1091</v>
      </c>
      <c r="E395" t="s">
        <v>1099</v>
      </c>
      <c r="F395" t="s">
        <v>50</v>
      </c>
    </row>
    <row r="396" spans="1:6">
      <c r="A396" t="s">
        <v>13</v>
      </c>
      <c r="B396" t="s">
        <v>58</v>
      </c>
      <c r="C396" t="s">
        <v>835</v>
      </c>
      <c r="D396" t="s">
        <v>1091</v>
      </c>
      <c r="E396" t="s">
        <v>1100</v>
      </c>
      <c r="F396">
        <v>2025</v>
      </c>
    </row>
    <row r="397" spans="1:6">
      <c r="A397" t="s">
        <v>13</v>
      </c>
      <c r="B397" t="s">
        <v>58</v>
      </c>
      <c r="C397" t="s">
        <v>835</v>
      </c>
      <c r="D397" t="s">
        <v>1091</v>
      </c>
      <c r="E397" t="s">
        <v>1101</v>
      </c>
      <c r="F397">
        <v>2026</v>
      </c>
    </row>
    <row r="398" spans="1:6">
      <c r="A398" t="s">
        <v>13</v>
      </c>
      <c r="B398" t="s">
        <v>58</v>
      </c>
      <c r="C398" t="s">
        <v>835</v>
      </c>
      <c r="D398" t="s">
        <v>1091</v>
      </c>
      <c r="E398" t="s">
        <v>1036</v>
      </c>
      <c r="F398" t="s">
        <v>1102</v>
      </c>
    </row>
    <row r="399" spans="1:6">
      <c r="A399" t="s">
        <v>13</v>
      </c>
      <c r="B399" t="s">
        <v>58</v>
      </c>
      <c r="C399" t="s">
        <v>835</v>
      </c>
      <c r="D399" t="s">
        <v>1091</v>
      </c>
      <c r="E399" t="s">
        <v>1037</v>
      </c>
      <c r="F399">
        <v>201645267</v>
      </c>
    </row>
    <row r="400" spans="1:6">
      <c r="A400" t="s">
        <v>13</v>
      </c>
      <c r="B400" t="s">
        <v>58</v>
      </c>
      <c r="C400" t="s">
        <v>835</v>
      </c>
      <c r="D400" t="s">
        <v>1091</v>
      </c>
      <c r="E400" t="s">
        <v>1103</v>
      </c>
      <c r="F400">
        <v>138693910</v>
      </c>
    </row>
    <row r="401" spans="1:6">
      <c r="A401" t="s">
        <v>13</v>
      </c>
      <c r="B401" t="s">
        <v>58</v>
      </c>
      <c r="C401" t="s">
        <v>835</v>
      </c>
      <c r="D401" t="s">
        <v>1091</v>
      </c>
      <c r="E401" t="s">
        <v>1104</v>
      </c>
      <c r="F401">
        <v>42326597</v>
      </c>
    </row>
    <row r="402" spans="1:6">
      <c r="A402" t="s">
        <v>13</v>
      </c>
      <c r="B402" t="s">
        <v>58</v>
      </c>
      <c r="C402" t="s">
        <v>835</v>
      </c>
      <c r="D402" t="s">
        <v>1091</v>
      </c>
      <c r="E402" t="s">
        <v>1105</v>
      </c>
      <c r="F402">
        <v>20624760</v>
      </c>
    </row>
    <row r="403" spans="1:6">
      <c r="A403" t="s">
        <v>13</v>
      </c>
      <c r="B403" t="s">
        <v>58</v>
      </c>
      <c r="C403" t="s">
        <v>835</v>
      </c>
      <c r="D403" t="s">
        <v>1091</v>
      </c>
      <c r="E403" t="s">
        <v>1038</v>
      </c>
      <c r="F403" t="s">
        <v>1106</v>
      </c>
    </row>
    <row r="404" spans="1:6">
      <c r="A404" t="s">
        <v>13</v>
      </c>
      <c r="B404" t="s">
        <v>58</v>
      </c>
      <c r="C404" t="s">
        <v>835</v>
      </c>
      <c r="D404" t="s">
        <v>1091</v>
      </c>
      <c r="E404" t="s">
        <v>1039</v>
      </c>
      <c r="F404">
        <v>200259438</v>
      </c>
    </row>
    <row r="405" spans="1:6">
      <c r="A405" t="s">
        <v>13</v>
      </c>
      <c r="B405" t="s">
        <v>58</v>
      </c>
      <c r="C405" t="s">
        <v>835</v>
      </c>
      <c r="D405" t="s">
        <v>1091</v>
      </c>
      <c r="E405" t="s">
        <v>1040</v>
      </c>
      <c r="F405">
        <v>138692857</v>
      </c>
    </row>
    <row r="406" spans="1:6">
      <c r="A406" t="s">
        <v>13</v>
      </c>
      <c r="B406" t="s">
        <v>58</v>
      </c>
      <c r="C406" t="s">
        <v>835</v>
      </c>
      <c r="D406" t="s">
        <v>1091</v>
      </c>
      <c r="E406" t="s">
        <v>1041</v>
      </c>
      <c r="F406">
        <v>42292498</v>
      </c>
    </row>
    <row r="407" spans="1:6">
      <c r="A407" t="s">
        <v>13</v>
      </c>
      <c r="B407" t="s">
        <v>58</v>
      </c>
      <c r="C407" t="s">
        <v>835</v>
      </c>
      <c r="D407" t="s">
        <v>1091</v>
      </c>
      <c r="E407" t="s">
        <v>1042</v>
      </c>
      <c r="F407">
        <v>19274083</v>
      </c>
    </row>
    <row r="408" spans="1:6">
      <c r="A408" t="s">
        <v>13</v>
      </c>
      <c r="B408" t="s">
        <v>58</v>
      </c>
      <c r="C408" t="s">
        <v>835</v>
      </c>
      <c r="D408" t="s">
        <v>1091</v>
      </c>
      <c r="E408" t="s">
        <v>1052</v>
      </c>
      <c r="F408" t="s">
        <v>1107</v>
      </c>
    </row>
    <row r="409" spans="1:6">
      <c r="A409" t="s">
        <v>13</v>
      </c>
      <c r="B409" t="s">
        <v>58</v>
      </c>
      <c r="C409" t="s">
        <v>835</v>
      </c>
      <c r="D409" t="s">
        <v>1091</v>
      </c>
      <c r="E409" t="s">
        <v>1053</v>
      </c>
      <c r="F409">
        <v>78908106</v>
      </c>
    </row>
    <row r="410" spans="1:6">
      <c r="A410" t="s">
        <v>13</v>
      </c>
      <c r="B410" t="s">
        <v>58</v>
      </c>
      <c r="C410" t="s">
        <v>835</v>
      </c>
      <c r="D410" t="s">
        <v>1091</v>
      </c>
      <c r="E410" t="s">
        <v>1108</v>
      </c>
      <c r="F410">
        <v>56013616</v>
      </c>
    </row>
    <row r="411" spans="1:6">
      <c r="A411" t="s">
        <v>13</v>
      </c>
      <c r="B411" t="s">
        <v>58</v>
      </c>
      <c r="C411" t="s">
        <v>835</v>
      </c>
      <c r="D411" t="s">
        <v>1091</v>
      </c>
      <c r="E411" t="s">
        <v>1109</v>
      </c>
      <c r="F411">
        <v>15803469</v>
      </c>
    </row>
    <row r="412" spans="1:6">
      <c r="A412" t="s">
        <v>13</v>
      </c>
      <c r="B412" t="s">
        <v>58</v>
      </c>
      <c r="C412" t="s">
        <v>835</v>
      </c>
      <c r="D412" t="s">
        <v>1091</v>
      </c>
      <c r="E412" t="s">
        <v>1110</v>
      </c>
      <c r="F412">
        <v>7091021</v>
      </c>
    </row>
    <row r="413" spans="1:6">
      <c r="A413" t="s">
        <v>13</v>
      </c>
      <c r="B413" t="s">
        <v>58</v>
      </c>
      <c r="C413" t="s">
        <v>835</v>
      </c>
      <c r="D413" t="s">
        <v>1091</v>
      </c>
      <c r="E413" t="s">
        <v>1111</v>
      </c>
      <c r="F413" t="s">
        <v>1307</v>
      </c>
    </row>
    <row r="414" spans="1:6">
      <c r="A414" t="s">
        <v>13</v>
      </c>
      <c r="B414" t="s">
        <v>58</v>
      </c>
      <c r="C414" t="s">
        <v>835</v>
      </c>
      <c r="D414" t="s">
        <v>1091</v>
      </c>
      <c r="E414" t="s">
        <v>1113</v>
      </c>
      <c r="F414">
        <v>401982</v>
      </c>
    </row>
    <row r="415" spans="1:6">
      <c r="A415" t="s">
        <v>13</v>
      </c>
      <c r="B415" t="s">
        <v>58</v>
      </c>
      <c r="C415" t="s">
        <v>835</v>
      </c>
      <c r="D415" t="s">
        <v>1091</v>
      </c>
      <c r="E415" t="s">
        <v>1114</v>
      </c>
      <c r="F415">
        <v>358781</v>
      </c>
    </row>
    <row r="416" spans="1:6">
      <c r="A416" t="s">
        <v>13</v>
      </c>
      <c r="B416" t="s">
        <v>58</v>
      </c>
      <c r="C416" t="s">
        <v>835</v>
      </c>
      <c r="D416" t="s">
        <v>1091</v>
      </c>
      <c r="E416" t="s">
        <v>1115</v>
      </c>
      <c r="F416">
        <v>35204</v>
      </c>
    </row>
    <row r="417" spans="1:6">
      <c r="A417" t="s">
        <v>13</v>
      </c>
      <c r="B417" t="s">
        <v>58</v>
      </c>
      <c r="C417" t="s">
        <v>835</v>
      </c>
      <c r="D417" t="s">
        <v>1091</v>
      </c>
      <c r="E417" t="s">
        <v>1116</v>
      </c>
      <c r="F417">
        <v>7998</v>
      </c>
    </row>
    <row r="418" spans="1:6">
      <c r="A418" t="s">
        <v>13</v>
      </c>
      <c r="B418" t="s">
        <v>58</v>
      </c>
      <c r="C418" t="s">
        <v>835</v>
      </c>
      <c r="D418" t="s">
        <v>1091</v>
      </c>
      <c r="E418" t="s">
        <v>1054</v>
      </c>
      <c r="F418" t="s">
        <v>1308</v>
      </c>
    </row>
    <row r="419" spans="1:6">
      <c r="A419" t="s">
        <v>13</v>
      </c>
      <c r="B419" t="s">
        <v>58</v>
      </c>
      <c r="C419" t="s">
        <v>835</v>
      </c>
      <c r="D419" t="s">
        <v>1091</v>
      </c>
      <c r="E419" t="s">
        <v>1118</v>
      </c>
      <c r="F419">
        <v>120949349</v>
      </c>
    </row>
    <row r="420" spans="1:6">
      <c r="A420" t="s">
        <v>13</v>
      </c>
      <c r="B420" t="s">
        <v>58</v>
      </c>
      <c r="C420" t="s">
        <v>835</v>
      </c>
      <c r="D420" t="s">
        <v>1091</v>
      </c>
      <c r="E420" t="s">
        <v>1119</v>
      </c>
      <c r="F420">
        <v>82320460</v>
      </c>
    </row>
    <row r="421" spans="1:6">
      <c r="A421" t="s">
        <v>13</v>
      </c>
      <c r="B421" t="s">
        <v>58</v>
      </c>
      <c r="C421" t="s">
        <v>835</v>
      </c>
      <c r="D421" t="s">
        <v>1091</v>
      </c>
      <c r="E421" t="s">
        <v>1120</v>
      </c>
      <c r="F421">
        <v>26453825</v>
      </c>
    </row>
    <row r="422" spans="1:6">
      <c r="A422" t="s">
        <v>13</v>
      </c>
      <c r="B422" t="s">
        <v>58</v>
      </c>
      <c r="C422" t="s">
        <v>835</v>
      </c>
      <c r="D422" t="s">
        <v>1091</v>
      </c>
      <c r="E422" t="s">
        <v>1121</v>
      </c>
      <c r="F422">
        <v>12175064</v>
      </c>
    </row>
    <row r="423" spans="1:6">
      <c r="A423" t="s">
        <v>13</v>
      </c>
      <c r="B423" t="s">
        <v>58</v>
      </c>
      <c r="C423" t="s">
        <v>835</v>
      </c>
      <c r="D423" t="s">
        <v>1091</v>
      </c>
      <c r="E423" t="s">
        <v>1122</v>
      </c>
      <c r="F423" t="s">
        <v>1123</v>
      </c>
    </row>
    <row r="424" spans="1:6">
      <c r="A424" t="s">
        <v>13</v>
      </c>
      <c r="B424" t="s">
        <v>58</v>
      </c>
      <c r="C424" t="s">
        <v>835</v>
      </c>
      <c r="D424" t="s">
        <v>1091</v>
      </c>
      <c r="E424" t="s">
        <v>1124</v>
      </c>
      <c r="F424" t="s">
        <v>1242</v>
      </c>
    </row>
    <row r="425" spans="1:6">
      <c r="A425" t="s">
        <v>13</v>
      </c>
      <c r="B425" t="s">
        <v>58</v>
      </c>
      <c r="C425" t="s">
        <v>835</v>
      </c>
      <c r="D425" t="s">
        <v>1091</v>
      </c>
      <c r="E425" t="s">
        <v>1126</v>
      </c>
      <c r="F425" t="s">
        <v>1125</v>
      </c>
    </row>
    <row r="426" spans="1:6">
      <c r="A426" t="s">
        <v>13</v>
      </c>
      <c r="B426" t="s">
        <v>58</v>
      </c>
      <c r="C426" t="s">
        <v>835</v>
      </c>
      <c r="D426" t="s">
        <v>1091</v>
      </c>
      <c r="E426" t="s">
        <v>1127</v>
      </c>
      <c r="F426" t="s">
        <v>1125</v>
      </c>
    </row>
    <row r="427" spans="1:6">
      <c r="A427" t="s">
        <v>13</v>
      </c>
      <c r="B427" t="s">
        <v>58</v>
      </c>
      <c r="C427" t="s">
        <v>835</v>
      </c>
      <c r="D427" t="s">
        <v>1091</v>
      </c>
      <c r="E427" t="s">
        <v>1128</v>
      </c>
      <c r="F427" t="s">
        <v>1309</v>
      </c>
    </row>
    <row r="428" spans="1:6">
      <c r="A428" t="s">
        <v>13</v>
      </c>
      <c r="B428" t="s">
        <v>58</v>
      </c>
      <c r="C428" t="s">
        <v>835</v>
      </c>
      <c r="D428" t="s">
        <v>1091</v>
      </c>
      <c r="E428" t="s">
        <v>1056</v>
      </c>
      <c r="F428" t="s">
        <v>1130</v>
      </c>
    </row>
    <row r="429" spans="1:6">
      <c r="A429" t="s">
        <v>13</v>
      </c>
      <c r="B429" t="s">
        <v>58</v>
      </c>
      <c r="C429" t="s">
        <v>835</v>
      </c>
      <c r="D429" t="s">
        <v>1091</v>
      </c>
      <c r="E429" t="s">
        <v>1057</v>
      </c>
      <c r="F429">
        <v>1385830</v>
      </c>
    </row>
    <row r="430" spans="1:6">
      <c r="A430" t="s">
        <v>13</v>
      </c>
      <c r="B430" t="s">
        <v>58</v>
      </c>
      <c r="C430" t="s">
        <v>835</v>
      </c>
      <c r="D430" t="s">
        <v>1091</v>
      </c>
      <c r="E430" t="s">
        <v>1058</v>
      </c>
      <c r="F430">
        <v>1053</v>
      </c>
    </row>
    <row r="431" spans="1:6">
      <c r="A431" t="s">
        <v>13</v>
      </c>
      <c r="B431" t="s">
        <v>58</v>
      </c>
      <c r="C431" t="s">
        <v>835</v>
      </c>
      <c r="D431" t="s">
        <v>1091</v>
      </c>
      <c r="E431" t="s">
        <v>1059</v>
      </c>
      <c r="F431">
        <v>34099</v>
      </c>
    </row>
    <row r="432" spans="1:6">
      <c r="A432" t="s">
        <v>13</v>
      </c>
      <c r="B432" t="s">
        <v>58</v>
      </c>
      <c r="C432" t="s">
        <v>835</v>
      </c>
      <c r="D432" t="s">
        <v>1091</v>
      </c>
      <c r="E432" t="s">
        <v>1060</v>
      </c>
      <c r="F432">
        <v>1350677</v>
      </c>
    </row>
    <row r="433" spans="1:6">
      <c r="A433" t="s">
        <v>13</v>
      </c>
      <c r="B433" t="s">
        <v>58</v>
      </c>
      <c r="C433" t="s">
        <v>835</v>
      </c>
      <c r="D433" t="s">
        <v>1091</v>
      </c>
      <c r="E433" t="s">
        <v>1071</v>
      </c>
      <c r="F433" t="s">
        <v>1131</v>
      </c>
    </row>
    <row r="434" spans="1:6">
      <c r="A434" t="s">
        <v>13</v>
      </c>
      <c r="B434" t="s">
        <v>58</v>
      </c>
      <c r="C434" t="s">
        <v>835</v>
      </c>
      <c r="D434" t="s">
        <v>1091</v>
      </c>
      <c r="E434" t="s">
        <v>1072</v>
      </c>
      <c r="F434" t="s">
        <v>1310</v>
      </c>
    </row>
    <row r="435" spans="1:6">
      <c r="A435" t="s">
        <v>13</v>
      </c>
      <c r="B435" t="s">
        <v>58</v>
      </c>
      <c r="C435" t="s">
        <v>835</v>
      </c>
      <c r="D435" t="s">
        <v>1091</v>
      </c>
      <c r="E435" t="s">
        <v>1133</v>
      </c>
      <c r="F435" t="s">
        <v>1132</v>
      </c>
    </row>
    <row r="436" spans="1:6">
      <c r="A436" t="s">
        <v>13</v>
      </c>
      <c r="B436" t="s">
        <v>58</v>
      </c>
      <c r="C436" t="s">
        <v>835</v>
      </c>
      <c r="D436" t="s">
        <v>1091</v>
      </c>
      <c r="E436" t="s">
        <v>1134</v>
      </c>
      <c r="F436" t="s">
        <v>1132</v>
      </c>
    </row>
    <row r="437" spans="1:6">
      <c r="A437" t="s">
        <v>13</v>
      </c>
      <c r="B437" t="s">
        <v>58</v>
      </c>
      <c r="C437" t="s">
        <v>835</v>
      </c>
      <c r="D437" t="s">
        <v>1091</v>
      </c>
      <c r="E437" t="s">
        <v>1135</v>
      </c>
      <c r="F437" t="s">
        <v>1311</v>
      </c>
    </row>
    <row r="438" spans="1:6">
      <c r="A438" t="s">
        <v>13</v>
      </c>
      <c r="B438" t="s">
        <v>58</v>
      </c>
      <c r="C438" t="s">
        <v>835</v>
      </c>
      <c r="D438" t="s">
        <v>1091</v>
      </c>
      <c r="E438" t="s">
        <v>1076</v>
      </c>
      <c r="F438" t="s">
        <v>1137</v>
      </c>
    </row>
    <row r="439" spans="1:6">
      <c r="A439" t="s">
        <v>13</v>
      </c>
      <c r="B439" t="s">
        <v>58</v>
      </c>
      <c r="C439" t="s">
        <v>835</v>
      </c>
      <c r="D439" t="s">
        <v>1091</v>
      </c>
      <c r="E439" t="s">
        <v>1077</v>
      </c>
      <c r="F439">
        <v>0</v>
      </c>
    </row>
    <row r="440" spans="1:6">
      <c r="A440" t="s">
        <v>13</v>
      </c>
      <c r="B440" t="s">
        <v>58</v>
      </c>
      <c r="C440" t="s">
        <v>835</v>
      </c>
      <c r="D440" t="s">
        <v>1091</v>
      </c>
      <c r="E440" t="s">
        <v>1078</v>
      </c>
      <c r="F440">
        <v>0</v>
      </c>
    </row>
    <row r="441" spans="1:6">
      <c r="A441" t="s">
        <v>13</v>
      </c>
      <c r="B441" t="s">
        <v>58</v>
      </c>
      <c r="C441" t="s">
        <v>835</v>
      </c>
      <c r="D441" t="s">
        <v>1091</v>
      </c>
      <c r="E441" t="s">
        <v>1079</v>
      </c>
      <c r="F441">
        <v>0</v>
      </c>
    </row>
    <row r="442" spans="1:6">
      <c r="A442" t="s">
        <v>13</v>
      </c>
      <c r="B442" t="s">
        <v>58</v>
      </c>
      <c r="C442" t="s">
        <v>835</v>
      </c>
      <c r="D442" t="s">
        <v>1091</v>
      </c>
      <c r="E442" t="s">
        <v>1090</v>
      </c>
      <c r="F442" t="s">
        <v>1138</v>
      </c>
    </row>
    <row r="443" spans="1:6">
      <c r="A443" t="s">
        <v>13</v>
      </c>
      <c r="B443" t="s">
        <v>58</v>
      </c>
      <c r="C443" t="s">
        <v>835</v>
      </c>
      <c r="D443" t="s">
        <v>1091</v>
      </c>
      <c r="E443" t="s">
        <v>1139</v>
      </c>
      <c r="F443" t="s">
        <v>1132</v>
      </c>
    </row>
    <row r="444" spans="1:6">
      <c r="A444" t="s">
        <v>13</v>
      </c>
      <c r="B444" t="s">
        <v>58</v>
      </c>
      <c r="C444" t="s">
        <v>835</v>
      </c>
      <c r="D444" t="s">
        <v>1091</v>
      </c>
      <c r="E444" t="s">
        <v>1140</v>
      </c>
      <c r="F444" t="s">
        <v>1132</v>
      </c>
    </row>
    <row r="445" spans="1:6">
      <c r="A445" t="s">
        <v>13</v>
      </c>
      <c r="B445" t="s">
        <v>58</v>
      </c>
      <c r="C445" t="s">
        <v>835</v>
      </c>
      <c r="D445" t="s">
        <v>1091</v>
      </c>
      <c r="E445" t="s">
        <v>1141</v>
      </c>
      <c r="F445" t="s">
        <v>1312</v>
      </c>
    </row>
    <row r="446" spans="1:6">
      <c r="A446" t="s">
        <v>13</v>
      </c>
      <c r="B446" t="s">
        <v>58</v>
      </c>
      <c r="C446" t="s">
        <v>835</v>
      </c>
      <c r="D446" t="s">
        <v>1091</v>
      </c>
      <c r="E446" t="s">
        <v>1143</v>
      </c>
      <c r="F446" t="s">
        <v>1144</v>
      </c>
    </row>
    <row r="447" spans="1:6">
      <c r="A447" t="s">
        <v>13</v>
      </c>
      <c r="B447" t="s">
        <v>58</v>
      </c>
      <c r="C447" t="s">
        <v>835</v>
      </c>
      <c r="D447" t="s">
        <v>1091</v>
      </c>
      <c r="E447" t="s">
        <v>1145</v>
      </c>
      <c r="F447" t="s">
        <v>1146</v>
      </c>
    </row>
    <row r="448" spans="1:6">
      <c r="A448" t="s">
        <v>13</v>
      </c>
      <c r="B448" t="s">
        <v>58</v>
      </c>
      <c r="C448" t="s">
        <v>835</v>
      </c>
      <c r="D448" t="s">
        <v>1091</v>
      </c>
      <c r="E448" t="s">
        <v>1147</v>
      </c>
      <c r="F448" t="s">
        <v>1148</v>
      </c>
    </row>
    <row r="449" spans="1:6">
      <c r="A449" t="s">
        <v>13</v>
      </c>
      <c r="B449" t="s">
        <v>58</v>
      </c>
      <c r="C449" t="s">
        <v>835</v>
      </c>
      <c r="D449" t="s">
        <v>1091</v>
      </c>
      <c r="E449" t="s">
        <v>1149</v>
      </c>
      <c r="F449" t="s">
        <v>1150</v>
      </c>
    </row>
    <row r="450" spans="1:6">
      <c r="A450" t="s">
        <v>13</v>
      </c>
      <c r="B450" t="s">
        <v>58</v>
      </c>
      <c r="C450" t="s">
        <v>835</v>
      </c>
      <c r="D450" t="s">
        <v>1091</v>
      </c>
      <c r="E450" t="s">
        <v>1151</v>
      </c>
      <c r="F450" t="s">
        <v>1009</v>
      </c>
    </row>
    <row r="451" spans="1:6">
      <c r="A451" t="s">
        <v>13</v>
      </c>
      <c r="B451" t="s">
        <v>58</v>
      </c>
      <c r="C451" t="s">
        <v>835</v>
      </c>
      <c r="D451" t="s">
        <v>1091</v>
      </c>
      <c r="E451" t="s">
        <v>1152</v>
      </c>
      <c r="F451" t="s">
        <v>1153</v>
      </c>
    </row>
    <row r="452" spans="1:6">
      <c r="A452" t="s">
        <v>13</v>
      </c>
      <c r="B452" t="s">
        <v>58</v>
      </c>
      <c r="C452" t="s">
        <v>835</v>
      </c>
      <c r="D452" t="s">
        <v>1091</v>
      </c>
      <c r="E452" t="s">
        <v>1154</v>
      </c>
      <c r="F452" t="s">
        <v>1155</v>
      </c>
    </row>
    <row r="453" spans="1:6">
      <c r="A453" t="s">
        <v>13</v>
      </c>
      <c r="B453" t="s">
        <v>58</v>
      </c>
      <c r="C453" t="s">
        <v>835</v>
      </c>
      <c r="D453" t="s">
        <v>1091</v>
      </c>
      <c r="E453" t="s">
        <v>1156</v>
      </c>
      <c r="F453" t="s">
        <v>1157</v>
      </c>
    </row>
    <row r="454" spans="1:6">
      <c r="A454" t="s">
        <v>13</v>
      </c>
      <c r="B454" t="s">
        <v>58</v>
      </c>
      <c r="C454" t="s">
        <v>835</v>
      </c>
      <c r="D454" t="s">
        <v>1091</v>
      </c>
      <c r="E454" t="s">
        <v>1158</v>
      </c>
      <c r="F454" t="s">
        <v>1159</v>
      </c>
    </row>
    <row r="455" spans="1:6">
      <c r="A455" t="s">
        <v>13</v>
      </c>
      <c r="B455" t="s">
        <v>58</v>
      </c>
      <c r="C455" t="s">
        <v>835</v>
      </c>
      <c r="D455" t="s">
        <v>1091</v>
      </c>
      <c r="E455" t="s">
        <v>1160</v>
      </c>
      <c r="F455" t="s">
        <v>1161</v>
      </c>
    </row>
    <row r="456" spans="1:6">
      <c r="A456" t="s">
        <v>13</v>
      </c>
      <c r="B456" t="s">
        <v>58</v>
      </c>
      <c r="C456" t="s">
        <v>835</v>
      </c>
      <c r="D456" t="s">
        <v>1091</v>
      </c>
      <c r="E456" t="s">
        <v>1162</v>
      </c>
      <c r="F456" t="s">
        <v>1163</v>
      </c>
    </row>
    <row r="457" spans="1:6">
      <c r="A457" t="s">
        <v>13</v>
      </c>
      <c r="B457" t="s">
        <v>58</v>
      </c>
      <c r="C457" t="s">
        <v>835</v>
      </c>
      <c r="D457" t="s">
        <v>1091</v>
      </c>
      <c r="E457" t="s">
        <v>1164</v>
      </c>
      <c r="F457" t="s">
        <v>1165</v>
      </c>
    </row>
    <row r="458" spans="1:6">
      <c r="A458" t="s">
        <v>13</v>
      </c>
      <c r="B458" t="s">
        <v>58</v>
      </c>
      <c r="C458" t="s">
        <v>835</v>
      </c>
      <c r="D458" t="s">
        <v>1091</v>
      </c>
      <c r="E458" t="s">
        <v>1166</v>
      </c>
      <c r="F458">
        <v>20624760</v>
      </c>
    </row>
    <row r="459" spans="1:6">
      <c r="A459" t="s">
        <v>13</v>
      </c>
      <c r="B459" t="s">
        <v>58</v>
      </c>
      <c r="C459" t="s">
        <v>835</v>
      </c>
      <c r="D459" t="s">
        <v>1091</v>
      </c>
      <c r="E459" t="s">
        <v>1167</v>
      </c>
      <c r="F459">
        <v>3807084</v>
      </c>
    </row>
    <row r="460" spans="1:6">
      <c r="A460" t="s">
        <v>13</v>
      </c>
      <c r="B460" t="s">
        <v>58</v>
      </c>
      <c r="C460" t="s">
        <v>835</v>
      </c>
      <c r="D460" t="s">
        <v>1091</v>
      </c>
      <c r="E460" t="s">
        <v>1168</v>
      </c>
      <c r="F460">
        <v>3189964</v>
      </c>
    </row>
    <row r="461" spans="1:6">
      <c r="A461" t="s">
        <v>13</v>
      </c>
      <c r="B461" t="s">
        <v>58</v>
      </c>
      <c r="C461" t="s">
        <v>835</v>
      </c>
      <c r="D461" t="s">
        <v>1091</v>
      </c>
      <c r="E461" t="s">
        <v>1169</v>
      </c>
      <c r="F461">
        <v>3480227</v>
      </c>
    </row>
    <row r="462" spans="1:6">
      <c r="A462" t="s">
        <v>13</v>
      </c>
      <c r="B462" t="s">
        <v>58</v>
      </c>
      <c r="C462" t="s">
        <v>835</v>
      </c>
      <c r="D462" t="s">
        <v>1091</v>
      </c>
      <c r="E462" t="s">
        <v>1170</v>
      </c>
      <c r="F462">
        <v>3807379</v>
      </c>
    </row>
    <row r="463" spans="1:6">
      <c r="A463" t="s">
        <v>13</v>
      </c>
      <c r="B463" t="s">
        <v>58</v>
      </c>
      <c r="C463" t="s">
        <v>835</v>
      </c>
      <c r="D463" t="s">
        <v>1091</v>
      </c>
      <c r="E463" t="s">
        <v>1171</v>
      </c>
      <c r="F463">
        <v>3537190</v>
      </c>
    </row>
    <row r="464" spans="1:6">
      <c r="A464" t="s">
        <v>13</v>
      </c>
      <c r="B464" t="s">
        <v>58</v>
      </c>
      <c r="C464" t="s">
        <v>835</v>
      </c>
      <c r="D464" t="s">
        <v>1091</v>
      </c>
      <c r="E464" t="s">
        <v>1172</v>
      </c>
      <c r="F464">
        <v>2802916</v>
      </c>
    </row>
    <row r="465" spans="1:6">
      <c r="A465" t="s">
        <v>13</v>
      </c>
      <c r="B465" t="s">
        <v>58</v>
      </c>
      <c r="C465" t="s">
        <v>835</v>
      </c>
      <c r="D465" t="s">
        <v>1091</v>
      </c>
      <c r="E465" t="s">
        <v>1173</v>
      </c>
      <c r="F465" t="s">
        <v>1174</v>
      </c>
    </row>
    <row r="466" spans="1:6">
      <c r="A466" t="s">
        <v>13</v>
      </c>
      <c r="B466" t="s">
        <v>58</v>
      </c>
      <c r="C466" t="s">
        <v>835</v>
      </c>
      <c r="D466" t="s">
        <v>1091</v>
      </c>
      <c r="E466" t="s">
        <v>1175</v>
      </c>
      <c r="F466">
        <v>43786</v>
      </c>
    </row>
    <row r="467" spans="1:6">
      <c r="A467" t="s">
        <v>13</v>
      </c>
      <c r="B467" t="s">
        <v>58</v>
      </c>
      <c r="C467" t="s">
        <v>835</v>
      </c>
      <c r="D467" t="s">
        <v>1091</v>
      </c>
      <c r="E467" t="s">
        <v>1176</v>
      </c>
      <c r="F467">
        <v>8577</v>
      </c>
    </row>
    <row r="468" spans="1:6">
      <c r="A468" t="s">
        <v>13</v>
      </c>
      <c r="B468" t="s">
        <v>58</v>
      </c>
      <c r="C468" t="s">
        <v>835</v>
      </c>
      <c r="D468" t="s">
        <v>1091</v>
      </c>
      <c r="E468" t="s">
        <v>1177</v>
      </c>
      <c r="F468">
        <v>7005</v>
      </c>
    </row>
    <row r="469" spans="1:6">
      <c r="A469" t="s">
        <v>13</v>
      </c>
      <c r="B469" t="s">
        <v>58</v>
      </c>
      <c r="C469" t="s">
        <v>835</v>
      </c>
      <c r="D469" t="s">
        <v>1091</v>
      </c>
      <c r="E469" t="s">
        <v>1178</v>
      </c>
      <c r="F469">
        <v>6841</v>
      </c>
    </row>
    <row r="470" spans="1:6">
      <c r="A470" t="s">
        <v>13</v>
      </c>
      <c r="B470" t="s">
        <v>58</v>
      </c>
      <c r="C470" t="s">
        <v>835</v>
      </c>
      <c r="D470" t="s">
        <v>1091</v>
      </c>
      <c r="E470" t="s">
        <v>1179</v>
      </c>
      <c r="F470">
        <v>6855</v>
      </c>
    </row>
    <row r="471" spans="1:6">
      <c r="A471" t="s">
        <v>13</v>
      </c>
      <c r="B471" t="s">
        <v>58</v>
      </c>
      <c r="C471" t="s">
        <v>835</v>
      </c>
      <c r="D471" t="s">
        <v>1091</v>
      </c>
      <c r="E471" t="s">
        <v>1180</v>
      </c>
      <c r="F471">
        <v>8184</v>
      </c>
    </row>
    <row r="472" spans="1:6">
      <c r="A472" t="s">
        <v>13</v>
      </c>
      <c r="B472" t="s">
        <v>58</v>
      </c>
      <c r="C472" t="s">
        <v>835</v>
      </c>
      <c r="D472" t="s">
        <v>1091</v>
      </c>
      <c r="E472" t="s">
        <v>1181</v>
      </c>
      <c r="F472">
        <v>6324</v>
      </c>
    </row>
    <row r="473" spans="1:6">
      <c r="A473" t="s">
        <v>13</v>
      </c>
      <c r="B473" t="s">
        <v>58</v>
      </c>
      <c r="C473" t="s">
        <v>835</v>
      </c>
      <c r="D473" t="s">
        <v>1091</v>
      </c>
      <c r="E473" t="s">
        <v>1182</v>
      </c>
      <c r="F473" t="s">
        <v>1183</v>
      </c>
    </row>
    <row r="474" spans="1:6">
      <c r="A474" t="s">
        <v>13</v>
      </c>
      <c r="B474" t="s">
        <v>58</v>
      </c>
      <c r="C474" t="s">
        <v>835</v>
      </c>
      <c r="D474" t="s">
        <v>1091</v>
      </c>
      <c r="E474" t="s">
        <v>1184</v>
      </c>
      <c r="F474">
        <v>19273987</v>
      </c>
    </row>
    <row r="475" spans="1:6">
      <c r="A475" t="s">
        <v>13</v>
      </c>
      <c r="B475" t="s">
        <v>58</v>
      </c>
      <c r="C475" t="s">
        <v>835</v>
      </c>
      <c r="D475" t="s">
        <v>1091</v>
      </c>
      <c r="E475" t="s">
        <v>1185</v>
      </c>
      <c r="F475">
        <v>2866508</v>
      </c>
    </row>
    <row r="476" spans="1:6">
      <c r="A476" t="s">
        <v>13</v>
      </c>
      <c r="B476" t="s">
        <v>58</v>
      </c>
      <c r="C476" t="s">
        <v>835</v>
      </c>
      <c r="D476" t="s">
        <v>1091</v>
      </c>
      <c r="E476" t="s">
        <v>1186</v>
      </c>
      <c r="F476">
        <v>3024427</v>
      </c>
    </row>
    <row r="477" spans="1:6">
      <c r="A477" t="s">
        <v>13</v>
      </c>
      <c r="B477" t="s">
        <v>58</v>
      </c>
      <c r="C477" t="s">
        <v>835</v>
      </c>
      <c r="D477" t="s">
        <v>1091</v>
      </c>
      <c r="E477" t="s">
        <v>1187</v>
      </c>
      <c r="F477">
        <v>3374633</v>
      </c>
    </row>
    <row r="478" spans="1:6">
      <c r="A478" t="s">
        <v>13</v>
      </c>
      <c r="B478" t="s">
        <v>58</v>
      </c>
      <c r="C478" t="s">
        <v>835</v>
      </c>
      <c r="D478" t="s">
        <v>1091</v>
      </c>
      <c r="E478" t="s">
        <v>1188</v>
      </c>
      <c r="F478">
        <v>3741802</v>
      </c>
    </row>
    <row r="479" spans="1:6">
      <c r="A479" t="s">
        <v>13</v>
      </c>
      <c r="B479" t="s">
        <v>58</v>
      </c>
      <c r="C479" t="s">
        <v>835</v>
      </c>
      <c r="D479" t="s">
        <v>1091</v>
      </c>
      <c r="E479" t="s">
        <v>1189</v>
      </c>
      <c r="F479">
        <v>3482861</v>
      </c>
    </row>
    <row r="480" spans="1:6">
      <c r="A480" t="s">
        <v>13</v>
      </c>
      <c r="B480" t="s">
        <v>58</v>
      </c>
      <c r="C480" t="s">
        <v>835</v>
      </c>
      <c r="D480" t="s">
        <v>1091</v>
      </c>
      <c r="E480" t="s">
        <v>1190</v>
      </c>
      <c r="F480">
        <v>2783756</v>
      </c>
    </row>
    <row r="481" spans="1:6">
      <c r="A481" t="s">
        <v>13</v>
      </c>
      <c r="B481" t="s">
        <v>58</v>
      </c>
      <c r="C481" t="s">
        <v>835</v>
      </c>
      <c r="D481" t="s">
        <v>1091</v>
      </c>
      <c r="E481" t="s">
        <v>1191</v>
      </c>
      <c r="F481" t="s">
        <v>1192</v>
      </c>
    </row>
    <row r="482" spans="1:6">
      <c r="A482" t="s">
        <v>13</v>
      </c>
      <c r="B482" t="s">
        <v>58</v>
      </c>
      <c r="C482" t="s">
        <v>835</v>
      </c>
      <c r="D482" t="s">
        <v>1091</v>
      </c>
      <c r="E482" t="s">
        <v>1193</v>
      </c>
      <c r="F482">
        <v>5609</v>
      </c>
    </row>
    <row r="483" spans="1:6">
      <c r="A483" t="s">
        <v>13</v>
      </c>
      <c r="B483" t="s">
        <v>58</v>
      </c>
      <c r="C483" t="s">
        <v>835</v>
      </c>
      <c r="D483" t="s">
        <v>1091</v>
      </c>
      <c r="E483" t="s">
        <v>1194</v>
      </c>
      <c r="F483">
        <v>5973</v>
      </c>
    </row>
    <row r="484" spans="1:6">
      <c r="A484" t="s">
        <v>13</v>
      </c>
      <c r="B484" t="s">
        <v>58</v>
      </c>
      <c r="C484" t="s">
        <v>835</v>
      </c>
      <c r="D484" t="s">
        <v>1091</v>
      </c>
      <c r="E484" t="s">
        <v>1195</v>
      </c>
      <c r="F484">
        <v>6209</v>
      </c>
    </row>
    <row r="485" spans="1:6">
      <c r="A485" t="s">
        <v>13</v>
      </c>
      <c r="B485" t="s">
        <v>58</v>
      </c>
      <c r="C485" t="s">
        <v>835</v>
      </c>
      <c r="D485" t="s">
        <v>1091</v>
      </c>
      <c r="E485" t="s">
        <v>1196</v>
      </c>
      <c r="F485">
        <v>6394</v>
      </c>
    </row>
    <row r="486" spans="1:6">
      <c r="A486" t="s">
        <v>13</v>
      </c>
      <c r="B486" t="s">
        <v>58</v>
      </c>
      <c r="C486" t="s">
        <v>835</v>
      </c>
      <c r="D486" t="s">
        <v>1091</v>
      </c>
      <c r="E486" t="s">
        <v>1197</v>
      </c>
      <c r="F486">
        <v>7775</v>
      </c>
    </row>
    <row r="487" spans="1:6">
      <c r="A487" t="s">
        <v>13</v>
      </c>
      <c r="B487" t="s">
        <v>58</v>
      </c>
      <c r="C487" t="s">
        <v>835</v>
      </c>
      <c r="D487" t="s">
        <v>1091</v>
      </c>
      <c r="E487" t="s">
        <v>1198</v>
      </c>
      <c r="F487">
        <v>6257</v>
      </c>
    </row>
    <row r="488" spans="1:6">
      <c r="A488" t="s">
        <v>13</v>
      </c>
      <c r="B488" t="s">
        <v>58</v>
      </c>
      <c r="C488" t="s">
        <v>835</v>
      </c>
      <c r="D488" t="s">
        <v>1091</v>
      </c>
      <c r="E488" t="s">
        <v>1199</v>
      </c>
      <c r="F488" t="s">
        <v>1200</v>
      </c>
    </row>
    <row r="489" spans="1:6">
      <c r="A489" t="s">
        <v>13</v>
      </c>
      <c r="B489" t="s">
        <v>58</v>
      </c>
      <c r="C489" t="s">
        <v>835</v>
      </c>
      <c r="D489" t="s">
        <v>1091</v>
      </c>
      <c r="E489" t="s">
        <v>1201</v>
      </c>
      <c r="F489" t="s">
        <v>1107</v>
      </c>
    </row>
    <row r="490" spans="1:6">
      <c r="A490" t="s">
        <v>13</v>
      </c>
      <c r="B490" t="s">
        <v>58</v>
      </c>
      <c r="C490" t="s">
        <v>835</v>
      </c>
      <c r="D490" t="s">
        <v>1091</v>
      </c>
      <c r="E490" t="s">
        <v>1202</v>
      </c>
      <c r="F490">
        <v>7091021</v>
      </c>
    </row>
    <row r="491" spans="1:6">
      <c r="A491" t="s">
        <v>13</v>
      </c>
      <c r="B491" t="s">
        <v>58</v>
      </c>
      <c r="C491" t="s">
        <v>835</v>
      </c>
      <c r="D491" t="s">
        <v>1091</v>
      </c>
      <c r="E491" t="s">
        <v>1203</v>
      </c>
      <c r="F491">
        <v>1054596</v>
      </c>
    </row>
    <row r="492" spans="1:6">
      <c r="A492" t="s">
        <v>13</v>
      </c>
      <c r="B492" t="s">
        <v>58</v>
      </c>
      <c r="C492" t="s">
        <v>835</v>
      </c>
      <c r="D492" t="s">
        <v>1091</v>
      </c>
      <c r="E492" t="s">
        <v>1204</v>
      </c>
      <c r="F492">
        <v>1174481</v>
      </c>
    </row>
    <row r="493" spans="1:6">
      <c r="A493" t="s">
        <v>13</v>
      </c>
      <c r="B493" t="s">
        <v>58</v>
      </c>
      <c r="C493" t="s">
        <v>835</v>
      </c>
      <c r="D493" t="s">
        <v>1091</v>
      </c>
      <c r="E493" t="s">
        <v>1205</v>
      </c>
      <c r="F493">
        <v>1127675</v>
      </c>
    </row>
    <row r="494" spans="1:6">
      <c r="A494" t="s">
        <v>13</v>
      </c>
      <c r="B494" t="s">
        <v>58</v>
      </c>
      <c r="C494" t="s">
        <v>835</v>
      </c>
      <c r="D494" t="s">
        <v>1091</v>
      </c>
      <c r="E494" t="s">
        <v>1206</v>
      </c>
      <c r="F494">
        <v>1307333</v>
      </c>
    </row>
    <row r="495" spans="1:6">
      <c r="A495" t="s">
        <v>13</v>
      </c>
      <c r="B495" t="s">
        <v>58</v>
      </c>
      <c r="C495" t="s">
        <v>835</v>
      </c>
      <c r="D495" t="s">
        <v>1091</v>
      </c>
      <c r="E495" t="s">
        <v>1207</v>
      </c>
      <c r="F495">
        <v>1445209</v>
      </c>
    </row>
    <row r="496" spans="1:6">
      <c r="A496" t="s">
        <v>13</v>
      </c>
      <c r="B496" t="s">
        <v>58</v>
      </c>
      <c r="C496" t="s">
        <v>835</v>
      </c>
      <c r="D496" t="s">
        <v>1091</v>
      </c>
      <c r="E496" t="s">
        <v>1208</v>
      </c>
      <c r="F496">
        <v>981728</v>
      </c>
    </row>
    <row r="497" spans="1:6">
      <c r="A497" t="s">
        <v>13</v>
      </c>
      <c r="B497" t="s">
        <v>58</v>
      </c>
      <c r="C497" t="s">
        <v>835</v>
      </c>
      <c r="D497" t="s">
        <v>1091</v>
      </c>
      <c r="E497" t="s">
        <v>1209</v>
      </c>
      <c r="F497" t="s">
        <v>1307</v>
      </c>
    </row>
    <row r="498" spans="1:6">
      <c r="A498" t="s">
        <v>13</v>
      </c>
      <c r="B498" t="s">
        <v>58</v>
      </c>
      <c r="C498" t="s">
        <v>835</v>
      </c>
      <c r="D498" t="s">
        <v>1091</v>
      </c>
      <c r="E498" t="s">
        <v>1210</v>
      </c>
      <c r="F498">
        <v>7901</v>
      </c>
    </row>
    <row r="499" spans="1:6">
      <c r="A499" t="s">
        <v>13</v>
      </c>
      <c r="B499" t="s">
        <v>58</v>
      </c>
      <c r="C499" t="s">
        <v>835</v>
      </c>
      <c r="D499" t="s">
        <v>1091</v>
      </c>
      <c r="E499" t="s">
        <v>1211</v>
      </c>
      <c r="F499">
        <v>0</v>
      </c>
    </row>
    <row r="500" spans="1:6">
      <c r="A500" t="s">
        <v>13</v>
      </c>
      <c r="B500" t="s">
        <v>58</v>
      </c>
      <c r="C500" t="s">
        <v>835</v>
      </c>
      <c r="D500" t="s">
        <v>1091</v>
      </c>
      <c r="E500" t="s">
        <v>1212</v>
      </c>
      <c r="F500">
        <v>0</v>
      </c>
    </row>
    <row r="501" spans="1:6">
      <c r="A501" t="s">
        <v>13</v>
      </c>
      <c r="B501" t="s">
        <v>58</v>
      </c>
      <c r="C501" t="s">
        <v>835</v>
      </c>
      <c r="D501" t="s">
        <v>1091</v>
      </c>
      <c r="E501" t="s">
        <v>1213</v>
      </c>
      <c r="F501">
        <v>818</v>
      </c>
    </row>
    <row r="502" spans="1:6">
      <c r="A502" t="s">
        <v>13</v>
      </c>
      <c r="B502" t="s">
        <v>58</v>
      </c>
      <c r="C502" t="s">
        <v>835</v>
      </c>
      <c r="D502" t="s">
        <v>1091</v>
      </c>
      <c r="E502" t="s">
        <v>1214</v>
      </c>
      <c r="F502">
        <v>168</v>
      </c>
    </row>
    <row r="503" spans="1:6">
      <c r="A503" t="s">
        <v>13</v>
      </c>
      <c r="B503" t="s">
        <v>58</v>
      </c>
      <c r="C503" t="s">
        <v>835</v>
      </c>
      <c r="D503" t="s">
        <v>1091</v>
      </c>
      <c r="E503" t="s">
        <v>1215</v>
      </c>
      <c r="F503">
        <v>0</v>
      </c>
    </row>
    <row r="504" spans="1:6">
      <c r="A504" t="s">
        <v>13</v>
      </c>
      <c r="B504" t="s">
        <v>58</v>
      </c>
      <c r="C504" t="s">
        <v>835</v>
      </c>
      <c r="D504" t="s">
        <v>1091</v>
      </c>
      <c r="E504" t="s">
        <v>1216</v>
      </c>
      <c r="F504">
        <v>6916</v>
      </c>
    </row>
    <row r="505" spans="1:6">
      <c r="A505" t="s">
        <v>13</v>
      </c>
      <c r="B505" t="s">
        <v>58</v>
      </c>
      <c r="C505" t="s">
        <v>835</v>
      </c>
      <c r="D505" t="s">
        <v>1091</v>
      </c>
      <c r="E505" t="s">
        <v>1217</v>
      </c>
      <c r="F505" t="s">
        <v>1308</v>
      </c>
    </row>
    <row r="506" spans="1:6">
      <c r="A506" t="s">
        <v>13</v>
      </c>
      <c r="B506" t="s">
        <v>58</v>
      </c>
      <c r="C506" t="s">
        <v>835</v>
      </c>
      <c r="D506" t="s">
        <v>1091</v>
      </c>
      <c r="E506" t="s">
        <v>1218</v>
      </c>
      <c r="F506">
        <v>12175064</v>
      </c>
    </row>
    <row r="507" spans="1:6">
      <c r="A507" t="s">
        <v>13</v>
      </c>
      <c r="B507" t="s">
        <v>58</v>
      </c>
      <c r="C507" t="s">
        <v>835</v>
      </c>
      <c r="D507" t="s">
        <v>1091</v>
      </c>
      <c r="E507" t="s">
        <v>1219</v>
      </c>
      <c r="F507">
        <v>1811911</v>
      </c>
    </row>
    <row r="508" spans="1:6">
      <c r="A508" t="s">
        <v>13</v>
      </c>
      <c r="B508" t="s">
        <v>58</v>
      </c>
      <c r="C508" t="s">
        <v>835</v>
      </c>
      <c r="D508" t="s">
        <v>1091</v>
      </c>
      <c r="E508" t="s">
        <v>1220</v>
      </c>
      <c r="F508">
        <v>1849946</v>
      </c>
    </row>
    <row r="509" spans="1:6">
      <c r="A509" t="s">
        <v>13</v>
      </c>
      <c r="B509" t="s">
        <v>58</v>
      </c>
      <c r="C509" t="s">
        <v>835</v>
      </c>
      <c r="D509" t="s">
        <v>1091</v>
      </c>
      <c r="E509" t="s">
        <v>1221</v>
      </c>
      <c r="F509">
        <v>2246140</v>
      </c>
    </row>
    <row r="510" spans="1:6">
      <c r="A510" t="s">
        <v>13</v>
      </c>
      <c r="B510" t="s">
        <v>58</v>
      </c>
      <c r="C510" t="s">
        <v>835</v>
      </c>
      <c r="D510" t="s">
        <v>1091</v>
      </c>
      <c r="E510" t="s">
        <v>1222</v>
      </c>
      <c r="F510">
        <v>2434302</v>
      </c>
    </row>
    <row r="511" spans="1:6">
      <c r="A511" t="s">
        <v>13</v>
      </c>
      <c r="B511" t="s">
        <v>58</v>
      </c>
      <c r="C511" t="s">
        <v>835</v>
      </c>
      <c r="D511" t="s">
        <v>1091</v>
      </c>
      <c r="E511" t="s">
        <v>1223</v>
      </c>
      <c r="F511">
        <v>2037652</v>
      </c>
    </row>
    <row r="512" spans="1:6">
      <c r="A512" t="s">
        <v>13</v>
      </c>
      <c r="B512" t="s">
        <v>58</v>
      </c>
      <c r="C512" t="s">
        <v>835</v>
      </c>
      <c r="D512" t="s">
        <v>1091</v>
      </c>
      <c r="E512" t="s">
        <v>1224</v>
      </c>
      <c r="F512">
        <v>1795113</v>
      </c>
    </row>
    <row r="513" spans="1:6">
      <c r="A513" t="s">
        <v>13</v>
      </c>
      <c r="B513" t="s">
        <v>58</v>
      </c>
      <c r="C513" t="s">
        <v>835</v>
      </c>
      <c r="D513" t="s">
        <v>1091</v>
      </c>
      <c r="E513" t="s">
        <v>1225</v>
      </c>
      <c r="F513" t="s">
        <v>1226</v>
      </c>
    </row>
    <row r="514" spans="1:6">
      <c r="A514" t="s">
        <v>13</v>
      </c>
      <c r="B514" t="s">
        <v>58</v>
      </c>
      <c r="C514" t="s">
        <v>835</v>
      </c>
      <c r="D514" t="s">
        <v>1091</v>
      </c>
      <c r="E514" t="s">
        <v>1227</v>
      </c>
      <c r="F514" t="s">
        <v>1313</v>
      </c>
    </row>
    <row r="515" spans="1:6">
      <c r="A515" t="s">
        <v>13</v>
      </c>
      <c r="B515" t="s">
        <v>58</v>
      </c>
      <c r="C515" t="s">
        <v>835</v>
      </c>
      <c r="D515" t="s">
        <v>1091</v>
      </c>
      <c r="E515" t="s">
        <v>1228</v>
      </c>
      <c r="F515" t="s">
        <v>1314</v>
      </c>
    </row>
    <row r="516" spans="1:6">
      <c r="A516" t="s">
        <v>13</v>
      </c>
      <c r="B516" t="s">
        <v>58</v>
      </c>
      <c r="C516" t="s">
        <v>835</v>
      </c>
      <c r="D516" t="s">
        <v>1091</v>
      </c>
      <c r="E516" t="s">
        <v>1230</v>
      </c>
      <c r="F516" t="s">
        <v>1232</v>
      </c>
    </row>
    <row r="517" spans="1:6">
      <c r="A517" t="s">
        <v>13</v>
      </c>
      <c r="B517" t="s">
        <v>58</v>
      </c>
      <c r="C517" t="s">
        <v>835</v>
      </c>
      <c r="D517" t="s">
        <v>1091</v>
      </c>
      <c r="E517" t="s">
        <v>1231</v>
      </c>
      <c r="F517" t="s">
        <v>1315</v>
      </c>
    </row>
    <row r="518" spans="1:6">
      <c r="A518" t="s">
        <v>13</v>
      </c>
      <c r="B518" t="s">
        <v>58</v>
      </c>
      <c r="C518" t="s">
        <v>835</v>
      </c>
      <c r="D518" t="s">
        <v>1091</v>
      </c>
      <c r="E518" t="s">
        <v>1233</v>
      </c>
      <c r="F518" t="s">
        <v>1315</v>
      </c>
    </row>
    <row r="519" spans="1:6">
      <c r="A519" t="s">
        <v>13</v>
      </c>
      <c r="B519" t="s">
        <v>58</v>
      </c>
      <c r="C519" t="s">
        <v>835</v>
      </c>
      <c r="D519" t="s">
        <v>1091</v>
      </c>
      <c r="E519" t="s">
        <v>1234</v>
      </c>
      <c r="F519" t="s">
        <v>1242</v>
      </c>
    </row>
    <row r="520" spans="1:6">
      <c r="A520" t="s">
        <v>13</v>
      </c>
      <c r="B520" t="s">
        <v>58</v>
      </c>
      <c r="C520" t="s">
        <v>835</v>
      </c>
      <c r="D520" t="s">
        <v>1091</v>
      </c>
      <c r="E520" t="s">
        <v>1235</v>
      </c>
      <c r="F520" t="s">
        <v>1236</v>
      </c>
    </row>
    <row r="521" spans="1:6">
      <c r="A521" t="s">
        <v>13</v>
      </c>
      <c r="B521" t="s">
        <v>58</v>
      </c>
      <c r="C521" t="s">
        <v>835</v>
      </c>
      <c r="D521" t="s">
        <v>1091</v>
      </c>
      <c r="E521" t="s">
        <v>1237</v>
      </c>
      <c r="F521" t="s">
        <v>1316</v>
      </c>
    </row>
    <row r="522" spans="1:6">
      <c r="A522" t="s">
        <v>13</v>
      </c>
      <c r="B522" t="s">
        <v>58</v>
      </c>
      <c r="C522" t="s">
        <v>835</v>
      </c>
      <c r="D522" t="s">
        <v>1091</v>
      </c>
      <c r="E522" t="s">
        <v>1238</v>
      </c>
      <c r="F522" t="s">
        <v>1317</v>
      </c>
    </row>
    <row r="523" spans="1:6">
      <c r="A523" t="s">
        <v>13</v>
      </c>
      <c r="B523" t="s">
        <v>58</v>
      </c>
      <c r="C523" t="s">
        <v>835</v>
      </c>
      <c r="D523" t="s">
        <v>1091</v>
      </c>
      <c r="E523" t="s">
        <v>1240</v>
      </c>
      <c r="F523" t="s">
        <v>1318</v>
      </c>
    </row>
    <row r="524" spans="1:6">
      <c r="A524" t="s">
        <v>13</v>
      </c>
      <c r="B524" t="s">
        <v>58</v>
      </c>
      <c r="C524" t="s">
        <v>835</v>
      </c>
      <c r="D524" t="s">
        <v>1091</v>
      </c>
      <c r="E524" t="s">
        <v>1241</v>
      </c>
      <c r="F524" t="s">
        <v>1309</v>
      </c>
    </row>
    <row r="525" spans="1:6">
      <c r="A525" t="s">
        <v>13</v>
      </c>
      <c r="B525" t="s">
        <v>58</v>
      </c>
      <c r="C525" t="s">
        <v>835</v>
      </c>
      <c r="D525" t="s">
        <v>1091</v>
      </c>
      <c r="E525" t="s">
        <v>1243</v>
      </c>
      <c r="F525" t="s">
        <v>1314</v>
      </c>
    </row>
    <row r="526" spans="1:6">
      <c r="A526" t="s">
        <v>13</v>
      </c>
      <c r="B526" t="s">
        <v>58</v>
      </c>
      <c r="C526" t="s">
        <v>835</v>
      </c>
      <c r="D526" t="s">
        <v>1091</v>
      </c>
      <c r="E526" t="s">
        <v>1244</v>
      </c>
      <c r="F526" t="s">
        <v>1242</v>
      </c>
    </row>
    <row r="527" spans="1:6">
      <c r="A527" t="s">
        <v>13</v>
      </c>
      <c r="B527" t="s">
        <v>58</v>
      </c>
      <c r="C527" t="s">
        <v>835</v>
      </c>
      <c r="D527" t="s">
        <v>1091</v>
      </c>
      <c r="E527" t="s">
        <v>1245</v>
      </c>
      <c r="F527" t="s">
        <v>1246</v>
      </c>
    </row>
    <row r="528" spans="1:6">
      <c r="A528" t="s">
        <v>13</v>
      </c>
      <c r="B528" t="s">
        <v>58</v>
      </c>
      <c r="C528" t="s">
        <v>835</v>
      </c>
      <c r="D528" t="s">
        <v>1091</v>
      </c>
      <c r="E528" t="s">
        <v>1247</v>
      </c>
      <c r="F528">
        <v>1350774</v>
      </c>
    </row>
    <row r="529" spans="1:6">
      <c r="A529" t="s">
        <v>13</v>
      </c>
      <c r="B529" t="s">
        <v>58</v>
      </c>
      <c r="C529" t="s">
        <v>835</v>
      </c>
      <c r="D529" t="s">
        <v>1091</v>
      </c>
      <c r="E529" t="s">
        <v>1248</v>
      </c>
      <c r="F529">
        <v>940576</v>
      </c>
    </row>
    <row r="530" spans="1:6">
      <c r="A530" t="s">
        <v>13</v>
      </c>
      <c r="B530" t="s">
        <v>58</v>
      </c>
      <c r="C530" t="s">
        <v>835</v>
      </c>
      <c r="D530" t="s">
        <v>1091</v>
      </c>
      <c r="E530" t="s">
        <v>1249</v>
      </c>
      <c r="F530">
        <v>165538</v>
      </c>
    </row>
    <row r="531" spans="1:6">
      <c r="A531" t="s">
        <v>13</v>
      </c>
      <c r="B531" t="s">
        <v>58</v>
      </c>
      <c r="C531" t="s">
        <v>835</v>
      </c>
      <c r="D531" t="s">
        <v>1091</v>
      </c>
      <c r="E531" t="s">
        <v>1250</v>
      </c>
      <c r="F531">
        <v>105594</v>
      </c>
    </row>
    <row r="532" spans="1:6">
      <c r="A532" t="s">
        <v>13</v>
      </c>
      <c r="B532" t="s">
        <v>58</v>
      </c>
      <c r="C532" t="s">
        <v>835</v>
      </c>
      <c r="D532" t="s">
        <v>1091</v>
      </c>
      <c r="E532" t="s">
        <v>1251</v>
      </c>
      <c r="F532">
        <v>65577</v>
      </c>
    </row>
    <row r="533" spans="1:6">
      <c r="A533" t="s">
        <v>13</v>
      </c>
      <c r="B533" t="s">
        <v>58</v>
      </c>
      <c r="C533" t="s">
        <v>835</v>
      </c>
      <c r="D533" t="s">
        <v>1091</v>
      </c>
      <c r="E533" t="s">
        <v>1252</v>
      </c>
      <c r="F533">
        <v>54329</v>
      </c>
    </row>
    <row r="534" spans="1:6">
      <c r="A534" t="s">
        <v>13</v>
      </c>
      <c r="B534" t="s">
        <v>58</v>
      </c>
      <c r="C534" t="s">
        <v>835</v>
      </c>
      <c r="D534" t="s">
        <v>1091</v>
      </c>
      <c r="E534" t="s">
        <v>1253</v>
      </c>
      <c r="F534">
        <v>19160</v>
      </c>
    </row>
    <row r="535" spans="1:6">
      <c r="A535" t="s">
        <v>13</v>
      </c>
      <c r="B535" t="s">
        <v>58</v>
      </c>
      <c r="C535" t="s">
        <v>835</v>
      </c>
      <c r="D535" t="s">
        <v>1091</v>
      </c>
      <c r="E535" t="s">
        <v>1254</v>
      </c>
      <c r="F535" t="s">
        <v>1255</v>
      </c>
    </row>
    <row r="536" spans="1:6">
      <c r="A536" t="s">
        <v>13</v>
      </c>
      <c r="B536" t="s">
        <v>58</v>
      </c>
      <c r="C536" t="s">
        <v>835</v>
      </c>
      <c r="D536" t="s">
        <v>1091</v>
      </c>
      <c r="E536" t="s">
        <v>1256</v>
      </c>
      <c r="F536">
        <v>5569</v>
      </c>
    </row>
    <row r="537" spans="1:6">
      <c r="A537" t="s">
        <v>13</v>
      </c>
      <c r="B537" t="s">
        <v>58</v>
      </c>
      <c r="C537" t="s">
        <v>835</v>
      </c>
      <c r="D537" t="s">
        <v>1091</v>
      </c>
      <c r="E537" t="s">
        <v>1257</v>
      </c>
      <c r="F537">
        <v>2968</v>
      </c>
    </row>
    <row r="538" spans="1:6">
      <c r="A538" t="s">
        <v>13</v>
      </c>
      <c r="B538" t="s">
        <v>58</v>
      </c>
      <c r="C538" t="s">
        <v>835</v>
      </c>
      <c r="D538" t="s">
        <v>1091</v>
      </c>
      <c r="E538" t="s">
        <v>1258</v>
      </c>
      <c r="F538">
        <v>1032</v>
      </c>
    </row>
    <row r="539" spans="1:6">
      <c r="A539" t="s">
        <v>13</v>
      </c>
      <c r="B539" t="s">
        <v>58</v>
      </c>
      <c r="C539" t="s">
        <v>835</v>
      </c>
      <c r="D539" t="s">
        <v>1091</v>
      </c>
      <c r="E539" t="s">
        <v>1259</v>
      </c>
      <c r="F539">
        <v>632</v>
      </c>
    </row>
    <row r="540" spans="1:6">
      <c r="A540" t="s">
        <v>13</v>
      </c>
      <c r="B540" t="s">
        <v>58</v>
      </c>
      <c r="C540" t="s">
        <v>835</v>
      </c>
      <c r="D540" t="s">
        <v>1091</v>
      </c>
      <c r="E540" t="s">
        <v>1260</v>
      </c>
      <c r="F540">
        <v>461</v>
      </c>
    </row>
    <row r="541" spans="1:6">
      <c r="A541" t="s">
        <v>13</v>
      </c>
      <c r="B541" t="s">
        <v>58</v>
      </c>
      <c r="C541" t="s">
        <v>835</v>
      </c>
      <c r="D541" t="s">
        <v>1091</v>
      </c>
      <c r="E541" t="s">
        <v>1261</v>
      </c>
      <c r="F541">
        <v>409</v>
      </c>
    </row>
    <row r="542" spans="1:6">
      <c r="A542" t="s">
        <v>13</v>
      </c>
      <c r="B542" t="s">
        <v>58</v>
      </c>
      <c r="C542" t="s">
        <v>835</v>
      </c>
      <c r="D542" t="s">
        <v>1091</v>
      </c>
      <c r="E542" t="s">
        <v>1262</v>
      </c>
      <c r="F542">
        <v>67</v>
      </c>
    </row>
    <row r="543" spans="1:6">
      <c r="A543" t="s">
        <v>13</v>
      </c>
      <c r="B543" t="s">
        <v>58</v>
      </c>
      <c r="C543" t="s">
        <v>835</v>
      </c>
      <c r="D543" t="s">
        <v>1091</v>
      </c>
      <c r="E543" t="s">
        <v>1263</v>
      </c>
      <c r="F543" t="s">
        <v>1131</v>
      </c>
    </row>
    <row r="544" spans="1:6">
      <c r="A544" t="s">
        <v>13</v>
      </c>
      <c r="B544" t="s">
        <v>58</v>
      </c>
      <c r="C544" t="s">
        <v>835</v>
      </c>
      <c r="D544" t="s">
        <v>1091</v>
      </c>
      <c r="E544" t="s">
        <v>1264</v>
      </c>
      <c r="F544" t="s">
        <v>1311</v>
      </c>
    </row>
    <row r="545" spans="1:6">
      <c r="A545" t="s">
        <v>13</v>
      </c>
      <c r="B545" t="s">
        <v>58</v>
      </c>
      <c r="C545" t="s">
        <v>835</v>
      </c>
      <c r="D545" t="s">
        <v>1091</v>
      </c>
      <c r="E545" t="s">
        <v>1265</v>
      </c>
      <c r="F545" t="s">
        <v>1319</v>
      </c>
    </row>
    <row r="546" spans="1:6">
      <c r="A546" t="s">
        <v>13</v>
      </c>
      <c r="B546" t="s">
        <v>58</v>
      </c>
      <c r="C546" t="s">
        <v>835</v>
      </c>
      <c r="D546" t="s">
        <v>1091</v>
      </c>
      <c r="E546" t="s">
        <v>1266</v>
      </c>
      <c r="F546" t="s">
        <v>1320</v>
      </c>
    </row>
    <row r="547" spans="1:6">
      <c r="A547" t="s">
        <v>13</v>
      </c>
      <c r="B547" t="s">
        <v>58</v>
      </c>
      <c r="C547" t="s">
        <v>835</v>
      </c>
      <c r="D547" t="s">
        <v>1091</v>
      </c>
      <c r="E547" t="s">
        <v>1268</v>
      </c>
      <c r="F547" t="s">
        <v>1270</v>
      </c>
    </row>
    <row r="548" spans="1:6">
      <c r="A548" t="s">
        <v>13</v>
      </c>
      <c r="B548" t="s">
        <v>58</v>
      </c>
      <c r="C548" t="s">
        <v>835</v>
      </c>
      <c r="D548" t="s">
        <v>1091</v>
      </c>
      <c r="E548" t="s">
        <v>1269</v>
      </c>
      <c r="F548" t="s">
        <v>1321</v>
      </c>
    </row>
    <row r="549" spans="1:6">
      <c r="A549" t="s">
        <v>13</v>
      </c>
      <c r="B549" t="s">
        <v>58</v>
      </c>
      <c r="C549" t="s">
        <v>835</v>
      </c>
      <c r="D549" t="s">
        <v>1091</v>
      </c>
      <c r="E549" t="s">
        <v>1271</v>
      </c>
      <c r="F549" t="s">
        <v>1321</v>
      </c>
    </row>
    <row r="550" spans="1:6">
      <c r="A550" t="s">
        <v>13</v>
      </c>
      <c r="B550" t="s">
        <v>58</v>
      </c>
      <c r="C550" t="s">
        <v>835</v>
      </c>
      <c r="D550" t="s">
        <v>1091</v>
      </c>
      <c r="E550" t="s">
        <v>1272</v>
      </c>
      <c r="F550" t="s">
        <v>1310</v>
      </c>
    </row>
    <row r="551" spans="1:6">
      <c r="A551" t="s">
        <v>13</v>
      </c>
      <c r="B551" t="s">
        <v>58</v>
      </c>
      <c r="C551" t="s">
        <v>835</v>
      </c>
      <c r="D551" t="s">
        <v>1273</v>
      </c>
      <c r="E551" t="s">
        <v>1274</v>
      </c>
      <c r="F551" t="s">
        <v>1306</v>
      </c>
    </row>
    <row r="552" spans="1:6">
      <c r="A552" t="s">
        <v>13</v>
      </c>
      <c r="B552" t="s">
        <v>58</v>
      </c>
      <c r="C552" t="s">
        <v>835</v>
      </c>
      <c r="D552" t="s">
        <v>1273</v>
      </c>
      <c r="E552" t="s">
        <v>1275</v>
      </c>
      <c r="F552" t="s">
        <v>998</v>
      </c>
    </row>
    <row r="553" spans="1:6">
      <c r="A553" t="s">
        <v>13</v>
      </c>
      <c r="B553" t="s">
        <v>58</v>
      </c>
      <c r="C553" t="s">
        <v>835</v>
      </c>
      <c r="D553" t="s">
        <v>1273</v>
      </c>
      <c r="E553" t="s">
        <v>1276</v>
      </c>
      <c r="F553" t="s">
        <v>1277</v>
      </c>
    </row>
    <row r="554" spans="1:6">
      <c r="A554" t="s">
        <v>13</v>
      </c>
      <c r="B554" t="s">
        <v>58</v>
      </c>
      <c r="C554" t="s">
        <v>835</v>
      </c>
      <c r="D554" t="s">
        <v>1273</v>
      </c>
      <c r="E554" t="s">
        <v>1278</v>
      </c>
      <c r="F554" t="s">
        <v>998</v>
      </c>
    </row>
    <row r="555" spans="1:6">
      <c r="A555" t="s">
        <v>13</v>
      </c>
      <c r="B555" t="s">
        <v>58</v>
      </c>
      <c r="C555" t="s">
        <v>835</v>
      </c>
      <c r="D555" t="s">
        <v>1273</v>
      </c>
      <c r="E555" t="s">
        <v>1279</v>
      </c>
      <c r="F555" t="s">
        <v>1280</v>
      </c>
    </row>
    <row r="556" spans="1:6">
      <c r="A556" t="s">
        <v>13</v>
      </c>
      <c r="B556" t="s">
        <v>58</v>
      </c>
      <c r="C556" t="s">
        <v>835</v>
      </c>
      <c r="D556" t="s">
        <v>1273</v>
      </c>
      <c r="E556" t="s">
        <v>1281</v>
      </c>
      <c r="F556" t="s">
        <v>1282</v>
      </c>
    </row>
    <row r="557" spans="1:6">
      <c r="A557" t="s">
        <v>13</v>
      </c>
      <c r="B557" t="s">
        <v>58</v>
      </c>
      <c r="C557" t="s">
        <v>835</v>
      </c>
      <c r="D557" t="s">
        <v>1273</v>
      </c>
      <c r="E557" t="s">
        <v>1283</v>
      </c>
      <c r="F557" t="s">
        <v>1284</v>
      </c>
    </row>
    <row r="558" spans="1:6">
      <c r="A558" t="s">
        <v>13</v>
      </c>
      <c r="B558" t="s">
        <v>58</v>
      </c>
      <c r="C558" t="s">
        <v>835</v>
      </c>
      <c r="D558" t="s">
        <v>1273</v>
      </c>
      <c r="E558" t="s">
        <v>1285</v>
      </c>
      <c r="F558" t="s">
        <v>377</v>
      </c>
    </row>
    <row r="559" spans="1:6">
      <c r="A559" t="s">
        <v>13</v>
      </c>
      <c r="B559" t="s">
        <v>58</v>
      </c>
      <c r="C559" t="s">
        <v>835</v>
      </c>
      <c r="D559" t="s">
        <v>1273</v>
      </c>
      <c r="E559" t="s">
        <v>1286</v>
      </c>
      <c r="F559">
        <v>144</v>
      </c>
    </row>
    <row r="560" spans="1:6">
      <c r="A560" t="s">
        <v>13</v>
      </c>
      <c r="B560" t="s">
        <v>58</v>
      </c>
      <c r="C560" t="s">
        <v>835</v>
      </c>
      <c r="D560" t="s">
        <v>1273</v>
      </c>
      <c r="E560" t="s">
        <v>1287</v>
      </c>
      <c r="F560">
        <v>28</v>
      </c>
    </row>
    <row r="561" spans="1:6">
      <c r="A561" t="s">
        <v>13</v>
      </c>
      <c r="B561" t="s">
        <v>58</v>
      </c>
      <c r="C561" t="s">
        <v>835</v>
      </c>
      <c r="D561" t="s">
        <v>1273</v>
      </c>
      <c r="E561" t="s">
        <v>1288</v>
      </c>
      <c r="F561" t="s">
        <v>379</v>
      </c>
    </row>
    <row r="562" spans="1:6">
      <c r="A562" t="s">
        <v>13</v>
      </c>
      <c r="B562" t="s">
        <v>58</v>
      </c>
      <c r="C562" t="s">
        <v>835</v>
      </c>
      <c r="D562" t="s">
        <v>1273</v>
      </c>
      <c r="E562" t="s">
        <v>1096</v>
      </c>
      <c r="F562">
        <v>510</v>
      </c>
    </row>
    <row r="563" spans="1:6">
      <c r="A563" t="s">
        <v>13</v>
      </c>
      <c r="B563" t="s">
        <v>58</v>
      </c>
      <c r="C563" t="s">
        <v>835</v>
      </c>
      <c r="D563" t="s">
        <v>1273</v>
      </c>
      <c r="E563" t="s">
        <v>1004</v>
      </c>
      <c r="F563">
        <v>2762</v>
      </c>
    </row>
    <row r="564" spans="1:6">
      <c r="A564" t="s">
        <v>13</v>
      </c>
      <c r="B564" t="s">
        <v>58</v>
      </c>
      <c r="C564" t="s">
        <v>835</v>
      </c>
      <c r="D564" t="s">
        <v>1273</v>
      </c>
      <c r="E564" t="s">
        <v>1289</v>
      </c>
      <c r="F564" t="s">
        <v>381</v>
      </c>
    </row>
    <row r="565" spans="1:6">
      <c r="A565" t="s">
        <v>13</v>
      </c>
      <c r="B565" t="s">
        <v>58</v>
      </c>
      <c r="C565" t="s">
        <v>835</v>
      </c>
      <c r="D565" t="s">
        <v>1273</v>
      </c>
      <c r="E565" t="s">
        <v>1290</v>
      </c>
      <c r="F565">
        <v>4113</v>
      </c>
    </row>
    <row r="566" spans="1:6">
      <c r="A566" t="s">
        <v>13</v>
      </c>
      <c r="B566" t="s">
        <v>58</v>
      </c>
      <c r="C566" t="s">
        <v>835</v>
      </c>
      <c r="D566" t="s">
        <v>1273</v>
      </c>
      <c r="E566" t="s">
        <v>1291</v>
      </c>
      <c r="F566">
        <v>194406</v>
      </c>
    </row>
    <row r="567" spans="1:6">
      <c r="A567" t="s">
        <v>13</v>
      </c>
      <c r="B567" t="s">
        <v>58</v>
      </c>
      <c r="C567" t="s">
        <v>835</v>
      </c>
      <c r="D567" t="s">
        <v>1273</v>
      </c>
      <c r="E567" t="s">
        <v>1008</v>
      </c>
      <c r="F567" t="s">
        <v>383</v>
      </c>
    </row>
    <row r="568" spans="1:6">
      <c r="A568" t="s">
        <v>13</v>
      </c>
      <c r="B568" t="s">
        <v>58</v>
      </c>
      <c r="C568" t="s">
        <v>835</v>
      </c>
      <c r="D568" t="s">
        <v>1273</v>
      </c>
      <c r="E568" t="s">
        <v>1010</v>
      </c>
      <c r="F568">
        <v>2734</v>
      </c>
    </row>
    <row r="569" spans="1:6">
      <c r="A569" t="s">
        <v>13</v>
      </c>
      <c r="B569" t="s">
        <v>58</v>
      </c>
      <c r="C569" t="s">
        <v>835</v>
      </c>
      <c r="D569" t="s">
        <v>1273</v>
      </c>
      <c r="E569" t="s">
        <v>1012</v>
      </c>
      <c r="F569">
        <v>682236</v>
      </c>
    </row>
    <row r="570" spans="1:6">
      <c r="A570" t="s">
        <v>13</v>
      </c>
      <c r="B570" t="s">
        <v>58</v>
      </c>
      <c r="C570" t="s">
        <v>835</v>
      </c>
      <c r="D570" t="s">
        <v>1273</v>
      </c>
      <c r="E570" t="s">
        <v>1035</v>
      </c>
      <c r="F570" t="s">
        <v>385</v>
      </c>
    </row>
    <row r="571" spans="1:6">
      <c r="A571" t="s">
        <v>13</v>
      </c>
      <c r="B571" t="s">
        <v>58</v>
      </c>
      <c r="C571" t="s">
        <v>835</v>
      </c>
      <c r="D571" t="s">
        <v>1273</v>
      </c>
      <c r="E571" t="s">
        <v>1099</v>
      </c>
      <c r="F571">
        <v>262</v>
      </c>
    </row>
    <row r="572" spans="1:6">
      <c r="A572" t="s">
        <v>13</v>
      </c>
      <c r="B572" t="s">
        <v>58</v>
      </c>
      <c r="C572" t="s">
        <v>835</v>
      </c>
      <c r="D572" t="s">
        <v>1273</v>
      </c>
      <c r="E572" t="s">
        <v>1100</v>
      </c>
      <c r="F572">
        <v>908380</v>
      </c>
    </row>
    <row r="573" spans="1:6">
      <c r="A573" t="s">
        <v>13</v>
      </c>
      <c r="B573" t="s">
        <v>58</v>
      </c>
      <c r="C573" t="s">
        <v>835</v>
      </c>
      <c r="D573" t="s">
        <v>1273</v>
      </c>
      <c r="E573" t="s">
        <v>1037</v>
      </c>
      <c r="F573" t="s">
        <v>1292</v>
      </c>
    </row>
    <row r="574" spans="1:6">
      <c r="A574" t="s">
        <v>13</v>
      </c>
      <c r="B574" t="s">
        <v>58</v>
      </c>
      <c r="C574" t="s">
        <v>835</v>
      </c>
      <c r="D574" t="s">
        <v>1273</v>
      </c>
      <c r="E574" t="s">
        <v>1103</v>
      </c>
      <c r="F574">
        <v>7763</v>
      </c>
    </row>
    <row r="575" spans="1:6">
      <c r="A575" t="s">
        <v>13</v>
      </c>
      <c r="B575" t="s">
        <v>58</v>
      </c>
      <c r="C575" t="s">
        <v>835</v>
      </c>
      <c r="D575" t="s">
        <v>1273</v>
      </c>
      <c r="E575" t="s">
        <v>1104</v>
      </c>
      <c r="F575">
        <v>1787812</v>
      </c>
    </row>
    <row r="576" spans="1:6">
      <c r="A576" t="s">
        <v>13</v>
      </c>
      <c r="B576" t="s">
        <v>58</v>
      </c>
      <c r="C576" t="s">
        <v>835</v>
      </c>
      <c r="D576" t="s">
        <v>1273</v>
      </c>
      <c r="E576" t="s">
        <v>1052</v>
      </c>
      <c r="F576" t="s">
        <v>1293</v>
      </c>
    </row>
    <row r="577" spans="1:6">
      <c r="A577" t="s">
        <v>13</v>
      </c>
      <c r="B577" t="s">
        <v>58</v>
      </c>
      <c r="C577" t="s">
        <v>835</v>
      </c>
      <c r="D577" t="s">
        <v>1273</v>
      </c>
      <c r="E577" t="s">
        <v>1053</v>
      </c>
      <c r="F577" t="s">
        <v>1294</v>
      </c>
    </row>
    <row r="578" spans="1:6">
      <c r="A578" t="s">
        <v>13</v>
      </c>
      <c r="B578" t="s">
        <v>58</v>
      </c>
      <c r="C578" t="s">
        <v>835</v>
      </c>
      <c r="D578" t="s">
        <v>1273</v>
      </c>
      <c r="E578" t="s">
        <v>1108</v>
      </c>
      <c r="F578">
        <v>153</v>
      </c>
    </row>
    <row r="579" spans="1:6">
      <c r="A579" t="s">
        <v>13</v>
      </c>
      <c r="B579" t="s">
        <v>58</v>
      </c>
      <c r="C579" t="s">
        <v>835</v>
      </c>
      <c r="D579" t="s">
        <v>1273</v>
      </c>
      <c r="E579" t="s">
        <v>1109</v>
      </c>
      <c r="F579">
        <v>30362</v>
      </c>
    </row>
    <row r="580" spans="1:6">
      <c r="A580" t="s">
        <v>13</v>
      </c>
      <c r="B580" t="s">
        <v>58</v>
      </c>
      <c r="C580" t="s">
        <v>835</v>
      </c>
      <c r="D580" t="s">
        <v>1273</v>
      </c>
      <c r="E580" t="s">
        <v>1113</v>
      </c>
      <c r="F580">
        <v>2018</v>
      </c>
    </row>
    <row r="581" spans="1:6">
      <c r="A581" t="s">
        <v>13</v>
      </c>
      <c r="B581" t="s">
        <v>58</v>
      </c>
      <c r="C581" t="s">
        <v>835</v>
      </c>
      <c r="D581" t="s">
        <v>1273</v>
      </c>
      <c r="E581" t="s">
        <v>1114</v>
      </c>
      <c r="F581">
        <v>161</v>
      </c>
    </row>
    <row r="582" spans="1:6">
      <c r="A582" t="s">
        <v>13</v>
      </c>
      <c r="B582" t="s">
        <v>58</v>
      </c>
      <c r="C582" t="s">
        <v>835</v>
      </c>
      <c r="D582" t="s">
        <v>1273</v>
      </c>
      <c r="E582" t="s">
        <v>1115</v>
      </c>
      <c r="F582">
        <v>19975</v>
      </c>
    </row>
    <row r="583" spans="1:6">
      <c r="A583" t="s">
        <v>13</v>
      </c>
      <c r="B583" t="s">
        <v>58</v>
      </c>
      <c r="C583" t="s">
        <v>835</v>
      </c>
      <c r="D583" t="s">
        <v>1273</v>
      </c>
      <c r="E583" t="s">
        <v>1118</v>
      </c>
      <c r="F583">
        <v>2019</v>
      </c>
    </row>
    <row r="584" spans="1:6">
      <c r="A584" t="s">
        <v>13</v>
      </c>
      <c r="B584" t="s">
        <v>58</v>
      </c>
      <c r="C584" t="s">
        <v>835</v>
      </c>
      <c r="D584" t="s">
        <v>1273</v>
      </c>
      <c r="E584" t="s">
        <v>1119</v>
      </c>
      <c r="F584">
        <v>150</v>
      </c>
    </row>
    <row r="585" spans="1:6">
      <c r="A585" t="s">
        <v>13</v>
      </c>
      <c r="B585" t="s">
        <v>58</v>
      </c>
      <c r="C585" t="s">
        <v>835</v>
      </c>
      <c r="D585" t="s">
        <v>1273</v>
      </c>
      <c r="E585" t="s">
        <v>1120</v>
      </c>
      <c r="F585">
        <v>20965</v>
      </c>
    </row>
    <row r="586" spans="1:6">
      <c r="A586" t="s">
        <v>13</v>
      </c>
      <c r="B586" t="s">
        <v>58</v>
      </c>
      <c r="C586" t="s">
        <v>835</v>
      </c>
      <c r="D586" t="s">
        <v>1273</v>
      </c>
      <c r="E586" t="s">
        <v>1124</v>
      </c>
      <c r="F586">
        <v>2020</v>
      </c>
    </row>
    <row r="587" spans="1:6">
      <c r="A587" t="s">
        <v>13</v>
      </c>
      <c r="B587" t="s">
        <v>58</v>
      </c>
      <c r="C587" t="s">
        <v>835</v>
      </c>
      <c r="D587" t="s">
        <v>1273</v>
      </c>
      <c r="E587" t="s">
        <v>1126</v>
      </c>
      <c r="F587">
        <v>146</v>
      </c>
    </row>
    <row r="588" spans="1:6">
      <c r="A588" t="s">
        <v>13</v>
      </c>
      <c r="B588" t="s">
        <v>58</v>
      </c>
      <c r="C588" t="s">
        <v>835</v>
      </c>
      <c r="D588" t="s">
        <v>1273</v>
      </c>
      <c r="E588" t="s">
        <v>1127</v>
      </c>
      <c r="F588">
        <v>18970</v>
      </c>
    </row>
    <row r="589" spans="1:6">
      <c r="A589" t="s">
        <v>13</v>
      </c>
      <c r="B589" t="s">
        <v>58</v>
      </c>
      <c r="C589" t="s">
        <v>835</v>
      </c>
      <c r="D589" t="s">
        <v>1273</v>
      </c>
      <c r="E589" t="s">
        <v>1057</v>
      </c>
      <c r="F589">
        <v>2021</v>
      </c>
    </row>
    <row r="590" spans="1:6">
      <c r="A590" t="s">
        <v>13</v>
      </c>
      <c r="B590" t="s">
        <v>58</v>
      </c>
      <c r="C590" t="s">
        <v>835</v>
      </c>
      <c r="D590" t="s">
        <v>1273</v>
      </c>
      <c r="E590" t="s">
        <v>1058</v>
      </c>
      <c r="F590">
        <v>287</v>
      </c>
    </row>
    <row r="591" spans="1:6">
      <c r="A591" t="s">
        <v>13</v>
      </c>
      <c r="B591" t="s">
        <v>58</v>
      </c>
      <c r="C591" t="s">
        <v>835</v>
      </c>
      <c r="D591" t="s">
        <v>1273</v>
      </c>
      <c r="E591" t="s">
        <v>1059</v>
      </c>
      <c r="F591">
        <v>50943</v>
      </c>
    </row>
    <row r="592" spans="1:6">
      <c r="A592" t="s">
        <v>13</v>
      </c>
      <c r="B592" t="s">
        <v>58</v>
      </c>
      <c r="C592" t="s">
        <v>835</v>
      </c>
      <c r="D592" t="s">
        <v>1273</v>
      </c>
      <c r="E592" t="s">
        <v>1072</v>
      </c>
      <c r="F592">
        <v>2022</v>
      </c>
    </row>
    <row r="593" spans="1:6">
      <c r="A593" t="s">
        <v>13</v>
      </c>
      <c r="B593" t="s">
        <v>58</v>
      </c>
      <c r="C593" t="s">
        <v>835</v>
      </c>
      <c r="D593" t="s">
        <v>1273</v>
      </c>
      <c r="E593" t="s">
        <v>1133</v>
      </c>
      <c r="F593">
        <v>476</v>
      </c>
    </row>
    <row r="594" spans="1:6">
      <c r="A594" t="s">
        <v>13</v>
      </c>
      <c r="B594" t="s">
        <v>58</v>
      </c>
      <c r="C594" t="s">
        <v>835</v>
      </c>
      <c r="D594" t="s">
        <v>1273</v>
      </c>
      <c r="E594" t="s">
        <v>1134</v>
      </c>
      <c r="F594">
        <v>110026</v>
      </c>
    </row>
    <row r="595" spans="1:6">
      <c r="A595" t="s">
        <v>13</v>
      </c>
      <c r="B595" t="s">
        <v>58</v>
      </c>
      <c r="C595" t="s">
        <v>835</v>
      </c>
      <c r="D595" t="s">
        <v>1273</v>
      </c>
      <c r="E595" t="s">
        <v>1074</v>
      </c>
      <c r="F595">
        <v>2023</v>
      </c>
    </row>
    <row r="596" spans="1:6">
      <c r="A596" t="s">
        <v>13</v>
      </c>
      <c r="B596" t="s">
        <v>58</v>
      </c>
      <c r="C596" t="s">
        <v>835</v>
      </c>
      <c r="D596" t="s">
        <v>1273</v>
      </c>
      <c r="E596" t="s">
        <v>1296</v>
      </c>
      <c r="F596">
        <v>239</v>
      </c>
    </row>
    <row r="597" spans="1:6">
      <c r="A597" t="s">
        <v>13</v>
      </c>
      <c r="B597" t="s">
        <v>58</v>
      </c>
      <c r="C597" t="s">
        <v>835</v>
      </c>
      <c r="D597" t="s">
        <v>1273</v>
      </c>
      <c r="E597" t="s">
        <v>1297</v>
      </c>
      <c r="F597">
        <v>58139</v>
      </c>
    </row>
    <row r="598" spans="1:6">
      <c r="A598" t="s">
        <v>13</v>
      </c>
      <c r="B598" t="s">
        <v>58</v>
      </c>
      <c r="C598" t="s">
        <v>835</v>
      </c>
      <c r="D598" t="s">
        <v>1273</v>
      </c>
      <c r="E598" t="s">
        <v>1076</v>
      </c>
      <c r="F598">
        <v>2024</v>
      </c>
    </row>
    <row r="599" spans="1:6">
      <c r="A599" t="s">
        <v>13</v>
      </c>
      <c r="B599" t="s">
        <v>58</v>
      </c>
      <c r="C599" t="s">
        <v>835</v>
      </c>
      <c r="D599" t="s">
        <v>1273</v>
      </c>
      <c r="E599" t="s">
        <v>1077</v>
      </c>
      <c r="F599">
        <v>211</v>
      </c>
    </row>
    <row r="600" spans="1:6">
      <c r="A600" t="s">
        <v>13</v>
      </c>
      <c r="B600" t="s">
        <v>58</v>
      </c>
      <c r="C600" t="s">
        <v>835</v>
      </c>
      <c r="D600" t="s">
        <v>1273</v>
      </c>
      <c r="E600" t="s">
        <v>1078</v>
      </c>
      <c r="F600">
        <v>50454</v>
      </c>
    </row>
    <row r="601" spans="1:6">
      <c r="A601" t="s">
        <v>13</v>
      </c>
      <c r="B601" t="s">
        <v>58</v>
      </c>
      <c r="C601" t="s">
        <v>835</v>
      </c>
      <c r="D601" t="s">
        <v>1273</v>
      </c>
      <c r="E601" t="s">
        <v>1090</v>
      </c>
      <c r="F601">
        <v>2025</v>
      </c>
    </row>
    <row r="602" spans="1:6">
      <c r="A602" t="s">
        <v>13</v>
      </c>
      <c r="B602" t="s">
        <v>58</v>
      </c>
      <c r="C602" t="s">
        <v>835</v>
      </c>
      <c r="D602" t="s">
        <v>1273</v>
      </c>
      <c r="E602" t="s">
        <v>1139</v>
      </c>
      <c r="F602">
        <v>358</v>
      </c>
    </row>
    <row r="603" spans="1:6">
      <c r="A603" t="s">
        <v>13</v>
      </c>
      <c r="B603" t="s">
        <v>58</v>
      </c>
      <c r="C603" t="s">
        <v>835</v>
      </c>
      <c r="D603" t="s">
        <v>1273</v>
      </c>
      <c r="E603" t="s">
        <v>1140</v>
      </c>
      <c r="F603">
        <v>69303</v>
      </c>
    </row>
    <row r="604" spans="1:6">
      <c r="A604" t="s">
        <v>13</v>
      </c>
      <c r="B604" t="s">
        <v>58</v>
      </c>
      <c r="C604" t="s">
        <v>835</v>
      </c>
      <c r="D604" t="s">
        <v>1273</v>
      </c>
      <c r="E604" t="s">
        <v>1298</v>
      </c>
      <c r="F604">
        <v>2026</v>
      </c>
    </row>
    <row r="605" spans="1:6">
      <c r="A605" t="s">
        <v>13</v>
      </c>
      <c r="B605" t="s">
        <v>58</v>
      </c>
      <c r="C605" t="s">
        <v>835</v>
      </c>
      <c r="D605" t="s">
        <v>1273</v>
      </c>
      <c r="E605" t="s">
        <v>1299</v>
      </c>
      <c r="F605">
        <v>5582</v>
      </c>
    </row>
    <row r="606" spans="1:6">
      <c r="A606" t="s">
        <v>13</v>
      </c>
      <c r="B606" t="s">
        <v>58</v>
      </c>
      <c r="C606" t="s">
        <v>835</v>
      </c>
      <c r="D606" t="s">
        <v>1273</v>
      </c>
      <c r="E606" t="s">
        <v>1300</v>
      </c>
      <c r="F606">
        <v>1358675</v>
      </c>
    </row>
    <row r="607" spans="1:6">
      <c r="A607" t="s">
        <v>13</v>
      </c>
      <c r="B607" t="s">
        <v>58</v>
      </c>
      <c r="C607" t="s">
        <v>835</v>
      </c>
      <c r="D607" t="s">
        <v>1273</v>
      </c>
      <c r="E607" t="s">
        <v>1301</v>
      </c>
      <c r="F607" t="s">
        <v>1292</v>
      </c>
    </row>
    <row r="608" spans="1:6">
      <c r="A608" t="s">
        <v>13</v>
      </c>
      <c r="B608" t="s">
        <v>58</v>
      </c>
      <c r="C608" t="s">
        <v>835</v>
      </c>
      <c r="D608" t="s">
        <v>1273</v>
      </c>
      <c r="E608" t="s">
        <v>1302</v>
      </c>
      <c r="F608">
        <v>7763</v>
      </c>
    </row>
    <row r="609" spans="1:6">
      <c r="A609" t="s">
        <v>13</v>
      </c>
      <c r="B609" t="s">
        <v>58</v>
      </c>
      <c r="C609" t="s">
        <v>835</v>
      </c>
      <c r="D609" t="s">
        <v>1273</v>
      </c>
      <c r="E609" t="s">
        <v>1303</v>
      </c>
      <c r="F609">
        <v>1787812</v>
      </c>
    </row>
    <row r="610" spans="1:6">
      <c r="A610" t="s">
        <v>13</v>
      </c>
      <c r="B610" t="s">
        <v>63</v>
      </c>
      <c r="C610" t="s">
        <v>835</v>
      </c>
      <c r="D610" t="s">
        <v>991</v>
      </c>
      <c r="E610" t="s">
        <v>992</v>
      </c>
      <c r="F610" t="s">
        <v>993</v>
      </c>
    </row>
    <row r="611" spans="1:6">
      <c r="A611" t="s">
        <v>13</v>
      </c>
      <c r="B611" t="s">
        <v>63</v>
      </c>
      <c r="C611" t="s">
        <v>835</v>
      </c>
      <c r="D611" t="s">
        <v>991</v>
      </c>
      <c r="E611" t="s">
        <v>1304</v>
      </c>
      <c r="F611">
        <v>2026</v>
      </c>
    </row>
    <row r="612" spans="1:6">
      <c r="A612" t="s">
        <v>13</v>
      </c>
      <c r="B612" t="s">
        <v>63</v>
      </c>
      <c r="C612" t="s">
        <v>835</v>
      </c>
      <c r="D612" t="s">
        <v>991</v>
      </c>
      <c r="E612" t="s">
        <v>1093</v>
      </c>
      <c r="F612" t="s">
        <v>1094</v>
      </c>
    </row>
    <row r="613" spans="1:6">
      <c r="A613" t="s">
        <v>13</v>
      </c>
      <c r="B613" t="s">
        <v>63</v>
      </c>
      <c r="C613" t="s">
        <v>835</v>
      </c>
      <c r="D613" t="s">
        <v>991</v>
      </c>
      <c r="E613" t="s">
        <v>994</v>
      </c>
      <c r="F613" t="s">
        <v>63</v>
      </c>
    </row>
    <row r="614" spans="1:6">
      <c r="A614" t="s">
        <v>13</v>
      </c>
      <c r="B614" t="s">
        <v>63</v>
      </c>
      <c r="C614" t="s">
        <v>835</v>
      </c>
      <c r="D614" t="s">
        <v>991</v>
      </c>
      <c r="E614" t="s">
        <v>995</v>
      </c>
      <c r="F614" t="s">
        <v>996</v>
      </c>
    </row>
    <row r="615" spans="1:6">
      <c r="A615" t="s">
        <v>13</v>
      </c>
      <c r="B615" t="s">
        <v>63</v>
      </c>
      <c r="C615" t="s">
        <v>835</v>
      </c>
      <c r="D615" t="s">
        <v>991</v>
      </c>
      <c r="E615" t="s">
        <v>997</v>
      </c>
      <c r="F615" t="s">
        <v>998</v>
      </c>
    </row>
    <row r="616" spans="1:6">
      <c r="A616" t="s">
        <v>13</v>
      </c>
      <c r="B616" t="s">
        <v>63</v>
      </c>
      <c r="C616" t="s">
        <v>835</v>
      </c>
      <c r="D616" t="s">
        <v>991</v>
      </c>
      <c r="E616" t="s">
        <v>999</v>
      </c>
      <c r="F616" t="s">
        <v>1000</v>
      </c>
    </row>
    <row r="617" spans="1:6">
      <c r="A617" t="s">
        <v>13</v>
      </c>
      <c r="B617" t="s">
        <v>63</v>
      </c>
      <c r="C617" t="s">
        <v>835</v>
      </c>
      <c r="D617" t="s">
        <v>991</v>
      </c>
      <c r="E617" t="s">
        <v>1001</v>
      </c>
      <c r="F617" t="s">
        <v>10</v>
      </c>
    </row>
    <row r="618" spans="1:6">
      <c r="A618" t="s">
        <v>13</v>
      </c>
      <c r="B618" t="s">
        <v>63</v>
      </c>
      <c r="C618" t="s">
        <v>835</v>
      </c>
      <c r="D618" t="s">
        <v>991</v>
      </c>
      <c r="E618" t="s">
        <v>1002</v>
      </c>
      <c r="F618" t="s">
        <v>1003</v>
      </c>
    </row>
    <row r="619" spans="1:6">
      <c r="A619" t="s">
        <v>13</v>
      </c>
      <c r="B619" t="s">
        <v>63</v>
      </c>
      <c r="C619" t="s">
        <v>835</v>
      </c>
      <c r="D619" t="s">
        <v>991</v>
      </c>
      <c r="E619" t="s">
        <v>1004</v>
      </c>
      <c r="F619" t="s">
        <v>1005</v>
      </c>
    </row>
    <row r="620" spans="1:6">
      <c r="A620" t="s">
        <v>13</v>
      </c>
      <c r="B620" t="s">
        <v>63</v>
      </c>
      <c r="C620" t="s">
        <v>835</v>
      </c>
      <c r="D620" t="s">
        <v>991</v>
      </c>
      <c r="E620" t="s">
        <v>1006</v>
      </c>
      <c r="F620" t="s">
        <v>1007</v>
      </c>
    </row>
    <row r="621" spans="1:6">
      <c r="A621" t="s">
        <v>13</v>
      </c>
      <c r="B621" t="s">
        <v>63</v>
      </c>
      <c r="C621" t="s">
        <v>835</v>
      </c>
      <c r="D621" t="s">
        <v>991</v>
      </c>
      <c r="E621" t="s">
        <v>1008</v>
      </c>
      <c r="F621" t="s">
        <v>1009</v>
      </c>
    </row>
    <row r="622" spans="1:6">
      <c r="A622" t="s">
        <v>13</v>
      </c>
      <c r="B622" t="s">
        <v>63</v>
      </c>
      <c r="C622" t="s">
        <v>835</v>
      </c>
      <c r="D622" t="s">
        <v>991</v>
      </c>
      <c r="E622" t="s">
        <v>1010</v>
      </c>
      <c r="F622" t="s">
        <v>1011</v>
      </c>
    </row>
    <row r="623" spans="1:6">
      <c r="A623" t="s">
        <v>13</v>
      </c>
      <c r="B623" t="s">
        <v>63</v>
      </c>
      <c r="C623" t="s">
        <v>835</v>
      </c>
      <c r="D623" t="s">
        <v>991</v>
      </c>
      <c r="E623" t="s">
        <v>1012</v>
      </c>
      <c r="F623" t="s">
        <v>1013</v>
      </c>
    </row>
    <row r="624" spans="1:6">
      <c r="A624" t="s">
        <v>13</v>
      </c>
      <c r="B624" t="s">
        <v>63</v>
      </c>
      <c r="C624" t="s">
        <v>835</v>
      </c>
      <c r="D624" t="s">
        <v>991</v>
      </c>
      <c r="E624" t="s">
        <v>1014</v>
      </c>
      <c r="F624" t="s">
        <v>1015</v>
      </c>
    </row>
    <row r="625" spans="1:6">
      <c r="A625" t="s">
        <v>13</v>
      </c>
      <c r="B625" t="s">
        <v>63</v>
      </c>
      <c r="C625" t="s">
        <v>835</v>
      </c>
      <c r="D625" t="s">
        <v>991</v>
      </c>
      <c r="E625" t="s">
        <v>1016</v>
      </c>
      <c r="F625" t="s">
        <v>1017</v>
      </c>
    </row>
    <row r="626" spans="1:6">
      <c r="A626" t="s">
        <v>13</v>
      </c>
      <c r="B626" t="s">
        <v>63</v>
      </c>
      <c r="C626" t="s">
        <v>835</v>
      </c>
      <c r="D626" t="s">
        <v>991</v>
      </c>
      <c r="E626" t="s">
        <v>1018</v>
      </c>
      <c r="F626" t="s">
        <v>1019</v>
      </c>
    </row>
    <row r="627" spans="1:6">
      <c r="A627" t="s">
        <v>13</v>
      </c>
      <c r="B627" t="s">
        <v>63</v>
      </c>
      <c r="C627" t="s">
        <v>835</v>
      </c>
      <c r="D627" t="s">
        <v>991</v>
      </c>
      <c r="E627" t="s">
        <v>1020</v>
      </c>
      <c r="F627" t="s">
        <v>1021</v>
      </c>
    </row>
    <row r="628" spans="1:6">
      <c r="A628" t="s">
        <v>13</v>
      </c>
      <c r="B628" t="s">
        <v>63</v>
      </c>
      <c r="C628" t="s">
        <v>835</v>
      </c>
      <c r="D628" t="s">
        <v>991</v>
      </c>
      <c r="E628" t="s">
        <v>1022</v>
      </c>
      <c r="F628" t="s">
        <v>1023</v>
      </c>
    </row>
    <row r="629" spans="1:6">
      <c r="A629" t="s">
        <v>13</v>
      </c>
      <c r="B629" t="s">
        <v>63</v>
      </c>
      <c r="C629" t="s">
        <v>835</v>
      </c>
      <c r="D629" t="s">
        <v>991</v>
      </c>
      <c r="E629" t="s">
        <v>1024</v>
      </c>
      <c r="F629" t="s">
        <v>1025</v>
      </c>
    </row>
    <row r="630" spans="1:6">
      <c r="A630" t="s">
        <v>13</v>
      </c>
      <c r="B630" t="s">
        <v>63</v>
      </c>
      <c r="C630" t="s">
        <v>835</v>
      </c>
      <c r="D630" t="s">
        <v>991</v>
      </c>
      <c r="E630" t="s">
        <v>1026</v>
      </c>
      <c r="F630" t="s">
        <v>1027</v>
      </c>
    </row>
    <row r="631" spans="1:6">
      <c r="A631" t="s">
        <v>13</v>
      </c>
      <c r="B631" t="s">
        <v>63</v>
      </c>
      <c r="C631" t="s">
        <v>835</v>
      </c>
      <c r="D631" t="s">
        <v>991</v>
      </c>
      <c r="E631" t="s">
        <v>1028</v>
      </c>
      <c r="F631" t="s">
        <v>1029</v>
      </c>
    </row>
    <row r="632" spans="1:6">
      <c r="A632" t="s">
        <v>13</v>
      </c>
      <c r="B632" t="s">
        <v>63</v>
      </c>
      <c r="C632" t="s">
        <v>835</v>
      </c>
      <c r="D632" t="s">
        <v>991</v>
      </c>
      <c r="E632" t="s">
        <v>1030</v>
      </c>
      <c r="F632" t="s">
        <v>1031</v>
      </c>
    </row>
    <row r="633" spans="1:6">
      <c r="A633" t="s">
        <v>13</v>
      </c>
      <c r="B633" t="s">
        <v>63</v>
      </c>
      <c r="C633" t="s">
        <v>835</v>
      </c>
      <c r="D633" t="s">
        <v>991</v>
      </c>
      <c r="E633" t="s">
        <v>1032</v>
      </c>
      <c r="F633" t="s">
        <v>1033</v>
      </c>
    </row>
    <row r="634" spans="1:6">
      <c r="A634" t="s">
        <v>13</v>
      </c>
      <c r="B634" t="s">
        <v>63</v>
      </c>
      <c r="C634" t="s">
        <v>835</v>
      </c>
      <c r="D634" t="s">
        <v>991</v>
      </c>
      <c r="E634" t="s">
        <v>1034</v>
      </c>
      <c r="F634" t="s">
        <v>50</v>
      </c>
    </row>
    <row r="635" spans="1:6">
      <c r="A635" t="s">
        <v>13</v>
      </c>
      <c r="B635" t="s">
        <v>63</v>
      </c>
      <c r="C635" t="s">
        <v>835</v>
      </c>
      <c r="D635" t="s">
        <v>991</v>
      </c>
      <c r="E635" t="s">
        <v>1035</v>
      </c>
      <c r="F635">
        <v>348845</v>
      </c>
    </row>
    <row r="636" spans="1:6">
      <c r="A636" t="s">
        <v>13</v>
      </c>
      <c r="B636" t="s">
        <v>63</v>
      </c>
      <c r="C636" t="s">
        <v>835</v>
      </c>
      <c r="D636" t="s">
        <v>991</v>
      </c>
      <c r="E636" t="s">
        <v>1036</v>
      </c>
      <c r="F636">
        <v>2025</v>
      </c>
    </row>
    <row r="637" spans="1:6">
      <c r="A637" t="s">
        <v>13</v>
      </c>
      <c r="B637" t="s">
        <v>63</v>
      </c>
      <c r="C637" t="s">
        <v>835</v>
      </c>
      <c r="D637" t="s">
        <v>991</v>
      </c>
      <c r="E637" t="s">
        <v>1037</v>
      </c>
      <c r="F637">
        <v>19576702</v>
      </c>
    </row>
    <row r="638" spans="1:6">
      <c r="A638" t="s">
        <v>13</v>
      </c>
      <c r="B638" t="s">
        <v>63</v>
      </c>
      <c r="C638" t="s">
        <v>835</v>
      </c>
      <c r="D638" t="s">
        <v>991</v>
      </c>
      <c r="E638" t="s">
        <v>1038</v>
      </c>
      <c r="F638">
        <v>2026</v>
      </c>
    </row>
    <row r="639" spans="1:6">
      <c r="A639" t="s">
        <v>13</v>
      </c>
      <c r="B639" t="s">
        <v>63</v>
      </c>
      <c r="C639" t="s">
        <v>835</v>
      </c>
      <c r="D639" t="s">
        <v>991</v>
      </c>
      <c r="E639" t="s">
        <v>1039</v>
      </c>
      <c r="F639">
        <v>10212626</v>
      </c>
    </row>
    <row r="640" spans="1:6">
      <c r="A640" t="s">
        <v>13</v>
      </c>
      <c r="B640" t="s">
        <v>63</v>
      </c>
      <c r="C640" t="s">
        <v>835</v>
      </c>
      <c r="D640" t="s">
        <v>991</v>
      </c>
      <c r="E640" t="s">
        <v>1040</v>
      </c>
      <c r="F640">
        <v>1413554</v>
      </c>
    </row>
    <row r="641" spans="1:6">
      <c r="A641" t="s">
        <v>13</v>
      </c>
      <c r="B641" t="s">
        <v>63</v>
      </c>
      <c r="C641" t="s">
        <v>835</v>
      </c>
      <c r="D641" t="s">
        <v>991</v>
      </c>
      <c r="E641" t="s">
        <v>1041</v>
      </c>
      <c r="F641">
        <v>1770440</v>
      </c>
    </row>
    <row r="642" spans="1:6">
      <c r="A642" t="s">
        <v>13</v>
      </c>
      <c r="B642" t="s">
        <v>63</v>
      </c>
      <c r="C642" t="s">
        <v>835</v>
      </c>
      <c r="D642" t="s">
        <v>991</v>
      </c>
      <c r="E642" t="s">
        <v>1042</v>
      </c>
      <c r="F642">
        <v>2064609</v>
      </c>
    </row>
    <row r="643" spans="1:6">
      <c r="A643" t="s">
        <v>13</v>
      </c>
      <c r="B643" t="s">
        <v>63</v>
      </c>
      <c r="C643" t="s">
        <v>835</v>
      </c>
      <c r="D643" t="s">
        <v>991</v>
      </c>
      <c r="E643" t="s">
        <v>1043</v>
      </c>
      <c r="F643">
        <v>1903277</v>
      </c>
    </row>
    <row r="644" spans="1:6">
      <c r="A644" t="s">
        <v>13</v>
      </c>
      <c r="B644" t="s">
        <v>63</v>
      </c>
      <c r="C644" t="s">
        <v>835</v>
      </c>
      <c r="D644" t="s">
        <v>991</v>
      </c>
      <c r="E644" t="s">
        <v>1044</v>
      </c>
      <c r="F644">
        <v>1439561</v>
      </c>
    </row>
    <row r="645" spans="1:6">
      <c r="A645" t="s">
        <v>13</v>
      </c>
      <c r="B645" t="s">
        <v>63</v>
      </c>
      <c r="C645" t="s">
        <v>835</v>
      </c>
      <c r="D645" t="s">
        <v>991</v>
      </c>
      <c r="E645" t="s">
        <v>1045</v>
      </c>
      <c r="F645">
        <v>1584910</v>
      </c>
    </row>
    <row r="646" spans="1:6">
      <c r="A646" t="s">
        <v>13</v>
      </c>
      <c r="B646" t="s">
        <v>63</v>
      </c>
      <c r="C646" t="s">
        <v>835</v>
      </c>
      <c r="D646" t="s">
        <v>991</v>
      </c>
      <c r="E646" t="s">
        <v>1046</v>
      </c>
      <c r="F646">
        <v>36274</v>
      </c>
    </row>
    <row r="647" spans="1:6">
      <c r="A647" t="s">
        <v>13</v>
      </c>
      <c r="B647" t="s">
        <v>63</v>
      </c>
      <c r="C647" t="s">
        <v>835</v>
      </c>
      <c r="D647" t="s">
        <v>991</v>
      </c>
      <c r="E647" t="s">
        <v>1047</v>
      </c>
      <c r="F647">
        <v>0</v>
      </c>
    </row>
    <row r="648" spans="1:6">
      <c r="A648" t="s">
        <v>13</v>
      </c>
      <c r="B648" t="s">
        <v>63</v>
      </c>
      <c r="C648" t="s">
        <v>835</v>
      </c>
      <c r="D648" t="s">
        <v>991</v>
      </c>
      <c r="E648" t="s">
        <v>1048</v>
      </c>
      <c r="F648">
        <v>0</v>
      </c>
    </row>
    <row r="649" spans="1:6">
      <c r="A649" t="s">
        <v>13</v>
      </c>
      <c r="B649" t="s">
        <v>63</v>
      </c>
      <c r="C649" t="s">
        <v>835</v>
      </c>
      <c r="D649" t="s">
        <v>991</v>
      </c>
      <c r="E649" t="s">
        <v>1049</v>
      </c>
      <c r="F649">
        <v>0</v>
      </c>
    </row>
    <row r="650" spans="1:6">
      <c r="A650" t="s">
        <v>13</v>
      </c>
      <c r="B650" t="s">
        <v>63</v>
      </c>
      <c r="C650" t="s">
        <v>835</v>
      </c>
      <c r="D650" t="s">
        <v>991</v>
      </c>
      <c r="E650" t="s">
        <v>1050</v>
      </c>
      <c r="F650">
        <v>0</v>
      </c>
    </row>
    <row r="651" spans="1:6">
      <c r="A651" t="s">
        <v>13</v>
      </c>
      <c r="B651" t="s">
        <v>63</v>
      </c>
      <c r="C651" t="s">
        <v>835</v>
      </c>
      <c r="D651" t="s">
        <v>991</v>
      </c>
      <c r="E651" t="s">
        <v>1051</v>
      </c>
      <c r="F651">
        <v>0</v>
      </c>
    </row>
    <row r="652" spans="1:6">
      <c r="A652" t="s">
        <v>13</v>
      </c>
      <c r="B652" t="s">
        <v>63</v>
      </c>
      <c r="C652" t="s">
        <v>835</v>
      </c>
      <c r="D652" t="s">
        <v>991</v>
      </c>
      <c r="E652" t="s">
        <v>1052</v>
      </c>
      <c r="F652" t="s">
        <v>1009</v>
      </c>
    </row>
    <row r="653" spans="1:6">
      <c r="A653" t="s">
        <v>13</v>
      </c>
      <c r="B653" t="s">
        <v>63</v>
      </c>
      <c r="C653" t="s">
        <v>835</v>
      </c>
      <c r="D653" t="s">
        <v>991</v>
      </c>
      <c r="E653" t="s">
        <v>1053</v>
      </c>
      <c r="F653">
        <v>30138173</v>
      </c>
    </row>
    <row r="654" spans="1:6">
      <c r="A654" t="s">
        <v>13</v>
      </c>
      <c r="B654" t="s">
        <v>63</v>
      </c>
      <c r="C654" t="s">
        <v>835</v>
      </c>
      <c r="D654" t="s">
        <v>991</v>
      </c>
      <c r="E654" t="s">
        <v>1054</v>
      </c>
      <c r="F654" t="s">
        <v>1055</v>
      </c>
    </row>
    <row r="655" spans="1:6">
      <c r="A655" t="s">
        <v>13</v>
      </c>
      <c r="B655" t="s">
        <v>63</v>
      </c>
      <c r="C655" t="s">
        <v>835</v>
      </c>
      <c r="D655" t="s">
        <v>991</v>
      </c>
      <c r="E655" t="s">
        <v>1056</v>
      </c>
      <c r="F655" t="s">
        <v>1007</v>
      </c>
    </row>
    <row r="656" spans="1:6">
      <c r="A656" t="s">
        <v>13</v>
      </c>
      <c r="B656" t="s">
        <v>63</v>
      </c>
      <c r="C656" t="s">
        <v>835</v>
      </c>
      <c r="D656" t="s">
        <v>991</v>
      </c>
      <c r="E656" t="s">
        <v>1057</v>
      </c>
      <c r="F656" t="s">
        <v>1009</v>
      </c>
    </row>
    <row r="657" spans="1:6">
      <c r="A657" t="s">
        <v>13</v>
      </c>
      <c r="B657" t="s">
        <v>63</v>
      </c>
      <c r="C657" t="s">
        <v>835</v>
      </c>
      <c r="D657" t="s">
        <v>991</v>
      </c>
      <c r="E657" t="s">
        <v>1058</v>
      </c>
      <c r="F657" t="s">
        <v>1011</v>
      </c>
    </row>
    <row r="658" spans="1:6">
      <c r="A658" t="s">
        <v>13</v>
      </c>
      <c r="B658" t="s">
        <v>63</v>
      </c>
      <c r="C658" t="s">
        <v>835</v>
      </c>
      <c r="D658" t="s">
        <v>991</v>
      </c>
      <c r="E658" t="s">
        <v>1059</v>
      </c>
      <c r="F658" t="s">
        <v>1013</v>
      </c>
    </row>
    <row r="659" spans="1:6">
      <c r="A659" t="s">
        <v>13</v>
      </c>
      <c r="B659" t="s">
        <v>63</v>
      </c>
      <c r="C659" t="s">
        <v>835</v>
      </c>
      <c r="D659" t="s">
        <v>991</v>
      </c>
      <c r="E659" t="s">
        <v>1060</v>
      </c>
      <c r="F659" t="s">
        <v>1015</v>
      </c>
    </row>
    <row r="660" spans="1:6">
      <c r="A660" t="s">
        <v>13</v>
      </c>
      <c r="B660" t="s">
        <v>63</v>
      </c>
      <c r="C660" t="s">
        <v>835</v>
      </c>
      <c r="D660" t="s">
        <v>991</v>
      </c>
      <c r="E660" t="s">
        <v>1061</v>
      </c>
      <c r="F660" t="s">
        <v>1017</v>
      </c>
    </row>
    <row r="661" spans="1:6">
      <c r="A661" t="s">
        <v>13</v>
      </c>
      <c r="B661" t="s">
        <v>63</v>
      </c>
      <c r="C661" t="s">
        <v>835</v>
      </c>
      <c r="D661" t="s">
        <v>991</v>
      </c>
      <c r="E661" t="s">
        <v>1062</v>
      </c>
      <c r="F661" t="s">
        <v>1019</v>
      </c>
    </row>
    <row r="662" spans="1:6">
      <c r="A662" t="s">
        <v>13</v>
      </c>
      <c r="B662" t="s">
        <v>63</v>
      </c>
      <c r="C662" t="s">
        <v>835</v>
      </c>
      <c r="D662" t="s">
        <v>991</v>
      </c>
      <c r="E662" t="s">
        <v>1063</v>
      </c>
      <c r="F662" t="s">
        <v>1021</v>
      </c>
    </row>
    <row r="663" spans="1:6">
      <c r="A663" t="s">
        <v>13</v>
      </c>
      <c r="B663" t="s">
        <v>63</v>
      </c>
      <c r="C663" t="s">
        <v>835</v>
      </c>
      <c r="D663" t="s">
        <v>991</v>
      </c>
      <c r="E663" t="s">
        <v>1064</v>
      </c>
      <c r="F663" t="s">
        <v>1023</v>
      </c>
    </row>
    <row r="664" spans="1:6">
      <c r="A664" t="s">
        <v>13</v>
      </c>
      <c r="B664" t="s">
        <v>63</v>
      </c>
      <c r="C664" t="s">
        <v>835</v>
      </c>
      <c r="D664" t="s">
        <v>991</v>
      </c>
      <c r="E664" t="s">
        <v>1065</v>
      </c>
      <c r="F664" t="s">
        <v>1066</v>
      </c>
    </row>
    <row r="665" spans="1:6">
      <c r="A665" t="s">
        <v>13</v>
      </c>
      <c r="B665" t="s">
        <v>63</v>
      </c>
      <c r="C665" t="s">
        <v>835</v>
      </c>
      <c r="D665" t="s">
        <v>991</v>
      </c>
      <c r="E665" t="s">
        <v>1067</v>
      </c>
      <c r="F665" t="s">
        <v>1027</v>
      </c>
    </row>
    <row r="666" spans="1:6">
      <c r="A666" t="s">
        <v>13</v>
      </c>
      <c r="B666" t="s">
        <v>63</v>
      </c>
      <c r="C666" t="s">
        <v>835</v>
      </c>
      <c r="D666" t="s">
        <v>991</v>
      </c>
      <c r="E666" t="s">
        <v>1068</v>
      </c>
      <c r="F666" t="s">
        <v>1029</v>
      </c>
    </row>
    <row r="667" spans="1:6">
      <c r="A667" t="s">
        <v>13</v>
      </c>
      <c r="B667" t="s">
        <v>63</v>
      </c>
      <c r="C667" t="s">
        <v>835</v>
      </c>
      <c r="D667" t="s">
        <v>991</v>
      </c>
      <c r="E667" t="s">
        <v>1069</v>
      </c>
      <c r="F667" t="s">
        <v>1031</v>
      </c>
    </row>
    <row r="668" spans="1:6">
      <c r="A668" t="s">
        <v>13</v>
      </c>
      <c r="B668" t="s">
        <v>63</v>
      </c>
      <c r="C668" t="s">
        <v>835</v>
      </c>
      <c r="D668" t="s">
        <v>991</v>
      </c>
      <c r="E668" t="s">
        <v>1070</v>
      </c>
      <c r="F668" t="s">
        <v>1033</v>
      </c>
    </row>
    <row r="669" spans="1:6">
      <c r="A669" t="s">
        <v>13</v>
      </c>
      <c r="B669" t="s">
        <v>63</v>
      </c>
      <c r="C669" t="s">
        <v>835</v>
      </c>
      <c r="D669" t="s">
        <v>991</v>
      </c>
      <c r="E669" t="s">
        <v>1071</v>
      </c>
      <c r="F669" t="s">
        <v>50</v>
      </c>
    </row>
    <row r="670" spans="1:6">
      <c r="A670" t="s">
        <v>13</v>
      </c>
      <c r="B670" t="s">
        <v>63</v>
      </c>
      <c r="C670" t="s">
        <v>835</v>
      </c>
      <c r="D670" t="s">
        <v>991</v>
      </c>
      <c r="E670" t="s">
        <v>1072</v>
      </c>
      <c r="F670">
        <v>1004</v>
      </c>
    </row>
    <row r="671" spans="1:6">
      <c r="A671" t="s">
        <v>13</v>
      </c>
      <c r="B671" t="s">
        <v>63</v>
      </c>
      <c r="C671" t="s">
        <v>835</v>
      </c>
      <c r="D671" t="s">
        <v>991</v>
      </c>
      <c r="E671" t="s">
        <v>1073</v>
      </c>
      <c r="F671">
        <v>2025</v>
      </c>
    </row>
    <row r="672" spans="1:6">
      <c r="A672" t="s">
        <v>13</v>
      </c>
      <c r="B672" t="s">
        <v>63</v>
      </c>
      <c r="C672" t="s">
        <v>835</v>
      </c>
      <c r="D672" t="s">
        <v>991</v>
      </c>
      <c r="E672" t="s">
        <v>1074</v>
      </c>
      <c r="F672">
        <v>101489</v>
      </c>
    </row>
    <row r="673" spans="1:6">
      <c r="A673" t="s">
        <v>13</v>
      </c>
      <c r="B673" t="s">
        <v>63</v>
      </c>
      <c r="C673" t="s">
        <v>835</v>
      </c>
      <c r="D673" t="s">
        <v>991</v>
      </c>
      <c r="E673" t="s">
        <v>1075</v>
      </c>
      <c r="F673">
        <v>2026</v>
      </c>
    </row>
    <row r="674" spans="1:6">
      <c r="A674" t="s">
        <v>13</v>
      </c>
      <c r="B674" t="s">
        <v>63</v>
      </c>
      <c r="C674" t="s">
        <v>835</v>
      </c>
      <c r="D674" t="s">
        <v>991</v>
      </c>
      <c r="E674" t="s">
        <v>1076</v>
      </c>
      <c r="F674">
        <v>44690</v>
      </c>
    </row>
    <row r="675" spans="1:6">
      <c r="A675" t="s">
        <v>13</v>
      </c>
      <c r="B675" t="s">
        <v>63</v>
      </c>
      <c r="C675" t="s">
        <v>835</v>
      </c>
      <c r="D675" t="s">
        <v>991</v>
      </c>
      <c r="E675" t="s">
        <v>1077</v>
      </c>
      <c r="F675">
        <v>7446</v>
      </c>
    </row>
    <row r="676" spans="1:6">
      <c r="A676" t="s">
        <v>13</v>
      </c>
      <c r="B676" t="s">
        <v>63</v>
      </c>
      <c r="C676" t="s">
        <v>835</v>
      </c>
      <c r="D676" t="s">
        <v>991</v>
      </c>
      <c r="E676" t="s">
        <v>1078</v>
      </c>
      <c r="F676">
        <v>7932</v>
      </c>
    </row>
    <row r="677" spans="1:6">
      <c r="A677" t="s">
        <v>13</v>
      </c>
      <c r="B677" t="s">
        <v>63</v>
      </c>
      <c r="C677" t="s">
        <v>835</v>
      </c>
      <c r="D677" t="s">
        <v>991</v>
      </c>
      <c r="E677" t="s">
        <v>1079</v>
      </c>
      <c r="F677">
        <v>8190</v>
      </c>
    </row>
    <row r="678" spans="1:6">
      <c r="A678" t="s">
        <v>13</v>
      </c>
      <c r="B678" t="s">
        <v>63</v>
      </c>
      <c r="C678" t="s">
        <v>835</v>
      </c>
      <c r="D678" t="s">
        <v>991</v>
      </c>
      <c r="E678" t="s">
        <v>1080</v>
      </c>
      <c r="F678">
        <v>7983</v>
      </c>
    </row>
    <row r="679" spans="1:6">
      <c r="A679" t="s">
        <v>13</v>
      </c>
      <c r="B679" t="s">
        <v>63</v>
      </c>
      <c r="C679" t="s">
        <v>835</v>
      </c>
      <c r="D679" t="s">
        <v>991</v>
      </c>
      <c r="E679" t="s">
        <v>1081</v>
      </c>
      <c r="F679">
        <v>7063</v>
      </c>
    </row>
    <row r="680" spans="1:6">
      <c r="A680" t="s">
        <v>13</v>
      </c>
      <c r="B680" t="s">
        <v>63</v>
      </c>
      <c r="C680" t="s">
        <v>835</v>
      </c>
      <c r="D680" t="s">
        <v>991</v>
      </c>
      <c r="E680" t="s">
        <v>1082</v>
      </c>
      <c r="F680">
        <v>5952</v>
      </c>
    </row>
    <row r="681" spans="1:6">
      <c r="A681" t="s">
        <v>13</v>
      </c>
      <c r="B681" t="s">
        <v>63</v>
      </c>
      <c r="C681" t="s">
        <v>835</v>
      </c>
      <c r="D681" t="s">
        <v>991</v>
      </c>
      <c r="E681" t="s">
        <v>1083</v>
      </c>
      <c r="F681">
        <v>124</v>
      </c>
    </row>
    <row r="682" spans="1:6">
      <c r="A682" t="s">
        <v>13</v>
      </c>
      <c r="B682" t="s">
        <v>63</v>
      </c>
      <c r="C682" t="s">
        <v>835</v>
      </c>
      <c r="D682" t="s">
        <v>991</v>
      </c>
      <c r="E682" t="s">
        <v>1084</v>
      </c>
      <c r="F682">
        <v>0</v>
      </c>
    </row>
    <row r="683" spans="1:6">
      <c r="A683" t="s">
        <v>13</v>
      </c>
      <c r="B683" t="s">
        <v>63</v>
      </c>
      <c r="C683" t="s">
        <v>835</v>
      </c>
      <c r="D683" t="s">
        <v>991</v>
      </c>
      <c r="E683" t="s">
        <v>1085</v>
      </c>
      <c r="F683">
        <v>0</v>
      </c>
    </row>
    <row r="684" spans="1:6">
      <c r="A684" t="s">
        <v>13</v>
      </c>
      <c r="B684" t="s">
        <v>63</v>
      </c>
      <c r="C684" t="s">
        <v>835</v>
      </c>
      <c r="D684" t="s">
        <v>991</v>
      </c>
      <c r="E684" t="s">
        <v>1086</v>
      </c>
      <c r="F684">
        <v>0</v>
      </c>
    </row>
    <row r="685" spans="1:6">
      <c r="A685" t="s">
        <v>13</v>
      </c>
      <c r="B685" t="s">
        <v>63</v>
      </c>
      <c r="C685" t="s">
        <v>835</v>
      </c>
      <c r="D685" t="s">
        <v>991</v>
      </c>
      <c r="E685" t="s">
        <v>1087</v>
      </c>
      <c r="F685">
        <v>0</v>
      </c>
    </row>
    <row r="686" spans="1:6">
      <c r="A686" t="s">
        <v>13</v>
      </c>
      <c r="B686" t="s">
        <v>63</v>
      </c>
      <c r="C686" t="s">
        <v>835</v>
      </c>
      <c r="D686" t="s">
        <v>991</v>
      </c>
      <c r="E686" t="s">
        <v>1088</v>
      </c>
      <c r="F686">
        <v>0</v>
      </c>
    </row>
    <row r="687" spans="1:6">
      <c r="A687" t="s">
        <v>13</v>
      </c>
      <c r="B687" t="s">
        <v>63</v>
      </c>
      <c r="C687" t="s">
        <v>835</v>
      </c>
      <c r="D687" t="s">
        <v>991</v>
      </c>
      <c r="E687" t="s">
        <v>1089</v>
      </c>
      <c r="F687" t="s">
        <v>1009</v>
      </c>
    </row>
    <row r="688" spans="1:6">
      <c r="A688" t="s">
        <v>13</v>
      </c>
      <c r="B688" t="s">
        <v>63</v>
      </c>
      <c r="C688" t="s">
        <v>835</v>
      </c>
      <c r="D688" t="s">
        <v>991</v>
      </c>
      <c r="E688" t="s">
        <v>1090</v>
      </c>
      <c r="F688">
        <v>147183</v>
      </c>
    </row>
    <row r="689" spans="1:6">
      <c r="A689" t="s">
        <v>13</v>
      </c>
      <c r="B689" t="s">
        <v>63</v>
      </c>
      <c r="C689" t="s">
        <v>835</v>
      </c>
      <c r="D689" t="s">
        <v>1091</v>
      </c>
      <c r="E689" t="s">
        <v>992</v>
      </c>
      <c r="F689" t="s">
        <v>1092</v>
      </c>
    </row>
    <row r="690" spans="1:6">
      <c r="A690" t="s">
        <v>13</v>
      </c>
      <c r="B690" t="s">
        <v>63</v>
      </c>
      <c r="C690" t="s">
        <v>835</v>
      </c>
      <c r="D690" t="s">
        <v>1091</v>
      </c>
      <c r="E690" t="s">
        <v>1093</v>
      </c>
      <c r="F690" t="s">
        <v>1094</v>
      </c>
    </row>
    <row r="691" spans="1:6">
      <c r="A691" t="s">
        <v>13</v>
      </c>
      <c r="B691" t="s">
        <v>63</v>
      </c>
      <c r="C691" t="s">
        <v>835</v>
      </c>
      <c r="D691" t="s">
        <v>1091</v>
      </c>
      <c r="E691" t="s">
        <v>994</v>
      </c>
      <c r="F691" t="s">
        <v>63</v>
      </c>
    </row>
    <row r="692" spans="1:6">
      <c r="A692" t="s">
        <v>13</v>
      </c>
      <c r="B692" t="s">
        <v>63</v>
      </c>
      <c r="C692" t="s">
        <v>835</v>
      </c>
      <c r="D692" t="s">
        <v>1091</v>
      </c>
      <c r="E692" t="s">
        <v>995</v>
      </c>
      <c r="F692" t="s">
        <v>996</v>
      </c>
    </row>
    <row r="693" spans="1:6">
      <c r="A693" t="s">
        <v>13</v>
      </c>
      <c r="B693" t="s">
        <v>63</v>
      </c>
      <c r="C693" t="s">
        <v>835</v>
      </c>
      <c r="D693" t="s">
        <v>1091</v>
      </c>
      <c r="E693" t="s">
        <v>997</v>
      </c>
      <c r="F693" t="s">
        <v>998</v>
      </c>
    </row>
    <row r="694" spans="1:6">
      <c r="A694" t="s">
        <v>13</v>
      </c>
      <c r="B694" t="s">
        <v>63</v>
      </c>
      <c r="C694" t="s">
        <v>835</v>
      </c>
      <c r="D694" t="s">
        <v>1091</v>
      </c>
      <c r="E694" t="s">
        <v>999</v>
      </c>
      <c r="F694" t="s">
        <v>1000</v>
      </c>
    </row>
    <row r="695" spans="1:6">
      <c r="A695" t="s">
        <v>13</v>
      </c>
      <c r="B695" t="s">
        <v>63</v>
      </c>
      <c r="C695" t="s">
        <v>835</v>
      </c>
      <c r="D695" t="s">
        <v>1091</v>
      </c>
      <c r="E695" t="s">
        <v>1001</v>
      </c>
      <c r="F695" t="s">
        <v>10</v>
      </c>
    </row>
    <row r="696" spans="1:6">
      <c r="A696" t="s">
        <v>13</v>
      </c>
      <c r="B696" t="s">
        <v>63</v>
      </c>
      <c r="C696" t="s">
        <v>835</v>
      </c>
      <c r="D696" t="s">
        <v>1091</v>
      </c>
      <c r="E696" t="s">
        <v>1002</v>
      </c>
      <c r="F696" t="s">
        <v>1095</v>
      </c>
    </row>
    <row r="697" spans="1:6">
      <c r="A697" t="s">
        <v>13</v>
      </c>
      <c r="B697" t="s">
        <v>63</v>
      </c>
      <c r="C697" t="s">
        <v>835</v>
      </c>
      <c r="D697" t="s">
        <v>1091</v>
      </c>
      <c r="E697" t="s">
        <v>1096</v>
      </c>
      <c r="F697" t="s">
        <v>1005</v>
      </c>
    </row>
    <row r="698" spans="1:6">
      <c r="A698" t="s">
        <v>13</v>
      </c>
      <c r="B698" t="s">
        <v>63</v>
      </c>
      <c r="C698" t="s">
        <v>835</v>
      </c>
      <c r="D698" t="s">
        <v>1091</v>
      </c>
      <c r="E698" t="s">
        <v>1006</v>
      </c>
      <c r="F698" t="s">
        <v>1097</v>
      </c>
    </row>
    <row r="699" spans="1:6">
      <c r="A699" t="s">
        <v>13</v>
      </c>
      <c r="B699" t="s">
        <v>63</v>
      </c>
      <c r="C699" t="s">
        <v>835</v>
      </c>
      <c r="D699" t="s">
        <v>1091</v>
      </c>
      <c r="E699" t="s">
        <v>1008</v>
      </c>
      <c r="F699" t="s">
        <v>1098</v>
      </c>
    </row>
    <row r="700" spans="1:6">
      <c r="A700" t="s">
        <v>13</v>
      </c>
      <c r="B700" t="s">
        <v>63</v>
      </c>
      <c r="C700" t="s">
        <v>835</v>
      </c>
      <c r="D700" t="s">
        <v>1091</v>
      </c>
      <c r="E700" t="s">
        <v>1035</v>
      </c>
      <c r="F700" t="s">
        <v>1009</v>
      </c>
    </row>
    <row r="701" spans="1:6">
      <c r="A701" t="s">
        <v>13</v>
      </c>
      <c r="B701" t="s">
        <v>63</v>
      </c>
      <c r="C701" t="s">
        <v>835</v>
      </c>
      <c r="D701" t="s">
        <v>1091</v>
      </c>
      <c r="E701" t="s">
        <v>1099</v>
      </c>
      <c r="F701" t="s">
        <v>50</v>
      </c>
    </row>
    <row r="702" spans="1:6">
      <c r="A702" t="s">
        <v>13</v>
      </c>
      <c r="B702" t="s">
        <v>63</v>
      </c>
      <c r="C702" t="s">
        <v>835</v>
      </c>
      <c r="D702" t="s">
        <v>1091</v>
      </c>
      <c r="E702" t="s">
        <v>1100</v>
      </c>
      <c r="F702">
        <v>2025</v>
      </c>
    </row>
    <row r="703" spans="1:6">
      <c r="A703" t="s">
        <v>13</v>
      </c>
      <c r="B703" t="s">
        <v>63</v>
      </c>
      <c r="C703" t="s">
        <v>835</v>
      </c>
      <c r="D703" t="s">
        <v>1091</v>
      </c>
      <c r="E703" t="s">
        <v>1101</v>
      </c>
      <c r="F703">
        <v>2026</v>
      </c>
    </row>
    <row r="704" spans="1:6">
      <c r="A704" t="s">
        <v>13</v>
      </c>
      <c r="B704" t="s">
        <v>63</v>
      </c>
      <c r="C704" t="s">
        <v>835</v>
      </c>
      <c r="D704" t="s">
        <v>1091</v>
      </c>
      <c r="E704" t="s">
        <v>1036</v>
      </c>
      <c r="F704" t="s">
        <v>1102</v>
      </c>
    </row>
    <row r="705" spans="1:6">
      <c r="A705" t="s">
        <v>13</v>
      </c>
      <c r="B705" t="s">
        <v>63</v>
      </c>
      <c r="C705" t="s">
        <v>835</v>
      </c>
      <c r="D705" t="s">
        <v>1091</v>
      </c>
      <c r="E705" t="s">
        <v>1037</v>
      </c>
      <c r="F705">
        <v>30138173</v>
      </c>
    </row>
    <row r="706" spans="1:6">
      <c r="A706" t="s">
        <v>13</v>
      </c>
      <c r="B706" t="s">
        <v>63</v>
      </c>
      <c r="C706" t="s">
        <v>835</v>
      </c>
      <c r="D706" t="s">
        <v>1091</v>
      </c>
      <c r="E706" t="s">
        <v>1103</v>
      </c>
      <c r="F706">
        <v>348845</v>
      </c>
    </row>
    <row r="707" spans="1:6">
      <c r="A707" t="s">
        <v>13</v>
      </c>
      <c r="B707" t="s">
        <v>63</v>
      </c>
      <c r="C707" t="s">
        <v>835</v>
      </c>
      <c r="D707" t="s">
        <v>1091</v>
      </c>
      <c r="E707" t="s">
        <v>1104</v>
      </c>
      <c r="F707">
        <v>19576702</v>
      </c>
    </row>
    <row r="708" spans="1:6">
      <c r="A708" t="s">
        <v>13</v>
      </c>
      <c r="B708" t="s">
        <v>63</v>
      </c>
      <c r="C708" t="s">
        <v>835</v>
      </c>
      <c r="D708" t="s">
        <v>1091</v>
      </c>
      <c r="E708" t="s">
        <v>1105</v>
      </c>
      <c r="F708">
        <v>10212626</v>
      </c>
    </row>
    <row r="709" spans="1:6">
      <c r="A709" t="s">
        <v>13</v>
      </c>
      <c r="B709" t="s">
        <v>63</v>
      </c>
      <c r="C709" t="s">
        <v>835</v>
      </c>
      <c r="D709" t="s">
        <v>1091</v>
      </c>
      <c r="E709" t="s">
        <v>1038</v>
      </c>
      <c r="F709" t="s">
        <v>1106</v>
      </c>
    </row>
    <row r="710" spans="1:6">
      <c r="A710" t="s">
        <v>13</v>
      </c>
      <c r="B710" t="s">
        <v>63</v>
      </c>
      <c r="C710" t="s">
        <v>835</v>
      </c>
      <c r="D710" t="s">
        <v>1091</v>
      </c>
      <c r="E710" t="s">
        <v>1039</v>
      </c>
      <c r="F710">
        <v>26932418</v>
      </c>
    </row>
    <row r="711" spans="1:6">
      <c r="A711" t="s">
        <v>13</v>
      </c>
      <c r="B711" t="s">
        <v>63</v>
      </c>
      <c r="C711" t="s">
        <v>835</v>
      </c>
      <c r="D711" t="s">
        <v>1091</v>
      </c>
      <c r="E711" t="s">
        <v>1040</v>
      </c>
      <c r="F711">
        <v>348845</v>
      </c>
    </row>
    <row r="712" spans="1:6">
      <c r="A712" t="s">
        <v>13</v>
      </c>
      <c r="B712" t="s">
        <v>63</v>
      </c>
      <c r="C712" t="s">
        <v>835</v>
      </c>
      <c r="D712" t="s">
        <v>1091</v>
      </c>
      <c r="E712" t="s">
        <v>1041</v>
      </c>
      <c r="F712">
        <v>19339726</v>
      </c>
    </row>
    <row r="713" spans="1:6">
      <c r="A713" t="s">
        <v>13</v>
      </c>
      <c r="B713" t="s">
        <v>63</v>
      </c>
      <c r="C713" t="s">
        <v>835</v>
      </c>
      <c r="D713" t="s">
        <v>1091</v>
      </c>
      <c r="E713" t="s">
        <v>1042</v>
      </c>
      <c r="F713">
        <v>7243846</v>
      </c>
    </row>
    <row r="714" spans="1:6">
      <c r="A714" t="s">
        <v>13</v>
      </c>
      <c r="B714" t="s">
        <v>63</v>
      </c>
      <c r="C714" t="s">
        <v>835</v>
      </c>
      <c r="D714" t="s">
        <v>1091</v>
      </c>
      <c r="E714" t="s">
        <v>1052</v>
      </c>
      <c r="F714" t="s">
        <v>1107</v>
      </c>
    </row>
    <row r="715" spans="1:6">
      <c r="A715" t="s">
        <v>13</v>
      </c>
      <c r="B715" t="s">
        <v>63</v>
      </c>
      <c r="C715" t="s">
        <v>835</v>
      </c>
      <c r="D715" t="s">
        <v>1091</v>
      </c>
      <c r="E715" t="s">
        <v>1053</v>
      </c>
      <c r="F715">
        <v>26820586</v>
      </c>
    </row>
    <row r="716" spans="1:6">
      <c r="A716" t="s">
        <v>13</v>
      </c>
      <c r="B716" t="s">
        <v>63</v>
      </c>
      <c r="C716" t="s">
        <v>835</v>
      </c>
      <c r="D716" t="s">
        <v>1091</v>
      </c>
      <c r="E716" t="s">
        <v>1108</v>
      </c>
      <c r="F716">
        <v>267499</v>
      </c>
    </row>
    <row r="717" spans="1:6">
      <c r="A717" t="s">
        <v>13</v>
      </c>
      <c r="B717" t="s">
        <v>63</v>
      </c>
      <c r="C717" t="s">
        <v>835</v>
      </c>
      <c r="D717" t="s">
        <v>1091</v>
      </c>
      <c r="E717" t="s">
        <v>1109</v>
      </c>
      <c r="F717">
        <v>19309241</v>
      </c>
    </row>
    <row r="718" spans="1:6">
      <c r="A718" t="s">
        <v>13</v>
      </c>
      <c r="B718" t="s">
        <v>63</v>
      </c>
      <c r="C718" t="s">
        <v>835</v>
      </c>
      <c r="D718" t="s">
        <v>1091</v>
      </c>
      <c r="E718" t="s">
        <v>1110</v>
      </c>
      <c r="F718">
        <v>7243846</v>
      </c>
    </row>
    <row r="719" spans="1:6">
      <c r="A719" t="s">
        <v>13</v>
      </c>
      <c r="B719" t="s">
        <v>63</v>
      </c>
      <c r="C719" t="s">
        <v>835</v>
      </c>
      <c r="D719" t="s">
        <v>1091</v>
      </c>
      <c r="E719" t="s">
        <v>1111</v>
      </c>
      <c r="F719" t="s">
        <v>1307</v>
      </c>
    </row>
    <row r="720" spans="1:6">
      <c r="A720" t="s">
        <v>13</v>
      </c>
      <c r="B720" t="s">
        <v>63</v>
      </c>
      <c r="C720" t="s">
        <v>835</v>
      </c>
      <c r="D720" t="s">
        <v>1091</v>
      </c>
      <c r="E720" t="s">
        <v>1113</v>
      </c>
      <c r="F720">
        <v>111832</v>
      </c>
    </row>
    <row r="721" spans="1:6">
      <c r="A721" t="s">
        <v>13</v>
      </c>
      <c r="B721" t="s">
        <v>63</v>
      </c>
      <c r="C721" t="s">
        <v>835</v>
      </c>
      <c r="D721" t="s">
        <v>1091</v>
      </c>
      <c r="E721" t="s">
        <v>1114</v>
      </c>
      <c r="F721">
        <v>81347</v>
      </c>
    </row>
    <row r="722" spans="1:6">
      <c r="A722" t="s">
        <v>13</v>
      </c>
      <c r="B722" t="s">
        <v>63</v>
      </c>
      <c r="C722" t="s">
        <v>835</v>
      </c>
      <c r="D722" t="s">
        <v>1091</v>
      </c>
      <c r="E722" t="s">
        <v>1115</v>
      </c>
      <c r="F722">
        <v>30485</v>
      </c>
    </row>
    <row r="723" spans="1:6">
      <c r="A723" t="s">
        <v>13</v>
      </c>
      <c r="B723" t="s">
        <v>63</v>
      </c>
      <c r="C723" t="s">
        <v>835</v>
      </c>
      <c r="D723" t="s">
        <v>1091</v>
      </c>
      <c r="E723" t="s">
        <v>1116</v>
      </c>
      <c r="F723">
        <v>0</v>
      </c>
    </row>
    <row r="724" spans="1:6">
      <c r="A724" t="s">
        <v>13</v>
      </c>
      <c r="B724" t="s">
        <v>63</v>
      </c>
      <c r="C724" t="s">
        <v>835</v>
      </c>
      <c r="D724" t="s">
        <v>1091</v>
      </c>
      <c r="E724" t="s">
        <v>1054</v>
      </c>
      <c r="F724" t="s">
        <v>1308</v>
      </c>
    </row>
    <row r="725" spans="1:6">
      <c r="A725" t="s">
        <v>13</v>
      </c>
      <c r="B725" t="s">
        <v>63</v>
      </c>
      <c r="C725" t="s">
        <v>835</v>
      </c>
      <c r="D725" t="s">
        <v>1091</v>
      </c>
      <c r="E725" t="s">
        <v>1118</v>
      </c>
      <c r="F725">
        <v>0</v>
      </c>
    </row>
    <row r="726" spans="1:6">
      <c r="A726" t="s">
        <v>13</v>
      </c>
      <c r="B726" t="s">
        <v>63</v>
      </c>
      <c r="C726" t="s">
        <v>835</v>
      </c>
      <c r="D726" t="s">
        <v>1091</v>
      </c>
      <c r="E726" t="s">
        <v>1119</v>
      </c>
      <c r="F726">
        <v>0</v>
      </c>
    </row>
    <row r="727" spans="1:6">
      <c r="A727" t="s">
        <v>13</v>
      </c>
      <c r="B727" t="s">
        <v>63</v>
      </c>
      <c r="C727" t="s">
        <v>835</v>
      </c>
      <c r="D727" t="s">
        <v>1091</v>
      </c>
      <c r="E727" t="s">
        <v>1120</v>
      </c>
      <c r="F727">
        <v>0</v>
      </c>
    </row>
    <row r="728" spans="1:6">
      <c r="A728" t="s">
        <v>13</v>
      </c>
      <c r="B728" t="s">
        <v>63</v>
      </c>
      <c r="C728" t="s">
        <v>835</v>
      </c>
      <c r="D728" t="s">
        <v>1091</v>
      </c>
      <c r="E728" t="s">
        <v>1121</v>
      </c>
      <c r="F728">
        <v>0</v>
      </c>
    </row>
    <row r="729" spans="1:6">
      <c r="A729" t="s">
        <v>13</v>
      </c>
      <c r="B729" t="s">
        <v>63</v>
      </c>
      <c r="C729" t="s">
        <v>835</v>
      </c>
      <c r="D729" t="s">
        <v>1091</v>
      </c>
      <c r="E729" t="s">
        <v>1122</v>
      </c>
      <c r="F729" t="s">
        <v>1123</v>
      </c>
    </row>
    <row r="730" spans="1:6">
      <c r="A730" t="s">
        <v>13</v>
      </c>
      <c r="B730" t="s">
        <v>63</v>
      </c>
      <c r="C730" t="s">
        <v>835</v>
      </c>
      <c r="D730" t="s">
        <v>1091</v>
      </c>
      <c r="E730" t="s">
        <v>1124</v>
      </c>
      <c r="F730" t="s">
        <v>1239</v>
      </c>
    </row>
    <row r="731" spans="1:6">
      <c r="A731" t="s">
        <v>13</v>
      </c>
      <c r="B731" t="s">
        <v>63</v>
      </c>
      <c r="C731" t="s">
        <v>835</v>
      </c>
      <c r="D731" t="s">
        <v>1091</v>
      </c>
      <c r="E731" t="s">
        <v>1126</v>
      </c>
      <c r="F731" t="s">
        <v>1125</v>
      </c>
    </row>
    <row r="732" spans="1:6">
      <c r="A732" t="s">
        <v>13</v>
      </c>
      <c r="B732" t="s">
        <v>63</v>
      </c>
      <c r="C732" t="s">
        <v>835</v>
      </c>
      <c r="D732" t="s">
        <v>1091</v>
      </c>
      <c r="E732" t="s">
        <v>1127</v>
      </c>
      <c r="F732" t="s">
        <v>1242</v>
      </c>
    </row>
    <row r="733" spans="1:6">
      <c r="A733" t="s">
        <v>13</v>
      </c>
      <c r="B733" t="s">
        <v>63</v>
      </c>
      <c r="C733" t="s">
        <v>835</v>
      </c>
      <c r="D733" t="s">
        <v>1091</v>
      </c>
      <c r="E733" t="s">
        <v>1128</v>
      </c>
      <c r="F733" t="s">
        <v>1322</v>
      </c>
    </row>
    <row r="734" spans="1:6">
      <c r="A734" t="s">
        <v>13</v>
      </c>
      <c r="B734" t="s">
        <v>63</v>
      </c>
      <c r="C734" t="s">
        <v>835</v>
      </c>
      <c r="D734" t="s">
        <v>1091</v>
      </c>
      <c r="E734" t="s">
        <v>1056</v>
      </c>
      <c r="F734" t="s">
        <v>1130</v>
      </c>
    </row>
    <row r="735" spans="1:6">
      <c r="A735" t="s">
        <v>13</v>
      </c>
      <c r="B735" t="s">
        <v>63</v>
      </c>
      <c r="C735" t="s">
        <v>835</v>
      </c>
      <c r="D735" t="s">
        <v>1091</v>
      </c>
      <c r="E735" t="s">
        <v>1057</v>
      </c>
      <c r="F735">
        <v>3205755</v>
      </c>
    </row>
    <row r="736" spans="1:6">
      <c r="A736" t="s">
        <v>13</v>
      </c>
      <c r="B736" t="s">
        <v>63</v>
      </c>
      <c r="C736" t="s">
        <v>835</v>
      </c>
      <c r="D736" t="s">
        <v>1091</v>
      </c>
      <c r="E736" t="s">
        <v>1058</v>
      </c>
      <c r="F736">
        <v>0</v>
      </c>
    </row>
    <row r="737" spans="1:6">
      <c r="A737" t="s">
        <v>13</v>
      </c>
      <c r="B737" t="s">
        <v>63</v>
      </c>
      <c r="C737" t="s">
        <v>835</v>
      </c>
      <c r="D737" t="s">
        <v>1091</v>
      </c>
      <c r="E737" t="s">
        <v>1059</v>
      </c>
      <c r="F737">
        <v>236975</v>
      </c>
    </row>
    <row r="738" spans="1:6">
      <c r="A738" t="s">
        <v>13</v>
      </c>
      <c r="B738" t="s">
        <v>63</v>
      </c>
      <c r="C738" t="s">
        <v>835</v>
      </c>
      <c r="D738" t="s">
        <v>1091</v>
      </c>
      <c r="E738" t="s">
        <v>1060</v>
      </c>
      <c r="F738">
        <v>2968780</v>
      </c>
    </row>
    <row r="739" spans="1:6">
      <c r="A739" t="s">
        <v>13</v>
      </c>
      <c r="B739" t="s">
        <v>63</v>
      </c>
      <c r="C739" t="s">
        <v>835</v>
      </c>
      <c r="D739" t="s">
        <v>1091</v>
      </c>
      <c r="E739" t="s">
        <v>1071</v>
      </c>
      <c r="F739" t="s">
        <v>1131</v>
      </c>
    </row>
    <row r="740" spans="1:6">
      <c r="A740" t="s">
        <v>13</v>
      </c>
      <c r="B740" t="s">
        <v>63</v>
      </c>
      <c r="C740" t="s">
        <v>835</v>
      </c>
      <c r="D740" t="s">
        <v>1091</v>
      </c>
      <c r="E740" t="s">
        <v>1072</v>
      </c>
      <c r="F740" t="s">
        <v>1323</v>
      </c>
    </row>
    <row r="741" spans="1:6">
      <c r="A741" t="s">
        <v>13</v>
      </c>
      <c r="B741" t="s">
        <v>63</v>
      </c>
      <c r="C741" t="s">
        <v>835</v>
      </c>
      <c r="D741" t="s">
        <v>1091</v>
      </c>
      <c r="E741" t="s">
        <v>1133</v>
      </c>
      <c r="F741" t="s">
        <v>1132</v>
      </c>
    </row>
    <row r="742" spans="1:6">
      <c r="A742" t="s">
        <v>13</v>
      </c>
      <c r="B742" t="s">
        <v>63</v>
      </c>
      <c r="C742" t="s">
        <v>835</v>
      </c>
      <c r="D742" t="s">
        <v>1091</v>
      </c>
      <c r="E742" t="s">
        <v>1134</v>
      </c>
      <c r="F742" t="s">
        <v>1310</v>
      </c>
    </row>
    <row r="743" spans="1:6">
      <c r="A743" t="s">
        <v>13</v>
      </c>
      <c r="B743" t="s">
        <v>63</v>
      </c>
      <c r="C743" t="s">
        <v>835</v>
      </c>
      <c r="D743" t="s">
        <v>1091</v>
      </c>
      <c r="E743" t="s">
        <v>1135</v>
      </c>
      <c r="F743" t="s">
        <v>1324</v>
      </c>
    </row>
    <row r="744" spans="1:6">
      <c r="A744" t="s">
        <v>13</v>
      </c>
      <c r="B744" t="s">
        <v>63</v>
      </c>
      <c r="C744" t="s">
        <v>835</v>
      </c>
      <c r="D744" t="s">
        <v>1091</v>
      </c>
      <c r="E744" t="s">
        <v>1076</v>
      </c>
      <c r="F744" t="s">
        <v>1137</v>
      </c>
    </row>
    <row r="745" spans="1:6">
      <c r="A745" t="s">
        <v>13</v>
      </c>
      <c r="B745" t="s">
        <v>63</v>
      </c>
      <c r="C745" t="s">
        <v>835</v>
      </c>
      <c r="D745" t="s">
        <v>1091</v>
      </c>
      <c r="E745" t="s">
        <v>1077</v>
      </c>
      <c r="F745">
        <v>0</v>
      </c>
    </row>
    <row r="746" spans="1:6">
      <c r="A746" t="s">
        <v>13</v>
      </c>
      <c r="B746" t="s">
        <v>63</v>
      </c>
      <c r="C746" t="s">
        <v>835</v>
      </c>
      <c r="D746" t="s">
        <v>1091</v>
      </c>
      <c r="E746" t="s">
        <v>1078</v>
      </c>
      <c r="F746">
        <v>0</v>
      </c>
    </row>
    <row r="747" spans="1:6">
      <c r="A747" t="s">
        <v>13</v>
      </c>
      <c r="B747" t="s">
        <v>63</v>
      </c>
      <c r="C747" t="s">
        <v>835</v>
      </c>
      <c r="D747" t="s">
        <v>1091</v>
      </c>
      <c r="E747" t="s">
        <v>1079</v>
      </c>
      <c r="F747">
        <v>0</v>
      </c>
    </row>
    <row r="748" spans="1:6">
      <c r="A748" t="s">
        <v>13</v>
      </c>
      <c r="B748" t="s">
        <v>63</v>
      </c>
      <c r="C748" t="s">
        <v>835</v>
      </c>
      <c r="D748" t="s">
        <v>1091</v>
      </c>
      <c r="E748" t="s">
        <v>1090</v>
      </c>
      <c r="F748" t="s">
        <v>1138</v>
      </c>
    </row>
    <row r="749" spans="1:6">
      <c r="A749" t="s">
        <v>13</v>
      </c>
      <c r="B749" t="s">
        <v>63</v>
      </c>
      <c r="C749" t="s">
        <v>835</v>
      </c>
      <c r="D749" t="s">
        <v>1091</v>
      </c>
      <c r="E749" t="s">
        <v>1139</v>
      </c>
      <c r="F749" t="s">
        <v>1132</v>
      </c>
    </row>
    <row r="750" spans="1:6">
      <c r="A750" t="s">
        <v>13</v>
      </c>
      <c r="B750" t="s">
        <v>63</v>
      </c>
      <c r="C750" t="s">
        <v>835</v>
      </c>
      <c r="D750" t="s">
        <v>1091</v>
      </c>
      <c r="E750" t="s">
        <v>1140</v>
      </c>
      <c r="F750" t="s">
        <v>1142</v>
      </c>
    </row>
    <row r="751" spans="1:6">
      <c r="A751" t="s">
        <v>13</v>
      </c>
      <c r="B751" t="s">
        <v>63</v>
      </c>
      <c r="C751" t="s">
        <v>835</v>
      </c>
      <c r="D751" t="s">
        <v>1091</v>
      </c>
      <c r="E751" t="s">
        <v>1141</v>
      </c>
      <c r="F751" t="s">
        <v>1325</v>
      </c>
    </row>
    <row r="752" spans="1:6">
      <c r="A752" t="s">
        <v>13</v>
      </c>
      <c r="B752" t="s">
        <v>63</v>
      </c>
      <c r="C752" t="s">
        <v>835</v>
      </c>
      <c r="D752" t="s">
        <v>1091</v>
      </c>
      <c r="E752" t="s">
        <v>1143</v>
      </c>
      <c r="F752" t="s">
        <v>1144</v>
      </c>
    </row>
    <row r="753" spans="1:6">
      <c r="A753" t="s">
        <v>13</v>
      </c>
      <c r="B753" t="s">
        <v>63</v>
      </c>
      <c r="C753" t="s">
        <v>835</v>
      </c>
      <c r="D753" t="s">
        <v>1091</v>
      </c>
      <c r="E753" t="s">
        <v>1145</v>
      </c>
      <c r="F753" t="s">
        <v>1146</v>
      </c>
    </row>
    <row r="754" spans="1:6">
      <c r="A754" t="s">
        <v>13</v>
      </c>
      <c r="B754" t="s">
        <v>63</v>
      </c>
      <c r="C754" t="s">
        <v>835</v>
      </c>
      <c r="D754" t="s">
        <v>1091</v>
      </c>
      <c r="E754" t="s">
        <v>1147</v>
      </c>
      <c r="F754" t="s">
        <v>1148</v>
      </c>
    </row>
    <row r="755" spans="1:6">
      <c r="A755" t="s">
        <v>13</v>
      </c>
      <c r="B755" t="s">
        <v>63</v>
      </c>
      <c r="C755" t="s">
        <v>835</v>
      </c>
      <c r="D755" t="s">
        <v>1091</v>
      </c>
      <c r="E755" t="s">
        <v>1149</v>
      </c>
      <c r="F755" t="s">
        <v>1150</v>
      </c>
    </row>
    <row r="756" spans="1:6">
      <c r="A756" t="s">
        <v>13</v>
      </c>
      <c r="B756" t="s">
        <v>63</v>
      </c>
      <c r="C756" t="s">
        <v>835</v>
      </c>
      <c r="D756" t="s">
        <v>1091</v>
      </c>
      <c r="E756" t="s">
        <v>1151</v>
      </c>
      <c r="F756" t="s">
        <v>1009</v>
      </c>
    </row>
    <row r="757" spans="1:6">
      <c r="A757" t="s">
        <v>13</v>
      </c>
      <c r="B757" t="s">
        <v>63</v>
      </c>
      <c r="C757" t="s">
        <v>835</v>
      </c>
      <c r="D757" t="s">
        <v>1091</v>
      </c>
      <c r="E757" t="s">
        <v>1152</v>
      </c>
      <c r="F757" t="s">
        <v>1153</v>
      </c>
    </row>
    <row r="758" spans="1:6">
      <c r="A758" t="s">
        <v>13</v>
      </c>
      <c r="B758" t="s">
        <v>63</v>
      </c>
      <c r="C758" t="s">
        <v>835</v>
      </c>
      <c r="D758" t="s">
        <v>1091</v>
      </c>
      <c r="E758" t="s">
        <v>1154</v>
      </c>
      <c r="F758" t="s">
        <v>1155</v>
      </c>
    </row>
    <row r="759" spans="1:6">
      <c r="A759" t="s">
        <v>13</v>
      </c>
      <c r="B759" t="s">
        <v>63</v>
      </c>
      <c r="C759" t="s">
        <v>835</v>
      </c>
      <c r="D759" t="s">
        <v>1091</v>
      </c>
      <c r="E759" t="s">
        <v>1156</v>
      </c>
      <c r="F759" t="s">
        <v>1157</v>
      </c>
    </row>
    <row r="760" spans="1:6">
      <c r="A760" t="s">
        <v>13</v>
      </c>
      <c r="B760" t="s">
        <v>63</v>
      </c>
      <c r="C760" t="s">
        <v>835</v>
      </c>
      <c r="D760" t="s">
        <v>1091</v>
      </c>
      <c r="E760" t="s">
        <v>1158</v>
      </c>
      <c r="F760" t="s">
        <v>1159</v>
      </c>
    </row>
    <row r="761" spans="1:6">
      <c r="A761" t="s">
        <v>13</v>
      </c>
      <c r="B761" t="s">
        <v>63</v>
      </c>
      <c r="C761" t="s">
        <v>835</v>
      </c>
      <c r="D761" t="s">
        <v>1091</v>
      </c>
      <c r="E761" t="s">
        <v>1160</v>
      </c>
      <c r="F761" t="s">
        <v>1161</v>
      </c>
    </row>
    <row r="762" spans="1:6">
      <c r="A762" t="s">
        <v>13</v>
      </c>
      <c r="B762" t="s">
        <v>63</v>
      </c>
      <c r="C762" t="s">
        <v>835</v>
      </c>
      <c r="D762" t="s">
        <v>1091</v>
      </c>
      <c r="E762" t="s">
        <v>1162</v>
      </c>
      <c r="F762" t="s">
        <v>1163</v>
      </c>
    </row>
    <row r="763" spans="1:6">
      <c r="A763" t="s">
        <v>13</v>
      </c>
      <c r="B763" t="s">
        <v>63</v>
      </c>
      <c r="C763" t="s">
        <v>835</v>
      </c>
      <c r="D763" t="s">
        <v>1091</v>
      </c>
      <c r="E763" t="s">
        <v>1164</v>
      </c>
      <c r="F763" t="s">
        <v>1165</v>
      </c>
    </row>
    <row r="764" spans="1:6">
      <c r="A764" t="s">
        <v>13</v>
      </c>
      <c r="B764" t="s">
        <v>63</v>
      </c>
      <c r="C764" t="s">
        <v>835</v>
      </c>
      <c r="D764" t="s">
        <v>1091</v>
      </c>
      <c r="E764" t="s">
        <v>1166</v>
      </c>
      <c r="F764">
        <v>10176352</v>
      </c>
    </row>
    <row r="765" spans="1:6">
      <c r="A765" t="s">
        <v>13</v>
      </c>
      <c r="B765" t="s">
        <v>63</v>
      </c>
      <c r="C765" t="s">
        <v>835</v>
      </c>
      <c r="D765" t="s">
        <v>1091</v>
      </c>
      <c r="E765" t="s">
        <v>1167</v>
      </c>
      <c r="F765">
        <v>1584910</v>
      </c>
    </row>
    <row r="766" spans="1:6">
      <c r="A766" t="s">
        <v>13</v>
      </c>
      <c r="B766" t="s">
        <v>63</v>
      </c>
      <c r="C766" t="s">
        <v>835</v>
      </c>
      <c r="D766" t="s">
        <v>1091</v>
      </c>
      <c r="E766" t="s">
        <v>1168</v>
      </c>
      <c r="F766">
        <v>1439561</v>
      </c>
    </row>
    <row r="767" spans="1:6">
      <c r="A767" t="s">
        <v>13</v>
      </c>
      <c r="B767" t="s">
        <v>63</v>
      </c>
      <c r="C767" t="s">
        <v>835</v>
      </c>
      <c r="D767" t="s">
        <v>1091</v>
      </c>
      <c r="E767" t="s">
        <v>1169</v>
      </c>
      <c r="F767">
        <v>1903277</v>
      </c>
    </row>
    <row r="768" spans="1:6">
      <c r="A768" t="s">
        <v>13</v>
      </c>
      <c r="B768" t="s">
        <v>63</v>
      </c>
      <c r="C768" t="s">
        <v>835</v>
      </c>
      <c r="D768" t="s">
        <v>1091</v>
      </c>
      <c r="E768" t="s">
        <v>1170</v>
      </c>
      <c r="F768">
        <v>2064609</v>
      </c>
    </row>
    <row r="769" spans="1:6">
      <c r="A769" t="s">
        <v>13</v>
      </c>
      <c r="B769" t="s">
        <v>63</v>
      </c>
      <c r="C769" t="s">
        <v>835</v>
      </c>
      <c r="D769" t="s">
        <v>1091</v>
      </c>
      <c r="E769" t="s">
        <v>1171</v>
      </c>
      <c r="F769">
        <v>1770440</v>
      </c>
    </row>
    <row r="770" spans="1:6">
      <c r="A770" t="s">
        <v>13</v>
      </c>
      <c r="B770" t="s">
        <v>63</v>
      </c>
      <c r="C770" t="s">
        <v>835</v>
      </c>
      <c r="D770" t="s">
        <v>1091</v>
      </c>
      <c r="E770" t="s">
        <v>1172</v>
      </c>
      <c r="F770">
        <v>1413554</v>
      </c>
    </row>
    <row r="771" spans="1:6">
      <c r="A771" t="s">
        <v>13</v>
      </c>
      <c r="B771" t="s">
        <v>63</v>
      </c>
      <c r="C771" t="s">
        <v>835</v>
      </c>
      <c r="D771" t="s">
        <v>1091</v>
      </c>
      <c r="E771" t="s">
        <v>1173</v>
      </c>
      <c r="F771" t="s">
        <v>1174</v>
      </c>
    </row>
    <row r="772" spans="1:6">
      <c r="A772" t="s">
        <v>13</v>
      </c>
      <c r="B772" t="s">
        <v>63</v>
      </c>
      <c r="C772" t="s">
        <v>835</v>
      </c>
      <c r="D772" t="s">
        <v>1091</v>
      </c>
      <c r="E772" t="s">
        <v>1175</v>
      </c>
      <c r="F772">
        <v>44566</v>
      </c>
    </row>
    <row r="773" spans="1:6">
      <c r="A773" t="s">
        <v>13</v>
      </c>
      <c r="B773" t="s">
        <v>63</v>
      </c>
      <c r="C773" t="s">
        <v>835</v>
      </c>
      <c r="D773" t="s">
        <v>1091</v>
      </c>
      <c r="E773" t="s">
        <v>1176</v>
      </c>
      <c r="F773">
        <v>5952</v>
      </c>
    </row>
    <row r="774" spans="1:6">
      <c r="A774" t="s">
        <v>13</v>
      </c>
      <c r="B774" t="s">
        <v>63</v>
      </c>
      <c r="C774" t="s">
        <v>835</v>
      </c>
      <c r="D774" t="s">
        <v>1091</v>
      </c>
      <c r="E774" t="s">
        <v>1177</v>
      </c>
      <c r="F774">
        <v>7063</v>
      </c>
    </row>
    <row r="775" spans="1:6">
      <c r="A775" t="s">
        <v>13</v>
      </c>
      <c r="B775" t="s">
        <v>63</v>
      </c>
      <c r="C775" t="s">
        <v>835</v>
      </c>
      <c r="D775" t="s">
        <v>1091</v>
      </c>
      <c r="E775" t="s">
        <v>1178</v>
      </c>
      <c r="F775">
        <v>7983</v>
      </c>
    </row>
    <row r="776" spans="1:6">
      <c r="A776" t="s">
        <v>13</v>
      </c>
      <c r="B776" t="s">
        <v>63</v>
      </c>
      <c r="C776" t="s">
        <v>835</v>
      </c>
      <c r="D776" t="s">
        <v>1091</v>
      </c>
      <c r="E776" t="s">
        <v>1179</v>
      </c>
      <c r="F776">
        <v>8190</v>
      </c>
    </row>
    <row r="777" spans="1:6">
      <c r="A777" t="s">
        <v>13</v>
      </c>
      <c r="B777" t="s">
        <v>63</v>
      </c>
      <c r="C777" t="s">
        <v>835</v>
      </c>
      <c r="D777" t="s">
        <v>1091</v>
      </c>
      <c r="E777" t="s">
        <v>1180</v>
      </c>
      <c r="F777">
        <v>7932</v>
      </c>
    </row>
    <row r="778" spans="1:6">
      <c r="A778" t="s">
        <v>13</v>
      </c>
      <c r="B778" t="s">
        <v>63</v>
      </c>
      <c r="C778" t="s">
        <v>835</v>
      </c>
      <c r="D778" t="s">
        <v>1091</v>
      </c>
      <c r="E778" t="s">
        <v>1181</v>
      </c>
      <c r="F778">
        <v>7446</v>
      </c>
    </row>
    <row r="779" spans="1:6">
      <c r="A779" t="s">
        <v>13</v>
      </c>
      <c r="B779" t="s">
        <v>63</v>
      </c>
      <c r="C779" t="s">
        <v>835</v>
      </c>
      <c r="D779" t="s">
        <v>1091</v>
      </c>
      <c r="E779" t="s">
        <v>1182</v>
      </c>
      <c r="F779" t="s">
        <v>1183</v>
      </c>
    </row>
    <row r="780" spans="1:6">
      <c r="A780" t="s">
        <v>13</v>
      </c>
      <c r="B780" t="s">
        <v>63</v>
      </c>
      <c r="C780" t="s">
        <v>835</v>
      </c>
      <c r="D780" t="s">
        <v>1091</v>
      </c>
      <c r="E780" t="s">
        <v>1184</v>
      </c>
      <c r="F780">
        <v>7243846</v>
      </c>
    </row>
    <row r="781" spans="1:6">
      <c r="A781" t="s">
        <v>13</v>
      </c>
      <c r="B781" t="s">
        <v>63</v>
      </c>
      <c r="C781" t="s">
        <v>835</v>
      </c>
      <c r="D781" t="s">
        <v>1091</v>
      </c>
      <c r="E781" t="s">
        <v>1185</v>
      </c>
      <c r="F781">
        <v>30181</v>
      </c>
    </row>
    <row r="782" spans="1:6">
      <c r="A782" t="s">
        <v>13</v>
      </c>
      <c r="B782" t="s">
        <v>63</v>
      </c>
      <c r="C782" t="s">
        <v>835</v>
      </c>
      <c r="D782" t="s">
        <v>1091</v>
      </c>
      <c r="E782" t="s">
        <v>1186</v>
      </c>
      <c r="F782">
        <v>716411</v>
      </c>
    </row>
    <row r="783" spans="1:6">
      <c r="A783" t="s">
        <v>13</v>
      </c>
      <c r="B783" t="s">
        <v>63</v>
      </c>
      <c r="C783" t="s">
        <v>835</v>
      </c>
      <c r="D783" t="s">
        <v>1091</v>
      </c>
      <c r="E783" t="s">
        <v>1187</v>
      </c>
      <c r="F783">
        <v>1533214</v>
      </c>
    </row>
    <row r="784" spans="1:6">
      <c r="A784" t="s">
        <v>13</v>
      </c>
      <c r="B784" t="s">
        <v>63</v>
      </c>
      <c r="C784" t="s">
        <v>835</v>
      </c>
      <c r="D784" t="s">
        <v>1091</v>
      </c>
      <c r="E784" t="s">
        <v>1188</v>
      </c>
      <c r="F784">
        <v>1852619</v>
      </c>
    </row>
    <row r="785" spans="1:6">
      <c r="A785" t="s">
        <v>13</v>
      </c>
      <c r="B785" t="s">
        <v>63</v>
      </c>
      <c r="C785" t="s">
        <v>835</v>
      </c>
      <c r="D785" t="s">
        <v>1091</v>
      </c>
      <c r="E785" t="s">
        <v>1189</v>
      </c>
      <c r="F785">
        <v>1729340</v>
      </c>
    </row>
    <row r="786" spans="1:6">
      <c r="A786" t="s">
        <v>13</v>
      </c>
      <c r="B786" t="s">
        <v>63</v>
      </c>
      <c r="C786" t="s">
        <v>835</v>
      </c>
      <c r="D786" t="s">
        <v>1091</v>
      </c>
      <c r="E786" t="s">
        <v>1190</v>
      </c>
      <c r="F786">
        <v>1382081</v>
      </c>
    </row>
    <row r="787" spans="1:6">
      <c r="A787" t="s">
        <v>13</v>
      </c>
      <c r="B787" t="s">
        <v>63</v>
      </c>
      <c r="C787" t="s">
        <v>835</v>
      </c>
      <c r="D787" t="s">
        <v>1091</v>
      </c>
      <c r="E787" t="s">
        <v>1191</v>
      </c>
      <c r="F787" t="s">
        <v>1192</v>
      </c>
    </row>
    <row r="788" spans="1:6">
      <c r="A788" t="s">
        <v>13</v>
      </c>
      <c r="B788" t="s">
        <v>63</v>
      </c>
      <c r="C788" t="s">
        <v>835</v>
      </c>
      <c r="D788" t="s">
        <v>1091</v>
      </c>
      <c r="E788" t="s">
        <v>1193</v>
      </c>
      <c r="F788">
        <v>115</v>
      </c>
    </row>
    <row r="789" spans="1:6">
      <c r="A789" t="s">
        <v>13</v>
      </c>
      <c r="B789" t="s">
        <v>63</v>
      </c>
      <c r="C789" t="s">
        <v>835</v>
      </c>
      <c r="D789" t="s">
        <v>1091</v>
      </c>
      <c r="E789" t="s">
        <v>1194</v>
      </c>
      <c r="F789">
        <v>2110</v>
      </c>
    </row>
    <row r="790" spans="1:6">
      <c r="A790" t="s">
        <v>13</v>
      </c>
      <c r="B790" t="s">
        <v>63</v>
      </c>
      <c r="C790" t="s">
        <v>835</v>
      </c>
      <c r="D790" t="s">
        <v>1091</v>
      </c>
      <c r="E790" t="s">
        <v>1195</v>
      </c>
      <c r="F790">
        <v>6488</v>
      </c>
    </row>
    <row r="791" spans="1:6">
      <c r="A791" t="s">
        <v>13</v>
      </c>
      <c r="B791" t="s">
        <v>63</v>
      </c>
      <c r="C791" t="s">
        <v>835</v>
      </c>
      <c r="D791" t="s">
        <v>1091</v>
      </c>
      <c r="E791" t="s">
        <v>1196</v>
      </c>
      <c r="F791">
        <v>7746</v>
      </c>
    </row>
    <row r="792" spans="1:6">
      <c r="A792" t="s">
        <v>13</v>
      </c>
      <c r="B792" t="s">
        <v>63</v>
      </c>
      <c r="C792" t="s">
        <v>835</v>
      </c>
      <c r="D792" t="s">
        <v>1091</v>
      </c>
      <c r="E792" t="s">
        <v>1197</v>
      </c>
      <c r="F792">
        <v>7680</v>
      </c>
    </row>
    <row r="793" spans="1:6">
      <c r="A793" t="s">
        <v>13</v>
      </c>
      <c r="B793" t="s">
        <v>63</v>
      </c>
      <c r="C793" t="s">
        <v>835</v>
      </c>
      <c r="D793" t="s">
        <v>1091</v>
      </c>
      <c r="E793" t="s">
        <v>1198</v>
      </c>
      <c r="F793">
        <v>7002</v>
      </c>
    </row>
    <row r="794" spans="1:6">
      <c r="A794" t="s">
        <v>13</v>
      </c>
      <c r="B794" t="s">
        <v>63</v>
      </c>
      <c r="C794" t="s">
        <v>835</v>
      </c>
      <c r="D794" t="s">
        <v>1091</v>
      </c>
      <c r="E794" t="s">
        <v>1199</v>
      </c>
      <c r="F794" t="s">
        <v>1200</v>
      </c>
    </row>
    <row r="795" spans="1:6">
      <c r="A795" t="s">
        <v>13</v>
      </c>
      <c r="B795" t="s">
        <v>63</v>
      </c>
      <c r="C795" t="s">
        <v>835</v>
      </c>
      <c r="D795" t="s">
        <v>1091</v>
      </c>
      <c r="E795" t="s">
        <v>1201</v>
      </c>
      <c r="F795" t="s">
        <v>1107</v>
      </c>
    </row>
    <row r="796" spans="1:6">
      <c r="A796" t="s">
        <v>13</v>
      </c>
      <c r="B796" t="s">
        <v>63</v>
      </c>
      <c r="C796" t="s">
        <v>835</v>
      </c>
      <c r="D796" t="s">
        <v>1091</v>
      </c>
      <c r="E796" t="s">
        <v>1202</v>
      </c>
      <c r="F796">
        <v>7243846</v>
      </c>
    </row>
    <row r="797" spans="1:6">
      <c r="A797" t="s">
        <v>13</v>
      </c>
      <c r="B797" t="s">
        <v>63</v>
      </c>
      <c r="C797" t="s">
        <v>835</v>
      </c>
      <c r="D797" t="s">
        <v>1091</v>
      </c>
      <c r="E797" t="s">
        <v>1203</v>
      </c>
      <c r="F797">
        <v>30181</v>
      </c>
    </row>
    <row r="798" spans="1:6">
      <c r="A798" t="s">
        <v>13</v>
      </c>
      <c r="B798" t="s">
        <v>63</v>
      </c>
      <c r="C798" t="s">
        <v>835</v>
      </c>
      <c r="D798" t="s">
        <v>1091</v>
      </c>
      <c r="E798" t="s">
        <v>1204</v>
      </c>
      <c r="F798">
        <v>716411</v>
      </c>
    </row>
    <row r="799" spans="1:6">
      <c r="A799" t="s">
        <v>13</v>
      </c>
      <c r="B799" t="s">
        <v>63</v>
      </c>
      <c r="C799" t="s">
        <v>835</v>
      </c>
      <c r="D799" t="s">
        <v>1091</v>
      </c>
      <c r="E799" t="s">
        <v>1205</v>
      </c>
      <c r="F799">
        <v>1533214</v>
      </c>
    </row>
    <row r="800" spans="1:6">
      <c r="A800" t="s">
        <v>13</v>
      </c>
      <c r="B800" t="s">
        <v>63</v>
      </c>
      <c r="C800" t="s">
        <v>835</v>
      </c>
      <c r="D800" t="s">
        <v>1091</v>
      </c>
      <c r="E800" t="s">
        <v>1206</v>
      </c>
      <c r="F800">
        <v>1852619</v>
      </c>
    </row>
    <row r="801" spans="1:6">
      <c r="A801" t="s">
        <v>13</v>
      </c>
      <c r="B801" t="s">
        <v>63</v>
      </c>
      <c r="C801" t="s">
        <v>835</v>
      </c>
      <c r="D801" t="s">
        <v>1091</v>
      </c>
      <c r="E801" t="s">
        <v>1207</v>
      </c>
      <c r="F801">
        <v>1729340</v>
      </c>
    </row>
    <row r="802" spans="1:6">
      <c r="A802" t="s">
        <v>13</v>
      </c>
      <c r="B802" t="s">
        <v>63</v>
      </c>
      <c r="C802" t="s">
        <v>835</v>
      </c>
      <c r="D802" t="s">
        <v>1091</v>
      </c>
      <c r="E802" t="s">
        <v>1208</v>
      </c>
      <c r="F802">
        <v>1382081</v>
      </c>
    </row>
    <row r="803" spans="1:6">
      <c r="A803" t="s">
        <v>13</v>
      </c>
      <c r="B803" t="s">
        <v>63</v>
      </c>
      <c r="C803" t="s">
        <v>835</v>
      </c>
      <c r="D803" t="s">
        <v>1091</v>
      </c>
      <c r="E803" t="s">
        <v>1209</v>
      </c>
      <c r="F803" t="s">
        <v>1307</v>
      </c>
    </row>
    <row r="804" spans="1:6">
      <c r="A804" t="s">
        <v>13</v>
      </c>
      <c r="B804" t="s">
        <v>63</v>
      </c>
      <c r="C804" t="s">
        <v>835</v>
      </c>
      <c r="D804" t="s">
        <v>1091</v>
      </c>
      <c r="E804" t="s">
        <v>1210</v>
      </c>
      <c r="F804">
        <v>0</v>
      </c>
    </row>
    <row r="805" spans="1:6">
      <c r="A805" t="s">
        <v>13</v>
      </c>
      <c r="B805" t="s">
        <v>63</v>
      </c>
      <c r="C805" t="s">
        <v>835</v>
      </c>
      <c r="D805" t="s">
        <v>1091</v>
      </c>
      <c r="E805" t="s">
        <v>1211</v>
      </c>
      <c r="F805">
        <v>0</v>
      </c>
    </row>
    <row r="806" spans="1:6">
      <c r="A806" t="s">
        <v>13</v>
      </c>
      <c r="B806" t="s">
        <v>63</v>
      </c>
      <c r="C806" t="s">
        <v>835</v>
      </c>
      <c r="D806" t="s">
        <v>1091</v>
      </c>
      <c r="E806" t="s">
        <v>1212</v>
      </c>
      <c r="F806">
        <v>0</v>
      </c>
    </row>
    <row r="807" spans="1:6">
      <c r="A807" t="s">
        <v>13</v>
      </c>
      <c r="B807" t="s">
        <v>63</v>
      </c>
      <c r="C807" t="s">
        <v>835</v>
      </c>
      <c r="D807" t="s">
        <v>1091</v>
      </c>
      <c r="E807" t="s">
        <v>1213</v>
      </c>
      <c r="F807">
        <v>0</v>
      </c>
    </row>
    <row r="808" spans="1:6">
      <c r="A808" t="s">
        <v>13</v>
      </c>
      <c r="B808" t="s">
        <v>63</v>
      </c>
      <c r="C808" t="s">
        <v>835</v>
      </c>
      <c r="D808" t="s">
        <v>1091</v>
      </c>
      <c r="E808" t="s">
        <v>1214</v>
      </c>
      <c r="F808">
        <v>0</v>
      </c>
    </row>
    <row r="809" spans="1:6">
      <c r="A809" t="s">
        <v>13</v>
      </c>
      <c r="B809" t="s">
        <v>63</v>
      </c>
      <c r="C809" t="s">
        <v>835</v>
      </c>
      <c r="D809" t="s">
        <v>1091</v>
      </c>
      <c r="E809" t="s">
        <v>1215</v>
      </c>
      <c r="F809">
        <v>0</v>
      </c>
    </row>
    <row r="810" spans="1:6">
      <c r="A810" t="s">
        <v>13</v>
      </c>
      <c r="B810" t="s">
        <v>63</v>
      </c>
      <c r="C810" t="s">
        <v>835</v>
      </c>
      <c r="D810" t="s">
        <v>1091</v>
      </c>
      <c r="E810" t="s">
        <v>1216</v>
      </c>
      <c r="F810">
        <v>0</v>
      </c>
    </row>
    <row r="811" spans="1:6">
      <c r="A811" t="s">
        <v>13</v>
      </c>
      <c r="B811" t="s">
        <v>63</v>
      </c>
      <c r="C811" t="s">
        <v>835</v>
      </c>
      <c r="D811" t="s">
        <v>1091</v>
      </c>
      <c r="E811" t="s">
        <v>1217</v>
      </c>
      <c r="F811" t="s">
        <v>1308</v>
      </c>
    </row>
    <row r="812" spans="1:6">
      <c r="A812" t="s">
        <v>13</v>
      </c>
      <c r="B812" t="s">
        <v>63</v>
      </c>
      <c r="C812" t="s">
        <v>835</v>
      </c>
      <c r="D812" t="s">
        <v>1091</v>
      </c>
      <c r="E812" t="s">
        <v>1218</v>
      </c>
      <c r="F812">
        <v>0</v>
      </c>
    </row>
    <row r="813" spans="1:6">
      <c r="A813" t="s">
        <v>13</v>
      </c>
      <c r="B813" t="s">
        <v>63</v>
      </c>
      <c r="C813" t="s">
        <v>835</v>
      </c>
      <c r="D813" t="s">
        <v>1091</v>
      </c>
      <c r="E813" t="s">
        <v>1219</v>
      </c>
      <c r="F813">
        <v>0</v>
      </c>
    </row>
    <row r="814" spans="1:6">
      <c r="A814" t="s">
        <v>13</v>
      </c>
      <c r="B814" t="s">
        <v>63</v>
      </c>
      <c r="C814" t="s">
        <v>835</v>
      </c>
      <c r="D814" t="s">
        <v>1091</v>
      </c>
      <c r="E814" t="s">
        <v>1220</v>
      </c>
      <c r="F814">
        <v>0</v>
      </c>
    </row>
    <row r="815" spans="1:6">
      <c r="A815" t="s">
        <v>13</v>
      </c>
      <c r="B815" t="s">
        <v>63</v>
      </c>
      <c r="C815" t="s">
        <v>835</v>
      </c>
      <c r="D815" t="s">
        <v>1091</v>
      </c>
      <c r="E815" t="s">
        <v>1221</v>
      </c>
      <c r="F815">
        <v>0</v>
      </c>
    </row>
    <row r="816" spans="1:6">
      <c r="A816" t="s">
        <v>13</v>
      </c>
      <c r="B816" t="s">
        <v>63</v>
      </c>
      <c r="C816" t="s">
        <v>835</v>
      </c>
      <c r="D816" t="s">
        <v>1091</v>
      </c>
      <c r="E816" t="s">
        <v>1222</v>
      </c>
      <c r="F816">
        <v>0</v>
      </c>
    </row>
    <row r="817" spans="1:6">
      <c r="A817" t="s">
        <v>13</v>
      </c>
      <c r="B817" t="s">
        <v>63</v>
      </c>
      <c r="C817" t="s">
        <v>835</v>
      </c>
      <c r="D817" t="s">
        <v>1091</v>
      </c>
      <c r="E817" t="s">
        <v>1223</v>
      </c>
      <c r="F817">
        <v>0</v>
      </c>
    </row>
    <row r="818" spans="1:6">
      <c r="A818" t="s">
        <v>13</v>
      </c>
      <c r="B818" t="s">
        <v>63</v>
      </c>
      <c r="C818" t="s">
        <v>835</v>
      </c>
      <c r="D818" t="s">
        <v>1091</v>
      </c>
      <c r="E818" t="s">
        <v>1224</v>
      </c>
      <c r="F818">
        <v>0</v>
      </c>
    </row>
    <row r="819" spans="1:6">
      <c r="A819" t="s">
        <v>13</v>
      </c>
      <c r="B819" t="s">
        <v>63</v>
      </c>
      <c r="C819" t="s">
        <v>835</v>
      </c>
      <c r="D819" t="s">
        <v>1091</v>
      </c>
      <c r="E819" t="s">
        <v>1225</v>
      </c>
      <c r="F819" t="s">
        <v>1226</v>
      </c>
    </row>
    <row r="820" spans="1:6">
      <c r="A820" t="s">
        <v>13</v>
      </c>
      <c r="B820" t="s">
        <v>63</v>
      </c>
      <c r="C820" t="s">
        <v>835</v>
      </c>
      <c r="D820" t="s">
        <v>1091</v>
      </c>
      <c r="E820" t="s">
        <v>1227</v>
      </c>
      <c r="F820" t="s">
        <v>1321</v>
      </c>
    </row>
    <row r="821" spans="1:6">
      <c r="A821" t="s">
        <v>13</v>
      </c>
      <c r="B821" t="s">
        <v>63</v>
      </c>
      <c r="C821" t="s">
        <v>835</v>
      </c>
      <c r="D821" t="s">
        <v>1091</v>
      </c>
      <c r="E821" t="s">
        <v>1228</v>
      </c>
      <c r="F821" t="s">
        <v>1326</v>
      </c>
    </row>
    <row r="822" spans="1:6">
      <c r="A822" t="s">
        <v>13</v>
      </c>
      <c r="B822" t="s">
        <v>63</v>
      </c>
      <c r="C822" t="s">
        <v>835</v>
      </c>
      <c r="D822" t="s">
        <v>1091</v>
      </c>
      <c r="E822" t="s">
        <v>1230</v>
      </c>
      <c r="F822" t="s">
        <v>1327</v>
      </c>
    </row>
    <row r="823" spans="1:6">
      <c r="A823" t="s">
        <v>13</v>
      </c>
      <c r="B823" t="s">
        <v>63</v>
      </c>
      <c r="C823" t="s">
        <v>835</v>
      </c>
      <c r="D823" t="s">
        <v>1091</v>
      </c>
      <c r="E823" t="s">
        <v>1231</v>
      </c>
      <c r="F823" t="s">
        <v>1328</v>
      </c>
    </row>
    <row r="824" spans="1:6">
      <c r="A824" t="s">
        <v>13</v>
      </c>
      <c r="B824" t="s">
        <v>63</v>
      </c>
      <c r="C824" t="s">
        <v>835</v>
      </c>
      <c r="D824" t="s">
        <v>1091</v>
      </c>
      <c r="E824" t="s">
        <v>1233</v>
      </c>
      <c r="F824" t="s">
        <v>1315</v>
      </c>
    </row>
    <row r="825" spans="1:6">
      <c r="A825" t="s">
        <v>13</v>
      </c>
      <c r="B825" t="s">
        <v>63</v>
      </c>
      <c r="C825" t="s">
        <v>835</v>
      </c>
      <c r="D825" t="s">
        <v>1091</v>
      </c>
      <c r="E825" t="s">
        <v>1234</v>
      </c>
      <c r="F825" t="s">
        <v>1315</v>
      </c>
    </row>
    <row r="826" spans="1:6">
      <c r="A826" t="s">
        <v>13</v>
      </c>
      <c r="B826" t="s">
        <v>63</v>
      </c>
      <c r="C826" t="s">
        <v>835</v>
      </c>
      <c r="D826" t="s">
        <v>1091</v>
      </c>
      <c r="E826" t="s">
        <v>1235</v>
      </c>
      <c r="F826" t="s">
        <v>1236</v>
      </c>
    </row>
    <row r="827" spans="1:6">
      <c r="A827" t="s">
        <v>13</v>
      </c>
      <c r="B827" t="s">
        <v>63</v>
      </c>
      <c r="C827" t="s">
        <v>835</v>
      </c>
      <c r="D827" t="s">
        <v>1091</v>
      </c>
      <c r="E827" t="s">
        <v>1237</v>
      </c>
      <c r="F827" t="s">
        <v>1321</v>
      </c>
    </row>
    <row r="828" spans="1:6">
      <c r="A828" t="s">
        <v>13</v>
      </c>
      <c r="B828" t="s">
        <v>63</v>
      </c>
      <c r="C828" t="s">
        <v>835</v>
      </c>
      <c r="D828" t="s">
        <v>1091</v>
      </c>
      <c r="E828" t="s">
        <v>1238</v>
      </c>
      <c r="F828" t="s">
        <v>1329</v>
      </c>
    </row>
    <row r="829" spans="1:6">
      <c r="A829" t="s">
        <v>13</v>
      </c>
      <c r="B829" t="s">
        <v>63</v>
      </c>
      <c r="C829" t="s">
        <v>835</v>
      </c>
      <c r="D829" t="s">
        <v>1091</v>
      </c>
      <c r="E829" t="s">
        <v>1240</v>
      </c>
      <c r="F829" t="s">
        <v>1327</v>
      </c>
    </row>
    <row r="830" spans="1:6">
      <c r="A830" t="s">
        <v>13</v>
      </c>
      <c r="B830" t="s">
        <v>63</v>
      </c>
      <c r="C830" t="s">
        <v>835</v>
      </c>
      <c r="D830" t="s">
        <v>1091</v>
      </c>
      <c r="E830" t="s">
        <v>1241</v>
      </c>
      <c r="F830" t="s">
        <v>1314</v>
      </c>
    </row>
    <row r="831" spans="1:6">
      <c r="A831" t="s">
        <v>13</v>
      </c>
      <c r="B831" t="s">
        <v>63</v>
      </c>
      <c r="C831" t="s">
        <v>835</v>
      </c>
      <c r="D831" t="s">
        <v>1091</v>
      </c>
      <c r="E831" t="s">
        <v>1243</v>
      </c>
      <c r="F831" t="s">
        <v>1232</v>
      </c>
    </row>
    <row r="832" spans="1:6">
      <c r="A832" t="s">
        <v>13</v>
      </c>
      <c r="B832" t="s">
        <v>63</v>
      </c>
      <c r="C832" t="s">
        <v>835</v>
      </c>
      <c r="D832" t="s">
        <v>1091</v>
      </c>
      <c r="E832" t="s">
        <v>1244</v>
      </c>
      <c r="F832" t="s">
        <v>1229</v>
      </c>
    </row>
    <row r="833" spans="1:6">
      <c r="A833" t="s">
        <v>13</v>
      </c>
      <c r="B833" t="s">
        <v>63</v>
      </c>
      <c r="C833" t="s">
        <v>835</v>
      </c>
      <c r="D833" t="s">
        <v>1091</v>
      </c>
      <c r="E833" t="s">
        <v>1245</v>
      </c>
      <c r="F833" t="s">
        <v>1246</v>
      </c>
    </row>
    <row r="834" spans="1:6">
      <c r="A834" t="s">
        <v>13</v>
      </c>
      <c r="B834" t="s">
        <v>63</v>
      </c>
      <c r="C834" t="s">
        <v>835</v>
      </c>
      <c r="D834" t="s">
        <v>1091</v>
      </c>
      <c r="E834" t="s">
        <v>1247</v>
      </c>
      <c r="F834">
        <v>2932505</v>
      </c>
    </row>
    <row r="835" spans="1:6">
      <c r="A835" t="s">
        <v>13</v>
      </c>
      <c r="B835" t="s">
        <v>63</v>
      </c>
      <c r="C835" t="s">
        <v>835</v>
      </c>
      <c r="D835" t="s">
        <v>1091</v>
      </c>
      <c r="E835" t="s">
        <v>1248</v>
      </c>
      <c r="F835">
        <v>1554728</v>
      </c>
    </row>
    <row r="836" spans="1:6">
      <c r="A836" t="s">
        <v>13</v>
      </c>
      <c r="B836" t="s">
        <v>63</v>
      </c>
      <c r="C836" t="s">
        <v>835</v>
      </c>
      <c r="D836" t="s">
        <v>1091</v>
      </c>
      <c r="E836" t="s">
        <v>1249</v>
      </c>
      <c r="F836">
        <v>723151</v>
      </c>
    </row>
    <row r="837" spans="1:6">
      <c r="A837" t="s">
        <v>13</v>
      </c>
      <c r="B837" t="s">
        <v>63</v>
      </c>
      <c r="C837" t="s">
        <v>835</v>
      </c>
      <c r="D837" t="s">
        <v>1091</v>
      </c>
      <c r="E837" t="s">
        <v>1250</v>
      </c>
      <c r="F837">
        <v>370063</v>
      </c>
    </row>
    <row r="838" spans="1:6">
      <c r="A838" t="s">
        <v>13</v>
      </c>
      <c r="B838" t="s">
        <v>63</v>
      </c>
      <c r="C838" t="s">
        <v>835</v>
      </c>
      <c r="D838" t="s">
        <v>1091</v>
      </c>
      <c r="E838" t="s">
        <v>1251</v>
      </c>
      <c r="F838">
        <v>211990</v>
      </c>
    </row>
    <row r="839" spans="1:6">
      <c r="A839" t="s">
        <v>13</v>
      </c>
      <c r="B839" t="s">
        <v>63</v>
      </c>
      <c r="C839" t="s">
        <v>835</v>
      </c>
      <c r="D839" t="s">
        <v>1091</v>
      </c>
      <c r="E839" t="s">
        <v>1252</v>
      </c>
      <c r="F839">
        <v>41100</v>
      </c>
    </row>
    <row r="840" spans="1:6">
      <c r="A840" t="s">
        <v>13</v>
      </c>
      <c r="B840" t="s">
        <v>63</v>
      </c>
      <c r="C840" t="s">
        <v>835</v>
      </c>
      <c r="D840" t="s">
        <v>1091</v>
      </c>
      <c r="E840" t="s">
        <v>1253</v>
      </c>
      <c r="F840">
        <v>31473</v>
      </c>
    </row>
    <row r="841" spans="1:6">
      <c r="A841" t="s">
        <v>13</v>
      </c>
      <c r="B841" t="s">
        <v>63</v>
      </c>
      <c r="C841" t="s">
        <v>835</v>
      </c>
      <c r="D841" t="s">
        <v>1091</v>
      </c>
      <c r="E841" t="s">
        <v>1254</v>
      </c>
      <c r="F841" t="s">
        <v>1255</v>
      </c>
    </row>
    <row r="842" spans="1:6">
      <c r="A842" t="s">
        <v>13</v>
      </c>
      <c r="B842" t="s">
        <v>63</v>
      </c>
      <c r="C842" t="s">
        <v>835</v>
      </c>
      <c r="D842" t="s">
        <v>1091</v>
      </c>
      <c r="E842" t="s">
        <v>1256</v>
      </c>
      <c r="F842">
        <v>13425</v>
      </c>
    </row>
    <row r="843" spans="1:6">
      <c r="A843" t="s">
        <v>13</v>
      </c>
      <c r="B843" t="s">
        <v>63</v>
      </c>
      <c r="C843" t="s">
        <v>835</v>
      </c>
      <c r="D843" t="s">
        <v>1091</v>
      </c>
      <c r="E843" t="s">
        <v>1257</v>
      </c>
      <c r="F843">
        <v>5837</v>
      </c>
    </row>
    <row r="844" spans="1:6">
      <c r="A844" t="s">
        <v>13</v>
      </c>
      <c r="B844" t="s">
        <v>63</v>
      </c>
      <c r="C844" t="s">
        <v>835</v>
      </c>
      <c r="D844" t="s">
        <v>1091</v>
      </c>
      <c r="E844" t="s">
        <v>1258</v>
      </c>
      <c r="F844">
        <v>4953</v>
      </c>
    </row>
    <row r="845" spans="1:6">
      <c r="A845" t="s">
        <v>13</v>
      </c>
      <c r="B845" t="s">
        <v>63</v>
      </c>
      <c r="C845" t="s">
        <v>835</v>
      </c>
      <c r="D845" t="s">
        <v>1091</v>
      </c>
      <c r="E845" t="s">
        <v>1259</v>
      </c>
      <c r="F845">
        <v>1495</v>
      </c>
    </row>
    <row r="846" spans="1:6">
      <c r="A846" t="s">
        <v>13</v>
      </c>
      <c r="B846" t="s">
        <v>63</v>
      </c>
      <c r="C846" t="s">
        <v>835</v>
      </c>
      <c r="D846" t="s">
        <v>1091</v>
      </c>
      <c r="E846" t="s">
        <v>1260</v>
      </c>
      <c r="F846">
        <v>444</v>
      </c>
    </row>
    <row r="847" spans="1:6">
      <c r="A847" t="s">
        <v>13</v>
      </c>
      <c r="B847" t="s">
        <v>63</v>
      </c>
      <c r="C847" t="s">
        <v>835</v>
      </c>
      <c r="D847" t="s">
        <v>1091</v>
      </c>
      <c r="E847" t="s">
        <v>1261</v>
      </c>
      <c r="F847">
        <v>252</v>
      </c>
    </row>
    <row r="848" spans="1:6">
      <c r="A848" t="s">
        <v>13</v>
      </c>
      <c r="B848" t="s">
        <v>63</v>
      </c>
      <c r="C848" t="s">
        <v>835</v>
      </c>
      <c r="D848" t="s">
        <v>1091</v>
      </c>
      <c r="E848" t="s">
        <v>1262</v>
      </c>
      <c r="F848">
        <v>444</v>
      </c>
    </row>
    <row r="849" spans="1:6">
      <c r="A849" t="s">
        <v>13</v>
      </c>
      <c r="B849" t="s">
        <v>63</v>
      </c>
      <c r="C849" t="s">
        <v>835</v>
      </c>
      <c r="D849" t="s">
        <v>1091</v>
      </c>
      <c r="E849" t="s">
        <v>1263</v>
      </c>
      <c r="F849" t="s">
        <v>1131</v>
      </c>
    </row>
    <row r="850" spans="1:6">
      <c r="A850" t="s">
        <v>13</v>
      </c>
      <c r="B850" t="s">
        <v>63</v>
      </c>
      <c r="C850" t="s">
        <v>835</v>
      </c>
      <c r="D850" t="s">
        <v>1091</v>
      </c>
      <c r="E850" t="s">
        <v>1264</v>
      </c>
      <c r="F850" t="s">
        <v>1324</v>
      </c>
    </row>
    <row r="851" spans="1:6">
      <c r="A851" t="s">
        <v>13</v>
      </c>
      <c r="B851" t="s">
        <v>63</v>
      </c>
      <c r="C851" t="s">
        <v>835</v>
      </c>
      <c r="D851" t="s">
        <v>1091</v>
      </c>
      <c r="E851" t="s">
        <v>1265</v>
      </c>
      <c r="F851" t="s">
        <v>1315</v>
      </c>
    </row>
    <row r="852" spans="1:6">
      <c r="A852" t="s">
        <v>13</v>
      </c>
      <c r="B852" t="s">
        <v>63</v>
      </c>
      <c r="C852" t="s">
        <v>835</v>
      </c>
      <c r="D852" t="s">
        <v>1091</v>
      </c>
      <c r="E852" t="s">
        <v>1266</v>
      </c>
      <c r="F852" t="s">
        <v>1326</v>
      </c>
    </row>
    <row r="853" spans="1:6">
      <c r="A853" t="s">
        <v>13</v>
      </c>
      <c r="B853" t="s">
        <v>63</v>
      </c>
      <c r="C853" t="s">
        <v>835</v>
      </c>
      <c r="D853" t="s">
        <v>1091</v>
      </c>
      <c r="E853" t="s">
        <v>1268</v>
      </c>
      <c r="F853" t="s">
        <v>1330</v>
      </c>
    </row>
    <row r="854" spans="1:6">
      <c r="A854" t="s">
        <v>13</v>
      </c>
      <c r="B854" t="s">
        <v>63</v>
      </c>
      <c r="C854" t="s">
        <v>835</v>
      </c>
      <c r="D854" t="s">
        <v>1091</v>
      </c>
      <c r="E854" t="s">
        <v>1269</v>
      </c>
      <c r="F854" t="s">
        <v>1331</v>
      </c>
    </row>
    <row r="855" spans="1:6">
      <c r="A855" t="s">
        <v>13</v>
      </c>
      <c r="B855" t="s">
        <v>63</v>
      </c>
      <c r="C855" t="s">
        <v>835</v>
      </c>
      <c r="D855" t="s">
        <v>1091</v>
      </c>
      <c r="E855" t="s">
        <v>1271</v>
      </c>
      <c r="F855" t="s">
        <v>1321</v>
      </c>
    </row>
    <row r="856" spans="1:6">
      <c r="A856" t="s">
        <v>13</v>
      </c>
      <c r="B856" t="s">
        <v>63</v>
      </c>
      <c r="C856" t="s">
        <v>835</v>
      </c>
      <c r="D856" t="s">
        <v>1091</v>
      </c>
      <c r="E856" t="s">
        <v>1272</v>
      </c>
      <c r="F856" t="s">
        <v>1321</v>
      </c>
    </row>
    <row r="857" spans="1:6">
      <c r="A857" t="s">
        <v>13</v>
      </c>
      <c r="B857" t="s">
        <v>63</v>
      </c>
      <c r="C857" t="s">
        <v>835</v>
      </c>
      <c r="D857" t="s">
        <v>1273</v>
      </c>
      <c r="E857" t="s">
        <v>1274</v>
      </c>
      <c r="F857" t="s">
        <v>63</v>
      </c>
    </row>
    <row r="858" spans="1:6">
      <c r="A858" t="s">
        <v>13</v>
      </c>
      <c r="B858" t="s">
        <v>63</v>
      </c>
      <c r="C858" t="s">
        <v>835</v>
      </c>
      <c r="D858" t="s">
        <v>1273</v>
      </c>
      <c r="E858" t="s">
        <v>1275</v>
      </c>
      <c r="F858" t="s">
        <v>998</v>
      </c>
    </row>
    <row r="859" spans="1:6">
      <c r="A859" t="s">
        <v>13</v>
      </c>
      <c r="B859" t="s">
        <v>63</v>
      </c>
      <c r="C859" t="s">
        <v>835</v>
      </c>
      <c r="D859" t="s">
        <v>1273</v>
      </c>
      <c r="E859" t="s">
        <v>1276</v>
      </c>
      <c r="F859" t="s">
        <v>1277</v>
      </c>
    </row>
    <row r="860" spans="1:6">
      <c r="A860" t="s">
        <v>13</v>
      </c>
      <c r="B860" t="s">
        <v>63</v>
      </c>
      <c r="C860" t="s">
        <v>835</v>
      </c>
      <c r="D860" t="s">
        <v>1273</v>
      </c>
      <c r="E860" t="s">
        <v>1278</v>
      </c>
      <c r="F860" t="s">
        <v>998</v>
      </c>
    </row>
    <row r="861" spans="1:6">
      <c r="A861" t="s">
        <v>13</v>
      </c>
      <c r="B861" t="s">
        <v>63</v>
      </c>
      <c r="C861" t="s">
        <v>835</v>
      </c>
      <c r="D861" t="s">
        <v>1273</v>
      </c>
      <c r="E861" t="s">
        <v>1279</v>
      </c>
      <c r="F861" t="s">
        <v>1280</v>
      </c>
    </row>
    <row r="862" spans="1:6">
      <c r="A862" t="s">
        <v>13</v>
      </c>
      <c r="B862" t="s">
        <v>63</v>
      </c>
      <c r="C862" t="s">
        <v>835</v>
      </c>
      <c r="D862" t="s">
        <v>1273</v>
      </c>
      <c r="E862" t="s">
        <v>1281</v>
      </c>
      <c r="F862" t="s">
        <v>1282</v>
      </c>
    </row>
    <row r="863" spans="1:6">
      <c r="A863" t="s">
        <v>13</v>
      </c>
      <c r="B863" t="s">
        <v>63</v>
      </c>
      <c r="C863" t="s">
        <v>835</v>
      </c>
      <c r="D863" t="s">
        <v>1273</v>
      </c>
      <c r="E863" t="s">
        <v>1283</v>
      </c>
      <c r="F863" t="s">
        <v>1284</v>
      </c>
    </row>
    <row r="864" spans="1:6">
      <c r="A864" t="s">
        <v>13</v>
      </c>
      <c r="B864" t="s">
        <v>63</v>
      </c>
      <c r="C864" t="s">
        <v>835</v>
      </c>
      <c r="D864" t="s">
        <v>1273</v>
      </c>
      <c r="E864" t="s">
        <v>1285</v>
      </c>
      <c r="F864" t="s">
        <v>377</v>
      </c>
    </row>
    <row r="865" spans="1:6">
      <c r="A865" t="s">
        <v>13</v>
      </c>
      <c r="B865" t="s">
        <v>63</v>
      </c>
      <c r="C865" t="s">
        <v>835</v>
      </c>
      <c r="D865" t="s">
        <v>1273</v>
      </c>
      <c r="E865" t="s">
        <v>1286</v>
      </c>
      <c r="F865">
        <v>2280</v>
      </c>
    </row>
    <row r="866" spans="1:6">
      <c r="A866" t="s">
        <v>13</v>
      </c>
      <c r="B866" t="s">
        <v>63</v>
      </c>
      <c r="C866" t="s">
        <v>835</v>
      </c>
      <c r="D866" t="s">
        <v>1273</v>
      </c>
      <c r="E866" t="s">
        <v>1287</v>
      </c>
      <c r="F866">
        <v>611</v>
      </c>
    </row>
    <row r="867" spans="1:6">
      <c r="A867" t="s">
        <v>13</v>
      </c>
      <c r="B867" t="s">
        <v>63</v>
      </c>
      <c r="C867" t="s">
        <v>835</v>
      </c>
      <c r="D867" t="s">
        <v>1273</v>
      </c>
      <c r="E867" t="s">
        <v>1288</v>
      </c>
      <c r="F867" t="s">
        <v>379</v>
      </c>
    </row>
    <row r="868" spans="1:6">
      <c r="A868" t="s">
        <v>13</v>
      </c>
      <c r="B868" t="s">
        <v>63</v>
      </c>
      <c r="C868" t="s">
        <v>835</v>
      </c>
      <c r="D868" t="s">
        <v>1273</v>
      </c>
      <c r="E868" t="s">
        <v>1096</v>
      </c>
      <c r="F868">
        <v>1773</v>
      </c>
    </row>
    <row r="869" spans="1:6">
      <c r="A869" t="s">
        <v>13</v>
      </c>
      <c r="B869" t="s">
        <v>63</v>
      </c>
      <c r="C869" t="s">
        <v>835</v>
      </c>
      <c r="D869" t="s">
        <v>1273</v>
      </c>
      <c r="E869" t="s">
        <v>1004</v>
      </c>
      <c r="F869">
        <v>7665</v>
      </c>
    </row>
    <row r="870" spans="1:6">
      <c r="A870" t="s">
        <v>13</v>
      </c>
      <c r="B870" t="s">
        <v>63</v>
      </c>
      <c r="C870" t="s">
        <v>835</v>
      </c>
      <c r="D870" t="s">
        <v>1273</v>
      </c>
      <c r="E870" t="s">
        <v>1289</v>
      </c>
      <c r="F870" t="s">
        <v>381</v>
      </c>
    </row>
    <row r="871" spans="1:6">
      <c r="A871" t="s">
        <v>13</v>
      </c>
      <c r="B871" t="s">
        <v>63</v>
      </c>
      <c r="C871" t="s">
        <v>835</v>
      </c>
      <c r="D871" t="s">
        <v>1273</v>
      </c>
      <c r="E871" t="s">
        <v>1290</v>
      </c>
      <c r="F871">
        <v>4974</v>
      </c>
    </row>
    <row r="872" spans="1:6">
      <c r="A872" t="s">
        <v>13</v>
      </c>
      <c r="B872" t="s">
        <v>63</v>
      </c>
      <c r="C872" t="s">
        <v>835</v>
      </c>
      <c r="D872" t="s">
        <v>1273</v>
      </c>
      <c r="E872" t="s">
        <v>1291</v>
      </c>
      <c r="F872">
        <v>241529</v>
      </c>
    </row>
    <row r="873" spans="1:6">
      <c r="A873" t="s">
        <v>13</v>
      </c>
      <c r="B873" t="s">
        <v>63</v>
      </c>
      <c r="C873" t="s">
        <v>835</v>
      </c>
      <c r="D873" t="s">
        <v>1273</v>
      </c>
      <c r="E873" t="s">
        <v>1008</v>
      </c>
      <c r="F873" t="s">
        <v>383</v>
      </c>
    </row>
    <row r="874" spans="1:6">
      <c r="A874" t="s">
        <v>13</v>
      </c>
      <c r="B874" t="s">
        <v>63</v>
      </c>
      <c r="C874" t="s">
        <v>835</v>
      </c>
      <c r="D874" t="s">
        <v>1273</v>
      </c>
      <c r="E874" t="s">
        <v>1010</v>
      </c>
      <c r="F874">
        <v>5181</v>
      </c>
    </row>
    <row r="875" spans="1:6">
      <c r="A875" t="s">
        <v>13</v>
      </c>
      <c r="B875" t="s">
        <v>63</v>
      </c>
      <c r="C875" t="s">
        <v>835</v>
      </c>
      <c r="D875" t="s">
        <v>1273</v>
      </c>
      <c r="E875" t="s">
        <v>1012</v>
      </c>
      <c r="F875">
        <v>1478164</v>
      </c>
    </row>
    <row r="876" spans="1:6">
      <c r="A876" t="s">
        <v>13</v>
      </c>
      <c r="B876" t="s">
        <v>63</v>
      </c>
      <c r="C876" t="s">
        <v>835</v>
      </c>
      <c r="D876" t="s">
        <v>1273</v>
      </c>
      <c r="E876" t="s">
        <v>1035</v>
      </c>
      <c r="F876" t="s">
        <v>385</v>
      </c>
    </row>
    <row r="877" spans="1:6">
      <c r="A877" t="s">
        <v>13</v>
      </c>
      <c r="B877" t="s">
        <v>63</v>
      </c>
      <c r="C877" t="s">
        <v>835</v>
      </c>
      <c r="D877" t="s">
        <v>1273</v>
      </c>
      <c r="E877" t="s">
        <v>1099</v>
      </c>
      <c r="F877">
        <v>608</v>
      </c>
    </row>
    <row r="878" spans="1:6">
      <c r="A878" t="s">
        <v>13</v>
      </c>
      <c r="B878" t="s">
        <v>63</v>
      </c>
      <c r="C878" t="s">
        <v>835</v>
      </c>
      <c r="D878" t="s">
        <v>1273</v>
      </c>
      <c r="E878" t="s">
        <v>1100</v>
      </c>
      <c r="F878">
        <v>1589619</v>
      </c>
    </row>
    <row r="879" spans="1:6">
      <c r="A879" t="s">
        <v>13</v>
      </c>
      <c r="B879" t="s">
        <v>63</v>
      </c>
      <c r="C879" t="s">
        <v>835</v>
      </c>
      <c r="D879" t="s">
        <v>1273</v>
      </c>
      <c r="E879" t="s">
        <v>1037</v>
      </c>
      <c r="F879" t="s">
        <v>1292</v>
      </c>
    </row>
    <row r="880" spans="1:6">
      <c r="A880" t="s">
        <v>13</v>
      </c>
      <c r="B880" t="s">
        <v>63</v>
      </c>
      <c r="C880" t="s">
        <v>835</v>
      </c>
      <c r="D880" t="s">
        <v>1273</v>
      </c>
      <c r="E880" t="s">
        <v>1103</v>
      </c>
      <c r="F880">
        <v>14816</v>
      </c>
    </row>
    <row r="881" spans="1:6">
      <c r="A881" t="s">
        <v>13</v>
      </c>
      <c r="B881" t="s">
        <v>63</v>
      </c>
      <c r="C881" t="s">
        <v>835</v>
      </c>
      <c r="D881" t="s">
        <v>1273</v>
      </c>
      <c r="E881" t="s">
        <v>1104</v>
      </c>
      <c r="F881">
        <v>3317587</v>
      </c>
    </row>
    <row r="882" spans="1:6">
      <c r="A882" t="s">
        <v>13</v>
      </c>
      <c r="B882" t="s">
        <v>63</v>
      </c>
      <c r="C882" t="s">
        <v>835</v>
      </c>
      <c r="D882" t="s">
        <v>1273</v>
      </c>
      <c r="E882" t="s">
        <v>1052</v>
      </c>
      <c r="F882" t="s">
        <v>1293</v>
      </c>
    </row>
    <row r="883" spans="1:6">
      <c r="A883" t="s">
        <v>13</v>
      </c>
      <c r="B883" t="s">
        <v>63</v>
      </c>
      <c r="C883" t="s">
        <v>835</v>
      </c>
      <c r="D883" t="s">
        <v>1273</v>
      </c>
      <c r="E883" t="s">
        <v>1053</v>
      </c>
      <c r="F883" t="s">
        <v>1294</v>
      </c>
    </row>
    <row r="884" spans="1:6">
      <c r="A884" t="s">
        <v>13</v>
      </c>
      <c r="B884" t="s">
        <v>63</v>
      </c>
      <c r="C884" t="s">
        <v>835</v>
      </c>
      <c r="D884" t="s">
        <v>1273</v>
      </c>
      <c r="E884" t="s">
        <v>1108</v>
      </c>
      <c r="F884">
        <v>264</v>
      </c>
    </row>
    <row r="885" spans="1:6">
      <c r="A885" t="s">
        <v>13</v>
      </c>
      <c r="B885" t="s">
        <v>63</v>
      </c>
      <c r="C885" t="s">
        <v>835</v>
      </c>
      <c r="D885" t="s">
        <v>1273</v>
      </c>
      <c r="E885" t="s">
        <v>1109</v>
      </c>
      <c r="F885">
        <v>42586</v>
      </c>
    </row>
    <row r="886" spans="1:6">
      <c r="A886" t="s">
        <v>13</v>
      </c>
      <c r="B886" t="s">
        <v>63</v>
      </c>
      <c r="C886" t="s">
        <v>835</v>
      </c>
      <c r="D886" t="s">
        <v>1273</v>
      </c>
      <c r="E886" t="s">
        <v>1113</v>
      </c>
      <c r="F886">
        <v>2018</v>
      </c>
    </row>
    <row r="887" spans="1:6">
      <c r="A887" t="s">
        <v>13</v>
      </c>
      <c r="B887" t="s">
        <v>63</v>
      </c>
      <c r="C887" t="s">
        <v>835</v>
      </c>
      <c r="D887" t="s">
        <v>1273</v>
      </c>
      <c r="E887" t="s">
        <v>1114</v>
      </c>
      <c r="F887">
        <v>4</v>
      </c>
    </row>
    <row r="888" spans="1:6">
      <c r="A888" t="s">
        <v>13</v>
      </c>
      <c r="B888" t="s">
        <v>63</v>
      </c>
      <c r="C888" t="s">
        <v>835</v>
      </c>
      <c r="D888" t="s">
        <v>1273</v>
      </c>
      <c r="E888" t="s">
        <v>1115</v>
      </c>
      <c r="F888">
        <v>5395</v>
      </c>
    </row>
    <row r="889" spans="1:6">
      <c r="A889" t="s">
        <v>13</v>
      </c>
      <c r="B889" t="s">
        <v>63</v>
      </c>
      <c r="C889" t="s">
        <v>835</v>
      </c>
      <c r="D889" t="s">
        <v>1273</v>
      </c>
      <c r="E889" t="s">
        <v>1118</v>
      </c>
      <c r="F889">
        <v>2019</v>
      </c>
    </row>
    <row r="890" spans="1:6">
      <c r="A890" t="s">
        <v>13</v>
      </c>
      <c r="B890" t="s">
        <v>63</v>
      </c>
      <c r="C890" t="s">
        <v>835</v>
      </c>
      <c r="D890" t="s">
        <v>1273</v>
      </c>
      <c r="E890" t="s">
        <v>1119</v>
      </c>
      <c r="F890">
        <v>6</v>
      </c>
    </row>
    <row r="891" spans="1:6">
      <c r="A891" t="s">
        <v>13</v>
      </c>
      <c r="B891" t="s">
        <v>63</v>
      </c>
      <c r="C891" t="s">
        <v>835</v>
      </c>
      <c r="D891" t="s">
        <v>1273</v>
      </c>
      <c r="E891" t="s">
        <v>1120</v>
      </c>
      <c r="F891">
        <v>2361</v>
      </c>
    </row>
    <row r="892" spans="1:6">
      <c r="A892" t="s">
        <v>13</v>
      </c>
      <c r="B892" t="s">
        <v>63</v>
      </c>
      <c r="C892" t="s">
        <v>835</v>
      </c>
      <c r="D892" t="s">
        <v>1273</v>
      </c>
      <c r="E892" t="s">
        <v>1124</v>
      </c>
      <c r="F892">
        <v>2020</v>
      </c>
    </row>
    <row r="893" spans="1:6">
      <c r="A893" t="s">
        <v>13</v>
      </c>
      <c r="B893" t="s">
        <v>63</v>
      </c>
      <c r="C893" t="s">
        <v>835</v>
      </c>
      <c r="D893" t="s">
        <v>1273</v>
      </c>
      <c r="E893" t="s">
        <v>1126</v>
      </c>
      <c r="F893" t="s">
        <v>1295</v>
      </c>
    </row>
    <row r="894" spans="1:6">
      <c r="A894" t="s">
        <v>13</v>
      </c>
      <c r="B894" t="s">
        <v>63</v>
      </c>
      <c r="C894" t="s">
        <v>835</v>
      </c>
      <c r="D894" t="s">
        <v>1273</v>
      </c>
      <c r="E894" t="s">
        <v>1127</v>
      </c>
      <c r="F894" t="s">
        <v>1295</v>
      </c>
    </row>
    <row r="895" spans="1:6">
      <c r="A895" t="s">
        <v>13</v>
      </c>
      <c r="B895" t="s">
        <v>63</v>
      </c>
      <c r="C895" t="s">
        <v>835</v>
      </c>
      <c r="D895" t="s">
        <v>1273</v>
      </c>
      <c r="E895" t="s">
        <v>1057</v>
      </c>
      <c r="F895">
        <v>2021</v>
      </c>
    </row>
    <row r="896" spans="1:6">
      <c r="A896" t="s">
        <v>13</v>
      </c>
      <c r="B896" t="s">
        <v>63</v>
      </c>
      <c r="C896" t="s">
        <v>835</v>
      </c>
      <c r="D896" t="s">
        <v>1273</v>
      </c>
      <c r="E896" t="s">
        <v>1058</v>
      </c>
      <c r="F896">
        <v>1</v>
      </c>
    </row>
    <row r="897" spans="1:6">
      <c r="A897" t="s">
        <v>13</v>
      </c>
      <c r="B897" t="s">
        <v>63</v>
      </c>
      <c r="C897" t="s">
        <v>835</v>
      </c>
      <c r="D897" t="s">
        <v>1273</v>
      </c>
      <c r="E897" t="s">
        <v>1059</v>
      </c>
      <c r="F897">
        <v>1</v>
      </c>
    </row>
    <row r="898" spans="1:6">
      <c r="A898" t="s">
        <v>13</v>
      </c>
      <c r="B898" t="s">
        <v>63</v>
      </c>
      <c r="C898" t="s">
        <v>835</v>
      </c>
      <c r="D898" t="s">
        <v>1273</v>
      </c>
      <c r="E898" t="s">
        <v>1072</v>
      </c>
      <c r="F898">
        <v>2022</v>
      </c>
    </row>
    <row r="899" spans="1:6">
      <c r="A899" t="s">
        <v>13</v>
      </c>
      <c r="B899" t="s">
        <v>63</v>
      </c>
      <c r="C899" t="s">
        <v>835</v>
      </c>
      <c r="D899" t="s">
        <v>1273</v>
      </c>
      <c r="E899" t="s">
        <v>1133</v>
      </c>
      <c r="F899" t="s">
        <v>1295</v>
      </c>
    </row>
    <row r="900" spans="1:6">
      <c r="A900" t="s">
        <v>13</v>
      </c>
      <c r="B900" t="s">
        <v>63</v>
      </c>
      <c r="C900" t="s">
        <v>835</v>
      </c>
      <c r="D900" t="s">
        <v>1273</v>
      </c>
      <c r="E900" t="s">
        <v>1134</v>
      </c>
      <c r="F900" t="s">
        <v>1295</v>
      </c>
    </row>
    <row r="901" spans="1:6">
      <c r="A901" t="s">
        <v>13</v>
      </c>
      <c r="B901" t="s">
        <v>63</v>
      </c>
      <c r="C901" t="s">
        <v>835</v>
      </c>
      <c r="D901" t="s">
        <v>1273</v>
      </c>
      <c r="E901" t="s">
        <v>1074</v>
      </c>
      <c r="F901">
        <v>2023</v>
      </c>
    </row>
    <row r="902" spans="1:6">
      <c r="A902" t="s">
        <v>13</v>
      </c>
      <c r="B902" t="s">
        <v>63</v>
      </c>
      <c r="C902" t="s">
        <v>835</v>
      </c>
      <c r="D902" t="s">
        <v>1273</v>
      </c>
      <c r="E902" t="s">
        <v>1296</v>
      </c>
      <c r="F902">
        <v>1</v>
      </c>
    </row>
    <row r="903" spans="1:6">
      <c r="A903" t="s">
        <v>13</v>
      </c>
      <c r="B903" t="s">
        <v>63</v>
      </c>
      <c r="C903" t="s">
        <v>835</v>
      </c>
      <c r="D903" t="s">
        <v>1273</v>
      </c>
      <c r="E903" t="s">
        <v>1297</v>
      </c>
      <c r="F903">
        <v>963</v>
      </c>
    </row>
    <row r="904" spans="1:6">
      <c r="A904" t="s">
        <v>13</v>
      </c>
      <c r="B904" t="s">
        <v>63</v>
      </c>
      <c r="C904" t="s">
        <v>835</v>
      </c>
      <c r="D904" t="s">
        <v>1273</v>
      </c>
      <c r="E904" t="s">
        <v>1076</v>
      </c>
      <c r="F904">
        <v>2024</v>
      </c>
    </row>
    <row r="905" spans="1:6">
      <c r="A905" t="s">
        <v>13</v>
      </c>
      <c r="B905" t="s">
        <v>63</v>
      </c>
      <c r="C905" t="s">
        <v>835</v>
      </c>
      <c r="D905" t="s">
        <v>1273</v>
      </c>
      <c r="E905" t="s">
        <v>1077</v>
      </c>
      <c r="F905">
        <v>21</v>
      </c>
    </row>
    <row r="906" spans="1:6">
      <c r="A906" t="s">
        <v>13</v>
      </c>
      <c r="B906" t="s">
        <v>63</v>
      </c>
      <c r="C906" t="s">
        <v>835</v>
      </c>
      <c r="D906" t="s">
        <v>1273</v>
      </c>
      <c r="E906" t="s">
        <v>1078</v>
      </c>
      <c r="F906">
        <v>30040</v>
      </c>
    </row>
    <row r="907" spans="1:6">
      <c r="A907" t="s">
        <v>13</v>
      </c>
      <c r="B907" t="s">
        <v>63</v>
      </c>
      <c r="C907" t="s">
        <v>835</v>
      </c>
      <c r="D907" t="s">
        <v>1273</v>
      </c>
      <c r="E907" t="s">
        <v>1090</v>
      </c>
      <c r="F907">
        <v>2025</v>
      </c>
    </row>
    <row r="908" spans="1:6">
      <c r="A908" t="s">
        <v>13</v>
      </c>
      <c r="B908" t="s">
        <v>63</v>
      </c>
      <c r="C908" t="s">
        <v>835</v>
      </c>
      <c r="D908" t="s">
        <v>1273</v>
      </c>
      <c r="E908" t="s">
        <v>1139</v>
      </c>
      <c r="F908">
        <v>970</v>
      </c>
    </row>
    <row r="909" spans="1:6">
      <c r="A909" t="s">
        <v>13</v>
      </c>
      <c r="B909" t="s">
        <v>63</v>
      </c>
      <c r="C909" t="s">
        <v>835</v>
      </c>
      <c r="D909" t="s">
        <v>1273</v>
      </c>
      <c r="E909" t="s">
        <v>1140</v>
      </c>
      <c r="F909">
        <v>267461</v>
      </c>
    </row>
    <row r="910" spans="1:6">
      <c r="A910" t="s">
        <v>13</v>
      </c>
      <c r="B910" t="s">
        <v>63</v>
      </c>
      <c r="C910" t="s">
        <v>835</v>
      </c>
      <c r="D910" t="s">
        <v>1273</v>
      </c>
      <c r="E910" t="s">
        <v>1298</v>
      </c>
      <c r="F910">
        <v>2026</v>
      </c>
    </row>
    <row r="911" spans="1:6">
      <c r="A911" t="s">
        <v>13</v>
      </c>
      <c r="B911" t="s">
        <v>63</v>
      </c>
      <c r="C911" t="s">
        <v>835</v>
      </c>
      <c r="D911" t="s">
        <v>1273</v>
      </c>
      <c r="E911" t="s">
        <v>1299</v>
      </c>
      <c r="F911">
        <v>13549</v>
      </c>
    </row>
    <row r="912" spans="1:6">
      <c r="A912" t="s">
        <v>13</v>
      </c>
      <c r="B912" t="s">
        <v>63</v>
      </c>
      <c r="C912" t="s">
        <v>835</v>
      </c>
      <c r="D912" t="s">
        <v>1273</v>
      </c>
      <c r="E912" t="s">
        <v>1300</v>
      </c>
      <c r="F912">
        <v>2968779</v>
      </c>
    </row>
    <row r="913" spans="1:6">
      <c r="A913" t="s">
        <v>13</v>
      </c>
      <c r="B913" t="s">
        <v>63</v>
      </c>
      <c r="C913" t="s">
        <v>835</v>
      </c>
      <c r="D913" t="s">
        <v>1273</v>
      </c>
      <c r="E913" t="s">
        <v>1301</v>
      </c>
      <c r="F913" t="s">
        <v>1292</v>
      </c>
    </row>
    <row r="914" spans="1:6">
      <c r="A914" t="s">
        <v>13</v>
      </c>
      <c r="B914" t="s">
        <v>63</v>
      </c>
      <c r="C914" t="s">
        <v>835</v>
      </c>
      <c r="D914" t="s">
        <v>1273</v>
      </c>
      <c r="E914" t="s">
        <v>1302</v>
      </c>
      <c r="F914">
        <v>14816</v>
      </c>
    </row>
    <row r="915" spans="1:6">
      <c r="A915" t="s">
        <v>13</v>
      </c>
      <c r="B915" t="s">
        <v>63</v>
      </c>
      <c r="C915" t="s">
        <v>835</v>
      </c>
      <c r="D915" t="s">
        <v>1273</v>
      </c>
      <c r="E915" t="s">
        <v>1303</v>
      </c>
      <c r="F915">
        <v>3317587</v>
      </c>
    </row>
    <row r="916" spans="1:6">
      <c r="A916" t="s">
        <v>13</v>
      </c>
      <c r="B916" t="s">
        <v>68</v>
      </c>
      <c r="C916" t="s">
        <v>835</v>
      </c>
      <c r="D916" t="s">
        <v>991</v>
      </c>
      <c r="E916" t="s">
        <v>1274</v>
      </c>
      <c r="F916" t="s">
        <v>993</v>
      </c>
    </row>
    <row r="917" spans="1:6">
      <c r="A917" t="s">
        <v>13</v>
      </c>
      <c r="B917" t="s">
        <v>68</v>
      </c>
      <c r="C917" t="s">
        <v>835</v>
      </c>
      <c r="D917" t="s">
        <v>991</v>
      </c>
      <c r="E917" t="s">
        <v>1276</v>
      </c>
      <c r="F917" t="s">
        <v>1094</v>
      </c>
    </row>
    <row r="918" spans="1:6">
      <c r="A918" t="s">
        <v>13</v>
      </c>
      <c r="B918" t="s">
        <v>68</v>
      </c>
      <c r="C918" t="s">
        <v>835</v>
      </c>
      <c r="D918" t="s">
        <v>991</v>
      </c>
      <c r="E918" t="s">
        <v>1332</v>
      </c>
      <c r="F918" t="s">
        <v>68</v>
      </c>
    </row>
    <row r="919" spans="1:6">
      <c r="A919" t="s">
        <v>13</v>
      </c>
      <c r="B919" t="s">
        <v>68</v>
      </c>
      <c r="C919" t="s">
        <v>835</v>
      </c>
      <c r="D919" t="s">
        <v>991</v>
      </c>
      <c r="E919" t="s">
        <v>1333</v>
      </c>
      <c r="F919" t="s">
        <v>996</v>
      </c>
    </row>
    <row r="920" spans="1:6">
      <c r="A920" t="s">
        <v>13</v>
      </c>
      <c r="B920" t="s">
        <v>68</v>
      </c>
      <c r="C920" t="s">
        <v>835</v>
      </c>
      <c r="D920" t="s">
        <v>991</v>
      </c>
      <c r="E920" t="s">
        <v>1334</v>
      </c>
      <c r="F920" t="s">
        <v>998</v>
      </c>
    </row>
    <row r="921" spans="1:6">
      <c r="A921" t="s">
        <v>13</v>
      </c>
      <c r="B921" t="s">
        <v>68</v>
      </c>
      <c r="C921" t="s">
        <v>835</v>
      </c>
      <c r="D921" t="s">
        <v>991</v>
      </c>
      <c r="E921" t="s">
        <v>1093</v>
      </c>
      <c r="F921" t="s">
        <v>1000</v>
      </c>
    </row>
    <row r="922" spans="1:6">
      <c r="A922" t="s">
        <v>13</v>
      </c>
      <c r="B922" t="s">
        <v>68</v>
      </c>
      <c r="C922" t="s">
        <v>835</v>
      </c>
      <c r="D922" t="s">
        <v>991</v>
      </c>
      <c r="E922" t="s">
        <v>994</v>
      </c>
      <c r="F922" t="s">
        <v>10</v>
      </c>
    </row>
    <row r="923" spans="1:6">
      <c r="A923" t="s">
        <v>13</v>
      </c>
      <c r="B923" t="s">
        <v>68</v>
      </c>
      <c r="C923" t="s">
        <v>835</v>
      </c>
      <c r="D923" t="s">
        <v>991</v>
      </c>
      <c r="E923" t="s">
        <v>1283</v>
      </c>
      <c r="F923" t="s">
        <v>1003</v>
      </c>
    </row>
    <row r="924" spans="1:6">
      <c r="A924" t="s">
        <v>13</v>
      </c>
      <c r="B924" t="s">
        <v>68</v>
      </c>
      <c r="C924" t="s">
        <v>835</v>
      </c>
      <c r="D924" t="s">
        <v>991</v>
      </c>
      <c r="E924" t="s">
        <v>1287</v>
      </c>
      <c r="F924" t="s">
        <v>1005</v>
      </c>
    </row>
    <row r="925" spans="1:6">
      <c r="A925" t="s">
        <v>13</v>
      </c>
      <c r="B925" t="s">
        <v>68</v>
      </c>
      <c r="C925" t="s">
        <v>835</v>
      </c>
      <c r="D925" t="s">
        <v>991</v>
      </c>
      <c r="E925" t="s">
        <v>1335</v>
      </c>
      <c r="F925" t="s">
        <v>1007</v>
      </c>
    </row>
    <row r="926" spans="1:6">
      <c r="A926" t="s">
        <v>13</v>
      </c>
      <c r="B926" t="s">
        <v>68</v>
      </c>
      <c r="C926" t="s">
        <v>835</v>
      </c>
      <c r="D926" t="s">
        <v>991</v>
      </c>
      <c r="E926" t="s">
        <v>1289</v>
      </c>
      <c r="F926" t="s">
        <v>1009</v>
      </c>
    </row>
    <row r="927" spans="1:6">
      <c r="A927" t="s">
        <v>13</v>
      </c>
      <c r="B927" t="s">
        <v>68</v>
      </c>
      <c r="C927" t="s">
        <v>835</v>
      </c>
      <c r="D927" t="s">
        <v>991</v>
      </c>
      <c r="E927" t="s">
        <v>1290</v>
      </c>
      <c r="F927" t="s">
        <v>1011</v>
      </c>
    </row>
    <row r="928" spans="1:6">
      <c r="A928" t="s">
        <v>13</v>
      </c>
      <c r="B928" t="s">
        <v>68</v>
      </c>
      <c r="C928" t="s">
        <v>835</v>
      </c>
      <c r="D928" t="s">
        <v>991</v>
      </c>
      <c r="E928" t="s">
        <v>1291</v>
      </c>
      <c r="F928" t="s">
        <v>1013</v>
      </c>
    </row>
    <row r="929" spans="1:6">
      <c r="A929" t="s">
        <v>13</v>
      </c>
      <c r="B929" t="s">
        <v>68</v>
      </c>
      <c r="C929" t="s">
        <v>835</v>
      </c>
      <c r="D929" t="s">
        <v>991</v>
      </c>
      <c r="E929" t="s">
        <v>1336</v>
      </c>
      <c r="F929" t="s">
        <v>1015</v>
      </c>
    </row>
    <row r="930" spans="1:6">
      <c r="A930" t="s">
        <v>13</v>
      </c>
      <c r="B930" t="s">
        <v>68</v>
      </c>
      <c r="C930" t="s">
        <v>835</v>
      </c>
      <c r="D930" t="s">
        <v>991</v>
      </c>
      <c r="E930" t="s">
        <v>1337</v>
      </c>
      <c r="F930" t="s">
        <v>1017</v>
      </c>
    </row>
    <row r="931" spans="1:6">
      <c r="A931" t="s">
        <v>13</v>
      </c>
      <c r="B931" t="s">
        <v>68</v>
      </c>
      <c r="C931" t="s">
        <v>835</v>
      </c>
      <c r="D931" t="s">
        <v>991</v>
      </c>
      <c r="E931" t="s">
        <v>1338</v>
      </c>
      <c r="F931" t="s">
        <v>1019</v>
      </c>
    </row>
    <row r="932" spans="1:6">
      <c r="A932" t="s">
        <v>13</v>
      </c>
      <c r="B932" t="s">
        <v>68</v>
      </c>
      <c r="C932" t="s">
        <v>835</v>
      </c>
      <c r="D932" t="s">
        <v>991</v>
      </c>
      <c r="E932" t="s">
        <v>1339</v>
      </c>
      <c r="F932" t="s">
        <v>1021</v>
      </c>
    </row>
    <row r="933" spans="1:6">
      <c r="A933" t="s">
        <v>13</v>
      </c>
      <c r="B933" t="s">
        <v>68</v>
      </c>
      <c r="C933" t="s">
        <v>835</v>
      </c>
      <c r="D933" t="s">
        <v>991</v>
      </c>
      <c r="E933" t="s">
        <v>1340</v>
      </c>
      <c r="F933" t="s">
        <v>1023</v>
      </c>
    </row>
    <row r="934" spans="1:6">
      <c r="A934" t="s">
        <v>13</v>
      </c>
      <c r="B934" t="s">
        <v>68</v>
      </c>
      <c r="C934" t="s">
        <v>835</v>
      </c>
      <c r="D934" t="s">
        <v>991</v>
      </c>
      <c r="E934" t="s">
        <v>1341</v>
      </c>
      <c r="F934" t="s">
        <v>1025</v>
      </c>
    </row>
    <row r="935" spans="1:6">
      <c r="A935" t="s">
        <v>13</v>
      </c>
      <c r="B935" t="s">
        <v>68</v>
      </c>
      <c r="C935" t="s">
        <v>835</v>
      </c>
      <c r="D935" t="s">
        <v>991</v>
      </c>
      <c r="E935" t="s">
        <v>1342</v>
      </c>
      <c r="F935" t="s">
        <v>1027</v>
      </c>
    </row>
    <row r="936" spans="1:6">
      <c r="A936" t="s">
        <v>13</v>
      </c>
      <c r="B936" t="s">
        <v>68</v>
      </c>
      <c r="C936" t="s">
        <v>835</v>
      </c>
      <c r="D936" t="s">
        <v>991</v>
      </c>
      <c r="E936" t="s">
        <v>1343</v>
      </c>
      <c r="F936" t="s">
        <v>1029</v>
      </c>
    </row>
    <row r="937" spans="1:6">
      <c r="A937" t="s">
        <v>13</v>
      </c>
      <c r="B937" t="s">
        <v>68</v>
      </c>
      <c r="C937" t="s">
        <v>835</v>
      </c>
      <c r="D937" t="s">
        <v>991</v>
      </c>
      <c r="E937" t="s">
        <v>1344</v>
      </c>
      <c r="F937" t="s">
        <v>1031</v>
      </c>
    </row>
    <row r="938" spans="1:6">
      <c r="A938" t="s">
        <v>13</v>
      </c>
      <c r="B938" t="s">
        <v>68</v>
      </c>
      <c r="C938" t="s">
        <v>835</v>
      </c>
      <c r="D938" t="s">
        <v>991</v>
      </c>
      <c r="E938" t="s">
        <v>1345</v>
      </c>
      <c r="F938" t="s">
        <v>1033</v>
      </c>
    </row>
    <row r="939" spans="1:6">
      <c r="A939" t="s">
        <v>13</v>
      </c>
      <c r="B939" t="s">
        <v>68</v>
      </c>
      <c r="C939" t="s">
        <v>835</v>
      </c>
      <c r="D939" t="s">
        <v>991</v>
      </c>
      <c r="E939" t="s">
        <v>1006</v>
      </c>
      <c r="F939" t="s">
        <v>50</v>
      </c>
    </row>
    <row r="940" spans="1:6">
      <c r="A940" t="s">
        <v>13</v>
      </c>
      <c r="B940" t="s">
        <v>68</v>
      </c>
      <c r="C940" t="s">
        <v>835</v>
      </c>
      <c r="D940" t="s">
        <v>991</v>
      </c>
      <c r="E940" t="s">
        <v>1008</v>
      </c>
      <c r="F940">
        <v>120219169</v>
      </c>
    </row>
    <row r="941" spans="1:6">
      <c r="A941" t="s">
        <v>13</v>
      </c>
      <c r="B941" t="s">
        <v>68</v>
      </c>
      <c r="C941" t="s">
        <v>835</v>
      </c>
      <c r="D941" t="s">
        <v>991</v>
      </c>
      <c r="E941" t="s">
        <v>1034</v>
      </c>
      <c r="F941">
        <v>2025</v>
      </c>
    </row>
    <row r="942" spans="1:6">
      <c r="A942" t="s">
        <v>13</v>
      </c>
      <c r="B942" t="s">
        <v>68</v>
      </c>
      <c r="C942" t="s">
        <v>835</v>
      </c>
      <c r="D942" t="s">
        <v>991</v>
      </c>
      <c r="E942" t="s">
        <v>1035</v>
      </c>
      <c r="F942">
        <v>18317521</v>
      </c>
    </row>
    <row r="943" spans="1:6">
      <c r="A943" t="s">
        <v>13</v>
      </c>
      <c r="B943" t="s">
        <v>68</v>
      </c>
      <c r="C943" t="s">
        <v>835</v>
      </c>
      <c r="D943" t="s">
        <v>991</v>
      </c>
      <c r="E943" t="s">
        <v>1036</v>
      </c>
      <c r="F943">
        <v>2026</v>
      </c>
    </row>
    <row r="944" spans="1:6">
      <c r="A944" t="s">
        <v>13</v>
      </c>
      <c r="B944" t="s">
        <v>68</v>
      </c>
      <c r="C944" t="s">
        <v>835</v>
      </c>
      <c r="D944" t="s">
        <v>991</v>
      </c>
      <c r="E944" t="s">
        <v>1037</v>
      </c>
      <c r="F944">
        <v>4971406</v>
      </c>
    </row>
    <row r="945" spans="1:6">
      <c r="A945" t="s">
        <v>13</v>
      </c>
      <c r="B945" t="s">
        <v>68</v>
      </c>
      <c r="C945" t="s">
        <v>835</v>
      </c>
      <c r="D945" t="s">
        <v>991</v>
      </c>
      <c r="E945" t="s">
        <v>1103</v>
      </c>
      <c r="F945">
        <v>600143</v>
      </c>
    </row>
    <row r="946" spans="1:6">
      <c r="A946" t="s">
        <v>13</v>
      </c>
      <c r="B946" t="s">
        <v>68</v>
      </c>
      <c r="C946" t="s">
        <v>835</v>
      </c>
      <c r="D946" t="s">
        <v>991</v>
      </c>
      <c r="E946" t="s">
        <v>1104</v>
      </c>
      <c r="F946">
        <v>980406</v>
      </c>
    </row>
    <row r="947" spans="1:6">
      <c r="A947" t="s">
        <v>13</v>
      </c>
      <c r="B947" t="s">
        <v>68</v>
      </c>
      <c r="C947" t="s">
        <v>835</v>
      </c>
      <c r="D947" t="s">
        <v>991</v>
      </c>
      <c r="E947" t="s">
        <v>1105</v>
      </c>
      <c r="F947">
        <v>802186</v>
      </c>
    </row>
    <row r="948" spans="1:6">
      <c r="A948" t="s">
        <v>13</v>
      </c>
      <c r="B948" t="s">
        <v>68</v>
      </c>
      <c r="C948" t="s">
        <v>835</v>
      </c>
      <c r="D948" t="s">
        <v>991</v>
      </c>
      <c r="E948" t="s">
        <v>1346</v>
      </c>
      <c r="F948">
        <v>713748</v>
      </c>
    </row>
    <row r="949" spans="1:6">
      <c r="A949" t="s">
        <v>13</v>
      </c>
      <c r="B949" t="s">
        <v>68</v>
      </c>
      <c r="C949" t="s">
        <v>835</v>
      </c>
      <c r="D949" t="s">
        <v>991</v>
      </c>
      <c r="E949" t="s">
        <v>1347</v>
      </c>
      <c r="F949">
        <v>734548</v>
      </c>
    </row>
    <row r="950" spans="1:6">
      <c r="A950" t="s">
        <v>13</v>
      </c>
      <c r="B950" t="s">
        <v>68</v>
      </c>
      <c r="C950" t="s">
        <v>835</v>
      </c>
      <c r="D950" t="s">
        <v>991</v>
      </c>
      <c r="E950" t="s">
        <v>1348</v>
      </c>
      <c r="F950">
        <v>1140375</v>
      </c>
    </row>
    <row r="951" spans="1:6">
      <c r="A951" t="s">
        <v>13</v>
      </c>
      <c r="B951" t="s">
        <v>68</v>
      </c>
      <c r="C951" t="s">
        <v>835</v>
      </c>
      <c r="D951" t="s">
        <v>991</v>
      </c>
      <c r="E951" t="s">
        <v>1349</v>
      </c>
      <c r="F951">
        <v>0</v>
      </c>
    </row>
    <row r="952" spans="1:6">
      <c r="A952" t="s">
        <v>13</v>
      </c>
      <c r="B952" t="s">
        <v>68</v>
      </c>
      <c r="C952" t="s">
        <v>835</v>
      </c>
      <c r="D952" t="s">
        <v>991</v>
      </c>
      <c r="E952" t="s">
        <v>1350</v>
      </c>
      <c r="F952">
        <v>0</v>
      </c>
    </row>
    <row r="953" spans="1:6">
      <c r="A953" t="s">
        <v>13</v>
      </c>
      <c r="B953" t="s">
        <v>68</v>
      </c>
      <c r="C953" t="s">
        <v>835</v>
      </c>
      <c r="D953" t="s">
        <v>991</v>
      </c>
      <c r="E953" t="s">
        <v>1351</v>
      </c>
      <c r="F953">
        <v>0</v>
      </c>
    </row>
    <row r="954" spans="1:6">
      <c r="A954" t="s">
        <v>13</v>
      </c>
      <c r="B954" t="s">
        <v>68</v>
      </c>
      <c r="C954" t="s">
        <v>835</v>
      </c>
      <c r="D954" t="s">
        <v>991</v>
      </c>
      <c r="E954" t="s">
        <v>1352</v>
      </c>
      <c r="F954">
        <v>0</v>
      </c>
    </row>
    <row r="955" spans="1:6">
      <c r="A955" t="s">
        <v>13</v>
      </c>
      <c r="B955" t="s">
        <v>68</v>
      </c>
      <c r="C955" t="s">
        <v>835</v>
      </c>
      <c r="D955" t="s">
        <v>991</v>
      </c>
      <c r="E955" t="s">
        <v>1353</v>
      </c>
      <c r="F955">
        <v>0</v>
      </c>
    </row>
    <row r="956" spans="1:6">
      <c r="A956" t="s">
        <v>13</v>
      </c>
      <c r="B956" t="s">
        <v>68</v>
      </c>
      <c r="C956" t="s">
        <v>835</v>
      </c>
      <c r="D956" t="s">
        <v>991</v>
      </c>
      <c r="E956" t="s">
        <v>1354</v>
      </c>
      <c r="F956">
        <v>0</v>
      </c>
    </row>
    <row r="957" spans="1:6">
      <c r="A957" t="s">
        <v>13</v>
      </c>
      <c r="B957" t="s">
        <v>68</v>
      </c>
      <c r="C957" t="s">
        <v>835</v>
      </c>
      <c r="D957" t="s">
        <v>991</v>
      </c>
      <c r="E957" t="s">
        <v>1038</v>
      </c>
      <c r="F957" t="s">
        <v>1009</v>
      </c>
    </row>
    <row r="958" spans="1:6">
      <c r="A958" t="s">
        <v>13</v>
      </c>
      <c r="B958" t="s">
        <v>68</v>
      </c>
      <c r="C958" t="s">
        <v>835</v>
      </c>
      <c r="D958" t="s">
        <v>991</v>
      </c>
      <c r="E958" t="s">
        <v>1039</v>
      </c>
      <c r="F958">
        <v>143508096</v>
      </c>
    </row>
    <row r="959" spans="1:6">
      <c r="A959" t="s">
        <v>13</v>
      </c>
      <c r="B959" t="s">
        <v>68</v>
      </c>
      <c r="C959" t="s">
        <v>835</v>
      </c>
      <c r="D959" t="s">
        <v>991</v>
      </c>
      <c r="E959" t="s">
        <v>1111</v>
      </c>
      <c r="F959" t="s">
        <v>1055</v>
      </c>
    </row>
    <row r="960" spans="1:6">
      <c r="A960" t="s">
        <v>13</v>
      </c>
      <c r="B960" t="s">
        <v>68</v>
      </c>
      <c r="C960" t="s">
        <v>835</v>
      </c>
      <c r="D960" t="s">
        <v>991</v>
      </c>
      <c r="E960" t="s">
        <v>1122</v>
      </c>
      <c r="F960" t="s">
        <v>1007</v>
      </c>
    </row>
    <row r="961" spans="1:6">
      <c r="A961" t="s">
        <v>13</v>
      </c>
      <c r="B961" t="s">
        <v>68</v>
      </c>
      <c r="C961" t="s">
        <v>835</v>
      </c>
      <c r="D961" t="s">
        <v>991</v>
      </c>
      <c r="E961" t="s">
        <v>1124</v>
      </c>
      <c r="F961" t="s">
        <v>1009</v>
      </c>
    </row>
    <row r="962" spans="1:6">
      <c r="A962" t="s">
        <v>13</v>
      </c>
      <c r="B962" t="s">
        <v>68</v>
      </c>
      <c r="C962" t="s">
        <v>835</v>
      </c>
      <c r="D962" t="s">
        <v>991</v>
      </c>
      <c r="E962" t="s">
        <v>1126</v>
      </c>
      <c r="F962" t="s">
        <v>1011</v>
      </c>
    </row>
    <row r="963" spans="1:6">
      <c r="A963" t="s">
        <v>13</v>
      </c>
      <c r="B963" t="s">
        <v>68</v>
      </c>
      <c r="C963" t="s">
        <v>835</v>
      </c>
      <c r="D963" t="s">
        <v>991</v>
      </c>
      <c r="E963" t="s">
        <v>1127</v>
      </c>
      <c r="F963" t="s">
        <v>1013</v>
      </c>
    </row>
    <row r="964" spans="1:6">
      <c r="A964" t="s">
        <v>13</v>
      </c>
      <c r="B964" t="s">
        <v>68</v>
      </c>
      <c r="C964" t="s">
        <v>835</v>
      </c>
      <c r="D964" t="s">
        <v>991</v>
      </c>
      <c r="E964" t="s">
        <v>1128</v>
      </c>
      <c r="F964" t="s">
        <v>1015</v>
      </c>
    </row>
    <row r="965" spans="1:6">
      <c r="A965" t="s">
        <v>13</v>
      </c>
      <c r="B965" t="s">
        <v>68</v>
      </c>
      <c r="C965" t="s">
        <v>835</v>
      </c>
      <c r="D965" t="s">
        <v>991</v>
      </c>
      <c r="E965" t="s">
        <v>1355</v>
      </c>
      <c r="F965" t="s">
        <v>1017</v>
      </c>
    </row>
    <row r="966" spans="1:6">
      <c r="A966" t="s">
        <v>13</v>
      </c>
      <c r="B966" t="s">
        <v>68</v>
      </c>
      <c r="C966" t="s">
        <v>835</v>
      </c>
      <c r="D966" t="s">
        <v>991</v>
      </c>
      <c r="E966" t="s">
        <v>1356</v>
      </c>
      <c r="F966" t="s">
        <v>1019</v>
      </c>
    </row>
    <row r="967" spans="1:6">
      <c r="A967" t="s">
        <v>13</v>
      </c>
      <c r="B967" t="s">
        <v>68</v>
      </c>
      <c r="C967" t="s">
        <v>835</v>
      </c>
      <c r="D967" t="s">
        <v>991</v>
      </c>
      <c r="E967" t="s">
        <v>1357</v>
      </c>
      <c r="F967" t="s">
        <v>1021</v>
      </c>
    </row>
    <row r="968" spans="1:6">
      <c r="A968" t="s">
        <v>13</v>
      </c>
      <c r="B968" t="s">
        <v>68</v>
      </c>
      <c r="C968" t="s">
        <v>835</v>
      </c>
      <c r="D968" t="s">
        <v>991</v>
      </c>
      <c r="E968" t="s">
        <v>1358</v>
      </c>
      <c r="F968" t="s">
        <v>1023</v>
      </c>
    </row>
    <row r="969" spans="1:6">
      <c r="A969" t="s">
        <v>13</v>
      </c>
      <c r="B969" t="s">
        <v>68</v>
      </c>
      <c r="C969" t="s">
        <v>835</v>
      </c>
      <c r="D969" t="s">
        <v>991</v>
      </c>
      <c r="E969" t="s">
        <v>1359</v>
      </c>
      <c r="F969" t="s">
        <v>1066</v>
      </c>
    </row>
    <row r="970" spans="1:6">
      <c r="A970" t="s">
        <v>13</v>
      </c>
      <c r="B970" t="s">
        <v>68</v>
      </c>
      <c r="C970" t="s">
        <v>835</v>
      </c>
      <c r="D970" t="s">
        <v>991</v>
      </c>
      <c r="E970" t="s">
        <v>1360</v>
      </c>
      <c r="F970" t="s">
        <v>1027</v>
      </c>
    </row>
    <row r="971" spans="1:6">
      <c r="A971" t="s">
        <v>13</v>
      </c>
      <c r="B971" t="s">
        <v>68</v>
      </c>
      <c r="C971" t="s">
        <v>835</v>
      </c>
      <c r="D971" t="s">
        <v>991</v>
      </c>
      <c r="E971" t="s">
        <v>1361</v>
      </c>
      <c r="F971" t="s">
        <v>1029</v>
      </c>
    </row>
    <row r="972" spans="1:6">
      <c r="A972" t="s">
        <v>13</v>
      </c>
      <c r="B972" t="s">
        <v>68</v>
      </c>
      <c r="C972" t="s">
        <v>835</v>
      </c>
      <c r="D972" t="s">
        <v>991</v>
      </c>
      <c r="E972" t="s">
        <v>1362</v>
      </c>
      <c r="F972" t="s">
        <v>1031</v>
      </c>
    </row>
    <row r="973" spans="1:6">
      <c r="A973" t="s">
        <v>13</v>
      </c>
      <c r="B973" t="s">
        <v>68</v>
      </c>
      <c r="C973" t="s">
        <v>835</v>
      </c>
      <c r="D973" t="s">
        <v>991</v>
      </c>
      <c r="E973" t="s">
        <v>1363</v>
      </c>
      <c r="F973" t="s">
        <v>1033</v>
      </c>
    </row>
    <row r="974" spans="1:6">
      <c r="A974" t="s">
        <v>13</v>
      </c>
      <c r="B974" t="s">
        <v>68</v>
      </c>
      <c r="C974" t="s">
        <v>835</v>
      </c>
      <c r="D974" t="s">
        <v>991</v>
      </c>
      <c r="E974" t="s">
        <v>1056</v>
      </c>
      <c r="F974" t="s">
        <v>50</v>
      </c>
    </row>
    <row r="975" spans="1:6">
      <c r="A975" t="s">
        <v>13</v>
      </c>
      <c r="B975" t="s">
        <v>68</v>
      </c>
      <c r="C975" t="s">
        <v>835</v>
      </c>
      <c r="D975" t="s">
        <v>991</v>
      </c>
      <c r="E975" t="s">
        <v>1057</v>
      </c>
      <c r="F975">
        <v>499176</v>
      </c>
    </row>
    <row r="976" spans="1:6">
      <c r="A976" t="s">
        <v>13</v>
      </c>
      <c r="B976" t="s">
        <v>68</v>
      </c>
      <c r="C976" t="s">
        <v>835</v>
      </c>
      <c r="D976" t="s">
        <v>991</v>
      </c>
      <c r="E976" t="s">
        <v>1071</v>
      </c>
      <c r="F976">
        <v>2025</v>
      </c>
    </row>
    <row r="977" spans="1:6">
      <c r="A977" t="s">
        <v>13</v>
      </c>
      <c r="B977" t="s">
        <v>68</v>
      </c>
      <c r="C977" t="s">
        <v>835</v>
      </c>
      <c r="D977" t="s">
        <v>991</v>
      </c>
      <c r="E977" t="s">
        <v>1072</v>
      </c>
      <c r="F977">
        <v>55853</v>
      </c>
    </row>
    <row r="978" spans="1:6">
      <c r="A978" t="s">
        <v>13</v>
      </c>
      <c r="B978" t="s">
        <v>68</v>
      </c>
      <c r="C978" t="s">
        <v>835</v>
      </c>
      <c r="D978" t="s">
        <v>991</v>
      </c>
      <c r="E978" t="s">
        <v>1073</v>
      </c>
      <c r="F978">
        <v>2026</v>
      </c>
    </row>
    <row r="979" spans="1:6">
      <c r="A979" t="s">
        <v>13</v>
      </c>
      <c r="B979" t="s">
        <v>68</v>
      </c>
      <c r="C979" t="s">
        <v>835</v>
      </c>
      <c r="D979" t="s">
        <v>991</v>
      </c>
      <c r="E979" t="s">
        <v>1074</v>
      </c>
      <c r="F979">
        <v>19174</v>
      </c>
    </row>
    <row r="980" spans="1:6">
      <c r="A980" t="s">
        <v>13</v>
      </c>
      <c r="B980" t="s">
        <v>68</v>
      </c>
      <c r="C980" t="s">
        <v>835</v>
      </c>
      <c r="D980" t="s">
        <v>991</v>
      </c>
      <c r="E980" t="s">
        <v>1296</v>
      </c>
      <c r="F980">
        <v>4441</v>
      </c>
    </row>
    <row r="981" spans="1:6">
      <c r="A981" t="s">
        <v>13</v>
      </c>
      <c r="B981" t="s">
        <v>68</v>
      </c>
      <c r="C981" t="s">
        <v>835</v>
      </c>
      <c r="D981" t="s">
        <v>991</v>
      </c>
      <c r="E981" t="s">
        <v>1297</v>
      </c>
      <c r="F981">
        <v>3218</v>
      </c>
    </row>
    <row r="982" spans="1:6">
      <c r="A982" t="s">
        <v>13</v>
      </c>
      <c r="B982" t="s">
        <v>68</v>
      </c>
      <c r="C982" t="s">
        <v>835</v>
      </c>
      <c r="D982" t="s">
        <v>991</v>
      </c>
      <c r="E982" t="s">
        <v>1364</v>
      </c>
      <c r="F982">
        <v>2706</v>
      </c>
    </row>
    <row r="983" spans="1:6">
      <c r="A983" t="s">
        <v>13</v>
      </c>
      <c r="B983" t="s">
        <v>68</v>
      </c>
      <c r="C983" t="s">
        <v>835</v>
      </c>
      <c r="D983" t="s">
        <v>991</v>
      </c>
      <c r="E983" t="s">
        <v>1365</v>
      </c>
      <c r="F983">
        <v>2575</v>
      </c>
    </row>
    <row r="984" spans="1:6">
      <c r="A984" t="s">
        <v>13</v>
      </c>
      <c r="B984" t="s">
        <v>68</v>
      </c>
      <c r="C984" t="s">
        <v>835</v>
      </c>
      <c r="D984" t="s">
        <v>991</v>
      </c>
      <c r="E984" t="s">
        <v>1366</v>
      </c>
      <c r="F984">
        <v>2619</v>
      </c>
    </row>
    <row r="985" spans="1:6">
      <c r="A985" t="s">
        <v>13</v>
      </c>
      <c r="B985" t="s">
        <v>68</v>
      </c>
      <c r="C985" t="s">
        <v>835</v>
      </c>
      <c r="D985" t="s">
        <v>991</v>
      </c>
      <c r="E985" t="s">
        <v>1367</v>
      </c>
      <c r="F985">
        <v>3615</v>
      </c>
    </row>
    <row r="986" spans="1:6">
      <c r="A986" t="s">
        <v>13</v>
      </c>
      <c r="B986" t="s">
        <v>68</v>
      </c>
      <c r="C986" t="s">
        <v>835</v>
      </c>
      <c r="D986" t="s">
        <v>991</v>
      </c>
      <c r="E986" t="s">
        <v>1368</v>
      </c>
      <c r="F986">
        <v>0</v>
      </c>
    </row>
    <row r="987" spans="1:6">
      <c r="A987" t="s">
        <v>13</v>
      </c>
      <c r="B987" t="s">
        <v>68</v>
      </c>
      <c r="C987" t="s">
        <v>835</v>
      </c>
      <c r="D987" t="s">
        <v>991</v>
      </c>
      <c r="E987" t="s">
        <v>1369</v>
      </c>
      <c r="F987">
        <v>0</v>
      </c>
    </row>
    <row r="988" spans="1:6">
      <c r="A988" t="s">
        <v>13</v>
      </c>
      <c r="B988" t="s">
        <v>68</v>
      </c>
      <c r="C988" t="s">
        <v>835</v>
      </c>
      <c r="D988" t="s">
        <v>991</v>
      </c>
      <c r="E988" t="s">
        <v>1370</v>
      </c>
      <c r="F988">
        <v>0</v>
      </c>
    </row>
    <row r="989" spans="1:6">
      <c r="A989" t="s">
        <v>13</v>
      </c>
      <c r="B989" t="s">
        <v>68</v>
      </c>
      <c r="C989" t="s">
        <v>835</v>
      </c>
      <c r="D989" t="s">
        <v>991</v>
      </c>
      <c r="E989" t="s">
        <v>1371</v>
      </c>
      <c r="F989">
        <v>0</v>
      </c>
    </row>
    <row r="990" spans="1:6">
      <c r="A990" t="s">
        <v>13</v>
      </c>
      <c r="B990" t="s">
        <v>68</v>
      </c>
      <c r="C990" t="s">
        <v>835</v>
      </c>
      <c r="D990" t="s">
        <v>991</v>
      </c>
      <c r="E990" t="s">
        <v>1372</v>
      </c>
      <c r="F990">
        <v>0</v>
      </c>
    </row>
    <row r="991" spans="1:6">
      <c r="A991" t="s">
        <v>13</v>
      </c>
      <c r="B991" t="s">
        <v>68</v>
      </c>
      <c r="C991" t="s">
        <v>835</v>
      </c>
      <c r="D991" t="s">
        <v>991</v>
      </c>
      <c r="E991" t="s">
        <v>1373</v>
      </c>
      <c r="F991">
        <v>0</v>
      </c>
    </row>
    <row r="992" spans="1:6">
      <c r="A992" t="s">
        <v>13</v>
      </c>
      <c r="B992" t="s">
        <v>68</v>
      </c>
      <c r="C992" t="s">
        <v>835</v>
      </c>
      <c r="D992" t="s">
        <v>991</v>
      </c>
      <c r="E992" t="s">
        <v>1075</v>
      </c>
      <c r="F992" t="s">
        <v>1009</v>
      </c>
    </row>
    <row r="993" spans="1:6">
      <c r="A993" t="s">
        <v>13</v>
      </c>
      <c r="B993" t="s">
        <v>68</v>
      </c>
      <c r="C993" t="s">
        <v>835</v>
      </c>
      <c r="D993" t="s">
        <v>991</v>
      </c>
      <c r="E993" t="s">
        <v>1076</v>
      </c>
      <c r="F993">
        <v>574203</v>
      </c>
    </row>
    <row r="994" spans="1:6">
      <c r="A994" t="s">
        <v>13</v>
      </c>
      <c r="B994" t="s">
        <v>68</v>
      </c>
      <c r="C994" t="s">
        <v>835</v>
      </c>
      <c r="D994" t="s">
        <v>1091</v>
      </c>
      <c r="E994" t="s">
        <v>992</v>
      </c>
      <c r="F994" t="s">
        <v>1092</v>
      </c>
    </row>
    <row r="995" spans="1:6">
      <c r="A995" t="s">
        <v>13</v>
      </c>
      <c r="B995" t="s">
        <v>68</v>
      </c>
      <c r="C995" t="s">
        <v>835</v>
      </c>
      <c r="D995" t="s">
        <v>1091</v>
      </c>
      <c r="E995" t="s">
        <v>1093</v>
      </c>
      <c r="F995" t="s">
        <v>1094</v>
      </c>
    </row>
    <row r="996" spans="1:6">
      <c r="A996" t="s">
        <v>13</v>
      </c>
      <c r="B996" t="s">
        <v>68</v>
      </c>
      <c r="C996" t="s">
        <v>835</v>
      </c>
      <c r="D996" t="s">
        <v>1091</v>
      </c>
      <c r="E996" t="s">
        <v>994</v>
      </c>
      <c r="F996" t="s">
        <v>68</v>
      </c>
    </row>
    <row r="997" spans="1:6">
      <c r="A997" t="s">
        <v>13</v>
      </c>
      <c r="B997" t="s">
        <v>68</v>
      </c>
      <c r="C997" t="s">
        <v>835</v>
      </c>
      <c r="D997" t="s">
        <v>1091</v>
      </c>
      <c r="E997" t="s">
        <v>995</v>
      </c>
      <c r="F997" t="s">
        <v>996</v>
      </c>
    </row>
    <row r="998" spans="1:6">
      <c r="A998" t="s">
        <v>13</v>
      </c>
      <c r="B998" t="s">
        <v>68</v>
      </c>
      <c r="C998" t="s">
        <v>835</v>
      </c>
      <c r="D998" t="s">
        <v>1091</v>
      </c>
      <c r="E998" t="s">
        <v>997</v>
      </c>
      <c r="F998" t="s">
        <v>998</v>
      </c>
    </row>
    <row r="999" spans="1:6">
      <c r="A999" t="s">
        <v>13</v>
      </c>
      <c r="B999" t="s">
        <v>68</v>
      </c>
      <c r="C999" t="s">
        <v>835</v>
      </c>
      <c r="D999" t="s">
        <v>1091</v>
      </c>
      <c r="E999" t="s">
        <v>999</v>
      </c>
      <c r="F999" t="s">
        <v>1000</v>
      </c>
    </row>
    <row r="1000" spans="1:6">
      <c r="A1000" t="s">
        <v>13</v>
      </c>
      <c r="B1000" t="s">
        <v>68</v>
      </c>
      <c r="C1000" t="s">
        <v>835</v>
      </c>
      <c r="D1000" t="s">
        <v>1091</v>
      </c>
      <c r="E1000" t="s">
        <v>1001</v>
      </c>
      <c r="F1000" t="s">
        <v>10</v>
      </c>
    </row>
    <row r="1001" spans="1:6">
      <c r="A1001" t="s">
        <v>13</v>
      </c>
      <c r="B1001" t="s">
        <v>68</v>
      </c>
      <c r="C1001" t="s">
        <v>835</v>
      </c>
      <c r="D1001" t="s">
        <v>1091</v>
      </c>
      <c r="E1001" t="s">
        <v>1002</v>
      </c>
      <c r="F1001" t="s">
        <v>1095</v>
      </c>
    </row>
    <row r="1002" spans="1:6">
      <c r="A1002" t="s">
        <v>13</v>
      </c>
      <c r="B1002" t="s">
        <v>68</v>
      </c>
      <c r="C1002" t="s">
        <v>835</v>
      </c>
      <c r="D1002" t="s">
        <v>1091</v>
      </c>
      <c r="E1002" t="s">
        <v>1096</v>
      </c>
      <c r="F1002" t="s">
        <v>1005</v>
      </c>
    </row>
    <row r="1003" spans="1:6">
      <c r="A1003" t="s">
        <v>13</v>
      </c>
      <c r="B1003" t="s">
        <v>68</v>
      </c>
      <c r="C1003" t="s">
        <v>835</v>
      </c>
      <c r="D1003" t="s">
        <v>1091</v>
      </c>
      <c r="E1003" t="s">
        <v>1006</v>
      </c>
      <c r="F1003" t="s">
        <v>1097</v>
      </c>
    </row>
    <row r="1004" spans="1:6">
      <c r="A1004" t="s">
        <v>13</v>
      </c>
      <c r="B1004" t="s">
        <v>68</v>
      </c>
      <c r="C1004" t="s">
        <v>835</v>
      </c>
      <c r="D1004" t="s">
        <v>1091</v>
      </c>
      <c r="E1004" t="s">
        <v>1008</v>
      </c>
      <c r="F1004" t="s">
        <v>1098</v>
      </c>
    </row>
    <row r="1005" spans="1:6">
      <c r="A1005" t="s">
        <v>13</v>
      </c>
      <c r="B1005" t="s">
        <v>68</v>
      </c>
      <c r="C1005" t="s">
        <v>835</v>
      </c>
      <c r="D1005" t="s">
        <v>1091</v>
      </c>
      <c r="E1005" t="s">
        <v>1035</v>
      </c>
      <c r="F1005" t="s">
        <v>1009</v>
      </c>
    </row>
    <row r="1006" spans="1:6">
      <c r="A1006" t="s">
        <v>13</v>
      </c>
      <c r="B1006" t="s">
        <v>68</v>
      </c>
      <c r="C1006" t="s">
        <v>835</v>
      </c>
      <c r="D1006" t="s">
        <v>1091</v>
      </c>
      <c r="E1006" t="s">
        <v>1099</v>
      </c>
      <c r="F1006" t="s">
        <v>50</v>
      </c>
    </row>
    <row r="1007" spans="1:6">
      <c r="A1007" t="s">
        <v>13</v>
      </c>
      <c r="B1007" t="s">
        <v>68</v>
      </c>
      <c r="C1007" t="s">
        <v>835</v>
      </c>
      <c r="D1007" t="s">
        <v>1091</v>
      </c>
      <c r="E1007" t="s">
        <v>1100</v>
      </c>
      <c r="F1007">
        <v>2025</v>
      </c>
    </row>
    <row r="1008" spans="1:6">
      <c r="A1008" t="s">
        <v>13</v>
      </c>
      <c r="B1008" t="s">
        <v>68</v>
      </c>
      <c r="C1008" t="s">
        <v>835</v>
      </c>
      <c r="D1008" t="s">
        <v>1091</v>
      </c>
      <c r="E1008" t="s">
        <v>1101</v>
      </c>
      <c r="F1008">
        <v>2026</v>
      </c>
    </row>
    <row r="1009" spans="1:6">
      <c r="A1009" t="s">
        <v>13</v>
      </c>
      <c r="B1009" t="s">
        <v>68</v>
      </c>
      <c r="C1009" t="s">
        <v>835</v>
      </c>
      <c r="D1009" t="s">
        <v>1091</v>
      </c>
      <c r="E1009" t="s">
        <v>1036</v>
      </c>
      <c r="F1009" t="s">
        <v>1102</v>
      </c>
    </row>
    <row r="1010" spans="1:6">
      <c r="A1010" t="s">
        <v>13</v>
      </c>
      <c r="B1010" t="s">
        <v>68</v>
      </c>
      <c r="C1010" t="s">
        <v>835</v>
      </c>
      <c r="D1010" t="s">
        <v>1091</v>
      </c>
      <c r="E1010" t="s">
        <v>1037</v>
      </c>
      <c r="F1010">
        <v>143508096</v>
      </c>
    </row>
    <row r="1011" spans="1:6">
      <c r="A1011" t="s">
        <v>13</v>
      </c>
      <c r="B1011" t="s">
        <v>68</v>
      </c>
      <c r="C1011" t="s">
        <v>835</v>
      </c>
      <c r="D1011" t="s">
        <v>1091</v>
      </c>
      <c r="E1011" t="s">
        <v>1103</v>
      </c>
      <c r="F1011">
        <v>120219169</v>
      </c>
    </row>
    <row r="1012" spans="1:6">
      <c r="A1012" t="s">
        <v>13</v>
      </c>
      <c r="B1012" t="s">
        <v>68</v>
      </c>
      <c r="C1012" t="s">
        <v>835</v>
      </c>
      <c r="D1012" t="s">
        <v>1091</v>
      </c>
      <c r="E1012" t="s">
        <v>1104</v>
      </c>
      <c r="F1012">
        <v>18317521</v>
      </c>
    </row>
    <row r="1013" spans="1:6">
      <c r="A1013" t="s">
        <v>13</v>
      </c>
      <c r="B1013" t="s">
        <v>68</v>
      </c>
      <c r="C1013" t="s">
        <v>835</v>
      </c>
      <c r="D1013" t="s">
        <v>1091</v>
      </c>
      <c r="E1013" t="s">
        <v>1105</v>
      </c>
      <c r="F1013">
        <v>4971406</v>
      </c>
    </row>
    <row r="1014" spans="1:6">
      <c r="A1014" t="s">
        <v>13</v>
      </c>
      <c r="B1014" t="s">
        <v>68</v>
      </c>
      <c r="C1014" t="s">
        <v>835</v>
      </c>
      <c r="D1014" t="s">
        <v>1091</v>
      </c>
      <c r="E1014" t="s">
        <v>1038</v>
      </c>
      <c r="F1014" t="s">
        <v>1106</v>
      </c>
    </row>
    <row r="1015" spans="1:6">
      <c r="A1015" t="s">
        <v>13</v>
      </c>
      <c r="B1015" t="s">
        <v>68</v>
      </c>
      <c r="C1015" t="s">
        <v>835</v>
      </c>
      <c r="D1015" t="s">
        <v>1091</v>
      </c>
      <c r="E1015" t="s">
        <v>1039</v>
      </c>
      <c r="F1015">
        <v>140061431</v>
      </c>
    </row>
    <row r="1016" spans="1:6">
      <c r="A1016" t="s">
        <v>13</v>
      </c>
      <c r="B1016" t="s">
        <v>68</v>
      </c>
      <c r="C1016" t="s">
        <v>835</v>
      </c>
      <c r="D1016" t="s">
        <v>1091</v>
      </c>
      <c r="E1016" t="s">
        <v>1040</v>
      </c>
      <c r="F1016">
        <v>119293733</v>
      </c>
    </row>
    <row r="1017" spans="1:6">
      <c r="A1017" t="s">
        <v>13</v>
      </c>
      <c r="B1017" t="s">
        <v>68</v>
      </c>
      <c r="C1017" t="s">
        <v>835</v>
      </c>
      <c r="D1017" t="s">
        <v>1091</v>
      </c>
      <c r="E1017" t="s">
        <v>1041</v>
      </c>
      <c r="F1017">
        <v>17782667</v>
      </c>
    </row>
    <row r="1018" spans="1:6">
      <c r="A1018" t="s">
        <v>13</v>
      </c>
      <c r="B1018" t="s">
        <v>68</v>
      </c>
      <c r="C1018" t="s">
        <v>835</v>
      </c>
      <c r="D1018" t="s">
        <v>1091</v>
      </c>
      <c r="E1018" t="s">
        <v>1042</v>
      </c>
      <c r="F1018">
        <v>2985032</v>
      </c>
    </row>
    <row r="1019" spans="1:6">
      <c r="A1019" t="s">
        <v>13</v>
      </c>
      <c r="B1019" t="s">
        <v>68</v>
      </c>
      <c r="C1019" t="s">
        <v>835</v>
      </c>
      <c r="D1019" t="s">
        <v>1091</v>
      </c>
      <c r="E1019" t="s">
        <v>1052</v>
      </c>
      <c r="F1019" t="s">
        <v>1107</v>
      </c>
    </row>
    <row r="1020" spans="1:6">
      <c r="A1020" t="s">
        <v>13</v>
      </c>
      <c r="B1020" t="s">
        <v>68</v>
      </c>
      <c r="C1020" t="s">
        <v>835</v>
      </c>
      <c r="D1020" t="s">
        <v>1091</v>
      </c>
      <c r="E1020" t="s">
        <v>1053</v>
      </c>
      <c r="F1020">
        <v>138678501</v>
      </c>
    </row>
    <row r="1021" spans="1:6">
      <c r="A1021" t="s">
        <v>13</v>
      </c>
      <c r="B1021" t="s">
        <v>68</v>
      </c>
      <c r="C1021" t="s">
        <v>835</v>
      </c>
      <c r="D1021" t="s">
        <v>1091</v>
      </c>
      <c r="E1021" t="s">
        <v>1108</v>
      </c>
      <c r="F1021">
        <v>118422535</v>
      </c>
    </row>
    <row r="1022" spans="1:6">
      <c r="A1022" t="s">
        <v>13</v>
      </c>
      <c r="B1022" t="s">
        <v>68</v>
      </c>
      <c r="C1022" t="s">
        <v>835</v>
      </c>
      <c r="D1022" t="s">
        <v>1091</v>
      </c>
      <c r="E1022" t="s">
        <v>1109</v>
      </c>
      <c r="F1022">
        <v>17534711</v>
      </c>
    </row>
    <row r="1023" spans="1:6">
      <c r="A1023" t="s">
        <v>13</v>
      </c>
      <c r="B1023" t="s">
        <v>68</v>
      </c>
      <c r="C1023" t="s">
        <v>835</v>
      </c>
      <c r="D1023" t="s">
        <v>1091</v>
      </c>
      <c r="E1023" t="s">
        <v>1110</v>
      </c>
      <c r="F1023">
        <v>2721256</v>
      </c>
    </row>
    <row r="1024" spans="1:6">
      <c r="A1024" t="s">
        <v>13</v>
      </c>
      <c r="B1024" t="s">
        <v>68</v>
      </c>
      <c r="C1024" t="s">
        <v>835</v>
      </c>
      <c r="D1024" t="s">
        <v>1091</v>
      </c>
      <c r="E1024" t="s">
        <v>1111</v>
      </c>
      <c r="F1024" t="s">
        <v>1307</v>
      </c>
    </row>
    <row r="1025" spans="1:6">
      <c r="A1025" t="s">
        <v>13</v>
      </c>
      <c r="B1025" t="s">
        <v>68</v>
      </c>
      <c r="C1025" t="s">
        <v>835</v>
      </c>
      <c r="D1025" t="s">
        <v>1091</v>
      </c>
      <c r="E1025" t="s">
        <v>1113</v>
      </c>
      <c r="F1025">
        <v>26808</v>
      </c>
    </row>
    <row r="1026" spans="1:6">
      <c r="A1026" t="s">
        <v>13</v>
      </c>
      <c r="B1026" t="s">
        <v>68</v>
      </c>
      <c r="C1026" t="s">
        <v>835</v>
      </c>
      <c r="D1026" t="s">
        <v>1091</v>
      </c>
      <c r="E1026" t="s">
        <v>1114</v>
      </c>
      <c r="F1026">
        <v>7679</v>
      </c>
    </row>
    <row r="1027" spans="1:6">
      <c r="A1027" t="s">
        <v>13</v>
      </c>
      <c r="B1027" t="s">
        <v>68</v>
      </c>
      <c r="C1027" t="s">
        <v>835</v>
      </c>
      <c r="D1027" t="s">
        <v>1091</v>
      </c>
      <c r="E1027" t="s">
        <v>1115</v>
      </c>
      <c r="F1027">
        <v>18694</v>
      </c>
    </row>
    <row r="1028" spans="1:6">
      <c r="A1028" t="s">
        <v>13</v>
      </c>
      <c r="B1028" t="s">
        <v>68</v>
      </c>
      <c r="C1028" t="s">
        <v>835</v>
      </c>
      <c r="D1028" t="s">
        <v>1091</v>
      </c>
      <c r="E1028" t="s">
        <v>1116</v>
      </c>
      <c r="F1028">
        <v>436</v>
      </c>
    </row>
    <row r="1029" spans="1:6">
      <c r="A1029" t="s">
        <v>13</v>
      </c>
      <c r="B1029" t="s">
        <v>68</v>
      </c>
      <c r="C1029" t="s">
        <v>835</v>
      </c>
      <c r="D1029" t="s">
        <v>1091</v>
      </c>
      <c r="E1029" t="s">
        <v>1054</v>
      </c>
      <c r="F1029" t="s">
        <v>1308</v>
      </c>
    </row>
    <row r="1030" spans="1:6">
      <c r="A1030" t="s">
        <v>13</v>
      </c>
      <c r="B1030" t="s">
        <v>68</v>
      </c>
      <c r="C1030" t="s">
        <v>835</v>
      </c>
      <c r="D1030" t="s">
        <v>1091</v>
      </c>
      <c r="E1030" t="s">
        <v>1118</v>
      </c>
      <c r="F1030">
        <v>1356122</v>
      </c>
    </row>
    <row r="1031" spans="1:6">
      <c r="A1031" t="s">
        <v>13</v>
      </c>
      <c r="B1031" t="s">
        <v>68</v>
      </c>
      <c r="C1031" t="s">
        <v>835</v>
      </c>
      <c r="D1031" t="s">
        <v>1091</v>
      </c>
      <c r="E1031" t="s">
        <v>1119</v>
      </c>
      <c r="F1031">
        <v>863519</v>
      </c>
    </row>
    <row r="1032" spans="1:6">
      <c r="A1032" t="s">
        <v>13</v>
      </c>
      <c r="B1032" t="s">
        <v>68</v>
      </c>
      <c r="C1032" t="s">
        <v>835</v>
      </c>
      <c r="D1032" t="s">
        <v>1091</v>
      </c>
      <c r="E1032" t="s">
        <v>1120</v>
      </c>
      <c r="F1032">
        <v>229263</v>
      </c>
    </row>
    <row r="1033" spans="1:6">
      <c r="A1033" t="s">
        <v>13</v>
      </c>
      <c r="B1033" t="s">
        <v>68</v>
      </c>
      <c r="C1033" t="s">
        <v>835</v>
      </c>
      <c r="D1033" t="s">
        <v>1091</v>
      </c>
      <c r="E1033" t="s">
        <v>1121</v>
      </c>
      <c r="F1033">
        <v>263340</v>
      </c>
    </row>
    <row r="1034" spans="1:6">
      <c r="A1034" t="s">
        <v>13</v>
      </c>
      <c r="B1034" t="s">
        <v>68</v>
      </c>
      <c r="C1034" t="s">
        <v>835</v>
      </c>
      <c r="D1034" t="s">
        <v>1091</v>
      </c>
      <c r="E1034" t="s">
        <v>1122</v>
      </c>
      <c r="F1034" t="s">
        <v>1123</v>
      </c>
    </row>
    <row r="1035" spans="1:6">
      <c r="A1035" t="s">
        <v>13</v>
      </c>
      <c r="B1035" t="s">
        <v>68</v>
      </c>
      <c r="C1035" t="s">
        <v>835</v>
      </c>
      <c r="D1035" t="s">
        <v>1091</v>
      </c>
      <c r="E1035" t="s">
        <v>1124</v>
      </c>
      <c r="F1035" t="s">
        <v>1315</v>
      </c>
    </row>
    <row r="1036" spans="1:6">
      <c r="A1036" t="s">
        <v>13</v>
      </c>
      <c r="B1036" t="s">
        <v>68</v>
      </c>
      <c r="C1036" t="s">
        <v>835</v>
      </c>
      <c r="D1036" t="s">
        <v>1091</v>
      </c>
      <c r="E1036" t="s">
        <v>1126</v>
      </c>
      <c r="F1036" t="s">
        <v>1242</v>
      </c>
    </row>
    <row r="1037" spans="1:6">
      <c r="A1037" t="s">
        <v>13</v>
      </c>
      <c r="B1037" t="s">
        <v>68</v>
      </c>
      <c r="C1037" t="s">
        <v>835</v>
      </c>
      <c r="D1037" t="s">
        <v>1091</v>
      </c>
      <c r="E1037" t="s">
        <v>1127</v>
      </c>
      <c r="F1037" t="s">
        <v>1232</v>
      </c>
    </row>
    <row r="1038" spans="1:6">
      <c r="A1038" t="s">
        <v>13</v>
      </c>
      <c r="B1038" t="s">
        <v>68</v>
      </c>
      <c r="C1038" t="s">
        <v>835</v>
      </c>
      <c r="D1038" t="s">
        <v>1091</v>
      </c>
      <c r="E1038" t="s">
        <v>1128</v>
      </c>
      <c r="F1038" t="s">
        <v>1374</v>
      </c>
    </row>
    <row r="1039" spans="1:6">
      <c r="A1039" t="s">
        <v>13</v>
      </c>
      <c r="B1039" t="s">
        <v>68</v>
      </c>
      <c r="C1039" t="s">
        <v>835</v>
      </c>
      <c r="D1039" t="s">
        <v>1091</v>
      </c>
      <c r="E1039" t="s">
        <v>1056</v>
      </c>
      <c r="F1039" t="s">
        <v>1130</v>
      </c>
    </row>
    <row r="1040" spans="1:6">
      <c r="A1040" t="s">
        <v>13</v>
      </c>
      <c r="B1040" t="s">
        <v>68</v>
      </c>
      <c r="C1040" t="s">
        <v>835</v>
      </c>
      <c r="D1040" t="s">
        <v>1091</v>
      </c>
      <c r="E1040" t="s">
        <v>1057</v>
      </c>
      <c r="F1040">
        <v>3446665</v>
      </c>
    </row>
    <row r="1041" spans="1:6">
      <c r="A1041" t="s">
        <v>13</v>
      </c>
      <c r="B1041" t="s">
        <v>68</v>
      </c>
      <c r="C1041" t="s">
        <v>835</v>
      </c>
      <c r="D1041" t="s">
        <v>1091</v>
      </c>
      <c r="E1041" t="s">
        <v>1058</v>
      </c>
      <c r="F1041">
        <v>925436</v>
      </c>
    </row>
    <row r="1042" spans="1:6">
      <c r="A1042" t="s">
        <v>13</v>
      </c>
      <c r="B1042" t="s">
        <v>68</v>
      </c>
      <c r="C1042" t="s">
        <v>835</v>
      </c>
      <c r="D1042" t="s">
        <v>1091</v>
      </c>
      <c r="E1042" t="s">
        <v>1059</v>
      </c>
      <c r="F1042">
        <v>534855</v>
      </c>
    </row>
    <row r="1043" spans="1:6">
      <c r="A1043" t="s">
        <v>13</v>
      </c>
      <c r="B1043" t="s">
        <v>68</v>
      </c>
      <c r="C1043" t="s">
        <v>835</v>
      </c>
      <c r="D1043" t="s">
        <v>1091</v>
      </c>
      <c r="E1043" t="s">
        <v>1060</v>
      </c>
      <c r="F1043">
        <v>1986374</v>
      </c>
    </row>
    <row r="1044" spans="1:6">
      <c r="A1044" t="s">
        <v>13</v>
      </c>
      <c r="B1044" t="s">
        <v>68</v>
      </c>
      <c r="C1044" t="s">
        <v>835</v>
      </c>
      <c r="D1044" t="s">
        <v>1091</v>
      </c>
      <c r="E1044" t="s">
        <v>1071</v>
      </c>
      <c r="F1044" t="s">
        <v>1131</v>
      </c>
    </row>
    <row r="1045" spans="1:6">
      <c r="A1045" t="s">
        <v>13</v>
      </c>
      <c r="B1045" t="s">
        <v>68</v>
      </c>
      <c r="C1045" t="s">
        <v>835</v>
      </c>
      <c r="D1045" t="s">
        <v>1091</v>
      </c>
      <c r="E1045" t="s">
        <v>1072</v>
      </c>
      <c r="F1045" t="s">
        <v>1321</v>
      </c>
    </row>
    <row r="1046" spans="1:6">
      <c r="A1046" t="s">
        <v>13</v>
      </c>
      <c r="B1046" t="s">
        <v>68</v>
      </c>
      <c r="C1046" t="s">
        <v>835</v>
      </c>
      <c r="D1046" t="s">
        <v>1091</v>
      </c>
      <c r="E1046" t="s">
        <v>1133</v>
      </c>
      <c r="F1046" t="s">
        <v>1310</v>
      </c>
    </row>
    <row r="1047" spans="1:6">
      <c r="A1047" t="s">
        <v>13</v>
      </c>
      <c r="B1047" t="s">
        <v>68</v>
      </c>
      <c r="C1047" t="s">
        <v>835</v>
      </c>
      <c r="D1047" t="s">
        <v>1091</v>
      </c>
      <c r="E1047" t="s">
        <v>1134</v>
      </c>
      <c r="F1047" t="s">
        <v>1270</v>
      </c>
    </row>
    <row r="1048" spans="1:6">
      <c r="A1048" t="s">
        <v>13</v>
      </c>
      <c r="B1048" t="s">
        <v>68</v>
      </c>
      <c r="C1048" t="s">
        <v>835</v>
      </c>
      <c r="D1048" t="s">
        <v>1091</v>
      </c>
      <c r="E1048" t="s">
        <v>1135</v>
      </c>
      <c r="F1048" t="s">
        <v>1375</v>
      </c>
    </row>
    <row r="1049" spans="1:6">
      <c r="A1049" t="s">
        <v>13</v>
      </c>
      <c r="B1049" t="s">
        <v>68</v>
      </c>
      <c r="C1049" t="s">
        <v>835</v>
      </c>
      <c r="D1049" t="s">
        <v>1091</v>
      </c>
      <c r="E1049" t="s">
        <v>1076</v>
      </c>
      <c r="F1049" t="s">
        <v>1137</v>
      </c>
    </row>
    <row r="1050" spans="1:6">
      <c r="A1050" t="s">
        <v>13</v>
      </c>
      <c r="B1050" t="s">
        <v>68</v>
      </c>
      <c r="C1050" t="s">
        <v>835</v>
      </c>
      <c r="D1050" t="s">
        <v>1091</v>
      </c>
      <c r="E1050" t="s">
        <v>1077</v>
      </c>
      <c r="F1050">
        <v>0</v>
      </c>
    </row>
    <row r="1051" spans="1:6">
      <c r="A1051" t="s">
        <v>13</v>
      </c>
      <c r="B1051" t="s">
        <v>68</v>
      </c>
      <c r="C1051" t="s">
        <v>835</v>
      </c>
      <c r="D1051" t="s">
        <v>1091</v>
      </c>
      <c r="E1051" t="s">
        <v>1078</v>
      </c>
      <c r="F1051">
        <v>0</v>
      </c>
    </row>
    <row r="1052" spans="1:6">
      <c r="A1052" t="s">
        <v>13</v>
      </c>
      <c r="B1052" t="s">
        <v>68</v>
      </c>
      <c r="C1052" t="s">
        <v>835</v>
      </c>
      <c r="D1052" t="s">
        <v>1091</v>
      </c>
      <c r="E1052" t="s">
        <v>1079</v>
      </c>
      <c r="F1052">
        <v>0</v>
      </c>
    </row>
    <row r="1053" spans="1:6">
      <c r="A1053" t="s">
        <v>13</v>
      </c>
      <c r="B1053" t="s">
        <v>68</v>
      </c>
      <c r="C1053" t="s">
        <v>835</v>
      </c>
      <c r="D1053" t="s">
        <v>1091</v>
      </c>
      <c r="E1053" t="s">
        <v>1090</v>
      </c>
      <c r="F1053" t="s">
        <v>1138</v>
      </c>
    </row>
    <row r="1054" spans="1:6">
      <c r="A1054" t="s">
        <v>13</v>
      </c>
      <c r="B1054" t="s">
        <v>68</v>
      </c>
      <c r="C1054" t="s">
        <v>835</v>
      </c>
      <c r="D1054" t="s">
        <v>1091</v>
      </c>
      <c r="E1054" t="s">
        <v>1139</v>
      </c>
      <c r="F1054" t="s">
        <v>1142</v>
      </c>
    </row>
    <row r="1055" spans="1:6">
      <c r="A1055" t="s">
        <v>13</v>
      </c>
      <c r="B1055" t="s">
        <v>68</v>
      </c>
      <c r="C1055" t="s">
        <v>835</v>
      </c>
      <c r="D1055" t="s">
        <v>1091</v>
      </c>
      <c r="E1055" t="s">
        <v>1140</v>
      </c>
      <c r="F1055" t="s">
        <v>1376</v>
      </c>
    </row>
    <row r="1056" spans="1:6">
      <c r="A1056" t="s">
        <v>13</v>
      </c>
      <c r="B1056" t="s">
        <v>68</v>
      </c>
      <c r="C1056" t="s">
        <v>835</v>
      </c>
      <c r="D1056" t="s">
        <v>1091</v>
      </c>
      <c r="E1056" t="s">
        <v>1141</v>
      </c>
      <c r="F1056" t="s">
        <v>1377</v>
      </c>
    </row>
    <row r="1057" spans="1:6">
      <c r="A1057" t="s">
        <v>13</v>
      </c>
      <c r="B1057" t="s">
        <v>68</v>
      </c>
      <c r="C1057" t="s">
        <v>835</v>
      </c>
      <c r="D1057" t="s">
        <v>1091</v>
      </c>
      <c r="E1057" t="s">
        <v>1143</v>
      </c>
      <c r="F1057" t="s">
        <v>1144</v>
      </c>
    </row>
    <row r="1058" spans="1:6">
      <c r="A1058" t="s">
        <v>13</v>
      </c>
      <c r="B1058" t="s">
        <v>68</v>
      </c>
      <c r="C1058" t="s">
        <v>835</v>
      </c>
      <c r="D1058" t="s">
        <v>1091</v>
      </c>
      <c r="E1058" t="s">
        <v>1145</v>
      </c>
      <c r="F1058" t="s">
        <v>1146</v>
      </c>
    </row>
    <row r="1059" spans="1:6">
      <c r="A1059" t="s">
        <v>13</v>
      </c>
      <c r="B1059" t="s">
        <v>68</v>
      </c>
      <c r="C1059" t="s">
        <v>835</v>
      </c>
      <c r="D1059" t="s">
        <v>1091</v>
      </c>
      <c r="E1059" t="s">
        <v>1147</v>
      </c>
      <c r="F1059" t="s">
        <v>1148</v>
      </c>
    </row>
    <row r="1060" spans="1:6">
      <c r="A1060" t="s">
        <v>13</v>
      </c>
      <c r="B1060" t="s">
        <v>68</v>
      </c>
      <c r="C1060" t="s">
        <v>835</v>
      </c>
      <c r="D1060" t="s">
        <v>1091</v>
      </c>
      <c r="E1060" t="s">
        <v>1149</v>
      </c>
      <c r="F1060" t="s">
        <v>1150</v>
      </c>
    </row>
    <row r="1061" spans="1:6">
      <c r="A1061" t="s">
        <v>13</v>
      </c>
      <c r="B1061" t="s">
        <v>68</v>
      </c>
      <c r="C1061" t="s">
        <v>835</v>
      </c>
      <c r="D1061" t="s">
        <v>1091</v>
      </c>
      <c r="E1061" t="s">
        <v>1151</v>
      </c>
      <c r="F1061" t="s">
        <v>1009</v>
      </c>
    </row>
    <row r="1062" spans="1:6">
      <c r="A1062" t="s">
        <v>13</v>
      </c>
      <c r="B1062" t="s">
        <v>68</v>
      </c>
      <c r="C1062" t="s">
        <v>835</v>
      </c>
      <c r="D1062" t="s">
        <v>1091</v>
      </c>
      <c r="E1062" t="s">
        <v>1152</v>
      </c>
      <c r="F1062" t="s">
        <v>1153</v>
      </c>
    </row>
    <row r="1063" spans="1:6">
      <c r="A1063" t="s">
        <v>13</v>
      </c>
      <c r="B1063" t="s">
        <v>68</v>
      </c>
      <c r="C1063" t="s">
        <v>835</v>
      </c>
      <c r="D1063" t="s">
        <v>1091</v>
      </c>
      <c r="E1063" t="s">
        <v>1154</v>
      </c>
      <c r="F1063" t="s">
        <v>1155</v>
      </c>
    </row>
    <row r="1064" spans="1:6">
      <c r="A1064" t="s">
        <v>13</v>
      </c>
      <c r="B1064" t="s">
        <v>68</v>
      </c>
      <c r="C1064" t="s">
        <v>835</v>
      </c>
      <c r="D1064" t="s">
        <v>1091</v>
      </c>
      <c r="E1064" t="s">
        <v>1156</v>
      </c>
      <c r="F1064" t="s">
        <v>1157</v>
      </c>
    </row>
    <row r="1065" spans="1:6">
      <c r="A1065" t="s">
        <v>13</v>
      </c>
      <c r="B1065" t="s">
        <v>68</v>
      </c>
      <c r="C1065" t="s">
        <v>835</v>
      </c>
      <c r="D1065" t="s">
        <v>1091</v>
      </c>
      <c r="E1065" t="s">
        <v>1158</v>
      </c>
      <c r="F1065" t="s">
        <v>1159</v>
      </c>
    </row>
    <row r="1066" spans="1:6">
      <c r="A1066" t="s">
        <v>13</v>
      </c>
      <c r="B1066" t="s">
        <v>68</v>
      </c>
      <c r="C1066" t="s">
        <v>835</v>
      </c>
      <c r="D1066" t="s">
        <v>1091</v>
      </c>
      <c r="E1066" t="s">
        <v>1160</v>
      </c>
      <c r="F1066" t="s">
        <v>1161</v>
      </c>
    </row>
    <row r="1067" spans="1:6">
      <c r="A1067" t="s">
        <v>13</v>
      </c>
      <c r="B1067" t="s">
        <v>68</v>
      </c>
      <c r="C1067" t="s">
        <v>835</v>
      </c>
      <c r="D1067" t="s">
        <v>1091</v>
      </c>
      <c r="E1067" t="s">
        <v>1162</v>
      </c>
      <c r="F1067" t="s">
        <v>1163</v>
      </c>
    </row>
    <row r="1068" spans="1:6">
      <c r="A1068" t="s">
        <v>13</v>
      </c>
      <c r="B1068" t="s">
        <v>68</v>
      </c>
      <c r="C1068" t="s">
        <v>835</v>
      </c>
      <c r="D1068" t="s">
        <v>1091</v>
      </c>
      <c r="E1068" t="s">
        <v>1164</v>
      </c>
      <c r="F1068" t="s">
        <v>1165</v>
      </c>
    </row>
    <row r="1069" spans="1:6">
      <c r="A1069" t="s">
        <v>13</v>
      </c>
      <c r="B1069" t="s">
        <v>68</v>
      </c>
      <c r="C1069" t="s">
        <v>835</v>
      </c>
      <c r="D1069" t="s">
        <v>1091</v>
      </c>
      <c r="E1069" t="s">
        <v>1166</v>
      </c>
      <c r="F1069">
        <v>4971406</v>
      </c>
    </row>
    <row r="1070" spans="1:6">
      <c r="A1070" t="s">
        <v>13</v>
      </c>
      <c r="B1070" t="s">
        <v>68</v>
      </c>
      <c r="C1070" t="s">
        <v>835</v>
      </c>
      <c r="D1070" t="s">
        <v>1091</v>
      </c>
      <c r="E1070" t="s">
        <v>1167</v>
      </c>
      <c r="F1070">
        <v>1140375</v>
      </c>
    </row>
    <row r="1071" spans="1:6">
      <c r="A1071" t="s">
        <v>13</v>
      </c>
      <c r="B1071" t="s">
        <v>68</v>
      </c>
      <c r="C1071" t="s">
        <v>835</v>
      </c>
      <c r="D1071" t="s">
        <v>1091</v>
      </c>
      <c r="E1071" t="s">
        <v>1168</v>
      </c>
      <c r="F1071">
        <v>734548</v>
      </c>
    </row>
    <row r="1072" spans="1:6">
      <c r="A1072" t="s">
        <v>13</v>
      </c>
      <c r="B1072" t="s">
        <v>68</v>
      </c>
      <c r="C1072" t="s">
        <v>835</v>
      </c>
      <c r="D1072" t="s">
        <v>1091</v>
      </c>
      <c r="E1072" t="s">
        <v>1169</v>
      </c>
      <c r="F1072">
        <v>713748</v>
      </c>
    </row>
    <row r="1073" spans="1:6">
      <c r="A1073" t="s">
        <v>13</v>
      </c>
      <c r="B1073" t="s">
        <v>68</v>
      </c>
      <c r="C1073" t="s">
        <v>835</v>
      </c>
      <c r="D1073" t="s">
        <v>1091</v>
      </c>
      <c r="E1073" t="s">
        <v>1170</v>
      </c>
      <c r="F1073">
        <v>802186</v>
      </c>
    </row>
    <row r="1074" spans="1:6">
      <c r="A1074" t="s">
        <v>13</v>
      </c>
      <c r="B1074" t="s">
        <v>68</v>
      </c>
      <c r="C1074" t="s">
        <v>835</v>
      </c>
      <c r="D1074" t="s">
        <v>1091</v>
      </c>
      <c r="E1074" t="s">
        <v>1171</v>
      </c>
      <c r="F1074">
        <v>980406</v>
      </c>
    </row>
    <row r="1075" spans="1:6">
      <c r="A1075" t="s">
        <v>13</v>
      </c>
      <c r="B1075" t="s">
        <v>68</v>
      </c>
      <c r="C1075" t="s">
        <v>835</v>
      </c>
      <c r="D1075" t="s">
        <v>1091</v>
      </c>
      <c r="E1075" t="s">
        <v>1172</v>
      </c>
      <c r="F1075">
        <v>600143</v>
      </c>
    </row>
    <row r="1076" spans="1:6">
      <c r="A1076" t="s">
        <v>13</v>
      </c>
      <c r="B1076" t="s">
        <v>68</v>
      </c>
      <c r="C1076" t="s">
        <v>835</v>
      </c>
      <c r="D1076" t="s">
        <v>1091</v>
      </c>
      <c r="E1076" t="s">
        <v>1173</v>
      </c>
      <c r="F1076" t="s">
        <v>1174</v>
      </c>
    </row>
    <row r="1077" spans="1:6">
      <c r="A1077" t="s">
        <v>13</v>
      </c>
      <c r="B1077" t="s">
        <v>68</v>
      </c>
      <c r="C1077" t="s">
        <v>835</v>
      </c>
      <c r="D1077" t="s">
        <v>1091</v>
      </c>
      <c r="E1077" t="s">
        <v>1175</v>
      </c>
      <c r="F1077">
        <v>19174</v>
      </c>
    </row>
    <row r="1078" spans="1:6">
      <c r="A1078" t="s">
        <v>13</v>
      </c>
      <c r="B1078" t="s">
        <v>68</v>
      </c>
      <c r="C1078" t="s">
        <v>835</v>
      </c>
      <c r="D1078" t="s">
        <v>1091</v>
      </c>
      <c r="E1078" t="s">
        <v>1176</v>
      </c>
      <c r="F1078">
        <v>3615</v>
      </c>
    </row>
    <row r="1079" spans="1:6">
      <c r="A1079" t="s">
        <v>13</v>
      </c>
      <c r="B1079" t="s">
        <v>68</v>
      </c>
      <c r="C1079" t="s">
        <v>835</v>
      </c>
      <c r="D1079" t="s">
        <v>1091</v>
      </c>
      <c r="E1079" t="s">
        <v>1177</v>
      </c>
      <c r="F1079">
        <v>2619</v>
      </c>
    </row>
    <row r="1080" spans="1:6">
      <c r="A1080" t="s">
        <v>13</v>
      </c>
      <c r="B1080" t="s">
        <v>68</v>
      </c>
      <c r="C1080" t="s">
        <v>835</v>
      </c>
      <c r="D1080" t="s">
        <v>1091</v>
      </c>
      <c r="E1080" t="s">
        <v>1178</v>
      </c>
      <c r="F1080">
        <v>2575</v>
      </c>
    </row>
    <row r="1081" spans="1:6">
      <c r="A1081" t="s">
        <v>13</v>
      </c>
      <c r="B1081" t="s">
        <v>68</v>
      </c>
      <c r="C1081" t="s">
        <v>835</v>
      </c>
      <c r="D1081" t="s">
        <v>1091</v>
      </c>
      <c r="E1081" t="s">
        <v>1179</v>
      </c>
      <c r="F1081">
        <v>2706</v>
      </c>
    </row>
    <row r="1082" spans="1:6">
      <c r="A1082" t="s">
        <v>13</v>
      </c>
      <c r="B1082" t="s">
        <v>68</v>
      </c>
      <c r="C1082" t="s">
        <v>835</v>
      </c>
      <c r="D1082" t="s">
        <v>1091</v>
      </c>
      <c r="E1082" t="s">
        <v>1180</v>
      </c>
      <c r="F1082">
        <v>3218</v>
      </c>
    </row>
    <row r="1083" spans="1:6">
      <c r="A1083" t="s">
        <v>13</v>
      </c>
      <c r="B1083" t="s">
        <v>68</v>
      </c>
      <c r="C1083" t="s">
        <v>835</v>
      </c>
      <c r="D1083" t="s">
        <v>1091</v>
      </c>
      <c r="E1083" t="s">
        <v>1181</v>
      </c>
      <c r="F1083">
        <v>4441</v>
      </c>
    </row>
    <row r="1084" spans="1:6">
      <c r="A1084" t="s">
        <v>13</v>
      </c>
      <c r="B1084" t="s">
        <v>68</v>
      </c>
      <c r="C1084" t="s">
        <v>835</v>
      </c>
      <c r="D1084" t="s">
        <v>1091</v>
      </c>
      <c r="E1084" t="s">
        <v>1182</v>
      </c>
      <c r="F1084" t="s">
        <v>1183</v>
      </c>
    </row>
    <row r="1085" spans="1:6">
      <c r="A1085" t="s">
        <v>13</v>
      </c>
      <c r="B1085" t="s">
        <v>68</v>
      </c>
      <c r="C1085" t="s">
        <v>835</v>
      </c>
      <c r="D1085" t="s">
        <v>1091</v>
      </c>
      <c r="E1085" t="s">
        <v>1184</v>
      </c>
      <c r="F1085">
        <v>2985032</v>
      </c>
    </row>
    <row r="1086" spans="1:6">
      <c r="A1086" t="s">
        <v>13</v>
      </c>
      <c r="B1086" t="s">
        <v>68</v>
      </c>
      <c r="C1086" t="s">
        <v>835</v>
      </c>
      <c r="D1086" t="s">
        <v>1091</v>
      </c>
      <c r="E1086" t="s">
        <v>1185</v>
      </c>
      <c r="F1086">
        <v>308532</v>
      </c>
    </row>
    <row r="1087" spans="1:6">
      <c r="A1087" t="s">
        <v>13</v>
      </c>
      <c r="B1087" t="s">
        <v>68</v>
      </c>
      <c r="C1087" t="s">
        <v>835</v>
      </c>
      <c r="D1087" t="s">
        <v>1091</v>
      </c>
      <c r="E1087" t="s">
        <v>1186</v>
      </c>
      <c r="F1087">
        <v>447570</v>
      </c>
    </row>
    <row r="1088" spans="1:6">
      <c r="A1088" t="s">
        <v>13</v>
      </c>
      <c r="B1088" t="s">
        <v>68</v>
      </c>
      <c r="C1088" t="s">
        <v>835</v>
      </c>
      <c r="D1088" t="s">
        <v>1091</v>
      </c>
      <c r="E1088" t="s">
        <v>1187</v>
      </c>
      <c r="F1088">
        <v>458997</v>
      </c>
    </row>
    <row r="1089" spans="1:6">
      <c r="A1089" t="s">
        <v>13</v>
      </c>
      <c r="B1089" t="s">
        <v>68</v>
      </c>
      <c r="C1089" t="s">
        <v>835</v>
      </c>
      <c r="D1089" t="s">
        <v>1091</v>
      </c>
      <c r="E1089" t="s">
        <v>1188</v>
      </c>
      <c r="F1089">
        <v>615764</v>
      </c>
    </row>
    <row r="1090" spans="1:6">
      <c r="A1090" t="s">
        <v>13</v>
      </c>
      <c r="B1090" t="s">
        <v>68</v>
      </c>
      <c r="C1090" t="s">
        <v>835</v>
      </c>
      <c r="D1090" t="s">
        <v>1091</v>
      </c>
      <c r="E1090" t="s">
        <v>1189</v>
      </c>
      <c r="F1090">
        <v>728595</v>
      </c>
    </row>
    <row r="1091" spans="1:6">
      <c r="A1091" t="s">
        <v>13</v>
      </c>
      <c r="B1091" t="s">
        <v>68</v>
      </c>
      <c r="C1091" t="s">
        <v>835</v>
      </c>
      <c r="D1091" t="s">
        <v>1091</v>
      </c>
      <c r="E1091" t="s">
        <v>1190</v>
      </c>
      <c r="F1091">
        <v>425573</v>
      </c>
    </row>
    <row r="1092" spans="1:6">
      <c r="A1092" t="s">
        <v>13</v>
      </c>
      <c r="B1092" t="s">
        <v>68</v>
      </c>
      <c r="C1092" t="s">
        <v>835</v>
      </c>
      <c r="D1092" t="s">
        <v>1091</v>
      </c>
      <c r="E1092" t="s">
        <v>1191</v>
      </c>
      <c r="F1092" t="s">
        <v>1192</v>
      </c>
    </row>
    <row r="1093" spans="1:6">
      <c r="A1093" t="s">
        <v>13</v>
      </c>
      <c r="B1093" t="s">
        <v>68</v>
      </c>
      <c r="C1093" t="s">
        <v>835</v>
      </c>
      <c r="D1093" t="s">
        <v>1091</v>
      </c>
      <c r="E1093" t="s">
        <v>1193</v>
      </c>
      <c r="F1093">
        <v>1164</v>
      </c>
    </row>
    <row r="1094" spans="1:6">
      <c r="A1094" t="s">
        <v>13</v>
      </c>
      <c r="B1094" t="s">
        <v>68</v>
      </c>
      <c r="C1094" t="s">
        <v>835</v>
      </c>
      <c r="D1094" t="s">
        <v>1091</v>
      </c>
      <c r="E1094" t="s">
        <v>1194</v>
      </c>
      <c r="F1094">
        <v>969</v>
      </c>
    </row>
    <row r="1095" spans="1:6">
      <c r="A1095" t="s">
        <v>13</v>
      </c>
      <c r="B1095" t="s">
        <v>68</v>
      </c>
      <c r="C1095" t="s">
        <v>835</v>
      </c>
      <c r="D1095" t="s">
        <v>1091</v>
      </c>
      <c r="E1095" t="s">
        <v>1195</v>
      </c>
      <c r="F1095">
        <v>1016</v>
      </c>
    </row>
    <row r="1096" spans="1:6">
      <c r="A1096" t="s">
        <v>13</v>
      </c>
      <c r="B1096" t="s">
        <v>68</v>
      </c>
      <c r="C1096" t="s">
        <v>835</v>
      </c>
      <c r="D1096" t="s">
        <v>1091</v>
      </c>
      <c r="E1096" t="s">
        <v>1196</v>
      </c>
      <c r="F1096">
        <v>1539</v>
      </c>
    </row>
    <row r="1097" spans="1:6">
      <c r="A1097" t="s">
        <v>13</v>
      </c>
      <c r="B1097" t="s">
        <v>68</v>
      </c>
      <c r="C1097" t="s">
        <v>835</v>
      </c>
      <c r="D1097" t="s">
        <v>1091</v>
      </c>
      <c r="E1097" t="s">
        <v>1197</v>
      </c>
      <c r="F1097">
        <v>1743</v>
      </c>
    </row>
    <row r="1098" spans="1:6">
      <c r="A1098" t="s">
        <v>13</v>
      </c>
      <c r="B1098" t="s">
        <v>68</v>
      </c>
      <c r="C1098" t="s">
        <v>835</v>
      </c>
      <c r="D1098" t="s">
        <v>1091</v>
      </c>
      <c r="E1098" t="s">
        <v>1198</v>
      </c>
      <c r="F1098">
        <v>2660</v>
      </c>
    </row>
    <row r="1099" spans="1:6">
      <c r="A1099" t="s">
        <v>13</v>
      </c>
      <c r="B1099" t="s">
        <v>68</v>
      </c>
      <c r="C1099" t="s">
        <v>835</v>
      </c>
      <c r="D1099" t="s">
        <v>1091</v>
      </c>
      <c r="E1099" t="s">
        <v>1199</v>
      </c>
      <c r="F1099" t="s">
        <v>1200</v>
      </c>
    </row>
    <row r="1100" spans="1:6">
      <c r="A1100" t="s">
        <v>13</v>
      </c>
      <c r="B1100" t="s">
        <v>68</v>
      </c>
      <c r="C1100" t="s">
        <v>835</v>
      </c>
      <c r="D1100" t="s">
        <v>1091</v>
      </c>
      <c r="E1100" t="s">
        <v>1201</v>
      </c>
      <c r="F1100" t="s">
        <v>1107</v>
      </c>
    </row>
    <row r="1101" spans="1:6">
      <c r="A1101" t="s">
        <v>13</v>
      </c>
      <c r="B1101" t="s">
        <v>68</v>
      </c>
      <c r="C1101" t="s">
        <v>835</v>
      </c>
      <c r="D1101" t="s">
        <v>1091</v>
      </c>
      <c r="E1101" t="s">
        <v>1202</v>
      </c>
      <c r="F1101">
        <v>2721256</v>
      </c>
    </row>
    <row r="1102" spans="1:6">
      <c r="A1102" t="s">
        <v>13</v>
      </c>
      <c r="B1102" t="s">
        <v>68</v>
      </c>
      <c r="C1102" t="s">
        <v>835</v>
      </c>
      <c r="D1102" t="s">
        <v>1091</v>
      </c>
      <c r="E1102" t="s">
        <v>1203</v>
      </c>
      <c r="F1102">
        <v>213697</v>
      </c>
    </row>
    <row r="1103" spans="1:6">
      <c r="A1103" t="s">
        <v>13</v>
      </c>
      <c r="B1103" t="s">
        <v>68</v>
      </c>
      <c r="C1103" t="s">
        <v>835</v>
      </c>
      <c r="D1103" t="s">
        <v>1091</v>
      </c>
      <c r="E1103" t="s">
        <v>1204</v>
      </c>
      <c r="F1103">
        <v>335703</v>
      </c>
    </row>
    <row r="1104" spans="1:6">
      <c r="A1104" t="s">
        <v>13</v>
      </c>
      <c r="B1104" t="s">
        <v>68</v>
      </c>
      <c r="C1104" t="s">
        <v>835</v>
      </c>
      <c r="D1104" t="s">
        <v>1091</v>
      </c>
      <c r="E1104" t="s">
        <v>1205</v>
      </c>
      <c r="F1104">
        <v>443705</v>
      </c>
    </row>
    <row r="1105" spans="1:6">
      <c r="A1105" t="s">
        <v>13</v>
      </c>
      <c r="B1105" t="s">
        <v>68</v>
      </c>
      <c r="C1105" t="s">
        <v>835</v>
      </c>
      <c r="D1105" t="s">
        <v>1091</v>
      </c>
      <c r="E1105" t="s">
        <v>1206</v>
      </c>
      <c r="F1105">
        <v>602254</v>
      </c>
    </row>
    <row r="1106" spans="1:6">
      <c r="A1106" t="s">
        <v>13</v>
      </c>
      <c r="B1106" t="s">
        <v>68</v>
      </c>
      <c r="C1106" t="s">
        <v>835</v>
      </c>
      <c r="D1106" t="s">
        <v>1091</v>
      </c>
      <c r="E1106" t="s">
        <v>1207</v>
      </c>
      <c r="F1106">
        <v>708428</v>
      </c>
    </row>
    <row r="1107" spans="1:6">
      <c r="A1107" t="s">
        <v>13</v>
      </c>
      <c r="B1107" t="s">
        <v>68</v>
      </c>
      <c r="C1107" t="s">
        <v>835</v>
      </c>
      <c r="D1107" t="s">
        <v>1091</v>
      </c>
      <c r="E1107" t="s">
        <v>1208</v>
      </c>
      <c r="F1107">
        <v>417469</v>
      </c>
    </row>
    <row r="1108" spans="1:6">
      <c r="A1108" t="s">
        <v>13</v>
      </c>
      <c r="B1108" t="s">
        <v>68</v>
      </c>
      <c r="C1108" t="s">
        <v>835</v>
      </c>
      <c r="D1108" t="s">
        <v>1091</v>
      </c>
      <c r="E1108" t="s">
        <v>1209</v>
      </c>
      <c r="F1108" t="s">
        <v>1307</v>
      </c>
    </row>
    <row r="1109" spans="1:6">
      <c r="A1109" t="s">
        <v>13</v>
      </c>
      <c r="B1109" t="s">
        <v>68</v>
      </c>
      <c r="C1109" t="s">
        <v>835</v>
      </c>
      <c r="D1109" t="s">
        <v>1091</v>
      </c>
      <c r="E1109" t="s">
        <v>1210</v>
      </c>
      <c r="F1109">
        <v>436</v>
      </c>
    </row>
    <row r="1110" spans="1:6">
      <c r="A1110" t="s">
        <v>13</v>
      </c>
      <c r="B1110" t="s">
        <v>68</v>
      </c>
      <c r="C1110" t="s">
        <v>835</v>
      </c>
      <c r="D1110" t="s">
        <v>1091</v>
      </c>
      <c r="E1110" t="s">
        <v>1211</v>
      </c>
      <c r="F1110">
        <v>0</v>
      </c>
    </row>
    <row r="1111" spans="1:6">
      <c r="A1111" t="s">
        <v>13</v>
      </c>
      <c r="B1111" t="s">
        <v>68</v>
      </c>
      <c r="C1111" t="s">
        <v>835</v>
      </c>
      <c r="D1111" t="s">
        <v>1091</v>
      </c>
      <c r="E1111" t="s">
        <v>1212</v>
      </c>
      <c r="F1111">
        <v>0</v>
      </c>
    </row>
    <row r="1112" spans="1:6">
      <c r="A1112" t="s">
        <v>13</v>
      </c>
      <c r="B1112" t="s">
        <v>68</v>
      </c>
      <c r="C1112" t="s">
        <v>835</v>
      </c>
      <c r="D1112" t="s">
        <v>1091</v>
      </c>
      <c r="E1112" t="s">
        <v>1213</v>
      </c>
      <c r="F1112">
        <v>0</v>
      </c>
    </row>
    <row r="1113" spans="1:6">
      <c r="A1113" t="s">
        <v>13</v>
      </c>
      <c r="B1113" t="s">
        <v>68</v>
      </c>
      <c r="C1113" t="s">
        <v>835</v>
      </c>
      <c r="D1113" t="s">
        <v>1091</v>
      </c>
      <c r="E1113" t="s">
        <v>1214</v>
      </c>
      <c r="F1113">
        <v>0</v>
      </c>
    </row>
    <row r="1114" spans="1:6">
      <c r="A1114" t="s">
        <v>13</v>
      </c>
      <c r="B1114" t="s">
        <v>68</v>
      </c>
      <c r="C1114" t="s">
        <v>835</v>
      </c>
      <c r="D1114" t="s">
        <v>1091</v>
      </c>
      <c r="E1114" t="s">
        <v>1215</v>
      </c>
      <c r="F1114">
        <v>436</v>
      </c>
    </row>
    <row r="1115" spans="1:6">
      <c r="A1115" t="s">
        <v>13</v>
      </c>
      <c r="B1115" t="s">
        <v>68</v>
      </c>
      <c r="C1115" t="s">
        <v>835</v>
      </c>
      <c r="D1115" t="s">
        <v>1091</v>
      </c>
      <c r="E1115" t="s">
        <v>1216</v>
      </c>
      <c r="F1115">
        <v>0</v>
      </c>
    </row>
    <row r="1116" spans="1:6">
      <c r="A1116" t="s">
        <v>13</v>
      </c>
      <c r="B1116" t="s">
        <v>68</v>
      </c>
      <c r="C1116" t="s">
        <v>835</v>
      </c>
      <c r="D1116" t="s">
        <v>1091</v>
      </c>
      <c r="E1116" t="s">
        <v>1217</v>
      </c>
      <c r="F1116" t="s">
        <v>1308</v>
      </c>
    </row>
    <row r="1117" spans="1:6">
      <c r="A1117" t="s">
        <v>13</v>
      </c>
      <c r="B1117" t="s">
        <v>68</v>
      </c>
      <c r="C1117" t="s">
        <v>835</v>
      </c>
      <c r="D1117" t="s">
        <v>1091</v>
      </c>
      <c r="E1117" t="s">
        <v>1218</v>
      </c>
      <c r="F1117">
        <v>263340</v>
      </c>
    </row>
    <row r="1118" spans="1:6">
      <c r="A1118" t="s">
        <v>13</v>
      </c>
      <c r="B1118" t="s">
        <v>68</v>
      </c>
      <c r="C1118" t="s">
        <v>835</v>
      </c>
      <c r="D1118" t="s">
        <v>1091</v>
      </c>
      <c r="E1118" t="s">
        <v>1219</v>
      </c>
      <c r="F1118">
        <v>94835</v>
      </c>
    </row>
    <row r="1119" spans="1:6">
      <c r="A1119" t="s">
        <v>13</v>
      </c>
      <c r="B1119" t="s">
        <v>68</v>
      </c>
      <c r="C1119" t="s">
        <v>835</v>
      </c>
      <c r="D1119" t="s">
        <v>1091</v>
      </c>
      <c r="E1119" t="s">
        <v>1220</v>
      </c>
      <c r="F1119">
        <v>111867</v>
      </c>
    </row>
    <row r="1120" spans="1:6">
      <c r="A1120" t="s">
        <v>13</v>
      </c>
      <c r="B1120" t="s">
        <v>68</v>
      </c>
      <c r="C1120" t="s">
        <v>835</v>
      </c>
      <c r="D1120" t="s">
        <v>1091</v>
      </c>
      <c r="E1120" t="s">
        <v>1221</v>
      </c>
      <c r="F1120">
        <v>15292</v>
      </c>
    </row>
    <row r="1121" spans="1:6">
      <c r="A1121" t="s">
        <v>13</v>
      </c>
      <c r="B1121" t="s">
        <v>68</v>
      </c>
      <c r="C1121" t="s">
        <v>835</v>
      </c>
      <c r="D1121" t="s">
        <v>1091</v>
      </c>
      <c r="E1121" t="s">
        <v>1222</v>
      </c>
      <c r="F1121">
        <v>13510</v>
      </c>
    </row>
    <row r="1122" spans="1:6">
      <c r="A1122" t="s">
        <v>13</v>
      </c>
      <c r="B1122" t="s">
        <v>68</v>
      </c>
      <c r="C1122" t="s">
        <v>835</v>
      </c>
      <c r="D1122" t="s">
        <v>1091</v>
      </c>
      <c r="E1122" t="s">
        <v>1223</v>
      </c>
      <c r="F1122">
        <v>19731</v>
      </c>
    </row>
    <row r="1123" spans="1:6">
      <c r="A1123" t="s">
        <v>13</v>
      </c>
      <c r="B1123" t="s">
        <v>68</v>
      </c>
      <c r="C1123" t="s">
        <v>835</v>
      </c>
      <c r="D1123" t="s">
        <v>1091</v>
      </c>
      <c r="E1123" t="s">
        <v>1224</v>
      </c>
      <c r="F1123">
        <v>8104</v>
      </c>
    </row>
    <row r="1124" spans="1:6">
      <c r="A1124" t="s">
        <v>13</v>
      </c>
      <c r="B1124" t="s">
        <v>68</v>
      </c>
      <c r="C1124" t="s">
        <v>835</v>
      </c>
      <c r="D1124" t="s">
        <v>1091</v>
      </c>
      <c r="E1124" t="s">
        <v>1225</v>
      </c>
      <c r="F1124" t="s">
        <v>1226</v>
      </c>
    </row>
    <row r="1125" spans="1:6">
      <c r="A1125" t="s">
        <v>13</v>
      </c>
      <c r="B1125" t="s">
        <v>68</v>
      </c>
      <c r="C1125" t="s">
        <v>835</v>
      </c>
      <c r="D1125" t="s">
        <v>1091</v>
      </c>
      <c r="E1125" t="s">
        <v>1227</v>
      </c>
      <c r="F1125" t="s">
        <v>1378</v>
      </c>
    </row>
    <row r="1126" spans="1:6">
      <c r="A1126" t="s">
        <v>13</v>
      </c>
      <c r="B1126" t="s">
        <v>68</v>
      </c>
      <c r="C1126" t="s">
        <v>835</v>
      </c>
      <c r="D1126" t="s">
        <v>1091</v>
      </c>
      <c r="E1126" t="s">
        <v>1228</v>
      </c>
      <c r="F1126" t="s">
        <v>1379</v>
      </c>
    </row>
    <row r="1127" spans="1:6">
      <c r="A1127" t="s">
        <v>13</v>
      </c>
      <c r="B1127" t="s">
        <v>68</v>
      </c>
      <c r="C1127" t="s">
        <v>835</v>
      </c>
      <c r="D1127" t="s">
        <v>1091</v>
      </c>
      <c r="E1127" t="s">
        <v>1230</v>
      </c>
      <c r="F1127" t="s">
        <v>1380</v>
      </c>
    </row>
    <row r="1128" spans="1:6">
      <c r="A1128" t="s">
        <v>13</v>
      </c>
      <c r="B1128" t="s">
        <v>68</v>
      </c>
      <c r="C1128" t="s">
        <v>835</v>
      </c>
      <c r="D1128" t="s">
        <v>1091</v>
      </c>
      <c r="E1128" t="s">
        <v>1231</v>
      </c>
      <c r="F1128" t="s">
        <v>1381</v>
      </c>
    </row>
    <row r="1129" spans="1:6">
      <c r="A1129" t="s">
        <v>13</v>
      </c>
      <c r="B1129" t="s">
        <v>68</v>
      </c>
      <c r="C1129" t="s">
        <v>835</v>
      </c>
      <c r="D1129" t="s">
        <v>1091</v>
      </c>
      <c r="E1129" t="s">
        <v>1233</v>
      </c>
      <c r="F1129" t="s">
        <v>1382</v>
      </c>
    </row>
    <row r="1130" spans="1:6">
      <c r="A1130" t="s">
        <v>13</v>
      </c>
      <c r="B1130" t="s">
        <v>68</v>
      </c>
      <c r="C1130" t="s">
        <v>835</v>
      </c>
      <c r="D1130" t="s">
        <v>1091</v>
      </c>
      <c r="E1130" t="s">
        <v>1234</v>
      </c>
      <c r="F1130" t="s">
        <v>1322</v>
      </c>
    </row>
    <row r="1131" spans="1:6">
      <c r="A1131" t="s">
        <v>13</v>
      </c>
      <c r="B1131" t="s">
        <v>68</v>
      </c>
      <c r="C1131" t="s">
        <v>835</v>
      </c>
      <c r="D1131" t="s">
        <v>1091</v>
      </c>
      <c r="E1131" t="s">
        <v>1235</v>
      </c>
      <c r="F1131" t="s">
        <v>1236</v>
      </c>
    </row>
    <row r="1132" spans="1:6">
      <c r="A1132" t="s">
        <v>13</v>
      </c>
      <c r="B1132" t="s">
        <v>68</v>
      </c>
      <c r="C1132" t="s">
        <v>835</v>
      </c>
      <c r="D1132" t="s">
        <v>1091</v>
      </c>
      <c r="E1132" t="s">
        <v>1237</v>
      </c>
      <c r="F1132" t="s">
        <v>1383</v>
      </c>
    </row>
    <row r="1133" spans="1:6">
      <c r="A1133" t="s">
        <v>13</v>
      </c>
      <c r="B1133" t="s">
        <v>68</v>
      </c>
      <c r="C1133" t="s">
        <v>835</v>
      </c>
      <c r="D1133" t="s">
        <v>1091</v>
      </c>
      <c r="E1133" t="s">
        <v>1238</v>
      </c>
      <c r="F1133" t="s">
        <v>1384</v>
      </c>
    </row>
    <row r="1134" spans="1:6">
      <c r="A1134" t="s">
        <v>13</v>
      </c>
      <c r="B1134" t="s">
        <v>68</v>
      </c>
      <c r="C1134" t="s">
        <v>835</v>
      </c>
      <c r="D1134" t="s">
        <v>1091</v>
      </c>
      <c r="E1134" t="s">
        <v>1240</v>
      </c>
      <c r="F1134" t="s">
        <v>1385</v>
      </c>
    </row>
    <row r="1135" spans="1:6">
      <c r="A1135" t="s">
        <v>13</v>
      </c>
      <c r="B1135" t="s">
        <v>68</v>
      </c>
      <c r="C1135" t="s">
        <v>835</v>
      </c>
      <c r="D1135" t="s">
        <v>1091</v>
      </c>
      <c r="E1135" t="s">
        <v>1241</v>
      </c>
      <c r="F1135" t="s">
        <v>1386</v>
      </c>
    </row>
    <row r="1136" spans="1:6">
      <c r="A1136" t="s">
        <v>13</v>
      </c>
      <c r="B1136" t="s">
        <v>68</v>
      </c>
      <c r="C1136" t="s">
        <v>835</v>
      </c>
      <c r="D1136" t="s">
        <v>1091</v>
      </c>
      <c r="E1136" t="s">
        <v>1243</v>
      </c>
      <c r="F1136" t="s">
        <v>1387</v>
      </c>
    </row>
    <row r="1137" spans="1:6">
      <c r="A1137" t="s">
        <v>13</v>
      </c>
      <c r="B1137" t="s">
        <v>68</v>
      </c>
      <c r="C1137" t="s">
        <v>835</v>
      </c>
      <c r="D1137" t="s">
        <v>1091</v>
      </c>
      <c r="E1137" t="s">
        <v>1244</v>
      </c>
      <c r="F1137" t="s">
        <v>1374</v>
      </c>
    </row>
    <row r="1138" spans="1:6">
      <c r="A1138" t="s">
        <v>13</v>
      </c>
      <c r="B1138" t="s">
        <v>68</v>
      </c>
      <c r="C1138" t="s">
        <v>835</v>
      </c>
      <c r="D1138" t="s">
        <v>1091</v>
      </c>
      <c r="E1138" t="s">
        <v>1245</v>
      </c>
      <c r="F1138" t="s">
        <v>1246</v>
      </c>
    </row>
    <row r="1139" spans="1:6">
      <c r="A1139" t="s">
        <v>13</v>
      </c>
      <c r="B1139" t="s">
        <v>68</v>
      </c>
      <c r="C1139" t="s">
        <v>835</v>
      </c>
      <c r="D1139" t="s">
        <v>1091</v>
      </c>
      <c r="E1139" t="s">
        <v>1247</v>
      </c>
      <c r="F1139">
        <v>1986374</v>
      </c>
    </row>
    <row r="1140" spans="1:6">
      <c r="A1140" t="s">
        <v>13</v>
      </c>
      <c r="B1140" t="s">
        <v>68</v>
      </c>
      <c r="C1140" t="s">
        <v>835</v>
      </c>
      <c r="D1140" t="s">
        <v>1091</v>
      </c>
      <c r="E1140" t="s">
        <v>1248</v>
      </c>
      <c r="F1140">
        <v>831843</v>
      </c>
    </row>
    <row r="1141" spans="1:6">
      <c r="A1141" t="s">
        <v>13</v>
      </c>
      <c r="B1141" t="s">
        <v>68</v>
      </c>
      <c r="C1141" t="s">
        <v>835</v>
      </c>
      <c r="D1141" t="s">
        <v>1091</v>
      </c>
      <c r="E1141" t="s">
        <v>1249</v>
      </c>
      <c r="F1141">
        <v>286978</v>
      </c>
    </row>
    <row r="1142" spans="1:6">
      <c r="A1142" t="s">
        <v>13</v>
      </c>
      <c r="B1142" t="s">
        <v>68</v>
      </c>
      <c r="C1142" t="s">
        <v>835</v>
      </c>
      <c r="D1142" t="s">
        <v>1091</v>
      </c>
      <c r="E1142" t="s">
        <v>1250</v>
      </c>
      <c r="F1142">
        <v>254752</v>
      </c>
    </row>
    <row r="1143" spans="1:6">
      <c r="A1143" t="s">
        <v>13</v>
      </c>
      <c r="B1143" t="s">
        <v>68</v>
      </c>
      <c r="C1143" t="s">
        <v>835</v>
      </c>
      <c r="D1143" t="s">
        <v>1091</v>
      </c>
      <c r="E1143" t="s">
        <v>1251</v>
      </c>
      <c r="F1143">
        <v>186422</v>
      </c>
    </row>
    <row r="1144" spans="1:6">
      <c r="A1144" t="s">
        <v>13</v>
      </c>
      <c r="B1144" t="s">
        <v>68</v>
      </c>
      <c r="C1144" t="s">
        <v>835</v>
      </c>
      <c r="D1144" t="s">
        <v>1091</v>
      </c>
      <c r="E1144" t="s">
        <v>1252</v>
      </c>
      <c r="F1144">
        <v>251811</v>
      </c>
    </row>
    <row r="1145" spans="1:6">
      <c r="A1145" t="s">
        <v>13</v>
      </c>
      <c r="B1145" t="s">
        <v>68</v>
      </c>
      <c r="C1145" t="s">
        <v>835</v>
      </c>
      <c r="D1145" t="s">
        <v>1091</v>
      </c>
      <c r="E1145" t="s">
        <v>1253</v>
      </c>
      <c r="F1145">
        <v>174569</v>
      </c>
    </row>
    <row r="1146" spans="1:6">
      <c r="A1146" t="s">
        <v>13</v>
      </c>
      <c r="B1146" t="s">
        <v>68</v>
      </c>
      <c r="C1146" t="s">
        <v>835</v>
      </c>
      <c r="D1146" t="s">
        <v>1091</v>
      </c>
      <c r="E1146" t="s">
        <v>1254</v>
      </c>
      <c r="F1146" t="s">
        <v>1255</v>
      </c>
    </row>
    <row r="1147" spans="1:6">
      <c r="A1147" t="s">
        <v>13</v>
      </c>
      <c r="B1147" t="s">
        <v>68</v>
      </c>
      <c r="C1147" t="s">
        <v>835</v>
      </c>
      <c r="D1147" t="s">
        <v>1091</v>
      </c>
      <c r="E1147" t="s">
        <v>1256</v>
      </c>
      <c r="F1147">
        <v>10083</v>
      </c>
    </row>
    <row r="1148" spans="1:6">
      <c r="A1148" t="s">
        <v>13</v>
      </c>
      <c r="B1148" t="s">
        <v>68</v>
      </c>
      <c r="C1148" t="s">
        <v>835</v>
      </c>
      <c r="D1148" t="s">
        <v>1091</v>
      </c>
      <c r="E1148" t="s">
        <v>1257</v>
      </c>
      <c r="F1148">
        <v>2451</v>
      </c>
    </row>
    <row r="1149" spans="1:6">
      <c r="A1149" t="s">
        <v>13</v>
      </c>
      <c r="B1149" t="s">
        <v>68</v>
      </c>
      <c r="C1149" t="s">
        <v>835</v>
      </c>
      <c r="D1149" t="s">
        <v>1091</v>
      </c>
      <c r="E1149" t="s">
        <v>1258</v>
      </c>
      <c r="F1149">
        <v>1650</v>
      </c>
    </row>
    <row r="1150" spans="1:6">
      <c r="A1150" t="s">
        <v>13</v>
      </c>
      <c r="B1150" t="s">
        <v>68</v>
      </c>
      <c r="C1150" t="s">
        <v>835</v>
      </c>
      <c r="D1150" t="s">
        <v>1091</v>
      </c>
      <c r="E1150" t="s">
        <v>1259</v>
      </c>
      <c r="F1150">
        <v>1559</v>
      </c>
    </row>
    <row r="1151" spans="1:6">
      <c r="A1151" t="s">
        <v>13</v>
      </c>
      <c r="B1151" t="s">
        <v>68</v>
      </c>
      <c r="C1151" t="s">
        <v>835</v>
      </c>
      <c r="D1151" t="s">
        <v>1091</v>
      </c>
      <c r="E1151" t="s">
        <v>1260</v>
      </c>
      <c r="F1151">
        <v>1167</v>
      </c>
    </row>
    <row r="1152" spans="1:6">
      <c r="A1152" t="s">
        <v>13</v>
      </c>
      <c r="B1152" t="s">
        <v>68</v>
      </c>
      <c r="C1152" t="s">
        <v>835</v>
      </c>
      <c r="D1152" t="s">
        <v>1091</v>
      </c>
      <c r="E1152" t="s">
        <v>1261</v>
      </c>
      <c r="F1152">
        <v>1475</v>
      </c>
    </row>
    <row r="1153" spans="1:6">
      <c r="A1153" t="s">
        <v>13</v>
      </c>
      <c r="B1153" t="s">
        <v>68</v>
      </c>
      <c r="C1153" t="s">
        <v>835</v>
      </c>
      <c r="D1153" t="s">
        <v>1091</v>
      </c>
      <c r="E1153" t="s">
        <v>1262</v>
      </c>
      <c r="F1153">
        <v>1781</v>
      </c>
    </row>
    <row r="1154" spans="1:6">
      <c r="A1154" t="s">
        <v>13</v>
      </c>
      <c r="B1154" t="s">
        <v>68</v>
      </c>
      <c r="C1154" t="s">
        <v>835</v>
      </c>
      <c r="D1154" t="s">
        <v>1091</v>
      </c>
      <c r="E1154" t="s">
        <v>1263</v>
      </c>
      <c r="F1154" t="s">
        <v>1131</v>
      </c>
    </row>
    <row r="1155" spans="1:6">
      <c r="A1155" t="s">
        <v>13</v>
      </c>
      <c r="B1155" t="s">
        <v>68</v>
      </c>
      <c r="C1155" t="s">
        <v>835</v>
      </c>
      <c r="D1155" t="s">
        <v>1091</v>
      </c>
      <c r="E1155" t="s">
        <v>1264</v>
      </c>
      <c r="F1155" t="s">
        <v>1375</v>
      </c>
    </row>
    <row r="1156" spans="1:6">
      <c r="A1156" t="s">
        <v>13</v>
      </c>
      <c r="B1156" t="s">
        <v>68</v>
      </c>
      <c r="C1156" t="s">
        <v>835</v>
      </c>
      <c r="D1156" t="s">
        <v>1091</v>
      </c>
      <c r="E1156" t="s">
        <v>1265</v>
      </c>
      <c r="F1156" t="s">
        <v>1388</v>
      </c>
    </row>
    <row r="1157" spans="1:6">
      <c r="A1157" t="s">
        <v>13</v>
      </c>
      <c r="B1157" t="s">
        <v>68</v>
      </c>
      <c r="C1157" t="s">
        <v>835</v>
      </c>
      <c r="D1157" t="s">
        <v>1091</v>
      </c>
      <c r="E1157" t="s">
        <v>1266</v>
      </c>
      <c r="F1157" t="s">
        <v>1385</v>
      </c>
    </row>
    <row r="1158" spans="1:6">
      <c r="A1158" t="s">
        <v>13</v>
      </c>
      <c r="B1158" t="s">
        <v>68</v>
      </c>
      <c r="C1158" t="s">
        <v>835</v>
      </c>
      <c r="D1158" t="s">
        <v>1091</v>
      </c>
      <c r="E1158" t="s">
        <v>1268</v>
      </c>
      <c r="F1158" t="s">
        <v>1389</v>
      </c>
    </row>
    <row r="1159" spans="1:6">
      <c r="A1159" t="s">
        <v>13</v>
      </c>
      <c r="B1159" t="s">
        <v>68</v>
      </c>
      <c r="C1159" t="s">
        <v>835</v>
      </c>
      <c r="D1159" t="s">
        <v>1091</v>
      </c>
      <c r="E1159" t="s">
        <v>1269</v>
      </c>
      <c r="F1159" t="s">
        <v>1390</v>
      </c>
    </row>
    <row r="1160" spans="1:6">
      <c r="A1160" t="s">
        <v>13</v>
      </c>
      <c r="B1160" t="s">
        <v>68</v>
      </c>
      <c r="C1160" t="s">
        <v>835</v>
      </c>
      <c r="D1160" t="s">
        <v>1091</v>
      </c>
      <c r="E1160" t="s">
        <v>1271</v>
      </c>
      <c r="F1160" t="s">
        <v>1391</v>
      </c>
    </row>
    <row r="1161" spans="1:6">
      <c r="A1161" t="s">
        <v>13</v>
      </c>
      <c r="B1161" t="s">
        <v>68</v>
      </c>
      <c r="C1161" t="s">
        <v>835</v>
      </c>
      <c r="D1161" t="s">
        <v>1091</v>
      </c>
      <c r="E1161" t="s">
        <v>1272</v>
      </c>
      <c r="F1161" t="s">
        <v>1324</v>
      </c>
    </row>
    <row r="1162" spans="1:6">
      <c r="A1162" t="s">
        <v>13</v>
      </c>
      <c r="B1162" t="s">
        <v>68</v>
      </c>
      <c r="C1162" t="s">
        <v>835</v>
      </c>
      <c r="D1162" t="s">
        <v>1273</v>
      </c>
      <c r="E1162" t="s">
        <v>1274</v>
      </c>
      <c r="F1162" t="s">
        <v>68</v>
      </c>
    </row>
    <row r="1163" spans="1:6">
      <c r="A1163" t="s">
        <v>13</v>
      </c>
      <c r="B1163" t="s">
        <v>68</v>
      </c>
      <c r="C1163" t="s">
        <v>835</v>
      </c>
      <c r="D1163" t="s">
        <v>1273</v>
      </c>
      <c r="E1163" t="s">
        <v>1275</v>
      </c>
      <c r="F1163" t="s">
        <v>998</v>
      </c>
    </row>
    <row r="1164" spans="1:6">
      <c r="A1164" t="s">
        <v>13</v>
      </c>
      <c r="B1164" t="s">
        <v>68</v>
      </c>
      <c r="C1164" t="s">
        <v>835</v>
      </c>
      <c r="D1164" t="s">
        <v>1273</v>
      </c>
      <c r="E1164" t="s">
        <v>1276</v>
      </c>
      <c r="F1164" t="s">
        <v>1277</v>
      </c>
    </row>
    <row r="1165" spans="1:6">
      <c r="A1165" t="s">
        <v>13</v>
      </c>
      <c r="B1165" t="s">
        <v>68</v>
      </c>
      <c r="C1165" t="s">
        <v>835</v>
      </c>
      <c r="D1165" t="s">
        <v>1273</v>
      </c>
      <c r="E1165" t="s">
        <v>1278</v>
      </c>
      <c r="F1165" t="s">
        <v>998</v>
      </c>
    </row>
    <row r="1166" spans="1:6">
      <c r="A1166" t="s">
        <v>13</v>
      </c>
      <c r="B1166" t="s">
        <v>68</v>
      </c>
      <c r="C1166" t="s">
        <v>835</v>
      </c>
      <c r="D1166" t="s">
        <v>1273</v>
      </c>
      <c r="E1166" t="s">
        <v>1279</v>
      </c>
      <c r="F1166" t="s">
        <v>1280</v>
      </c>
    </row>
    <row r="1167" spans="1:6">
      <c r="A1167" t="s">
        <v>13</v>
      </c>
      <c r="B1167" t="s">
        <v>68</v>
      </c>
      <c r="C1167" t="s">
        <v>835</v>
      </c>
      <c r="D1167" t="s">
        <v>1273</v>
      </c>
      <c r="E1167" t="s">
        <v>1281</v>
      </c>
      <c r="F1167" t="s">
        <v>1282</v>
      </c>
    </row>
    <row r="1168" spans="1:6">
      <c r="A1168" t="s">
        <v>13</v>
      </c>
      <c r="B1168" t="s">
        <v>68</v>
      </c>
      <c r="C1168" t="s">
        <v>835</v>
      </c>
      <c r="D1168" t="s">
        <v>1273</v>
      </c>
      <c r="E1168" t="s">
        <v>1283</v>
      </c>
      <c r="F1168" t="s">
        <v>1284</v>
      </c>
    </row>
    <row r="1169" spans="1:6">
      <c r="A1169" t="s">
        <v>13</v>
      </c>
      <c r="B1169" t="s">
        <v>68</v>
      </c>
      <c r="C1169" t="s">
        <v>835</v>
      </c>
      <c r="D1169" t="s">
        <v>1273</v>
      </c>
      <c r="E1169" t="s">
        <v>1285</v>
      </c>
      <c r="F1169" t="s">
        <v>377</v>
      </c>
    </row>
    <row r="1170" spans="1:6">
      <c r="A1170" t="s">
        <v>13</v>
      </c>
      <c r="B1170" t="s">
        <v>68</v>
      </c>
      <c r="C1170" t="s">
        <v>835</v>
      </c>
      <c r="D1170" t="s">
        <v>1273</v>
      </c>
      <c r="E1170" t="s">
        <v>1286</v>
      </c>
      <c r="F1170">
        <v>1162</v>
      </c>
    </row>
    <row r="1171" spans="1:6">
      <c r="A1171" t="s">
        <v>13</v>
      </c>
      <c r="B1171" t="s">
        <v>68</v>
      </c>
      <c r="C1171" t="s">
        <v>835</v>
      </c>
      <c r="D1171" t="s">
        <v>1273</v>
      </c>
      <c r="E1171" t="s">
        <v>1287</v>
      </c>
      <c r="F1171">
        <v>477</v>
      </c>
    </row>
    <row r="1172" spans="1:6">
      <c r="A1172" t="s">
        <v>13</v>
      </c>
      <c r="B1172" t="s">
        <v>68</v>
      </c>
      <c r="C1172" t="s">
        <v>835</v>
      </c>
      <c r="D1172" t="s">
        <v>1273</v>
      </c>
      <c r="E1172" t="s">
        <v>1288</v>
      </c>
      <c r="F1172" t="s">
        <v>379</v>
      </c>
    </row>
    <row r="1173" spans="1:6">
      <c r="A1173" t="s">
        <v>13</v>
      </c>
      <c r="B1173" t="s">
        <v>68</v>
      </c>
      <c r="C1173" t="s">
        <v>835</v>
      </c>
      <c r="D1173" t="s">
        <v>1273</v>
      </c>
      <c r="E1173" t="s">
        <v>1096</v>
      </c>
      <c r="F1173">
        <v>2796</v>
      </c>
    </row>
    <row r="1174" spans="1:6">
      <c r="A1174" t="s">
        <v>13</v>
      </c>
      <c r="B1174" t="s">
        <v>68</v>
      </c>
      <c r="C1174" t="s">
        <v>835</v>
      </c>
      <c r="D1174" t="s">
        <v>1273</v>
      </c>
      <c r="E1174" t="s">
        <v>1004</v>
      </c>
      <c r="F1174">
        <v>15745</v>
      </c>
    </row>
    <row r="1175" spans="1:6">
      <c r="A1175" t="s">
        <v>13</v>
      </c>
      <c r="B1175" t="s">
        <v>68</v>
      </c>
      <c r="C1175" t="s">
        <v>835</v>
      </c>
      <c r="D1175" t="s">
        <v>1273</v>
      </c>
      <c r="E1175" t="s">
        <v>1289</v>
      </c>
      <c r="F1175" t="s">
        <v>381</v>
      </c>
    </row>
    <row r="1176" spans="1:6">
      <c r="A1176" t="s">
        <v>13</v>
      </c>
      <c r="B1176" t="s">
        <v>68</v>
      </c>
      <c r="C1176" t="s">
        <v>835</v>
      </c>
      <c r="D1176" t="s">
        <v>1273</v>
      </c>
      <c r="E1176" t="s">
        <v>1290</v>
      </c>
      <c r="F1176">
        <v>14197</v>
      </c>
    </row>
    <row r="1177" spans="1:6">
      <c r="A1177" t="s">
        <v>13</v>
      </c>
      <c r="B1177" t="s">
        <v>68</v>
      </c>
      <c r="C1177" t="s">
        <v>835</v>
      </c>
      <c r="D1177" t="s">
        <v>1273</v>
      </c>
      <c r="E1177" t="s">
        <v>1291</v>
      </c>
      <c r="F1177">
        <v>545285</v>
      </c>
    </row>
    <row r="1178" spans="1:6">
      <c r="A1178" t="s">
        <v>13</v>
      </c>
      <c r="B1178" t="s">
        <v>68</v>
      </c>
      <c r="C1178" t="s">
        <v>835</v>
      </c>
      <c r="D1178" t="s">
        <v>1273</v>
      </c>
      <c r="E1178" t="s">
        <v>1008</v>
      </c>
      <c r="F1178" t="s">
        <v>437</v>
      </c>
    </row>
    <row r="1179" spans="1:6">
      <c r="A1179" t="s">
        <v>13</v>
      </c>
      <c r="B1179" t="s">
        <v>68</v>
      </c>
      <c r="C1179" t="s">
        <v>835</v>
      </c>
      <c r="D1179" t="s">
        <v>1273</v>
      </c>
      <c r="E1179" t="s">
        <v>1010</v>
      </c>
      <c r="F1179">
        <v>3712</v>
      </c>
    </row>
    <row r="1180" spans="1:6">
      <c r="A1180" t="s">
        <v>13</v>
      </c>
      <c r="B1180" t="s">
        <v>68</v>
      </c>
      <c r="C1180" t="s">
        <v>835</v>
      </c>
      <c r="D1180" t="s">
        <v>1273</v>
      </c>
      <c r="E1180" t="s">
        <v>1012</v>
      </c>
      <c r="F1180">
        <v>778963</v>
      </c>
    </row>
    <row r="1181" spans="1:6">
      <c r="A1181" t="s">
        <v>13</v>
      </c>
      <c r="B1181" t="s">
        <v>68</v>
      </c>
      <c r="C1181" t="s">
        <v>835</v>
      </c>
      <c r="D1181" t="s">
        <v>1273</v>
      </c>
      <c r="E1181" t="s">
        <v>1035</v>
      </c>
      <c r="F1181" t="s">
        <v>439</v>
      </c>
    </row>
    <row r="1182" spans="1:6">
      <c r="A1182" t="s">
        <v>13</v>
      </c>
      <c r="B1182" t="s">
        <v>68</v>
      </c>
      <c r="C1182" t="s">
        <v>835</v>
      </c>
      <c r="D1182" t="s">
        <v>1273</v>
      </c>
      <c r="E1182" t="s">
        <v>1099</v>
      </c>
      <c r="F1182">
        <v>575</v>
      </c>
    </row>
    <row r="1183" spans="1:6">
      <c r="A1183" t="s">
        <v>13</v>
      </c>
      <c r="B1183" t="s">
        <v>68</v>
      </c>
      <c r="C1183" t="s">
        <v>835</v>
      </c>
      <c r="D1183" t="s">
        <v>1273</v>
      </c>
      <c r="E1183" t="s">
        <v>1100</v>
      </c>
      <c r="F1183">
        <v>398611</v>
      </c>
    </row>
    <row r="1184" spans="1:6">
      <c r="A1184" t="s">
        <v>13</v>
      </c>
      <c r="B1184" t="s">
        <v>68</v>
      </c>
      <c r="C1184" t="s">
        <v>835</v>
      </c>
      <c r="D1184" t="s">
        <v>1273</v>
      </c>
      <c r="E1184" t="s">
        <v>1037</v>
      </c>
      <c r="F1184" t="s">
        <v>385</v>
      </c>
    </row>
    <row r="1185" spans="1:6">
      <c r="A1185" t="s">
        <v>13</v>
      </c>
      <c r="B1185" t="s">
        <v>68</v>
      </c>
      <c r="C1185" t="s">
        <v>835</v>
      </c>
      <c r="D1185" t="s">
        <v>1273</v>
      </c>
      <c r="E1185" t="s">
        <v>1103</v>
      </c>
      <c r="F1185">
        <v>865</v>
      </c>
    </row>
    <row r="1186" spans="1:6">
      <c r="A1186" t="s">
        <v>13</v>
      </c>
      <c r="B1186" t="s">
        <v>68</v>
      </c>
      <c r="C1186" t="s">
        <v>835</v>
      </c>
      <c r="D1186" t="s">
        <v>1273</v>
      </c>
      <c r="E1186" t="s">
        <v>1104</v>
      </c>
      <c r="F1186">
        <v>1734392</v>
      </c>
    </row>
    <row r="1187" spans="1:6">
      <c r="A1187" t="s">
        <v>13</v>
      </c>
      <c r="B1187" t="s">
        <v>68</v>
      </c>
      <c r="C1187" t="s">
        <v>835</v>
      </c>
      <c r="D1187" t="s">
        <v>1273</v>
      </c>
      <c r="E1187" t="s">
        <v>1039</v>
      </c>
      <c r="F1187" t="s">
        <v>1292</v>
      </c>
    </row>
    <row r="1188" spans="1:6">
      <c r="A1188" t="s">
        <v>13</v>
      </c>
      <c r="B1188" t="s">
        <v>68</v>
      </c>
      <c r="C1188" t="s">
        <v>835</v>
      </c>
      <c r="D1188" t="s">
        <v>1273</v>
      </c>
      <c r="E1188" t="s">
        <v>1040</v>
      </c>
      <c r="F1188">
        <v>23307</v>
      </c>
    </row>
    <row r="1189" spans="1:6">
      <c r="A1189" t="s">
        <v>13</v>
      </c>
      <c r="B1189" t="s">
        <v>68</v>
      </c>
      <c r="C1189" t="s">
        <v>835</v>
      </c>
      <c r="D1189" t="s">
        <v>1273</v>
      </c>
      <c r="E1189" t="s">
        <v>1041</v>
      </c>
      <c r="F1189">
        <v>3473473</v>
      </c>
    </row>
    <row r="1190" spans="1:6">
      <c r="A1190" t="s">
        <v>13</v>
      </c>
      <c r="B1190" t="s">
        <v>68</v>
      </c>
      <c r="C1190" t="s">
        <v>835</v>
      </c>
      <c r="D1190" t="s">
        <v>1273</v>
      </c>
      <c r="E1190" t="s">
        <v>1111</v>
      </c>
      <c r="F1190" t="s">
        <v>1293</v>
      </c>
    </row>
    <row r="1191" spans="1:6">
      <c r="A1191" t="s">
        <v>13</v>
      </c>
      <c r="B1191" t="s">
        <v>68</v>
      </c>
      <c r="C1191" t="s">
        <v>835</v>
      </c>
      <c r="D1191" t="s">
        <v>1273</v>
      </c>
      <c r="E1191" t="s">
        <v>1113</v>
      </c>
      <c r="F1191" t="s">
        <v>1294</v>
      </c>
    </row>
    <row r="1192" spans="1:6">
      <c r="A1192" t="s">
        <v>13</v>
      </c>
      <c r="B1192" t="s">
        <v>68</v>
      </c>
      <c r="C1192" t="s">
        <v>835</v>
      </c>
      <c r="D1192" t="s">
        <v>1273</v>
      </c>
      <c r="E1192" t="s">
        <v>1114</v>
      </c>
      <c r="F1192">
        <v>2354</v>
      </c>
    </row>
    <row r="1193" spans="1:6">
      <c r="A1193" t="s">
        <v>13</v>
      </c>
      <c r="B1193" t="s">
        <v>68</v>
      </c>
      <c r="C1193" t="s">
        <v>835</v>
      </c>
      <c r="D1193" t="s">
        <v>1273</v>
      </c>
      <c r="E1193" t="s">
        <v>1115</v>
      </c>
      <c r="F1193">
        <v>88890</v>
      </c>
    </row>
    <row r="1194" spans="1:6">
      <c r="A1194" t="s">
        <v>13</v>
      </c>
      <c r="B1194" t="s">
        <v>68</v>
      </c>
      <c r="C1194" t="s">
        <v>835</v>
      </c>
      <c r="D1194" t="s">
        <v>1273</v>
      </c>
      <c r="E1194" t="s">
        <v>1118</v>
      </c>
      <c r="F1194">
        <v>2018</v>
      </c>
    </row>
    <row r="1195" spans="1:6">
      <c r="A1195" t="s">
        <v>13</v>
      </c>
      <c r="B1195" t="s">
        <v>68</v>
      </c>
      <c r="C1195" t="s">
        <v>835</v>
      </c>
      <c r="D1195" t="s">
        <v>1273</v>
      </c>
      <c r="E1195" t="s">
        <v>1119</v>
      </c>
      <c r="F1195">
        <v>199</v>
      </c>
    </row>
    <row r="1196" spans="1:6">
      <c r="A1196" t="s">
        <v>13</v>
      </c>
      <c r="B1196" t="s">
        <v>68</v>
      </c>
      <c r="C1196" t="s">
        <v>835</v>
      </c>
      <c r="D1196" t="s">
        <v>1273</v>
      </c>
      <c r="E1196" t="s">
        <v>1120</v>
      </c>
      <c r="F1196">
        <v>13089</v>
      </c>
    </row>
    <row r="1197" spans="1:6">
      <c r="A1197" t="s">
        <v>13</v>
      </c>
      <c r="B1197" t="s">
        <v>68</v>
      </c>
      <c r="C1197" t="s">
        <v>835</v>
      </c>
      <c r="D1197" t="s">
        <v>1273</v>
      </c>
      <c r="E1197" t="s">
        <v>1124</v>
      </c>
      <c r="F1197">
        <v>2019</v>
      </c>
    </row>
    <row r="1198" spans="1:6">
      <c r="A1198" t="s">
        <v>13</v>
      </c>
      <c r="B1198" t="s">
        <v>68</v>
      </c>
      <c r="C1198" t="s">
        <v>835</v>
      </c>
      <c r="D1198" t="s">
        <v>1273</v>
      </c>
      <c r="E1198" t="s">
        <v>1126</v>
      </c>
      <c r="F1198">
        <v>400</v>
      </c>
    </row>
    <row r="1199" spans="1:6">
      <c r="A1199" t="s">
        <v>13</v>
      </c>
      <c r="B1199" t="s">
        <v>68</v>
      </c>
      <c r="C1199" t="s">
        <v>835</v>
      </c>
      <c r="D1199" t="s">
        <v>1273</v>
      </c>
      <c r="E1199" t="s">
        <v>1127</v>
      </c>
      <c r="F1199">
        <v>28105</v>
      </c>
    </row>
    <row r="1200" spans="1:6">
      <c r="A1200" t="s">
        <v>13</v>
      </c>
      <c r="B1200" t="s">
        <v>68</v>
      </c>
      <c r="C1200" t="s">
        <v>835</v>
      </c>
      <c r="D1200" t="s">
        <v>1273</v>
      </c>
      <c r="E1200" t="s">
        <v>1057</v>
      </c>
      <c r="F1200">
        <v>2020</v>
      </c>
    </row>
    <row r="1201" spans="1:6">
      <c r="A1201" t="s">
        <v>13</v>
      </c>
      <c r="B1201" t="s">
        <v>68</v>
      </c>
      <c r="C1201" t="s">
        <v>835</v>
      </c>
      <c r="D1201" t="s">
        <v>1273</v>
      </c>
      <c r="E1201" t="s">
        <v>1058</v>
      </c>
      <c r="F1201">
        <v>359</v>
      </c>
    </row>
    <row r="1202" spans="1:6">
      <c r="A1202" t="s">
        <v>13</v>
      </c>
      <c r="B1202" t="s">
        <v>68</v>
      </c>
      <c r="C1202" t="s">
        <v>835</v>
      </c>
      <c r="D1202" t="s">
        <v>1273</v>
      </c>
      <c r="E1202" t="s">
        <v>1059</v>
      </c>
      <c r="F1202">
        <v>23138</v>
      </c>
    </row>
    <row r="1203" spans="1:6">
      <c r="A1203" t="s">
        <v>13</v>
      </c>
      <c r="B1203" t="s">
        <v>68</v>
      </c>
      <c r="C1203" t="s">
        <v>835</v>
      </c>
      <c r="D1203" t="s">
        <v>1273</v>
      </c>
      <c r="E1203" t="s">
        <v>1072</v>
      </c>
      <c r="F1203">
        <v>2021</v>
      </c>
    </row>
    <row r="1204" spans="1:6">
      <c r="A1204" t="s">
        <v>13</v>
      </c>
      <c r="B1204" t="s">
        <v>68</v>
      </c>
      <c r="C1204" t="s">
        <v>835</v>
      </c>
      <c r="D1204" t="s">
        <v>1273</v>
      </c>
      <c r="E1204" t="s">
        <v>1133</v>
      </c>
      <c r="F1204">
        <v>388</v>
      </c>
    </row>
    <row r="1205" spans="1:6">
      <c r="A1205" t="s">
        <v>13</v>
      </c>
      <c r="B1205" t="s">
        <v>68</v>
      </c>
      <c r="C1205" t="s">
        <v>835</v>
      </c>
      <c r="D1205" t="s">
        <v>1273</v>
      </c>
      <c r="E1205" t="s">
        <v>1134</v>
      </c>
      <c r="F1205">
        <v>29819</v>
      </c>
    </row>
    <row r="1206" spans="1:6">
      <c r="A1206" t="s">
        <v>13</v>
      </c>
      <c r="B1206" t="s">
        <v>68</v>
      </c>
      <c r="C1206" t="s">
        <v>835</v>
      </c>
      <c r="D1206" t="s">
        <v>1273</v>
      </c>
      <c r="E1206" t="s">
        <v>1074</v>
      </c>
      <c r="F1206">
        <v>2022</v>
      </c>
    </row>
    <row r="1207" spans="1:6">
      <c r="A1207" t="s">
        <v>13</v>
      </c>
      <c r="B1207" t="s">
        <v>68</v>
      </c>
      <c r="C1207" t="s">
        <v>835</v>
      </c>
      <c r="D1207" t="s">
        <v>1273</v>
      </c>
      <c r="E1207" t="s">
        <v>1296</v>
      </c>
      <c r="F1207">
        <v>540</v>
      </c>
    </row>
    <row r="1208" spans="1:6">
      <c r="A1208" t="s">
        <v>13</v>
      </c>
      <c r="B1208" t="s">
        <v>68</v>
      </c>
      <c r="C1208" t="s">
        <v>835</v>
      </c>
      <c r="D1208" t="s">
        <v>1273</v>
      </c>
      <c r="E1208" t="s">
        <v>1297</v>
      </c>
      <c r="F1208">
        <v>273897</v>
      </c>
    </row>
    <row r="1209" spans="1:6">
      <c r="A1209" t="s">
        <v>13</v>
      </c>
      <c r="B1209" t="s">
        <v>68</v>
      </c>
      <c r="C1209" t="s">
        <v>835</v>
      </c>
      <c r="D1209" t="s">
        <v>1273</v>
      </c>
      <c r="E1209" t="s">
        <v>1076</v>
      </c>
      <c r="F1209">
        <v>2023</v>
      </c>
    </row>
    <row r="1210" spans="1:6">
      <c r="A1210" t="s">
        <v>13</v>
      </c>
      <c r="B1210" t="s">
        <v>68</v>
      </c>
      <c r="C1210" t="s">
        <v>835</v>
      </c>
      <c r="D1210" t="s">
        <v>1273</v>
      </c>
      <c r="E1210" t="s">
        <v>1077</v>
      </c>
      <c r="F1210">
        <v>1107</v>
      </c>
    </row>
    <row r="1211" spans="1:6">
      <c r="A1211" t="s">
        <v>13</v>
      </c>
      <c r="B1211" t="s">
        <v>68</v>
      </c>
      <c r="C1211" t="s">
        <v>835</v>
      </c>
      <c r="D1211" t="s">
        <v>1273</v>
      </c>
      <c r="E1211" t="s">
        <v>1078</v>
      </c>
      <c r="F1211">
        <v>222500</v>
      </c>
    </row>
    <row r="1212" spans="1:6">
      <c r="A1212" t="s">
        <v>13</v>
      </c>
      <c r="B1212" t="s">
        <v>68</v>
      </c>
      <c r="C1212" t="s">
        <v>835</v>
      </c>
      <c r="D1212" t="s">
        <v>1273</v>
      </c>
      <c r="E1212" t="s">
        <v>1090</v>
      </c>
      <c r="F1212">
        <v>2024</v>
      </c>
    </row>
    <row r="1213" spans="1:6">
      <c r="A1213" t="s">
        <v>13</v>
      </c>
      <c r="B1213" t="s">
        <v>68</v>
      </c>
      <c r="C1213" t="s">
        <v>835</v>
      </c>
      <c r="D1213" t="s">
        <v>1273</v>
      </c>
      <c r="E1213" t="s">
        <v>1139</v>
      </c>
      <c r="F1213">
        <v>3171</v>
      </c>
    </row>
    <row r="1214" spans="1:6">
      <c r="A1214" t="s">
        <v>13</v>
      </c>
      <c r="B1214" t="s">
        <v>68</v>
      </c>
      <c r="C1214" t="s">
        <v>835</v>
      </c>
      <c r="D1214" t="s">
        <v>1273</v>
      </c>
      <c r="E1214" t="s">
        <v>1140</v>
      </c>
      <c r="F1214">
        <v>253677</v>
      </c>
    </row>
    <row r="1215" spans="1:6">
      <c r="A1215" t="s">
        <v>13</v>
      </c>
      <c r="B1215" t="s">
        <v>68</v>
      </c>
      <c r="C1215" t="s">
        <v>835</v>
      </c>
      <c r="D1215" t="s">
        <v>1273</v>
      </c>
      <c r="E1215" t="s">
        <v>1298</v>
      </c>
      <c r="F1215">
        <v>2025</v>
      </c>
    </row>
    <row r="1216" spans="1:6">
      <c r="A1216" t="s">
        <v>13</v>
      </c>
      <c r="B1216" t="s">
        <v>68</v>
      </c>
      <c r="C1216" t="s">
        <v>835</v>
      </c>
      <c r="D1216" t="s">
        <v>1273</v>
      </c>
      <c r="E1216" t="s">
        <v>1299</v>
      </c>
      <c r="F1216">
        <v>4704</v>
      </c>
    </row>
    <row r="1217" spans="1:6">
      <c r="A1217" t="s">
        <v>13</v>
      </c>
      <c r="B1217" t="s">
        <v>68</v>
      </c>
      <c r="C1217" t="s">
        <v>835</v>
      </c>
      <c r="D1217" t="s">
        <v>1273</v>
      </c>
      <c r="E1217" t="s">
        <v>1300</v>
      </c>
      <c r="F1217">
        <v>553548</v>
      </c>
    </row>
    <row r="1218" spans="1:6">
      <c r="A1218" t="s">
        <v>13</v>
      </c>
      <c r="B1218" t="s">
        <v>68</v>
      </c>
      <c r="C1218" t="s">
        <v>835</v>
      </c>
      <c r="D1218" t="s">
        <v>1273</v>
      </c>
      <c r="E1218" t="s">
        <v>1301</v>
      </c>
      <c r="F1218">
        <v>2026</v>
      </c>
    </row>
    <row r="1219" spans="1:6">
      <c r="A1219" t="s">
        <v>13</v>
      </c>
      <c r="B1219" t="s">
        <v>68</v>
      </c>
      <c r="C1219" t="s">
        <v>835</v>
      </c>
      <c r="D1219" t="s">
        <v>1273</v>
      </c>
      <c r="E1219" t="s">
        <v>1302</v>
      </c>
      <c r="F1219">
        <v>10085</v>
      </c>
    </row>
    <row r="1220" spans="1:6">
      <c r="A1220" t="s">
        <v>13</v>
      </c>
      <c r="B1220" t="s">
        <v>68</v>
      </c>
      <c r="C1220" t="s">
        <v>835</v>
      </c>
      <c r="D1220" t="s">
        <v>1273</v>
      </c>
      <c r="E1220" t="s">
        <v>1303</v>
      </c>
      <c r="F1220">
        <v>1986810</v>
      </c>
    </row>
    <row r="1221" spans="1:6">
      <c r="A1221" t="s">
        <v>13</v>
      </c>
      <c r="B1221" t="s">
        <v>68</v>
      </c>
      <c r="C1221" t="s">
        <v>835</v>
      </c>
      <c r="D1221" t="s">
        <v>1273</v>
      </c>
      <c r="E1221" t="s">
        <v>1392</v>
      </c>
      <c r="F1221" t="s">
        <v>1292</v>
      </c>
    </row>
    <row r="1222" spans="1:6">
      <c r="A1222" t="s">
        <v>13</v>
      </c>
      <c r="B1222" t="s">
        <v>68</v>
      </c>
      <c r="C1222" t="s">
        <v>835</v>
      </c>
      <c r="D1222" t="s">
        <v>1273</v>
      </c>
      <c r="E1222" t="s">
        <v>1393</v>
      </c>
      <c r="F1222">
        <v>23307</v>
      </c>
    </row>
    <row r="1223" spans="1:6">
      <c r="A1223" t="s">
        <v>13</v>
      </c>
      <c r="B1223" t="s">
        <v>68</v>
      </c>
      <c r="C1223" t="s">
        <v>835</v>
      </c>
      <c r="D1223" t="s">
        <v>1273</v>
      </c>
      <c r="E1223" t="s">
        <v>1394</v>
      </c>
      <c r="F1223">
        <v>3473473</v>
      </c>
    </row>
    <row r="1224" spans="1:6">
      <c r="A1224" t="s">
        <v>13</v>
      </c>
      <c r="B1224" t="s">
        <v>73</v>
      </c>
      <c r="C1224" t="s">
        <v>835</v>
      </c>
      <c r="D1224" t="s">
        <v>991</v>
      </c>
      <c r="E1224" t="s">
        <v>992</v>
      </c>
      <c r="F1224" t="s">
        <v>993</v>
      </c>
    </row>
    <row r="1225" spans="1:6">
      <c r="A1225" t="s">
        <v>13</v>
      </c>
      <c r="B1225" t="s">
        <v>73</v>
      </c>
      <c r="C1225" t="s">
        <v>835</v>
      </c>
      <c r="D1225" t="s">
        <v>991</v>
      </c>
      <c r="E1225" t="s">
        <v>1093</v>
      </c>
      <c r="F1225" t="s">
        <v>1094</v>
      </c>
    </row>
    <row r="1226" spans="1:6">
      <c r="A1226" t="s">
        <v>13</v>
      </c>
      <c r="B1226" t="s">
        <v>73</v>
      </c>
      <c r="C1226" t="s">
        <v>835</v>
      </c>
      <c r="D1226" t="s">
        <v>991</v>
      </c>
      <c r="E1226" t="s">
        <v>994</v>
      </c>
      <c r="F1226" t="s">
        <v>1395</v>
      </c>
    </row>
    <row r="1227" spans="1:6">
      <c r="A1227" t="s">
        <v>13</v>
      </c>
      <c r="B1227" t="s">
        <v>73</v>
      </c>
      <c r="C1227" t="s">
        <v>835</v>
      </c>
      <c r="D1227" t="s">
        <v>991</v>
      </c>
      <c r="E1227" t="s">
        <v>995</v>
      </c>
      <c r="F1227" t="s">
        <v>996</v>
      </c>
    </row>
    <row r="1228" spans="1:6">
      <c r="A1228" t="s">
        <v>13</v>
      </c>
      <c r="B1228" t="s">
        <v>73</v>
      </c>
      <c r="C1228" t="s">
        <v>835</v>
      </c>
      <c r="D1228" t="s">
        <v>991</v>
      </c>
      <c r="E1228" t="s">
        <v>997</v>
      </c>
      <c r="F1228" t="s">
        <v>998</v>
      </c>
    </row>
    <row r="1229" spans="1:6">
      <c r="A1229" t="s">
        <v>13</v>
      </c>
      <c r="B1229" t="s">
        <v>73</v>
      </c>
      <c r="C1229" t="s">
        <v>835</v>
      </c>
      <c r="D1229" t="s">
        <v>991</v>
      </c>
      <c r="E1229" t="s">
        <v>999</v>
      </c>
      <c r="F1229" t="s">
        <v>1000</v>
      </c>
    </row>
    <row r="1230" spans="1:6">
      <c r="A1230" t="s">
        <v>13</v>
      </c>
      <c r="B1230" t="s">
        <v>73</v>
      </c>
      <c r="C1230" t="s">
        <v>835</v>
      </c>
      <c r="D1230" t="s">
        <v>991</v>
      </c>
      <c r="E1230" t="s">
        <v>1001</v>
      </c>
      <c r="F1230" t="s">
        <v>10</v>
      </c>
    </row>
    <row r="1231" spans="1:6">
      <c r="A1231" t="s">
        <v>13</v>
      </c>
      <c r="B1231" t="s">
        <v>73</v>
      </c>
      <c r="C1231" t="s">
        <v>835</v>
      </c>
      <c r="D1231" t="s">
        <v>991</v>
      </c>
      <c r="E1231" t="s">
        <v>1002</v>
      </c>
      <c r="F1231" t="s">
        <v>1003</v>
      </c>
    </row>
    <row r="1232" spans="1:6">
      <c r="A1232" t="s">
        <v>13</v>
      </c>
      <c r="B1232" t="s">
        <v>73</v>
      </c>
      <c r="C1232" t="s">
        <v>835</v>
      </c>
      <c r="D1232" t="s">
        <v>991</v>
      </c>
      <c r="E1232" t="s">
        <v>1004</v>
      </c>
      <c r="F1232" t="s">
        <v>1005</v>
      </c>
    </row>
    <row r="1233" spans="1:6">
      <c r="A1233" t="s">
        <v>13</v>
      </c>
      <c r="B1233" t="s">
        <v>73</v>
      </c>
      <c r="C1233" t="s">
        <v>835</v>
      </c>
      <c r="D1233" t="s">
        <v>991</v>
      </c>
      <c r="E1233" t="s">
        <v>1006</v>
      </c>
      <c r="F1233" t="s">
        <v>1007</v>
      </c>
    </row>
    <row r="1234" spans="1:6">
      <c r="A1234" t="s">
        <v>13</v>
      </c>
      <c r="B1234" t="s">
        <v>73</v>
      </c>
      <c r="C1234" t="s">
        <v>835</v>
      </c>
      <c r="D1234" t="s">
        <v>991</v>
      </c>
      <c r="E1234" t="s">
        <v>1008</v>
      </c>
      <c r="F1234" t="s">
        <v>1009</v>
      </c>
    </row>
    <row r="1235" spans="1:6">
      <c r="A1235" t="s">
        <v>13</v>
      </c>
      <c r="B1235" t="s">
        <v>73</v>
      </c>
      <c r="C1235" t="s">
        <v>835</v>
      </c>
      <c r="D1235" t="s">
        <v>991</v>
      </c>
      <c r="E1235" t="s">
        <v>1010</v>
      </c>
      <c r="F1235" t="s">
        <v>1011</v>
      </c>
    </row>
    <row r="1236" spans="1:6">
      <c r="A1236" t="s">
        <v>13</v>
      </c>
      <c r="B1236" t="s">
        <v>73</v>
      </c>
      <c r="C1236" t="s">
        <v>835</v>
      </c>
      <c r="D1236" t="s">
        <v>991</v>
      </c>
      <c r="E1236" t="s">
        <v>1012</v>
      </c>
      <c r="F1236" t="s">
        <v>1013</v>
      </c>
    </row>
    <row r="1237" spans="1:6">
      <c r="A1237" t="s">
        <v>13</v>
      </c>
      <c r="B1237" t="s">
        <v>73</v>
      </c>
      <c r="C1237" t="s">
        <v>835</v>
      </c>
      <c r="D1237" t="s">
        <v>991</v>
      </c>
      <c r="E1237" t="s">
        <v>1014</v>
      </c>
      <c r="F1237" t="s">
        <v>1015</v>
      </c>
    </row>
    <row r="1238" spans="1:6">
      <c r="A1238" t="s">
        <v>13</v>
      </c>
      <c r="B1238" t="s">
        <v>73</v>
      </c>
      <c r="C1238" t="s">
        <v>835</v>
      </c>
      <c r="D1238" t="s">
        <v>991</v>
      </c>
      <c r="E1238" t="s">
        <v>1016</v>
      </c>
      <c r="F1238" t="s">
        <v>1017</v>
      </c>
    </row>
    <row r="1239" spans="1:6">
      <c r="A1239" t="s">
        <v>13</v>
      </c>
      <c r="B1239" t="s">
        <v>73</v>
      </c>
      <c r="C1239" t="s">
        <v>835</v>
      </c>
      <c r="D1239" t="s">
        <v>991</v>
      </c>
      <c r="E1239" t="s">
        <v>1018</v>
      </c>
      <c r="F1239" t="s">
        <v>1019</v>
      </c>
    </row>
    <row r="1240" spans="1:6">
      <c r="A1240" t="s">
        <v>13</v>
      </c>
      <c r="B1240" t="s">
        <v>73</v>
      </c>
      <c r="C1240" t="s">
        <v>835</v>
      </c>
      <c r="D1240" t="s">
        <v>991</v>
      </c>
      <c r="E1240" t="s">
        <v>1020</v>
      </c>
      <c r="F1240" t="s">
        <v>1021</v>
      </c>
    </row>
    <row r="1241" spans="1:6">
      <c r="A1241" t="s">
        <v>13</v>
      </c>
      <c r="B1241" t="s">
        <v>73</v>
      </c>
      <c r="C1241" t="s">
        <v>835</v>
      </c>
      <c r="D1241" t="s">
        <v>991</v>
      </c>
      <c r="E1241" t="s">
        <v>1022</v>
      </c>
      <c r="F1241" t="s">
        <v>1023</v>
      </c>
    </row>
    <row r="1242" spans="1:6">
      <c r="A1242" t="s">
        <v>13</v>
      </c>
      <c r="B1242" t="s">
        <v>73</v>
      </c>
      <c r="C1242" t="s">
        <v>835</v>
      </c>
      <c r="D1242" t="s">
        <v>991</v>
      </c>
      <c r="E1242" t="s">
        <v>1024</v>
      </c>
      <c r="F1242" t="s">
        <v>1025</v>
      </c>
    </row>
    <row r="1243" spans="1:6">
      <c r="A1243" t="s">
        <v>13</v>
      </c>
      <c r="B1243" t="s">
        <v>73</v>
      </c>
      <c r="C1243" t="s">
        <v>835</v>
      </c>
      <c r="D1243" t="s">
        <v>991</v>
      </c>
      <c r="E1243" t="s">
        <v>1026</v>
      </c>
      <c r="F1243" t="s">
        <v>1027</v>
      </c>
    </row>
    <row r="1244" spans="1:6">
      <c r="A1244" t="s">
        <v>13</v>
      </c>
      <c r="B1244" t="s">
        <v>73</v>
      </c>
      <c r="C1244" t="s">
        <v>835</v>
      </c>
      <c r="D1244" t="s">
        <v>991</v>
      </c>
      <c r="E1244" t="s">
        <v>1028</v>
      </c>
      <c r="F1244" t="s">
        <v>1029</v>
      </c>
    </row>
    <row r="1245" spans="1:6">
      <c r="A1245" t="s">
        <v>13</v>
      </c>
      <c r="B1245" t="s">
        <v>73</v>
      </c>
      <c r="C1245" t="s">
        <v>835</v>
      </c>
      <c r="D1245" t="s">
        <v>991</v>
      </c>
      <c r="E1245" t="s">
        <v>1030</v>
      </c>
      <c r="F1245" t="s">
        <v>1031</v>
      </c>
    </row>
    <row r="1246" spans="1:6">
      <c r="A1246" t="s">
        <v>13</v>
      </c>
      <c r="B1246" t="s">
        <v>73</v>
      </c>
      <c r="C1246" t="s">
        <v>835</v>
      </c>
      <c r="D1246" t="s">
        <v>991</v>
      </c>
      <c r="E1246" t="s">
        <v>1032</v>
      </c>
      <c r="F1246" t="s">
        <v>1033</v>
      </c>
    </row>
    <row r="1247" spans="1:6">
      <c r="A1247" t="s">
        <v>13</v>
      </c>
      <c r="B1247" t="s">
        <v>73</v>
      </c>
      <c r="C1247" t="s">
        <v>835</v>
      </c>
      <c r="D1247" t="s">
        <v>991</v>
      </c>
      <c r="E1247" t="s">
        <v>1034</v>
      </c>
      <c r="F1247" t="s">
        <v>1396</v>
      </c>
    </row>
    <row r="1248" spans="1:6">
      <c r="A1248" t="s">
        <v>13</v>
      </c>
      <c r="B1248" t="s">
        <v>73</v>
      </c>
      <c r="C1248" t="s">
        <v>835</v>
      </c>
      <c r="D1248" t="s">
        <v>991</v>
      </c>
      <c r="E1248" t="s">
        <v>1035</v>
      </c>
      <c r="F1248">
        <v>116775257</v>
      </c>
    </row>
    <row r="1249" spans="1:6">
      <c r="A1249" t="s">
        <v>13</v>
      </c>
      <c r="B1249" t="s">
        <v>73</v>
      </c>
      <c r="C1249" t="s">
        <v>835</v>
      </c>
      <c r="D1249" t="s">
        <v>991</v>
      </c>
      <c r="E1249" t="s">
        <v>1036</v>
      </c>
      <c r="F1249">
        <v>2025</v>
      </c>
    </row>
    <row r="1250" spans="1:6">
      <c r="A1250" t="s">
        <v>13</v>
      </c>
      <c r="B1250" t="s">
        <v>73</v>
      </c>
      <c r="C1250" t="s">
        <v>835</v>
      </c>
      <c r="D1250" t="s">
        <v>991</v>
      </c>
      <c r="E1250" t="s">
        <v>1037</v>
      </c>
      <c r="F1250">
        <v>12759393</v>
      </c>
    </row>
    <row r="1251" spans="1:6">
      <c r="A1251" t="s">
        <v>13</v>
      </c>
      <c r="B1251" t="s">
        <v>73</v>
      </c>
      <c r="C1251" t="s">
        <v>835</v>
      </c>
      <c r="D1251" t="s">
        <v>991</v>
      </c>
      <c r="E1251" t="s">
        <v>1038</v>
      </c>
      <c r="F1251">
        <v>2026</v>
      </c>
    </row>
    <row r="1252" spans="1:6">
      <c r="A1252" t="s">
        <v>13</v>
      </c>
      <c r="B1252" t="s">
        <v>73</v>
      </c>
      <c r="C1252" t="s">
        <v>835</v>
      </c>
      <c r="D1252" t="s">
        <v>991</v>
      </c>
      <c r="E1252" t="s">
        <v>1039</v>
      </c>
      <c r="F1252">
        <v>6678520</v>
      </c>
    </row>
    <row r="1253" spans="1:6">
      <c r="A1253" t="s">
        <v>13</v>
      </c>
      <c r="B1253" t="s">
        <v>73</v>
      </c>
      <c r="C1253" t="s">
        <v>835</v>
      </c>
      <c r="D1253" t="s">
        <v>991</v>
      </c>
      <c r="E1253" t="s">
        <v>1040</v>
      </c>
      <c r="F1253">
        <v>946898</v>
      </c>
    </row>
    <row r="1254" spans="1:6">
      <c r="A1254" t="s">
        <v>13</v>
      </c>
      <c r="B1254" t="s">
        <v>73</v>
      </c>
      <c r="C1254" t="s">
        <v>835</v>
      </c>
      <c r="D1254" t="s">
        <v>991</v>
      </c>
      <c r="E1254" t="s">
        <v>1041</v>
      </c>
      <c r="F1254">
        <v>951552</v>
      </c>
    </row>
    <row r="1255" spans="1:6">
      <c r="A1255" t="s">
        <v>13</v>
      </c>
      <c r="B1255" t="s">
        <v>73</v>
      </c>
      <c r="C1255" t="s">
        <v>835</v>
      </c>
      <c r="D1255" t="s">
        <v>991</v>
      </c>
      <c r="E1255" t="s">
        <v>1042</v>
      </c>
      <c r="F1255">
        <v>1177761</v>
      </c>
    </row>
    <row r="1256" spans="1:6">
      <c r="A1256" t="s">
        <v>13</v>
      </c>
      <c r="B1256" t="s">
        <v>73</v>
      </c>
      <c r="C1256" t="s">
        <v>835</v>
      </c>
      <c r="D1256" t="s">
        <v>991</v>
      </c>
      <c r="E1256" t="s">
        <v>1043</v>
      </c>
      <c r="F1256">
        <v>1199204</v>
      </c>
    </row>
    <row r="1257" spans="1:6">
      <c r="A1257" t="s">
        <v>13</v>
      </c>
      <c r="B1257" t="s">
        <v>73</v>
      </c>
      <c r="C1257" t="s">
        <v>835</v>
      </c>
      <c r="D1257" t="s">
        <v>991</v>
      </c>
      <c r="E1257" t="s">
        <v>1044</v>
      </c>
      <c r="F1257">
        <v>1425617</v>
      </c>
    </row>
    <row r="1258" spans="1:6">
      <c r="A1258" t="s">
        <v>13</v>
      </c>
      <c r="B1258" t="s">
        <v>73</v>
      </c>
      <c r="C1258" t="s">
        <v>835</v>
      </c>
      <c r="D1258" t="s">
        <v>991</v>
      </c>
      <c r="E1258" t="s">
        <v>1045</v>
      </c>
      <c r="F1258">
        <v>977488</v>
      </c>
    </row>
    <row r="1259" spans="1:6">
      <c r="A1259" t="s">
        <v>13</v>
      </c>
      <c r="B1259" t="s">
        <v>73</v>
      </c>
      <c r="C1259" t="s">
        <v>835</v>
      </c>
      <c r="D1259" t="s">
        <v>991</v>
      </c>
      <c r="E1259" t="s">
        <v>1052</v>
      </c>
      <c r="F1259" t="s">
        <v>1009</v>
      </c>
    </row>
    <row r="1260" spans="1:6">
      <c r="A1260" t="s">
        <v>13</v>
      </c>
      <c r="B1260" t="s">
        <v>73</v>
      </c>
      <c r="C1260" t="s">
        <v>835</v>
      </c>
      <c r="D1260" t="s">
        <v>991</v>
      </c>
      <c r="E1260" t="s">
        <v>1053</v>
      </c>
      <c r="F1260">
        <v>136213171</v>
      </c>
    </row>
    <row r="1261" spans="1:6">
      <c r="A1261" t="s">
        <v>13</v>
      </c>
      <c r="B1261" t="s">
        <v>73</v>
      </c>
      <c r="C1261" t="s">
        <v>835</v>
      </c>
      <c r="D1261" t="s">
        <v>991</v>
      </c>
      <c r="E1261" t="s">
        <v>1108</v>
      </c>
      <c r="F1261">
        <v>0</v>
      </c>
    </row>
    <row r="1262" spans="1:6">
      <c r="A1262" t="s">
        <v>13</v>
      </c>
      <c r="B1262" t="s">
        <v>73</v>
      </c>
      <c r="C1262" t="s">
        <v>835</v>
      </c>
      <c r="D1262" t="s">
        <v>991</v>
      </c>
      <c r="E1262" t="s">
        <v>1054</v>
      </c>
      <c r="F1262" t="s">
        <v>1055</v>
      </c>
    </row>
    <row r="1263" spans="1:6">
      <c r="A1263" t="s">
        <v>13</v>
      </c>
      <c r="B1263" t="s">
        <v>73</v>
      </c>
      <c r="C1263" t="s">
        <v>835</v>
      </c>
      <c r="D1263" t="s">
        <v>991</v>
      </c>
      <c r="E1263" t="s">
        <v>1056</v>
      </c>
      <c r="F1263" t="s">
        <v>1007</v>
      </c>
    </row>
    <row r="1264" spans="1:6">
      <c r="A1264" t="s">
        <v>13</v>
      </c>
      <c r="B1264" t="s">
        <v>73</v>
      </c>
      <c r="C1264" t="s">
        <v>835</v>
      </c>
      <c r="D1264" t="s">
        <v>991</v>
      </c>
      <c r="E1264" t="s">
        <v>1057</v>
      </c>
      <c r="F1264" t="s">
        <v>1009</v>
      </c>
    </row>
    <row r="1265" spans="1:6">
      <c r="A1265" t="s">
        <v>13</v>
      </c>
      <c r="B1265" t="s">
        <v>73</v>
      </c>
      <c r="C1265" t="s">
        <v>835</v>
      </c>
      <c r="D1265" t="s">
        <v>991</v>
      </c>
      <c r="E1265" t="s">
        <v>1058</v>
      </c>
      <c r="F1265" t="s">
        <v>1011</v>
      </c>
    </row>
    <row r="1266" spans="1:6">
      <c r="A1266" t="s">
        <v>13</v>
      </c>
      <c r="B1266" t="s">
        <v>73</v>
      </c>
      <c r="C1266" t="s">
        <v>835</v>
      </c>
      <c r="D1266" t="s">
        <v>991</v>
      </c>
      <c r="E1266" t="s">
        <v>1059</v>
      </c>
      <c r="F1266" t="s">
        <v>1013</v>
      </c>
    </row>
    <row r="1267" spans="1:6">
      <c r="A1267" t="s">
        <v>13</v>
      </c>
      <c r="B1267" t="s">
        <v>73</v>
      </c>
      <c r="C1267" t="s">
        <v>835</v>
      </c>
      <c r="D1267" t="s">
        <v>991</v>
      </c>
      <c r="E1267" t="s">
        <v>1060</v>
      </c>
      <c r="F1267" t="s">
        <v>1015</v>
      </c>
    </row>
    <row r="1268" spans="1:6">
      <c r="A1268" t="s">
        <v>13</v>
      </c>
      <c r="B1268" t="s">
        <v>73</v>
      </c>
      <c r="C1268" t="s">
        <v>835</v>
      </c>
      <c r="D1268" t="s">
        <v>991</v>
      </c>
      <c r="E1268" t="s">
        <v>1061</v>
      </c>
      <c r="F1268" t="s">
        <v>1017</v>
      </c>
    </row>
    <row r="1269" spans="1:6">
      <c r="A1269" t="s">
        <v>13</v>
      </c>
      <c r="B1269" t="s">
        <v>73</v>
      </c>
      <c r="C1269" t="s">
        <v>835</v>
      </c>
      <c r="D1269" t="s">
        <v>991</v>
      </c>
      <c r="E1269" t="s">
        <v>1062</v>
      </c>
      <c r="F1269" t="s">
        <v>1019</v>
      </c>
    </row>
    <row r="1270" spans="1:6">
      <c r="A1270" t="s">
        <v>13</v>
      </c>
      <c r="B1270" t="s">
        <v>73</v>
      </c>
      <c r="C1270" t="s">
        <v>835</v>
      </c>
      <c r="D1270" t="s">
        <v>991</v>
      </c>
      <c r="E1270" t="s">
        <v>1063</v>
      </c>
      <c r="F1270" t="s">
        <v>1021</v>
      </c>
    </row>
    <row r="1271" spans="1:6">
      <c r="A1271" t="s">
        <v>13</v>
      </c>
      <c r="B1271" t="s">
        <v>73</v>
      </c>
      <c r="C1271" t="s">
        <v>835</v>
      </c>
      <c r="D1271" t="s">
        <v>991</v>
      </c>
      <c r="E1271" t="s">
        <v>1064</v>
      </c>
      <c r="F1271" t="s">
        <v>1023</v>
      </c>
    </row>
    <row r="1272" spans="1:6">
      <c r="A1272" t="s">
        <v>13</v>
      </c>
      <c r="B1272" t="s">
        <v>73</v>
      </c>
      <c r="C1272" t="s">
        <v>835</v>
      </c>
      <c r="D1272" t="s">
        <v>991</v>
      </c>
      <c r="E1272" t="s">
        <v>1065</v>
      </c>
      <c r="F1272" t="s">
        <v>1066</v>
      </c>
    </row>
    <row r="1273" spans="1:6">
      <c r="A1273" t="s">
        <v>13</v>
      </c>
      <c r="B1273" t="s">
        <v>73</v>
      </c>
      <c r="C1273" t="s">
        <v>835</v>
      </c>
      <c r="D1273" t="s">
        <v>991</v>
      </c>
      <c r="E1273" t="s">
        <v>1067</v>
      </c>
      <c r="F1273" t="s">
        <v>1027</v>
      </c>
    </row>
    <row r="1274" spans="1:6">
      <c r="A1274" t="s">
        <v>13</v>
      </c>
      <c r="B1274" t="s">
        <v>73</v>
      </c>
      <c r="C1274" t="s">
        <v>835</v>
      </c>
      <c r="D1274" t="s">
        <v>991</v>
      </c>
      <c r="E1274" t="s">
        <v>1068</v>
      </c>
      <c r="F1274" t="s">
        <v>1029</v>
      </c>
    </row>
    <row r="1275" spans="1:6">
      <c r="A1275" t="s">
        <v>13</v>
      </c>
      <c r="B1275" t="s">
        <v>73</v>
      </c>
      <c r="C1275" t="s">
        <v>835</v>
      </c>
      <c r="D1275" t="s">
        <v>991</v>
      </c>
      <c r="E1275" t="s">
        <v>1069</v>
      </c>
      <c r="F1275" t="s">
        <v>1031</v>
      </c>
    </row>
    <row r="1276" spans="1:6">
      <c r="A1276" t="s">
        <v>13</v>
      </c>
      <c r="B1276" t="s">
        <v>73</v>
      </c>
      <c r="C1276" t="s">
        <v>835</v>
      </c>
      <c r="D1276" t="s">
        <v>991</v>
      </c>
      <c r="E1276" t="s">
        <v>1070</v>
      </c>
      <c r="F1276" t="s">
        <v>1033</v>
      </c>
    </row>
    <row r="1277" spans="1:6">
      <c r="A1277" t="s">
        <v>13</v>
      </c>
      <c r="B1277" t="s">
        <v>73</v>
      </c>
      <c r="C1277" t="s">
        <v>835</v>
      </c>
      <c r="D1277" t="s">
        <v>991</v>
      </c>
      <c r="E1277" t="s">
        <v>1071</v>
      </c>
      <c r="F1277" t="s">
        <v>1396</v>
      </c>
    </row>
    <row r="1278" spans="1:6">
      <c r="A1278" t="s">
        <v>13</v>
      </c>
      <c r="B1278" t="s">
        <v>73</v>
      </c>
      <c r="C1278" t="s">
        <v>835</v>
      </c>
      <c r="D1278" t="s">
        <v>991</v>
      </c>
      <c r="E1278" t="s">
        <v>1072</v>
      </c>
      <c r="F1278">
        <v>634548</v>
      </c>
    </row>
    <row r="1279" spans="1:6">
      <c r="A1279" t="s">
        <v>13</v>
      </c>
      <c r="B1279" t="s">
        <v>73</v>
      </c>
      <c r="C1279" t="s">
        <v>835</v>
      </c>
      <c r="D1279" t="s">
        <v>991</v>
      </c>
      <c r="E1279" t="s">
        <v>1073</v>
      </c>
      <c r="F1279">
        <v>2025</v>
      </c>
    </row>
    <row r="1280" spans="1:6">
      <c r="A1280" t="s">
        <v>13</v>
      </c>
      <c r="B1280" t="s">
        <v>73</v>
      </c>
      <c r="C1280" t="s">
        <v>835</v>
      </c>
      <c r="D1280" t="s">
        <v>991</v>
      </c>
      <c r="E1280" t="s">
        <v>1074</v>
      </c>
      <c r="F1280">
        <v>61414</v>
      </c>
    </row>
    <row r="1281" spans="1:6">
      <c r="A1281" t="s">
        <v>13</v>
      </c>
      <c r="B1281" t="s">
        <v>73</v>
      </c>
      <c r="C1281" t="s">
        <v>835</v>
      </c>
      <c r="D1281" t="s">
        <v>991</v>
      </c>
      <c r="E1281" t="s">
        <v>1075</v>
      </c>
      <c r="F1281">
        <v>2026</v>
      </c>
    </row>
    <row r="1282" spans="1:6">
      <c r="A1282" t="s">
        <v>13</v>
      </c>
      <c r="B1282" t="s">
        <v>73</v>
      </c>
      <c r="C1282" t="s">
        <v>835</v>
      </c>
      <c r="D1282" t="s">
        <v>991</v>
      </c>
      <c r="E1282" t="s">
        <v>1076</v>
      </c>
      <c r="F1282">
        <v>27734</v>
      </c>
    </row>
    <row r="1283" spans="1:6">
      <c r="A1283" t="s">
        <v>13</v>
      </c>
      <c r="B1283" t="s">
        <v>73</v>
      </c>
      <c r="C1283" t="s">
        <v>835</v>
      </c>
      <c r="D1283" t="s">
        <v>991</v>
      </c>
      <c r="E1283" t="s">
        <v>1077</v>
      </c>
      <c r="F1283">
        <v>4388</v>
      </c>
    </row>
    <row r="1284" spans="1:6">
      <c r="A1284" t="s">
        <v>13</v>
      </c>
      <c r="B1284" t="s">
        <v>73</v>
      </c>
      <c r="C1284" t="s">
        <v>835</v>
      </c>
      <c r="D1284" t="s">
        <v>991</v>
      </c>
      <c r="E1284" t="s">
        <v>1078</v>
      </c>
      <c r="F1284">
        <v>4231</v>
      </c>
    </row>
    <row r="1285" spans="1:6">
      <c r="A1285" t="s">
        <v>13</v>
      </c>
      <c r="B1285" t="s">
        <v>73</v>
      </c>
      <c r="C1285" t="s">
        <v>835</v>
      </c>
      <c r="D1285" t="s">
        <v>991</v>
      </c>
      <c r="E1285" t="s">
        <v>1079</v>
      </c>
      <c r="F1285">
        <v>4606</v>
      </c>
    </row>
    <row r="1286" spans="1:6">
      <c r="A1286" t="s">
        <v>13</v>
      </c>
      <c r="B1286" t="s">
        <v>73</v>
      </c>
      <c r="C1286" t="s">
        <v>835</v>
      </c>
      <c r="D1286" t="s">
        <v>991</v>
      </c>
      <c r="E1286" t="s">
        <v>1080</v>
      </c>
      <c r="F1286">
        <v>4749</v>
      </c>
    </row>
    <row r="1287" spans="1:6">
      <c r="A1287" t="s">
        <v>13</v>
      </c>
      <c r="B1287" t="s">
        <v>73</v>
      </c>
      <c r="C1287" t="s">
        <v>835</v>
      </c>
      <c r="D1287" t="s">
        <v>991</v>
      </c>
      <c r="E1287" t="s">
        <v>1081</v>
      </c>
      <c r="F1287">
        <v>5501</v>
      </c>
    </row>
    <row r="1288" spans="1:6">
      <c r="A1288" t="s">
        <v>13</v>
      </c>
      <c r="B1288" t="s">
        <v>73</v>
      </c>
      <c r="C1288" t="s">
        <v>835</v>
      </c>
      <c r="D1288" t="s">
        <v>991</v>
      </c>
      <c r="E1288" t="s">
        <v>1082</v>
      </c>
      <c r="F1288">
        <v>4259</v>
      </c>
    </row>
    <row r="1289" spans="1:6">
      <c r="A1289" t="s">
        <v>13</v>
      </c>
      <c r="B1289" t="s">
        <v>73</v>
      </c>
      <c r="C1289" t="s">
        <v>835</v>
      </c>
      <c r="D1289" t="s">
        <v>991</v>
      </c>
      <c r="E1289" t="s">
        <v>1089</v>
      </c>
      <c r="F1289" t="s">
        <v>1009</v>
      </c>
    </row>
    <row r="1290" spans="1:6">
      <c r="A1290" t="s">
        <v>13</v>
      </c>
      <c r="B1290" t="s">
        <v>73</v>
      </c>
      <c r="C1290" t="s">
        <v>835</v>
      </c>
      <c r="D1290" t="s">
        <v>991</v>
      </c>
      <c r="E1290" t="s">
        <v>1090</v>
      </c>
      <c r="F1290">
        <v>723696</v>
      </c>
    </row>
    <row r="1291" spans="1:6">
      <c r="A1291" t="s">
        <v>13</v>
      </c>
      <c r="B1291" t="s">
        <v>73</v>
      </c>
      <c r="C1291" t="s">
        <v>835</v>
      </c>
      <c r="D1291" t="s">
        <v>1091</v>
      </c>
      <c r="E1291" t="s">
        <v>992</v>
      </c>
      <c r="F1291" t="s">
        <v>1092</v>
      </c>
    </row>
    <row r="1292" spans="1:6">
      <c r="A1292" t="s">
        <v>13</v>
      </c>
      <c r="B1292" t="s">
        <v>73</v>
      </c>
      <c r="C1292" t="s">
        <v>835</v>
      </c>
      <c r="D1292" t="s">
        <v>1091</v>
      </c>
      <c r="E1292" t="s">
        <v>1093</v>
      </c>
      <c r="F1292" t="s">
        <v>1094</v>
      </c>
    </row>
    <row r="1293" spans="1:6">
      <c r="A1293" t="s">
        <v>13</v>
      </c>
      <c r="B1293" t="s">
        <v>73</v>
      </c>
      <c r="C1293" t="s">
        <v>835</v>
      </c>
      <c r="D1293" t="s">
        <v>1091</v>
      </c>
      <c r="E1293" t="s">
        <v>994</v>
      </c>
      <c r="F1293" t="s">
        <v>1395</v>
      </c>
    </row>
    <row r="1294" spans="1:6">
      <c r="A1294" t="s">
        <v>13</v>
      </c>
      <c r="B1294" t="s">
        <v>73</v>
      </c>
      <c r="C1294" t="s">
        <v>835</v>
      </c>
      <c r="D1294" t="s">
        <v>1091</v>
      </c>
      <c r="E1294" t="s">
        <v>995</v>
      </c>
      <c r="F1294" t="s">
        <v>996</v>
      </c>
    </row>
    <row r="1295" spans="1:6">
      <c r="A1295" t="s">
        <v>13</v>
      </c>
      <c r="B1295" t="s">
        <v>73</v>
      </c>
      <c r="C1295" t="s">
        <v>835</v>
      </c>
      <c r="D1295" t="s">
        <v>1091</v>
      </c>
      <c r="E1295" t="s">
        <v>997</v>
      </c>
      <c r="F1295" t="s">
        <v>998</v>
      </c>
    </row>
    <row r="1296" spans="1:6">
      <c r="A1296" t="s">
        <v>13</v>
      </c>
      <c r="B1296" t="s">
        <v>73</v>
      </c>
      <c r="C1296" t="s">
        <v>835</v>
      </c>
      <c r="D1296" t="s">
        <v>1091</v>
      </c>
      <c r="E1296" t="s">
        <v>999</v>
      </c>
      <c r="F1296" t="s">
        <v>1000</v>
      </c>
    </row>
    <row r="1297" spans="1:6">
      <c r="A1297" t="s">
        <v>13</v>
      </c>
      <c r="B1297" t="s">
        <v>73</v>
      </c>
      <c r="C1297" t="s">
        <v>835</v>
      </c>
      <c r="D1297" t="s">
        <v>1091</v>
      </c>
      <c r="E1297" t="s">
        <v>1001</v>
      </c>
      <c r="F1297" t="s">
        <v>10</v>
      </c>
    </row>
    <row r="1298" spans="1:6">
      <c r="A1298" t="s">
        <v>13</v>
      </c>
      <c r="B1298" t="s">
        <v>73</v>
      </c>
      <c r="C1298" t="s">
        <v>835</v>
      </c>
      <c r="D1298" t="s">
        <v>1091</v>
      </c>
      <c r="E1298" t="s">
        <v>1002</v>
      </c>
      <c r="F1298" t="s">
        <v>1095</v>
      </c>
    </row>
    <row r="1299" spans="1:6">
      <c r="A1299" t="s">
        <v>13</v>
      </c>
      <c r="B1299" t="s">
        <v>73</v>
      </c>
      <c r="C1299" t="s">
        <v>835</v>
      </c>
      <c r="D1299" t="s">
        <v>1091</v>
      </c>
      <c r="E1299" t="s">
        <v>1096</v>
      </c>
      <c r="F1299" t="s">
        <v>1005</v>
      </c>
    </row>
    <row r="1300" spans="1:6">
      <c r="A1300" t="s">
        <v>13</v>
      </c>
      <c r="B1300" t="s">
        <v>73</v>
      </c>
      <c r="C1300" t="s">
        <v>835</v>
      </c>
      <c r="D1300" t="s">
        <v>1091</v>
      </c>
      <c r="E1300" t="s">
        <v>1006</v>
      </c>
      <c r="F1300" t="s">
        <v>1097</v>
      </c>
    </row>
    <row r="1301" spans="1:6">
      <c r="A1301" t="s">
        <v>13</v>
      </c>
      <c r="B1301" t="s">
        <v>73</v>
      </c>
      <c r="C1301" t="s">
        <v>835</v>
      </c>
      <c r="D1301" t="s">
        <v>1091</v>
      </c>
      <c r="E1301" t="s">
        <v>1008</v>
      </c>
      <c r="F1301" t="s">
        <v>1098</v>
      </c>
    </row>
    <row r="1302" spans="1:6">
      <c r="A1302" t="s">
        <v>13</v>
      </c>
      <c r="B1302" t="s">
        <v>73</v>
      </c>
      <c r="C1302" t="s">
        <v>835</v>
      </c>
      <c r="D1302" t="s">
        <v>1091</v>
      </c>
      <c r="E1302" t="s">
        <v>1035</v>
      </c>
      <c r="F1302" t="s">
        <v>1009</v>
      </c>
    </row>
    <row r="1303" spans="1:6">
      <c r="A1303" t="s">
        <v>13</v>
      </c>
      <c r="B1303" t="s">
        <v>73</v>
      </c>
      <c r="C1303" t="s">
        <v>835</v>
      </c>
      <c r="D1303" t="s">
        <v>1091</v>
      </c>
      <c r="E1303" t="s">
        <v>1099</v>
      </c>
      <c r="F1303" t="s">
        <v>1396</v>
      </c>
    </row>
    <row r="1304" spans="1:6">
      <c r="A1304" t="s">
        <v>13</v>
      </c>
      <c r="B1304" t="s">
        <v>73</v>
      </c>
      <c r="C1304" t="s">
        <v>835</v>
      </c>
      <c r="D1304" t="s">
        <v>1091</v>
      </c>
      <c r="E1304" t="s">
        <v>1100</v>
      </c>
      <c r="F1304">
        <v>2025</v>
      </c>
    </row>
    <row r="1305" spans="1:6">
      <c r="A1305" t="s">
        <v>13</v>
      </c>
      <c r="B1305" t="s">
        <v>73</v>
      </c>
      <c r="C1305" t="s">
        <v>835</v>
      </c>
      <c r="D1305" t="s">
        <v>1091</v>
      </c>
      <c r="E1305" t="s">
        <v>1101</v>
      </c>
      <c r="F1305">
        <v>2026</v>
      </c>
    </row>
    <row r="1306" spans="1:6">
      <c r="A1306" t="s">
        <v>13</v>
      </c>
      <c r="B1306" t="s">
        <v>73</v>
      </c>
      <c r="C1306" t="s">
        <v>835</v>
      </c>
      <c r="D1306" t="s">
        <v>1091</v>
      </c>
      <c r="E1306" t="s">
        <v>1036</v>
      </c>
      <c r="F1306" t="s">
        <v>1102</v>
      </c>
    </row>
    <row r="1307" spans="1:6">
      <c r="A1307" t="s">
        <v>13</v>
      </c>
      <c r="B1307" t="s">
        <v>73</v>
      </c>
      <c r="C1307" t="s">
        <v>835</v>
      </c>
      <c r="D1307" t="s">
        <v>1091</v>
      </c>
      <c r="E1307" t="s">
        <v>1037</v>
      </c>
      <c r="F1307">
        <v>136213171</v>
      </c>
    </row>
    <row r="1308" spans="1:6">
      <c r="A1308" t="s">
        <v>13</v>
      </c>
      <c r="B1308" t="s">
        <v>73</v>
      </c>
      <c r="C1308" t="s">
        <v>835</v>
      </c>
      <c r="D1308" t="s">
        <v>1091</v>
      </c>
      <c r="E1308" t="s">
        <v>1103</v>
      </c>
      <c r="F1308">
        <v>116775257</v>
      </c>
    </row>
    <row r="1309" spans="1:6">
      <c r="A1309" t="s">
        <v>13</v>
      </c>
      <c r="B1309" t="s">
        <v>73</v>
      </c>
      <c r="C1309" t="s">
        <v>835</v>
      </c>
      <c r="D1309" t="s">
        <v>1091</v>
      </c>
      <c r="E1309" t="s">
        <v>1104</v>
      </c>
      <c r="F1309">
        <v>12759393</v>
      </c>
    </row>
    <row r="1310" spans="1:6">
      <c r="A1310" t="s">
        <v>13</v>
      </c>
      <c r="B1310" t="s">
        <v>73</v>
      </c>
      <c r="C1310" t="s">
        <v>835</v>
      </c>
      <c r="D1310" t="s">
        <v>1091</v>
      </c>
      <c r="E1310" t="s">
        <v>1105</v>
      </c>
      <c r="F1310">
        <v>6678520</v>
      </c>
    </row>
    <row r="1311" spans="1:6">
      <c r="A1311" t="s">
        <v>13</v>
      </c>
      <c r="B1311" t="s">
        <v>73</v>
      </c>
      <c r="C1311" t="s">
        <v>835</v>
      </c>
      <c r="D1311" t="s">
        <v>1091</v>
      </c>
      <c r="E1311" t="s">
        <v>1038</v>
      </c>
      <c r="F1311" t="s">
        <v>1106</v>
      </c>
    </row>
    <row r="1312" spans="1:6">
      <c r="A1312" t="s">
        <v>13</v>
      </c>
      <c r="B1312" t="s">
        <v>73</v>
      </c>
      <c r="C1312" t="s">
        <v>835</v>
      </c>
      <c r="D1312" t="s">
        <v>1091</v>
      </c>
      <c r="E1312" t="s">
        <v>1039</v>
      </c>
      <c r="F1312">
        <v>135425744</v>
      </c>
    </row>
    <row r="1313" spans="1:6">
      <c r="A1313" t="s">
        <v>13</v>
      </c>
      <c r="B1313" t="s">
        <v>73</v>
      </c>
      <c r="C1313" t="s">
        <v>835</v>
      </c>
      <c r="D1313" t="s">
        <v>1091</v>
      </c>
      <c r="E1313" t="s">
        <v>1040</v>
      </c>
      <c r="F1313">
        <v>116775257</v>
      </c>
    </row>
    <row r="1314" spans="1:6">
      <c r="A1314" t="s">
        <v>13</v>
      </c>
      <c r="B1314" t="s">
        <v>73</v>
      </c>
      <c r="C1314" t="s">
        <v>835</v>
      </c>
      <c r="D1314" t="s">
        <v>1091</v>
      </c>
      <c r="E1314" t="s">
        <v>1041</v>
      </c>
      <c r="F1314">
        <v>12622226</v>
      </c>
    </row>
    <row r="1315" spans="1:6">
      <c r="A1315" t="s">
        <v>13</v>
      </c>
      <c r="B1315" t="s">
        <v>73</v>
      </c>
      <c r="C1315" t="s">
        <v>835</v>
      </c>
      <c r="D1315" t="s">
        <v>1091</v>
      </c>
      <c r="E1315" t="s">
        <v>1042</v>
      </c>
      <c r="F1315">
        <v>6028261</v>
      </c>
    </row>
    <row r="1316" spans="1:6">
      <c r="A1316" t="s">
        <v>13</v>
      </c>
      <c r="B1316" t="s">
        <v>73</v>
      </c>
      <c r="C1316" t="s">
        <v>835</v>
      </c>
      <c r="D1316" t="s">
        <v>1091</v>
      </c>
      <c r="E1316" t="s">
        <v>1052</v>
      </c>
      <c r="F1316" t="s">
        <v>1107</v>
      </c>
    </row>
    <row r="1317" spans="1:6">
      <c r="A1317" t="s">
        <v>13</v>
      </c>
      <c r="B1317" t="s">
        <v>73</v>
      </c>
      <c r="C1317" t="s">
        <v>835</v>
      </c>
      <c r="D1317" t="s">
        <v>1091</v>
      </c>
      <c r="E1317" t="s">
        <v>1053</v>
      </c>
      <c r="F1317">
        <v>133189926</v>
      </c>
    </row>
    <row r="1318" spans="1:6">
      <c r="A1318" t="s">
        <v>13</v>
      </c>
      <c r="B1318" t="s">
        <v>73</v>
      </c>
      <c r="C1318" t="s">
        <v>835</v>
      </c>
      <c r="D1318" t="s">
        <v>1091</v>
      </c>
      <c r="E1318" t="s">
        <v>1108</v>
      </c>
      <c r="F1318">
        <v>115026964</v>
      </c>
    </row>
    <row r="1319" spans="1:6">
      <c r="A1319" t="s">
        <v>13</v>
      </c>
      <c r="B1319" t="s">
        <v>73</v>
      </c>
      <c r="C1319" t="s">
        <v>835</v>
      </c>
      <c r="D1319" t="s">
        <v>1091</v>
      </c>
      <c r="E1319" t="s">
        <v>1109</v>
      </c>
      <c r="F1319">
        <v>12398891</v>
      </c>
    </row>
    <row r="1320" spans="1:6">
      <c r="A1320" t="s">
        <v>13</v>
      </c>
      <c r="B1320" t="s">
        <v>73</v>
      </c>
      <c r="C1320" t="s">
        <v>835</v>
      </c>
      <c r="D1320" t="s">
        <v>1091</v>
      </c>
      <c r="E1320" t="s">
        <v>1110</v>
      </c>
      <c r="F1320">
        <v>5764071</v>
      </c>
    </row>
    <row r="1321" spans="1:6">
      <c r="A1321" t="s">
        <v>13</v>
      </c>
      <c r="B1321" t="s">
        <v>73</v>
      </c>
      <c r="C1321" t="s">
        <v>835</v>
      </c>
      <c r="D1321" t="s">
        <v>1091</v>
      </c>
      <c r="E1321" t="s">
        <v>1111</v>
      </c>
      <c r="F1321" t="s">
        <v>1397</v>
      </c>
    </row>
    <row r="1322" spans="1:6">
      <c r="A1322" t="s">
        <v>13</v>
      </c>
      <c r="B1322" t="s">
        <v>73</v>
      </c>
      <c r="C1322" t="s">
        <v>835</v>
      </c>
      <c r="D1322" t="s">
        <v>1091</v>
      </c>
      <c r="E1322" t="s">
        <v>1113</v>
      </c>
      <c r="F1322">
        <v>2235818</v>
      </c>
    </row>
    <row r="1323" spans="1:6">
      <c r="A1323" t="s">
        <v>13</v>
      </c>
      <c r="B1323" t="s">
        <v>73</v>
      </c>
      <c r="C1323" t="s">
        <v>835</v>
      </c>
      <c r="D1323" t="s">
        <v>1091</v>
      </c>
      <c r="E1323" t="s">
        <v>1114</v>
      </c>
      <c r="F1323">
        <v>1748293</v>
      </c>
    </row>
    <row r="1324" spans="1:6">
      <c r="A1324" t="s">
        <v>13</v>
      </c>
      <c r="B1324" t="s">
        <v>73</v>
      </c>
      <c r="C1324" t="s">
        <v>835</v>
      </c>
      <c r="D1324" t="s">
        <v>1091</v>
      </c>
      <c r="E1324" t="s">
        <v>1115</v>
      </c>
      <c r="F1324">
        <v>223335</v>
      </c>
    </row>
    <row r="1325" spans="1:6">
      <c r="A1325" t="s">
        <v>13</v>
      </c>
      <c r="B1325" t="s">
        <v>73</v>
      </c>
      <c r="C1325" t="s">
        <v>835</v>
      </c>
      <c r="D1325" t="s">
        <v>1091</v>
      </c>
      <c r="E1325" t="s">
        <v>1116</v>
      </c>
      <c r="F1325">
        <v>264190</v>
      </c>
    </row>
    <row r="1326" spans="1:6">
      <c r="A1326" t="s">
        <v>13</v>
      </c>
      <c r="B1326" t="s">
        <v>73</v>
      </c>
      <c r="C1326" t="s">
        <v>835</v>
      </c>
      <c r="D1326" t="s">
        <v>1091</v>
      </c>
      <c r="E1326" t="s">
        <v>1054</v>
      </c>
      <c r="F1326" t="s">
        <v>1398</v>
      </c>
    </row>
    <row r="1327" spans="1:6">
      <c r="A1327" t="s">
        <v>13</v>
      </c>
      <c r="B1327" t="s">
        <v>73</v>
      </c>
      <c r="C1327" t="s">
        <v>835</v>
      </c>
      <c r="D1327" t="s">
        <v>1091</v>
      </c>
      <c r="E1327" t="s">
        <v>1118</v>
      </c>
      <c r="F1327">
        <v>0</v>
      </c>
    </row>
    <row r="1328" spans="1:6">
      <c r="A1328" t="s">
        <v>13</v>
      </c>
      <c r="B1328" t="s">
        <v>73</v>
      </c>
      <c r="C1328" t="s">
        <v>835</v>
      </c>
      <c r="D1328" t="s">
        <v>1091</v>
      </c>
      <c r="E1328" t="s">
        <v>1119</v>
      </c>
      <c r="F1328">
        <v>0</v>
      </c>
    </row>
    <row r="1329" spans="1:6">
      <c r="A1329" t="s">
        <v>13</v>
      </c>
      <c r="B1329" t="s">
        <v>73</v>
      </c>
      <c r="C1329" t="s">
        <v>835</v>
      </c>
      <c r="D1329" t="s">
        <v>1091</v>
      </c>
      <c r="E1329" t="s">
        <v>1120</v>
      </c>
      <c r="F1329">
        <v>0</v>
      </c>
    </row>
    <row r="1330" spans="1:6">
      <c r="A1330" t="s">
        <v>13</v>
      </c>
      <c r="B1330" t="s">
        <v>73</v>
      </c>
      <c r="C1330" t="s">
        <v>835</v>
      </c>
      <c r="D1330" t="s">
        <v>1091</v>
      </c>
      <c r="E1330" t="s">
        <v>1121</v>
      </c>
      <c r="F1330">
        <v>0</v>
      </c>
    </row>
    <row r="1331" spans="1:6">
      <c r="A1331" t="s">
        <v>13</v>
      </c>
      <c r="B1331" t="s">
        <v>73</v>
      </c>
      <c r="C1331" t="s">
        <v>835</v>
      </c>
      <c r="D1331" t="s">
        <v>1091</v>
      </c>
      <c r="E1331" t="s">
        <v>1122</v>
      </c>
      <c r="F1331" t="s">
        <v>1123</v>
      </c>
    </row>
    <row r="1332" spans="1:6">
      <c r="A1332" t="s">
        <v>13</v>
      </c>
      <c r="B1332" t="s">
        <v>73</v>
      </c>
      <c r="C1332" t="s">
        <v>835</v>
      </c>
      <c r="D1332" t="s">
        <v>1091</v>
      </c>
      <c r="E1332" t="s">
        <v>1124</v>
      </c>
      <c r="F1332" t="s">
        <v>1242</v>
      </c>
    </row>
    <row r="1333" spans="1:6">
      <c r="A1333" t="s">
        <v>13</v>
      </c>
      <c r="B1333" t="s">
        <v>73</v>
      </c>
      <c r="C1333" t="s">
        <v>835</v>
      </c>
      <c r="D1333" t="s">
        <v>1091</v>
      </c>
      <c r="E1333" t="s">
        <v>1126</v>
      </c>
      <c r="F1333" t="s">
        <v>1125</v>
      </c>
    </row>
    <row r="1334" spans="1:6">
      <c r="A1334" t="s">
        <v>13</v>
      </c>
      <c r="B1334" t="s">
        <v>73</v>
      </c>
      <c r="C1334" t="s">
        <v>835</v>
      </c>
      <c r="D1334" t="s">
        <v>1091</v>
      </c>
      <c r="E1334" t="s">
        <v>1127</v>
      </c>
      <c r="F1334" t="s">
        <v>1242</v>
      </c>
    </row>
    <row r="1335" spans="1:6">
      <c r="A1335" t="s">
        <v>13</v>
      </c>
      <c r="B1335" t="s">
        <v>73</v>
      </c>
      <c r="C1335" t="s">
        <v>835</v>
      </c>
      <c r="D1335" t="s">
        <v>1091</v>
      </c>
      <c r="E1335" t="s">
        <v>1128</v>
      </c>
      <c r="F1335" t="s">
        <v>1328</v>
      </c>
    </row>
    <row r="1336" spans="1:6">
      <c r="A1336" t="s">
        <v>13</v>
      </c>
      <c r="B1336" t="s">
        <v>73</v>
      </c>
      <c r="C1336" t="s">
        <v>835</v>
      </c>
      <c r="D1336" t="s">
        <v>1091</v>
      </c>
      <c r="E1336" t="s">
        <v>1056</v>
      </c>
      <c r="F1336" t="s">
        <v>1130</v>
      </c>
    </row>
    <row r="1337" spans="1:6">
      <c r="A1337" t="s">
        <v>13</v>
      </c>
      <c r="B1337" t="s">
        <v>73</v>
      </c>
      <c r="C1337" t="s">
        <v>835</v>
      </c>
      <c r="D1337" t="s">
        <v>1091</v>
      </c>
      <c r="E1337" t="s">
        <v>1057</v>
      </c>
      <c r="F1337">
        <v>787426</v>
      </c>
    </row>
    <row r="1338" spans="1:6">
      <c r="A1338" t="s">
        <v>13</v>
      </c>
      <c r="B1338" t="s">
        <v>73</v>
      </c>
      <c r="C1338" t="s">
        <v>835</v>
      </c>
      <c r="D1338" t="s">
        <v>1091</v>
      </c>
      <c r="E1338" t="s">
        <v>1058</v>
      </c>
      <c r="F1338">
        <v>0</v>
      </c>
    </row>
    <row r="1339" spans="1:6">
      <c r="A1339" t="s">
        <v>13</v>
      </c>
      <c r="B1339" t="s">
        <v>73</v>
      </c>
      <c r="C1339" t="s">
        <v>835</v>
      </c>
      <c r="D1339" t="s">
        <v>1091</v>
      </c>
      <c r="E1339" t="s">
        <v>1059</v>
      </c>
      <c r="F1339">
        <v>137168</v>
      </c>
    </row>
    <row r="1340" spans="1:6">
      <c r="A1340" t="s">
        <v>13</v>
      </c>
      <c r="B1340" t="s">
        <v>73</v>
      </c>
      <c r="C1340" t="s">
        <v>835</v>
      </c>
      <c r="D1340" t="s">
        <v>1091</v>
      </c>
      <c r="E1340" t="s">
        <v>1060</v>
      </c>
      <c r="F1340">
        <v>650259</v>
      </c>
    </row>
    <row r="1341" spans="1:6">
      <c r="A1341" t="s">
        <v>13</v>
      </c>
      <c r="B1341" t="s">
        <v>73</v>
      </c>
      <c r="C1341" t="s">
        <v>835</v>
      </c>
      <c r="D1341" t="s">
        <v>1091</v>
      </c>
      <c r="E1341" t="s">
        <v>1071</v>
      </c>
      <c r="F1341" t="s">
        <v>1131</v>
      </c>
    </row>
    <row r="1342" spans="1:6">
      <c r="A1342" t="s">
        <v>13</v>
      </c>
      <c r="B1342" t="s">
        <v>73</v>
      </c>
      <c r="C1342" t="s">
        <v>835</v>
      </c>
      <c r="D1342" t="s">
        <v>1091</v>
      </c>
      <c r="E1342" t="s">
        <v>1072</v>
      </c>
      <c r="F1342" t="s">
        <v>1310</v>
      </c>
    </row>
    <row r="1343" spans="1:6">
      <c r="A1343" t="s">
        <v>13</v>
      </c>
      <c r="B1343" t="s">
        <v>73</v>
      </c>
      <c r="C1343" t="s">
        <v>835</v>
      </c>
      <c r="D1343" t="s">
        <v>1091</v>
      </c>
      <c r="E1343" t="s">
        <v>1133</v>
      </c>
      <c r="F1343" t="s">
        <v>1132</v>
      </c>
    </row>
    <row r="1344" spans="1:6">
      <c r="A1344" t="s">
        <v>13</v>
      </c>
      <c r="B1344" t="s">
        <v>73</v>
      </c>
      <c r="C1344" t="s">
        <v>835</v>
      </c>
      <c r="D1344" t="s">
        <v>1091</v>
      </c>
      <c r="E1344" t="s">
        <v>1134</v>
      </c>
      <c r="F1344" t="s">
        <v>1310</v>
      </c>
    </row>
    <row r="1345" spans="1:6">
      <c r="A1345" t="s">
        <v>13</v>
      </c>
      <c r="B1345" t="s">
        <v>73</v>
      </c>
      <c r="C1345" t="s">
        <v>835</v>
      </c>
      <c r="D1345" t="s">
        <v>1091</v>
      </c>
      <c r="E1345" t="s">
        <v>1135</v>
      </c>
      <c r="F1345" t="s">
        <v>1331</v>
      </c>
    </row>
    <row r="1346" spans="1:6">
      <c r="A1346" t="s">
        <v>13</v>
      </c>
      <c r="B1346" t="s">
        <v>73</v>
      </c>
      <c r="C1346" t="s">
        <v>835</v>
      </c>
      <c r="D1346" t="s">
        <v>1091</v>
      </c>
      <c r="E1346" t="s">
        <v>1076</v>
      </c>
      <c r="F1346" t="s">
        <v>1137</v>
      </c>
    </row>
    <row r="1347" spans="1:6">
      <c r="A1347" t="s">
        <v>13</v>
      </c>
      <c r="B1347" t="s">
        <v>73</v>
      </c>
      <c r="C1347" t="s">
        <v>835</v>
      </c>
      <c r="D1347" t="s">
        <v>1091</v>
      </c>
      <c r="E1347" t="s">
        <v>1077</v>
      </c>
      <c r="F1347">
        <v>0</v>
      </c>
    </row>
    <row r="1348" spans="1:6">
      <c r="A1348" t="s">
        <v>13</v>
      </c>
      <c r="B1348" t="s">
        <v>73</v>
      </c>
      <c r="C1348" t="s">
        <v>835</v>
      </c>
      <c r="D1348" t="s">
        <v>1091</v>
      </c>
      <c r="E1348" t="s">
        <v>1078</v>
      </c>
      <c r="F1348">
        <v>192711</v>
      </c>
    </row>
    <row r="1349" spans="1:6">
      <c r="A1349" t="s">
        <v>13</v>
      </c>
      <c r="B1349" t="s">
        <v>73</v>
      </c>
      <c r="C1349" t="s">
        <v>835</v>
      </c>
      <c r="D1349" t="s">
        <v>1091</v>
      </c>
      <c r="E1349" t="s">
        <v>1079</v>
      </c>
      <c r="F1349">
        <v>650259</v>
      </c>
    </row>
    <row r="1350" spans="1:6">
      <c r="A1350" t="s">
        <v>13</v>
      </c>
      <c r="B1350" t="s">
        <v>73</v>
      </c>
      <c r="C1350" t="s">
        <v>835</v>
      </c>
      <c r="D1350" t="s">
        <v>1091</v>
      </c>
      <c r="E1350" t="s">
        <v>1090</v>
      </c>
      <c r="F1350" t="s">
        <v>1138</v>
      </c>
    </row>
    <row r="1351" spans="1:6">
      <c r="A1351" t="s">
        <v>13</v>
      </c>
      <c r="B1351" t="s">
        <v>73</v>
      </c>
      <c r="C1351" t="s">
        <v>835</v>
      </c>
      <c r="D1351" t="s">
        <v>1091</v>
      </c>
      <c r="E1351" t="s">
        <v>1139</v>
      </c>
      <c r="F1351" t="s">
        <v>1132</v>
      </c>
    </row>
    <row r="1352" spans="1:6">
      <c r="A1352" t="s">
        <v>13</v>
      </c>
      <c r="B1352" t="s">
        <v>73</v>
      </c>
      <c r="C1352" t="s">
        <v>835</v>
      </c>
      <c r="D1352" t="s">
        <v>1091</v>
      </c>
      <c r="E1352" t="s">
        <v>1140</v>
      </c>
      <c r="F1352" t="s">
        <v>1132</v>
      </c>
    </row>
    <row r="1353" spans="1:6">
      <c r="A1353" t="s">
        <v>13</v>
      </c>
      <c r="B1353" t="s">
        <v>73</v>
      </c>
      <c r="C1353" t="s">
        <v>835</v>
      </c>
      <c r="D1353" t="s">
        <v>1091</v>
      </c>
      <c r="E1353" t="s">
        <v>1141</v>
      </c>
      <c r="F1353" t="s">
        <v>1399</v>
      </c>
    </row>
    <row r="1354" spans="1:6">
      <c r="A1354" t="s">
        <v>13</v>
      </c>
      <c r="B1354" t="s">
        <v>73</v>
      </c>
      <c r="C1354" t="s">
        <v>835</v>
      </c>
      <c r="D1354" t="s">
        <v>1091</v>
      </c>
      <c r="E1354" t="s">
        <v>1400</v>
      </c>
      <c r="F1354" t="s">
        <v>1401</v>
      </c>
    </row>
    <row r="1355" spans="1:6">
      <c r="A1355" t="s">
        <v>13</v>
      </c>
      <c r="B1355" t="s">
        <v>73</v>
      </c>
      <c r="C1355" t="s">
        <v>835</v>
      </c>
      <c r="D1355" t="s">
        <v>1091</v>
      </c>
      <c r="E1355" t="s">
        <v>1143</v>
      </c>
      <c r="F1355" t="s">
        <v>1144</v>
      </c>
    </row>
    <row r="1356" spans="1:6">
      <c r="A1356" t="s">
        <v>13</v>
      </c>
      <c r="B1356" t="s">
        <v>73</v>
      </c>
      <c r="C1356" t="s">
        <v>835</v>
      </c>
      <c r="D1356" t="s">
        <v>1091</v>
      </c>
      <c r="E1356" t="s">
        <v>1147</v>
      </c>
      <c r="F1356" t="s">
        <v>1148</v>
      </c>
    </row>
    <row r="1357" spans="1:6">
      <c r="A1357" t="s">
        <v>13</v>
      </c>
      <c r="B1357" t="s">
        <v>73</v>
      </c>
      <c r="C1357" t="s">
        <v>835</v>
      </c>
      <c r="D1357" t="s">
        <v>1091</v>
      </c>
      <c r="E1357" t="s">
        <v>1149</v>
      </c>
      <c r="F1357" t="s">
        <v>1150</v>
      </c>
    </row>
    <row r="1358" spans="1:6">
      <c r="A1358" t="s">
        <v>13</v>
      </c>
      <c r="B1358" t="s">
        <v>73</v>
      </c>
      <c r="C1358" t="s">
        <v>835</v>
      </c>
      <c r="D1358" t="s">
        <v>1091</v>
      </c>
      <c r="E1358" t="s">
        <v>1151</v>
      </c>
      <c r="F1358" t="s">
        <v>1009</v>
      </c>
    </row>
    <row r="1359" spans="1:6">
      <c r="A1359" t="s">
        <v>13</v>
      </c>
      <c r="B1359" t="s">
        <v>73</v>
      </c>
      <c r="C1359" t="s">
        <v>835</v>
      </c>
      <c r="D1359" t="s">
        <v>1091</v>
      </c>
      <c r="E1359" t="s">
        <v>1152</v>
      </c>
      <c r="F1359" t="s">
        <v>1153</v>
      </c>
    </row>
    <row r="1360" spans="1:6">
      <c r="A1360" t="s">
        <v>13</v>
      </c>
      <c r="B1360" t="s">
        <v>73</v>
      </c>
      <c r="C1360" t="s">
        <v>835</v>
      </c>
      <c r="D1360" t="s">
        <v>1091</v>
      </c>
      <c r="E1360" t="s">
        <v>1154</v>
      </c>
      <c r="F1360" t="s">
        <v>1155</v>
      </c>
    </row>
    <row r="1361" spans="1:6">
      <c r="A1361" t="s">
        <v>13</v>
      </c>
      <c r="B1361" t="s">
        <v>73</v>
      </c>
      <c r="C1361" t="s">
        <v>835</v>
      </c>
      <c r="D1361" t="s">
        <v>1091</v>
      </c>
      <c r="E1361" t="s">
        <v>1156</v>
      </c>
      <c r="F1361" t="s">
        <v>1157</v>
      </c>
    </row>
    <row r="1362" spans="1:6">
      <c r="A1362" t="s">
        <v>13</v>
      </c>
      <c r="B1362" t="s">
        <v>73</v>
      </c>
      <c r="C1362" t="s">
        <v>835</v>
      </c>
      <c r="D1362" t="s">
        <v>1091</v>
      </c>
      <c r="E1362" t="s">
        <v>1158</v>
      </c>
      <c r="F1362" t="s">
        <v>1159</v>
      </c>
    </row>
    <row r="1363" spans="1:6">
      <c r="A1363" t="s">
        <v>13</v>
      </c>
      <c r="B1363" t="s">
        <v>73</v>
      </c>
      <c r="C1363" t="s">
        <v>835</v>
      </c>
      <c r="D1363" t="s">
        <v>1091</v>
      </c>
      <c r="E1363" t="s">
        <v>1160</v>
      </c>
      <c r="F1363" t="s">
        <v>1161</v>
      </c>
    </row>
    <row r="1364" spans="1:6">
      <c r="A1364" t="s">
        <v>13</v>
      </c>
      <c r="B1364" t="s">
        <v>73</v>
      </c>
      <c r="C1364" t="s">
        <v>835</v>
      </c>
      <c r="D1364" t="s">
        <v>1091</v>
      </c>
      <c r="E1364" t="s">
        <v>1162</v>
      </c>
      <c r="F1364" t="s">
        <v>1163</v>
      </c>
    </row>
    <row r="1365" spans="1:6">
      <c r="A1365" t="s">
        <v>13</v>
      </c>
      <c r="B1365" t="s">
        <v>73</v>
      </c>
      <c r="C1365" t="s">
        <v>835</v>
      </c>
      <c r="D1365" t="s">
        <v>1091</v>
      </c>
      <c r="E1365" t="s">
        <v>1164</v>
      </c>
      <c r="F1365" t="s">
        <v>1165</v>
      </c>
    </row>
    <row r="1366" spans="1:6">
      <c r="A1366" t="s">
        <v>13</v>
      </c>
      <c r="B1366" t="s">
        <v>73</v>
      </c>
      <c r="C1366" t="s">
        <v>835</v>
      </c>
      <c r="D1366" t="s">
        <v>1091</v>
      </c>
      <c r="E1366" t="s">
        <v>1166</v>
      </c>
      <c r="F1366">
        <v>6678520</v>
      </c>
    </row>
    <row r="1367" spans="1:6">
      <c r="A1367" t="s">
        <v>13</v>
      </c>
      <c r="B1367" t="s">
        <v>73</v>
      </c>
      <c r="C1367" t="s">
        <v>835</v>
      </c>
      <c r="D1367" t="s">
        <v>1091</v>
      </c>
      <c r="E1367" t="s">
        <v>1167</v>
      </c>
      <c r="F1367">
        <v>977488</v>
      </c>
    </row>
    <row r="1368" spans="1:6">
      <c r="A1368" t="s">
        <v>13</v>
      </c>
      <c r="B1368" t="s">
        <v>73</v>
      </c>
      <c r="C1368" t="s">
        <v>835</v>
      </c>
      <c r="D1368" t="s">
        <v>1091</v>
      </c>
      <c r="E1368" t="s">
        <v>1168</v>
      </c>
      <c r="F1368">
        <v>1425617</v>
      </c>
    </row>
    <row r="1369" spans="1:6">
      <c r="A1369" t="s">
        <v>13</v>
      </c>
      <c r="B1369" t="s">
        <v>73</v>
      </c>
      <c r="C1369" t="s">
        <v>835</v>
      </c>
      <c r="D1369" t="s">
        <v>1091</v>
      </c>
      <c r="E1369" t="s">
        <v>1169</v>
      </c>
      <c r="F1369">
        <v>1199204</v>
      </c>
    </row>
    <row r="1370" spans="1:6">
      <c r="A1370" t="s">
        <v>13</v>
      </c>
      <c r="B1370" t="s">
        <v>73</v>
      </c>
      <c r="C1370" t="s">
        <v>835</v>
      </c>
      <c r="D1370" t="s">
        <v>1091</v>
      </c>
      <c r="E1370" t="s">
        <v>1170</v>
      </c>
      <c r="F1370">
        <v>1177761</v>
      </c>
    </row>
    <row r="1371" spans="1:6">
      <c r="A1371" t="s">
        <v>13</v>
      </c>
      <c r="B1371" t="s">
        <v>73</v>
      </c>
      <c r="C1371" t="s">
        <v>835</v>
      </c>
      <c r="D1371" t="s">
        <v>1091</v>
      </c>
      <c r="E1371" t="s">
        <v>1171</v>
      </c>
      <c r="F1371">
        <v>951552</v>
      </c>
    </row>
    <row r="1372" spans="1:6">
      <c r="A1372" t="s">
        <v>13</v>
      </c>
      <c r="B1372" t="s">
        <v>73</v>
      </c>
      <c r="C1372" t="s">
        <v>835</v>
      </c>
      <c r="D1372" t="s">
        <v>1091</v>
      </c>
      <c r="E1372" t="s">
        <v>1172</v>
      </c>
      <c r="F1372">
        <v>946898</v>
      </c>
    </row>
    <row r="1373" spans="1:6">
      <c r="A1373" t="s">
        <v>13</v>
      </c>
      <c r="B1373" t="s">
        <v>73</v>
      </c>
      <c r="C1373" t="s">
        <v>835</v>
      </c>
      <c r="D1373" t="s">
        <v>1091</v>
      </c>
      <c r="E1373" t="s">
        <v>1173</v>
      </c>
      <c r="F1373" t="s">
        <v>1174</v>
      </c>
    </row>
    <row r="1374" spans="1:6">
      <c r="A1374" t="s">
        <v>13</v>
      </c>
      <c r="B1374" t="s">
        <v>73</v>
      </c>
      <c r="C1374" t="s">
        <v>835</v>
      </c>
      <c r="D1374" t="s">
        <v>1091</v>
      </c>
      <c r="E1374" t="s">
        <v>1175</v>
      </c>
      <c r="F1374">
        <v>27734</v>
      </c>
    </row>
    <row r="1375" spans="1:6">
      <c r="A1375" t="s">
        <v>13</v>
      </c>
      <c r="B1375" t="s">
        <v>73</v>
      </c>
      <c r="C1375" t="s">
        <v>835</v>
      </c>
      <c r="D1375" t="s">
        <v>1091</v>
      </c>
      <c r="E1375" t="s">
        <v>1176</v>
      </c>
      <c r="F1375">
        <v>4259</v>
      </c>
    </row>
    <row r="1376" spans="1:6">
      <c r="A1376" t="s">
        <v>13</v>
      </c>
      <c r="B1376" t="s">
        <v>73</v>
      </c>
      <c r="C1376" t="s">
        <v>835</v>
      </c>
      <c r="D1376" t="s">
        <v>1091</v>
      </c>
      <c r="E1376" t="s">
        <v>1177</v>
      </c>
      <c r="F1376">
        <v>5501</v>
      </c>
    </row>
    <row r="1377" spans="1:6">
      <c r="A1377" t="s">
        <v>13</v>
      </c>
      <c r="B1377" t="s">
        <v>73</v>
      </c>
      <c r="C1377" t="s">
        <v>835</v>
      </c>
      <c r="D1377" t="s">
        <v>1091</v>
      </c>
      <c r="E1377" t="s">
        <v>1178</v>
      </c>
      <c r="F1377">
        <v>4749</v>
      </c>
    </row>
    <row r="1378" spans="1:6">
      <c r="A1378" t="s">
        <v>13</v>
      </c>
      <c r="B1378" t="s">
        <v>73</v>
      </c>
      <c r="C1378" t="s">
        <v>835</v>
      </c>
      <c r="D1378" t="s">
        <v>1091</v>
      </c>
      <c r="E1378" t="s">
        <v>1179</v>
      </c>
      <c r="F1378">
        <v>4606</v>
      </c>
    </row>
    <row r="1379" spans="1:6">
      <c r="A1379" t="s">
        <v>13</v>
      </c>
      <c r="B1379" t="s">
        <v>73</v>
      </c>
      <c r="C1379" t="s">
        <v>835</v>
      </c>
      <c r="D1379" t="s">
        <v>1091</v>
      </c>
      <c r="E1379" t="s">
        <v>1180</v>
      </c>
      <c r="F1379">
        <v>4231</v>
      </c>
    </row>
    <row r="1380" spans="1:6">
      <c r="A1380" t="s">
        <v>13</v>
      </c>
      <c r="B1380" t="s">
        <v>73</v>
      </c>
      <c r="C1380" t="s">
        <v>835</v>
      </c>
      <c r="D1380" t="s">
        <v>1091</v>
      </c>
      <c r="E1380" t="s">
        <v>1181</v>
      </c>
      <c r="F1380">
        <v>4388</v>
      </c>
    </row>
    <row r="1381" spans="1:6">
      <c r="A1381" t="s">
        <v>13</v>
      </c>
      <c r="B1381" t="s">
        <v>73</v>
      </c>
      <c r="C1381" t="s">
        <v>835</v>
      </c>
      <c r="D1381" t="s">
        <v>1091</v>
      </c>
      <c r="E1381" t="s">
        <v>1182</v>
      </c>
      <c r="F1381" t="s">
        <v>1183</v>
      </c>
    </row>
    <row r="1382" spans="1:6">
      <c r="A1382" t="s">
        <v>13</v>
      </c>
      <c r="B1382" t="s">
        <v>73</v>
      </c>
      <c r="C1382" t="s">
        <v>835</v>
      </c>
      <c r="D1382" t="s">
        <v>1091</v>
      </c>
      <c r="E1382" t="s">
        <v>1184</v>
      </c>
      <c r="F1382">
        <v>6028261</v>
      </c>
    </row>
    <row r="1383" spans="1:6">
      <c r="A1383" t="s">
        <v>13</v>
      </c>
      <c r="B1383" t="s">
        <v>73</v>
      </c>
      <c r="C1383" t="s">
        <v>835</v>
      </c>
      <c r="D1383" t="s">
        <v>1091</v>
      </c>
      <c r="E1383" t="s">
        <v>1185</v>
      </c>
      <c r="F1383">
        <v>516772</v>
      </c>
    </row>
    <row r="1384" spans="1:6">
      <c r="A1384" t="s">
        <v>13</v>
      </c>
      <c r="B1384" t="s">
        <v>73</v>
      </c>
      <c r="C1384" t="s">
        <v>835</v>
      </c>
      <c r="D1384" t="s">
        <v>1091</v>
      </c>
      <c r="E1384" t="s">
        <v>1186</v>
      </c>
      <c r="F1384">
        <v>1327355</v>
      </c>
    </row>
    <row r="1385" spans="1:6">
      <c r="A1385" t="s">
        <v>13</v>
      </c>
      <c r="B1385" t="s">
        <v>73</v>
      </c>
      <c r="C1385" t="s">
        <v>835</v>
      </c>
      <c r="D1385" t="s">
        <v>1091</v>
      </c>
      <c r="E1385" t="s">
        <v>1187</v>
      </c>
      <c r="F1385">
        <v>1160767</v>
      </c>
    </row>
    <row r="1386" spans="1:6">
      <c r="A1386" t="s">
        <v>13</v>
      </c>
      <c r="B1386" t="s">
        <v>73</v>
      </c>
      <c r="C1386" t="s">
        <v>835</v>
      </c>
      <c r="D1386" t="s">
        <v>1091</v>
      </c>
      <c r="E1386" t="s">
        <v>1188</v>
      </c>
      <c r="F1386">
        <v>1157025</v>
      </c>
    </row>
    <row r="1387" spans="1:6">
      <c r="A1387" t="s">
        <v>13</v>
      </c>
      <c r="B1387" t="s">
        <v>73</v>
      </c>
      <c r="C1387" t="s">
        <v>835</v>
      </c>
      <c r="D1387" t="s">
        <v>1091</v>
      </c>
      <c r="E1387" t="s">
        <v>1189</v>
      </c>
      <c r="F1387">
        <v>934237</v>
      </c>
    </row>
    <row r="1388" spans="1:6">
      <c r="A1388" t="s">
        <v>13</v>
      </c>
      <c r="B1388" t="s">
        <v>73</v>
      </c>
      <c r="C1388" t="s">
        <v>835</v>
      </c>
      <c r="D1388" t="s">
        <v>1091</v>
      </c>
      <c r="E1388" t="s">
        <v>1190</v>
      </c>
      <c r="F1388">
        <v>932106</v>
      </c>
    </row>
    <row r="1389" spans="1:6">
      <c r="A1389" t="s">
        <v>13</v>
      </c>
      <c r="B1389" t="s">
        <v>73</v>
      </c>
      <c r="C1389" t="s">
        <v>835</v>
      </c>
      <c r="D1389" t="s">
        <v>1091</v>
      </c>
      <c r="E1389" t="s">
        <v>1191</v>
      </c>
      <c r="F1389" t="s">
        <v>1192</v>
      </c>
    </row>
    <row r="1390" spans="1:6">
      <c r="A1390" t="s">
        <v>13</v>
      </c>
      <c r="B1390" t="s">
        <v>73</v>
      </c>
      <c r="C1390" t="s">
        <v>835</v>
      </c>
      <c r="D1390" t="s">
        <v>1091</v>
      </c>
      <c r="E1390" t="s">
        <v>1193</v>
      </c>
      <c r="F1390">
        <v>2107</v>
      </c>
    </row>
    <row r="1391" spans="1:6">
      <c r="A1391" t="s">
        <v>13</v>
      </c>
      <c r="B1391" t="s">
        <v>73</v>
      </c>
      <c r="C1391" t="s">
        <v>835</v>
      </c>
      <c r="D1391" t="s">
        <v>1091</v>
      </c>
      <c r="E1391" t="s">
        <v>1194</v>
      </c>
      <c r="F1391">
        <v>4888</v>
      </c>
    </row>
    <row r="1392" spans="1:6">
      <c r="A1392" t="s">
        <v>13</v>
      </c>
      <c r="B1392" t="s">
        <v>73</v>
      </c>
      <c r="C1392" t="s">
        <v>835</v>
      </c>
      <c r="D1392" t="s">
        <v>1091</v>
      </c>
      <c r="E1392" t="s">
        <v>1195</v>
      </c>
      <c r="F1392">
        <v>4424</v>
      </c>
    </row>
    <row r="1393" spans="1:6">
      <c r="A1393" t="s">
        <v>13</v>
      </c>
      <c r="B1393" t="s">
        <v>73</v>
      </c>
      <c r="C1393" t="s">
        <v>835</v>
      </c>
      <c r="D1393" t="s">
        <v>1091</v>
      </c>
      <c r="E1393" t="s">
        <v>1196</v>
      </c>
      <c r="F1393">
        <v>4303</v>
      </c>
    </row>
    <row r="1394" spans="1:6">
      <c r="A1394" t="s">
        <v>13</v>
      </c>
      <c r="B1394" t="s">
        <v>73</v>
      </c>
      <c r="C1394" t="s">
        <v>835</v>
      </c>
      <c r="D1394" t="s">
        <v>1091</v>
      </c>
      <c r="E1394" t="s">
        <v>1197</v>
      </c>
      <c r="F1394">
        <v>3816</v>
      </c>
    </row>
    <row r="1395" spans="1:6">
      <c r="A1395" t="s">
        <v>13</v>
      </c>
      <c r="B1395" t="s">
        <v>73</v>
      </c>
      <c r="C1395" t="s">
        <v>835</v>
      </c>
      <c r="D1395" t="s">
        <v>1091</v>
      </c>
      <c r="E1395" t="s">
        <v>1198</v>
      </c>
      <c r="F1395">
        <v>4162</v>
      </c>
    </row>
    <row r="1396" spans="1:6">
      <c r="A1396" t="s">
        <v>13</v>
      </c>
      <c r="B1396" t="s">
        <v>73</v>
      </c>
      <c r="C1396" t="s">
        <v>835</v>
      </c>
      <c r="D1396" t="s">
        <v>1091</v>
      </c>
      <c r="E1396" t="s">
        <v>1199</v>
      </c>
      <c r="F1396" t="s">
        <v>1200</v>
      </c>
    </row>
    <row r="1397" spans="1:6">
      <c r="A1397" t="s">
        <v>13</v>
      </c>
      <c r="B1397" t="s">
        <v>73</v>
      </c>
      <c r="C1397" t="s">
        <v>835</v>
      </c>
      <c r="D1397" t="s">
        <v>1091</v>
      </c>
      <c r="E1397" t="s">
        <v>1201</v>
      </c>
      <c r="F1397" t="s">
        <v>1107</v>
      </c>
    </row>
    <row r="1398" spans="1:6">
      <c r="A1398" t="s">
        <v>13</v>
      </c>
      <c r="B1398" t="s">
        <v>73</v>
      </c>
      <c r="C1398" t="s">
        <v>835</v>
      </c>
      <c r="D1398" t="s">
        <v>1091</v>
      </c>
      <c r="E1398" t="s">
        <v>1202</v>
      </c>
      <c r="F1398">
        <v>5764071</v>
      </c>
    </row>
    <row r="1399" spans="1:6">
      <c r="A1399" t="s">
        <v>13</v>
      </c>
      <c r="B1399" t="s">
        <v>73</v>
      </c>
      <c r="C1399" t="s">
        <v>835</v>
      </c>
      <c r="D1399" t="s">
        <v>1091</v>
      </c>
      <c r="E1399" t="s">
        <v>1203</v>
      </c>
      <c r="F1399">
        <v>448643</v>
      </c>
    </row>
    <row r="1400" spans="1:6">
      <c r="A1400" t="s">
        <v>13</v>
      </c>
      <c r="B1400" t="s">
        <v>73</v>
      </c>
      <c r="C1400" t="s">
        <v>835</v>
      </c>
      <c r="D1400" t="s">
        <v>1091</v>
      </c>
      <c r="E1400" t="s">
        <v>1204</v>
      </c>
      <c r="F1400">
        <v>1245541</v>
      </c>
    </row>
    <row r="1401" spans="1:6">
      <c r="A1401" t="s">
        <v>13</v>
      </c>
      <c r="B1401" t="s">
        <v>73</v>
      </c>
      <c r="C1401" t="s">
        <v>835</v>
      </c>
      <c r="D1401" t="s">
        <v>1091</v>
      </c>
      <c r="E1401" t="s">
        <v>1205</v>
      </c>
      <c r="F1401">
        <v>1134296</v>
      </c>
    </row>
    <row r="1402" spans="1:6">
      <c r="A1402" t="s">
        <v>13</v>
      </c>
      <c r="B1402" t="s">
        <v>73</v>
      </c>
      <c r="C1402" t="s">
        <v>835</v>
      </c>
      <c r="D1402" t="s">
        <v>1091</v>
      </c>
      <c r="E1402" t="s">
        <v>1206</v>
      </c>
      <c r="F1402">
        <v>1127453</v>
      </c>
    </row>
    <row r="1403" spans="1:6">
      <c r="A1403" t="s">
        <v>13</v>
      </c>
      <c r="B1403" t="s">
        <v>73</v>
      </c>
      <c r="C1403" t="s">
        <v>835</v>
      </c>
      <c r="D1403" t="s">
        <v>1091</v>
      </c>
      <c r="E1403" t="s">
        <v>1207</v>
      </c>
      <c r="F1403">
        <v>908741</v>
      </c>
    </row>
    <row r="1404" spans="1:6">
      <c r="A1404" t="s">
        <v>13</v>
      </c>
      <c r="B1404" t="s">
        <v>73</v>
      </c>
      <c r="C1404" t="s">
        <v>835</v>
      </c>
      <c r="D1404" t="s">
        <v>1091</v>
      </c>
      <c r="E1404" t="s">
        <v>1208</v>
      </c>
      <c r="F1404">
        <v>899398</v>
      </c>
    </row>
    <row r="1405" spans="1:6">
      <c r="A1405" t="s">
        <v>13</v>
      </c>
      <c r="B1405" t="s">
        <v>73</v>
      </c>
      <c r="C1405" t="s">
        <v>835</v>
      </c>
      <c r="D1405" t="s">
        <v>1091</v>
      </c>
      <c r="E1405" t="s">
        <v>1209</v>
      </c>
      <c r="F1405" t="s">
        <v>1397</v>
      </c>
    </row>
    <row r="1406" spans="1:6">
      <c r="A1406" t="s">
        <v>13</v>
      </c>
      <c r="B1406" t="s">
        <v>73</v>
      </c>
      <c r="C1406" t="s">
        <v>835</v>
      </c>
      <c r="D1406" t="s">
        <v>1091</v>
      </c>
      <c r="E1406" t="s">
        <v>1210</v>
      </c>
      <c r="F1406">
        <v>264190</v>
      </c>
    </row>
    <row r="1407" spans="1:6">
      <c r="A1407" t="s">
        <v>13</v>
      </c>
      <c r="B1407" t="s">
        <v>73</v>
      </c>
      <c r="C1407" t="s">
        <v>835</v>
      </c>
      <c r="D1407" t="s">
        <v>1091</v>
      </c>
      <c r="E1407" t="s">
        <v>1211</v>
      </c>
      <c r="F1407">
        <v>68129</v>
      </c>
    </row>
    <row r="1408" spans="1:6">
      <c r="A1408" t="s">
        <v>13</v>
      </c>
      <c r="B1408" t="s">
        <v>73</v>
      </c>
      <c r="C1408" t="s">
        <v>835</v>
      </c>
      <c r="D1408" t="s">
        <v>1091</v>
      </c>
      <c r="E1408" t="s">
        <v>1212</v>
      </c>
      <c r="F1408">
        <v>81814</v>
      </c>
    </row>
    <row r="1409" spans="1:6">
      <c r="A1409" t="s">
        <v>13</v>
      </c>
      <c r="B1409" t="s">
        <v>73</v>
      </c>
      <c r="C1409" t="s">
        <v>835</v>
      </c>
      <c r="D1409" t="s">
        <v>1091</v>
      </c>
      <c r="E1409" t="s">
        <v>1213</v>
      </c>
      <c r="F1409">
        <v>26471</v>
      </c>
    </row>
    <row r="1410" spans="1:6">
      <c r="A1410" t="s">
        <v>13</v>
      </c>
      <c r="B1410" t="s">
        <v>73</v>
      </c>
      <c r="C1410" t="s">
        <v>835</v>
      </c>
      <c r="D1410" t="s">
        <v>1091</v>
      </c>
      <c r="E1410" t="s">
        <v>1214</v>
      </c>
      <c r="F1410">
        <v>29572</v>
      </c>
    </row>
    <row r="1411" spans="1:6">
      <c r="A1411" t="s">
        <v>13</v>
      </c>
      <c r="B1411" t="s">
        <v>73</v>
      </c>
      <c r="C1411" t="s">
        <v>835</v>
      </c>
      <c r="D1411" t="s">
        <v>1091</v>
      </c>
      <c r="E1411" t="s">
        <v>1215</v>
      </c>
      <c r="F1411">
        <v>25496</v>
      </c>
    </row>
    <row r="1412" spans="1:6">
      <c r="A1412" t="s">
        <v>13</v>
      </c>
      <c r="B1412" t="s">
        <v>73</v>
      </c>
      <c r="C1412" t="s">
        <v>835</v>
      </c>
      <c r="D1412" t="s">
        <v>1091</v>
      </c>
      <c r="E1412" t="s">
        <v>1216</v>
      </c>
      <c r="F1412">
        <v>32708</v>
      </c>
    </row>
    <row r="1413" spans="1:6">
      <c r="A1413" t="s">
        <v>13</v>
      </c>
      <c r="B1413" t="s">
        <v>73</v>
      </c>
      <c r="C1413" t="s">
        <v>835</v>
      </c>
      <c r="D1413" t="s">
        <v>1091</v>
      </c>
      <c r="E1413" t="s">
        <v>1217</v>
      </c>
      <c r="F1413" t="s">
        <v>1398</v>
      </c>
    </row>
    <row r="1414" spans="1:6">
      <c r="A1414" t="s">
        <v>13</v>
      </c>
      <c r="B1414" t="s">
        <v>73</v>
      </c>
      <c r="C1414" t="s">
        <v>835</v>
      </c>
      <c r="D1414" t="s">
        <v>1091</v>
      </c>
      <c r="E1414" t="s">
        <v>1218</v>
      </c>
      <c r="F1414">
        <v>0</v>
      </c>
    </row>
    <row r="1415" spans="1:6">
      <c r="A1415" t="s">
        <v>13</v>
      </c>
      <c r="B1415" t="s">
        <v>73</v>
      </c>
      <c r="C1415" t="s">
        <v>835</v>
      </c>
      <c r="D1415" t="s">
        <v>1091</v>
      </c>
      <c r="E1415" t="s">
        <v>1219</v>
      </c>
      <c r="F1415">
        <v>0</v>
      </c>
    </row>
    <row r="1416" spans="1:6">
      <c r="A1416" t="s">
        <v>13</v>
      </c>
      <c r="B1416" t="s">
        <v>73</v>
      </c>
      <c r="C1416" t="s">
        <v>835</v>
      </c>
      <c r="D1416" t="s">
        <v>1091</v>
      </c>
      <c r="E1416" t="s">
        <v>1220</v>
      </c>
      <c r="F1416">
        <v>0</v>
      </c>
    </row>
    <row r="1417" spans="1:6">
      <c r="A1417" t="s">
        <v>13</v>
      </c>
      <c r="B1417" t="s">
        <v>73</v>
      </c>
      <c r="C1417" t="s">
        <v>835</v>
      </c>
      <c r="D1417" t="s">
        <v>1091</v>
      </c>
      <c r="E1417" t="s">
        <v>1221</v>
      </c>
      <c r="F1417">
        <v>0</v>
      </c>
    </row>
    <row r="1418" spans="1:6">
      <c r="A1418" t="s">
        <v>13</v>
      </c>
      <c r="B1418" t="s">
        <v>73</v>
      </c>
      <c r="C1418" t="s">
        <v>835</v>
      </c>
      <c r="D1418" t="s">
        <v>1091</v>
      </c>
      <c r="E1418" t="s">
        <v>1222</v>
      </c>
      <c r="F1418">
        <v>0</v>
      </c>
    </row>
    <row r="1419" spans="1:6">
      <c r="A1419" t="s">
        <v>13</v>
      </c>
      <c r="B1419" t="s">
        <v>73</v>
      </c>
      <c r="C1419" t="s">
        <v>835</v>
      </c>
      <c r="D1419" t="s">
        <v>1091</v>
      </c>
      <c r="E1419" t="s">
        <v>1223</v>
      </c>
      <c r="F1419">
        <v>0</v>
      </c>
    </row>
    <row r="1420" spans="1:6">
      <c r="A1420" t="s">
        <v>13</v>
      </c>
      <c r="B1420" t="s">
        <v>73</v>
      </c>
      <c r="C1420" t="s">
        <v>835</v>
      </c>
      <c r="D1420" t="s">
        <v>1091</v>
      </c>
      <c r="E1420" t="s">
        <v>1224</v>
      </c>
      <c r="F1420">
        <v>0</v>
      </c>
    </row>
    <row r="1421" spans="1:6">
      <c r="A1421" t="s">
        <v>13</v>
      </c>
      <c r="B1421" t="s">
        <v>73</v>
      </c>
      <c r="C1421" t="s">
        <v>835</v>
      </c>
      <c r="D1421" t="s">
        <v>1091</v>
      </c>
      <c r="E1421" t="s">
        <v>1225</v>
      </c>
      <c r="F1421" t="s">
        <v>1226</v>
      </c>
    </row>
    <row r="1422" spans="1:6">
      <c r="A1422" t="s">
        <v>13</v>
      </c>
      <c r="B1422" t="s">
        <v>73</v>
      </c>
      <c r="C1422" t="s">
        <v>835</v>
      </c>
      <c r="D1422" t="s">
        <v>1091</v>
      </c>
      <c r="E1422" t="s">
        <v>1227</v>
      </c>
      <c r="F1422" t="s">
        <v>1402</v>
      </c>
    </row>
    <row r="1423" spans="1:6">
      <c r="A1423" t="s">
        <v>13</v>
      </c>
      <c r="B1423" t="s">
        <v>73</v>
      </c>
      <c r="C1423" t="s">
        <v>835</v>
      </c>
      <c r="D1423" t="s">
        <v>1091</v>
      </c>
      <c r="E1423" t="s">
        <v>1228</v>
      </c>
      <c r="F1423" t="s">
        <v>1309</v>
      </c>
    </row>
    <row r="1424" spans="1:6">
      <c r="A1424" t="s">
        <v>13</v>
      </c>
      <c r="B1424" t="s">
        <v>73</v>
      </c>
      <c r="C1424" t="s">
        <v>835</v>
      </c>
      <c r="D1424" t="s">
        <v>1091</v>
      </c>
      <c r="E1424" t="s">
        <v>1230</v>
      </c>
      <c r="F1424" t="s">
        <v>1232</v>
      </c>
    </row>
    <row r="1425" spans="1:6">
      <c r="A1425" t="s">
        <v>13</v>
      </c>
      <c r="B1425" t="s">
        <v>73</v>
      </c>
      <c r="C1425" t="s">
        <v>835</v>
      </c>
      <c r="D1425" t="s">
        <v>1091</v>
      </c>
      <c r="E1425" t="s">
        <v>1231</v>
      </c>
      <c r="F1425" t="s">
        <v>1315</v>
      </c>
    </row>
    <row r="1426" spans="1:6">
      <c r="A1426" t="s">
        <v>13</v>
      </c>
      <c r="B1426" t="s">
        <v>73</v>
      </c>
      <c r="C1426" t="s">
        <v>835</v>
      </c>
      <c r="D1426" t="s">
        <v>1091</v>
      </c>
      <c r="E1426" t="s">
        <v>1233</v>
      </c>
      <c r="F1426" t="s">
        <v>1315</v>
      </c>
    </row>
    <row r="1427" spans="1:6">
      <c r="A1427" t="s">
        <v>13</v>
      </c>
      <c r="B1427" t="s">
        <v>73</v>
      </c>
      <c r="C1427" t="s">
        <v>835</v>
      </c>
      <c r="D1427" t="s">
        <v>1091</v>
      </c>
      <c r="E1427" t="s">
        <v>1234</v>
      </c>
      <c r="F1427" t="s">
        <v>1315</v>
      </c>
    </row>
    <row r="1428" spans="1:6">
      <c r="A1428" t="s">
        <v>13</v>
      </c>
      <c r="B1428" t="s">
        <v>73</v>
      </c>
      <c r="C1428" t="s">
        <v>835</v>
      </c>
      <c r="D1428" t="s">
        <v>1091</v>
      </c>
      <c r="E1428" t="s">
        <v>1235</v>
      </c>
      <c r="F1428" t="s">
        <v>1236</v>
      </c>
    </row>
    <row r="1429" spans="1:6">
      <c r="A1429" t="s">
        <v>13</v>
      </c>
      <c r="B1429" t="s">
        <v>73</v>
      </c>
      <c r="C1429" t="s">
        <v>835</v>
      </c>
      <c r="D1429" t="s">
        <v>1091</v>
      </c>
      <c r="E1429" t="s">
        <v>1237</v>
      </c>
      <c r="F1429" t="s">
        <v>1403</v>
      </c>
    </row>
    <row r="1430" spans="1:6">
      <c r="A1430" t="s">
        <v>13</v>
      </c>
      <c r="B1430" t="s">
        <v>73</v>
      </c>
      <c r="C1430" t="s">
        <v>835</v>
      </c>
      <c r="D1430" t="s">
        <v>1091</v>
      </c>
      <c r="E1430" t="s">
        <v>1238</v>
      </c>
      <c r="F1430" t="s">
        <v>1239</v>
      </c>
    </row>
    <row r="1431" spans="1:6">
      <c r="A1431" t="s">
        <v>13</v>
      </c>
      <c r="B1431" t="s">
        <v>73</v>
      </c>
      <c r="C1431" t="s">
        <v>835</v>
      </c>
      <c r="D1431" t="s">
        <v>1091</v>
      </c>
      <c r="E1431" t="s">
        <v>1240</v>
      </c>
      <c r="F1431" t="s">
        <v>1309</v>
      </c>
    </row>
    <row r="1432" spans="1:6">
      <c r="A1432" t="s">
        <v>13</v>
      </c>
      <c r="B1432" t="s">
        <v>73</v>
      </c>
      <c r="C1432" t="s">
        <v>835</v>
      </c>
      <c r="D1432" t="s">
        <v>1091</v>
      </c>
      <c r="E1432" t="s">
        <v>1241</v>
      </c>
      <c r="F1432" t="s">
        <v>1309</v>
      </c>
    </row>
    <row r="1433" spans="1:6">
      <c r="A1433" t="s">
        <v>13</v>
      </c>
      <c r="B1433" t="s">
        <v>73</v>
      </c>
      <c r="C1433" t="s">
        <v>835</v>
      </c>
      <c r="D1433" t="s">
        <v>1091</v>
      </c>
      <c r="E1433" t="s">
        <v>1243</v>
      </c>
      <c r="F1433" t="s">
        <v>1328</v>
      </c>
    </row>
    <row r="1434" spans="1:6">
      <c r="A1434" t="s">
        <v>13</v>
      </c>
      <c r="B1434" t="s">
        <v>73</v>
      </c>
      <c r="C1434" t="s">
        <v>835</v>
      </c>
      <c r="D1434" t="s">
        <v>1091</v>
      </c>
      <c r="E1434" t="s">
        <v>1244</v>
      </c>
      <c r="F1434" t="s">
        <v>1314</v>
      </c>
    </row>
    <row r="1435" spans="1:6">
      <c r="A1435" t="s">
        <v>13</v>
      </c>
      <c r="B1435" t="s">
        <v>73</v>
      </c>
      <c r="C1435" t="s">
        <v>835</v>
      </c>
      <c r="D1435" t="s">
        <v>1091</v>
      </c>
      <c r="E1435" t="s">
        <v>1245</v>
      </c>
      <c r="F1435" t="s">
        <v>1246</v>
      </c>
    </row>
    <row r="1436" spans="1:6">
      <c r="A1436" t="s">
        <v>13</v>
      </c>
      <c r="B1436" t="s">
        <v>73</v>
      </c>
      <c r="C1436" t="s">
        <v>835</v>
      </c>
      <c r="D1436" t="s">
        <v>1091</v>
      </c>
      <c r="E1436" t="s">
        <v>1247</v>
      </c>
      <c r="F1436">
        <v>650259</v>
      </c>
    </row>
    <row r="1437" spans="1:6">
      <c r="A1437" t="s">
        <v>13</v>
      </c>
      <c r="B1437" t="s">
        <v>73</v>
      </c>
      <c r="C1437" t="s">
        <v>835</v>
      </c>
      <c r="D1437" t="s">
        <v>1091</v>
      </c>
      <c r="E1437" t="s">
        <v>1248</v>
      </c>
      <c r="F1437">
        <v>460717</v>
      </c>
    </row>
    <row r="1438" spans="1:6">
      <c r="A1438" t="s">
        <v>13</v>
      </c>
      <c r="B1438" t="s">
        <v>73</v>
      </c>
      <c r="C1438" t="s">
        <v>835</v>
      </c>
      <c r="D1438" t="s">
        <v>1091</v>
      </c>
      <c r="E1438" t="s">
        <v>1249</v>
      </c>
      <c r="F1438">
        <v>98263</v>
      </c>
    </row>
    <row r="1439" spans="1:6">
      <c r="A1439" t="s">
        <v>13</v>
      </c>
      <c r="B1439" t="s">
        <v>73</v>
      </c>
      <c r="C1439" t="s">
        <v>835</v>
      </c>
      <c r="D1439" t="s">
        <v>1091</v>
      </c>
      <c r="E1439" t="s">
        <v>1250</v>
      </c>
      <c r="F1439">
        <v>38437</v>
      </c>
    </row>
    <row r="1440" spans="1:6">
      <c r="A1440" t="s">
        <v>13</v>
      </c>
      <c r="B1440" t="s">
        <v>73</v>
      </c>
      <c r="C1440" t="s">
        <v>835</v>
      </c>
      <c r="D1440" t="s">
        <v>1091</v>
      </c>
      <c r="E1440" t="s">
        <v>1251</v>
      </c>
      <c r="F1440">
        <v>20736</v>
      </c>
    </row>
    <row r="1441" spans="1:6">
      <c r="A1441" t="s">
        <v>13</v>
      </c>
      <c r="B1441" t="s">
        <v>73</v>
      </c>
      <c r="C1441" t="s">
        <v>835</v>
      </c>
      <c r="D1441" t="s">
        <v>1091</v>
      </c>
      <c r="E1441" t="s">
        <v>1252</v>
      </c>
      <c r="F1441">
        <v>17315</v>
      </c>
    </row>
    <row r="1442" spans="1:6">
      <c r="A1442" t="s">
        <v>13</v>
      </c>
      <c r="B1442" t="s">
        <v>73</v>
      </c>
      <c r="C1442" t="s">
        <v>835</v>
      </c>
      <c r="D1442" t="s">
        <v>1091</v>
      </c>
      <c r="E1442" t="s">
        <v>1253</v>
      </c>
      <c r="F1442">
        <v>14792</v>
      </c>
    </row>
    <row r="1443" spans="1:6">
      <c r="A1443" t="s">
        <v>13</v>
      </c>
      <c r="B1443" t="s">
        <v>73</v>
      </c>
      <c r="C1443" t="s">
        <v>835</v>
      </c>
      <c r="D1443" t="s">
        <v>1091</v>
      </c>
      <c r="E1443" t="s">
        <v>1254</v>
      </c>
      <c r="F1443" t="s">
        <v>1255</v>
      </c>
    </row>
    <row r="1444" spans="1:6">
      <c r="A1444" t="s">
        <v>13</v>
      </c>
      <c r="B1444" t="s">
        <v>73</v>
      </c>
      <c r="C1444" t="s">
        <v>835</v>
      </c>
      <c r="D1444" t="s">
        <v>1091</v>
      </c>
      <c r="E1444" t="s">
        <v>1256</v>
      </c>
      <c r="F1444">
        <v>4034</v>
      </c>
    </row>
    <row r="1445" spans="1:6">
      <c r="A1445" t="s">
        <v>13</v>
      </c>
      <c r="B1445" t="s">
        <v>73</v>
      </c>
      <c r="C1445" t="s">
        <v>835</v>
      </c>
      <c r="D1445" t="s">
        <v>1091</v>
      </c>
      <c r="E1445" t="s">
        <v>1257</v>
      </c>
      <c r="F1445">
        <v>2152</v>
      </c>
    </row>
    <row r="1446" spans="1:6">
      <c r="A1446" t="s">
        <v>13</v>
      </c>
      <c r="B1446" t="s">
        <v>73</v>
      </c>
      <c r="C1446" t="s">
        <v>835</v>
      </c>
      <c r="D1446" t="s">
        <v>1091</v>
      </c>
      <c r="E1446" t="s">
        <v>1258</v>
      </c>
      <c r="F1446">
        <v>613</v>
      </c>
    </row>
    <row r="1447" spans="1:6">
      <c r="A1447" t="s">
        <v>13</v>
      </c>
      <c r="B1447" t="s">
        <v>73</v>
      </c>
      <c r="C1447" t="s">
        <v>835</v>
      </c>
      <c r="D1447" t="s">
        <v>1091</v>
      </c>
      <c r="E1447" t="s">
        <v>1259</v>
      </c>
      <c r="F1447">
        <v>325</v>
      </c>
    </row>
    <row r="1448" spans="1:6">
      <c r="A1448" t="s">
        <v>13</v>
      </c>
      <c r="B1448" t="s">
        <v>73</v>
      </c>
      <c r="C1448" t="s">
        <v>835</v>
      </c>
      <c r="D1448" t="s">
        <v>1091</v>
      </c>
      <c r="E1448" t="s">
        <v>1260</v>
      </c>
      <c r="F1448">
        <v>303</v>
      </c>
    </row>
    <row r="1449" spans="1:6">
      <c r="A1449" t="s">
        <v>13</v>
      </c>
      <c r="B1449" t="s">
        <v>73</v>
      </c>
      <c r="C1449" t="s">
        <v>835</v>
      </c>
      <c r="D1449" t="s">
        <v>1091</v>
      </c>
      <c r="E1449" t="s">
        <v>1261</v>
      </c>
      <c r="F1449">
        <v>415</v>
      </c>
    </row>
    <row r="1450" spans="1:6">
      <c r="A1450" t="s">
        <v>13</v>
      </c>
      <c r="B1450" t="s">
        <v>73</v>
      </c>
      <c r="C1450" t="s">
        <v>835</v>
      </c>
      <c r="D1450" t="s">
        <v>1091</v>
      </c>
      <c r="E1450" t="s">
        <v>1262</v>
      </c>
      <c r="F1450">
        <v>226</v>
      </c>
    </row>
    <row r="1451" spans="1:6">
      <c r="A1451" t="s">
        <v>13</v>
      </c>
      <c r="B1451" t="s">
        <v>73</v>
      </c>
      <c r="C1451" t="s">
        <v>835</v>
      </c>
      <c r="D1451" t="s">
        <v>1091</v>
      </c>
      <c r="E1451" t="s">
        <v>1263</v>
      </c>
      <c r="F1451" t="s">
        <v>1131</v>
      </c>
    </row>
    <row r="1452" spans="1:6">
      <c r="A1452" t="s">
        <v>13</v>
      </c>
      <c r="B1452" t="s">
        <v>73</v>
      </c>
      <c r="C1452" t="s">
        <v>835</v>
      </c>
      <c r="D1452" t="s">
        <v>1091</v>
      </c>
      <c r="E1452" t="s">
        <v>1264</v>
      </c>
      <c r="F1452" t="s">
        <v>1331</v>
      </c>
    </row>
    <row r="1453" spans="1:6">
      <c r="A1453" t="s">
        <v>13</v>
      </c>
      <c r="B1453" t="s">
        <v>73</v>
      </c>
      <c r="C1453" t="s">
        <v>835</v>
      </c>
      <c r="D1453" t="s">
        <v>1091</v>
      </c>
      <c r="E1453" t="s">
        <v>1265</v>
      </c>
      <c r="F1453" t="s">
        <v>1404</v>
      </c>
    </row>
    <row r="1454" spans="1:6">
      <c r="A1454" t="s">
        <v>13</v>
      </c>
      <c r="B1454" t="s">
        <v>73</v>
      </c>
      <c r="C1454" t="s">
        <v>835</v>
      </c>
      <c r="D1454" t="s">
        <v>1091</v>
      </c>
      <c r="E1454" t="s">
        <v>1266</v>
      </c>
      <c r="F1454" t="s">
        <v>1311</v>
      </c>
    </row>
    <row r="1455" spans="1:6">
      <c r="A1455" t="s">
        <v>13</v>
      </c>
      <c r="B1455" t="s">
        <v>73</v>
      </c>
      <c r="C1455" t="s">
        <v>835</v>
      </c>
      <c r="D1455" t="s">
        <v>1091</v>
      </c>
      <c r="E1455" t="s">
        <v>1268</v>
      </c>
      <c r="F1455" t="s">
        <v>1270</v>
      </c>
    </row>
    <row r="1456" spans="1:6">
      <c r="A1456" t="s">
        <v>13</v>
      </c>
      <c r="B1456" t="s">
        <v>73</v>
      </c>
      <c r="C1456" t="s">
        <v>835</v>
      </c>
      <c r="D1456" t="s">
        <v>1091</v>
      </c>
      <c r="E1456" t="s">
        <v>1269</v>
      </c>
      <c r="F1456" t="s">
        <v>1321</v>
      </c>
    </row>
    <row r="1457" spans="1:6">
      <c r="A1457" t="s">
        <v>13</v>
      </c>
      <c r="B1457" t="s">
        <v>73</v>
      </c>
      <c r="C1457" t="s">
        <v>835</v>
      </c>
      <c r="D1457" t="s">
        <v>1091</v>
      </c>
      <c r="E1457" t="s">
        <v>1271</v>
      </c>
      <c r="F1457" t="s">
        <v>1321</v>
      </c>
    </row>
    <row r="1458" spans="1:6">
      <c r="A1458" t="s">
        <v>13</v>
      </c>
      <c r="B1458" t="s">
        <v>73</v>
      </c>
      <c r="C1458" t="s">
        <v>835</v>
      </c>
      <c r="D1458" t="s">
        <v>1091</v>
      </c>
      <c r="E1458" t="s">
        <v>1272</v>
      </c>
      <c r="F1458" t="s">
        <v>1321</v>
      </c>
    </row>
    <row r="1459" spans="1:6">
      <c r="A1459" t="s">
        <v>13</v>
      </c>
      <c r="B1459" t="s">
        <v>73</v>
      </c>
      <c r="C1459" t="s">
        <v>835</v>
      </c>
      <c r="D1459" t="s">
        <v>1273</v>
      </c>
      <c r="E1459" t="s">
        <v>1274</v>
      </c>
      <c r="F1459" t="s">
        <v>1395</v>
      </c>
    </row>
    <row r="1460" spans="1:6">
      <c r="A1460" t="s">
        <v>13</v>
      </c>
      <c r="B1460" t="s">
        <v>73</v>
      </c>
      <c r="C1460" t="s">
        <v>835</v>
      </c>
      <c r="D1460" t="s">
        <v>1273</v>
      </c>
      <c r="E1460" t="s">
        <v>1275</v>
      </c>
      <c r="F1460" t="s">
        <v>998</v>
      </c>
    </row>
    <row r="1461" spans="1:6">
      <c r="A1461" t="s">
        <v>13</v>
      </c>
      <c r="B1461" t="s">
        <v>73</v>
      </c>
      <c r="C1461" t="s">
        <v>835</v>
      </c>
      <c r="D1461" t="s">
        <v>1273</v>
      </c>
      <c r="E1461" t="s">
        <v>1276</v>
      </c>
      <c r="F1461" t="s">
        <v>1405</v>
      </c>
    </row>
    <row r="1462" spans="1:6">
      <c r="A1462" t="s">
        <v>13</v>
      </c>
      <c r="B1462" t="s">
        <v>73</v>
      </c>
      <c r="C1462" t="s">
        <v>835</v>
      </c>
      <c r="D1462" t="s">
        <v>1273</v>
      </c>
      <c r="E1462" t="s">
        <v>1278</v>
      </c>
      <c r="F1462" t="s">
        <v>998</v>
      </c>
    </row>
    <row r="1463" spans="1:6">
      <c r="A1463" t="s">
        <v>13</v>
      </c>
      <c r="B1463" t="s">
        <v>73</v>
      </c>
      <c r="C1463" t="s">
        <v>835</v>
      </c>
      <c r="D1463" t="s">
        <v>1273</v>
      </c>
      <c r="E1463" t="s">
        <v>1279</v>
      </c>
      <c r="F1463" t="s">
        <v>1280</v>
      </c>
    </row>
    <row r="1464" spans="1:6">
      <c r="A1464" t="s">
        <v>13</v>
      </c>
      <c r="B1464" t="s">
        <v>73</v>
      </c>
      <c r="C1464" t="s">
        <v>835</v>
      </c>
      <c r="D1464" t="s">
        <v>1273</v>
      </c>
      <c r="E1464" t="s">
        <v>1281</v>
      </c>
      <c r="F1464" t="s">
        <v>1282</v>
      </c>
    </row>
    <row r="1465" spans="1:6">
      <c r="A1465" t="s">
        <v>13</v>
      </c>
      <c r="B1465" t="s">
        <v>73</v>
      </c>
      <c r="C1465" t="s">
        <v>835</v>
      </c>
      <c r="D1465" t="s">
        <v>1273</v>
      </c>
      <c r="E1465" t="s">
        <v>1283</v>
      </c>
      <c r="F1465" t="s">
        <v>1284</v>
      </c>
    </row>
    <row r="1466" spans="1:6">
      <c r="A1466" t="s">
        <v>13</v>
      </c>
      <c r="B1466" t="s">
        <v>73</v>
      </c>
      <c r="C1466" t="s">
        <v>835</v>
      </c>
      <c r="D1466" t="s">
        <v>1273</v>
      </c>
      <c r="E1466" t="s">
        <v>1285</v>
      </c>
      <c r="F1466" t="s">
        <v>377</v>
      </c>
    </row>
    <row r="1467" spans="1:6">
      <c r="A1467" t="s">
        <v>13</v>
      </c>
      <c r="B1467" t="s">
        <v>73</v>
      </c>
      <c r="C1467" t="s">
        <v>835</v>
      </c>
      <c r="D1467" t="s">
        <v>1273</v>
      </c>
      <c r="E1467" t="s">
        <v>1286</v>
      </c>
      <c r="F1467">
        <v>18778</v>
      </c>
    </row>
    <row r="1468" spans="1:6">
      <c r="A1468" t="s">
        <v>13</v>
      </c>
      <c r="B1468" t="s">
        <v>73</v>
      </c>
      <c r="C1468" t="s">
        <v>835</v>
      </c>
      <c r="D1468" t="s">
        <v>1273</v>
      </c>
      <c r="E1468" t="s">
        <v>1287</v>
      </c>
      <c r="F1468">
        <v>8558</v>
      </c>
    </row>
    <row r="1469" spans="1:6">
      <c r="A1469" t="s">
        <v>13</v>
      </c>
      <c r="B1469" t="s">
        <v>73</v>
      </c>
      <c r="C1469" t="s">
        <v>835</v>
      </c>
      <c r="D1469" t="s">
        <v>1273</v>
      </c>
      <c r="E1469" t="s">
        <v>1288</v>
      </c>
      <c r="F1469" t="s">
        <v>379</v>
      </c>
    </row>
    <row r="1470" spans="1:6">
      <c r="A1470" t="s">
        <v>13</v>
      </c>
      <c r="B1470" t="s">
        <v>73</v>
      </c>
      <c r="C1470" t="s">
        <v>835</v>
      </c>
      <c r="D1470" t="s">
        <v>1273</v>
      </c>
      <c r="E1470" t="s">
        <v>1096</v>
      </c>
      <c r="F1470">
        <v>75068</v>
      </c>
    </row>
    <row r="1471" spans="1:6">
      <c r="A1471" t="s">
        <v>13</v>
      </c>
      <c r="B1471" t="s">
        <v>73</v>
      </c>
      <c r="C1471" t="s">
        <v>835</v>
      </c>
      <c r="D1471" t="s">
        <v>1273</v>
      </c>
      <c r="E1471" t="s">
        <v>1004</v>
      </c>
      <c r="F1471">
        <v>205306</v>
      </c>
    </row>
    <row r="1472" spans="1:6">
      <c r="A1472" t="s">
        <v>13</v>
      </c>
      <c r="B1472" t="s">
        <v>73</v>
      </c>
      <c r="C1472" t="s">
        <v>835</v>
      </c>
      <c r="D1472" t="s">
        <v>1273</v>
      </c>
      <c r="E1472" t="s">
        <v>1289</v>
      </c>
      <c r="F1472" t="s">
        <v>381</v>
      </c>
    </row>
    <row r="1473" spans="1:6">
      <c r="A1473" t="s">
        <v>13</v>
      </c>
      <c r="B1473" t="s">
        <v>73</v>
      </c>
      <c r="C1473" t="s">
        <v>835</v>
      </c>
      <c r="D1473" t="s">
        <v>1273</v>
      </c>
      <c r="E1473" t="s">
        <v>1290</v>
      </c>
      <c r="F1473">
        <v>8379</v>
      </c>
    </row>
    <row r="1474" spans="1:6">
      <c r="A1474" t="s">
        <v>13</v>
      </c>
      <c r="B1474" t="s">
        <v>73</v>
      </c>
      <c r="C1474" t="s">
        <v>835</v>
      </c>
      <c r="D1474" t="s">
        <v>1273</v>
      </c>
      <c r="E1474" t="s">
        <v>1291</v>
      </c>
      <c r="F1474">
        <v>310582</v>
      </c>
    </row>
    <row r="1475" spans="1:6">
      <c r="A1475" t="s">
        <v>13</v>
      </c>
      <c r="B1475" t="s">
        <v>73</v>
      </c>
      <c r="C1475" t="s">
        <v>835</v>
      </c>
      <c r="D1475" t="s">
        <v>1273</v>
      </c>
      <c r="E1475" t="s">
        <v>1008</v>
      </c>
      <c r="F1475" t="s">
        <v>383</v>
      </c>
    </row>
    <row r="1476" spans="1:6">
      <c r="A1476" t="s">
        <v>13</v>
      </c>
      <c r="B1476" t="s">
        <v>73</v>
      </c>
      <c r="C1476" t="s">
        <v>835</v>
      </c>
      <c r="D1476" t="s">
        <v>1273</v>
      </c>
      <c r="E1476" t="s">
        <v>1010</v>
      </c>
      <c r="F1476">
        <v>5882</v>
      </c>
    </row>
    <row r="1477" spans="1:6">
      <c r="A1477" t="s">
        <v>13</v>
      </c>
      <c r="B1477" t="s">
        <v>73</v>
      </c>
      <c r="C1477" t="s">
        <v>835</v>
      </c>
      <c r="D1477" t="s">
        <v>1273</v>
      </c>
      <c r="E1477" t="s">
        <v>1012</v>
      </c>
      <c r="F1477">
        <v>1654928</v>
      </c>
    </row>
    <row r="1478" spans="1:6">
      <c r="A1478" t="s">
        <v>13</v>
      </c>
      <c r="B1478" t="s">
        <v>73</v>
      </c>
      <c r="C1478" t="s">
        <v>835</v>
      </c>
      <c r="D1478" t="s">
        <v>1273</v>
      </c>
      <c r="E1478" t="s">
        <v>1035</v>
      </c>
      <c r="F1478" t="s">
        <v>385</v>
      </c>
    </row>
    <row r="1479" spans="1:6">
      <c r="A1479" t="s">
        <v>13</v>
      </c>
      <c r="B1479" t="s">
        <v>73</v>
      </c>
      <c r="C1479" t="s">
        <v>835</v>
      </c>
      <c r="D1479" t="s">
        <v>1273</v>
      </c>
      <c r="E1479" t="s">
        <v>1099</v>
      </c>
      <c r="F1479">
        <v>366</v>
      </c>
    </row>
    <row r="1480" spans="1:6">
      <c r="A1480" t="s">
        <v>13</v>
      </c>
      <c r="B1480" t="s">
        <v>73</v>
      </c>
      <c r="C1480" t="s">
        <v>835</v>
      </c>
      <c r="D1480" t="s">
        <v>1273</v>
      </c>
      <c r="E1480" t="s">
        <v>1100</v>
      </c>
      <c r="F1480">
        <v>843871</v>
      </c>
    </row>
    <row r="1481" spans="1:6">
      <c r="A1481" t="s">
        <v>13</v>
      </c>
      <c r="B1481" t="s">
        <v>73</v>
      </c>
      <c r="C1481" t="s">
        <v>835</v>
      </c>
      <c r="D1481" t="s">
        <v>1273</v>
      </c>
      <c r="E1481" t="s">
        <v>1037</v>
      </c>
      <c r="F1481" t="s">
        <v>1292</v>
      </c>
    </row>
    <row r="1482" spans="1:6">
      <c r="A1482" t="s">
        <v>13</v>
      </c>
      <c r="B1482" t="s">
        <v>73</v>
      </c>
      <c r="C1482" t="s">
        <v>835</v>
      </c>
      <c r="D1482" t="s">
        <v>1273</v>
      </c>
      <c r="E1482" t="s">
        <v>1103</v>
      </c>
      <c r="F1482">
        <v>108473</v>
      </c>
    </row>
    <row r="1483" spans="1:6">
      <c r="A1483" t="s">
        <v>13</v>
      </c>
      <c r="B1483" t="s">
        <v>73</v>
      </c>
      <c r="C1483" t="s">
        <v>835</v>
      </c>
      <c r="D1483" t="s">
        <v>1273</v>
      </c>
      <c r="E1483" t="s">
        <v>1104</v>
      </c>
      <c r="F1483">
        <v>3023245</v>
      </c>
    </row>
    <row r="1484" spans="1:6">
      <c r="A1484" t="s">
        <v>13</v>
      </c>
      <c r="B1484" t="s">
        <v>73</v>
      </c>
      <c r="C1484" t="s">
        <v>835</v>
      </c>
      <c r="D1484" t="s">
        <v>1273</v>
      </c>
      <c r="E1484" t="s">
        <v>1052</v>
      </c>
      <c r="F1484" t="s">
        <v>1293</v>
      </c>
    </row>
    <row r="1485" spans="1:6">
      <c r="A1485" t="s">
        <v>13</v>
      </c>
      <c r="B1485" t="s">
        <v>73</v>
      </c>
      <c r="C1485" t="s">
        <v>835</v>
      </c>
      <c r="D1485" t="s">
        <v>1273</v>
      </c>
      <c r="E1485" t="s">
        <v>1053</v>
      </c>
      <c r="F1485" t="s">
        <v>1294</v>
      </c>
    </row>
    <row r="1486" spans="1:6">
      <c r="A1486" t="s">
        <v>13</v>
      </c>
      <c r="B1486" t="s">
        <v>73</v>
      </c>
      <c r="C1486" t="s">
        <v>835</v>
      </c>
      <c r="D1486" t="s">
        <v>1273</v>
      </c>
      <c r="E1486" t="s">
        <v>1108</v>
      </c>
      <c r="F1486">
        <v>8231</v>
      </c>
    </row>
    <row r="1487" spans="1:6">
      <c r="A1487" t="s">
        <v>13</v>
      </c>
      <c r="B1487" t="s">
        <v>73</v>
      </c>
      <c r="C1487" t="s">
        <v>835</v>
      </c>
      <c r="D1487" t="s">
        <v>1273</v>
      </c>
      <c r="E1487" t="s">
        <v>1109</v>
      </c>
      <c r="F1487">
        <v>527268</v>
      </c>
    </row>
    <row r="1488" spans="1:6">
      <c r="A1488" t="s">
        <v>13</v>
      </c>
      <c r="B1488" t="s">
        <v>73</v>
      </c>
      <c r="C1488" t="s">
        <v>835</v>
      </c>
      <c r="D1488" t="s">
        <v>1273</v>
      </c>
      <c r="E1488" t="s">
        <v>1113</v>
      </c>
      <c r="F1488">
        <v>2018</v>
      </c>
    </row>
    <row r="1489" spans="1:6">
      <c r="A1489" t="s">
        <v>13</v>
      </c>
      <c r="B1489" t="s">
        <v>73</v>
      </c>
      <c r="C1489" t="s">
        <v>835</v>
      </c>
      <c r="D1489" t="s">
        <v>1273</v>
      </c>
      <c r="E1489" t="s">
        <v>1114</v>
      </c>
      <c r="F1489">
        <v>6209</v>
      </c>
    </row>
    <row r="1490" spans="1:6">
      <c r="A1490" t="s">
        <v>13</v>
      </c>
      <c r="B1490" t="s">
        <v>73</v>
      </c>
      <c r="C1490" t="s">
        <v>835</v>
      </c>
      <c r="D1490" t="s">
        <v>1273</v>
      </c>
      <c r="E1490" t="s">
        <v>1115</v>
      </c>
      <c r="F1490">
        <v>112892</v>
      </c>
    </row>
    <row r="1491" spans="1:6">
      <c r="A1491" t="s">
        <v>13</v>
      </c>
      <c r="B1491" t="s">
        <v>73</v>
      </c>
      <c r="C1491" t="s">
        <v>835</v>
      </c>
      <c r="D1491" t="s">
        <v>1273</v>
      </c>
      <c r="E1491" t="s">
        <v>1118</v>
      </c>
      <c r="F1491">
        <v>2019</v>
      </c>
    </row>
    <row r="1492" spans="1:6">
      <c r="A1492" t="s">
        <v>13</v>
      </c>
      <c r="B1492" t="s">
        <v>73</v>
      </c>
      <c r="C1492" t="s">
        <v>835</v>
      </c>
      <c r="D1492" t="s">
        <v>1273</v>
      </c>
      <c r="E1492" t="s">
        <v>1119</v>
      </c>
      <c r="F1492">
        <v>15777</v>
      </c>
    </row>
    <row r="1493" spans="1:6">
      <c r="A1493" t="s">
        <v>13</v>
      </c>
      <c r="B1493" t="s">
        <v>73</v>
      </c>
      <c r="C1493" t="s">
        <v>835</v>
      </c>
      <c r="D1493" t="s">
        <v>1273</v>
      </c>
      <c r="E1493" t="s">
        <v>1120</v>
      </c>
      <c r="F1493">
        <v>170983</v>
      </c>
    </row>
    <row r="1494" spans="1:6">
      <c r="A1494" t="s">
        <v>13</v>
      </c>
      <c r="B1494" t="s">
        <v>73</v>
      </c>
      <c r="C1494" t="s">
        <v>835</v>
      </c>
      <c r="D1494" t="s">
        <v>1273</v>
      </c>
      <c r="E1494" t="s">
        <v>1124</v>
      </c>
      <c r="F1494">
        <v>2020</v>
      </c>
    </row>
    <row r="1495" spans="1:6">
      <c r="A1495" t="s">
        <v>13</v>
      </c>
      <c r="B1495" t="s">
        <v>73</v>
      </c>
      <c r="C1495" t="s">
        <v>835</v>
      </c>
      <c r="D1495" t="s">
        <v>1273</v>
      </c>
      <c r="E1495" t="s">
        <v>1126</v>
      </c>
      <c r="F1495">
        <v>15829</v>
      </c>
    </row>
    <row r="1496" spans="1:6">
      <c r="A1496" t="s">
        <v>13</v>
      </c>
      <c r="B1496" t="s">
        <v>73</v>
      </c>
      <c r="C1496" t="s">
        <v>835</v>
      </c>
      <c r="D1496" t="s">
        <v>1273</v>
      </c>
      <c r="E1496" t="s">
        <v>1127</v>
      </c>
      <c r="F1496">
        <v>199362</v>
      </c>
    </row>
    <row r="1497" spans="1:6">
      <c r="A1497" t="s">
        <v>13</v>
      </c>
      <c r="B1497" t="s">
        <v>73</v>
      </c>
      <c r="C1497" t="s">
        <v>835</v>
      </c>
      <c r="D1497" t="s">
        <v>1273</v>
      </c>
      <c r="E1497" t="s">
        <v>1057</v>
      </c>
      <c r="F1497">
        <v>2021</v>
      </c>
    </row>
    <row r="1498" spans="1:6">
      <c r="A1498" t="s">
        <v>13</v>
      </c>
      <c r="B1498" t="s">
        <v>73</v>
      </c>
      <c r="C1498" t="s">
        <v>835</v>
      </c>
      <c r="D1498" t="s">
        <v>1273</v>
      </c>
      <c r="E1498" t="s">
        <v>1058</v>
      </c>
      <c r="F1498">
        <v>12963</v>
      </c>
    </row>
    <row r="1499" spans="1:6">
      <c r="A1499" t="s">
        <v>13</v>
      </c>
      <c r="B1499" t="s">
        <v>73</v>
      </c>
      <c r="C1499" t="s">
        <v>835</v>
      </c>
      <c r="D1499" t="s">
        <v>1273</v>
      </c>
      <c r="E1499" t="s">
        <v>1059</v>
      </c>
      <c r="F1499">
        <v>147913</v>
      </c>
    </row>
    <row r="1500" spans="1:6">
      <c r="A1500" t="s">
        <v>13</v>
      </c>
      <c r="B1500" t="s">
        <v>73</v>
      </c>
      <c r="C1500" t="s">
        <v>835</v>
      </c>
      <c r="D1500" t="s">
        <v>1273</v>
      </c>
      <c r="E1500" t="s">
        <v>1072</v>
      </c>
      <c r="F1500">
        <v>2022</v>
      </c>
    </row>
    <row r="1501" spans="1:6">
      <c r="A1501" t="s">
        <v>13</v>
      </c>
      <c r="B1501" t="s">
        <v>73</v>
      </c>
      <c r="C1501" t="s">
        <v>835</v>
      </c>
      <c r="D1501" t="s">
        <v>1273</v>
      </c>
      <c r="E1501" t="s">
        <v>1133</v>
      </c>
      <c r="F1501">
        <v>10844</v>
      </c>
    </row>
    <row r="1502" spans="1:6">
      <c r="A1502" t="s">
        <v>13</v>
      </c>
      <c r="B1502" t="s">
        <v>73</v>
      </c>
      <c r="C1502" t="s">
        <v>835</v>
      </c>
      <c r="D1502" t="s">
        <v>1273</v>
      </c>
      <c r="E1502" t="s">
        <v>1134</v>
      </c>
      <c r="F1502">
        <v>135893</v>
      </c>
    </row>
    <row r="1503" spans="1:6">
      <c r="A1503" t="s">
        <v>13</v>
      </c>
      <c r="B1503" t="s">
        <v>73</v>
      </c>
      <c r="C1503" t="s">
        <v>835</v>
      </c>
      <c r="D1503" t="s">
        <v>1273</v>
      </c>
      <c r="E1503" t="s">
        <v>1074</v>
      </c>
      <c r="F1503">
        <v>2023</v>
      </c>
    </row>
    <row r="1504" spans="1:6">
      <c r="A1504" t="s">
        <v>13</v>
      </c>
      <c r="B1504" t="s">
        <v>73</v>
      </c>
      <c r="C1504" t="s">
        <v>835</v>
      </c>
      <c r="D1504" t="s">
        <v>1273</v>
      </c>
      <c r="E1504" t="s">
        <v>1296</v>
      </c>
      <c r="F1504">
        <v>11955</v>
      </c>
    </row>
    <row r="1505" spans="1:6">
      <c r="A1505" t="s">
        <v>13</v>
      </c>
      <c r="B1505" t="s">
        <v>73</v>
      </c>
      <c r="C1505" t="s">
        <v>835</v>
      </c>
      <c r="D1505" t="s">
        <v>1273</v>
      </c>
      <c r="E1505" t="s">
        <v>1297</v>
      </c>
      <c r="F1505">
        <v>163480</v>
      </c>
    </row>
    <row r="1506" spans="1:6">
      <c r="A1506" t="s">
        <v>13</v>
      </c>
      <c r="B1506" t="s">
        <v>73</v>
      </c>
      <c r="C1506" t="s">
        <v>835</v>
      </c>
      <c r="D1506" t="s">
        <v>1273</v>
      </c>
      <c r="E1506" t="s">
        <v>1076</v>
      </c>
      <c r="F1506">
        <v>2024</v>
      </c>
    </row>
    <row r="1507" spans="1:6">
      <c r="A1507" t="s">
        <v>13</v>
      </c>
      <c r="B1507" t="s">
        <v>73</v>
      </c>
      <c r="C1507" t="s">
        <v>835</v>
      </c>
      <c r="D1507" t="s">
        <v>1273</v>
      </c>
      <c r="E1507" t="s">
        <v>1077</v>
      </c>
      <c r="F1507">
        <v>12805</v>
      </c>
    </row>
    <row r="1508" spans="1:6">
      <c r="A1508" t="s">
        <v>13</v>
      </c>
      <c r="B1508" t="s">
        <v>73</v>
      </c>
      <c r="C1508" t="s">
        <v>835</v>
      </c>
      <c r="D1508" t="s">
        <v>1273</v>
      </c>
      <c r="E1508" t="s">
        <v>1078</v>
      </c>
      <c r="F1508">
        <v>290503</v>
      </c>
    </row>
    <row r="1509" spans="1:6">
      <c r="A1509" t="s">
        <v>13</v>
      </c>
      <c r="B1509" t="s">
        <v>73</v>
      </c>
      <c r="C1509" t="s">
        <v>835</v>
      </c>
      <c r="D1509" t="s">
        <v>1273</v>
      </c>
      <c r="E1509" t="s">
        <v>1090</v>
      </c>
      <c r="F1509">
        <v>2025</v>
      </c>
    </row>
    <row r="1510" spans="1:6">
      <c r="A1510" t="s">
        <v>13</v>
      </c>
      <c r="B1510" t="s">
        <v>73</v>
      </c>
      <c r="C1510" t="s">
        <v>835</v>
      </c>
      <c r="D1510" t="s">
        <v>1273</v>
      </c>
      <c r="E1510" t="s">
        <v>1139</v>
      </c>
      <c r="F1510">
        <v>8118</v>
      </c>
    </row>
    <row r="1511" spans="1:6">
      <c r="A1511" t="s">
        <v>13</v>
      </c>
      <c r="B1511" t="s">
        <v>73</v>
      </c>
      <c r="C1511" t="s">
        <v>835</v>
      </c>
      <c r="D1511" t="s">
        <v>1273</v>
      </c>
      <c r="E1511" t="s">
        <v>1140</v>
      </c>
      <c r="F1511">
        <v>360502</v>
      </c>
    </row>
    <row r="1512" spans="1:6">
      <c r="A1512" t="s">
        <v>13</v>
      </c>
      <c r="B1512" t="s">
        <v>73</v>
      </c>
      <c r="C1512" t="s">
        <v>835</v>
      </c>
      <c r="D1512" t="s">
        <v>1273</v>
      </c>
      <c r="E1512" t="s">
        <v>1298</v>
      </c>
      <c r="F1512">
        <v>2026</v>
      </c>
    </row>
    <row r="1513" spans="1:6">
      <c r="A1513" t="s">
        <v>13</v>
      </c>
      <c r="B1513" t="s">
        <v>73</v>
      </c>
      <c r="C1513" t="s">
        <v>835</v>
      </c>
      <c r="D1513" t="s">
        <v>1273</v>
      </c>
      <c r="E1513" t="s">
        <v>1299</v>
      </c>
      <c r="F1513">
        <v>5742</v>
      </c>
    </row>
    <row r="1514" spans="1:6">
      <c r="A1514" t="s">
        <v>13</v>
      </c>
      <c r="B1514" t="s">
        <v>73</v>
      </c>
      <c r="C1514" t="s">
        <v>835</v>
      </c>
      <c r="D1514" t="s">
        <v>1273</v>
      </c>
      <c r="E1514" t="s">
        <v>1300</v>
      </c>
      <c r="F1514">
        <v>914449</v>
      </c>
    </row>
    <row r="1515" spans="1:6">
      <c r="A1515" t="s">
        <v>13</v>
      </c>
      <c r="B1515" t="s">
        <v>73</v>
      </c>
      <c r="C1515" t="s">
        <v>835</v>
      </c>
      <c r="D1515" t="s">
        <v>1273</v>
      </c>
      <c r="E1515" t="s">
        <v>1301</v>
      </c>
      <c r="F1515" t="s">
        <v>1292</v>
      </c>
    </row>
    <row r="1516" spans="1:6">
      <c r="A1516" t="s">
        <v>13</v>
      </c>
      <c r="B1516" t="s">
        <v>73</v>
      </c>
      <c r="C1516" t="s">
        <v>835</v>
      </c>
      <c r="D1516" t="s">
        <v>1273</v>
      </c>
      <c r="E1516" t="s">
        <v>1302</v>
      </c>
      <c r="F1516">
        <v>108473</v>
      </c>
    </row>
    <row r="1517" spans="1:6">
      <c r="A1517" t="s">
        <v>13</v>
      </c>
      <c r="B1517" t="s">
        <v>73</v>
      </c>
      <c r="C1517" t="s">
        <v>835</v>
      </c>
      <c r="D1517" t="s">
        <v>1273</v>
      </c>
      <c r="E1517" t="s">
        <v>1303</v>
      </c>
      <c r="F1517">
        <v>3023245</v>
      </c>
    </row>
    <row r="1518" spans="1:6">
      <c r="A1518" t="s">
        <v>13</v>
      </c>
      <c r="B1518" t="s">
        <v>78</v>
      </c>
      <c r="C1518" t="s">
        <v>835</v>
      </c>
      <c r="D1518" t="s">
        <v>991</v>
      </c>
      <c r="E1518" t="s">
        <v>992</v>
      </c>
      <c r="F1518" t="s">
        <v>993</v>
      </c>
    </row>
    <row r="1519" spans="1:6">
      <c r="A1519" t="s">
        <v>13</v>
      </c>
      <c r="B1519" t="s">
        <v>78</v>
      </c>
      <c r="C1519" t="s">
        <v>835</v>
      </c>
      <c r="D1519" t="s">
        <v>991</v>
      </c>
      <c r="E1519" t="s">
        <v>1093</v>
      </c>
      <c r="F1519" t="s">
        <v>1094</v>
      </c>
    </row>
    <row r="1520" spans="1:6">
      <c r="A1520" t="s">
        <v>13</v>
      </c>
      <c r="B1520" t="s">
        <v>78</v>
      </c>
      <c r="C1520" t="s">
        <v>835</v>
      </c>
      <c r="D1520" t="s">
        <v>991</v>
      </c>
      <c r="E1520" t="s">
        <v>994</v>
      </c>
      <c r="F1520" t="s">
        <v>1406</v>
      </c>
    </row>
    <row r="1521" spans="1:6">
      <c r="A1521" t="s">
        <v>13</v>
      </c>
      <c r="B1521" t="s">
        <v>78</v>
      </c>
      <c r="C1521" t="s">
        <v>835</v>
      </c>
      <c r="D1521" t="s">
        <v>991</v>
      </c>
      <c r="E1521" t="s">
        <v>995</v>
      </c>
      <c r="F1521" t="s">
        <v>996</v>
      </c>
    </row>
    <row r="1522" spans="1:6">
      <c r="A1522" t="s">
        <v>13</v>
      </c>
      <c r="B1522" t="s">
        <v>78</v>
      </c>
      <c r="C1522" t="s">
        <v>835</v>
      </c>
      <c r="D1522" t="s">
        <v>991</v>
      </c>
      <c r="E1522" t="s">
        <v>997</v>
      </c>
      <c r="F1522" t="s">
        <v>998</v>
      </c>
    </row>
    <row r="1523" spans="1:6">
      <c r="A1523" t="s">
        <v>13</v>
      </c>
      <c r="B1523" t="s">
        <v>78</v>
      </c>
      <c r="C1523" t="s">
        <v>835</v>
      </c>
      <c r="D1523" t="s">
        <v>991</v>
      </c>
      <c r="E1523" t="s">
        <v>999</v>
      </c>
      <c r="F1523" t="s">
        <v>1000</v>
      </c>
    </row>
    <row r="1524" spans="1:6">
      <c r="A1524" t="s">
        <v>13</v>
      </c>
      <c r="B1524" t="s">
        <v>78</v>
      </c>
      <c r="C1524" t="s">
        <v>835</v>
      </c>
      <c r="D1524" t="s">
        <v>991</v>
      </c>
      <c r="E1524" t="s">
        <v>1001</v>
      </c>
      <c r="F1524" t="s">
        <v>10</v>
      </c>
    </row>
    <row r="1525" spans="1:6">
      <c r="A1525" t="s">
        <v>13</v>
      </c>
      <c r="B1525" t="s">
        <v>78</v>
      </c>
      <c r="C1525" t="s">
        <v>835</v>
      </c>
      <c r="D1525" t="s">
        <v>991</v>
      </c>
      <c r="E1525" t="s">
        <v>1002</v>
      </c>
      <c r="F1525" t="s">
        <v>1003</v>
      </c>
    </row>
    <row r="1526" spans="1:6">
      <c r="A1526" t="s">
        <v>13</v>
      </c>
      <c r="B1526" t="s">
        <v>78</v>
      </c>
      <c r="C1526" t="s">
        <v>835</v>
      </c>
      <c r="D1526" t="s">
        <v>991</v>
      </c>
      <c r="E1526" t="s">
        <v>1004</v>
      </c>
      <c r="F1526" t="s">
        <v>1005</v>
      </c>
    </row>
    <row r="1527" spans="1:6">
      <c r="A1527" t="s">
        <v>13</v>
      </c>
      <c r="B1527" t="s">
        <v>78</v>
      </c>
      <c r="C1527" t="s">
        <v>835</v>
      </c>
      <c r="D1527" t="s">
        <v>991</v>
      </c>
      <c r="E1527" t="s">
        <v>1006</v>
      </c>
      <c r="F1527" t="s">
        <v>1007</v>
      </c>
    </row>
    <row r="1528" spans="1:6">
      <c r="A1528" t="s">
        <v>13</v>
      </c>
      <c r="B1528" t="s">
        <v>78</v>
      </c>
      <c r="C1528" t="s">
        <v>835</v>
      </c>
      <c r="D1528" t="s">
        <v>991</v>
      </c>
      <c r="E1528" t="s">
        <v>1008</v>
      </c>
      <c r="F1528" t="s">
        <v>1009</v>
      </c>
    </row>
    <row r="1529" spans="1:6">
      <c r="A1529" t="s">
        <v>13</v>
      </c>
      <c r="B1529" t="s">
        <v>78</v>
      </c>
      <c r="C1529" t="s">
        <v>835</v>
      </c>
      <c r="D1529" t="s">
        <v>991</v>
      </c>
      <c r="E1529" t="s">
        <v>1010</v>
      </c>
      <c r="F1529" t="s">
        <v>1011</v>
      </c>
    </row>
    <row r="1530" spans="1:6">
      <c r="A1530" t="s">
        <v>13</v>
      </c>
      <c r="B1530" t="s">
        <v>78</v>
      </c>
      <c r="C1530" t="s">
        <v>835</v>
      </c>
      <c r="D1530" t="s">
        <v>991</v>
      </c>
      <c r="E1530" t="s">
        <v>1012</v>
      </c>
      <c r="F1530" t="s">
        <v>1013</v>
      </c>
    </row>
    <row r="1531" spans="1:6">
      <c r="A1531" t="s">
        <v>13</v>
      </c>
      <c r="B1531" t="s">
        <v>78</v>
      </c>
      <c r="C1531" t="s">
        <v>835</v>
      </c>
      <c r="D1531" t="s">
        <v>991</v>
      </c>
      <c r="E1531" t="s">
        <v>1014</v>
      </c>
      <c r="F1531" t="s">
        <v>1015</v>
      </c>
    </row>
    <row r="1532" spans="1:6">
      <c r="A1532" t="s">
        <v>13</v>
      </c>
      <c r="B1532" t="s">
        <v>78</v>
      </c>
      <c r="C1532" t="s">
        <v>835</v>
      </c>
      <c r="D1532" t="s">
        <v>991</v>
      </c>
      <c r="E1532" t="s">
        <v>1016</v>
      </c>
      <c r="F1532" t="s">
        <v>1017</v>
      </c>
    </row>
    <row r="1533" spans="1:6">
      <c r="A1533" t="s">
        <v>13</v>
      </c>
      <c r="B1533" t="s">
        <v>78</v>
      </c>
      <c r="C1533" t="s">
        <v>835</v>
      </c>
      <c r="D1533" t="s">
        <v>991</v>
      </c>
      <c r="E1533" t="s">
        <v>1018</v>
      </c>
      <c r="F1533" t="s">
        <v>1019</v>
      </c>
    </row>
    <row r="1534" spans="1:6">
      <c r="A1534" t="s">
        <v>13</v>
      </c>
      <c r="B1534" t="s">
        <v>78</v>
      </c>
      <c r="C1534" t="s">
        <v>835</v>
      </c>
      <c r="D1534" t="s">
        <v>991</v>
      </c>
      <c r="E1534" t="s">
        <v>1020</v>
      </c>
      <c r="F1534" t="s">
        <v>1021</v>
      </c>
    </row>
    <row r="1535" spans="1:6">
      <c r="A1535" t="s">
        <v>13</v>
      </c>
      <c r="B1535" t="s">
        <v>78</v>
      </c>
      <c r="C1535" t="s">
        <v>835</v>
      </c>
      <c r="D1535" t="s">
        <v>991</v>
      </c>
      <c r="E1535" t="s">
        <v>1022</v>
      </c>
      <c r="F1535" t="s">
        <v>1023</v>
      </c>
    </row>
    <row r="1536" spans="1:6">
      <c r="A1536" t="s">
        <v>13</v>
      </c>
      <c r="B1536" t="s">
        <v>78</v>
      </c>
      <c r="C1536" t="s">
        <v>835</v>
      </c>
      <c r="D1536" t="s">
        <v>991</v>
      </c>
      <c r="E1536" t="s">
        <v>1024</v>
      </c>
      <c r="F1536" t="s">
        <v>1025</v>
      </c>
    </row>
    <row r="1537" spans="1:6">
      <c r="A1537" t="s">
        <v>13</v>
      </c>
      <c r="B1537" t="s">
        <v>78</v>
      </c>
      <c r="C1537" t="s">
        <v>835</v>
      </c>
      <c r="D1537" t="s">
        <v>991</v>
      </c>
      <c r="E1537" t="s">
        <v>1026</v>
      </c>
      <c r="F1537" t="s">
        <v>1027</v>
      </c>
    </row>
    <row r="1538" spans="1:6">
      <c r="A1538" t="s">
        <v>13</v>
      </c>
      <c r="B1538" t="s">
        <v>78</v>
      </c>
      <c r="C1538" t="s">
        <v>835</v>
      </c>
      <c r="D1538" t="s">
        <v>991</v>
      </c>
      <c r="E1538" t="s">
        <v>1028</v>
      </c>
      <c r="F1538" t="s">
        <v>1029</v>
      </c>
    </row>
    <row r="1539" spans="1:6">
      <c r="A1539" t="s">
        <v>13</v>
      </c>
      <c r="B1539" t="s">
        <v>78</v>
      </c>
      <c r="C1539" t="s">
        <v>835</v>
      </c>
      <c r="D1539" t="s">
        <v>991</v>
      </c>
      <c r="E1539" t="s">
        <v>1030</v>
      </c>
      <c r="F1539" t="s">
        <v>1031</v>
      </c>
    </row>
    <row r="1540" spans="1:6">
      <c r="A1540" t="s">
        <v>13</v>
      </c>
      <c r="B1540" t="s">
        <v>78</v>
      </c>
      <c r="C1540" t="s">
        <v>835</v>
      </c>
      <c r="D1540" t="s">
        <v>991</v>
      </c>
      <c r="E1540" t="s">
        <v>1032</v>
      </c>
      <c r="F1540" t="s">
        <v>1033</v>
      </c>
    </row>
    <row r="1541" spans="1:6">
      <c r="A1541" t="s">
        <v>13</v>
      </c>
      <c r="B1541" t="s">
        <v>78</v>
      </c>
      <c r="C1541" t="s">
        <v>835</v>
      </c>
      <c r="D1541" t="s">
        <v>991</v>
      </c>
      <c r="E1541" t="s">
        <v>1034</v>
      </c>
      <c r="F1541" t="s">
        <v>50</v>
      </c>
    </row>
    <row r="1542" spans="1:6">
      <c r="A1542" t="s">
        <v>13</v>
      </c>
      <c r="B1542" t="s">
        <v>78</v>
      </c>
      <c r="C1542" t="s">
        <v>835</v>
      </c>
      <c r="D1542" t="s">
        <v>991</v>
      </c>
      <c r="E1542" t="s">
        <v>1035</v>
      </c>
      <c r="F1542">
        <v>1979335</v>
      </c>
    </row>
    <row r="1543" spans="1:6">
      <c r="A1543" t="s">
        <v>13</v>
      </c>
      <c r="B1543" t="s">
        <v>78</v>
      </c>
      <c r="C1543" t="s">
        <v>835</v>
      </c>
      <c r="D1543" t="s">
        <v>991</v>
      </c>
      <c r="E1543" t="s">
        <v>1036</v>
      </c>
      <c r="F1543">
        <v>2025</v>
      </c>
    </row>
    <row r="1544" spans="1:6">
      <c r="A1544" t="s">
        <v>13</v>
      </c>
      <c r="B1544" t="s">
        <v>78</v>
      </c>
      <c r="C1544" t="s">
        <v>835</v>
      </c>
      <c r="D1544" t="s">
        <v>991</v>
      </c>
      <c r="E1544" t="s">
        <v>1037</v>
      </c>
      <c r="F1544">
        <v>15886362</v>
      </c>
    </row>
    <row r="1545" spans="1:6">
      <c r="A1545" t="s">
        <v>13</v>
      </c>
      <c r="B1545" t="s">
        <v>78</v>
      </c>
      <c r="C1545" t="s">
        <v>835</v>
      </c>
      <c r="D1545" t="s">
        <v>991</v>
      </c>
      <c r="E1545" t="s">
        <v>1038</v>
      </c>
      <c r="F1545">
        <v>2026</v>
      </c>
    </row>
    <row r="1546" spans="1:6">
      <c r="A1546" t="s">
        <v>13</v>
      </c>
      <c r="B1546" t="s">
        <v>78</v>
      </c>
      <c r="C1546" t="s">
        <v>835</v>
      </c>
      <c r="D1546" t="s">
        <v>991</v>
      </c>
      <c r="E1546" t="s">
        <v>1039</v>
      </c>
      <c r="F1546">
        <v>14274561</v>
      </c>
    </row>
    <row r="1547" spans="1:6">
      <c r="A1547" t="s">
        <v>13</v>
      </c>
      <c r="B1547" t="s">
        <v>78</v>
      </c>
      <c r="C1547" t="s">
        <v>835</v>
      </c>
      <c r="D1547" t="s">
        <v>991</v>
      </c>
      <c r="E1547" t="s">
        <v>1040</v>
      </c>
      <c r="F1547">
        <v>4070538</v>
      </c>
    </row>
    <row r="1548" spans="1:6">
      <c r="A1548" t="s">
        <v>13</v>
      </c>
      <c r="B1548" t="s">
        <v>78</v>
      </c>
      <c r="C1548" t="s">
        <v>835</v>
      </c>
      <c r="D1548" t="s">
        <v>991</v>
      </c>
      <c r="E1548" t="s">
        <v>1041</v>
      </c>
      <c r="F1548">
        <v>3652685</v>
      </c>
    </row>
    <row r="1549" spans="1:6">
      <c r="A1549" t="s">
        <v>13</v>
      </c>
      <c r="B1549" t="s">
        <v>78</v>
      </c>
      <c r="C1549" t="s">
        <v>835</v>
      </c>
      <c r="D1549" t="s">
        <v>991</v>
      </c>
      <c r="E1549" t="s">
        <v>1042</v>
      </c>
      <c r="F1549">
        <v>2538191</v>
      </c>
    </row>
    <row r="1550" spans="1:6">
      <c r="A1550" t="s">
        <v>13</v>
      </c>
      <c r="B1550" t="s">
        <v>78</v>
      </c>
      <c r="C1550" t="s">
        <v>835</v>
      </c>
      <c r="D1550" t="s">
        <v>991</v>
      </c>
      <c r="E1550" t="s">
        <v>1043</v>
      </c>
      <c r="F1550">
        <v>1651174</v>
      </c>
    </row>
    <row r="1551" spans="1:6">
      <c r="A1551" t="s">
        <v>13</v>
      </c>
      <c r="B1551" t="s">
        <v>78</v>
      </c>
      <c r="C1551" t="s">
        <v>835</v>
      </c>
      <c r="D1551" t="s">
        <v>991</v>
      </c>
      <c r="E1551" t="s">
        <v>1044</v>
      </c>
      <c r="F1551">
        <v>1240718</v>
      </c>
    </row>
    <row r="1552" spans="1:6">
      <c r="A1552" t="s">
        <v>13</v>
      </c>
      <c r="B1552" t="s">
        <v>78</v>
      </c>
      <c r="C1552" t="s">
        <v>835</v>
      </c>
      <c r="D1552" t="s">
        <v>991</v>
      </c>
      <c r="E1552" t="s">
        <v>1045</v>
      </c>
      <c r="F1552">
        <v>1121255</v>
      </c>
    </row>
    <row r="1553" spans="1:6">
      <c r="A1553" t="s">
        <v>13</v>
      </c>
      <c r="B1553" t="s">
        <v>78</v>
      </c>
      <c r="C1553" t="s">
        <v>835</v>
      </c>
      <c r="D1553" t="s">
        <v>991</v>
      </c>
      <c r="E1553" t="s">
        <v>1046</v>
      </c>
      <c r="F1553">
        <v>0</v>
      </c>
    </row>
    <row r="1554" spans="1:6">
      <c r="A1554" t="s">
        <v>13</v>
      </c>
      <c r="B1554" t="s">
        <v>78</v>
      </c>
      <c r="C1554" t="s">
        <v>835</v>
      </c>
      <c r="D1554" t="s">
        <v>991</v>
      </c>
      <c r="E1554" t="s">
        <v>1047</v>
      </c>
      <c r="F1554">
        <v>0</v>
      </c>
    </row>
    <row r="1555" spans="1:6">
      <c r="A1555" t="s">
        <v>13</v>
      </c>
      <c r="B1555" t="s">
        <v>78</v>
      </c>
      <c r="C1555" t="s">
        <v>835</v>
      </c>
      <c r="D1555" t="s">
        <v>991</v>
      </c>
      <c r="E1555" t="s">
        <v>1048</v>
      </c>
      <c r="F1555">
        <v>0</v>
      </c>
    </row>
    <row r="1556" spans="1:6">
      <c r="A1556" t="s">
        <v>13</v>
      </c>
      <c r="B1556" t="s">
        <v>78</v>
      </c>
      <c r="C1556" t="s">
        <v>835</v>
      </c>
      <c r="D1556" t="s">
        <v>991</v>
      </c>
      <c r="E1556" t="s">
        <v>1049</v>
      </c>
      <c r="F1556">
        <v>0</v>
      </c>
    </row>
    <row r="1557" spans="1:6">
      <c r="A1557" t="s">
        <v>13</v>
      </c>
      <c r="B1557" t="s">
        <v>78</v>
      </c>
      <c r="C1557" t="s">
        <v>835</v>
      </c>
      <c r="D1557" t="s">
        <v>991</v>
      </c>
      <c r="E1557" t="s">
        <v>1050</v>
      </c>
      <c r="F1557">
        <v>0</v>
      </c>
    </row>
    <row r="1558" spans="1:6">
      <c r="A1558" t="s">
        <v>13</v>
      </c>
      <c r="B1558" t="s">
        <v>78</v>
      </c>
      <c r="C1558" t="s">
        <v>835</v>
      </c>
      <c r="D1558" t="s">
        <v>991</v>
      </c>
      <c r="E1558" t="s">
        <v>1051</v>
      </c>
      <c r="F1558">
        <v>0</v>
      </c>
    </row>
    <row r="1559" spans="1:6">
      <c r="A1559" t="s">
        <v>13</v>
      </c>
      <c r="B1559" t="s">
        <v>78</v>
      </c>
      <c r="C1559" t="s">
        <v>835</v>
      </c>
      <c r="D1559" t="s">
        <v>991</v>
      </c>
      <c r="E1559" t="s">
        <v>1052</v>
      </c>
      <c r="F1559" t="s">
        <v>1009</v>
      </c>
    </row>
    <row r="1560" spans="1:6">
      <c r="A1560" t="s">
        <v>13</v>
      </c>
      <c r="B1560" t="s">
        <v>78</v>
      </c>
      <c r="C1560" t="s">
        <v>835</v>
      </c>
      <c r="D1560" t="s">
        <v>991</v>
      </c>
      <c r="E1560" t="s">
        <v>1053</v>
      </c>
      <c r="F1560">
        <v>32140258</v>
      </c>
    </row>
    <row r="1561" spans="1:6">
      <c r="A1561" t="s">
        <v>13</v>
      </c>
      <c r="B1561" t="s">
        <v>78</v>
      </c>
      <c r="C1561" t="s">
        <v>835</v>
      </c>
      <c r="D1561" t="s">
        <v>991</v>
      </c>
      <c r="E1561" t="s">
        <v>1054</v>
      </c>
      <c r="F1561" t="s">
        <v>1055</v>
      </c>
    </row>
    <row r="1562" spans="1:6">
      <c r="A1562" t="s">
        <v>13</v>
      </c>
      <c r="B1562" t="s">
        <v>78</v>
      </c>
      <c r="C1562" t="s">
        <v>835</v>
      </c>
      <c r="D1562" t="s">
        <v>991</v>
      </c>
      <c r="E1562" t="s">
        <v>1056</v>
      </c>
      <c r="F1562" t="s">
        <v>1007</v>
      </c>
    </row>
    <row r="1563" spans="1:6">
      <c r="A1563" t="s">
        <v>13</v>
      </c>
      <c r="B1563" t="s">
        <v>78</v>
      </c>
      <c r="C1563" t="s">
        <v>835</v>
      </c>
      <c r="D1563" t="s">
        <v>991</v>
      </c>
      <c r="E1563" t="s">
        <v>1057</v>
      </c>
      <c r="F1563" t="s">
        <v>1009</v>
      </c>
    </row>
    <row r="1564" spans="1:6">
      <c r="A1564" t="s">
        <v>13</v>
      </c>
      <c r="B1564" t="s">
        <v>78</v>
      </c>
      <c r="C1564" t="s">
        <v>835</v>
      </c>
      <c r="D1564" t="s">
        <v>991</v>
      </c>
      <c r="E1564" t="s">
        <v>1058</v>
      </c>
      <c r="F1564" t="s">
        <v>1011</v>
      </c>
    </row>
    <row r="1565" spans="1:6">
      <c r="A1565" t="s">
        <v>13</v>
      </c>
      <c r="B1565" t="s">
        <v>78</v>
      </c>
      <c r="C1565" t="s">
        <v>835</v>
      </c>
      <c r="D1565" t="s">
        <v>991</v>
      </c>
      <c r="E1565" t="s">
        <v>1059</v>
      </c>
      <c r="F1565" t="s">
        <v>1013</v>
      </c>
    </row>
    <row r="1566" spans="1:6">
      <c r="A1566" t="s">
        <v>13</v>
      </c>
      <c r="B1566" t="s">
        <v>78</v>
      </c>
      <c r="C1566" t="s">
        <v>835</v>
      </c>
      <c r="D1566" t="s">
        <v>991</v>
      </c>
      <c r="E1566" t="s">
        <v>1060</v>
      </c>
      <c r="F1566" t="s">
        <v>1015</v>
      </c>
    </row>
    <row r="1567" spans="1:6">
      <c r="A1567" t="s">
        <v>13</v>
      </c>
      <c r="B1567" t="s">
        <v>78</v>
      </c>
      <c r="C1567" t="s">
        <v>835</v>
      </c>
      <c r="D1567" t="s">
        <v>991</v>
      </c>
      <c r="E1567" t="s">
        <v>1061</v>
      </c>
      <c r="F1567" t="s">
        <v>1017</v>
      </c>
    </row>
    <row r="1568" spans="1:6">
      <c r="A1568" t="s">
        <v>13</v>
      </c>
      <c r="B1568" t="s">
        <v>78</v>
      </c>
      <c r="C1568" t="s">
        <v>835</v>
      </c>
      <c r="D1568" t="s">
        <v>991</v>
      </c>
      <c r="E1568" t="s">
        <v>1062</v>
      </c>
      <c r="F1568" t="s">
        <v>1019</v>
      </c>
    </row>
    <row r="1569" spans="1:6">
      <c r="A1569" t="s">
        <v>13</v>
      </c>
      <c r="B1569" t="s">
        <v>78</v>
      </c>
      <c r="C1569" t="s">
        <v>835</v>
      </c>
      <c r="D1569" t="s">
        <v>991</v>
      </c>
      <c r="E1569" t="s">
        <v>1063</v>
      </c>
      <c r="F1569" t="s">
        <v>1021</v>
      </c>
    </row>
    <row r="1570" spans="1:6">
      <c r="A1570" t="s">
        <v>13</v>
      </c>
      <c r="B1570" t="s">
        <v>78</v>
      </c>
      <c r="C1570" t="s">
        <v>835</v>
      </c>
      <c r="D1570" t="s">
        <v>991</v>
      </c>
      <c r="E1570" t="s">
        <v>1064</v>
      </c>
      <c r="F1570" t="s">
        <v>1023</v>
      </c>
    </row>
    <row r="1571" spans="1:6">
      <c r="A1571" t="s">
        <v>13</v>
      </c>
      <c r="B1571" t="s">
        <v>78</v>
      </c>
      <c r="C1571" t="s">
        <v>835</v>
      </c>
      <c r="D1571" t="s">
        <v>991</v>
      </c>
      <c r="E1571" t="s">
        <v>1065</v>
      </c>
      <c r="F1571" t="s">
        <v>1066</v>
      </c>
    </row>
    <row r="1572" spans="1:6">
      <c r="A1572" t="s">
        <v>13</v>
      </c>
      <c r="B1572" t="s">
        <v>78</v>
      </c>
      <c r="C1572" t="s">
        <v>835</v>
      </c>
      <c r="D1572" t="s">
        <v>991</v>
      </c>
      <c r="E1572" t="s">
        <v>1067</v>
      </c>
      <c r="F1572" t="s">
        <v>1027</v>
      </c>
    </row>
    <row r="1573" spans="1:6">
      <c r="A1573" t="s">
        <v>13</v>
      </c>
      <c r="B1573" t="s">
        <v>78</v>
      </c>
      <c r="C1573" t="s">
        <v>835</v>
      </c>
      <c r="D1573" t="s">
        <v>991</v>
      </c>
      <c r="E1573" t="s">
        <v>1068</v>
      </c>
      <c r="F1573" t="s">
        <v>1029</v>
      </c>
    </row>
    <row r="1574" spans="1:6">
      <c r="A1574" t="s">
        <v>13</v>
      </c>
      <c r="B1574" t="s">
        <v>78</v>
      </c>
      <c r="C1574" t="s">
        <v>835</v>
      </c>
      <c r="D1574" t="s">
        <v>991</v>
      </c>
      <c r="E1574" t="s">
        <v>1069</v>
      </c>
      <c r="F1574" t="s">
        <v>1031</v>
      </c>
    </row>
    <row r="1575" spans="1:6">
      <c r="A1575" t="s">
        <v>13</v>
      </c>
      <c r="B1575" t="s">
        <v>78</v>
      </c>
      <c r="C1575" t="s">
        <v>835</v>
      </c>
      <c r="D1575" t="s">
        <v>991</v>
      </c>
      <c r="E1575" t="s">
        <v>1070</v>
      </c>
      <c r="F1575" t="s">
        <v>1033</v>
      </c>
    </row>
    <row r="1576" spans="1:6">
      <c r="A1576" t="s">
        <v>13</v>
      </c>
      <c r="B1576" t="s">
        <v>78</v>
      </c>
      <c r="C1576" t="s">
        <v>835</v>
      </c>
      <c r="D1576" t="s">
        <v>991</v>
      </c>
      <c r="E1576" t="s">
        <v>1071</v>
      </c>
      <c r="F1576" t="s">
        <v>50</v>
      </c>
    </row>
    <row r="1577" spans="1:6">
      <c r="A1577" t="s">
        <v>13</v>
      </c>
      <c r="B1577" t="s">
        <v>78</v>
      </c>
      <c r="C1577" t="s">
        <v>835</v>
      </c>
      <c r="D1577" t="s">
        <v>991</v>
      </c>
      <c r="E1577" t="s">
        <v>1072</v>
      </c>
      <c r="F1577">
        <v>5513</v>
      </c>
    </row>
    <row r="1578" spans="1:6">
      <c r="A1578" t="s">
        <v>13</v>
      </c>
      <c r="B1578" t="s">
        <v>78</v>
      </c>
      <c r="C1578" t="s">
        <v>835</v>
      </c>
      <c r="D1578" t="s">
        <v>991</v>
      </c>
      <c r="E1578" t="s">
        <v>1073</v>
      </c>
      <c r="F1578">
        <v>2025</v>
      </c>
    </row>
    <row r="1579" spans="1:6">
      <c r="A1579" t="s">
        <v>13</v>
      </c>
      <c r="B1579" t="s">
        <v>78</v>
      </c>
      <c r="C1579" t="s">
        <v>835</v>
      </c>
      <c r="D1579" t="s">
        <v>991</v>
      </c>
      <c r="E1579" t="s">
        <v>1074</v>
      </c>
      <c r="F1579">
        <v>35998</v>
      </c>
    </row>
    <row r="1580" spans="1:6">
      <c r="A1580" t="s">
        <v>13</v>
      </c>
      <c r="B1580" t="s">
        <v>78</v>
      </c>
      <c r="C1580" t="s">
        <v>835</v>
      </c>
      <c r="D1580" t="s">
        <v>991</v>
      </c>
      <c r="E1580" t="s">
        <v>1075</v>
      </c>
      <c r="F1580">
        <v>2026</v>
      </c>
    </row>
    <row r="1581" spans="1:6">
      <c r="A1581" t="s">
        <v>13</v>
      </c>
      <c r="B1581" t="s">
        <v>78</v>
      </c>
      <c r="C1581" t="s">
        <v>835</v>
      </c>
      <c r="D1581" t="s">
        <v>991</v>
      </c>
      <c r="E1581" t="s">
        <v>1076</v>
      </c>
      <c r="F1581">
        <v>20213</v>
      </c>
    </row>
    <row r="1582" spans="1:6">
      <c r="A1582" t="s">
        <v>13</v>
      </c>
      <c r="B1582" t="s">
        <v>78</v>
      </c>
      <c r="C1582" t="s">
        <v>835</v>
      </c>
      <c r="D1582" t="s">
        <v>991</v>
      </c>
      <c r="E1582" t="s">
        <v>1077</v>
      </c>
      <c r="F1582">
        <v>3402</v>
      </c>
    </row>
    <row r="1583" spans="1:6">
      <c r="A1583" t="s">
        <v>13</v>
      </c>
      <c r="B1583" t="s">
        <v>78</v>
      </c>
      <c r="C1583" t="s">
        <v>835</v>
      </c>
      <c r="D1583" t="s">
        <v>991</v>
      </c>
      <c r="E1583" t="s">
        <v>1078</v>
      </c>
      <c r="F1583">
        <v>3364</v>
      </c>
    </row>
    <row r="1584" spans="1:6">
      <c r="A1584" t="s">
        <v>13</v>
      </c>
      <c r="B1584" t="s">
        <v>78</v>
      </c>
      <c r="C1584" t="s">
        <v>835</v>
      </c>
      <c r="D1584" t="s">
        <v>991</v>
      </c>
      <c r="E1584" t="s">
        <v>1079</v>
      </c>
      <c r="F1584">
        <v>3026</v>
      </c>
    </row>
    <row r="1585" spans="1:6">
      <c r="A1585" t="s">
        <v>13</v>
      </c>
      <c r="B1585" t="s">
        <v>78</v>
      </c>
      <c r="C1585" t="s">
        <v>835</v>
      </c>
      <c r="D1585" t="s">
        <v>991</v>
      </c>
      <c r="E1585" t="s">
        <v>1080</v>
      </c>
      <c r="F1585">
        <v>3072</v>
      </c>
    </row>
    <row r="1586" spans="1:6">
      <c r="A1586" t="s">
        <v>13</v>
      </c>
      <c r="B1586" t="s">
        <v>78</v>
      </c>
      <c r="C1586" t="s">
        <v>835</v>
      </c>
      <c r="D1586" t="s">
        <v>991</v>
      </c>
      <c r="E1586" t="s">
        <v>1081</v>
      </c>
      <c r="F1586">
        <v>2893</v>
      </c>
    </row>
    <row r="1587" spans="1:6">
      <c r="A1587" t="s">
        <v>13</v>
      </c>
      <c r="B1587" t="s">
        <v>78</v>
      </c>
      <c r="C1587" t="s">
        <v>835</v>
      </c>
      <c r="D1587" t="s">
        <v>991</v>
      </c>
      <c r="E1587" t="s">
        <v>1082</v>
      </c>
      <c r="F1587">
        <v>4456</v>
      </c>
    </row>
    <row r="1588" spans="1:6">
      <c r="A1588" t="s">
        <v>13</v>
      </c>
      <c r="B1588" t="s">
        <v>78</v>
      </c>
      <c r="C1588" t="s">
        <v>835</v>
      </c>
      <c r="D1588" t="s">
        <v>991</v>
      </c>
      <c r="E1588" t="s">
        <v>1083</v>
      </c>
      <c r="F1588">
        <v>0</v>
      </c>
    </row>
    <row r="1589" spans="1:6">
      <c r="A1589" t="s">
        <v>13</v>
      </c>
      <c r="B1589" t="s">
        <v>78</v>
      </c>
      <c r="C1589" t="s">
        <v>835</v>
      </c>
      <c r="D1589" t="s">
        <v>991</v>
      </c>
      <c r="E1589" t="s">
        <v>1084</v>
      </c>
      <c r="F1589">
        <v>0</v>
      </c>
    </row>
    <row r="1590" spans="1:6">
      <c r="A1590" t="s">
        <v>13</v>
      </c>
      <c r="B1590" t="s">
        <v>78</v>
      </c>
      <c r="C1590" t="s">
        <v>835</v>
      </c>
      <c r="D1590" t="s">
        <v>991</v>
      </c>
      <c r="E1590" t="s">
        <v>1085</v>
      </c>
      <c r="F1590">
        <v>0</v>
      </c>
    </row>
    <row r="1591" spans="1:6">
      <c r="A1591" t="s">
        <v>13</v>
      </c>
      <c r="B1591" t="s">
        <v>78</v>
      </c>
      <c r="C1591" t="s">
        <v>835</v>
      </c>
      <c r="D1591" t="s">
        <v>991</v>
      </c>
      <c r="E1591" t="s">
        <v>1086</v>
      </c>
      <c r="F1591">
        <v>0</v>
      </c>
    </row>
    <row r="1592" spans="1:6">
      <c r="A1592" t="s">
        <v>13</v>
      </c>
      <c r="B1592" t="s">
        <v>78</v>
      </c>
      <c r="C1592" t="s">
        <v>835</v>
      </c>
      <c r="D1592" t="s">
        <v>991</v>
      </c>
      <c r="E1592" t="s">
        <v>1087</v>
      </c>
      <c r="F1592">
        <v>0</v>
      </c>
    </row>
    <row r="1593" spans="1:6">
      <c r="A1593" t="s">
        <v>13</v>
      </c>
      <c r="B1593" t="s">
        <v>78</v>
      </c>
      <c r="C1593" t="s">
        <v>835</v>
      </c>
      <c r="D1593" t="s">
        <v>991</v>
      </c>
      <c r="E1593" t="s">
        <v>1088</v>
      </c>
      <c r="F1593">
        <v>0</v>
      </c>
    </row>
    <row r="1594" spans="1:6">
      <c r="A1594" t="s">
        <v>13</v>
      </c>
      <c r="B1594" t="s">
        <v>78</v>
      </c>
      <c r="C1594" t="s">
        <v>835</v>
      </c>
      <c r="D1594" t="s">
        <v>991</v>
      </c>
      <c r="E1594" t="s">
        <v>1089</v>
      </c>
      <c r="F1594" t="s">
        <v>1009</v>
      </c>
    </row>
    <row r="1595" spans="1:6">
      <c r="A1595" t="s">
        <v>13</v>
      </c>
      <c r="B1595" t="s">
        <v>78</v>
      </c>
      <c r="C1595" t="s">
        <v>835</v>
      </c>
      <c r="D1595" t="s">
        <v>991</v>
      </c>
      <c r="E1595" t="s">
        <v>1090</v>
      </c>
      <c r="F1595">
        <v>61724</v>
      </c>
    </row>
    <row r="1596" spans="1:6">
      <c r="A1596" t="s">
        <v>13</v>
      </c>
      <c r="B1596" t="s">
        <v>78</v>
      </c>
      <c r="C1596" t="s">
        <v>835</v>
      </c>
      <c r="D1596" t="s">
        <v>1091</v>
      </c>
      <c r="E1596" t="s">
        <v>992</v>
      </c>
      <c r="F1596" t="s">
        <v>1092</v>
      </c>
    </row>
    <row r="1597" spans="1:6">
      <c r="A1597" t="s">
        <v>13</v>
      </c>
      <c r="B1597" t="s">
        <v>78</v>
      </c>
      <c r="C1597" t="s">
        <v>835</v>
      </c>
      <c r="D1597" t="s">
        <v>1091</v>
      </c>
      <c r="E1597" t="s">
        <v>1093</v>
      </c>
      <c r="F1597" t="s">
        <v>1094</v>
      </c>
    </row>
    <row r="1598" spans="1:6">
      <c r="A1598" t="s">
        <v>13</v>
      </c>
      <c r="B1598" t="s">
        <v>78</v>
      </c>
      <c r="C1598" t="s">
        <v>835</v>
      </c>
      <c r="D1598" t="s">
        <v>1091</v>
      </c>
      <c r="E1598" t="s">
        <v>994</v>
      </c>
      <c r="F1598" t="s">
        <v>1406</v>
      </c>
    </row>
    <row r="1599" spans="1:6">
      <c r="A1599" t="s">
        <v>13</v>
      </c>
      <c r="B1599" t="s">
        <v>78</v>
      </c>
      <c r="C1599" t="s">
        <v>835</v>
      </c>
      <c r="D1599" t="s">
        <v>1091</v>
      </c>
      <c r="E1599" t="s">
        <v>995</v>
      </c>
      <c r="F1599" t="s">
        <v>996</v>
      </c>
    </row>
    <row r="1600" spans="1:6">
      <c r="A1600" t="s">
        <v>13</v>
      </c>
      <c r="B1600" t="s">
        <v>78</v>
      </c>
      <c r="C1600" t="s">
        <v>835</v>
      </c>
      <c r="D1600" t="s">
        <v>1091</v>
      </c>
      <c r="E1600" t="s">
        <v>997</v>
      </c>
      <c r="F1600" t="s">
        <v>998</v>
      </c>
    </row>
    <row r="1601" spans="1:6">
      <c r="A1601" t="s">
        <v>13</v>
      </c>
      <c r="B1601" t="s">
        <v>78</v>
      </c>
      <c r="C1601" t="s">
        <v>835</v>
      </c>
      <c r="D1601" t="s">
        <v>1091</v>
      </c>
      <c r="E1601" t="s">
        <v>999</v>
      </c>
      <c r="F1601" t="s">
        <v>1000</v>
      </c>
    </row>
    <row r="1602" spans="1:6">
      <c r="A1602" t="s">
        <v>13</v>
      </c>
      <c r="B1602" t="s">
        <v>78</v>
      </c>
      <c r="C1602" t="s">
        <v>835</v>
      </c>
      <c r="D1602" t="s">
        <v>1091</v>
      </c>
      <c r="E1602" t="s">
        <v>1001</v>
      </c>
      <c r="F1602" t="s">
        <v>10</v>
      </c>
    </row>
    <row r="1603" spans="1:6">
      <c r="A1603" t="s">
        <v>13</v>
      </c>
      <c r="B1603" t="s">
        <v>78</v>
      </c>
      <c r="C1603" t="s">
        <v>835</v>
      </c>
      <c r="D1603" t="s">
        <v>1091</v>
      </c>
      <c r="E1603" t="s">
        <v>1002</v>
      </c>
      <c r="F1603" t="s">
        <v>1095</v>
      </c>
    </row>
    <row r="1604" spans="1:6">
      <c r="A1604" t="s">
        <v>13</v>
      </c>
      <c r="B1604" t="s">
        <v>78</v>
      </c>
      <c r="C1604" t="s">
        <v>835</v>
      </c>
      <c r="D1604" t="s">
        <v>1091</v>
      </c>
      <c r="E1604" t="s">
        <v>1096</v>
      </c>
      <c r="F1604" t="s">
        <v>1005</v>
      </c>
    </row>
    <row r="1605" spans="1:6">
      <c r="A1605" t="s">
        <v>13</v>
      </c>
      <c r="B1605" t="s">
        <v>78</v>
      </c>
      <c r="C1605" t="s">
        <v>835</v>
      </c>
      <c r="D1605" t="s">
        <v>1091</v>
      </c>
      <c r="E1605" t="s">
        <v>1006</v>
      </c>
      <c r="F1605" t="s">
        <v>1097</v>
      </c>
    </row>
    <row r="1606" spans="1:6">
      <c r="A1606" t="s">
        <v>13</v>
      </c>
      <c r="B1606" t="s">
        <v>78</v>
      </c>
      <c r="C1606" t="s">
        <v>835</v>
      </c>
      <c r="D1606" t="s">
        <v>1091</v>
      </c>
      <c r="E1606" t="s">
        <v>1008</v>
      </c>
      <c r="F1606" t="s">
        <v>1098</v>
      </c>
    </row>
    <row r="1607" spans="1:6">
      <c r="A1607" t="s">
        <v>13</v>
      </c>
      <c r="B1607" t="s">
        <v>78</v>
      </c>
      <c r="C1607" t="s">
        <v>835</v>
      </c>
      <c r="D1607" t="s">
        <v>1091</v>
      </c>
      <c r="E1607" t="s">
        <v>1035</v>
      </c>
      <c r="F1607" t="s">
        <v>1009</v>
      </c>
    </row>
    <row r="1608" spans="1:6">
      <c r="A1608" t="s">
        <v>13</v>
      </c>
      <c r="B1608" t="s">
        <v>78</v>
      </c>
      <c r="C1608" t="s">
        <v>835</v>
      </c>
      <c r="D1608" t="s">
        <v>1091</v>
      </c>
      <c r="E1608" t="s">
        <v>1099</v>
      </c>
      <c r="F1608" t="s">
        <v>50</v>
      </c>
    </row>
    <row r="1609" spans="1:6">
      <c r="A1609" t="s">
        <v>13</v>
      </c>
      <c r="B1609" t="s">
        <v>78</v>
      </c>
      <c r="C1609" t="s">
        <v>835</v>
      </c>
      <c r="D1609" t="s">
        <v>1091</v>
      </c>
      <c r="E1609" t="s">
        <v>1100</v>
      </c>
      <c r="F1609">
        <v>2025</v>
      </c>
    </row>
    <row r="1610" spans="1:6">
      <c r="A1610" t="s">
        <v>13</v>
      </c>
      <c r="B1610" t="s">
        <v>78</v>
      </c>
      <c r="C1610" t="s">
        <v>835</v>
      </c>
      <c r="D1610" t="s">
        <v>1091</v>
      </c>
      <c r="E1610" t="s">
        <v>1101</v>
      </c>
      <c r="F1610">
        <v>2026</v>
      </c>
    </row>
    <row r="1611" spans="1:6">
      <c r="A1611" t="s">
        <v>13</v>
      </c>
      <c r="B1611" t="s">
        <v>78</v>
      </c>
      <c r="C1611" t="s">
        <v>835</v>
      </c>
      <c r="D1611" t="s">
        <v>1091</v>
      </c>
      <c r="E1611" t="s">
        <v>1036</v>
      </c>
      <c r="F1611" t="s">
        <v>1102</v>
      </c>
    </row>
    <row r="1612" spans="1:6">
      <c r="A1612" t="s">
        <v>13</v>
      </c>
      <c r="B1612" t="s">
        <v>78</v>
      </c>
      <c r="C1612" t="s">
        <v>835</v>
      </c>
      <c r="D1612" t="s">
        <v>1091</v>
      </c>
      <c r="E1612" t="s">
        <v>1037</v>
      </c>
      <c r="F1612">
        <v>32140258</v>
      </c>
    </row>
    <row r="1613" spans="1:6">
      <c r="A1613" t="s">
        <v>13</v>
      </c>
      <c r="B1613" t="s">
        <v>78</v>
      </c>
      <c r="C1613" t="s">
        <v>835</v>
      </c>
      <c r="D1613" t="s">
        <v>1091</v>
      </c>
      <c r="E1613" t="s">
        <v>1103</v>
      </c>
      <c r="F1613">
        <v>1979335</v>
      </c>
    </row>
    <row r="1614" spans="1:6">
      <c r="A1614" t="s">
        <v>13</v>
      </c>
      <c r="B1614" t="s">
        <v>78</v>
      </c>
      <c r="C1614" t="s">
        <v>835</v>
      </c>
      <c r="D1614" t="s">
        <v>1091</v>
      </c>
      <c r="E1614" t="s">
        <v>1104</v>
      </c>
      <c r="F1614">
        <v>15886362</v>
      </c>
    </row>
    <row r="1615" spans="1:6">
      <c r="A1615" t="s">
        <v>13</v>
      </c>
      <c r="B1615" t="s">
        <v>78</v>
      </c>
      <c r="C1615" t="s">
        <v>835</v>
      </c>
      <c r="D1615" t="s">
        <v>1091</v>
      </c>
      <c r="E1615" t="s">
        <v>1105</v>
      </c>
      <c r="F1615">
        <v>14274561</v>
      </c>
    </row>
    <row r="1616" spans="1:6">
      <c r="A1616" t="s">
        <v>13</v>
      </c>
      <c r="B1616" t="s">
        <v>78</v>
      </c>
      <c r="C1616" t="s">
        <v>835</v>
      </c>
      <c r="D1616" t="s">
        <v>1091</v>
      </c>
      <c r="E1616" t="s">
        <v>1038</v>
      </c>
      <c r="F1616" t="s">
        <v>1106</v>
      </c>
    </row>
    <row r="1617" spans="1:6">
      <c r="A1617" t="s">
        <v>13</v>
      </c>
      <c r="B1617" t="s">
        <v>78</v>
      </c>
      <c r="C1617" t="s">
        <v>835</v>
      </c>
      <c r="D1617" t="s">
        <v>1091</v>
      </c>
      <c r="E1617" t="s">
        <v>1039</v>
      </c>
      <c r="F1617">
        <v>31559349</v>
      </c>
    </row>
    <row r="1618" spans="1:6">
      <c r="A1618" t="s">
        <v>13</v>
      </c>
      <c r="B1618" t="s">
        <v>78</v>
      </c>
      <c r="C1618" t="s">
        <v>835</v>
      </c>
      <c r="D1618" t="s">
        <v>1091</v>
      </c>
      <c r="E1618" t="s">
        <v>1040</v>
      </c>
      <c r="F1618">
        <v>1969740</v>
      </c>
    </row>
    <row r="1619" spans="1:6">
      <c r="A1619" t="s">
        <v>13</v>
      </c>
      <c r="B1619" t="s">
        <v>78</v>
      </c>
      <c r="C1619" t="s">
        <v>835</v>
      </c>
      <c r="D1619" t="s">
        <v>1091</v>
      </c>
      <c r="E1619" t="s">
        <v>1041</v>
      </c>
      <c r="F1619">
        <v>15792452</v>
      </c>
    </row>
    <row r="1620" spans="1:6">
      <c r="A1620" t="s">
        <v>13</v>
      </c>
      <c r="B1620" t="s">
        <v>78</v>
      </c>
      <c r="C1620" t="s">
        <v>835</v>
      </c>
      <c r="D1620" t="s">
        <v>1091</v>
      </c>
      <c r="E1620" t="s">
        <v>1042</v>
      </c>
      <c r="F1620">
        <v>13797157</v>
      </c>
    </row>
    <row r="1621" spans="1:6">
      <c r="A1621" t="s">
        <v>13</v>
      </c>
      <c r="B1621" t="s">
        <v>78</v>
      </c>
      <c r="C1621" t="s">
        <v>835</v>
      </c>
      <c r="D1621" t="s">
        <v>1091</v>
      </c>
      <c r="E1621" t="s">
        <v>1052</v>
      </c>
      <c r="F1621" t="s">
        <v>1107</v>
      </c>
    </row>
    <row r="1622" spans="1:6">
      <c r="A1622" t="s">
        <v>13</v>
      </c>
      <c r="B1622" t="s">
        <v>78</v>
      </c>
      <c r="C1622" t="s">
        <v>835</v>
      </c>
      <c r="D1622" t="s">
        <v>1091</v>
      </c>
      <c r="E1622" t="s">
        <v>1053</v>
      </c>
      <c r="F1622">
        <v>7941386</v>
      </c>
    </row>
    <row r="1623" spans="1:6">
      <c r="A1623" t="s">
        <v>13</v>
      </c>
      <c r="B1623" t="s">
        <v>78</v>
      </c>
      <c r="C1623" t="s">
        <v>835</v>
      </c>
      <c r="D1623" t="s">
        <v>1091</v>
      </c>
      <c r="E1623" t="s">
        <v>1108</v>
      </c>
      <c r="F1623">
        <v>229126</v>
      </c>
    </row>
    <row r="1624" spans="1:6">
      <c r="A1624" t="s">
        <v>13</v>
      </c>
      <c r="B1624" t="s">
        <v>78</v>
      </c>
      <c r="C1624" t="s">
        <v>835</v>
      </c>
      <c r="D1624" t="s">
        <v>1091</v>
      </c>
      <c r="E1624" t="s">
        <v>1109</v>
      </c>
      <c r="F1624">
        <v>2805366</v>
      </c>
    </row>
    <row r="1625" spans="1:6">
      <c r="A1625" t="s">
        <v>13</v>
      </c>
      <c r="B1625" t="s">
        <v>78</v>
      </c>
      <c r="C1625" t="s">
        <v>835</v>
      </c>
      <c r="D1625" t="s">
        <v>1091</v>
      </c>
      <c r="E1625" t="s">
        <v>1110</v>
      </c>
      <c r="F1625">
        <v>4906894</v>
      </c>
    </row>
    <row r="1626" spans="1:6">
      <c r="A1626" t="s">
        <v>13</v>
      </c>
      <c r="B1626" t="s">
        <v>78</v>
      </c>
      <c r="C1626" t="s">
        <v>835</v>
      </c>
      <c r="D1626" t="s">
        <v>1091</v>
      </c>
      <c r="E1626" t="s">
        <v>1111</v>
      </c>
      <c r="F1626" t="s">
        <v>1307</v>
      </c>
    </row>
    <row r="1627" spans="1:6">
      <c r="A1627" t="s">
        <v>13</v>
      </c>
      <c r="B1627" t="s">
        <v>78</v>
      </c>
      <c r="C1627" t="s">
        <v>835</v>
      </c>
      <c r="D1627" t="s">
        <v>1091</v>
      </c>
      <c r="E1627" t="s">
        <v>1113</v>
      </c>
      <c r="F1627">
        <v>12504</v>
      </c>
    </row>
    <row r="1628" spans="1:6">
      <c r="A1628" t="s">
        <v>13</v>
      </c>
      <c r="B1628" t="s">
        <v>78</v>
      </c>
      <c r="C1628" t="s">
        <v>835</v>
      </c>
      <c r="D1628" t="s">
        <v>1091</v>
      </c>
      <c r="E1628" t="s">
        <v>1114</v>
      </c>
      <c r="F1628">
        <v>0</v>
      </c>
    </row>
    <row r="1629" spans="1:6">
      <c r="A1629" t="s">
        <v>13</v>
      </c>
      <c r="B1629" t="s">
        <v>78</v>
      </c>
      <c r="C1629" t="s">
        <v>835</v>
      </c>
      <c r="D1629" t="s">
        <v>1091</v>
      </c>
      <c r="E1629" t="s">
        <v>1115</v>
      </c>
      <c r="F1629">
        <v>12291</v>
      </c>
    </row>
    <row r="1630" spans="1:6">
      <c r="A1630" t="s">
        <v>13</v>
      </c>
      <c r="B1630" t="s">
        <v>78</v>
      </c>
      <c r="C1630" t="s">
        <v>835</v>
      </c>
      <c r="D1630" t="s">
        <v>1091</v>
      </c>
      <c r="E1630" t="s">
        <v>1116</v>
      </c>
      <c r="F1630">
        <v>212</v>
      </c>
    </row>
    <row r="1631" spans="1:6">
      <c r="A1631" t="s">
        <v>13</v>
      </c>
      <c r="B1631" t="s">
        <v>78</v>
      </c>
      <c r="C1631" t="s">
        <v>835</v>
      </c>
      <c r="D1631" t="s">
        <v>1091</v>
      </c>
      <c r="E1631" t="s">
        <v>1054</v>
      </c>
      <c r="F1631" t="s">
        <v>1308</v>
      </c>
    </row>
    <row r="1632" spans="1:6">
      <c r="A1632" t="s">
        <v>13</v>
      </c>
      <c r="B1632" t="s">
        <v>78</v>
      </c>
      <c r="C1632" t="s">
        <v>835</v>
      </c>
      <c r="D1632" t="s">
        <v>1091</v>
      </c>
      <c r="E1632" t="s">
        <v>1118</v>
      </c>
      <c r="F1632">
        <v>23605459</v>
      </c>
    </row>
    <row r="1633" spans="1:6">
      <c r="A1633" t="s">
        <v>13</v>
      </c>
      <c r="B1633" t="s">
        <v>78</v>
      </c>
      <c r="C1633" t="s">
        <v>835</v>
      </c>
      <c r="D1633" t="s">
        <v>1091</v>
      </c>
      <c r="E1633" t="s">
        <v>1119</v>
      </c>
      <c r="F1633">
        <v>1740614</v>
      </c>
    </row>
    <row r="1634" spans="1:6">
      <c r="A1634" t="s">
        <v>13</v>
      </c>
      <c r="B1634" t="s">
        <v>78</v>
      </c>
      <c r="C1634" t="s">
        <v>835</v>
      </c>
      <c r="D1634" t="s">
        <v>1091</v>
      </c>
      <c r="E1634" t="s">
        <v>1120</v>
      </c>
      <c r="F1634">
        <v>12974796</v>
      </c>
    </row>
    <row r="1635" spans="1:6">
      <c r="A1635" t="s">
        <v>13</v>
      </c>
      <c r="B1635" t="s">
        <v>78</v>
      </c>
      <c r="C1635" t="s">
        <v>835</v>
      </c>
      <c r="D1635" t="s">
        <v>1091</v>
      </c>
      <c r="E1635" t="s">
        <v>1121</v>
      </c>
      <c r="F1635">
        <v>8890050</v>
      </c>
    </row>
    <row r="1636" spans="1:6">
      <c r="A1636" t="s">
        <v>13</v>
      </c>
      <c r="B1636" t="s">
        <v>78</v>
      </c>
      <c r="C1636" t="s">
        <v>835</v>
      </c>
      <c r="D1636" t="s">
        <v>1091</v>
      </c>
      <c r="E1636" t="s">
        <v>1122</v>
      </c>
      <c r="F1636" t="s">
        <v>1123</v>
      </c>
    </row>
    <row r="1637" spans="1:6">
      <c r="A1637" t="s">
        <v>13</v>
      </c>
      <c r="B1637" t="s">
        <v>78</v>
      </c>
      <c r="C1637" t="s">
        <v>835</v>
      </c>
      <c r="D1637" t="s">
        <v>1091</v>
      </c>
      <c r="E1637" t="s">
        <v>1124</v>
      </c>
      <c r="F1637" t="s">
        <v>1315</v>
      </c>
    </row>
    <row r="1638" spans="1:6">
      <c r="A1638" t="s">
        <v>13</v>
      </c>
      <c r="B1638" t="s">
        <v>78</v>
      </c>
      <c r="C1638" t="s">
        <v>835</v>
      </c>
      <c r="D1638" t="s">
        <v>1091</v>
      </c>
      <c r="E1638" t="s">
        <v>1126</v>
      </c>
      <c r="F1638" t="s">
        <v>1125</v>
      </c>
    </row>
    <row r="1639" spans="1:6">
      <c r="A1639" t="s">
        <v>13</v>
      </c>
      <c r="B1639" t="s">
        <v>78</v>
      </c>
      <c r="C1639" t="s">
        <v>835</v>
      </c>
      <c r="D1639" t="s">
        <v>1091</v>
      </c>
      <c r="E1639" t="s">
        <v>1127</v>
      </c>
      <c r="F1639" t="s">
        <v>1242</v>
      </c>
    </row>
    <row r="1640" spans="1:6">
      <c r="A1640" t="s">
        <v>13</v>
      </c>
      <c r="B1640" t="s">
        <v>78</v>
      </c>
      <c r="C1640" t="s">
        <v>835</v>
      </c>
      <c r="D1640" t="s">
        <v>1091</v>
      </c>
      <c r="E1640" t="s">
        <v>1128</v>
      </c>
      <c r="F1640" t="s">
        <v>1232</v>
      </c>
    </row>
    <row r="1641" spans="1:6">
      <c r="A1641" t="s">
        <v>13</v>
      </c>
      <c r="B1641" t="s">
        <v>78</v>
      </c>
      <c r="C1641" t="s">
        <v>835</v>
      </c>
      <c r="D1641" t="s">
        <v>1091</v>
      </c>
      <c r="E1641" t="s">
        <v>1056</v>
      </c>
      <c r="F1641" t="s">
        <v>1130</v>
      </c>
    </row>
    <row r="1642" spans="1:6">
      <c r="A1642" t="s">
        <v>13</v>
      </c>
      <c r="B1642" t="s">
        <v>78</v>
      </c>
      <c r="C1642" t="s">
        <v>835</v>
      </c>
      <c r="D1642" t="s">
        <v>1091</v>
      </c>
      <c r="E1642" t="s">
        <v>1057</v>
      </c>
      <c r="F1642">
        <v>580909</v>
      </c>
    </row>
    <row r="1643" spans="1:6">
      <c r="A1643" t="s">
        <v>13</v>
      </c>
      <c r="B1643" t="s">
        <v>78</v>
      </c>
      <c r="C1643" t="s">
        <v>835</v>
      </c>
      <c r="D1643" t="s">
        <v>1091</v>
      </c>
      <c r="E1643" t="s">
        <v>1058</v>
      </c>
      <c r="F1643">
        <v>9595</v>
      </c>
    </row>
    <row r="1644" spans="1:6">
      <c r="A1644" t="s">
        <v>13</v>
      </c>
      <c r="B1644" t="s">
        <v>78</v>
      </c>
      <c r="C1644" t="s">
        <v>835</v>
      </c>
      <c r="D1644" t="s">
        <v>1091</v>
      </c>
      <c r="E1644" t="s">
        <v>1059</v>
      </c>
      <c r="F1644">
        <v>93910</v>
      </c>
    </row>
    <row r="1645" spans="1:6">
      <c r="A1645" t="s">
        <v>13</v>
      </c>
      <c r="B1645" t="s">
        <v>78</v>
      </c>
      <c r="C1645" t="s">
        <v>835</v>
      </c>
      <c r="D1645" t="s">
        <v>1091</v>
      </c>
      <c r="E1645" t="s">
        <v>1060</v>
      </c>
      <c r="F1645">
        <v>477404</v>
      </c>
    </row>
    <row r="1646" spans="1:6">
      <c r="A1646" t="s">
        <v>13</v>
      </c>
      <c r="B1646" t="s">
        <v>78</v>
      </c>
      <c r="C1646" t="s">
        <v>835</v>
      </c>
      <c r="D1646" t="s">
        <v>1091</v>
      </c>
      <c r="E1646" t="s">
        <v>1071</v>
      </c>
      <c r="F1646" t="s">
        <v>1131</v>
      </c>
    </row>
    <row r="1647" spans="1:6">
      <c r="A1647" t="s">
        <v>13</v>
      </c>
      <c r="B1647" t="s">
        <v>78</v>
      </c>
      <c r="C1647" t="s">
        <v>835</v>
      </c>
      <c r="D1647" t="s">
        <v>1091</v>
      </c>
      <c r="E1647" t="s">
        <v>1072</v>
      </c>
      <c r="F1647" t="s">
        <v>1321</v>
      </c>
    </row>
    <row r="1648" spans="1:6">
      <c r="A1648" t="s">
        <v>13</v>
      </c>
      <c r="B1648" t="s">
        <v>78</v>
      </c>
      <c r="C1648" t="s">
        <v>835</v>
      </c>
      <c r="D1648" t="s">
        <v>1091</v>
      </c>
      <c r="E1648" t="s">
        <v>1133</v>
      </c>
      <c r="F1648" t="s">
        <v>1132</v>
      </c>
    </row>
    <row r="1649" spans="1:6">
      <c r="A1649" t="s">
        <v>13</v>
      </c>
      <c r="B1649" t="s">
        <v>78</v>
      </c>
      <c r="C1649" t="s">
        <v>835</v>
      </c>
      <c r="D1649" t="s">
        <v>1091</v>
      </c>
      <c r="E1649" t="s">
        <v>1134</v>
      </c>
      <c r="F1649" t="s">
        <v>1310</v>
      </c>
    </row>
    <row r="1650" spans="1:6">
      <c r="A1650" t="s">
        <v>13</v>
      </c>
      <c r="B1650" t="s">
        <v>78</v>
      </c>
      <c r="C1650" t="s">
        <v>835</v>
      </c>
      <c r="D1650" t="s">
        <v>1091</v>
      </c>
      <c r="E1650" t="s">
        <v>1135</v>
      </c>
      <c r="F1650" t="s">
        <v>1270</v>
      </c>
    </row>
    <row r="1651" spans="1:6">
      <c r="A1651" t="s">
        <v>13</v>
      </c>
      <c r="B1651" t="s">
        <v>78</v>
      </c>
      <c r="C1651" t="s">
        <v>835</v>
      </c>
      <c r="D1651" t="s">
        <v>1091</v>
      </c>
      <c r="E1651" t="s">
        <v>1076</v>
      </c>
      <c r="F1651" t="s">
        <v>1137</v>
      </c>
    </row>
    <row r="1652" spans="1:6">
      <c r="A1652" t="s">
        <v>13</v>
      </c>
      <c r="B1652" t="s">
        <v>78</v>
      </c>
      <c r="C1652" t="s">
        <v>835</v>
      </c>
      <c r="D1652" t="s">
        <v>1091</v>
      </c>
      <c r="E1652" t="s">
        <v>1077</v>
      </c>
      <c r="F1652">
        <v>0</v>
      </c>
    </row>
    <row r="1653" spans="1:6">
      <c r="A1653" t="s">
        <v>13</v>
      </c>
      <c r="B1653" t="s">
        <v>78</v>
      </c>
      <c r="C1653" t="s">
        <v>835</v>
      </c>
      <c r="D1653" t="s">
        <v>1091</v>
      </c>
      <c r="E1653" t="s">
        <v>1078</v>
      </c>
      <c r="F1653">
        <v>0</v>
      </c>
    </row>
    <row r="1654" spans="1:6">
      <c r="A1654" t="s">
        <v>13</v>
      </c>
      <c r="B1654" t="s">
        <v>78</v>
      </c>
      <c r="C1654" t="s">
        <v>835</v>
      </c>
      <c r="D1654" t="s">
        <v>1091</v>
      </c>
      <c r="E1654" t="s">
        <v>1079</v>
      </c>
      <c r="F1654">
        <v>0</v>
      </c>
    </row>
    <row r="1655" spans="1:6">
      <c r="A1655" t="s">
        <v>13</v>
      </c>
      <c r="B1655" t="s">
        <v>78</v>
      </c>
      <c r="C1655" t="s">
        <v>835</v>
      </c>
      <c r="D1655" t="s">
        <v>1091</v>
      </c>
      <c r="E1655" t="s">
        <v>1090</v>
      </c>
      <c r="F1655" t="s">
        <v>1138</v>
      </c>
    </row>
    <row r="1656" spans="1:6">
      <c r="A1656" t="s">
        <v>13</v>
      </c>
      <c r="B1656" t="s">
        <v>78</v>
      </c>
      <c r="C1656" t="s">
        <v>835</v>
      </c>
      <c r="D1656" t="s">
        <v>1091</v>
      </c>
      <c r="E1656" t="s">
        <v>1139</v>
      </c>
      <c r="F1656" t="s">
        <v>1132</v>
      </c>
    </row>
    <row r="1657" spans="1:6">
      <c r="A1657" t="s">
        <v>13</v>
      </c>
      <c r="B1657" t="s">
        <v>78</v>
      </c>
      <c r="C1657" t="s">
        <v>835</v>
      </c>
      <c r="D1657" t="s">
        <v>1091</v>
      </c>
      <c r="E1657" t="s">
        <v>1140</v>
      </c>
      <c r="F1657" t="s">
        <v>1142</v>
      </c>
    </row>
    <row r="1658" spans="1:6">
      <c r="A1658" t="s">
        <v>13</v>
      </c>
      <c r="B1658" t="s">
        <v>78</v>
      </c>
      <c r="C1658" t="s">
        <v>835</v>
      </c>
      <c r="D1658" t="s">
        <v>1091</v>
      </c>
      <c r="E1658" t="s">
        <v>1141</v>
      </c>
      <c r="F1658" t="s">
        <v>1312</v>
      </c>
    </row>
    <row r="1659" spans="1:6">
      <c r="A1659" t="s">
        <v>13</v>
      </c>
      <c r="B1659" t="s">
        <v>78</v>
      </c>
      <c r="C1659" t="s">
        <v>835</v>
      </c>
      <c r="D1659" t="s">
        <v>1091</v>
      </c>
      <c r="E1659" t="s">
        <v>1143</v>
      </c>
      <c r="F1659" t="s">
        <v>1144</v>
      </c>
    </row>
    <row r="1660" spans="1:6">
      <c r="A1660" t="s">
        <v>13</v>
      </c>
      <c r="B1660" t="s">
        <v>78</v>
      </c>
      <c r="C1660" t="s">
        <v>835</v>
      </c>
      <c r="D1660" t="s">
        <v>1091</v>
      </c>
      <c r="E1660" t="s">
        <v>1145</v>
      </c>
      <c r="F1660" t="s">
        <v>1146</v>
      </c>
    </row>
    <row r="1661" spans="1:6">
      <c r="A1661" t="s">
        <v>13</v>
      </c>
      <c r="B1661" t="s">
        <v>78</v>
      </c>
      <c r="C1661" t="s">
        <v>835</v>
      </c>
      <c r="D1661" t="s">
        <v>1091</v>
      </c>
      <c r="E1661" t="s">
        <v>1147</v>
      </c>
      <c r="F1661" t="s">
        <v>1148</v>
      </c>
    </row>
    <row r="1662" spans="1:6">
      <c r="A1662" t="s">
        <v>13</v>
      </c>
      <c r="B1662" t="s">
        <v>78</v>
      </c>
      <c r="C1662" t="s">
        <v>835</v>
      </c>
      <c r="D1662" t="s">
        <v>1091</v>
      </c>
      <c r="E1662" t="s">
        <v>1149</v>
      </c>
      <c r="F1662" t="s">
        <v>1150</v>
      </c>
    </row>
    <row r="1663" spans="1:6">
      <c r="A1663" t="s">
        <v>13</v>
      </c>
      <c r="B1663" t="s">
        <v>78</v>
      </c>
      <c r="C1663" t="s">
        <v>835</v>
      </c>
      <c r="D1663" t="s">
        <v>1091</v>
      </c>
      <c r="E1663" t="s">
        <v>1151</v>
      </c>
      <c r="F1663" t="s">
        <v>1009</v>
      </c>
    </row>
    <row r="1664" spans="1:6">
      <c r="A1664" t="s">
        <v>13</v>
      </c>
      <c r="B1664" t="s">
        <v>78</v>
      </c>
      <c r="C1664" t="s">
        <v>835</v>
      </c>
      <c r="D1664" t="s">
        <v>1091</v>
      </c>
      <c r="E1664" t="s">
        <v>1152</v>
      </c>
      <c r="F1664" t="s">
        <v>1153</v>
      </c>
    </row>
    <row r="1665" spans="1:6">
      <c r="A1665" t="s">
        <v>13</v>
      </c>
      <c r="B1665" t="s">
        <v>78</v>
      </c>
      <c r="C1665" t="s">
        <v>835</v>
      </c>
      <c r="D1665" t="s">
        <v>1091</v>
      </c>
      <c r="E1665" t="s">
        <v>1154</v>
      </c>
      <c r="F1665" t="s">
        <v>1155</v>
      </c>
    </row>
    <row r="1666" spans="1:6">
      <c r="A1666" t="s">
        <v>13</v>
      </c>
      <c r="B1666" t="s">
        <v>78</v>
      </c>
      <c r="C1666" t="s">
        <v>835</v>
      </c>
      <c r="D1666" t="s">
        <v>1091</v>
      </c>
      <c r="E1666" t="s">
        <v>1156</v>
      </c>
      <c r="F1666" t="s">
        <v>1157</v>
      </c>
    </row>
    <row r="1667" spans="1:6">
      <c r="A1667" t="s">
        <v>13</v>
      </c>
      <c r="B1667" t="s">
        <v>78</v>
      </c>
      <c r="C1667" t="s">
        <v>835</v>
      </c>
      <c r="D1667" t="s">
        <v>1091</v>
      </c>
      <c r="E1667" t="s">
        <v>1158</v>
      </c>
      <c r="F1667" t="s">
        <v>1159</v>
      </c>
    </row>
    <row r="1668" spans="1:6">
      <c r="A1668" t="s">
        <v>13</v>
      </c>
      <c r="B1668" t="s">
        <v>78</v>
      </c>
      <c r="C1668" t="s">
        <v>835</v>
      </c>
      <c r="D1668" t="s">
        <v>1091</v>
      </c>
      <c r="E1668" t="s">
        <v>1160</v>
      </c>
      <c r="F1668" t="s">
        <v>1161</v>
      </c>
    </row>
    <row r="1669" spans="1:6">
      <c r="A1669" t="s">
        <v>13</v>
      </c>
      <c r="B1669" t="s">
        <v>78</v>
      </c>
      <c r="C1669" t="s">
        <v>835</v>
      </c>
      <c r="D1669" t="s">
        <v>1091</v>
      </c>
      <c r="E1669" t="s">
        <v>1162</v>
      </c>
      <c r="F1669" t="s">
        <v>1163</v>
      </c>
    </row>
    <row r="1670" spans="1:6">
      <c r="A1670" t="s">
        <v>13</v>
      </c>
      <c r="B1670" t="s">
        <v>78</v>
      </c>
      <c r="C1670" t="s">
        <v>835</v>
      </c>
      <c r="D1670" t="s">
        <v>1091</v>
      </c>
      <c r="E1670" t="s">
        <v>1164</v>
      </c>
      <c r="F1670" t="s">
        <v>1165</v>
      </c>
    </row>
    <row r="1671" spans="1:6">
      <c r="A1671" t="s">
        <v>13</v>
      </c>
      <c r="B1671" t="s">
        <v>78</v>
      </c>
      <c r="C1671" t="s">
        <v>835</v>
      </c>
      <c r="D1671" t="s">
        <v>1091</v>
      </c>
      <c r="E1671" t="s">
        <v>1166</v>
      </c>
      <c r="F1671">
        <v>14274561</v>
      </c>
    </row>
    <row r="1672" spans="1:6">
      <c r="A1672" t="s">
        <v>13</v>
      </c>
      <c r="B1672" t="s">
        <v>78</v>
      </c>
      <c r="C1672" t="s">
        <v>835</v>
      </c>
      <c r="D1672" t="s">
        <v>1091</v>
      </c>
      <c r="E1672" t="s">
        <v>1167</v>
      </c>
      <c r="F1672">
        <v>1121255</v>
      </c>
    </row>
    <row r="1673" spans="1:6">
      <c r="A1673" t="s">
        <v>13</v>
      </c>
      <c r="B1673" t="s">
        <v>78</v>
      </c>
      <c r="C1673" t="s">
        <v>835</v>
      </c>
      <c r="D1673" t="s">
        <v>1091</v>
      </c>
      <c r="E1673" t="s">
        <v>1168</v>
      </c>
      <c r="F1673">
        <v>1240718</v>
      </c>
    </row>
    <row r="1674" spans="1:6">
      <c r="A1674" t="s">
        <v>13</v>
      </c>
      <c r="B1674" t="s">
        <v>78</v>
      </c>
      <c r="C1674" t="s">
        <v>835</v>
      </c>
      <c r="D1674" t="s">
        <v>1091</v>
      </c>
      <c r="E1674" t="s">
        <v>1169</v>
      </c>
      <c r="F1674">
        <v>1651174</v>
      </c>
    </row>
    <row r="1675" spans="1:6">
      <c r="A1675" t="s">
        <v>13</v>
      </c>
      <c r="B1675" t="s">
        <v>78</v>
      </c>
      <c r="C1675" t="s">
        <v>835</v>
      </c>
      <c r="D1675" t="s">
        <v>1091</v>
      </c>
      <c r="E1675" t="s">
        <v>1170</v>
      </c>
      <c r="F1675">
        <v>2538191</v>
      </c>
    </row>
    <row r="1676" spans="1:6">
      <c r="A1676" t="s">
        <v>13</v>
      </c>
      <c r="B1676" t="s">
        <v>78</v>
      </c>
      <c r="C1676" t="s">
        <v>835</v>
      </c>
      <c r="D1676" t="s">
        <v>1091</v>
      </c>
      <c r="E1676" t="s">
        <v>1171</v>
      </c>
      <c r="F1676">
        <v>3652685</v>
      </c>
    </row>
    <row r="1677" spans="1:6">
      <c r="A1677" t="s">
        <v>13</v>
      </c>
      <c r="B1677" t="s">
        <v>78</v>
      </c>
      <c r="C1677" t="s">
        <v>835</v>
      </c>
      <c r="D1677" t="s">
        <v>1091</v>
      </c>
      <c r="E1677" t="s">
        <v>1172</v>
      </c>
      <c r="F1677">
        <v>4070538</v>
      </c>
    </row>
    <row r="1678" spans="1:6">
      <c r="A1678" t="s">
        <v>13</v>
      </c>
      <c r="B1678" t="s">
        <v>78</v>
      </c>
      <c r="C1678" t="s">
        <v>835</v>
      </c>
      <c r="D1678" t="s">
        <v>1091</v>
      </c>
      <c r="E1678" t="s">
        <v>1173</v>
      </c>
      <c r="F1678" t="s">
        <v>1174</v>
      </c>
    </row>
    <row r="1679" spans="1:6">
      <c r="A1679" t="s">
        <v>13</v>
      </c>
      <c r="B1679" t="s">
        <v>78</v>
      </c>
      <c r="C1679" t="s">
        <v>835</v>
      </c>
      <c r="D1679" t="s">
        <v>1091</v>
      </c>
      <c r="E1679" t="s">
        <v>1175</v>
      </c>
      <c r="F1679">
        <v>20213</v>
      </c>
    </row>
    <row r="1680" spans="1:6">
      <c r="A1680" t="s">
        <v>13</v>
      </c>
      <c r="B1680" t="s">
        <v>78</v>
      </c>
      <c r="C1680" t="s">
        <v>835</v>
      </c>
      <c r="D1680" t="s">
        <v>1091</v>
      </c>
      <c r="E1680" t="s">
        <v>1176</v>
      </c>
      <c r="F1680">
        <v>4456</v>
      </c>
    </row>
    <row r="1681" spans="1:6">
      <c r="A1681" t="s">
        <v>13</v>
      </c>
      <c r="B1681" t="s">
        <v>78</v>
      </c>
      <c r="C1681" t="s">
        <v>835</v>
      </c>
      <c r="D1681" t="s">
        <v>1091</v>
      </c>
      <c r="E1681" t="s">
        <v>1177</v>
      </c>
      <c r="F1681">
        <v>2893</v>
      </c>
    </row>
    <row r="1682" spans="1:6">
      <c r="A1682" t="s">
        <v>13</v>
      </c>
      <c r="B1682" t="s">
        <v>78</v>
      </c>
      <c r="C1682" t="s">
        <v>835</v>
      </c>
      <c r="D1682" t="s">
        <v>1091</v>
      </c>
      <c r="E1682" t="s">
        <v>1178</v>
      </c>
      <c r="F1682">
        <v>3072</v>
      </c>
    </row>
    <row r="1683" spans="1:6">
      <c r="A1683" t="s">
        <v>13</v>
      </c>
      <c r="B1683" t="s">
        <v>78</v>
      </c>
      <c r="C1683" t="s">
        <v>835</v>
      </c>
      <c r="D1683" t="s">
        <v>1091</v>
      </c>
      <c r="E1683" t="s">
        <v>1179</v>
      </c>
      <c r="F1683">
        <v>3026</v>
      </c>
    </row>
    <row r="1684" spans="1:6">
      <c r="A1684" t="s">
        <v>13</v>
      </c>
      <c r="B1684" t="s">
        <v>78</v>
      </c>
      <c r="C1684" t="s">
        <v>835</v>
      </c>
      <c r="D1684" t="s">
        <v>1091</v>
      </c>
      <c r="E1684" t="s">
        <v>1180</v>
      </c>
      <c r="F1684">
        <v>3364</v>
      </c>
    </row>
    <row r="1685" spans="1:6">
      <c r="A1685" t="s">
        <v>13</v>
      </c>
      <c r="B1685" t="s">
        <v>78</v>
      </c>
      <c r="C1685" t="s">
        <v>835</v>
      </c>
      <c r="D1685" t="s">
        <v>1091</v>
      </c>
      <c r="E1685" t="s">
        <v>1181</v>
      </c>
      <c r="F1685">
        <v>3402</v>
      </c>
    </row>
    <row r="1686" spans="1:6">
      <c r="A1686" t="s">
        <v>13</v>
      </c>
      <c r="B1686" t="s">
        <v>78</v>
      </c>
      <c r="C1686" t="s">
        <v>835</v>
      </c>
      <c r="D1686" t="s">
        <v>1091</v>
      </c>
      <c r="E1686" t="s">
        <v>1182</v>
      </c>
      <c r="F1686" t="s">
        <v>1183</v>
      </c>
    </row>
    <row r="1687" spans="1:6">
      <c r="A1687" t="s">
        <v>13</v>
      </c>
      <c r="B1687" t="s">
        <v>78</v>
      </c>
      <c r="C1687" t="s">
        <v>835</v>
      </c>
      <c r="D1687" t="s">
        <v>1091</v>
      </c>
      <c r="E1687" t="s">
        <v>1184</v>
      </c>
      <c r="F1687">
        <v>13797157</v>
      </c>
    </row>
    <row r="1688" spans="1:6">
      <c r="A1688" t="s">
        <v>13</v>
      </c>
      <c r="B1688" t="s">
        <v>78</v>
      </c>
      <c r="C1688" t="s">
        <v>835</v>
      </c>
      <c r="D1688" t="s">
        <v>1091</v>
      </c>
      <c r="E1688" t="s">
        <v>1185</v>
      </c>
      <c r="F1688">
        <v>903051</v>
      </c>
    </row>
    <row r="1689" spans="1:6">
      <c r="A1689" t="s">
        <v>13</v>
      </c>
      <c r="B1689" t="s">
        <v>78</v>
      </c>
      <c r="C1689" t="s">
        <v>835</v>
      </c>
      <c r="D1689" t="s">
        <v>1091</v>
      </c>
      <c r="E1689" t="s">
        <v>1186</v>
      </c>
      <c r="F1689">
        <v>1166565</v>
      </c>
    </row>
    <row r="1690" spans="1:6">
      <c r="A1690" t="s">
        <v>13</v>
      </c>
      <c r="B1690" t="s">
        <v>78</v>
      </c>
      <c r="C1690" t="s">
        <v>835</v>
      </c>
      <c r="D1690" t="s">
        <v>1091</v>
      </c>
      <c r="E1690" t="s">
        <v>1187</v>
      </c>
      <c r="F1690">
        <v>1576931</v>
      </c>
    </row>
    <row r="1691" spans="1:6">
      <c r="A1691" t="s">
        <v>13</v>
      </c>
      <c r="B1691" t="s">
        <v>78</v>
      </c>
      <c r="C1691" t="s">
        <v>835</v>
      </c>
      <c r="D1691" t="s">
        <v>1091</v>
      </c>
      <c r="E1691" t="s">
        <v>1188</v>
      </c>
      <c r="F1691">
        <v>2495861</v>
      </c>
    </row>
    <row r="1692" spans="1:6">
      <c r="A1692" t="s">
        <v>13</v>
      </c>
      <c r="B1692" t="s">
        <v>78</v>
      </c>
      <c r="C1692" t="s">
        <v>835</v>
      </c>
      <c r="D1692" t="s">
        <v>1091</v>
      </c>
      <c r="E1692" t="s">
        <v>1189</v>
      </c>
      <c r="F1692">
        <v>3620219</v>
      </c>
    </row>
    <row r="1693" spans="1:6">
      <c r="A1693" t="s">
        <v>13</v>
      </c>
      <c r="B1693" t="s">
        <v>78</v>
      </c>
      <c r="C1693" t="s">
        <v>835</v>
      </c>
      <c r="D1693" t="s">
        <v>1091</v>
      </c>
      <c r="E1693" t="s">
        <v>1190</v>
      </c>
      <c r="F1693">
        <v>4034530</v>
      </c>
    </row>
    <row r="1694" spans="1:6">
      <c r="A1694" t="s">
        <v>13</v>
      </c>
      <c r="B1694" t="s">
        <v>78</v>
      </c>
      <c r="C1694" t="s">
        <v>835</v>
      </c>
      <c r="D1694" t="s">
        <v>1091</v>
      </c>
      <c r="E1694" t="s">
        <v>1191</v>
      </c>
      <c r="F1694" t="s">
        <v>1192</v>
      </c>
    </row>
    <row r="1695" spans="1:6">
      <c r="A1695" t="s">
        <v>13</v>
      </c>
      <c r="B1695" t="s">
        <v>78</v>
      </c>
      <c r="C1695" t="s">
        <v>835</v>
      </c>
      <c r="D1695" t="s">
        <v>1091</v>
      </c>
      <c r="E1695" t="s">
        <v>1193</v>
      </c>
      <c r="F1695">
        <v>558</v>
      </c>
    </row>
    <row r="1696" spans="1:6">
      <c r="A1696" t="s">
        <v>13</v>
      </c>
      <c r="B1696" t="s">
        <v>78</v>
      </c>
      <c r="C1696" t="s">
        <v>835</v>
      </c>
      <c r="D1696" t="s">
        <v>1091</v>
      </c>
      <c r="E1696" t="s">
        <v>1194</v>
      </c>
      <c r="F1696">
        <v>1047</v>
      </c>
    </row>
    <row r="1697" spans="1:6">
      <c r="A1697" t="s">
        <v>13</v>
      </c>
      <c r="B1697" t="s">
        <v>78</v>
      </c>
      <c r="C1697" t="s">
        <v>835</v>
      </c>
      <c r="D1697" t="s">
        <v>1091</v>
      </c>
      <c r="E1697" t="s">
        <v>1195</v>
      </c>
      <c r="F1697">
        <v>1655</v>
      </c>
    </row>
    <row r="1698" spans="1:6">
      <c r="A1698" t="s">
        <v>13</v>
      </c>
      <c r="B1698" t="s">
        <v>78</v>
      </c>
      <c r="C1698" t="s">
        <v>835</v>
      </c>
      <c r="D1698" t="s">
        <v>1091</v>
      </c>
      <c r="E1698" t="s">
        <v>1196</v>
      </c>
      <c r="F1698">
        <v>1502</v>
      </c>
    </row>
    <row r="1699" spans="1:6">
      <c r="A1699" t="s">
        <v>13</v>
      </c>
      <c r="B1699" t="s">
        <v>78</v>
      </c>
      <c r="C1699" t="s">
        <v>835</v>
      </c>
      <c r="D1699" t="s">
        <v>1091</v>
      </c>
      <c r="E1699" t="s">
        <v>1197</v>
      </c>
      <c r="F1699">
        <v>2046</v>
      </c>
    </row>
    <row r="1700" spans="1:6">
      <c r="A1700" t="s">
        <v>13</v>
      </c>
      <c r="B1700" t="s">
        <v>78</v>
      </c>
      <c r="C1700" t="s">
        <v>835</v>
      </c>
      <c r="D1700" t="s">
        <v>1091</v>
      </c>
      <c r="E1700" t="s">
        <v>1198</v>
      </c>
      <c r="F1700">
        <v>2068</v>
      </c>
    </row>
    <row r="1701" spans="1:6">
      <c r="A1701" t="s">
        <v>13</v>
      </c>
      <c r="B1701" t="s">
        <v>78</v>
      </c>
      <c r="C1701" t="s">
        <v>835</v>
      </c>
      <c r="D1701" t="s">
        <v>1091</v>
      </c>
      <c r="E1701" t="s">
        <v>1199</v>
      </c>
      <c r="F1701" t="s">
        <v>1200</v>
      </c>
    </row>
    <row r="1702" spans="1:6">
      <c r="A1702" t="s">
        <v>13</v>
      </c>
      <c r="B1702" t="s">
        <v>78</v>
      </c>
      <c r="C1702" t="s">
        <v>835</v>
      </c>
      <c r="D1702" t="s">
        <v>1091</v>
      </c>
      <c r="E1702" t="s">
        <v>1201</v>
      </c>
      <c r="F1702" t="s">
        <v>1107</v>
      </c>
    </row>
    <row r="1703" spans="1:6">
      <c r="A1703" t="s">
        <v>13</v>
      </c>
      <c r="B1703" t="s">
        <v>78</v>
      </c>
      <c r="C1703" t="s">
        <v>835</v>
      </c>
      <c r="D1703" t="s">
        <v>1091</v>
      </c>
      <c r="E1703" t="s">
        <v>1202</v>
      </c>
      <c r="F1703">
        <v>4906894</v>
      </c>
    </row>
    <row r="1704" spans="1:6">
      <c r="A1704" t="s">
        <v>13</v>
      </c>
      <c r="B1704" t="s">
        <v>78</v>
      </c>
      <c r="C1704" t="s">
        <v>835</v>
      </c>
      <c r="D1704" t="s">
        <v>1091</v>
      </c>
      <c r="E1704" t="s">
        <v>1203</v>
      </c>
      <c r="F1704">
        <v>13985</v>
      </c>
    </row>
    <row r="1705" spans="1:6">
      <c r="A1705" t="s">
        <v>13</v>
      </c>
      <c r="B1705" t="s">
        <v>78</v>
      </c>
      <c r="C1705" t="s">
        <v>835</v>
      </c>
      <c r="D1705" t="s">
        <v>1091</v>
      </c>
      <c r="E1705" t="s">
        <v>1204</v>
      </c>
      <c r="F1705">
        <v>60314</v>
      </c>
    </row>
    <row r="1706" spans="1:6">
      <c r="A1706" t="s">
        <v>13</v>
      </c>
      <c r="B1706" t="s">
        <v>78</v>
      </c>
      <c r="C1706" t="s">
        <v>835</v>
      </c>
      <c r="D1706" t="s">
        <v>1091</v>
      </c>
      <c r="E1706" t="s">
        <v>1205</v>
      </c>
      <c r="F1706">
        <v>100199</v>
      </c>
    </row>
    <row r="1707" spans="1:6">
      <c r="A1707" t="s">
        <v>13</v>
      </c>
      <c r="B1707" t="s">
        <v>78</v>
      </c>
      <c r="C1707" t="s">
        <v>835</v>
      </c>
      <c r="D1707" t="s">
        <v>1091</v>
      </c>
      <c r="E1707" t="s">
        <v>1206</v>
      </c>
      <c r="F1707">
        <v>410520</v>
      </c>
    </row>
    <row r="1708" spans="1:6">
      <c r="A1708" t="s">
        <v>13</v>
      </c>
      <c r="B1708" t="s">
        <v>78</v>
      </c>
      <c r="C1708" t="s">
        <v>835</v>
      </c>
      <c r="D1708" t="s">
        <v>1091</v>
      </c>
      <c r="E1708" t="s">
        <v>1207</v>
      </c>
      <c r="F1708">
        <v>1983731</v>
      </c>
    </row>
    <row r="1709" spans="1:6">
      <c r="A1709" t="s">
        <v>13</v>
      </c>
      <c r="B1709" t="s">
        <v>78</v>
      </c>
      <c r="C1709" t="s">
        <v>835</v>
      </c>
      <c r="D1709" t="s">
        <v>1091</v>
      </c>
      <c r="E1709" t="s">
        <v>1208</v>
      </c>
      <c r="F1709">
        <v>2338145</v>
      </c>
    </row>
    <row r="1710" spans="1:6">
      <c r="A1710" t="s">
        <v>13</v>
      </c>
      <c r="B1710" t="s">
        <v>78</v>
      </c>
      <c r="C1710" t="s">
        <v>835</v>
      </c>
      <c r="D1710" t="s">
        <v>1091</v>
      </c>
      <c r="E1710" t="s">
        <v>1209</v>
      </c>
      <c r="F1710" t="s">
        <v>1307</v>
      </c>
    </row>
    <row r="1711" spans="1:6">
      <c r="A1711" t="s">
        <v>13</v>
      </c>
      <c r="B1711" t="s">
        <v>78</v>
      </c>
      <c r="C1711" t="s">
        <v>835</v>
      </c>
      <c r="D1711" t="s">
        <v>1091</v>
      </c>
      <c r="E1711" t="s">
        <v>1210</v>
      </c>
      <c r="F1711">
        <v>212</v>
      </c>
    </row>
    <row r="1712" spans="1:6">
      <c r="A1712" t="s">
        <v>13</v>
      </c>
      <c r="B1712" t="s">
        <v>78</v>
      </c>
      <c r="C1712" t="s">
        <v>835</v>
      </c>
      <c r="D1712" t="s">
        <v>1091</v>
      </c>
      <c r="E1712" t="s">
        <v>1211</v>
      </c>
      <c r="F1712">
        <v>0</v>
      </c>
    </row>
    <row r="1713" spans="1:6">
      <c r="A1713" t="s">
        <v>13</v>
      </c>
      <c r="B1713" t="s">
        <v>78</v>
      </c>
      <c r="C1713" t="s">
        <v>835</v>
      </c>
      <c r="D1713" t="s">
        <v>1091</v>
      </c>
      <c r="E1713" t="s">
        <v>1212</v>
      </c>
      <c r="F1713">
        <v>0</v>
      </c>
    </row>
    <row r="1714" spans="1:6">
      <c r="A1714" t="s">
        <v>13</v>
      </c>
      <c r="B1714" t="s">
        <v>78</v>
      </c>
      <c r="C1714" t="s">
        <v>835</v>
      </c>
      <c r="D1714" t="s">
        <v>1091</v>
      </c>
      <c r="E1714" t="s">
        <v>1213</v>
      </c>
      <c r="F1714">
        <v>212</v>
      </c>
    </row>
    <row r="1715" spans="1:6">
      <c r="A1715" t="s">
        <v>13</v>
      </c>
      <c r="B1715" t="s">
        <v>78</v>
      </c>
      <c r="C1715" t="s">
        <v>835</v>
      </c>
      <c r="D1715" t="s">
        <v>1091</v>
      </c>
      <c r="E1715" t="s">
        <v>1214</v>
      </c>
      <c r="F1715">
        <v>0</v>
      </c>
    </row>
    <row r="1716" spans="1:6">
      <c r="A1716" t="s">
        <v>13</v>
      </c>
      <c r="B1716" t="s">
        <v>78</v>
      </c>
      <c r="C1716" t="s">
        <v>835</v>
      </c>
      <c r="D1716" t="s">
        <v>1091</v>
      </c>
      <c r="E1716" t="s">
        <v>1215</v>
      </c>
      <c r="F1716">
        <v>0</v>
      </c>
    </row>
    <row r="1717" spans="1:6">
      <c r="A1717" t="s">
        <v>13</v>
      </c>
      <c r="B1717" t="s">
        <v>78</v>
      </c>
      <c r="C1717" t="s">
        <v>835</v>
      </c>
      <c r="D1717" t="s">
        <v>1091</v>
      </c>
      <c r="E1717" t="s">
        <v>1216</v>
      </c>
      <c r="F1717">
        <v>0</v>
      </c>
    </row>
    <row r="1718" spans="1:6">
      <c r="A1718" t="s">
        <v>13</v>
      </c>
      <c r="B1718" t="s">
        <v>78</v>
      </c>
      <c r="C1718" t="s">
        <v>835</v>
      </c>
      <c r="D1718" t="s">
        <v>1091</v>
      </c>
      <c r="E1718" t="s">
        <v>1217</v>
      </c>
      <c r="F1718" t="s">
        <v>1308</v>
      </c>
    </row>
    <row r="1719" spans="1:6">
      <c r="A1719" t="s">
        <v>13</v>
      </c>
      <c r="B1719" t="s">
        <v>78</v>
      </c>
      <c r="C1719" t="s">
        <v>835</v>
      </c>
      <c r="D1719" t="s">
        <v>1091</v>
      </c>
      <c r="E1719" t="s">
        <v>1218</v>
      </c>
      <c r="F1719">
        <v>8890050</v>
      </c>
    </row>
    <row r="1720" spans="1:6">
      <c r="A1720" t="s">
        <v>13</v>
      </c>
      <c r="B1720" t="s">
        <v>78</v>
      </c>
      <c r="C1720" t="s">
        <v>835</v>
      </c>
      <c r="D1720" t="s">
        <v>1091</v>
      </c>
      <c r="E1720" t="s">
        <v>1219</v>
      </c>
      <c r="F1720">
        <v>889066</v>
      </c>
    </row>
    <row r="1721" spans="1:6">
      <c r="A1721" t="s">
        <v>13</v>
      </c>
      <c r="B1721" t="s">
        <v>78</v>
      </c>
      <c r="C1721" t="s">
        <v>835</v>
      </c>
      <c r="D1721" t="s">
        <v>1091</v>
      </c>
      <c r="E1721" t="s">
        <v>1220</v>
      </c>
      <c r="F1721">
        <v>1106252</v>
      </c>
    </row>
    <row r="1722" spans="1:6">
      <c r="A1722" t="s">
        <v>13</v>
      </c>
      <c r="B1722" t="s">
        <v>78</v>
      </c>
      <c r="C1722" t="s">
        <v>835</v>
      </c>
      <c r="D1722" t="s">
        <v>1091</v>
      </c>
      <c r="E1722" t="s">
        <v>1221</v>
      </c>
      <c r="F1722">
        <v>1476519</v>
      </c>
    </row>
    <row r="1723" spans="1:6">
      <c r="A1723" t="s">
        <v>13</v>
      </c>
      <c r="B1723" t="s">
        <v>78</v>
      </c>
      <c r="C1723" t="s">
        <v>835</v>
      </c>
      <c r="D1723" t="s">
        <v>1091</v>
      </c>
      <c r="E1723" t="s">
        <v>1222</v>
      </c>
      <c r="F1723">
        <v>2085341</v>
      </c>
    </row>
    <row r="1724" spans="1:6">
      <c r="A1724" t="s">
        <v>13</v>
      </c>
      <c r="B1724" t="s">
        <v>78</v>
      </c>
      <c r="C1724" t="s">
        <v>835</v>
      </c>
      <c r="D1724" t="s">
        <v>1091</v>
      </c>
      <c r="E1724" t="s">
        <v>1223</v>
      </c>
      <c r="F1724">
        <v>1636488</v>
      </c>
    </row>
    <row r="1725" spans="1:6">
      <c r="A1725" t="s">
        <v>13</v>
      </c>
      <c r="B1725" t="s">
        <v>78</v>
      </c>
      <c r="C1725" t="s">
        <v>835</v>
      </c>
      <c r="D1725" t="s">
        <v>1091</v>
      </c>
      <c r="E1725" t="s">
        <v>1224</v>
      </c>
      <c r="F1725">
        <v>1696385</v>
      </c>
    </row>
    <row r="1726" spans="1:6">
      <c r="A1726" t="s">
        <v>13</v>
      </c>
      <c r="B1726" t="s">
        <v>78</v>
      </c>
      <c r="C1726" t="s">
        <v>835</v>
      </c>
      <c r="D1726" t="s">
        <v>1091</v>
      </c>
      <c r="E1726" t="s">
        <v>1225</v>
      </c>
      <c r="F1726" t="s">
        <v>1226</v>
      </c>
    </row>
    <row r="1727" spans="1:6">
      <c r="A1727" t="s">
        <v>13</v>
      </c>
      <c r="B1727" t="s">
        <v>78</v>
      </c>
      <c r="C1727" t="s">
        <v>835</v>
      </c>
      <c r="D1727" t="s">
        <v>1091</v>
      </c>
      <c r="E1727" t="s">
        <v>1227</v>
      </c>
      <c r="F1727" t="s">
        <v>1327</v>
      </c>
    </row>
    <row r="1728" spans="1:6">
      <c r="A1728" t="s">
        <v>13</v>
      </c>
      <c r="B1728" t="s">
        <v>78</v>
      </c>
      <c r="C1728" t="s">
        <v>835</v>
      </c>
      <c r="D1728" t="s">
        <v>1091</v>
      </c>
      <c r="E1728" t="s">
        <v>1228</v>
      </c>
      <c r="F1728" t="s">
        <v>1229</v>
      </c>
    </row>
    <row r="1729" spans="1:6">
      <c r="A1729" t="s">
        <v>13</v>
      </c>
      <c r="B1729" t="s">
        <v>78</v>
      </c>
      <c r="C1729" t="s">
        <v>835</v>
      </c>
      <c r="D1729" t="s">
        <v>1091</v>
      </c>
      <c r="E1729" t="s">
        <v>1230</v>
      </c>
      <c r="F1729" t="s">
        <v>1407</v>
      </c>
    </row>
    <row r="1730" spans="1:6">
      <c r="A1730" t="s">
        <v>13</v>
      </c>
      <c r="B1730" t="s">
        <v>78</v>
      </c>
      <c r="C1730" t="s">
        <v>835</v>
      </c>
      <c r="D1730" t="s">
        <v>1091</v>
      </c>
      <c r="E1730" t="s">
        <v>1231</v>
      </c>
      <c r="F1730" t="s">
        <v>1315</v>
      </c>
    </row>
    <row r="1731" spans="1:6">
      <c r="A1731" t="s">
        <v>13</v>
      </c>
      <c r="B1731" t="s">
        <v>78</v>
      </c>
      <c r="C1731" t="s">
        <v>835</v>
      </c>
      <c r="D1731" t="s">
        <v>1091</v>
      </c>
      <c r="E1731" t="s">
        <v>1233</v>
      </c>
      <c r="F1731" t="s">
        <v>1242</v>
      </c>
    </row>
    <row r="1732" spans="1:6">
      <c r="A1732" t="s">
        <v>13</v>
      </c>
      <c r="B1732" t="s">
        <v>78</v>
      </c>
      <c r="C1732" t="s">
        <v>835</v>
      </c>
      <c r="D1732" t="s">
        <v>1091</v>
      </c>
      <c r="E1732" t="s">
        <v>1234</v>
      </c>
      <c r="F1732" t="s">
        <v>1242</v>
      </c>
    </row>
    <row r="1733" spans="1:6">
      <c r="A1733" t="s">
        <v>13</v>
      </c>
      <c r="B1733" t="s">
        <v>78</v>
      </c>
      <c r="C1733" t="s">
        <v>835</v>
      </c>
      <c r="D1733" t="s">
        <v>1091</v>
      </c>
      <c r="E1733" t="s">
        <v>1235</v>
      </c>
      <c r="F1733" t="s">
        <v>1236</v>
      </c>
    </row>
    <row r="1734" spans="1:6">
      <c r="A1734" t="s">
        <v>13</v>
      </c>
      <c r="B1734" t="s">
        <v>78</v>
      </c>
      <c r="C1734" t="s">
        <v>835</v>
      </c>
      <c r="D1734" t="s">
        <v>1091</v>
      </c>
      <c r="E1734" t="s">
        <v>1237</v>
      </c>
      <c r="F1734" t="s">
        <v>1408</v>
      </c>
    </row>
    <row r="1735" spans="1:6">
      <c r="A1735" t="s">
        <v>13</v>
      </c>
      <c r="B1735" t="s">
        <v>78</v>
      </c>
      <c r="C1735" t="s">
        <v>835</v>
      </c>
      <c r="D1735" t="s">
        <v>1091</v>
      </c>
      <c r="E1735" t="s">
        <v>1238</v>
      </c>
      <c r="F1735" t="s">
        <v>1389</v>
      </c>
    </row>
    <row r="1736" spans="1:6">
      <c r="A1736" t="s">
        <v>13</v>
      </c>
      <c r="B1736" t="s">
        <v>78</v>
      </c>
      <c r="C1736" t="s">
        <v>835</v>
      </c>
      <c r="D1736" t="s">
        <v>1091</v>
      </c>
      <c r="E1736" t="s">
        <v>1240</v>
      </c>
      <c r="F1736" t="s">
        <v>1387</v>
      </c>
    </row>
    <row r="1737" spans="1:6">
      <c r="A1737" t="s">
        <v>13</v>
      </c>
      <c r="B1737" t="s">
        <v>78</v>
      </c>
      <c r="C1737" t="s">
        <v>835</v>
      </c>
      <c r="D1737" t="s">
        <v>1091</v>
      </c>
      <c r="E1737" t="s">
        <v>1241</v>
      </c>
      <c r="F1737" t="s">
        <v>1326</v>
      </c>
    </row>
    <row r="1738" spans="1:6">
      <c r="A1738" t="s">
        <v>13</v>
      </c>
      <c r="B1738" t="s">
        <v>78</v>
      </c>
      <c r="C1738" t="s">
        <v>835</v>
      </c>
      <c r="D1738" t="s">
        <v>1091</v>
      </c>
      <c r="E1738" t="s">
        <v>1243</v>
      </c>
      <c r="F1738" t="s">
        <v>1379</v>
      </c>
    </row>
    <row r="1739" spans="1:6">
      <c r="A1739" t="s">
        <v>13</v>
      </c>
      <c r="B1739" t="s">
        <v>78</v>
      </c>
      <c r="C1739" t="s">
        <v>835</v>
      </c>
      <c r="D1739" t="s">
        <v>1091</v>
      </c>
      <c r="E1739" t="s">
        <v>1244</v>
      </c>
      <c r="F1739" t="s">
        <v>1379</v>
      </c>
    </row>
    <row r="1740" spans="1:6">
      <c r="A1740" t="s">
        <v>13</v>
      </c>
      <c r="B1740" t="s">
        <v>78</v>
      </c>
      <c r="C1740" t="s">
        <v>835</v>
      </c>
      <c r="D1740" t="s">
        <v>1091</v>
      </c>
      <c r="E1740" t="s">
        <v>1245</v>
      </c>
      <c r="F1740" t="s">
        <v>1246</v>
      </c>
    </row>
    <row r="1741" spans="1:6">
      <c r="A1741" t="s">
        <v>13</v>
      </c>
      <c r="B1741" t="s">
        <v>78</v>
      </c>
      <c r="C1741" t="s">
        <v>835</v>
      </c>
      <c r="D1741" t="s">
        <v>1091</v>
      </c>
      <c r="E1741" t="s">
        <v>1247</v>
      </c>
      <c r="F1741">
        <v>477404</v>
      </c>
    </row>
    <row r="1742" spans="1:6">
      <c r="A1742" t="s">
        <v>13</v>
      </c>
      <c r="B1742" t="s">
        <v>78</v>
      </c>
      <c r="C1742" t="s">
        <v>835</v>
      </c>
      <c r="D1742" t="s">
        <v>1091</v>
      </c>
      <c r="E1742" t="s">
        <v>1248</v>
      </c>
      <c r="F1742">
        <v>218204</v>
      </c>
    </row>
    <row r="1743" spans="1:6">
      <c r="A1743" t="s">
        <v>13</v>
      </c>
      <c r="B1743" t="s">
        <v>78</v>
      </c>
      <c r="C1743" t="s">
        <v>835</v>
      </c>
      <c r="D1743" t="s">
        <v>1091</v>
      </c>
      <c r="E1743" t="s">
        <v>1249</v>
      </c>
      <c r="F1743">
        <v>74153</v>
      </c>
    </row>
    <row r="1744" spans="1:6">
      <c r="A1744" t="s">
        <v>13</v>
      </c>
      <c r="B1744" t="s">
        <v>78</v>
      </c>
      <c r="C1744" t="s">
        <v>835</v>
      </c>
      <c r="D1744" t="s">
        <v>1091</v>
      </c>
      <c r="E1744" t="s">
        <v>1250</v>
      </c>
      <c r="F1744">
        <v>74243</v>
      </c>
    </row>
    <row r="1745" spans="1:6">
      <c r="A1745" t="s">
        <v>13</v>
      </c>
      <c r="B1745" t="s">
        <v>78</v>
      </c>
      <c r="C1745" t="s">
        <v>835</v>
      </c>
      <c r="D1745" t="s">
        <v>1091</v>
      </c>
      <c r="E1745" t="s">
        <v>1251</v>
      </c>
      <c r="F1745">
        <v>42330</v>
      </c>
    </row>
    <row r="1746" spans="1:6">
      <c r="A1746" t="s">
        <v>13</v>
      </c>
      <c r="B1746" t="s">
        <v>78</v>
      </c>
      <c r="C1746" t="s">
        <v>835</v>
      </c>
      <c r="D1746" t="s">
        <v>1091</v>
      </c>
      <c r="E1746" t="s">
        <v>1252</v>
      </c>
      <c r="F1746">
        <v>32466</v>
      </c>
    </row>
    <row r="1747" spans="1:6">
      <c r="A1747" t="s">
        <v>13</v>
      </c>
      <c r="B1747" t="s">
        <v>78</v>
      </c>
      <c r="C1747" t="s">
        <v>835</v>
      </c>
      <c r="D1747" t="s">
        <v>1091</v>
      </c>
      <c r="E1747" t="s">
        <v>1253</v>
      </c>
      <c r="F1747">
        <v>36008</v>
      </c>
    </row>
    <row r="1748" spans="1:6">
      <c r="A1748" t="s">
        <v>13</v>
      </c>
      <c r="B1748" t="s">
        <v>78</v>
      </c>
      <c r="C1748" t="s">
        <v>835</v>
      </c>
      <c r="D1748" t="s">
        <v>1091</v>
      </c>
      <c r="E1748" t="s">
        <v>1254</v>
      </c>
      <c r="F1748" t="s">
        <v>1255</v>
      </c>
    </row>
    <row r="1749" spans="1:6">
      <c r="A1749" t="s">
        <v>13</v>
      </c>
      <c r="B1749" t="s">
        <v>78</v>
      </c>
      <c r="C1749" t="s">
        <v>835</v>
      </c>
      <c r="D1749" t="s">
        <v>1091</v>
      </c>
      <c r="E1749" t="s">
        <v>1256</v>
      </c>
      <c r="F1749">
        <v>11337</v>
      </c>
    </row>
    <row r="1750" spans="1:6">
      <c r="A1750" t="s">
        <v>13</v>
      </c>
      <c r="B1750" t="s">
        <v>78</v>
      </c>
      <c r="C1750" t="s">
        <v>835</v>
      </c>
      <c r="D1750" t="s">
        <v>1091</v>
      </c>
      <c r="E1750" t="s">
        <v>1257</v>
      </c>
      <c r="F1750">
        <v>3898</v>
      </c>
    </row>
    <row r="1751" spans="1:6">
      <c r="A1751" t="s">
        <v>13</v>
      </c>
      <c r="B1751" t="s">
        <v>78</v>
      </c>
      <c r="C1751" t="s">
        <v>835</v>
      </c>
      <c r="D1751" t="s">
        <v>1091</v>
      </c>
      <c r="E1751" t="s">
        <v>1258</v>
      </c>
      <c r="F1751">
        <v>1846</v>
      </c>
    </row>
    <row r="1752" spans="1:6">
      <c r="A1752" t="s">
        <v>13</v>
      </c>
      <c r="B1752" t="s">
        <v>78</v>
      </c>
      <c r="C1752" t="s">
        <v>835</v>
      </c>
      <c r="D1752" t="s">
        <v>1091</v>
      </c>
      <c r="E1752" t="s">
        <v>1259</v>
      </c>
      <c r="F1752">
        <v>1417</v>
      </c>
    </row>
    <row r="1753" spans="1:6">
      <c r="A1753" t="s">
        <v>13</v>
      </c>
      <c r="B1753" t="s">
        <v>78</v>
      </c>
      <c r="C1753" t="s">
        <v>835</v>
      </c>
      <c r="D1753" t="s">
        <v>1091</v>
      </c>
      <c r="E1753" t="s">
        <v>1260</v>
      </c>
      <c r="F1753">
        <v>1524</v>
      </c>
    </row>
    <row r="1754" spans="1:6">
      <c r="A1754" t="s">
        <v>13</v>
      </c>
      <c r="B1754" t="s">
        <v>78</v>
      </c>
      <c r="C1754" t="s">
        <v>835</v>
      </c>
      <c r="D1754" t="s">
        <v>1091</v>
      </c>
      <c r="E1754" t="s">
        <v>1261</v>
      </c>
      <c r="F1754">
        <v>1318</v>
      </c>
    </row>
    <row r="1755" spans="1:6">
      <c r="A1755" t="s">
        <v>13</v>
      </c>
      <c r="B1755" t="s">
        <v>78</v>
      </c>
      <c r="C1755" t="s">
        <v>835</v>
      </c>
      <c r="D1755" t="s">
        <v>1091</v>
      </c>
      <c r="E1755" t="s">
        <v>1262</v>
      </c>
      <c r="F1755">
        <v>1334</v>
      </c>
    </row>
    <row r="1756" spans="1:6">
      <c r="A1756" t="s">
        <v>13</v>
      </c>
      <c r="B1756" t="s">
        <v>78</v>
      </c>
      <c r="C1756" t="s">
        <v>835</v>
      </c>
      <c r="D1756" t="s">
        <v>1091</v>
      </c>
      <c r="E1756" t="s">
        <v>1263</v>
      </c>
      <c r="F1756" t="s">
        <v>1131</v>
      </c>
    </row>
    <row r="1757" spans="1:6">
      <c r="A1757" t="s">
        <v>13</v>
      </c>
      <c r="B1757" t="s">
        <v>78</v>
      </c>
      <c r="C1757" t="s">
        <v>835</v>
      </c>
      <c r="D1757" t="s">
        <v>1091</v>
      </c>
      <c r="E1757" t="s">
        <v>1264</v>
      </c>
      <c r="F1757" t="s">
        <v>1270</v>
      </c>
    </row>
    <row r="1758" spans="1:6">
      <c r="A1758" t="s">
        <v>13</v>
      </c>
      <c r="B1758" t="s">
        <v>78</v>
      </c>
      <c r="C1758" t="s">
        <v>835</v>
      </c>
      <c r="D1758" t="s">
        <v>1091</v>
      </c>
      <c r="E1758" t="s">
        <v>1265</v>
      </c>
      <c r="F1758" t="s">
        <v>1330</v>
      </c>
    </row>
    <row r="1759" spans="1:6">
      <c r="A1759" t="s">
        <v>13</v>
      </c>
      <c r="B1759" t="s">
        <v>78</v>
      </c>
      <c r="C1759" t="s">
        <v>835</v>
      </c>
      <c r="D1759" t="s">
        <v>1091</v>
      </c>
      <c r="E1759" t="s">
        <v>1266</v>
      </c>
      <c r="F1759" t="s">
        <v>1267</v>
      </c>
    </row>
    <row r="1760" spans="1:6">
      <c r="A1760" t="s">
        <v>13</v>
      </c>
      <c r="B1760" t="s">
        <v>78</v>
      </c>
      <c r="C1760" t="s">
        <v>835</v>
      </c>
      <c r="D1760" t="s">
        <v>1091</v>
      </c>
      <c r="E1760" t="s">
        <v>1268</v>
      </c>
      <c r="F1760" t="s">
        <v>1409</v>
      </c>
    </row>
    <row r="1761" spans="1:6">
      <c r="A1761" t="s">
        <v>13</v>
      </c>
      <c r="B1761" t="s">
        <v>78</v>
      </c>
      <c r="C1761" t="s">
        <v>835</v>
      </c>
      <c r="D1761" t="s">
        <v>1091</v>
      </c>
      <c r="E1761" t="s">
        <v>1269</v>
      </c>
      <c r="F1761" t="s">
        <v>1321</v>
      </c>
    </row>
    <row r="1762" spans="1:6">
      <c r="A1762" t="s">
        <v>13</v>
      </c>
      <c r="B1762" t="s">
        <v>78</v>
      </c>
      <c r="C1762" t="s">
        <v>835</v>
      </c>
      <c r="D1762" t="s">
        <v>1091</v>
      </c>
      <c r="E1762" t="s">
        <v>1271</v>
      </c>
      <c r="F1762" t="s">
        <v>1310</v>
      </c>
    </row>
    <row r="1763" spans="1:6">
      <c r="A1763" t="s">
        <v>13</v>
      </c>
      <c r="B1763" t="s">
        <v>78</v>
      </c>
      <c r="C1763" t="s">
        <v>835</v>
      </c>
      <c r="D1763" t="s">
        <v>1091</v>
      </c>
      <c r="E1763" t="s">
        <v>1272</v>
      </c>
      <c r="F1763" t="s">
        <v>1310</v>
      </c>
    </row>
    <row r="1764" spans="1:6">
      <c r="A1764" t="s">
        <v>13</v>
      </c>
      <c r="B1764" t="s">
        <v>78</v>
      </c>
      <c r="C1764" t="s">
        <v>835</v>
      </c>
      <c r="D1764" t="s">
        <v>1273</v>
      </c>
      <c r="E1764" t="s">
        <v>1274</v>
      </c>
      <c r="F1764" t="s">
        <v>1406</v>
      </c>
    </row>
    <row r="1765" spans="1:6">
      <c r="A1765" t="s">
        <v>13</v>
      </c>
      <c r="B1765" t="s">
        <v>78</v>
      </c>
      <c r="C1765" t="s">
        <v>835</v>
      </c>
      <c r="D1765" t="s">
        <v>1273</v>
      </c>
      <c r="E1765" t="s">
        <v>1275</v>
      </c>
      <c r="F1765" t="s">
        <v>998</v>
      </c>
    </row>
    <row r="1766" spans="1:6">
      <c r="A1766" t="s">
        <v>13</v>
      </c>
      <c r="B1766" t="s">
        <v>78</v>
      </c>
      <c r="C1766" t="s">
        <v>835</v>
      </c>
      <c r="D1766" t="s">
        <v>1273</v>
      </c>
      <c r="E1766" t="s">
        <v>1276</v>
      </c>
      <c r="F1766" t="s">
        <v>1277</v>
      </c>
    </row>
    <row r="1767" spans="1:6">
      <c r="A1767" t="s">
        <v>13</v>
      </c>
      <c r="B1767" t="s">
        <v>78</v>
      </c>
      <c r="C1767" t="s">
        <v>835</v>
      </c>
      <c r="D1767" t="s">
        <v>1273</v>
      </c>
      <c r="E1767" t="s">
        <v>1278</v>
      </c>
      <c r="F1767" t="s">
        <v>998</v>
      </c>
    </row>
    <row r="1768" spans="1:6">
      <c r="A1768" t="s">
        <v>13</v>
      </c>
      <c r="B1768" t="s">
        <v>78</v>
      </c>
      <c r="C1768" t="s">
        <v>835</v>
      </c>
      <c r="D1768" t="s">
        <v>1273</v>
      </c>
      <c r="E1768" t="s">
        <v>1279</v>
      </c>
      <c r="F1768" t="s">
        <v>1280</v>
      </c>
    </row>
    <row r="1769" spans="1:6">
      <c r="A1769" t="s">
        <v>13</v>
      </c>
      <c r="B1769" t="s">
        <v>78</v>
      </c>
      <c r="C1769" t="s">
        <v>835</v>
      </c>
      <c r="D1769" t="s">
        <v>1273</v>
      </c>
      <c r="E1769" t="s">
        <v>1281</v>
      </c>
      <c r="F1769" t="s">
        <v>1282</v>
      </c>
    </row>
    <row r="1770" spans="1:6">
      <c r="A1770" t="s">
        <v>13</v>
      </c>
      <c r="B1770" t="s">
        <v>78</v>
      </c>
      <c r="C1770" t="s">
        <v>835</v>
      </c>
      <c r="D1770" t="s">
        <v>1273</v>
      </c>
      <c r="E1770" t="s">
        <v>1283</v>
      </c>
      <c r="F1770" t="s">
        <v>1284</v>
      </c>
    </row>
    <row r="1771" spans="1:6">
      <c r="A1771" t="s">
        <v>13</v>
      </c>
      <c r="B1771" t="s">
        <v>78</v>
      </c>
      <c r="C1771" t="s">
        <v>835</v>
      </c>
      <c r="D1771" t="s">
        <v>1273</v>
      </c>
      <c r="E1771" t="s">
        <v>1285</v>
      </c>
      <c r="F1771" t="s">
        <v>377</v>
      </c>
    </row>
    <row r="1772" spans="1:6">
      <c r="A1772" t="s">
        <v>13</v>
      </c>
      <c r="B1772" t="s">
        <v>78</v>
      </c>
      <c r="C1772" t="s">
        <v>835</v>
      </c>
      <c r="D1772" t="s">
        <v>1273</v>
      </c>
      <c r="E1772" t="s">
        <v>1286</v>
      </c>
      <c r="F1772">
        <v>4094</v>
      </c>
    </row>
    <row r="1773" spans="1:6">
      <c r="A1773" t="s">
        <v>13</v>
      </c>
      <c r="B1773" t="s">
        <v>78</v>
      </c>
      <c r="C1773" t="s">
        <v>835</v>
      </c>
      <c r="D1773" t="s">
        <v>1273</v>
      </c>
      <c r="E1773" t="s">
        <v>1287</v>
      </c>
      <c r="F1773">
        <v>1230</v>
      </c>
    </row>
    <row r="1774" spans="1:6">
      <c r="A1774" t="s">
        <v>13</v>
      </c>
      <c r="B1774" t="s">
        <v>78</v>
      </c>
      <c r="C1774" t="s">
        <v>835</v>
      </c>
      <c r="D1774" t="s">
        <v>1273</v>
      </c>
      <c r="E1774" t="s">
        <v>1288</v>
      </c>
      <c r="F1774" t="s">
        <v>379</v>
      </c>
    </row>
    <row r="1775" spans="1:6">
      <c r="A1775" t="s">
        <v>13</v>
      </c>
      <c r="B1775" t="s">
        <v>78</v>
      </c>
      <c r="C1775" t="s">
        <v>835</v>
      </c>
      <c r="D1775" t="s">
        <v>1273</v>
      </c>
      <c r="E1775" t="s">
        <v>1096</v>
      </c>
      <c r="F1775">
        <v>3459</v>
      </c>
    </row>
    <row r="1776" spans="1:6">
      <c r="A1776" t="s">
        <v>13</v>
      </c>
      <c r="B1776" t="s">
        <v>78</v>
      </c>
      <c r="C1776" t="s">
        <v>835</v>
      </c>
      <c r="D1776" t="s">
        <v>1273</v>
      </c>
      <c r="E1776" t="s">
        <v>1004</v>
      </c>
      <c r="F1776">
        <v>14166</v>
      </c>
    </row>
    <row r="1777" spans="1:6">
      <c r="A1777" t="s">
        <v>13</v>
      </c>
      <c r="B1777" t="s">
        <v>78</v>
      </c>
      <c r="C1777" t="s">
        <v>835</v>
      </c>
      <c r="D1777" t="s">
        <v>1273</v>
      </c>
      <c r="E1777" t="s">
        <v>1289</v>
      </c>
      <c r="F1777" t="s">
        <v>381</v>
      </c>
    </row>
    <row r="1778" spans="1:6">
      <c r="A1778" t="s">
        <v>13</v>
      </c>
      <c r="B1778" t="s">
        <v>78</v>
      </c>
      <c r="C1778" t="s">
        <v>835</v>
      </c>
      <c r="D1778" t="s">
        <v>1273</v>
      </c>
      <c r="E1778" t="s">
        <v>1290</v>
      </c>
      <c r="F1778">
        <v>4817</v>
      </c>
    </row>
    <row r="1779" spans="1:6">
      <c r="A1779" t="s">
        <v>13</v>
      </c>
      <c r="B1779" t="s">
        <v>78</v>
      </c>
      <c r="C1779" t="s">
        <v>835</v>
      </c>
      <c r="D1779" t="s">
        <v>1273</v>
      </c>
      <c r="E1779" t="s">
        <v>1291</v>
      </c>
      <c r="F1779">
        <v>176203</v>
      </c>
    </row>
    <row r="1780" spans="1:6">
      <c r="A1780" t="s">
        <v>13</v>
      </c>
      <c r="B1780" t="s">
        <v>78</v>
      </c>
      <c r="C1780" t="s">
        <v>835</v>
      </c>
      <c r="D1780" t="s">
        <v>1273</v>
      </c>
      <c r="E1780" t="s">
        <v>1008</v>
      </c>
      <c r="F1780" t="s">
        <v>383</v>
      </c>
    </row>
    <row r="1781" spans="1:6">
      <c r="A1781" t="s">
        <v>13</v>
      </c>
      <c r="B1781" t="s">
        <v>78</v>
      </c>
      <c r="C1781" t="s">
        <v>835</v>
      </c>
      <c r="D1781" t="s">
        <v>1273</v>
      </c>
      <c r="E1781" t="s">
        <v>1010</v>
      </c>
      <c r="F1781">
        <v>1230</v>
      </c>
    </row>
    <row r="1782" spans="1:6">
      <c r="A1782" t="s">
        <v>13</v>
      </c>
      <c r="B1782" t="s">
        <v>78</v>
      </c>
      <c r="C1782" t="s">
        <v>835</v>
      </c>
      <c r="D1782" t="s">
        <v>1273</v>
      </c>
      <c r="E1782" t="s">
        <v>1012</v>
      </c>
      <c r="F1782">
        <v>301838</v>
      </c>
    </row>
    <row r="1783" spans="1:6">
      <c r="A1783" t="s">
        <v>13</v>
      </c>
      <c r="B1783" t="s">
        <v>78</v>
      </c>
      <c r="C1783" t="s">
        <v>835</v>
      </c>
      <c r="D1783" t="s">
        <v>1273</v>
      </c>
      <c r="E1783" t="s">
        <v>1035</v>
      </c>
      <c r="F1783" t="s">
        <v>385</v>
      </c>
    </row>
    <row r="1784" spans="1:6">
      <c r="A1784" t="s">
        <v>13</v>
      </c>
      <c r="B1784" t="s">
        <v>78</v>
      </c>
      <c r="C1784" t="s">
        <v>835</v>
      </c>
      <c r="D1784" t="s">
        <v>1273</v>
      </c>
      <c r="E1784" t="s">
        <v>1099</v>
      </c>
      <c r="F1784">
        <v>41</v>
      </c>
    </row>
    <row r="1785" spans="1:6">
      <c r="A1785" t="s">
        <v>13</v>
      </c>
      <c r="B1785" t="s">
        <v>78</v>
      </c>
      <c r="C1785" t="s">
        <v>835</v>
      </c>
      <c r="D1785" t="s">
        <v>1273</v>
      </c>
      <c r="E1785" t="s">
        <v>1100</v>
      </c>
      <c r="F1785">
        <v>99975</v>
      </c>
    </row>
    <row r="1786" spans="1:6">
      <c r="A1786" t="s">
        <v>13</v>
      </c>
      <c r="B1786" t="s">
        <v>78</v>
      </c>
      <c r="C1786" t="s">
        <v>835</v>
      </c>
      <c r="D1786" t="s">
        <v>1273</v>
      </c>
      <c r="E1786" t="s">
        <v>1037</v>
      </c>
      <c r="F1786" t="s">
        <v>1292</v>
      </c>
    </row>
    <row r="1787" spans="1:6">
      <c r="A1787" t="s">
        <v>13</v>
      </c>
      <c r="B1787" t="s">
        <v>78</v>
      </c>
      <c r="C1787" t="s">
        <v>835</v>
      </c>
      <c r="D1787" t="s">
        <v>1273</v>
      </c>
      <c r="E1787" t="s">
        <v>1103</v>
      </c>
      <c r="F1787">
        <v>13641</v>
      </c>
    </row>
    <row r="1788" spans="1:6">
      <c r="A1788" t="s">
        <v>13</v>
      </c>
      <c r="B1788" t="s">
        <v>78</v>
      </c>
      <c r="C1788" t="s">
        <v>835</v>
      </c>
      <c r="D1788" t="s">
        <v>1273</v>
      </c>
      <c r="E1788" t="s">
        <v>1104</v>
      </c>
      <c r="F1788">
        <v>593413</v>
      </c>
    </row>
    <row r="1789" spans="1:6">
      <c r="A1789" t="s">
        <v>13</v>
      </c>
      <c r="B1789" t="s">
        <v>78</v>
      </c>
      <c r="C1789" t="s">
        <v>835</v>
      </c>
      <c r="D1789" t="s">
        <v>1273</v>
      </c>
      <c r="E1789" t="s">
        <v>1052</v>
      </c>
      <c r="F1789" t="s">
        <v>1293</v>
      </c>
    </row>
    <row r="1790" spans="1:6">
      <c r="A1790" t="s">
        <v>13</v>
      </c>
      <c r="B1790" t="s">
        <v>78</v>
      </c>
      <c r="C1790" t="s">
        <v>835</v>
      </c>
      <c r="D1790" t="s">
        <v>1273</v>
      </c>
      <c r="E1790" t="s">
        <v>1053</v>
      </c>
      <c r="F1790">
        <v>2024</v>
      </c>
    </row>
    <row r="1791" spans="1:6">
      <c r="A1791" t="s">
        <v>13</v>
      </c>
      <c r="B1791" t="s">
        <v>78</v>
      </c>
      <c r="C1791" t="s">
        <v>835</v>
      </c>
      <c r="D1791" t="s">
        <v>1273</v>
      </c>
      <c r="E1791" t="s">
        <v>1108</v>
      </c>
      <c r="F1791">
        <v>140</v>
      </c>
    </row>
    <row r="1792" spans="1:6">
      <c r="A1792" t="s">
        <v>13</v>
      </c>
      <c r="B1792" t="s">
        <v>78</v>
      </c>
      <c r="C1792" t="s">
        <v>835</v>
      </c>
      <c r="D1792" t="s">
        <v>1273</v>
      </c>
      <c r="E1792" t="s">
        <v>1109</v>
      </c>
      <c r="F1792">
        <v>9595</v>
      </c>
    </row>
    <row r="1793" spans="1:6">
      <c r="A1793" t="s">
        <v>13</v>
      </c>
      <c r="B1793" t="s">
        <v>78</v>
      </c>
      <c r="C1793" t="s">
        <v>835</v>
      </c>
      <c r="D1793" t="s">
        <v>1273</v>
      </c>
      <c r="E1793" t="s">
        <v>1113</v>
      </c>
      <c r="F1793">
        <v>2025</v>
      </c>
    </row>
    <row r="1794" spans="1:6">
      <c r="A1794" t="s">
        <v>13</v>
      </c>
      <c r="B1794" t="s">
        <v>78</v>
      </c>
      <c r="C1794" t="s">
        <v>835</v>
      </c>
      <c r="D1794" t="s">
        <v>1273</v>
      </c>
      <c r="E1794" t="s">
        <v>1114</v>
      </c>
      <c r="F1794">
        <v>2163</v>
      </c>
    </row>
    <row r="1795" spans="1:6">
      <c r="A1795" t="s">
        <v>13</v>
      </c>
      <c r="B1795" t="s">
        <v>78</v>
      </c>
      <c r="C1795" t="s">
        <v>835</v>
      </c>
      <c r="D1795" t="s">
        <v>1273</v>
      </c>
      <c r="E1795" t="s">
        <v>1115</v>
      </c>
      <c r="F1795">
        <v>106201</v>
      </c>
    </row>
    <row r="1796" spans="1:6">
      <c r="A1796" t="s">
        <v>13</v>
      </c>
      <c r="B1796" t="s">
        <v>78</v>
      </c>
      <c r="C1796" t="s">
        <v>835</v>
      </c>
      <c r="D1796" t="s">
        <v>1273</v>
      </c>
      <c r="E1796" t="s">
        <v>1118</v>
      </c>
      <c r="F1796">
        <v>2026</v>
      </c>
    </row>
    <row r="1797" spans="1:6">
      <c r="A1797" t="s">
        <v>13</v>
      </c>
      <c r="B1797" t="s">
        <v>78</v>
      </c>
      <c r="C1797" t="s">
        <v>835</v>
      </c>
      <c r="D1797" t="s">
        <v>1273</v>
      </c>
      <c r="E1797" t="s">
        <v>1119</v>
      </c>
      <c r="F1797">
        <v>11338</v>
      </c>
    </row>
    <row r="1798" spans="1:6">
      <c r="A1798" t="s">
        <v>13</v>
      </c>
      <c r="B1798" t="s">
        <v>78</v>
      </c>
      <c r="C1798" t="s">
        <v>835</v>
      </c>
      <c r="D1798" t="s">
        <v>1273</v>
      </c>
      <c r="E1798" t="s">
        <v>1120</v>
      </c>
      <c r="F1798">
        <v>477617</v>
      </c>
    </row>
    <row r="1799" spans="1:6">
      <c r="A1799" t="s">
        <v>13</v>
      </c>
      <c r="B1799" t="s">
        <v>78</v>
      </c>
      <c r="C1799" t="s">
        <v>835</v>
      </c>
      <c r="D1799" t="s">
        <v>1273</v>
      </c>
      <c r="E1799" t="s">
        <v>1124</v>
      </c>
      <c r="F1799" t="s">
        <v>1292</v>
      </c>
    </row>
    <row r="1800" spans="1:6">
      <c r="A1800" t="s">
        <v>13</v>
      </c>
      <c r="B1800" t="s">
        <v>78</v>
      </c>
      <c r="C1800" t="s">
        <v>835</v>
      </c>
      <c r="D1800" t="s">
        <v>1273</v>
      </c>
      <c r="E1800" t="s">
        <v>1126</v>
      </c>
      <c r="F1800">
        <v>13641</v>
      </c>
    </row>
    <row r="1801" spans="1:6">
      <c r="A1801" t="s">
        <v>13</v>
      </c>
      <c r="B1801" t="s">
        <v>78</v>
      </c>
      <c r="C1801" t="s">
        <v>835</v>
      </c>
      <c r="D1801" t="s">
        <v>1273</v>
      </c>
      <c r="E1801" t="s">
        <v>1127</v>
      </c>
      <c r="F1801">
        <v>593413</v>
      </c>
    </row>
    <row r="1802" spans="1:6">
      <c r="A1802" t="s">
        <v>13</v>
      </c>
      <c r="B1802" t="s">
        <v>78</v>
      </c>
      <c r="C1802" t="s">
        <v>835</v>
      </c>
      <c r="D1802" t="s">
        <v>1273</v>
      </c>
      <c r="E1802" t="s">
        <v>1072</v>
      </c>
      <c r="F1802" t="s">
        <v>1410</v>
      </c>
    </row>
    <row r="1803" spans="1:6">
      <c r="A1803" t="s">
        <v>13</v>
      </c>
      <c r="B1803" t="s">
        <v>78</v>
      </c>
      <c r="C1803" t="s">
        <v>835</v>
      </c>
      <c r="D1803" t="s">
        <v>1273</v>
      </c>
      <c r="E1803" t="s">
        <v>1133</v>
      </c>
      <c r="F1803" t="s">
        <v>1411</v>
      </c>
    </row>
    <row r="1804" spans="1:6">
      <c r="A1804" t="s">
        <v>13</v>
      </c>
      <c r="B1804" t="s">
        <v>78</v>
      </c>
      <c r="C1804" t="s">
        <v>835</v>
      </c>
      <c r="D1804" t="s">
        <v>1273</v>
      </c>
      <c r="E1804" t="s">
        <v>1134</v>
      </c>
      <c r="F1804" t="s">
        <v>1412</v>
      </c>
    </row>
    <row r="1805" spans="1:6">
      <c r="A1805" t="s">
        <v>13</v>
      </c>
      <c r="B1805" t="s">
        <v>78</v>
      </c>
      <c r="C1805" t="s">
        <v>835</v>
      </c>
      <c r="D1805" t="s">
        <v>1273</v>
      </c>
      <c r="E1805" t="s">
        <v>1135</v>
      </c>
      <c r="F1805" t="s">
        <v>1413</v>
      </c>
    </row>
    <row r="1806" spans="1:6">
      <c r="A1806" t="s">
        <v>13</v>
      </c>
      <c r="B1806" t="s">
        <v>78</v>
      </c>
      <c r="C1806" t="s">
        <v>835</v>
      </c>
      <c r="D1806" t="s">
        <v>1273</v>
      </c>
      <c r="E1806" t="s">
        <v>1414</v>
      </c>
      <c r="F1806" t="s">
        <v>1415</v>
      </c>
    </row>
    <row r="1807" spans="1:6">
      <c r="A1807" t="s">
        <v>13</v>
      </c>
      <c r="B1807" t="s">
        <v>78</v>
      </c>
      <c r="C1807" t="s">
        <v>835</v>
      </c>
      <c r="D1807" t="s">
        <v>1273</v>
      </c>
      <c r="E1807" t="s">
        <v>1074</v>
      </c>
      <c r="F1807">
        <v>2024</v>
      </c>
    </row>
    <row r="1808" spans="1:6">
      <c r="A1808" t="s">
        <v>13</v>
      </c>
      <c r="B1808" t="s">
        <v>78</v>
      </c>
      <c r="C1808" t="s">
        <v>835</v>
      </c>
      <c r="D1808" t="s">
        <v>1273</v>
      </c>
      <c r="E1808" t="s">
        <v>1296</v>
      </c>
      <c r="F1808">
        <v>140</v>
      </c>
    </row>
    <row r="1809" spans="1:6">
      <c r="A1809" t="s">
        <v>13</v>
      </c>
      <c r="B1809" t="s">
        <v>78</v>
      </c>
      <c r="C1809" t="s">
        <v>835</v>
      </c>
      <c r="D1809" t="s">
        <v>1273</v>
      </c>
      <c r="E1809" t="s">
        <v>1297</v>
      </c>
      <c r="F1809">
        <v>9595</v>
      </c>
    </row>
    <row r="1810" spans="1:6">
      <c r="A1810" t="s">
        <v>13</v>
      </c>
      <c r="B1810" t="s">
        <v>78</v>
      </c>
      <c r="C1810" t="s">
        <v>835</v>
      </c>
      <c r="D1810" t="s">
        <v>1273</v>
      </c>
      <c r="E1810" t="s">
        <v>1364</v>
      </c>
      <c r="F1810" t="s">
        <v>1416</v>
      </c>
    </row>
    <row r="1811" spans="1:6">
      <c r="A1811" t="s">
        <v>13</v>
      </c>
      <c r="B1811" t="s">
        <v>78</v>
      </c>
      <c r="C1811" t="s">
        <v>835</v>
      </c>
      <c r="D1811" t="s">
        <v>1273</v>
      </c>
      <c r="E1811" t="s">
        <v>1365</v>
      </c>
      <c r="F1811" t="s">
        <v>1417</v>
      </c>
    </row>
    <row r="1812" spans="1:6">
      <c r="A1812" t="s">
        <v>13</v>
      </c>
      <c r="B1812" t="s">
        <v>78</v>
      </c>
      <c r="C1812" t="s">
        <v>835</v>
      </c>
      <c r="D1812" t="s">
        <v>1273</v>
      </c>
      <c r="E1812" t="s">
        <v>1076</v>
      </c>
      <c r="F1812" t="s">
        <v>1418</v>
      </c>
    </row>
    <row r="1813" spans="1:6">
      <c r="A1813" t="s">
        <v>13</v>
      </c>
      <c r="B1813" t="s">
        <v>78</v>
      </c>
      <c r="C1813" t="s">
        <v>835</v>
      </c>
      <c r="D1813" t="s">
        <v>1273</v>
      </c>
      <c r="E1813" t="s">
        <v>1077</v>
      </c>
      <c r="F1813">
        <v>62</v>
      </c>
    </row>
    <row r="1814" spans="1:6">
      <c r="A1814" t="s">
        <v>13</v>
      </c>
      <c r="B1814" t="s">
        <v>78</v>
      </c>
      <c r="C1814" t="s">
        <v>835</v>
      </c>
      <c r="D1814" t="s">
        <v>1273</v>
      </c>
      <c r="E1814" t="s">
        <v>1078</v>
      </c>
      <c r="F1814">
        <v>5280</v>
      </c>
    </row>
    <row r="1815" spans="1:6">
      <c r="A1815" t="s">
        <v>13</v>
      </c>
      <c r="B1815" t="s">
        <v>78</v>
      </c>
      <c r="C1815" t="s">
        <v>835</v>
      </c>
      <c r="D1815" t="s">
        <v>1273</v>
      </c>
      <c r="E1815" t="s">
        <v>1079</v>
      </c>
      <c r="F1815" t="s">
        <v>1419</v>
      </c>
    </row>
    <row r="1816" spans="1:6">
      <c r="A1816" t="s">
        <v>13</v>
      </c>
      <c r="B1816" t="s">
        <v>78</v>
      </c>
      <c r="C1816" t="s">
        <v>835</v>
      </c>
      <c r="D1816" t="s">
        <v>1273</v>
      </c>
      <c r="E1816" t="s">
        <v>1080</v>
      </c>
      <c r="F1816" t="s">
        <v>1420</v>
      </c>
    </row>
    <row r="1817" spans="1:6">
      <c r="A1817" t="s">
        <v>13</v>
      </c>
      <c r="B1817" t="s">
        <v>78</v>
      </c>
      <c r="C1817" t="s">
        <v>835</v>
      </c>
      <c r="D1817" t="s">
        <v>1273</v>
      </c>
      <c r="E1817" t="s">
        <v>1090</v>
      </c>
      <c r="F1817" t="s">
        <v>1421</v>
      </c>
    </row>
    <row r="1818" spans="1:6">
      <c r="A1818" t="s">
        <v>13</v>
      </c>
      <c r="B1818" t="s">
        <v>78</v>
      </c>
      <c r="C1818" t="s">
        <v>835</v>
      </c>
      <c r="D1818" t="s">
        <v>1273</v>
      </c>
      <c r="E1818" t="s">
        <v>1139</v>
      </c>
      <c r="F1818">
        <v>68</v>
      </c>
    </row>
    <row r="1819" spans="1:6">
      <c r="A1819" t="s">
        <v>13</v>
      </c>
      <c r="B1819" t="s">
        <v>78</v>
      </c>
      <c r="C1819" t="s">
        <v>835</v>
      </c>
      <c r="D1819" t="s">
        <v>1273</v>
      </c>
      <c r="E1819" t="s">
        <v>1140</v>
      </c>
      <c r="F1819">
        <v>3542</v>
      </c>
    </row>
    <row r="1820" spans="1:6">
      <c r="A1820" t="s">
        <v>13</v>
      </c>
      <c r="B1820" t="s">
        <v>78</v>
      </c>
      <c r="C1820" t="s">
        <v>835</v>
      </c>
      <c r="D1820" t="s">
        <v>1273</v>
      </c>
      <c r="E1820" t="s">
        <v>1141</v>
      </c>
      <c r="F1820" t="s">
        <v>1422</v>
      </c>
    </row>
    <row r="1821" spans="1:6">
      <c r="A1821" t="s">
        <v>13</v>
      </c>
      <c r="B1821" t="s">
        <v>78</v>
      </c>
      <c r="C1821" t="s">
        <v>835</v>
      </c>
      <c r="D1821" t="s">
        <v>1273</v>
      </c>
      <c r="E1821" t="s">
        <v>1423</v>
      </c>
      <c r="F1821" t="s">
        <v>1424</v>
      </c>
    </row>
    <row r="1822" spans="1:6">
      <c r="A1822" t="s">
        <v>13</v>
      </c>
      <c r="B1822" t="s">
        <v>78</v>
      </c>
      <c r="C1822" t="s">
        <v>835</v>
      </c>
      <c r="D1822" t="s">
        <v>1273</v>
      </c>
      <c r="E1822" t="s">
        <v>1298</v>
      </c>
      <c r="F1822" t="s">
        <v>1425</v>
      </c>
    </row>
    <row r="1823" spans="1:6">
      <c r="A1823" t="s">
        <v>13</v>
      </c>
      <c r="B1823" t="s">
        <v>78</v>
      </c>
      <c r="C1823" t="s">
        <v>835</v>
      </c>
      <c r="D1823" t="s">
        <v>1273</v>
      </c>
      <c r="E1823" t="s">
        <v>1299</v>
      </c>
      <c r="F1823">
        <v>59</v>
      </c>
    </row>
    <row r="1824" spans="1:6">
      <c r="A1824" t="s">
        <v>13</v>
      </c>
      <c r="B1824" t="s">
        <v>78</v>
      </c>
      <c r="C1824" t="s">
        <v>835</v>
      </c>
      <c r="D1824" t="s">
        <v>1273</v>
      </c>
      <c r="E1824" t="s">
        <v>1300</v>
      </c>
      <c r="F1824">
        <v>2659</v>
      </c>
    </row>
    <row r="1825" spans="1:6">
      <c r="A1825" t="s">
        <v>13</v>
      </c>
      <c r="B1825" t="s">
        <v>78</v>
      </c>
      <c r="C1825" t="s">
        <v>835</v>
      </c>
      <c r="D1825" t="s">
        <v>1273</v>
      </c>
      <c r="E1825" t="s">
        <v>1426</v>
      </c>
      <c r="F1825" t="s">
        <v>1427</v>
      </c>
    </row>
    <row r="1826" spans="1:6">
      <c r="A1826" t="s">
        <v>13</v>
      </c>
      <c r="B1826" t="s">
        <v>78</v>
      </c>
      <c r="C1826" t="s">
        <v>835</v>
      </c>
      <c r="D1826" t="s">
        <v>1273</v>
      </c>
      <c r="E1826" t="s">
        <v>1400</v>
      </c>
      <c r="F1826" t="s">
        <v>1419</v>
      </c>
    </row>
    <row r="1827" spans="1:6">
      <c r="A1827" t="s">
        <v>13</v>
      </c>
      <c r="B1827" t="s">
        <v>78</v>
      </c>
      <c r="C1827" t="s">
        <v>835</v>
      </c>
      <c r="D1827" t="s">
        <v>1273</v>
      </c>
      <c r="E1827" t="s">
        <v>1301</v>
      </c>
      <c r="F1827" t="s">
        <v>1428</v>
      </c>
    </row>
    <row r="1828" spans="1:6">
      <c r="A1828" t="s">
        <v>13</v>
      </c>
      <c r="B1828" t="s">
        <v>78</v>
      </c>
      <c r="C1828" t="s">
        <v>835</v>
      </c>
      <c r="D1828" t="s">
        <v>1273</v>
      </c>
      <c r="E1828" t="s">
        <v>1302</v>
      </c>
      <c r="F1828">
        <v>78</v>
      </c>
    </row>
    <row r="1829" spans="1:6">
      <c r="A1829" t="s">
        <v>13</v>
      </c>
      <c r="B1829" t="s">
        <v>78</v>
      </c>
      <c r="C1829" t="s">
        <v>835</v>
      </c>
      <c r="D1829" t="s">
        <v>1273</v>
      </c>
      <c r="E1829" t="s">
        <v>1303</v>
      </c>
      <c r="F1829">
        <v>3379</v>
      </c>
    </row>
    <row r="1830" spans="1:6">
      <c r="A1830" t="s">
        <v>13</v>
      </c>
      <c r="B1830" t="s">
        <v>78</v>
      </c>
      <c r="C1830" t="s">
        <v>835</v>
      </c>
      <c r="D1830" t="s">
        <v>1273</v>
      </c>
      <c r="E1830" t="s">
        <v>1429</v>
      </c>
      <c r="F1830" t="s">
        <v>1430</v>
      </c>
    </row>
    <row r="1831" spans="1:6">
      <c r="A1831" t="s">
        <v>13</v>
      </c>
      <c r="B1831" t="s">
        <v>78</v>
      </c>
      <c r="C1831" t="s">
        <v>835</v>
      </c>
      <c r="D1831" t="s">
        <v>1273</v>
      </c>
      <c r="E1831" t="s">
        <v>1145</v>
      </c>
      <c r="F1831" t="s">
        <v>1430</v>
      </c>
    </row>
    <row r="1832" spans="1:6">
      <c r="A1832" t="s">
        <v>13</v>
      </c>
      <c r="B1832" t="s">
        <v>78</v>
      </c>
      <c r="C1832" t="s">
        <v>835</v>
      </c>
      <c r="D1832" t="s">
        <v>1273</v>
      </c>
      <c r="E1832" t="s">
        <v>1392</v>
      </c>
      <c r="F1832" t="s">
        <v>1431</v>
      </c>
    </row>
    <row r="1833" spans="1:6">
      <c r="A1833" t="s">
        <v>13</v>
      </c>
      <c r="B1833" t="s">
        <v>78</v>
      </c>
      <c r="C1833" t="s">
        <v>835</v>
      </c>
      <c r="D1833" t="s">
        <v>1273</v>
      </c>
      <c r="E1833" t="s">
        <v>1393</v>
      </c>
      <c r="F1833">
        <v>152</v>
      </c>
    </row>
    <row r="1834" spans="1:6">
      <c r="A1834" t="s">
        <v>13</v>
      </c>
      <c r="B1834" t="s">
        <v>78</v>
      </c>
      <c r="C1834" t="s">
        <v>835</v>
      </c>
      <c r="D1834" t="s">
        <v>1273</v>
      </c>
      <c r="E1834" t="s">
        <v>1394</v>
      </c>
      <c r="F1834">
        <v>4790</v>
      </c>
    </row>
    <row r="1835" spans="1:6">
      <c r="A1835" t="s">
        <v>13</v>
      </c>
      <c r="B1835" t="s">
        <v>78</v>
      </c>
      <c r="C1835" t="s">
        <v>835</v>
      </c>
      <c r="D1835" t="s">
        <v>1273</v>
      </c>
      <c r="E1835" t="s">
        <v>1432</v>
      </c>
      <c r="F1835" t="s">
        <v>1433</v>
      </c>
    </row>
    <row r="1836" spans="1:6">
      <c r="A1836" t="s">
        <v>13</v>
      </c>
      <c r="B1836" t="s">
        <v>78</v>
      </c>
      <c r="C1836" t="s">
        <v>835</v>
      </c>
      <c r="D1836" t="s">
        <v>1273</v>
      </c>
      <c r="E1836" t="s">
        <v>1434</v>
      </c>
      <c r="F1836" t="s">
        <v>1435</v>
      </c>
    </row>
    <row r="1837" spans="1:6">
      <c r="A1837" t="s">
        <v>13</v>
      </c>
      <c r="B1837" t="s">
        <v>78</v>
      </c>
      <c r="C1837" t="s">
        <v>835</v>
      </c>
      <c r="D1837" t="s">
        <v>1273</v>
      </c>
      <c r="E1837" t="s">
        <v>1149</v>
      </c>
      <c r="F1837" t="s">
        <v>1436</v>
      </c>
    </row>
    <row r="1838" spans="1:6">
      <c r="A1838" t="s">
        <v>13</v>
      </c>
      <c r="B1838" t="s">
        <v>78</v>
      </c>
      <c r="C1838" t="s">
        <v>835</v>
      </c>
      <c r="D1838" t="s">
        <v>1273</v>
      </c>
      <c r="E1838" t="s">
        <v>1437</v>
      </c>
      <c r="F1838">
        <v>85</v>
      </c>
    </row>
    <row r="1839" spans="1:6">
      <c r="A1839" t="s">
        <v>13</v>
      </c>
      <c r="B1839" t="s">
        <v>78</v>
      </c>
      <c r="C1839" t="s">
        <v>835</v>
      </c>
      <c r="D1839" t="s">
        <v>1273</v>
      </c>
      <c r="E1839" t="s">
        <v>1438</v>
      </c>
      <c r="F1839">
        <v>4596</v>
      </c>
    </row>
    <row r="1840" spans="1:6">
      <c r="A1840" t="s">
        <v>13</v>
      </c>
      <c r="B1840" t="s">
        <v>78</v>
      </c>
      <c r="C1840" t="s">
        <v>835</v>
      </c>
      <c r="D1840" t="s">
        <v>1273</v>
      </c>
      <c r="E1840" t="s">
        <v>1439</v>
      </c>
      <c r="F1840" t="s">
        <v>1440</v>
      </c>
    </row>
    <row r="1841" spans="1:6">
      <c r="A1841" t="s">
        <v>13</v>
      </c>
      <c r="B1841" t="s">
        <v>78</v>
      </c>
      <c r="C1841" t="s">
        <v>835</v>
      </c>
      <c r="D1841" t="s">
        <v>1273</v>
      </c>
      <c r="E1841" t="s">
        <v>1441</v>
      </c>
      <c r="F1841" t="s">
        <v>1442</v>
      </c>
    </row>
    <row r="1842" spans="1:6">
      <c r="A1842" t="s">
        <v>13</v>
      </c>
      <c r="B1842" t="s">
        <v>78</v>
      </c>
      <c r="C1842" t="s">
        <v>835</v>
      </c>
      <c r="D1842" t="s">
        <v>1273</v>
      </c>
      <c r="E1842" t="s">
        <v>1151</v>
      </c>
      <c r="F1842" t="s">
        <v>1443</v>
      </c>
    </row>
    <row r="1843" spans="1:6">
      <c r="A1843" t="s">
        <v>13</v>
      </c>
      <c r="B1843" t="s">
        <v>78</v>
      </c>
      <c r="C1843" t="s">
        <v>835</v>
      </c>
      <c r="D1843" t="s">
        <v>1273</v>
      </c>
      <c r="E1843" t="s">
        <v>1152</v>
      </c>
      <c r="F1843">
        <v>248</v>
      </c>
    </row>
    <row r="1844" spans="1:6">
      <c r="A1844" t="s">
        <v>13</v>
      </c>
      <c r="B1844" t="s">
        <v>78</v>
      </c>
      <c r="C1844" t="s">
        <v>835</v>
      </c>
      <c r="D1844" t="s">
        <v>1273</v>
      </c>
      <c r="E1844" t="s">
        <v>1154</v>
      </c>
      <c r="F1844">
        <v>11470</v>
      </c>
    </row>
    <row r="1845" spans="1:6">
      <c r="A1845" t="s">
        <v>13</v>
      </c>
      <c r="B1845" t="s">
        <v>78</v>
      </c>
      <c r="C1845" t="s">
        <v>835</v>
      </c>
      <c r="D1845" t="s">
        <v>1273</v>
      </c>
      <c r="E1845" t="s">
        <v>1156</v>
      </c>
      <c r="F1845" t="s">
        <v>1444</v>
      </c>
    </row>
    <row r="1846" spans="1:6">
      <c r="A1846" t="s">
        <v>13</v>
      </c>
      <c r="B1846" t="s">
        <v>78</v>
      </c>
      <c r="C1846" t="s">
        <v>835</v>
      </c>
      <c r="D1846" t="s">
        <v>1273</v>
      </c>
      <c r="E1846" t="s">
        <v>1158</v>
      </c>
      <c r="F1846" t="s">
        <v>1445</v>
      </c>
    </row>
    <row r="1847" spans="1:6">
      <c r="A1847" t="s">
        <v>13</v>
      </c>
      <c r="B1847" t="s">
        <v>78</v>
      </c>
      <c r="C1847" t="s">
        <v>835</v>
      </c>
      <c r="D1847" t="s">
        <v>1273</v>
      </c>
      <c r="E1847" t="s">
        <v>1166</v>
      </c>
      <c r="F1847" t="s">
        <v>1446</v>
      </c>
    </row>
    <row r="1848" spans="1:6">
      <c r="A1848" t="s">
        <v>13</v>
      </c>
      <c r="B1848" t="s">
        <v>78</v>
      </c>
      <c r="C1848" t="s">
        <v>835</v>
      </c>
      <c r="D1848" t="s">
        <v>1273</v>
      </c>
      <c r="E1848" t="s">
        <v>1167</v>
      </c>
      <c r="F1848">
        <v>197</v>
      </c>
    </row>
    <row r="1849" spans="1:6">
      <c r="A1849" t="s">
        <v>13</v>
      </c>
      <c r="B1849" t="s">
        <v>78</v>
      </c>
      <c r="C1849" t="s">
        <v>835</v>
      </c>
      <c r="D1849" t="s">
        <v>1273</v>
      </c>
      <c r="E1849" t="s">
        <v>1168</v>
      </c>
      <c r="F1849">
        <v>14366</v>
      </c>
    </row>
    <row r="1850" spans="1:6">
      <c r="A1850" t="s">
        <v>13</v>
      </c>
      <c r="B1850" t="s">
        <v>78</v>
      </c>
      <c r="C1850" t="s">
        <v>835</v>
      </c>
      <c r="D1850" t="s">
        <v>1273</v>
      </c>
      <c r="E1850" t="s">
        <v>1169</v>
      </c>
      <c r="F1850" t="s">
        <v>1447</v>
      </c>
    </row>
    <row r="1851" spans="1:6">
      <c r="A1851" t="s">
        <v>13</v>
      </c>
      <c r="B1851" t="s">
        <v>78</v>
      </c>
      <c r="C1851" t="s">
        <v>835</v>
      </c>
      <c r="D1851" t="s">
        <v>1273</v>
      </c>
      <c r="E1851" t="s">
        <v>1170</v>
      </c>
      <c r="F1851" t="s">
        <v>1448</v>
      </c>
    </row>
    <row r="1852" spans="1:6">
      <c r="A1852" t="s">
        <v>13</v>
      </c>
      <c r="B1852" t="s">
        <v>78</v>
      </c>
      <c r="C1852" t="s">
        <v>835</v>
      </c>
      <c r="D1852" t="s">
        <v>1273</v>
      </c>
      <c r="E1852" t="s">
        <v>1175</v>
      </c>
      <c r="F1852" t="s">
        <v>1449</v>
      </c>
    </row>
    <row r="1853" spans="1:6">
      <c r="A1853" t="s">
        <v>13</v>
      </c>
      <c r="B1853" t="s">
        <v>78</v>
      </c>
      <c r="C1853" t="s">
        <v>835</v>
      </c>
      <c r="D1853" t="s">
        <v>1273</v>
      </c>
      <c r="E1853" t="s">
        <v>1176</v>
      </c>
      <c r="F1853">
        <v>214</v>
      </c>
    </row>
    <row r="1854" spans="1:6">
      <c r="A1854" t="s">
        <v>13</v>
      </c>
      <c r="B1854" t="s">
        <v>78</v>
      </c>
      <c r="C1854" t="s">
        <v>835</v>
      </c>
      <c r="D1854" t="s">
        <v>1273</v>
      </c>
      <c r="E1854" t="s">
        <v>1177</v>
      </c>
      <c r="F1854">
        <v>6586</v>
      </c>
    </row>
    <row r="1855" spans="1:6">
      <c r="A1855" t="s">
        <v>13</v>
      </c>
      <c r="B1855" t="s">
        <v>78</v>
      </c>
      <c r="C1855" t="s">
        <v>835</v>
      </c>
      <c r="D1855" t="s">
        <v>1273</v>
      </c>
      <c r="E1855" t="s">
        <v>1178</v>
      </c>
      <c r="F1855" t="s">
        <v>1450</v>
      </c>
    </row>
    <row r="1856" spans="1:6">
      <c r="A1856" t="s">
        <v>13</v>
      </c>
      <c r="B1856" t="s">
        <v>78</v>
      </c>
      <c r="C1856" t="s">
        <v>835</v>
      </c>
      <c r="D1856" t="s">
        <v>1273</v>
      </c>
      <c r="E1856" t="s">
        <v>1179</v>
      </c>
      <c r="F1856" t="s">
        <v>1451</v>
      </c>
    </row>
    <row r="1857" spans="1:6">
      <c r="A1857" t="s">
        <v>13</v>
      </c>
      <c r="B1857" t="s">
        <v>78</v>
      </c>
      <c r="C1857" t="s">
        <v>835</v>
      </c>
      <c r="D1857" t="s">
        <v>1273</v>
      </c>
      <c r="E1857" t="s">
        <v>1452</v>
      </c>
      <c r="F1857" t="s">
        <v>1453</v>
      </c>
    </row>
    <row r="1858" spans="1:6">
      <c r="A1858" t="s">
        <v>13</v>
      </c>
      <c r="B1858" t="s">
        <v>78</v>
      </c>
      <c r="C1858" t="s">
        <v>835</v>
      </c>
      <c r="D1858" t="s">
        <v>1273</v>
      </c>
      <c r="E1858" t="s">
        <v>1454</v>
      </c>
      <c r="F1858">
        <v>220</v>
      </c>
    </row>
    <row r="1859" spans="1:6">
      <c r="A1859" t="s">
        <v>13</v>
      </c>
      <c r="B1859" t="s">
        <v>78</v>
      </c>
      <c r="C1859" t="s">
        <v>835</v>
      </c>
      <c r="D1859" t="s">
        <v>1273</v>
      </c>
      <c r="E1859" t="s">
        <v>1455</v>
      </c>
      <c r="F1859">
        <v>7845</v>
      </c>
    </row>
    <row r="1860" spans="1:6">
      <c r="A1860" t="s">
        <v>13</v>
      </c>
      <c r="B1860" t="s">
        <v>78</v>
      </c>
      <c r="C1860" t="s">
        <v>835</v>
      </c>
      <c r="D1860" t="s">
        <v>1273</v>
      </c>
      <c r="E1860" t="s">
        <v>1456</v>
      </c>
      <c r="F1860" t="s">
        <v>1457</v>
      </c>
    </row>
    <row r="1861" spans="1:6">
      <c r="A1861" t="s">
        <v>13</v>
      </c>
      <c r="B1861" t="s">
        <v>78</v>
      </c>
      <c r="C1861" t="s">
        <v>835</v>
      </c>
      <c r="D1861" t="s">
        <v>1273</v>
      </c>
      <c r="E1861" t="s">
        <v>1458</v>
      </c>
      <c r="F1861" t="s">
        <v>1459</v>
      </c>
    </row>
    <row r="1862" spans="1:6">
      <c r="A1862" t="s">
        <v>13</v>
      </c>
      <c r="B1862" t="s">
        <v>78</v>
      </c>
      <c r="C1862" t="s">
        <v>835</v>
      </c>
      <c r="D1862" t="s">
        <v>1273</v>
      </c>
      <c r="E1862" t="s">
        <v>1184</v>
      </c>
      <c r="F1862" t="s">
        <v>1460</v>
      </c>
    </row>
    <row r="1863" spans="1:6">
      <c r="A1863" t="s">
        <v>13</v>
      </c>
      <c r="B1863" t="s">
        <v>78</v>
      </c>
      <c r="C1863" t="s">
        <v>835</v>
      </c>
      <c r="D1863" t="s">
        <v>1273</v>
      </c>
      <c r="E1863" t="s">
        <v>1185</v>
      </c>
      <c r="F1863">
        <v>262</v>
      </c>
    </row>
    <row r="1864" spans="1:6">
      <c r="A1864" t="s">
        <v>13</v>
      </c>
      <c r="B1864" t="s">
        <v>78</v>
      </c>
      <c r="C1864" t="s">
        <v>835</v>
      </c>
      <c r="D1864" t="s">
        <v>1273</v>
      </c>
      <c r="E1864" t="s">
        <v>1186</v>
      </c>
      <c r="F1864">
        <v>15328</v>
      </c>
    </row>
    <row r="1865" spans="1:6">
      <c r="A1865" t="s">
        <v>13</v>
      </c>
      <c r="B1865" t="s">
        <v>78</v>
      </c>
      <c r="C1865" t="s">
        <v>835</v>
      </c>
      <c r="D1865" t="s">
        <v>1273</v>
      </c>
      <c r="E1865" t="s">
        <v>1187</v>
      </c>
      <c r="F1865" t="s">
        <v>1461</v>
      </c>
    </row>
    <row r="1866" spans="1:6">
      <c r="A1866" t="s">
        <v>13</v>
      </c>
      <c r="B1866" t="s">
        <v>78</v>
      </c>
      <c r="C1866" t="s">
        <v>835</v>
      </c>
      <c r="D1866" t="s">
        <v>1273</v>
      </c>
      <c r="E1866" t="s">
        <v>1188</v>
      </c>
      <c r="F1866" t="s">
        <v>1462</v>
      </c>
    </row>
    <row r="1867" spans="1:6">
      <c r="A1867" t="s">
        <v>13</v>
      </c>
      <c r="B1867" t="s">
        <v>78</v>
      </c>
      <c r="C1867" t="s">
        <v>835</v>
      </c>
      <c r="D1867" t="s">
        <v>1273</v>
      </c>
      <c r="E1867" t="s">
        <v>1463</v>
      </c>
      <c r="F1867" t="s">
        <v>1464</v>
      </c>
    </row>
    <row r="1868" spans="1:6">
      <c r="A1868" t="s">
        <v>13</v>
      </c>
      <c r="B1868" t="s">
        <v>78</v>
      </c>
      <c r="C1868" t="s">
        <v>835</v>
      </c>
      <c r="D1868" t="s">
        <v>1273</v>
      </c>
      <c r="E1868" t="s">
        <v>1193</v>
      </c>
      <c r="F1868">
        <v>399</v>
      </c>
    </row>
    <row r="1869" spans="1:6">
      <c r="A1869" t="s">
        <v>13</v>
      </c>
      <c r="B1869" t="s">
        <v>78</v>
      </c>
      <c r="C1869" t="s">
        <v>835</v>
      </c>
      <c r="D1869" t="s">
        <v>1273</v>
      </c>
      <c r="E1869" t="s">
        <v>1194</v>
      </c>
      <c r="F1869">
        <v>14069</v>
      </c>
    </row>
    <row r="1870" spans="1:6">
      <c r="A1870" t="s">
        <v>13</v>
      </c>
      <c r="B1870" t="s">
        <v>78</v>
      </c>
      <c r="C1870" t="s">
        <v>835</v>
      </c>
      <c r="D1870" t="s">
        <v>1273</v>
      </c>
      <c r="E1870" t="s">
        <v>1195</v>
      </c>
      <c r="F1870" t="s">
        <v>1465</v>
      </c>
    </row>
    <row r="1871" spans="1:6">
      <c r="A1871" t="s">
        <v>13</v>
      </c>
      <c r="B1871" t="s">
        <v>78</v>
      </c>
      <c r="C1871" t="s">
        <v>835</v>
      </c>
      <c r="D1871" t="s">
        <v>1273</v>
      </c>
      <c r="E1871" t="s">
        <v>1196</v>
      </c>
      <c r="F1871" t="s">
        <v>1466</v>
      </c>
    </row>
    <row r="1872" spans="1:6">
      <c r="A1872" t="s">
        <v>13</v>
      </c>
      <c r="B1872" t="s">
        <v>78</v>
      </c>
      <c r="C1872" t="s">
        <v>835</v>
      </c>
      <c r="D1872" t="s">
        <v>1273</v>
      </c>
      <c r="E1872" t="s">
        <v>1467</v>
      </c>
      <c r="F1872" t="s">
        <v>1163</v>
      </c>
    </row>
    <row r="1873" spans="1:6">
      <c r="A1873" t="s">
        <v>13</v>
      </c>
      <c r="B1873" t="s">
        <v>78</v>
      </c>
      <c r="C1873" t="s">
        <v>835</v>
      </c>
      <c r="D1873" t="s">
        <v>1273</v>
      </c>
      <c r="E1873" t="s">
        <v>1468</v>
      </c>
      <c r="F1873">
        <v>1334</v>
      </c>
    </row>
    <row r="1874" spans="1:6">
      <c r="A1874" t="s">
        <v>13</v>
      </c>
      <c r="B1874" t="s">
        <v>78</v>
      </c>
      <c r="C1874" t="s">
        <v>835</v>
      </c>
      <c r="D1874" t="s">
        <v>1273</v>
      </c>
      <c r="E1874" t="s">
        <v>1469</v>
      </c>
      <c r="F1874">
        <v>36008</v>
      </c>
    </row>
    <row r="1875" spans="1:6">
      <c r="A1875" t="s">
        <v>13</v>
      </c>
      <c r="B1875" t="s">
        <v>78</v>
      </c>
      <c r="C1875" t="s">
        <v>835</v>
      </c>
      <c r="D1875" t="s">
        <v>1273</v>
      </c>
      <c r="E1875" t="s">
        <v>1470</v>
      </c>
      <c r="F1875" t="s">
        <v>1471</v>
      </c>
    </row>
    <row r="1876" spans="1:6">
      <c r="A1876" t="s">
        <v>13</v>
      </c>
      <c r="B1876" t="s">
        <v>78</v>
      </c>
      <c r="C1876" t="s">
        <v>835</v>
      </c>
      <c r="D1876" t="s">
        <v>1273</v>
      </c>
      <c r="E1876" t="s">
        <v>1472</v>
      </c>
      <c r="F1876" t="s">
        <v>1473</v>
      </c>
    </row>
    <row r="1877" spans="1:6">
      <c r="A1877" t="s">
        <v>13</v>
      </c>
      <c r="B1877" t="s">
        <v>78</v>
      </c>
      <c r="C1877" t="s">
        <v>835</v>
      </c>
      <c r="D1877" t="s">
        <v>1273</v>
      </c>
      <c r="E1877" t="s">
        <v>1202</v>
      </c>
      <c r="F1877" t="s">
        <v>1161</v>
      </c>
    </row>
    <row r="1878" spans="1:6">
      <c r="A1878" t="s">
        <v>13</v>
      </c>
      <c r="B1878" t="s">
        <v>78</v>
      </c>
      <c r="C1878" t="s">
        <v>835</v>
      </c>
      <c r="D1878" t="s">
        <v>1273</v>
      </c>
      <c r="E1878" t="s">
        <v>1203</v>
      </c>
      <c r="F1878">
        <v>1318</v>
      </c>
    </row>
    <row r="1879" spans="1:6">
      <c r="A1879" t="s">
        <v>13</v>
      </c>
      <c r="B1879" t="s">
        <v>78</v>
      </c>
      <c r="C1879" t="s">
        <v>835</v>
      </c>
      <c r="D1879" t="s">
        <v>1273</v>
      </c>
      <c r="E1879" t="s">
        <v>1204</v>
      </c>
      <c r="F1879">
        <v>32466</v>
      </c>
    </row>
    <row r="1880" spans="1:6">
      <c r="A1880" t="s">
        <v>13</v>
      </c>
      <c r="B1880" t="s">
        <v>78</v>
      </c>
      <c r="C1880" t="s">
        <v>835</v>
      </c>
      <c r="D1880" t="s">
        <v>1273</v>
      </c>
      <c r="E1880" t="s">
        <v>1205</v>
      </c>
      <c r="F1880" t="s">
        <v>1474</v>
      </c>
    </row>
    <row r="1881" spans="1:6">
      <c r="A1881" t="s">
        <v>13</v>
      </c>
      <c r="B1881" t="s">
        <v>78</v>
      </c>
      <c r="C1881" t="s">
        <v>835</v>
      </c>
      <c r="D1881" t="s">
        <v>1273</v>
      </c>
      <c r="E1881" t="s">
        <v>1206</v>
      </c>
      <c r="F1881" t="s">
        <v>1475</v>
      </c>
    </row>
    <row r="1882" spans="1:6">
      <c r="A1882" t="s">
        <v>13</v>
      </c>
      <c r="B1882" t="s">
        <v>78</v>
      </c>
      <c r="C1882" t="s">
        <v>835</v>
      </c>
      <c r="D1882" t="s">
        <v>1273</v>
      </c>
      <c r="E1882" t="s">
        <v>1210</v>
      </c>
      <c r="F1882" t="s">
        <v>1159</v>
      </c>
    </row>
    <row r="1883" spans="1:6">
      <c r="A1883" t="s">
        <v>13</v>
      </c>
      <c r="B1883" t="s">
        <v>78</v>
      </c>
      <c r="C1883" t="s">
        <v>835</v>
      </c>
      <c r="D1883" t="s">
        <v>1273</v>
      </c>
      <c r="E1883" t="s">
        <v>1211</v>
      </c>
      <c r="F1883">
        <v>1524</v>
      </c>
    </row>
    <row r="1884" spans="1:6">
      <c r="A1884" t="s">
        <v>13</v>
      </c>
      <c r="B1884" t="s">
        <v>78</v>
      </c>
      <c r="C1884" t="s">
        <v>835</v>
      </c>
      <c r="D1884" t="s">
        <v>1273</v>
      </c>
      <c r="E1884" t="s">
        <v>1212</v>
      </c>
      <c r="F1884">
        <v>42330</v>
      </c>
    </row>
    <row r="1885" spans="1:6">
      <c r="A1885" t="s">
        <v>13</v>
      </c>
      <c r="B1885" t="s">
        <v>78</v>
      </c>
      <c r="C1885" t="s">
        <v>835</v>
      </c>
      <c r="D1885" t="s">
        <v>1273</v>
      </c>
      <c r="E1885" t="s">
        <v>1213</v>
      </c>
      <c r="F1885" t="s">
        <v>1476</v>
      </c>
    </row>
    <row r="1886" spans="1:6">
      <c r="A1886" t="s">
        <v>13</v>
      </c>
      <c r="B1886" t="s">
        <v>78</v>
      </c>
      <c r="C1886" t="s">
        <v>835</v>
      </c>
      <c r="D1886" t="s">
        <v>1273</v>
      </c>
      <c r="E1886" t="s">
        <v>1214</v>
      </c>
      <c r="F1886" t="s">
        <v>1477</v>
      </c>
    </row>
    <row r="1887" spans="1:6">
      <c r="A1887" t="s">
        <v>13</v>
      </c>
      <c r="B1887" t="s">
        <v>78</v>
      </c>
      <c r="C1887" t="s">
        <v>835</v>
      </c>
      <c r="D1887" t="s">
        <v>1273</v>
      </c>
      <c r="E1887" t="s">
        <v>1218</v>
      </c>
      <c r="F1887" t="s">
        <v>1157</v>
      </c>
    </row>
    <row r="1888" spans="1:6">
      <c r="A1888" t="s">
        <v>13</v>
      </c>
      <c r="B1888" t="s">
        <v>78</v>
      </c>
      <c r="C1888" t="s">
        <v>835</v>
      </c>
      <c r="D1888" t="s">
        <v>1273</v>
      </c>
      <c r="E1888" t="s">
        <v>1219</v>
      </c>
      <c r="F1888">
        <v>1417</v>
      </c>
    </row>
    <row r="1889" spans="1:6">
      <c r="A1889" t="s">
        <v>13</v>
      </c>
      <c r="B1889" t="s">
        <v>78</v>
      </c>
      <c r="C1889" t="s">
        <v>835</v>
      </c>
      <c r="D1889" t="s">
        <v>1273</v>
      </c>
      <c r="E1889" t="s">
        <v>1220</v>
      </c>
      <c r="F1889">
        <v>74243</v>
      </c>
    </row>
    <row r="1890" spans="1:6">
      <c r="A1890" t="s">
        <v>13</v>
      </c>
      <c r="B1890" t="s">
        <v>78</v>
      </c>
      <c r="C1890" t="s">
        <v>835</v>
      </c>
      <c r="D1890" t="s">
        <v>1273</v>
      </c>
      <c r="E1890" t="s">
        <v>1221</v>
      </c>
      <c r="F1890" t="s">
        <v>1478</v>
      </c>
    </row>
    <row r="1891" spans="1:6">
      <c r="A1891" t="s">
        <v>13</v>
      </c>
      <c r="B1891" t="s">
        <v>78</v>
      </c>
      <c r="C1891" t="s">
        <v>835</v>
      </c>
      <c r="D1891" t="s">
        <v>1273</v>
      </c>
      <c r="E1891" t="s">
        <v>1222</v>
      </c>
      <c r="F1891" t="s">
        <v>1479</v>
      </c>
    </row>
    <row r="1892" spans="1:6">
      <c r="A1892" t="s">
        <v>13</v>
      </c>
      <c r="B1892" t="s">
        <v>78</v>
      </c>
      <c r="C1892" t="s">
        <v>835</v>
      </c>
      <c r="D1892" t="s">
        <v>1273</v>
      </c>
      <c r="E1892" t="s">
        <v>1480</v>
      </c>
      <c r="F1892" t="s">
        <v>1155</v>
      </c>
    </row>
    <row r="1893" spans="1:6">
      <c r="A1893" t="s">
        <v>13</v>
      </c>
      <c r="B1893" t="s">
        <v>78</v>
      </c>
      <c r="C1893" t="s">
        <v>835</v>
      </c>
      <c r="D1893" t="s">
        <v>1273</v>
      </c>
      <c r="E1893" t="s">
        <v>1227</v>
      </c>
      <c r="F1893">
        <v>1846</v>
      </c>
    </row>
    <row r="1894" spans="1:6">
      <c r="A1894" t="s">
        <v>13</v>
      </c>
      <c r="B1894" t="s">
        <v>78</v>
      </c>
      <c r="C1894" t="s">
        <v>835</v>
      </c>
      <c r="D1894" t="s">
        <v>1273</v>
      </c>
      <c r="E1894" t="s">
        <v>1228</v>
      </c>
      <c r="F1894">
        <v>74153</v>
      </c>
    </row>
    <row r="1895" spans="1:6">
      <c r="A1895" t="s">
        <v>13</v>
      </c>
      <c r="B1895" t="s">
        <v>78</v>
      </c>
      <c r="C1895" t="s">
        <v>835</v>
      </c>
      <c r="D1895" t="s">
        <v>1273</v>
      </c>
      <c r="E1895" t="s">
        <v>1230</v>
      </c>
      <c r="F1895" t="s">
        <v>1481</v>
      </c>
    </row>
    <row r="1896" spans="1:6">
      <c r="A1896" t="s">
        <v>13</v>
      </c>
      <c r="B1896" t="s">
        <v>78</v>
      </c>
      <c r="C1896" t="s">
        <v>835</v>
      </c>
      <c r="D1896" t="s">
        <v>1273</v>
      </c>
      <c r="E1896" t="s">
        <v>1231</v>
      </c>
      <c r="F1896" t="s">
        <v>1482</v>
      </c>
    </row>
    <row r="1897" spans="1:6">
      <c r="A1897" t="s">
        <v>13</v>
      </c>
      <c r="B1897" t="s">
        <v>78</v>
      </c>
      <c r="C1897" t="s">
        <v>835</v>
      </c>
      <c r="D1897" t="s">
        <v>1273</v>
      </c>
      <c r="E1897" t="s">
        <v>1483</v>
      </c>
      <c r="F1897" t="s">
        <v>1153</v>
      </c>
    </row>
    <row r="1898" spans="1:6">
      <c r="A1898" t="s">
        <v>13</v>
      </c>
      <c r="B1898" t="s">
        <v>78</v>
      </c>
      <c r="C1898" t="s">
        <v>835</v>
      </c>
      <c r="D1898" t="s">
        <v>1273</v>
      </c>
      <c r="E1898" t="s">
        <v>1237</v>
      </c>
      <c r="F1898">
        <v>3898</v>
      </c>
    </row>
    <row r="1899" spans="1:6">
      <c r="A1899" t="s">
        <v>13</v>
      </c>
      <c r="B1899" t="s">
        <v>78</v>
      </c>
      <c r="C1899" t="s">
        <v>835</v>
      </c>
      <c r="D1899" t="s">
        <v>1273</v>
      </c>
      <c r="E1899" t="s">
        <v>1238</v>
      </c>
      <c r="F1899">
        <v>218204</v>
      </c>
    </row>
    <row r="1900" spans="1:6">
      <c r="A1900" t="s">
        <v>13</v>
      </c>
      <c r="B1900" t="s">
        <v>78</v>
      </c>
      <c r="C1900" t="s">
        <v>835</v>
      </c>
      <c r="D1900" t="s">
        <v>1273</v>
      </c>
      <c r="E1900" t="s">
        <v>1240</v>
      </c>
      <c r="F1900" t="s">
        <v>1484</v>
      </c>
    </row>
    <row r="1901" spans="1:6">
      <c r="A1901" t="s">
        <v>13</v>
      </c>
      <c r="B1901" t="s">
        <v>78</v>
      </c>
      <c r="C1901" t="s">
        <v>835</v>
      </c>
      <c r="D1901" t="s">
        <v>1273</v>
      </c>
      <c r="E1901" t="s">
        <v>1241</v>
      </c>
      <c r="F1901" t="s">
        <v>1485</v>
      </c>
    </row>
    <row r="1902" spans="1:6">
      <c r="A1902" t="s">
        <v>13</v>
      </c>
      <c r="B1902" t="s">
        <v>78</v>
      </c>
      <c r="C1902" t="s">
        <v>835</v>
      </c>
      <c r="D1902" t="s">
        <v>1273</v>
      </c>
      <c r="E1902" t="s">
        <v>1247</v>
      </c>
      <c r="F1902" t="s">
        <v>1009</v>
      </c>
    </row>
    <row r="1903" spans="1:6">
      <c r="A1903" t="s">
        <v>13</v>
      </c>
      <c r="B1903" t="s">
        <v>78</v>
      </c>
      <c r="C1903" t="s">
        <v>835</v>
      </c>
      <c r="D1903" t="s">
        <v>1273</v>
      </c>
      <c r="E1903" t="s">
        <v>1248</v>
      </c>
      <c r="F1903">
        <v>13521</v>
      </c>
    </row>
    <row r="1904" spans="1:6">
      <c r="A1904" t="s">
        <v>13</v>
      </c>
      <c r="B1904" t="s">
        <v>78</v>
      </c>
      <c r="C1904" t="s">
        <v>835</v>
      </c>
      <c r="D1904" t="s">
        <v>1273</v>
      </c>
      <c r="E1904" t="s">
        <v>1249</v>
      </c>
      <c r="F1904">
        <v>580909</v>
      </c>
    </row>
    <row r="1905" spans="1:6">
      <c r="A1905" t="s">
        <v>13</v>
      </c>
      <c r="B1905" t="s">
        <v>78</v>
      </c>
      <c r="C1905" t="s">
        <v>835</v>
      </c>
      <c r="D1905" t="s">
        <v>1273</v>
      </c>
      <c r="E1905" t="s">
        <v>1250</v>
      </c>
      <c r="F1905" t="s">
        <v>1486</v>
      </c>
    </row>
    <row r="1906" spans="1:6">
      <c r="A1906" t="s">
        <v>13</v>
      </c>
      <c r="B1906" t="s">
        <v>78</v>
      </c>
      <c r="C1906" t="s">
        <v>835</v>
      </c>
      <c r="D1906" t="s">
        <v>1273</v>
      </c>
      <c r="E1906" t="s">
        <v>1251</v>
      </c>
      <c r="F1906" t="s">
        <v>1486</v>
      </c>
    </row>
    <row r="1907" spans="1:6">
      <c r="A1907" t="s">
        <v>13</v>
      </c>
      <c r="B1907" t="s">
        <v>78</v>
      </c>
      <c r="C1907" t="s">
        <v>835</v>
      </c>
      <c r="D1907" t="s">
        <v>1273</v>
      </c>
      <c r="E1907" t="s">
        <v>1256</v>
      </c>
      <c r="F1907" t="s">
        <v>1487</v>
      </c>
    </row>
    <row r="1908" spans="1:6">
      <c r="A1908" t="s">
        <v>13</v>
      </c>
      <c r="B1908" t="s">
        <v>78</v>
      </c>
      <c r="C1908" t="s">
        <v>835</v>
      </c>
      <c r="D1908" t="s">
        <v>1273</v>
      </c>
      <c r="E1908" t="s">
        <v>1257</v>
      </c>
      <c r="F1908">
        <v>-120</v>
      </c>
    </row>
    <row r="1909" spans="1:6">
      <c r="A1909" t="s">
        <v>13</v>
      </c>
      <c r="B1909" t="s">
        <v>78</v>
      </c>
      <c r="C1909" t="s">
        <v>835</v>
      </c>
      <c r="D1909" t="s">
        <v>1273</v>
      </c>
      <c r="E1909" t="s">
        <v>1258</v>
      </c>
      <c r="F1909">
        <v>-12504</v>
      </c>
    </row>
    <row r="1910" spans="1:6">
      <c r="A1910" t="s">
        <v>13</v>
      </c>
      <c r="B1910" t="s">
        <v>78</v>
      </c>
      <c r="C1910" t="s">
        <v>835</v>
      </c>
      <c r="D1910" t="s">
        <v>1273</v>
      </c>
      <c r="E1910" t="s">
        <v>1488</v>
      </c>
      <c r="F1910" t="s">
        <v>1489</v>
      </c>
    </row>
    <row r="1911" spans="1:6">
      <c r="A1911" t="s">
        <v>13</v>
      </c>
      <c r="B1911" t="s">
        <v>78</v>
      </c>
      <c r="C1911" t="s">
        <v>835</v>
      </c>
      <c r="D1911" t="s">
        <v>1273</v>
      </c>
      <c r="E1911" t="s">
        <v>1490</v>
      </c>
      <c r="F1911" t="s">
        <v>1491</v>
      </c>
    </row>
    <row r="1912" spans="1:6">
      <c r="A1912" t="s">
        <v>13</v>
      </c>
      <c r="B1912" t="s">
        <v>78</v>
      </c>
      <c r="C1912" t="s">
        <v>835</v>
      </c>
      <c r="D1912" t="s">
        <v>1273</v>
      </c>
      <c r="E1912" t="s">
        <v>1492</v>
      </c>
      <c r="F1912" t="s">
        <v>1493</v>
      </c>
    </row>
    <row r="1913" spans="1:6">
      <c r="A1913" t="s">
        <v>13</v>
      </c>
      <c r="B1913" t="s">
        <v>82</v>
      </c>
      <c r="C1913" t="s">
        <v>835</v>
      </c>
      <c r="D1913" t="s">
        <v>991</v>
      </c>
      <c r="E1913" t="s">
        <v>992</v>
      </c>
      <c r="F1913" t="s">
        <v>993</v>
      </c>
    </row>
    <row r="1914" spans="1:6">
      <c r="A1914" t="s">
        <v>13</v>
      </c>
      <c r="B1914" t="s">
        <v>82</v>
      </c>
      <c r="C1914" t="s">
        <v>835</v>
      </c>
      <c r="D1914" t="s">
        <v>991</v>
      </c>
      <c r="E1914" t="s">
        <v>1093</v>
      </c>
      <c r="F1914" t="s">
        <v>1094</v>
      </c>
    </row>
    <row r="1915" spans="1:6">
      <c r="A1915" t="s">
        <v>13</v>
      </c>
      <c r="B1915" t="s">
        <v>82</v>
      </c>
      <c r="C1915" t="s">
        <v>835</v>
      </c>
      <c r="D1915" t="s">
        <v>991</v>
      </c>
      <c r="E1915" t="s">
        <v>995</v>
      </c>
      <c r="F1915" t="s">
        <v>996</v>
      </c>
    </row>
    <row r="1916" spans="1:6">
      <c r="A1916" t="s">
        <v>13</v>
      </c>
      <c r="B1916" t="s">
        <v>82</v>
      </c>
      <c r="C1916" t="s">
        <v>835</v>
      </c>
      <c r="D1916" t="s">
        <v>991</v>
      </c>
      <c r="E1916" t="s">
        <v>997</v>
      </c>
      <c r="F1916" t="s">
        <v>998</v>
      </c>
    </row>
    <row r="1917" spans="1:6">
      <c r="A1917" t="s">
        <v>13</v>
      </c>
      <c r="B1917" t="s">
        <v>82</v>
      </c>
      <c r="C1917" t="s">
        <v>835</v>
      </c>
      <c r="D1917" t="s">
        <v>991</v>
      </c>
      <c r="E1917" t="s">
        <v>999</v>
      </c>
      <c r="F1917" t="s">
        <v>1000</v>
      </c>
    </row>
    <row r="1918" spans="1:6">
      <c r="A1918" t="s">
        <v>13</v>
      </c>
      <c r="B1918" t="s">
        <v>82</v>
      </c>
      <c r="C1918" t="s">
        <v>835</v>
      </c>
      <c r="D1918" t="s">
        <v>991</v>
      </c>
      <c r="E1918" t="s">
        <v>1001</v>
      </c>
      <c r="F1918" t="s">
        <v>10</v>
      </c>
    </row>
    <row r="1919" spans="1:6">
      <c r="A1919" t="s">
        <v>13</v>
      </c>
      <c r="B1919" t="s">
        <v>82</v>
      </c>
      <c r="C1919" t="s">
        <v>835</v>
      </c>
      <c r="D1919" t="s">
        <v>991</v>
      </c>
      <c r="E1919" t="s">
        <v>1002</v>
      </c>
      <c r="F1919" t="s">
        <v>1003</v>
      </c>
    </row>
    <row r="1920" spans="1:6">
      <c r="A1920" t="s">
        <v>13</v>
      </c>
      <c r="B1920" t="s">
        <v>82</v>
      </c>
      <c r="C1920" t="s">
        <v>835</v>
      </c>
      <c r="D1920" t="s">
        <v>991</v>
      </c>
      <c r="E1920" t="s">
        <v>1004</v>
      </c>
      <c r="F1920" t="s">
        <v>1005</v>
      </c>
    </row>
    <row r="1921" spans="1:6">
      <c r="A1921" t="s">
        <v>13</v>
      </c>
      <c r="B1921" t="s">
        <v>82</v>
      </c>
      <c r="C1921" t="s">
        <v>835</v>
      </c>
      <c r="D1921" t="s">
        <v>991</v>
      </c>
      <c r="E1921" t="s">
        <v>1006</v>
      </c>
      <c r="F1921" t="s">
        <v>1007</v>
      </c>
    </row>
    <row r="1922" spans="1:6">
      <c r="A1922" t="s">
        <v>13</v>
      </c>
      <c r="B1922" t="s">
        <v>82</v>
      </c>
      <c r="C1922" t="s">
        <v>835</v>
      </c>
      <c r="D1922" t="s">
        <v>991</v>
      </c>
      <c r="E1922" t="s">
        <v>1008</v>
      </c>
      <c r="F1922" t="s">
        <v>1009</v>
      </c>
    </row>
    <row r="1923" spans="1:6">
      <c r="A1923" t="s">
        <v>13</v>
      </c>
      <c r="B1923" t="s">
        <v>82</v>
      </c>
      <c r="C1923" t="s">
        <v>835</v>
      </c>
      <c r="D1923" t="s">
        <v>991</v>
      </c>
      <c r="E1923" t="s">
        <v>1010</v>
      </c>
      <c r="F1923" t="s">
        <v>1011</v>
      </c>
    </row>
    <row r="1924" spans="1:6">
      <c r="A1924" t="s">
        <v>13</v>
      </c>
      <c r="B1924" t="s">
        <v>82</v>
      </c>
      <c r="C1924" t="s">
        <v>835</v>
      </c>
      <c r="D1924" t="s">
        <v>991</v>
      </c>
      <c r="E1924" t="s">
        <v>1012</v>
      </c>
      <c r="F1924" t="s">
        <v>1013</v>
      </c>
    </row>
    <row r="1925" spans="1:6">
      <c r="A1925" t="s">
        <v>13</v>
      </c>
      <c r="B1925" t="s">
        <v>82</v>
      </c>
      <c r="C1925" t="s">
        <v>835</v>
      </c>
      <c r="D1925" t="s">
        <v>991</v>
      </c>
      <c r="E1925" t="s">
        <v>1014</v>
      </c>
      <c r="F1925" t="s">
        <v>1015</v>
      </c>
    </row>
    <row r="1926" spans="1:6">
      <c r="A1926" t="s">
        <v>13</v>
      </c>
      <c r="B1926" t="s">
        <v>82</v>
      </c>
      <c r="C1926" t="s">
        <v>835</v>
      </c>
      <c r="D1926" t="s">
        <v>991</v>
      </c>
      <c r="E1926" t="s">
        <v>1016</v>
      </c>
      <c r="F1926" t="s">
        <v>1017</v>
      </c>
    </row>
    <row r="1927" spans="1:6">
      <c r="A1927" t="s">
        <v>13</v>
      </c>
      <c r="B1927" t="s">
        <v>82</v>
      </c>
      <c r="C1927" t="s">
        <v>835</v>
      </c>
      <c r="D1927" t="s">
        <v>991</v>
      </c>
      <c r="E1927" t="s">
        <v>1018</v>
      </c>
      <c r="F1927" t="s">
        <v>1019</v>
      </c>
    </row>
    <row r="1928" spans="1:6">
      <c r="A1928" t="s">
        <v>13</v>
      </c>
      <c r="B1928" t="s">
        <v>82</v>
      </c>
      <c r="C1928" t="s">
        <v>835</v>
      </c>
      <c r="D1928" t="s">
        <v>991</v>
      </c>
      <c r="E1928" t="s">
        <v>1020</v>
      </c>
      <c r="F1928" t="s">
        <v>1021</v>
      </c>
    </row>
    <row r="1929" spans="1:6">
      <c r="A1929" t="s">
        <v>13</v>
      </c>
      <c r="B1929" t="s">
        <v>82</v>
      </c>
      <c r="C1929" t="s">
        <v>835</v>
      </c>
      <c r="D1929" t="s">
        <v>991</v>
      </c>
      <c r="E1929" t="s">
        <v>1022</v>
      </c>
      <c r="F1929" t="s">
        <v>1023</v>
      </c>
    </row>
    <row r="1930" spans="1:6">
      <c r="A1930" t="s">
        <v>13</v>
      </c>
      <c r="B1930" t="s">
        <v>82</v>
      </c>
      <c r="C1930" t="s">
        <v>835</v>
      </c>
      <c r="D1930" t="s">
        <v>991</v>
      </c>
      <c r="E1930" t="s">
        <v>1024</v>
      </c>
      <c r="F1930" t="s">
        <v>1025</v>
      </c>
    </row>
    <row r="1931" spans="1:6">
      <c r="A1931" t="s">
        <v>13</v>
      </c>
      <c r="B1931" t="s">
        <v>82</v>
      </c>
      <c r="C1931" t="s">
        <v>835</v>
      </c>
      <c r="D1931" t="s">
        <v>991</v>
      </c>
      <c r="E1931" t="s">
        <v>1026</v>
      </c>
      <c r="F1931" t="s">
        <v>1027</v>
      </c>
    </row>
    <row r="1932" spans="1:6">
      <c r="A1932" t="s">
        <v>13</v>
      </c>
      <c r="B1932" t="s">
        <v>82</v>
      </c>
      <c r="C1932" t="s">
        <v>835</v>
      </c>
      <c r="D1932" t="s">
        <v>991</v>
      </c>
      <c r="E1932" t="s">
        <v>1028</v>
      </c>
      <c r="F1932" t="s">
        <v>1029</v>
      </c>
    </row>
    <row r="1933" spans="1:6">
      <c r="A1933" t="s">
        <v>13</v>
      </c>
      <c r="B1933" t="s">
        <v>82</v>
      </c>
      <c r="C1933" t="s">
        <v>835</v>
      </c>
      <c r="D1933" t="s">
        <v>991</v>
      </c>
      <c r="E1933" t="s">
        <v>1030</v>
      </c>
      <c r="F1933" t="s">
        <v>1031</v>
      </c>
    </row>
    <row r="1934" spans="1:6">
      <c r="A1934" t="s">
        <v>13</v>
      </c>
      <c r="B1934" t="s">
        <v>82</v>
      </c>
      <c r="C1934" t="s">
        <v>835</v>
      </c>
      <c r="D1934" t="s">
        <v>991</v>
      </c>
      <c r="E1934" t="s">
        <v>1032</v>
      </c>
      <c r="F1934" t="s">
        <v>1033</v>
      </c>
    </row>
    <row r="1935" spans="1:6">
      <c r="A1935" t="s">
        <v>13</v>
      </c>
      <c r="B1935" t="s">
        <v>82</v>
      </c>
      <c r="C1935" t="s">
        <v>835</v>
      </c>
      <c r="D1935" t="s">
        <v>991</v>
      </c>
      <c r="E1935" t="s">
        <v>1034</v>
      </c>
      <c r="F1935" t="s">
        <v>50</v>
      </c>
    </row>
    <row r="1936" spans="1:6">
      <c r="A1936" t="s">
        <v>13</v>
      </c>
      <c r="B1936" t="s">
        <v>82</v>
      </c>
      <c r="C1936" t="s">
        <v>835</v>
      </c>
      <c r="D1936" t="s">
        <v>991</v>
      </c>
      <c r="E1936" t="s">
        <v>1035</v>
      </c>
      <c r="F1936">
        <v>1919718</v>
      </c>
    </row>
    <row r="1937" spans="1:6">
      <c r="A1937" t="s">
        <v>13</v>
      </c>
      <c r="B1937" t="s">
        <v>82</v>
      </c>
      <c r="C1937" t="s">
        <v>835</v>
      </c>
      <c r="D1937" t="s">
        <v>991</v>
      </c>
      <c r="E1937" t="s">
        <v>1036</v>
      </c>
      <c r="F1937">
        <v>2025</v>
      </c>
    </row>
    <row r="1938" spans="1:6">
      <c r="A1938" t="s">
        <v>13</v>
      </c>
      <c r="B1938" t="s">
        <v>82</v>
      </c>
      <c r="C1938" t="s">
        <v>835</v>
      </c>
      <c r="D1938" t="s">
        <v>991</v>
      </c>
      <c r="E1938" t="s">
        <v>1037</v>
      </c>
      <c r="F1938">
        <v>1293122</v>
      </c>
    </row>
    <row r="1939" spans="1:6">
      <c r="A1939" t="s">
        <v>13</v>
      </c>
      <c r="B1939" t="s">
        <v>82</v>
      </c>
      <c r="C1939" t="s">
        <v>835</v>
      </c>
      <c r="D1939" t="s">
        <v>991</v>
      </c>
      <c r="E1939" t="s">
        <v>1038</v>
      </c>
      <c r="F1939">
        <v>2026</v>
      </c>
    </row>
    <row r="1940" spans="1:6">
      <c r="A1940" t="s">
        <v>13</v>
      </c>
      <c r="B1940" t="s">
        <v>82</v>
      </c>
      <c r="C1940" t="s">
        <v>835</v>
      </c>
      <c r="D1940" t="s">
        <v>991</v>
      </c>
      <c r="E1940" t="s">
        <v>1039</v>
      </c>
      <c r="F1940">
        <v>804306</v>
      </c>
    </row>
    <row r="1941" spans="1:6">
      <c r="A1941" t="s">
        <v>13</v>
      </c>
      <c r="B1941" t="s">
        <v>82</v>
      </c>
      <c r="C1941" t="s">
        <v>835</v>
      </c>
      <c r="D1941" t="s">
        <v>991</v>
      </c>
      <c r="E1941" t="s">
        <v>1040</v>
      </c>
      <c r="F1941">
        <v>120716</v>
      </c>
    </row>
    <row r="1942" spans="1:6">
      <c r="A1942" t="s">
        <v>13</v>
      </c>
      <c r="B1942" t="s">
        <v>82</v>
      </c>
      <c r="C1942" t="s">
        <v>835</v>
      </c>
      <c r="D1942" t="s">
        <v>991</v>
      </c>
      <c r="E1942" t="s">
        <v>1041</v>
      </c>
      <c r="F1942">
        <v>163584</v>
      </c>
    </row>
    <row r="1943" spans="1:6">
      <c r="A1943" t="s">
        <v>13</v>
      </c>
      <c r="B1943" t="s">
        <v>82</v>
      </c>
      <c r="C1943" t="s">
        <v>835</v>
      </c>
      <c r="D1943" t="s">
        <v>991</v>
      </c>
      <c r="E1943" t="s">
        <v>1042</v>
      </c>
      <c r="F1943">
        <v>322087</v>
      </c>
    </row>
    <row r="1944" spans="1:6">
      <c r="A1944" t="s">
        <v>13</v>
      </c>
      <c r="B1944" t="s">
        <v>82</v>
      </c>
      <c r="C1944" t="s">
        <v>835</v>
      </c>
      <c r="D1944" t="s">
        <v>991</v>
      </c>
      <c r="E1944" t="s">
        <v>1043</v>
      </c>
      <c r="F1944">
        <v>88184</v>
      </c>
    </row>
    <row r="1945" spans="1:6">
      <c r="A1945" t="s">
        <v>13</v>
      </c>
      <c r="B1945" t="s">
        <v>82</v>
      </c>
      <c r="C1945" t="s">
        <v>835</v>
      </c>
      <c r="D1945" t="s">
        <v>991</v>
      </c>
      <c r="E1945" t="s">
        <v>1044</v>
      </c>
      <c r="F1945">
        <v>53856</v>
      </c>
    </row>
    <row r="1946" spans="1:6">
      <c r="A1946" t="s">
        <v>13</v>
      </c>
      <c r="B1946" t="s">
        <v>82</v>
      </c>
      <c r="C1946" t="s">
        <v>835</v>
      </c>
      <c r="D1946" t="s">
        <v>991</v>
      </c>
      <c r="E1946" t="s">
        <v>1045</v>
      </c>
      <c r="F1946">
        <v>55879</v>
      </c>
    </row>
    <row r="1947" spans="1:6">
      <c r="A1947" t="s">
        <v>13</v>
      </c>
      <c r="B1947" t="s">
        <v>82</v>
      </c>
      <c r="C1947" t="s">
        <v>835</v>
      </c>
      <c r="D1947" t="s">
        <v>991</v>
      </c>
      <c r="E1947" t="s">
        <v>1046</v>
      </c>
      <c r="F1947">
        <v>0</v>
      </c>
    </row>
    <row r="1948" spans="1:6">
      <c r="A1948" t="s">
        <v>13</v>
      </c>
      <c r="B1948" t="s">
        <v>82</v>
      </c>
      <c r="C1948" t="s">
        <v>835</v>
      </c>
      <c r="D1948" t="s">
        <v>991</v>
      </c>
      <c r="E1948" t="s">
        <v>1047</v>
      </c>
      <c r="F1948">
        <v>0</v>
      </c>
    </row>
    <row r="1949" spans="1:6">
      <c r="A1949" t="s">
        <v>13</v>
      </c>
      <c r="B1949" t="s">
        <v>82</v>
      </c>
      <c r="C1949" t="s">
        <v>835</v>
      </c>
      <c r="D1949" t="s">
        <v>991</v>
      </c>
      <c r="E1949" t="s">
        <v>1048</v>
      </c>
      <c r="F1949">
        <v>0</v>
      </c>
    </row>
    <row r="1950" spans="1:6">
      <c r="A1950" t="s">
        <v>13</v>
      </c>
      <c r="B1950" t="s">
        <v>82</v>
      </c>
      <c r="C1950" t="s">
        <v>835</v>
      </c>
      <c r="D1950" t="s">
        <v>991</v>
      </c>
      <c r="E1950" t="s">
        <v>1049</v>
      </c>
      <c r="F1950">
        <v>0</v>
      </c>
    </row>
    <row r="1951" spans="1:6">
      <c r="A1951" t="s">
        <v>13</v>
      </c>
      <c r="B1951" t="s">
        <v>82</v>
      </c>
      <c r="C1951" t="s">
        <v>835</v>
      </c>
      <c r="D1951" t="s">
        <v>991</v>
      </c>
      <c r="E1951" t="s">
        <v>1050</v>
      </c>
      <c r="F1951">
        <v>0</v>
      </c>
    </row>
    <row r="1952" spans="1:6">
      <c r="A1952" t="s">
        <v>13</v>
      </c>
      <c r="B1952" t="s">
        <v>82</v>
      </c>
      <c r="C1952" t="s">
        <v>835</v>
      </c>
      <c r="D1952" t="s">
        <v>991</v>
      </c>
      <c r="E1952" t="s">
        <v>1051</v>
      </c>
      <c r="F1952">
        <v>0</v>
      </c>
    </row>
    <row r="1953" spans="1:6">
      <c r="A1953" t="s">
        <v>13</v>
      </c>
      <c r="B1953" t="s">
        <v>82</v>
      </c>
      <c r="C1953" t="s">
        <v>835</v>
      </c>
      <c r="D1953" t="s">
        <v>991</v>
      </c>
      <c r="E1953" t="s">
        <v>1052</v>
      </c>
      <c r="F1953" t="s">
        <v>1009</v>
      </c>
    </row>
    <row r="1954" spans="1:6">
      <c r="A1954" t="s">
        <v>13</v>
      </c>
      <c r="B1954" t="s">
        <v>82</v>
      </c>
      <c r="C1954" t="s">
        <v>835</v>
      </c>
      <c r="D1954" t="s">
        <v>991</v>
      </c>
      <c r="E1954" t="s">
        <v>1053</v>
      </c>
      <c r="F1954">
        <v>4017146</v>
      </c>
    </row>
    <row r="1955" spans="1:6">
      <c r="A1955" t="s">
        <v>13</v>
      </c>
      <c r="B1955" t="s">
        <v>82</v>
      </c>
      <c r="C1955" t="s">
        <v>835</v>
      </c>
      <c r="D1955" t="s">
        <v>991</v>
      </c>
      <c r="E1955" t="s">
        <v>1054</v>
      </c>
      <c r="F1955" t="s">
        <v>1055</v>
      </c>
    </row>
    <row r="1956" spans="1:6">
      <c r="A1956" t="s">
        <v>13</v>
      </c>
      <c r="B1956" t="s">
        <v>82</v>
      </c>
      <c r="C1956" t="s">
        <v>835</v>
      </c>
      <c r="D1956" t="s">
        <v>991</v>
      </c>
      <c r="E1956" t="s">
        <v>1056</v>
      </c>
      <c r="F1956" t="s">
        <v>1007</v>
      </c>
    </row>
    <row r="1957" spans="1:6">
      <c r="A1957" t="s">
        <v>13</v>
      </c>
      <c r="B1957" t="s">
        <v>82</v>
      </c>
      <c r="C1957" t="s">
        <v>835</v>
      </c>
      <c r="D1957" t="s">
        <v>991</v>
      </c>
      <c r="E1957" t="s">
        <v>1057</v>
      </c>
      <c r="F1957" t="s">
        <v>1009</v>
      </c>
    </row>
    <row r="1958" spans="1:6">
      <c r="A1958" t="s">
        <v>13</v>
      </c>
      <c r="B1958" t="s">
        <v>82</v>
      </c>
      <c r="C1958" t="s">
        <v>835</v>
      </c>
      <c r="D1958" t="s">
        <v>991</v>
      </c>
      <c r="E1958" t="s">
        <v>1058</v>
      </c>
      <c r="F1958" t="s">
        <v>1011</v>
      </c>
    </row>
    <row r="1959" spans="1:6">
      <c r="A1959" t="s">
        <v>13</v>
      </c>
      <c r="B1959" t="s">
        <v>82</v>
      </c>
      <c r="C1959" t="s">
        <v>835</v>
      </c>
      <c r="D1959" t="s">
        <v>991</v>
      </c>
      <c r="E1959" t="s">
        <v>1059</v>
      </c>
      <c r="F1959" t="s">
        <v>1013</v>
      </c>
    </row>
    <row r="1960" spans="1:6">
      <c r="A1960" t="s">
        <v>13</v>
      </c>
      <c r="B1960" t="s">
        <v>82</v>
      </c>
      <c r="C1960" t="s">
        <v>835</v>
      </c>
      <c r="D1960" t="s">
        <v>991</v>
      </c>
      <c r="E1960" t="s">
        <v>1060</v>
      </c>
      <c r="F1960" t="s">
        <v>1015</v>
      </c>
    </row>
    <row r="1961" spans="1:6">
      <c r="A1961" t="s">
        <v>13</v>
      </c>
      <c r="B1961" t="s">
        <v>82</v>
      </c>
      <c r="C1961" t="s">
        <v>835</v>
      </c>
      <c r="D1961" t="s">
        <v>991</v>
      </c>
      <c r="E1961" t="s">
        <v>1061</v>
      </c>
      <c r="F1961" t="s">
        <v>1017</v>
      </c>
    </row>
    <row r="1962" spans="1:6">
      <c r="A1962" t="s">
        <v>13</v>
      </c>
      <c r="B1962" t="s">
        <v>82</v>
      </c>
      <c r="C1962" t="s">
        <v>835</v>
      </c>
      <c r="D1962" t="s">
        <v>991</v>
      </c>
      <c r="E1962" t="s">
        <v>1062</v>
      </c>
      <c r="F1962" t="s">
        <v>1019</v>
      </c>
    </row>
    <row r="1963" spans="1:6">
      <c r="A1963" t="s">
        <v>13</v>
      </c>
      <c r="B1963" t="s">
        <v>82</v>
      </c>
      <c r="C1963" t="s">
        <v>835</v>
      </c>
      <c r="D1963" t="s">
        <v>991</v>
      </c>
      <c r="E1963" t="s">
        <v>1063</v>
      </c>
      <c r="F1963" t="s">
        <v>1021</v>
      </c>
    </row>
    <row r="1964" spans="1:6">
      <c r="A1964" t="s">
        <v>13</v>
      </c>
      <c r="B1964" t="s">
        <v>82</v>
      </c>
      <c r="C1964" t="s">
        <v>835</v>
      </c>
      <c r="D1964" t="s">
        <v>991</v>
      </c>
      <c r="E1964" t="s">
        <v>1064</v>
      </c>
      <c r="F1964" t="s">
        <v>1023</v>
      </c>
    </row>
    <row r="1965" spans="1:6">
      <c r="A1965" t="s">
        <v>13</v>
      </c>
      <c r="B1965" t="s">
        <v>82</v>
      </c>
      <c r="C1965" t="s">
        <v>835</v>
      </c>
      <c r="D1965" t="s">
        <v>991</v>
      </c>
      <c r="E1965" t="s">
        <v>1065</v>
      </c>
      <c r="F1965" t="s">
        <v>1066</v>
      </c>
    </row>
    <row r="1966" spans="1:6">
      <c r="A1966" t="s">
        <v>13</v>
      </c>
      <c r="B1966" t="s">
        <v>82</v>
      </c>
      <c r="C1966" t="s">
        <v>835</v>
      </c>
      <c r="D1966" t="s">
        <v>991</v>
      </c>
      <c r="E1966" t="s">
        <v>1067</v>
      </c>
      <c r="F1966" t="s">
        <v>1027</v>
      </c>
    </row>
    <row r="1967" spans="1:6">
      <c r="A1967" t="s">
        <v>13</v>
      </c>
      <c r="B1967" t="s">
        <v>82</v>
      </c>
      <c r="C1967" t="s">
        <v>835</v>
      </c>
      <c r="D1967" t="s">
        <v>991</v>
      </c>
      <c r="E1967" t="s">
        <v>1068</v>
      </c>
      <c r="F1967" t="s">
        <v>1029</v>
      </c>
    </row>
    <row r="1968" spans="1:6">
      <c r="A1968" t="s">
        <v>13</v>
      </c>
      <c r="B1968" t="s">
        <v>82</v>
      </c>
      <c r="C1968" t="s">
        <v>835</v>
      </c>
      <c r="D1968" t="s">
        <v>991</v>
      </c>
      <c r="E1968" t="s">
        <v>1069</v>
      </c>
      <c r="F1968" t="s">
        <v>1031</v>
      </c>
    </row>
    <row r="1969" spans="1:6">
      <c r="A1969" t="s">
        <v>13</v>
      </c>
      <c r="B1969" t="s">
        <v>82</v>
      </c>
      <c r="C1969" t="s">
        <v>835</v>
      </c>
      <c r="D1969" t="s">
        <v>991</v>
      </c>
      <c r="E1969" t="s">
        <v>1070</v>
      </c>
      <c r="F1969" t="s">
        <v>1033</v>
      </c>
    </row>
    <row r="1970" spans="1:6">
      <c r="A1970" t="s">
        <v>13</v>
      </c>
      <c r="B1970" t="s">
        <v>82</v>
      </c>
      <c r="C1970" t="s">
        <v>835</v>
      </c>
      <c r="D1970" t="s">
        <v>991</v>
      </c>
      <c r="E1970" t="s">
        <v>1071</v>
      </c>
      <c r="F1970" t="s">
        <v>50</v>
      </c>
    </row>
    <row r="1971" spans="1:6">
      <c r="A1971" t="s">
        <v>13</v>
      </c>
      <c r="B1971" t="s">
        <v>82</v>
      </c>
      <c r="C1971" t="s">
        <v>835</v>
      </c>
      <c r="D1971" t="s">
        <v>991</v>
      </c>
      <c r="E1971" t="s">
        <v>1072</v>
      </c>
      <c r="F1971">
        <v>24065</v>
      </c>
    </row>
    <row r="1972" spans="1:6">
      <c r="A1972" t="s">
        <v>13</v>
      </c>
      <c r="B1972" t="s">
        <v>82</v>
      </c>
      <c r="C1972" t="s">
        <v>835</v>
      </c>
      <c r="D1972" t="s">
        <v>991</v>
      </c>
      <c r="E1972" t="s">
        <v>1073</v>
      </c>
      <c r="F1972">
        <v>2025</v>
      </c>
    </row>
    <row r="1973" spans="1:6">
      <c r="A1973" t="s">
        <v>13</v>
      </c>
      <c r="B1973" t="s">
        <v>82</v>
      </c>
      <c r="C1973" t="s">
        <v>835</v>
      </c>
      <c r="D1973" t="s">
        <v>991</v>
      </c>
      <c r="E1973" t="s">
        <v>1074</v>
      </c>
      <c r="F1973">
        <v>22854</v>
      </c>
    </row>
    <row r="1974" spans="1:6">
      <c r="A1974" t="s">
        <v>13</v>
      </c>
      <c r="B1974" t="s">
        <v>82</v>
      </c>
      <c r="C1974" t="s">
        <v>835</v>
      </c>
      <c r="D1974" t="s">
        <v>991</v>
      </c>
      <c r="E1974" t="s">
        <v>1075</v>
      </c>
      <c r="F1974">
        <v>2026</v>
      </c>
    </row>
    <row r="1975" spans="1:6">
      <c r="A1975" t="s">
        <v>13</v>
      </c>
      <c r="B1975" t="s">
        <v>82</v>
      </c>
      <c r="C1975" t="s">
        <v>835</v>
      </c>
      <c r="D1975" t="s">
        <v>991</v>
      </c>
      <c r="E1975" t="s">
        <v>1076</v>
      </c>
      <c r="F1975">
        <v>21362</v>
      </c>
    </row>
    <row r="1976" spans="1:6">
      <c r="A1976" t="s">
        <v>13</v>
      </c>
      <c r="B1976" t="s">
        <v>82</v>
      </c>
      <c r="C1976" t="s">
        <v>835</v>
      </c>
      <c r="D1976" t="s">
        <v>991</v>
      </c>
      <c r="E1976" t="s">
        <v>1077</v>
      </c>
      <c r="F1976">
        <v>6628</v>
      </c>
    </row>
    <row r="1977" spans="1:6">
      <c r="A1977" t="s">
        <v>13</v>
      </c>
      <c r="B1977" t="s">
        <v>82</v>
      </c>
      <c r="C1977" t="s">
        <v>835</v>
      </c>
      <c r="D1977" t="s">
        <v>991</v>
      </c>
      <c r="E1977" t="s">
        <v>1078</v>
      </c>
      <c r="F1977">
        <v>2794</v>
      </c>
    </row>
    <row r="1978" spans="1:6">
      <c r="A1978" t="s">
        <v>13</v>
      </c>
      <c r="B1978" t="s">
        <v>82</v>
      </c>
      <c r="C1978" t="s">
        <v>835</v>
      </c>
      <c r="D1978" t="s">
        <v>991</v>
      </c>
      <c r="E1978" t="s">
        <v>1079</v>
      </c>
      <c r="F1978">
        <v>4508</v>
      </c>
    </row>
    <row r="1979" spans="1:6">
      <c r="A1979" t="s">
        <v>13</v>
      </c>
      <c r="B1979" t="s">
        <v>82</v>
      </c>
      <c r="C1979" t="s">
        <v>835</v>
      </c>
      <c r="D1979" t="s">
        <v>991</v>
      </c>
      <c r="E1979" t="s">
        <v>1080</v>
      </c>
      <c r="F1979">
        <v>1560</v>
      </c>
    </row>
    <row r="1980" spans="1:6">
      <c r="A1980" t="s">
        <v>13</v>
      </c>
      <c r="B1980" t="s">
        <v>82</v>
      </c>
      <c r="C1980" t="s">
        <v>835</v>
      </c>
      <c r="D1980" t="s">
        <v>991</v>
      </c>
      <c r="E1980" t="s">
        <v>1081</v>
      </c>
      <c r="F1980">
        <v>2385</v>
      </c>
    </row>
    <row r="1981" spans="1:6">
      <c r="A1981" t="s">
        <v>13</v>
      </c>
      <c r="B1981" t="s">
        <v>82</v>
      </c>
      <c r="C1981" t="s">
        <v>835</v>
      </c>
      <c r="D1981" t="s">
        <v>991</v>
      </c>
      <c r="E1981" t="s">
        <v>1082</v>
      </c>
      <c r="F1981">
        <v>3487</v>
      </c>
    </row>
    <row r="1982" spans="1:6">
      <c r="A1982" t="s">
        <v>13</v>
      </c>
      <c r="B1982" t="s">
        <v>82</v>
      </c>
      <c r="C1982" t="s">
        <v>835</v>
      </c>
      <c r="D1982" t="s">
        <v>991</v>
      </c>
      <c r="E1982" t="s">
        <v>1083</v>
      </c>
      <c r="F1982">
        <v>0</v>
      </c>
    </row>
    <row r="1983" spans="1:6">
      <c r="A1983" t="s">
        <v>13</v>
      </c>
      <c r="B1983" t="s">
        <v>82</v>
      </c>
      <c r="C1983" t="s">
        <v>835</v>
      </c>
      <c r="D1983" t="s">
        <v>991</v>
      </c>
      <c r="E1983" t="s">
        <v>1084</v>
      </c>
      <c r="F1983">
        <v>0</v>
      </c>
    </row>
    <row r="1984" spans="1:6">
      <c r="A1984" t="s">
        <v>13</v>
      </c>
      <c r="B1984" t="s">
        <v>82</v>
      </c>
      <c r="C1984" t="s">
        <v>835</v>
      </c>
      <c r="D1984" t="s">
        <v>991</v>
      </c>
      <c r="E1984" t="s">
        <v>1085</v>
      </c>
      <c r="F1984">
        <v>0</v>
      </c>
    </row>
    <row r="1985" spans="1:6">
      <c r="A1985" t="s">
        <v>13</v>
      </c>
      <c r="B1985" t="s">
        <v>82</v>
      </c>
      <c r="C1985" t="s">
        <v>835</v>
      </c>
      <c r="D1985" t="s">
        <v>991</v>
      </c>
      <c r="E1985" t="s">
        <v>1086</v>
      </c>
      <c r="F1985">
        <v>0</v>
      </c>
    </row>
    <row r="1986" spans="1:6">
      <c r="A1986" t="s">
        <v>13</v>
      </c>
      <c r="B1986" t="s">
        <v>82</v>
      </c>
      <c r="C1986" t="s">
        <v>835</v>
      </c>
      <c r="D1986" t="s">
        <v>991</v>
      </c>
      <c r="E1986" t="s">
        <v>1087</v>
      </c>
      <c r="F1986">
        <v>0</v>
      </c>
    </row>
    <row r="1987" spans="1:6">
      <c r="A1987" t="s">
        <v>13</v>
      </c>
      <c r="B1987" t="s">
        <v>82</v>
      </c>
      <c r="C1987" t="s">
        <v>835</v>
      </c>
      <c r="D1987" t="s">
        <v>991</v>
      </c>
      <c r="E1987" t="s">
        <v>1088</v>
      </c>
      <c r="F1987">
        <v>0</v>
      </c>
    </row>
    <row r="1988" spans="1:6">
      <c r="A1988" t="s">
        <v>13</v>
      </c>
      <c r="B1988" t="s">
        <v>82</v>
      </c>
      <c r="C1988" t="s">
        <v>835</v>
      </c>
      <c r="D1988" t="s">
        <v>991</v>
      </c>
      <c r="E1988" t="s">
        <v>1089</v>
      </c>
      <c r="F1988" t="s">
        <v>1009</v>
      </c>
    </row>
    <row r="1989" spans="1:6">
      <c r="A1989" t="s">
        <v>13</v>
      </c>
      <c r="B1989" t="s">
        <v>82</v>
      </c>
      <c r="C1989" t="s">
        <v>835</v>
      </c>
      <c r="D1989" t="s">
        <v>991</v>
      </c>
      <c r="E1989" t="s">
        <v>1090</v>
      </c>
      <c r="F1989">
        <v>68281</v>
      </c>
    </row>
    <row r="1990" spans="1:6">
      <c r="A1990" t="s">
        <v>13</v>
      </c>
      <c r="B1990" t="s">
        <v>82</v>
      </c>
      <c r="C1990" t="s">
        <v>835</v>
      </c>
      <c r="D1990" t="s">
        <v>1091</v>
      </c>
      <c r="E1990" t="s">
        <v>992</v>
      </c>
      <c r="F1990" t="s">
        <v>1092</v>
      </c>
    </row>
    <row r="1991" spans="1:6">
      <c r="A1991" t="s">
        <v>13</v>
      </c>
      <c r="B1991" t="s">
        <v>82</v>
      </c>
      <c r="C1991" t="s">
        <v>835</v>
      </c>
      <c r="D1991" t="s">
        <v>1091</v>
      </c>
      <c r="E1991" t="s">
        <v>1093</v>
      </c>
      <c r="F1991" t="s">
        <v>1094</v>
      </c>
    </row>
    <row r="1992" spans="1:6">
      <c r="A1992" t="s">
        <v>13</v>
      </c>
      <c r="B1992" t="s">
        <v>82</v>
      </c>
      <c r="C1992" t="s">
        <v>835</v>
      </c>
      <c r="D1992" t="s">
        <v>1091</v>
      </c>
      <c r="E1992" t="s">
        <v>994</v>
      </c>
      <c r="F1992" t="s">
        <v>1494</v>
      </c>
    </row>
    <row r="1993" spans="1:6">
      <c r="A1993" t="s">
        <v>13</v>
      </c>
      <c r="B1993" t="s">
        <v>82</v>
      </c>
      <c r="C1993" t="s">
        <v>835</v>
      </c>
      <c r="D1993" t="s">
        <v>1091</v>
      </c>
      <c r="E1993" t="s">
        <v>995</v>
      </c>
      <c r="F1993" t="s">
        <v>996</v>
      </c>
    </row>
    <row r="1994" spans="1:6">
      <c r="A1994" t="s">
        <v>13</v>
      </c>
      <c r="B1994" t="s">
        <v>82</v>
      </c>
      <c r="C1994" t="s">
        <v>835</v>
      </c>
      <c r="D1994" t="s">
        <v>1091</v>
      </c>
      <c r="E1994" t="s">
        <v>997</v>
      </c>
      <c r="F1994" t="s">
        <v>998</v>
      </c>
    </row>
    <row r="1995" spans="1:6">
      <c r="A1995" t="s">
        <v>13</v>
      </c>
      <c r="B1995" t="s">
        <v>82</v>
      </c>
      <c r="C1995" t="s">
        <v>835</v>
      </c>
      <c r="D1995" t="s">
        <v>1091</v>
      </c>
      <c r="E1995" t="s">
        <v>999</v>
      </c>
      <c r="F1995" t="s">
        <v>1000</v>
      </c>
    </row>
    <row r="1996" spans="1:6">
      <c r="A1996" t="s">
        <v>13</v>
      </c>
      <c r="B1996" t="s">
        <v>82</v>
      </c>
      <c r="C1996" t="s">
        <v>835</v>
      </c>
      <c r="D1996" t="s">
        <v>1091</v>
      </c>
      <c r="E1996" t="s">
        <v>1001</v>
      </c>
      <c r="F1996" t="s">
        <v>10</v>
      </c>
    </row>
    <row r="1997" spans="1:6">
      <c r="A1997" t="s">
        <v>13</v>
      </c>
      <c r="B1997" t="s">
        <v>82</v>
      </c>
      <c r="C1997" t="s">
        <v>835</v>
      </c>
      <c r="D1997" t="s">
        <v>1091</v>
      </c>
      <c r="E1997" t="s">
        <v>1002</v>
      </c>
      <c r="F1997" t="s">
        <v>1095</v>
      </c>
    </row>
    <row r="1998" spans="1:6">
      <c r="A1998" t="s">
        <v>13</v>
      </c>
      <c r="B1998" t="s">
        <v>82</v>
      </c>
      <c r="C1998" t="s">
        <v>835</v>
      </c>
      <c r="D1998" t="s">
        <v>1091</v>
      </c>
      <c r="E1998" t="s">
        <v>1096</v>
      </c>
      <c r="F1998" t="s">
        <v>1005</v>
      </c>
    </row>
    <row r="1999" spans="1:6">
      <c r="A1999" t="s">
        <v>13</v>
      </c>
      <c r="B1999" t="s">
        <v>82</v>
      </c>
      <c r="C1999" t="s">
        <v>835</v>
      </c>
      <c r="D1999" t="s">
        <v>1091</v>
      </c>
      <c r="E1999" t="s">
        <v>1006</v>
      </c>
      <c r="F1999" t="s">
        <v>1097</v>
      </c>
    </row>
    <row r="2000" spans="1:6">
      <c r="A2000" t="s">
        <v>13</v>
      </c>
      <c r="B2000" t="s">
        <v>82</v>
      </c>
      <c r="C2000" t="s">
        <v>835</v>
      </c>
      <c r="D2000" t="s">
        <v>1091</v>
      </c>
      <c r="E2000" t="s">
        <v>1008</v>
      </c>
      <c r="F2000" t="s">
        <v>1098</v>
      </c>
    </row>
    <row r="2001" spans="1:6">
      <c r="A2001" t="s">
        <v>13</v>
      </c>
      <c r="B2001" t="s">
        <v>82</v>
      </c>
      <c r="C2001" t="s">
        <v>835</v>
      </c>
      <c r="D2001" t="s">
        <v>1091</v>
      </c>
      <c r="E2001" t="s">
        <v>1035</v>
      </c>
      <c r="F2001" t="s">
        <v>1009</v>
      </c>
    </row>
    <row r="2002" spans="1:6">
      <c r="A2002" t="s">
        <v>13</v>
      </c>
      <c r="B2002" t="s">
        <v>82</v>
      </c>
      <c r="C2002" t="s">
        <v>835</v>
      </c>
      <c r="D2002" t="s">
        <v>1091</v>
      </c>
      <c r="E2002" t="s">
        <v>1099</v>
      </c>
      <c r="F2002" t="s">
        <v>50</v>
      </c>
    </row>
    <row r="2003" spans="1:6">
      <c r="A2003" t="s">
        <v>13</v>
      </c>
      <c r="B2003" t="s">
        <v>82</v>
      </c>
      <c r="C2003" t="s">
        <v>835</v>
      </c>
      <c r="D2003" t="s">
        <v>1091</v>
      </c>
      <c r="E2003" t="s">
        <v>1100</v>
      </c>
      <c r="F2003">
        <v>2025</v>
      </c>
    </row>
    <row r="2004" spans="1:6">
      <c r="A2004" t="s">
        <v>13</v>
      </c>
      <c r="B2004" t="s">
        <v>82</v>
      </c>
      <c r="C2004" t="s">
        <v>835</v>
      </c>
      <c r="D2004" t="s">
        <v>1091</v>
      </c>
      <c r="E2004" t="s">
        <v>1101</v>
      </c>
      <c r="F2004">
        <v>2026</v>
      </c>
    </row>
    <row r="2005" spans="1:6">
      <c r="A2005" t="s">
        <v>13</v>
      </c>
      <c r="B2005" t="s">
        <v>82</v>
      </c>
      <c r="C2005" t="s">
        <v>835</v>
      </c>
      <c r="D2005" t="s">
        <v>1091</v>
      </c>
      <c r="E2005" t="s">
        <v>1036</v>
      </c>
      <c r="F2005" t="s">
        <v>1102</v>
      </c>
    </row>
    <row r="2006" spans="1:6">
      <c r="A2006" t="s">
        <v>13</v>
      </c>
      <c r="B2006" t="s">
        <v>82</v>
      </c>
      <c r="C2006" t="s">
        <v>835</v>
      </c>
      <c r="D2006" t="s">
        <v>1091</v>
      </c>
      <c r="E2006" t="s">
        <v>1037</v>
      </c>
      <c r="F2006">
        <v>4017146</v>
      </c>
    </row>
    <row r="2007" spans="1:6">
      <c r="A2007" t="s">
        <v>13</v>
      </c>
      <c r="B2007" t="s">
        <v>82</v>
      </c>
      <c r="C2007" t="s">
        <v>835</v>
      </c>
      <c r="D2007" t="s">
        <v>1091</v>
      </c>
      <c r="E2007" t="s">
        <v>1103</v>
      </c>
      <c r="F2007">
        <v>1919718</v>
      </c>
    </row>
    <row r="2008" spans="1:6">
      <c r="A2008" t="s">
        <v>13</v>
      </c>
      <c r="B2008" t="s">
        <v>82</v>
      </c>
      <c r="C2008" t="s">
        <v>835</v>
      </c>
      <c r="D2008" t="s">
        <v>1091</v>
      </c>
      <c r="E2008" t="s">
        <v>1104</v>
      </c>
      <c r="F2008">
        <v>1293122</v>
      </c>
    </row>
    <row r="2009" spans="1:6">
      <c r="A2009" t="s">
        <v>13</v>
      </c>
      <c r="B2009" t="s">
        <v>82</v>
      </c>
      <c r="C2009" t="s">
        <v>835</v>
      </c>
      <c r="D2009" t="s">
        <v>1091</v>
      </c>
      <c r="E2009" t="s">
        <v>1105</v>
      </c>
      <c r="F2009">
        <v>804306</v>
      </c>
    </row>
    <row r="2010" spans="1:6">
      <c r="A2010" t="s">
        <v>13</v>
      </c>
      <c r="B2010" t="s">
        <v>82</v>
      </c>
      <c r="C2010" t="s">
        <v>835</v>
      </c>
      <c r="D2010" t="s">
        <v>1091</v>
      </c>
      <c r="E2010" t="s">
        <v>1038</v>
      </c>
      <c r="F2010" t="s">
        <v>1106</v>
      </c>
    </row>
    <row r="2011" spans="1:6">
      <c r="A2011" t="s">
        <v>13</v>
      </c>
      <c r="B2011" t="s">
        <v>82</v>
      </c>
      <c r="C2011" t="s">
        <v>835</v>
      </c>
      <c r="D2011" t="s">
        <v>1091</v>
      </c>
      <c r="E2011" t="s">
        <v>1039</v>
      </c>
      <c r="F2011">
        <v>3676489</v>
      </c>
    </row>
    <row r="2012" spans="1:6">
      <c r="A2012" t="s">
        <v>13</v>
      </c>
      <c r="B2012" t="s">
        <v>82</v>
      </c>
      <c r="C2012" t="s">
        <v>835</v>
      </c>
      <c r="D2012" t="s">
        <v>1091</v>
      </c>
      <c r="E2012" t="s">
        <v>1040</v>
      </c>
      <c r="F2012">
        <v>1919718</v>
      </c>
    </row>
    <row r="2013" spans="1:6">
      <c r="A2013" t="s">
        <v>13</v>
      </c>
      <c r="B2013" t="s">
        <v>82</v>
      </c>
      <c r="C2013" t="s">
        <v>835</v>
      </c>
      <c r="D2013" t="s">
        <v>1091</v>
      </c>
      <c r="E2013" t="s">
        <v>1041</v>
      </c>
      <c r="F2013">
        <v>1253073</v>
      </c>
    </row>
    <row r="2014" spans="1:6">
      <c r="A2014" t="s">
        <v>13</v>
      </c>
      <c r="B2014" t="s">
        <v>82</v>
      </c>
      <c r="C2014" t="s">
        <v>835</v>
      </c>
      <c r="D2014" t="s">
        <v>1091</v>
      </c>
      <c r="E2014" t="s">
        <v>1042</v>
      </c>
      <c r="F2014">
        <v>503698</v>
      </c>
    </row>
    <row r="2015" spans="1:6">
      <c r="A2015" t="s">
        <v>13</v>
      </c>
      <c r="B2015" t="s">
        <v>82</v>
      </c>
      <c r="C2015" t="s">
        <v>835</v>
      </c>
      <c r="D2015" t="s">
        <v>1091</v>
      </c>
      <c r="E2015" t="s">
        <v>1052</v>
      </c>
      <c r="F2015" t="s">
        <v>1107</v>
      </c>
    </row>
    <row r="2016" spans="1:6">
      <c r="A2016" t="s">
        <v>13</v>
      </c>
      <c r="B2016" t="s">
        <v>82</v>
      </c>
      <c r="C2016" t="s">
        <v>835</v>
      </c>
      <c r="D2016" t="s">
        <v>1091</v>
      </c>
      <c r="E2016" t="s">
        <v>1053</v>
      </c>
      <c r="F2016">
        <v>1288610</v>
      </c>
    </row>
    <row r="2017" spans="1:6">
      <c r="A2017" t="s">
        <v>13</v>
      </c>
      <c r="B2017" t="s">
        <v>82</v>
      </c>
      <c r="C2017" t="s">
        <v>835</v>
      </c>
      <c r="D2017" t="s">
        <v>1091</v>
      </c>
      <c r="E2017" t="s">
        <v>1108</v>
      </c>
      <c r="F2017">
        <v>215128</v>
      </c>
    </row>
    <row r="2018" spans="1:6">
      <c r="A2018" t="s">
        <v>13</v>
      </c>
      <c r="B2018" t="s">
        <v>82</v>
      </c>
      <c r="C2018" t="s">
        <v>835</v>
      </c>
      <c r="D2018" t="s">
        <v>1091</v>
      </c>
      <c r="E2018" t="s">
        <v>1109</v>
      </c>
      <c r="F2018">
        <v>616931</v>
      </c>
    </row>
    <row r="2019" spans="1:6">
      <c r="A2019" t="s">
        <v>13</v>
      </c>
      <c r="B2019" t="s">
        <v>82</v>
      </c>
      <c r="C2019" t="s">
        <v>835</v>
      </c>
      <c r="D2019" t="s">
        <v>1091</v>
      </c>
      <c r="E2019" t="s">
        <v>1110</v>
      </c>
      <c r="F2019">
        <v>456551</v>
      </c>
    </row>
    <row r="2020" spans="1:6">
      <c r="A2020" t="s">
        <v>13</v>
      </c>
      <c r="B2020" t="s">
        <v>82</v>
      </c>
      <c r="C2020" t="s">
        <v>835</v>
      </c>
      <c r="D2020" t="s">
        <v>1091</v>
      </c>
      <c r="E2020" t="s">
        <v>1111</v>
      </c>
      <c r="F2020" t="s">
        <v>1307</v>
      </c>
    </row>
    <row r="2021" spans="1:6">
      <c r="A2021" t="s">
        <v>13</v>
      </c>
      <c r="B2021" t="s">
        <v>82</v>
      </c>
      <c r="C2021" t="s">
        <v>835</v>
      </c>
      <c r="D2021" t="s">
        <v>1091</v>
      </c>
      <c r="E2021" t="s">
        <v>1113</v>
      </c>
      <c r="F2021">
        <v>2103546</v>
      </c>
    </row>
    <row r="2022" spans="1:6">
      <c r="A2022" t="s">
        <v>13</v>
      </c>
      <c r="B2022" t="s">
        <v>82</v>
      </c>
      <c r="C2022" t="s">
        <v>835</v>
      </c>
      <c r="D2022" t="s">
        <v>1091</v>
      </c>
      <c r="E2022" t="s">
        <v>1114</v>
      </c>
      <c r="F2022">
        <v>1495177</v>
      </c>
    </row>
    <row r="2023" spans="1:6">
      <c r="A2023" t="s">
        <v>13</v>
      </c>
      <c r="B2023" t="s">
        <v>82</v>
      </c>
      <c r="C2023" t="s">
        <v>835</v>
      </c>
      <c r="D2023" t="s">
        <v>1091</v>
      </c>
      <c r="E2023" t="s">
        <v>1115</v>
      </c>
      <c r="F2023">
        <v>586462</v>
      </c>
    </row>
    <row r="2024" spans="1:6">
      <c r="A2024" t="s">
        <v>13</v>
      </c>
      <c r="B2024" t="s">
        <v>82</v>
      </c>
      <c r="C2024" t="s">
        <v>835</v>
      </c>
      <c r="D2024" t="s">
        <v>1091</v>
      </c>
      <c r="E2024" t="s">
        <v>1116</v>
      </c>
      <c r="F2024">
        <v>21906</v>
      </c>
    </row>
    <row r="2025" spans="1:6">
      <c r="A2025" t="s">
        <v>13</v>
      </c>
      <c r="B2025" t="s">
        <v>82</v>
      </c>
      <c r="C2025" t="s">
        <v>835</v>
      </c>
      <c r="D2025" t="s">
        <v>1091</v>
      </c>
      <c r="E2025" t="s">
        <v>1054</v>
      </c>
      <c r="F2025" t="s">
        <v>1308</v>
      </c>
    </row>
    <row r="2026" spans="1:6">
      <c r="A2026" t="s">
        <v>13</v>
      </c>
      <c r="B2026" t="s">
        <v>82</v>
      </c>
      <c r="C2026" t="s">
        <v>835</v>
      </c>
      <c r="D2026" t="s">
        <v>1091</v>
      </c>
      <c r="E2026" t="s">
        <v>1118</v>
      </c>
      <c r="F2026">
        <v>284333</v>
      </c>
    </row>
    <row r="2027" spans="1:6">
      <c r="A2027" t="s">
        <v>13</v>
      </c>
      <c r="B2027" t="s">
        <v>82</v>
      </c>
      <c r="C2027" t="s">
        <v>835</v>
      </c>
      <c r="D2027" t="s">
        <v>1091</v>
      </c>
      <c r="E2027" t="s">
        <v>1119</v>
      </c>
      <c r="F2027">
        <v>209412</v>
      </c>
    </row>
    <row r="2028" spans="1:6">
      <c r="A2028" t="s">
        <v>13</v>
      </c>
      <c r="B2028" t="s">
        <v>82</v>
      </c>
      <c r="C2028" t="s">
        <v>835</v>
      </c>
      <c r="D2028" t="s">
        <v>1091</v>
      </c>
      <c r="E2028" t="s">
        <v>1120</v>
      </c>
      <c r="F2028">
        <v>49680</v>
      </c>
    </row>
    <row r="2029" spans="1:6">
      <c r="A2029" t="s">
        <v>13</v>
      </c>
      <c r="B2029" t="s">
        <v>82</v>
      </c>
      <c r="C2029" t="s">
        <v>835</v>
      </c>
      <c r="D2029" t="s">
        <v>1091</v>
      </c>
      <c r="E2029" t="s">
        <v>1121</v>
      </c>
      <c r="F2029">
        <v>25241</v>
      </c>
    </row>
    <row r="2030" spans="1:6">
      <c r="A2030" t="s">
        <v>13</v>
      </c>
      <c r="B2030" t="s">
        <v>82</v>
      </c>
      <c r="C2030" t="s">
        <v>835</v>
      </c>
      <c r="D2030" t="s">
        <v>1091</v>
      </c>
      <c r="E2030" t="s">
        <v>1122</v>
      </c>
      <c r="F2030" t="s">
        <v>1123</v>
      </c>
    </row>
    <row r="2031" spans="1:6">
      <c r="A2031" t="s">
        <v>13</v>
      </c>
      <c r="B2031" t="s">
        <v>82</v>
      </c>
      <c r="C2031" t="s">
        <v>835</v>
      </c>
      <c r="D2031" t="s">
        <v>1091</v>
      </c>
      <c r="E2031" t="s">
        <v>1124</v>
      </c>
      <c r="F2031" t="s">
        <v>1495</v>
      </c>
    </row>
    <row r="2032" spans="1:6">
      <c r="A2032" t="s">
        <v>13</v>
      </c>
      <c r="B2032" t="s">
        <v>82</v>
      </c>
      <c r="C2032" t="s">
        <v>835</v>
      </c>
      <c r="D2032" t="s">
        <v>1091</v>
      </c>
      <c r="E2032" t="s">
        <v>1126</v>
      </c>
      <c r="F2032" t="s">
        <v>1125</v>
      </c>
    </row>
    <row r="2033" spans="1:6">
      <c r="A2033" t="s">
        <v>13</v>
      </c>
      <c r="B2033" t="s">
        <v>82</v>
      </c>
      <c r="C2033" t="s">
        <v>835</v>
      </c>
      <c r="D2033" t="s">
        <v>1091</v>
      </c>
      <c r="E2033" t="s">
        <v>1127</v>
      </c>
      <c r="F2033" t="s">
        <v>1232</v>
      </c>
    </row>
    <row r="2034" spans="1:6">
      <c r="A2034" t="s">
        <v>13</v>
      </c>
      <c r="B2034" t="s">
        <v>82</v>
      </c>
      <c r="C2034" t="s">
        <v>835</v>
      </c>
      <c r="D2034" t="s">
        <v>1091</v>
      </c>
      <c r="E2034" t="s">
        <v>1128</v>
      </c>
      <c r="F2034" t="s">
        <v>1496</v>
      </c>
    </row>
    <row r="2035" spans="1:6">
      <c r="A2035" t="s">
        <v>13</v>
      </c>
      <c r="B2035" t="s">
        <v>82</v>
      </c>
      <c r="C2035" t="s">
        <v>835</v>
      </c>
      <c r="D2035" t="s">
        <v>1091</v>
      </c>
      <c r="E2035" t="s">
        <v>1056</v>
      </c>
      <c r="F2035" t="s">
        <v>1130</v>
      </c>
    </row>
    <row r="2036" spans="1:6">
      <c r="A2036" t="s">
        <v>13</v>
      </c>
      <c r="B2036" t="s">
        <v>82</v>
      </c>
      <c r="C2036" t="s">
        <v>835</v>
      </c>
      <c r="D2036" t="s">
        <v>1091</v>
      </c>
      <c r="E2036" t="s">
        <v>1057</v>
      </c>
      <c r="F2036">
        <v>340657</v>
      </c>
    </row>
    <row r="2037" spans="1:6">
      <c r="A2037" t="s">
        <v>13</v>
      </c>
      <c r="B2037" t="s">
        <v>82</v>
      </c>
      <c r="C2037" t="s">
        <v>835</v>
      </c>
      <c r="D2037" t="s">
        <v>1091</v>
      </c>
      <c r="E2037" t="s">
        <v>1058</v>
      </c>
      <c r="F2037">
        <v>0</v>
      </c>
    </row>
    <row r="2038" spans="1:6">
      <c r="A2038" t="s">
        <v>13</v>
      </c>
      <c r="B2038" t="s">
        <v>82</v>
      </c>
      <c r="C2038" t="s">
        <v>835</v>
      </c>
      <c r="D2038" t="s">
        <v>1091</v>
      </c>
      <c r="E2038" t="s">
        <v>1059</v>
      </c>
      <c r="F2038">
        <v>40048</v>
      </c>
    </row>
    <row r="2039" spans="1:6">
      <c r="A2039" t="s">
        <v>13</v>
      </c>
      <c r="B2039" t="s">
        <v>82</v>
      </c>
      <c r="C2039" t="s">
        <v>835</v>
      </c>
      <c r="D2039" t="s">
        <v>1091</v>
      </c>
      <c r="E2039" t="s">
        <v>1060</v>
      </c>
      <c r="F2039">
        <v>300608</v>
      </c>
    </row>
    <row r="2040" spans="1:6">
      <c r="A2040" t="s">
        <v>13</v>
      </c>
      <c r="B2040" t="s">
        <v>82</v>
      </c>
      <c r="C2040" t="s">
        <v>835</v>
      </c>
      <c r="D2040" t="s">
        <v>1091</v>
      </c>
      <c r="E2040" t="s">
        <v>1071</v>
      </c>
      <c r="F2040" t="s">
        <v>1131</v>
      </c>
    </row>
    <row r="2041" spans="1:6">
      <c r="A2041" t="s">
        <v>13</v>
      </c>
      <c r="B2041" t="s">
        <v>82</v>
      </c>
      <c r="C2041" t="s">
        <v>835</v>
      </c>
      <c r="D2041" t="s">
        <v>1091</v>
      </c>
      <c r="E2041" t="s">
        <v>1072</v>
      </c>
      <c r="F2041" t="s">
        <v>1399</v>
      </c>
    </row>
    <row r="2042" spans="1:6">
      <c r="A2042" t="s">
        <v>13</v>
      </c>
      <c r="B2042" t="s">
        <v>82</v>
      </c>
      <c r="C2042" t="s">
        <v>835</v>
      </c>
      <c r="D2042" t="s">
        <v>1091</v>
      </c>
      <c r="E2042" t="s">
        <v>1133</v>
      </c>
      <c r="F2042" t="s">
        <v>1132</v>
      </c>
    </row>
    <row r="2043" spans="1:6">
      <c r="A2043" t="s">
        <v>13</v>
      </c>
      <c r="B2043" t="s">
        <v>82</v>
      </c>
      <c r="C2043" t="s">
        <v>835</v>
      </c>
      <c r="D2043" t="s">
        <v>1091</v>
      </c>
      <c r="E2043" t="s">
        <v>1134</v>
      </c>
      <c r="F2043" t="s">
        <v>1270</v>
      </c>
    </row>
    <row r="2044" spans="1:6">
      <c r="A2044" t="s">
        <v>13</v>
      </c>
      <c r="B2044" t="s">
        <v>82</v>
      </c>
      <c r="C2044" t="s">
        <v>835</v>
      </c>
      <c r="D2044" t="s">
        <v>1091</v>
      </c>
      <c r="E2044" t="s">
        <v>1135</v>
      </c>
      <c r="F2044" t="s">
        <v>1384</v>
      </c>
    </row>
    <row r="2045" spans="1:6">
      <c r="A2045" t="s">
        <v>13</v>
      </c>
      <c r="B2045" t="s">
        <v>82</v>
      </c>
      <c r="C2045" t="s">
        <v>835</v>
      </c>
      <c r="D2045" t="s">
        <v>1091</v>
      </c>
      <c r="E2045" t="s">
        <v>1076</v>
      </c>
      <c r="F2045" t="s">
        <v>1137</v>
      </c>
    </row>
    <row r="2046" spans="1:6">
      <c r="A2046" t="s">
        <v>13</v>
      </c>
      <c r="B2046" t="s">
        <v>82</v>
      </c>
      <c r="C2046" t="s">
        <v>835</v>
      </c>
      <c r="D2046" t="s">
        <v>1091</v>
      </c>
      <c r="E2046" t="s">
        <v>1077</v>
      </c>
      <c r="F2046">
        <v>0</v>
      </c>
    </row>
    <row r="2047" spans="1:6">
      <c r="A2047" t="s">
        <v>13</v>
      </c>
      <c r="B2047" t="s">
        <v>82</v>
      </c>
      <c r="C2047" t="s">
        <v>835</v>
      </c>
      <c r="D2047" t="s">
        <v>1091</v>
      </c>
      <c r="E2047" t="s">
        <v>1078</v>
      </c>
      <c r="F2047">
        <v>0</v>
      </c>
    </row>
    <row r="2048" spans="1:6">
      <c r="A2048" t="s">
        <v>13</v>
      </c>
      <c r="B2048" t="s">
        <v>82</v>
      </c>
      <c r="C2048" t="s">
        <v>835</v>
      </c>
      <c r="D2048" t="s">
        <v>1091</v>
      </c>
      <c r="E2048" t="s">
        <v>1079</v>
      </c>
      <c r="F2048">
        <v>0</v>
      </c>
    </row>
    <row r="2049" spans="1:6">
      <c r="A2049" t="s">
        <v>13</v>
      </c>
      <c r="B2049" t="s">
        <v>82</v>
      </c>
      <c r="C2049" t="s">
        <v>835</v>
      </c>
      <c r="D2049" t="s">
        <v>1091</v>
      </c>
      <c r="E2049" t="s">
        <v>1090</v>
      </c>
      <c r="F2049" t="s">
        <v>1138</v>
      </c>
    </row>
    <row r="2050" spans="1:6">
      <c r="A2050" t="s">
        <v>13</v>
      </c>
      <c r="B2050" t="s">
        <v>82</v>
      </c>
      <c r="C2050" t="s">
        <v>835</v>
      </c>
      <c r="D2050" t="s">
        <v>1091</v>
      </c>
      <c r="E2050" t="s">
        <v>1139</v>
      </c>
      <c r="F2050" t="s">
        <v>1132</v>
      </c>
    </row>
    <row r="2051" spans="1:6">
      <c r="A2051" t="s">
        <v>13</v>
      </c>
      <c r="B2051" t="s">
        <v>82</v>
      </c>
      <c r="C2051" t="s">
        <v>835</v>
      </c>
      <c r="D2051" t="s">
        <v>1091</v>
      </c>
      <c r="E2051" t="s">
        <v>1140</v>
      </c>
      <c r="F2051" t="s">
        <v>1376</v>
      </c>
    </row>
    <row r="2052" spans="1:6">
      <c r="A2052" t="s">
        <v>13</v>
      </c>
      <c r="B2052" t="s">
        <v>82</v>
      </c>
      <c r="C2052" t="s">
        <v>835</v>
      </c>
      <c r="D2052" t="s">
        <v>1091</v>
      </c>
      <c r="E2052" t="s">
        <v>1141</v>
      </c>
      <c r="F2052" t="s">
        <v>1497</v>
      </c>
    </row>
    <row r="2053" spans="1:6">
      <c r="A2053" t="s">
        <v>13</v>
      </c>
      <c r="B2053" t="s">
        <v>82</v>
      </c>
      <c r="C2053" t="s">
        <v>835</v>
      </c>
      <c r="D2053" t="s">
        <v>1091</v>
      </c>
      <c r="E2053" t="s">
        <v>1143</v>
      </c>
      <c r="F2053" t="s">
        <v>1144</v>
      </c>
    </row>
    <row r="2054" spans="1:6">
      <c r="A2054" t="s">
        <v>13</v>
      </c>
      <c r="B2054" t="s">
        <v>82</v>
      </c>
      <c r="C2054" t="s">
        <v>835</v>
      </c>
      <c r="D2054" t="s">
        <v>1091</v>
      </c>
      <c r="E2054" t="s">
        <v>1145</v>
      </c>
      <c r="F2054" t="s">
        <v>1146</v>
      </c>
    </row>
    <row r="2055" spans="1:6">
      <c r="A2055" t="s">
        <v>13</v>
      </c>
      <c r="B2055" t="s">
        <v>82</v>
      </c>
      <c r="C2055" t="s">
        <v>835</v>
      </c>
      <c r="D2055" t="s">
        <v>1091</v>
      </c>
      <c r="E2055" t="s">
        <v>1147</v>
      </c>
      <c r="F2055" t="s">
        <v>1148</v>
      </c>
    </row>
    <row r="2056" spans="1:6">
      <c r="A2056" t="s">
        <v>13</v>
      </c>
      <c r="B2056" t="s">
        <v>82</v>
      </c>
      <c r="C2056" t="s">
        <v>835</v>
      </c>
      <c r="D2056" t="s">
        <v>1091</v>
      </c>
      <c r="E2056" t="s">
        <v>1149</v>
      </c>
      <c r="F2056" t="s">
        <v>1150</v>
      </c>
    </row>
    <row r="2057" spans="1:6">
      <c r="A2057" t="s">
        <v>13</v>
      </c>
      <c r="B2057" t="s">
        <v>82</v>
      </c>
      <c r="C2057" t="s">
        <v>835</v>
      </c>
      <c r="D2057" t="s">
        <v>1091</v>
      </c>
      <c r="E2057" t="s">
        <v>1151</v>
      </c>
      <c r="F2057" t="s">
        <v>1009</v>
      </c>
    </row>
    <row r="2058" spans="1:6">
      <c r="A2058" t="s">
        <v>13</v>
      </c>
      <c r="B2058" t="s">
        <v>82</v>
      </c>
      <c r="C2058" t="s">
        <v>835</v>
      </c>
      <c r="D2058" t="s">
        <v>1091</v>
      </c>
      <c r="E2058" t="s">
        <v>1152</v>
      </c>
      <c r="F2058" t="s">
        <v>1153</v>
      </c>
    </row>
    <row r="2059" spans="1:6">
      <c r="A2059" t="s">
        <v>13</v>
      </c>
      <c r="B2059" t="s">
        <v>82</v>
      </c>
      <c r="C2059" t="s">
        <v>835</v>
      </c>
      <c r="D2059" t="s">
        <v>1091</v>
      </c>
      <c r="E2059" t="s">
        <v>1154</v>
      </c>
      <c r="F2059" t="s">
        <v>1155</v>
      </c>
    </row>
    <row r="2060" spans="1:6">
      <c r="A2060" t="s">
        <v>13</v>
      </c>
      <c r="B2060" t="s">
        <v>82</v>
      </c>
      <c r="C2060" t="s">
        <v>835</v>
      </c>
      <c r="D2060" t="s">
        <v>1091</v>
      </c>
      <c r="E2060" t="s">
        <v>1156</v>
      </c>
      <c r="F2060" t="s">
        <v>1157</v>
      </c>
    </row>
    <row r="2061" spans="1:6">
      <c r="A2061" t="s">
        <v>13</v>
      </c>
      <c r="B2061" t="s">
        <v>82</v>
      </c>
      <c r="C2061" t="s">
        <v>835</v>
      </c>
      <c r="D2061" t="s">
        <v>1091</v>
      </c>
      <c r="E2061" t="s">
        <v>1158</v>
      </c>
      <c r="F2061" t="s">
        <v>1159</v>
      </c>
    </row>
    <row r="2062" spans="1:6">
      <c r="A2062" t="s">
        <v>13</v>
      </c>
      <c r="B2062" t="s">
        <v>82</v>
      </c>
      <c r="C2062" t="s">
        <v>835</v>
      </c>
      <c r="D2062" t="s">
        <v>1091</v>
      </c>
      <c r="E2062" t="s">
        <v>1160</v>
      </c>
      <c r="F2062" t="s">
        <v>1161</v>
      </c>
    </row>
    <row r="2063" spans="1:6">
      <c r="A2063" t="s">
        <v>13</v>
      </c>
      <c r="B2063" t="s">
        <v>82</v>
      </c>
      <c r="C2063" t="s">
        <v>835</v>
      </c>
      <c r="D2063" t="s">
        <v>1091</v>
      </c>
      <c r="E2063" t="s">
        <v>1162</v>
      </c>
      <c r="F2063" t="s">
        <v>1163</v>
      </c>
    </row>
    <row r="2064" spans="1:6">
      <c r="A2064" t="s">
        <v>13</v>
      </c>
      <c r="B2064" t="s">
        <v>82</v>
      </c>
      <c r="C2064" t="s">
        <v>835</v>
      </c>
      <c r="D2064" t="s">
        <v>1091</v>
      </c>
      <c r="E2064" t="s">
        <v>1164</v>
      </c>
      <c r="F2064" t="s">
        <v>1165</v>
      </c>
    </row>
    <row r="2065" spans="1:6">
      <c r="A2065" t="s">
        <v>13</v>
      </c>
      <c r="B2065" t="s">
        <v>82</v>
      </c>
      <c r="C2065" t="s">
        <v>835</v>
      </c>
      <c r="D2065" t="s">
        <v>1091</v>
      </c>
      <c r="E2065" t="s">
        <v>1166</v>
      </c>
      <c r="F2065">
        <v>804306</v>
      </c>
    </row>
    <row r="2066" spans="1:6">
      <c r="A2066" t="s">
        <v>13</v>
      </c>
      <c r="B2066" t="s">
        <v>82</v>
      </c>
      <c r="C2066" t="s">
        <v>835</v>
      </c>
      <c r="D2066" t="s">
        <v>1091</v>
      </c>
      <c r="E2066" t="s">
        <v>1167</v>
      </c>
      <c r="F2066">
        <v>55879</v>
      </c>
    </row>
    <row r="2067" spans="1:6">
      <c r="A2067" t="s">
        <v>13</v>
      </c>
      <c r="B2067" t="s">
        <v>82</v>
      </c>
      <c r="C2067" t="s">
        <v>835</v>
      </c>
      <c r="D2067" t="s">
        <v>1091</v>
      </c>
      <c r="E2067" t="s">
        <v>1168</v>
      </c>
      <c r="F2067">
        <v>53856</v>
      </c>
    </row>
    <row r="2068" spans="1:6">
      <c r="A2068" t="s">
        <v>13</v>
      </c>
      <c r="B2068" t="s">
        <v>82</v>
      </c>
      <c r="C2068" t="s">
        <v>835</v>
      </c>
      <c r="D2068" t="s">
        <v>1091</v>
      </c>
      <c r="E2068" t="s">
        <v>1169</v>
      </c>
      <c r="F2068">
        <v>88184</v>
      </c>
    </row>
    <row r="2069" spans="1:6">
      <c r="A2069" t="s">
        <v>13</v>
      </c>
      <c r="B2069" t="s">
        <v>82</v>
      </c>
      <c r="C2069" t="s">
        <v>835</v>
      </c>
      <c r="D2069" t="s">
        <v>1091</v>
      </c>
      <c r="E2069" t="s">
        <v>1170</v>
      </c>
      <c r="F2069">
        <v>322087</v>
      </c>
    </row>
    <row r="2070" spans="1:6">
      <c r="A2070" t="s">
        <v>13</v>
      </c>
      <c r="B2070" t="s">
        <v>82</v>
      </c>
      <c r="C2070" t="s">
        <v>835</v>
      </c>
      <c r="D2070" t="s">
        <v>1091</v>
      </c>
      <c r="E2070" t="s">
        <v>1171</v>
      </c>
      <c r="F2070">
        <v>163584</v>
      </c>
    </row>
    <row r="2071" spans="1:6">
      <c r="A2071" t="s">
        <v>13</v>
      </c>
      <c r="B2071" t="s">
        <v>82</v>
      </c>
      <c r="C2071" t="s">
        <v>835</v>
      </c>
      <c r="D2071" t="s">
        <v>1091</v>
      </c>
      <c r="E2071" t="s">
        <v>1172</v>
      </c>
      <c r="F2071">
        <v>120716</v>
      </c>
    </row>
    <row r="2072" spans="1:6">
      <c r="A2072" t="s">
        <v>13</v>
      </c>
      <c r="B2072" t="s">
        <v>82</v>
      </c>
      <c r="C2072" t="s">
        <v>835</v>
      </c>
      <c r="D2072" t="s">
        <v>1091</v>
      </c>
      <c r="E2072" t="s">
        <v>1173</v>
      </c>
      <c r="F2072" t="s">
        <v>1174</v>
      </c>
    </row>
    <row r="2073" spans="1:6">
      <c r="A2073" t="s">
        <v>13</v>
      </c>
      <c r="B2073" t="s">
        <v>82</v>
      </c>
      <c r="C2073" t="s">
        <v>835</v>
      </c>
      <c r="D2073" t="s">
        <v>1091</v>
      </c>
      <c r="E2073" t="s">
        <v>1175</v>
      </c>
      <c r="F2073">
        <v>21362</v>
      </c>
    </row>
    <row r="2074" spans="1:6">
      <c r="A2074" t="s">
        <v>13</v>
      </c>
      <c r="B2074" t="s">
        <v>82</v>
      </c>
      <c r="C2074" t="s">
        <v>835</v>
      </c>
      <c r="D2074" t="s">
        <v>1091</v>
      </c>
      <c r="E2074" t="s">
        <v>1176</v>
      </c>
      <c r="F2074">
        <v>3487</v>
      </c>
    </row>
    <row r="2075" spans="1:6">
      <c r="A2075" t="s">
        <v>13</v>
      </c>
      <c r="B2075" t="s">
        <v>82</v>
      </c>
      <c r="C2075" t="s">
        <v>835</v>
      </c>
      <c r="D2075" t="s">
        <v>1091</v>
      </c>
      <c r="E2075" t="s">
        <v>1177</v>
      </c>
      <c r="F2075">
        <v>2385</v>
      </c>
    </row>
    <row r="2076" spans="1:6">
      <c r="A2076" t="s">
        <v>13</v>
      </c>
      <c r="B2076" t="s">
        <v>82</v>
      </c>
      <c r="C2076" t="s">
        <v>835</v>
      </c>
      <c r="D2076" t="s">
        <v>1091</v>
      </c>
      <c r="E2076" t="s">
        <v>1178</v>
      </c>
      <c r="F2076">
        <v>1560</v>
      </c>
    </row>
    <row r="2077" spans="1:6">
      <c r="A2077" t="s">
        <v>13</v>
      </c>
      <c r="B2077" t="s">
        <v>82</v>
      </c>
      <c r="C2077" t="s">
        <v>835</v>
      </c>
      <c r="D2077" t="s">
        <v>1091</v>
      </c>
      <c r="E2077" t="s">
        <v>1179</v>
      </c>
      <c r="F2077">
        <v>4508</v>
      </c>
    </row>
    <row r="2078" spans="1:6">
      <c r="A2078" t="s">
        <v>13</v>
      </c>
      <c r="B2078" t="s">
        <v>82</v>
      </c>
      <c r="C2078" t="s">
        <v>835</v>
      </c>
      <c r="D2078" t="s">
        <v>1091</v>
      </c>
      <c r="E2078" t="s">
        <v>1180</v>
      </c>
      <c r="F2078">
        <v>2794</v>
      </c>
    </row>
    <row r="2079" spans="1:6">
      <c r="A2079" t="s">
        <v>13</v>
      </c>
      <c r="B2079" t="s">
        <v>82</v>
      </c>
      <c r="C2079" t="s">
        <v>835</v>
      </c>
      <c r="D2079" t="s">
        <v>1091</v>
      </c>
      <c r="E2079" t="s">
        <v>1181</v>
      </c>
      <c r="F2079">
        <v>6628</v>
      </c>
    </row>
    <row r="2080" spans="1:6">
      <c r="A2080" t="s">
        <v>13</v>
      </c>
      <c r="B2080" t="s">
        <v>82</v>
      </c>
      <c r="C2080" t="s">
        <v>835</v>
      </c>
      <c r="D2080" t="s">
        <v>1091</v>
      </c>
      <c r="E2080" t="s">
        <v>1182</v>
      </c>
      <c r="F2080" t="s">
        <v>1183</v>
      </c>
    </row>
    <row r="2081" spans="1:6">
      <c r="A2081" t="s">
        <v>13</v>
      </c>
      <c r="B2081" t="s">
        <v>82</v>
      </c>
      <c r="C2081" t="s">
        <v>835</v>
      </c>
      <c r="D2081" t="s">
        <v>1091</v>
      </c>
      <c r="E2081" t="s">
        <v>1184</v>
      </c>
      <c r="F2081">
        <v>503698</v>
      </c>
    </row>
    <row r="2082" spans="1:6">
      <c r="A2082" t="s">
        <v>13</v>
      </c>
      <c r="B2082" t="s">
        <v>82</v>
      </c>
      <c r="C2082" t="s">
        <v>835</v>
      </c>
      <c r="D2082" t="s">
        <v>1091</v>
      </c>
      <c r="E2082" t="s">
        <v>1185</v>
      </c>
      <c r="F2082">
        <v>7644</v>
      </c>
    </row>
    <row r="2083" spans="1:6">
      <c r="A2083" t="s">
        <v>13</v>
      </c>
      <c r="B2083" t="s">
        <v>82</v>
      </c>
      <c r="C2083" t="s">
        <v>835</v>
      </c>
      <c r="D2083" t="s">
        <v>1091</v>
      </c>
      <c r="E2083" t="s">
        <v>1186</v>
      </c>
      <c r="F2083">
        <v>23554</v>
      </c>
    </row>
    <row r="2084" spans="1:6">
      <c r="A2084" t="s">
        <v>13</v>
      </c>
      <c r="B2084" t="s">
        <v>82</v>
      </c>
      <c r="C2084" t="s">
        <v>835</v>
      </c>
      <c r="D2084" t="s">
        <v>1091</v>
      </c>
      <c r="E2084" t="s">
        <v>1187</v>
      </c>
      <c r="F2084">
        <v>57914</v>
      </c>
    </row>
    <row r="2085" spans="1:6">
      <c r="A2085" t="s">
        <v>13</v>
      </c>
      <c r="B2085" t="s">
        <v>82</v>
      </c>
      <c r="C2085" t="s">
        <v>835</v>
      </c>
      <c r="D2085" t="s">
        <v>1091</v>
      </c>
      <c r="E2085" t="s">
        <v>1188</v>
      </c>
      <c r="F2085">
        <v>215360</v>
      </c>
    </row>
    <row r="2086" spans="1:6">
      <c r="A2086" t="s">
        <v>13</v>
      </c>
      <c r="B2086" t="s">
        <v>82</v>
      </c>
      <c r="C2086" t="s">
        <v>835</v>
      </c>
      <c r="D2086" t="s">
        <v>1091</v>
      </c>
      <c r="E2086" t="s">
        <v>1189</v>
      </c>
      <c r="F2086">
        <v>117960</v>
      </c>
    </row>
    <row r="2087" spans="1:6">
      <c r="A2087" t="s">
        <v>13</v>
      </c>
      <c r="B2087" t="s">
        <v>82</v>
      </c>
      <c r="C2087" t="s">
        <v>835</v>
      </c>
      <c r="D2087" t="s">
        <v>1091</v>
      </c>
      <c r="E2087" t="s">
        <v>1190</v>
      </c>
      <c r="F2087">
        <v>81266</v>
      </c>
    </row>
    <row r="2088" spans="1:6">
      <c r="A2088" t="s">
        <v>13</v>
      </c>
      <c r="B2088" t="s">
        <v>82</v>
      </c>
      <c r="C2088" t="s">
        <v>835</v>
      </c>
      <c r="D2088" t="s">
        <v>1091</v>
      </c>
      <c r="E2088" t="s">
        <v>1191</v>
      </c>
      <c r="F2088" t="s">
        <v>1192</v>
      </c>
    </row>
    <row r="2089" spans="1:6">
      <c r="A2089" t="s">
        <v>13</v>
      </c>
      <c r="B2089" t="s">
        <v>82</v>
      </c>
      <c r="C2089" t="s">
        <v>835</v>
      </c>
      <c r="D2089" t="s">
        <v>1091</v>
      </c>
      <c r="E2089" t="s">
        <v>1193</v>
      </c>
      <c r="F2089">
        <v>30</v>
      </c>
    </row>
    <row r="2090" spans="1:6">
      <c r="A2090" t="s">
        <v>13</v>
      </c>
      <c r="B2090" t="s">
        <v>82</v>
      </c>
      <c r="C2090" t="s">
        <v>835</v>
      </c>
      <c r="D2090" t="s">
        <v>1091</v>
      </c>
      <c r="E2090" t="s">
        <v>1194</v>
      </c>
      <c r="F2090">
        <v>340</v>
      </c>
    </row>
    <row r="2091" spans="1:6">
      <c r="A2091" t="s">
        <v>13</v>
      </c>
      <c r="B2091" t="s">
        <v>82</v>
      </c>
      <c r="C2091" t="s">
        <v>835</v>
      </c>
      <c r="D2091" t="s">
        <v>1091</v>
      </c>
      <c r="E2091" t="s">
        <v>1195</v>
      </c>
      <c r="F2091">
        <v>873</v>
      </c>
    </row>
    <row r="2092" spans="1:6">
      <c r="A2092" t="s">
        <v>13</v>
      </c>
      <c r="B2092" t="s">
        <v>82</v>
      </c>
      <c r="C2092" t="s">
        <v>835</v>
      </c>
      <c r="D2092" t="s">
        <v>1091</v>
      </c>
      <c r="E2092" t="s">
        <v>1196</v>
      </c>
      <c r="F2092">
        <v>2671</v>
      </c>
    </row>
    <row r="2093" spans="1:6">
      <c r="A2093" t="s">
        <v>13</v>
      </c>
      <c r="B2093" t="s">
        <v>82</v>
      </c>
      <c r="C2093" t="s">
        <v>835</v>
      </c>
      <c r="D2093" t="s">
        <v>1091</v>
      </c>
      <c r="E2093" t="s">
        <v>1197</v>
      </c>
      <c r="F2093">
        <v>1671</v>
      </c>
    </row>
    <row r="2094" spans="1:6">
      <c r="A2094" t="s">
        <v>13</v>
      </c>
      <c r="B2094" t="s">
        <v>82</v>
      </c>
      <c r="C2094" t="s">
        <v>835</v>
      </c>
      <c r="D2094" t="s">
        <v>1091</v>
      </c>
      <c r="E2094" t="s">
        <v>1198</v>
      </c>
      <c r="F2094">
        <v>1997</v>
      </c>
    </row>
    <row r="2095" spans="1:6">
      <c r="A2095" t="s">
        <v>13</v>
      </c>
      <c r="B2095" t="s">
        <v>82</v>
      </c>
      <c r="C2095" t="s">
        <v>835</v>
      </c>
      <c r="D2095" t="s">
        <v>1091</v>
      </c>
      <c r="E2095" t="s">
        <v>1199</v>
      </c>
      <c r="F2095" t="s">
        <v>1200</v>
      </c>
    </row>
    <row r="2096" spans="1:6">
      <c r="A2096" t="s">
        <v>13</v>
      </c>
      <c r="B2096" t="s">
        <v>82</v>
      </c>
      <c r="C2096" t="s">
        <v>835</v>
      </c>
      <c r="D2096" t="s">
        <v>1091</v>
      </c>
      <c r="E2096" t="s">
        <v>1201</v>
      </c>
      <c r="F2096" t="s">
        <v>1107</v>
      </c>
    </row>
    <row r="2097" spans="1:6">
      <c r="A2097" t="s">
        <v>13</v>
      </c>
      <c r="B2097" t="s">
        <v>82</v>
      </c>
      <c r="C2097" t="s">
        <v>835</v>
      </c>
      <c r="D2097" t="s">
        <v>1091</v>
      </c>
      <c r="E2097" t="s">
        <v>1202</v>
      </c>
      <c r="F2097">
        <v>456551</v>
      </c>
    </row>
    <row r="2098" spans="1:6">
      <c r="A2098" t="s">
        <v>13</v>
      </c>
      <c r="B2098" t="s">
        <v>82</v>
      </c>
      <c r="C2098" t="s">
        <v>835</v>
      </c>
      <c r="D2098" t="s">
        <v>1091</v>
      </c>
      <c r="E2098" t="s">
        <v>1203</v>
      </c>
      <c r="F2098">
        <v>0</v>
      </c>
    </row>
    <row r="2099" spans="1:6">
      <c r="A2099" t="s">
        <v>13</v>
      </c>
      <c r="B2099" t="s">
        <v>82</v>
      </c>
      <c r="C2099" t="s">
        <v>835</v>
      </c>
      <c r="D2099" t="s">
        <v>1091</v>
      </c>
      <c r="E2099" t="s">
        <v>1204</v>
      </c>
      <c r="F2099">
        <v>19392</v>
      </c>
    </row>
    <row r="2100" spans="1:6">
      <c r="A2100" t="s">
        <v>13</v>
      </c>
      <c r="B2100" t="s">
        <v>82</v>
      </c>
      <c r="C2100" t="s">
        <v>835</v>
      </c>
      <c r="D2100" t="s">
        <v>1091</v>
      </c>
      <c r="E2100" t="s">
        <v>1205</v>
      </c>
      <c r="F2100">
        <v>54089</v>
      </c>
    </row>
    <row r="2101" spans="1:6">
      <c r="A2101" t="s">
        <v>13</v>
      </c>
      <c r="B2101" t="s">
        <v>82</v>
      </c>
      <c r="C2101" t="s">
        <v>835</v>
      </c>
      <c r="D2101" t="s">
        <v>1091</v>
      </c>
      <c r="E2101" t="s">
        <v>1206</v>
      </c>
      <c r="F2101">
        <v>198328</v>
      </c>
    </row>
    <row r="2102" spans="1:6">
      <c r="A2102" t="s">
        <v>13</v>
      </c>
      <c r="B2102" t="s">
        <v>82</v>
      </c>
      <c r="C2102" t="s">
        <v>835</v>
      </c>
      <c r="D2102" t="s">
        <v>1091</v>
      </c>
      <c r="E2102" t="s">
        <v>1207</v>
      </c>
      <c r="F2102">
        <v>110208</v>
      </c>
    </row>
    <row r="2103" spans="1:6">
      <c r="A2103" t="s">
        <v>13</v>
      </c>
      <c r="B2103" t="s">
        <v>82</v>
      </c>
      <c r="C2103" t="s">
        <v>835</v>
      </c>
      <c r="D2103" t="s">
        <v>1091</v>
      </c>
      <c r="E2103" t="s">
        <v>1208</v>
      </c>
      <c r="F2103">
        <v>74534</v>
      </c>
    </row>
    <row r="2104" spans="1:6">
      <c r="A2104" t="s">
        <v>13</v>
      </c>
      <c r="B2104" t="s">
        <v>82</v>
      </c>
      <c r="C2104" t="s">
        <v>835</v>
      </c>
      <c r="D2104" t="s">
        <v>1091</v>
      </c>
      <c r="E2104" t="s">
        <v>1209</v>
      </c>
      <c r="F2104" t="s">
        <v>1307</v>
      </c>
    </row>
    <row r="2105" spans="1:6">
      <c r="A2105" t="s">
        <v>13</v>
      </c>
      <c r="B2105" t="s">
        <v>82</v>
      </c>
      <c r="C2105" t="s">
        <v>835</v>
      </c>
      <c r="D2105" t="s">
        <v>1091</v>
      </c>
      <c r="E2105" t="s">
        <v>1210</v>
      </c>
      <c r="F2105">
        <v>21906</v>
      </c>
    </row>
    <row r="2106" spans="1:6">
      <c r="A2106" t="s">
        <v>13</v>
      </c>
      <c r="B2106" t="s">
        <v>82</v>
      </c>
      <c r="C2106" t="s">
        <v>835</v>
      </c>
      <c r="D2106" t="s">
        <v>1091</v>
      </c>
      <c r="E2106" t="s">
        <v>1211</v>
      </c>
      <c r="F2106">
        <v>1338</v>
      </c>
    </row>
    <row r="2107" spans="1:6">
      <c r="A2107" t="s">
        <v>13</v>
      </c>
      <c r="B2107" t="s">
        <v>82</v>
      </c>
      <c r="C2107" t="s">
        <v>835</v>
      </c>
      <c r="D2107" t="s">
        <v>1091</v>
      </c>
      <c r="E2107" t="s">
        <v>1212</v>
      </c>
      <c r="F2107">
        <v>2283</v>
      </c>
    </row>
    <row r="2108" spans="1:6">
      <c r="A2108" t="s">
        <v>13</v>
      </c>
      <c r="B2108" t="s">
        <v>82</v>
      </c>
      <c r="C2108" t="s">
        <v>835</v>
      </c>
      <c r="D2108" t="s">
        <v>1091</v>
      </c>
      <c r="E2108" t="s">
        <v>1213</v>
      </c>
      <c r="F2108">
        <v>2351</v>
      </c>
    </row>
    <row r="2109" spans="1:6">
      <c r="A2109" t="s">
        <v>13</v>
      </c>
      <c r="B2109" t="s">
        <v>82</v>
      </c>
      <c r="C2109" t="s">
        <v>835</v>
      </c>
      <c r="D2109" t="s">
        <v>1091</v>
      </c>
      <c r="E2109" t="s">
        <v>1214</v>
      </c>
      <c r="F2109">
        <v>9551</v>
      </c>
    </row>
    <row r="2110" spans="1:6">
      <c r="A2110" t="s">
        <v>13</v>
      </c>
      <c r="B2110" t="s">
        <v>82</v>
      </c>
      <c r="C2110" t="s">
        <v>835</v>
      </c>
      <c r="D2110" t="s">
        <v>1091</v>
      </c>
      <c r="E2110" t="s">
        <v>1215</v>
      </c>
      <c r="F2110">
        <v>4596</v>
      </c>
    </row>
    <row r="2111" spans="1:6">
      <c r="A2111" t="s">
        <v>13</v>
      </c>
      <c r="B2111" t="s">
        <v>82</v>
      </c>
      <c r="C2111" t="s">
        <v>835</v>
      </c>
      <c r="D2111" t="s">
        <v>1091</v>
      </c>
      <c r="E2111" t="s">
        <v>1216</v>
      </c>
      <c r="F2111">
        <v>1787</v>
      </c>
    </row>
    <row r="2112" spans="1:6">
      <c r="A2112" t="s">
        <v>13</v>
      </c>
      <c r="B2112" t="s">
        <v>82</v>
      </c>
      <c r="C2112" t="s">
        <v>835</v>
      </c>
      <c r="D2112" t="s">
        <v>1091</v>
      </c>
      <c r="E2112" t="s">
        <v>1217</v>
      </c>
      <c r="F2112" t="s">
        <v>1308</v>
      </c>
    </row>
    <row r="2113" spans="1:6">
      <c r="A2113" t="s">
        <v>13</v>
      </c>
      <c r="B2113" t="s">
        <v>82</v>
      </c>
      <c r="C2113" t="s">
        <v>835</v>
      </c>
      <c r="D2113" t="s">
        <v>1091</v>
      </c>
      <c r="E2113" t="s">
        <v>1218</v>
      </c>
      <c r="F2113">
        <v>25241</v>
      </c>
    </row>
    <row r="2114" spans="1:6">
      <c r="A2114" t="s">
        <v>13</v>
      </c>
      <c r="B2114" t="s">
        <v>82</v>
      </c>
      <c r="C2114" t="s">
        <v>835</v>
      </c>
      <c r="D2114" t="s">
        <v>1091</v>
      </c>
      <c r="E2114" t="s">
        <v>1219</v>
      </c>
      <c r="F2114">
        <v>6306</v>
      </c>
    </row>
    <row r="2115" spans="1:6">
      <c r="A2115" t="s">
        <v>13</v>
      </c>
      <c r="B2115" t="s">
        <v>82</v>
      </c>
      <c r="C2115" t="s">
        <v>835</v>
      </c>
      <c r="D2115" t="s">
        <v>1091</v>
      </c>
      <c r="E2115" t="s">
        <v>1220</v>
      </c>
      <c r="F2115">
        <v>1879</v>
      </c>
    </row>
    <row r="2116" spans="1:6">
      <c r="A2116" t="s">
        <v>13</v>
      </c>
      <c r="B2116" t="s">
        <v>82</v>
      </c>
      <c r="C2116" t="s">
        <v>835</v>
      </c>
      <c r="D2116" t="s">
        <v>1091</v>
      </c>
      <c r="E2116" t="s">
        <v>1221</v>
      </c>
      <c r="F2116">
        <v>1474</v>
      </c>
    </row>
    <row r="2117" spans="1:6">
      <c r="A2117" t="s">
        <v>13</v>
      </c>
      <c r="B2117" t="s">
        <v>82</v>
      </c>
      <c r="C2117" t="s">
        <v>835</v>
      </c>
      <c r="D2117" t="s">
        <v>1091</v>
      </c>
      <c r="E2117" t="s">
        <v>1222</v>
      </c>
      <c r="F2117">
        <v>7481</v>
      </c>
    </row>
    <row r="2118" spans="1:6">
      <c r="A2118" t="s">
        <v>13</v>
      </c>
      <c r="B2118" t="s">
        <v>82</v>
      </c>
      <c r="C2118" t="s">
        <v>835</v>
      </c>
      <c r="D2118" t="s">
        <v>1091</v>
      </c>
      <c r="E2118" t="s">
        <v>1223</v>
      </c>
      <c r="F2118">
        <v>3156</v>
      </c>
    </row>
    <row r="2119" spans="1:6">
      <c r="A2119" t="s">
        <v>13</v>
      </c>
      <c r="B2119" t="s">
        <v>82</v>
      </c>
      <c r="C2119" t="s">
        <v>835</v>
      </c>
      <c r="D2119" t="s">
        <v>1091</v>
      </c>
      <c r="E2119" t="s">
        <v>1224</v>
      </c>
      <c r="F2119">
        <v>4945</v>
      </c>
    </row>
    <row r="2120" spans="1:6">
      <c r="A2120" t="s">
        <v>13</v>
      </c>
      <c r="B2120" t="s">
        <v>82</v>
      </c>
      <c r="C2120" t="s">
        <v>835</v>
      </c>
      <c r="D2120" t="s">
        <v>1091</v>
      </c>
      <c r="E2120" t="s">
        <v>1225</v>
      </c>
      <c r="F2120" t="s">
        <v>1226</v>
      </c>
    </row>
    <row r="2121" spans="1:6">
      <c r="A2121" t="s">
        <v>13</v>
      </c>
      <c r="B2121" t="s">
        <v>82</v>
      </c>
      <c r="C2121" t="s">
        <v>835</v>
      </c>
      <c r="D2121" t="s">
        <v>1091</v>
      </c>
      <c r="E2121" t="s">
        <v>1227</v>
      </c>
      <c r="F2121" t="s">
        <v>1498</v>
      </c>
    </row>
    <row r="2122" spans="1:6">
      <c r="A2122" t="s">
        <v>13</v>
      </c>
      <c r="B2122" t="s">
        <v>82</v>
      </c>
      <c r="C2122" t="s">
        <v>835</v>
      </c>
      <c r="D2122" t="s">
        <v>1091</v>
      </c>
      <c r="E2122" t="s">
        <v>1228</v>
      </c>
      <c r="F2122" t="s">
        <v>1499</v>
      </c>
    </row>
    <row r="2123" spans="1:6">
      <c r="A2123" t="s">
        <v>13</v>
      </c>
      <c r="B2123" t="s">
        <v>82</v>
      </c>
      <c r="C2123" t="s">
        <v>835</v>
      </c>
      <c r="D2123" t="s">
        <v>1091</v>
      </c>
      <c r="E2123" t="s">
        <v>1230</v>
      </c>
      <c r="F2123" t="s">
        <v>1500</v>
      </c>
    </row>
    <row r="2124" spans="1:6">
      <c r="A2124" t="s">
        <v>13</v>
      </c>
      <c r="B2124" t="s">
        <v>82</v>
      </c>
      <c r="C2124" t="s">
        <v>835</v>
      </c>
      <c r="D2124" t="s">
        <v>1091</v>
      </c>
      <c r="E2124" t="s">
        <v>1231</v>
      </c>
      <c r="F2124" t="s">
        <v>1501</v>
      </c>
    </row>
    <row r="2125" spans="1:6">
      <c r="A2125" t="s">
        <v>13</v>
      </c>
      <c r="B2125" t="s">
        <v>82</v>
      </c>
      <c r="C2125" t="s">
        <v>835</v>
      </c>
      <c r="D2125" t="s">
        <v>1091</v>
      </c>
      <c r="E2125" t="s">
        <v>1233</v>
      </c>
      <c r="F2125" t="s">
        <v>1502</v>
      </c>
    </row>
    <row r="2126" spans="1:6">
      <c r="A2126" t="s">
        <v>13</v>
      </c>
      <c r="B2126" t="s">
        <v>82</v>
      </c>
      <c r="C2126" t="s">
        <v>835</v>
      </c>
      <c r="D2126" t="s">
        <v>1091</v>
      </c>
      <c r="E2126" t="s">
        <v>1234</v>
      </c>
      <c r="F2126" t="s">
        <v>1501</v>
      </c>
    </row>
    <row r="2127" spans="1:6">
      <c r="A2127" t="s">
        <v>13</v>
      </c>
      <c r="B2127" t="s">
        <v>82</v>
      </c>
      <c r="C2127" t="s">
        <v>835</v>
      </c>
      <c r="D2127" t="s">
        <v>1091</v>
      </c>
      <c r="E2127" t="s">
        <v>1235</v>
      </c>
      <c r="F2127" t="s">
        <v>1236</v>
      </c>
    </row>
    <row r="2128" spans="1:6">
      <c r="A2128" t="s">
        <v>13</v>
      </c>
      <c r="B2128" t="s">
        <v>82</v>
      </c>
      <c r="C2128" t="s">
        <v>835</v>
      </c>
      <c r="D2128" t="s">
        <v>1091</v>
      </c>
      <c r="E2128" t="s">
        <v>1237</v>
      </c>
      <c r="F2128" t="s">
        <v>1310</v>
      </c>
    </row>
    <row r="2129" spans="1:6">
      <c r="A2129" t="s">
        <v>13</v>
      </c>
      <c r="B2129" t="s">
        <v>82</v>
      </c>
      <c r="C2129" t="s">
        <v>835</v>
      </c>
      <c r="D2129" t="s">
        <v>1091</v>
      </c>
      <c r="E2129" t="s">
        <v>1238</v>
      </c>
      <c r="F2129" t="s">
        <v>1498</v>
      </c>
    </row>
    <row r="2130" spans="1:6">
      <c r="A2130" t="s">
        <v>13</v>
      </c>
      <c r="B2130" t="s">
        <v>82</v>
      </c>
      <c r="C2130" t="s">
        <v>835</v>
      </c>
      <c r="D2130" t="s">
        <v>1091</v>
      </c>
      <c r="E2130" t="s">
        <v>1240</v>
      </c>
      <c r="F2130" t="s">
        <v>1503</v>
      </c>
    </row>
    <row r="2131" spans="1:6">
      <c r="A2131" t="s">
        <v>13</v>
      </c>
      <c r="B2131" t="s">
        <v>82</v>
      </c>
      <c r="C2131" t="s">
        <v>835</v>
      </c>
      <c r="D2131" t="s">
        <v>1091</v>
      </c>
      <c r="E2131" t="s">
        <v>1241</v>
      </c>
      <c r="F2131" t="s">
        <v>1504</v>
      </c>
    </row>
    <row r="2132" spans="1:6">
      <c r="A2132" t="s">
        <v>13</v>
      </c>
      <c r="B2132" t="s">
        <v>82</v>
      </c>
      <c r="C2132" t="s">
        <v>835</v>
      </c>
      <c r="D2132" t="s">
        <v>1091</v>
      </c>
      <c r="E2132" t="s">
        <v>1243</v>
      </c>
      <c r="F2132" t="s">
        <v>1374</v>
      </c>
    </row>
    <row r="2133" spans="1:6">
      <c r="A2133" t="s">
        <v>13</v>
      </c>
      <c r="B2133" t="s">
        <v>82</v>
      </c>
      <c r="C2133" t="s">
        <v>835</v>
      </c>
      <c r="D2133" t="s">
        <v>1091</v>
      </c>
      <c r="E2133" t="s">
        <v>1244</v>
      </c>
      <c r="F2133" t="s">
        <v>1329</v>
      </c>
    </row>
    <row r="2134" spans="1:6">
      <c r="A2134" t="s">
        <v>13</v>
      </c>
      <c r="B2134" t="s">
        <v>82</v>
      </c>
      <c r="C2134" t="s">
        <v>835</v>
      </c>
      <c r="D2134" t="s">
        <v>1091</v>
      </c>
      <c r="E2134" t="s">
        <v>1245</v>
      </c>
      <c r="F2134" t="s">
        <v>1246</v>
      </c>
    </row>
    <row r="2135" spans="1:6">
      <c r="A2135" t="s">
        <v>13</v>
      </c>
      <c r="B2135" t="s">
        <v>82</v>
      </c>
      <c r="C2135" t="s">
        <v>835</v>
      </c>
      <c r="D2135" t="s">
        <v>1091</v>
      </c>
      <c r="E2135" t="s">
        <v>1247</v>
      </c>
      <c r="F2135">
        <v>300608</v>
      </c>
    </row>
    <row r="2136" spans="1:6">
      <c r="A2136" t="s">
        <v>13</v>
      </c>
      <c r="B2136" t="s">
        <v>82</v>
      </c>
      <c r="C2136" t="s">
        <v>835</v>
      </c>
      <c r="D2136" t="s">
        <v>1091</v>
      </c>
      <c r="E2136" t="s">
        <v>1248</v>
      </c>
      <c r="F2136">
        <v>48235</v>
      </c>
    </row>
    <row r="2137" spans="1:6">
      <c r="A2137" t="s">
        <v>13</v>
      </c>
      <c r="B2137" t="s">
        <v>82</v>
      </c>
      <c r="C2137" t="s">
        <v>835</v>
      </c>
      <c r="D2137" t="s">
        <v>1091</v>
      </c>
      <c r="E2137" t="s">
        <v>1249</v>
      </c>
      <c r="F2137">
        <v>30303</v>
      </c>
    </row>
    <row r="2138" spans="1:6">
      <c r="A2138" t="s">
        <v>13</v>
      </c>
      <c r="B2138" t="s">
        <v>82</v>
      </c>
      <c r="C2138" t="s">
        <v>835</v>
      </c>
      <c r="D2138" t="s">
        <v>1091</v>
      </c>
      <c r="E2138" t="s">
        <v>1250</v>
      </c>
      <c r="F2138">
        <v>30270</v>
      </c>
    </row>
    <row r="2139" spans="1:6">
      <c r="A2139" t="s">
        <v>13</v>
      </c>
      <c r="B2139" t="s">
        <v>82</v>
      </c>
      <c r="C2139" t="s">
        <v>835</v>
      </c>
      <c r="D2139" t="s">
        <v>1091</v>
      </c>
      <c r="E2139" t="s">
        <v>1251</v>
      </c>
      <c r="F2139">
        <v>106727</v>
      </c>
    </row>
    <row r="2140" spans="1:6">
      <c r="A2140" t="s">
        <v>13</v>
      </c>
      <c r="B2140" t="s">
        <v>82</v>
      </c>
      <c r="C2140" t="s">
        <v>835</v>
      </c>
      <c r="D2140" t="s">
        <v>1091</v>
      </c>
      <c r="E2140" t="s">
        <v>1252</v>
      </c>
      <c r="F2140">
        <v>45623</v>
      </c>
    </row>
    <row r="2141" spans="1:6">
      <c r="A2141" t="s">
        <v>13</v>
      </c>
      <c r="B2141" t="s">
        <v>82</v>
      </c>
      <c r="C2141" t="s">
        <v>835</v>
      </c>
      <c r="D2141" t="s">
        <v>1091</v>
      </c>
      <c r="E2141" t="s">
        <v>1253</v>
      </c>
      <c r="F2141">
        <v>39450</v>
      </c>
    </row>
    <row r="2142" spans="1:6">
      <c r="A2142" t="s">
        <v>13</v>
      </c>
      <c r="B2142" t="s">
        <v>82</v>
      </c>
      <c r="C2142" t="s">
        <v>835</v>
      </c>
      <c r="D2142" t="s">
        <v>1091</v>
      </c>
      <c r="E2142" t="s">
        <v>1254</v>
      </c>
      <c r="F2142" t="s">
        <v>1255</v>
      </c>
    </row>
    <row r="2143" spans="1:6">
      <c r="A2143" t="s">
        <v>13</v>
      </c>
      <c r="B2143" t="s">
        <v>82</v>
      </c>
      <c r="C2143" t="s">
        <v>835</v>
      </c>
      <c r="D2143" t="s">
        <v>1091</v>
      </c>
      <c r="E2143" t="s">
        <v>1256</v>
      </c>
      <c r="F2143">
        <v>13780</v>
      </c>
    </row>
    <row r="2144" spans="1:6">
      <c r="A2144" t="s">
        <v>13</v>
      </c>
      <c r="B2144" t="s">
        <v>82</v>
      </c>
      <c r="C2144" t="s">
        <v>835</v>
      </c>
      <c r="D2144" t="s">
        <v>1091</v>
      </c>
      <c r="E2144" t="s">
        <v>1257</v>
      </c>
      <c r="F2144">
        <v>3457</v>
      </c>
    </row>
    <row r="2145" spans="1:6">
      <c r="A2145" t="s">
        <v>13</v>
      </c>
      <c r="B2145" t="s">
        <v>82</v>
      </c>
      <c r="C2145" t="s">
        <v>835</v>
      </c>
      <c r="D2145" t="s">
        <v>1091</v>
      </c>
      <c r="E2145" t="s">
        <v>1258</v>
      </c>
      <c r="F2145">
        <v>2045</v>
      </c>
    </row>
    <row r="2146" spans="1:6">
      <c r="A2146" t="s">
        <v>13</v>
      </c>
      <c r="B2146" t="s">
        <v>82</v>
      </c>
      <c r="C2146" t="s">
        <v>835</v>
      </c>
      <c r="D2146" t="s">
        <v>1091</v>
      </c>
      <c r="E2146" t="s">
        <v>1259</v>
      </c>
      <c r="F2146">
        <v>687</v>
      </c>
    </row>
    <row r="2147" spans="1:6">
      <c r="A2147" t="s">
        <v>13</v>
      </c>
      <c r="B2147" t="s">
        <v>82</v>
      </c>
      <c r="C2147" t="s">
        <v>835</v>
      </c>
      <c r="D2147" t="s">
        <v>1091</v>
      </c>
      <c r="E2147" t="s">
        <v>1260</v>
      </c>
      <c r="F2147">
        <v>1837</v>
      </c>
    </row>
    <row r="2148" spans="1:6">
      <c r="A2148" t="s">
        <v>13</v>
      </c>
      <c r="B2148" t="s">
        <v>82</v>
      </c>
      <c r="C2148" t="s">
        <v>835</v>
      </c>
      <c r="D2148" t="s">
        <v>1091</v>
      </c>
      <c r="E2148" t="s">
        <v>1261</v>
      </c>
      <c r="F2148">
        <v>1123</v>
      </c>
    </row>
    <row r="2149" spans="1:6">
      <c r="A2149" t="s">
        <v>13</v>
      </c>
      <c r="B2149" t="s">
        <v>82</v>
      </c>
      <c r="C2149" t="s">
        <v>835</v>
      </c>
      <c r="D2149" t="s">
        <v>1091</v>
      </c>
      <c r="E2149" t="s">
        <v>1262</v>
      </c>
      <c r="F2149">
        <v>4631</v>
      </c>
    </row>
    <row r="2150" spans="1:6">
      <c r="A2150" t="s">
        <v>13</v>
      </c>
      <c r="B2150" t="s">
        <v>82</v>
      </c>
      <c r="C2150" t="s">
        <v>835</v>
      </c>
      <c r="D2150" t="s">
        <v>1091</v>
      </c>
      <c r="E2150" t="s">
        <v>1263</v>
      </c>
      <c r="F2150" t="s">
        <v>1131</v>
      </c>
    </row>
    <row r="2151" spans="1:6">
      <c r="A2151" t="s">
        <v>13</v>
      </c>
      <c r="B2151" t="s">
        <v>82</v>
      </c>
      <c r="C2151" t="s">
        <v>835</v>
      </c>
      <c r="D2151" t="s">
        <v>1091</v>
      </c>
      <c r="E2151" t="s">
        <v>1264</v>
      </c>
      <c r="F2151" t="s">
        <v>1384</v>
      </c>
    </row>
    <row r="2152" spans="1:6">
      <c r="A2152" t="s">
        <v>13</v>
      </c>
      <c r="B2152" t="s">
        <v>82</v>
      </c>
      <c r="C2152" t="s">
        <v>835</v>
      </c>
      <c r="D2152" t="s">
        <v>1091</v>
      </c>
      <c r="E2152" t="s">
        <v>1265</v>
      </c>
      <c r="F2152" t="s">
        <v>1505</v>
      </c>
    </row>
    <row r="2153" spans="1:6">
      <c r="A2153" t="s">
        <v>13</v>
      </c>
      <c r="B2153" t="s">
        <v>82</v>
      </c>
      <c r="C2153" t="s">
        <v>835</v>
      </c>
      <c r="D2153" t="s">
        <v>1091</v>
      </c>
      <c r="E2153" t="s">
        <v>1266</v>
      </c>
      <c r="F2153" t="s">
        <v>1503</v>
      </c>
    </row>
    <row r="2154" spans="1:6">
      <c r="A2154" t="s">
        <v>13</v>
      </c>
      <c r="B2154" t="s">
        <v>82</v>
      </c>
      <c r="C2154" t="s">
        <v>835</v>
      </c>
      <c r="D2154" t="s">
        <v>1091</v>
      </c>
      <c r="E2154" t="s">
        <v>1268</v>
      </c>
      <c r="F2154" t="s">
        <v>1506</v>
      </c>
    </row>
    <row r="2155" spans="1:6">
      <c r="A2155" t="s">
        <v>13</v>
      </c>
      <c r="B2155" t="s">
        <v>82</v>
      </c>
      <c r="C2155" t="s">
        <v>835</v>
      </c>
      <c r="D2155" t="s">
        <v>1091</v>
      </c>
      <c r="E2155" t="s">
        <v>1269</v>
      </c>
      <c r="F2155" t="s">
        <v>1507</v>
      </c>
    </row>
    <row r="2156" spans="1:6">
      <c r="A2156" t="s">
        <v>13</v>
      </c>
      <c r="B2156" t="s">
        <v>82</v>
      </c>
      <c r="C2156" t="s">
        <v>835</v>
      </c>
      <c r="D2156" t="s">
        <v>1091</v>
      </c>
      <c r="E2156" t="s">
        <v>1271</v>
      </c>
      <c r="F2156" t="s">
        <v>1508</v>
      </c>
    </row>
    <row r="2157" spans="1:6">
      <c r="A2157" t="s">
        <v>13</v>
      </c>
      <c r="B2157" t="s">
        <v>82</v>
      </c>
      <c r="C2157" t="s">
        <v>835</v>
      </c>
      <c r="D2157" t="s">
        <v>1091</v>
      </c>
      <c r="E2157" t="s">
        <v>1272</v>
      </c>
      <c r="F2157" t="s">
        <v>1507</v>
      </c>
    </row>
    <row r="2158" spans="1:6">
      <c r="A2158" t="s">
        <v>13</v>
      </c>
      <c r="B2158" t="s">
        <v>82</v>
      </c>
      <c r="C2158" t="s">
        <v>835</v>
      </c>
      <c r="D2158" t="s">
        <v>1273</v>
      </c>
      <c r="E2158" t="s">
        <v>1274</v>
      </c>
      <c r="F2158" t="s">
        <v>1494</v>
      </c>
    </row>
    <row r="2159" spans="1:6">
      <c r="A2159" t="s">
        <v>13</v>
      </c>
      <c r="B2159" t="s">
        <v>82</v>
      </c>
      <c r="C2159" t="s">
        <v>835</v>
      </c>
      <c r="D2159" t="s">
        <v>1273</v>
      </c>
      <c r="E2159" t="s">
        <v>1275</v>
      </c>
      <c r="F2159" t="s">
        <v>998</v>
      </c>
    </row>
    <row r="2160" spans="1:6">
      <c r="A2160" t="s">
        <v>13</v>
      </c>
      <c r="B2160" t="s">
        <v>82</v>
      </c>
      <c r="C2160" t="s">
        <v>835</v>
      </c>
      <c r="D2160" t="s">
        <v>1273</v>
      </c>
      <c r="E2160" t="s">
        <v>1276</v>
      </c>
      <c r="F2160" t="s">
        <v>1277</v>
      </c>
    </row>
    <row r="2161" spans="1:6">
      <c r="A2161" t="s">
        <v>13</v>
      </c>
      <c r="B2161" t="s">
        <v>82</v>
      </c>
      <c r="C2161" t="s">
        <v>835</v>
      </c>
      <c r="D2161" t="s">
        <v>1273</v>
      </c>
      <c r="E2161" t="s">
        <v>1278</v>
      </c>
      <c r="F2161" t="s">
        <v>998</v>
      </c>
    </row>
    <row r="2162" spans="1:6">
      <c r="A2162" t="s">
        <v>13</v>
      </c>
      <c r="B2162" t="s">
        <v>82</v>
      </c>
      <c r="C2162" t="s">
        <v>835</v>
      </c>
      <c r="D2162" t="s">
        <v>1273</v>
      </c>
      <c r="E2162" t="s">
        <v>1279</v>
      </c>
      <c r="F2162" t="s">
        <v>1280</v>
      </c>
    </row>
    <row r="2163" spans="1:6">
      <c r="A2163" t="s">
        <v>13</v>
      </c>
      <c r="B2163" t="s">
        <v>82</v>
      </c>
      <c r="C2163" t="s">
        <v>835</v>
      </c>
      <c r="D2163" t="s">
        <v>1273</v>
      </c>
      <c r="E2163" t="s">
        <v>1281</v>
      </c>
      <c r="F2163" t="s">
        <v>1282</v>
      </c>
    </row>
    <row r="2164" spans="1:6">
      <c r="A2164" t="s">
        <v>13</v>
      </c>
      <c r="B2164" t="s">
        <v>82</v>
      </c>
      <c r="C2164" t="s">
        <v>835</v>
      </c>
      <c r="D2164" t="s">
        <v>1273</v>
      </c>
      <c r="E2164" t="s">
        <v>1283</v>
      </c>
      <c r="F2164" t="s">
        <v>1284</v>
      </c>
    </row>
    <row r="2165" spans="1:6">
      <c r="A2165" t="s">
        <v>13</v>
      </c>
      <c r="B2165" t="s">
        <v>82</v>
      </c>
      <c r="C2165" t="s">
        <v>835</v>
      </c>
      <c r="D2165" t="s">
        <v>1273</v>
      </c>
      <c r="E2165" t="s">
        <v>1285</v>
      </c>
      <c r="F2165" t="s">
        <v>377</v>
      </c>
    </row>
    <row r="2166" spans="1:6">
      <c r="A2166" t="s">
        <v>13</v>
      </c>
      <c r="B2166" t="s">
        <v>82</v>
      </c>
      <c r="C2166" t="s">
        <v>835</v>
      </c>
      <c r="D2166" t="s">
        <v>1273</v>
      </c>
      <c r="E2166" t="s">
        <v>1286</v>
      </c>
      <c r="F2166">
        <v>998098</v>
      </c>
    </row>
    <row r="2167" spans="1:6">
      <c r="A2167" t="s">
        <v>13</v>
      </c>
      <c r="B2167" t="s">
        <v>82</v>
      </c>
      <c r="C2167" t="s">
        <v>835</v>
      </c>
      <c r="D2167" t="s">
        <v>1273</v>
      </c>
      <c r="E2167" t="s">
        <v>1287</v>
      </c>
      <c r="F2167">
        <v>-190563</v>
      </c>
    </row>
    <row r="2168" spans="1:6">
      <c r="A2168" t="s">
        <v>13</v>
      </c>
      <c r="B2168" t="s">
        <v>82</v>
      </c>
      <c r="C2168" t="s">
        <v>835</v>
      </c>
      <c r="D2168" t="s">
        <v>1273</v>
      </c>
      <c r="E2168" t="s">
        <v>1288</v>
      </c>
      <c r="F2168" t="s">
        <v>379</v>
      </c>
    </row>
    <row r="2169" spans="1:6">
      <c r="A2169" t="s">
        <v>13</v>
      </c>
      <c r="B2169" t="s">
        <v>82</v>
      </c>
      <c r="C2169" t="s">
        <v>835</v>
      </c>
      <c r="D2169" t="s">
        <v>1273</v>
      </c>
      <c r="E2169" t="s">
        <v>1096</v>
      </c>
      <c r="F2169">
        <v>14278</v>
      </c>
    </row>
    <row r="2170" spans="1:6">
      <c r="A2170" t="s">
        <v>13</v>
      </c>
      <c r="B2170" t="s">
        <v>82</v>
      </c>
      <c r="C2170" t="s">
        <v>835</v>
      </c>
      <c r="D2170" t="s">
        <v>1273</v>
      </c>
      <c r="E2170" t="s">
        <v>1004</v>
      </c>
      <c r="F2170">
        <v>65482</v>
      </c>
    </row>
    <row r="2171" spans="1:6">
      <c r="A2171" t="s">
        <v>13</v>
      </c>
      <c r="B2171" t="s">
        <v>82</v>
      </c>
      <c r="C2171" t="s">
        <v>835</v>
      </c>
      <c r="D2171" t="s">
        <v>1273</v>
      </c>
      <c r="E2171" t="s">
        <v>1289</v>
      </c>
      <c r="F2171" t="s">
        <v>381</v>
      </c>
    </row>
    <row r="2172" spans="1:6">
      <c r="A2172" t="s">
        <v>13</v>
      </c>
      <c r="B2172" t="s">
        <v>82</v>
      </c>
      <c r="C2172" t="s">
        <v>835</v>
      </c>
      <c r="D2172" t="s">
        <v>1273</v>
      </c>
      <c r="E2172" t="s">
        <v>1290</v>
      </c>
      <c r="F2172">
        <v>15298</v>
      </c>
    </row>
    <row r="2173" spans="1:6">
      <c r="A2173" t="s">
        <v>13</v>
      </c>
      <c r="B2173" t="s">
        <v>82</v>
      </c>
      <c r="C2173" t="s">
        <v>835</v>
      </c>
      <c r="D2173" t="s">
        <v>1273</v>
      </c>
      <c r="E2173" t="s">
        <v>1291</v>
      </c>
      <c r="F2173">
        <v>540040</v>
      </c>
    </row>
    <row r="2174" spans="1:6">
      <c r="A2174" t="s">
        <v>13</v>
      </c>
      <c r="B2174" t="s">
        <v>82</v>
      </c>
      <c r="C2174" t="s">
        <v>835</v>
      </c>
      <c r="D2174" t="s">
        <v>1273</v>
      </c>
      <c r="E2174" t="s">
        <v>1008</v>
      </c>
      <c r="F2174" t="s">
        <v>383</v>
      </c>
    </row>
    <row r="2175" spans="1:6">
      <c r="A2175" t="s">
        <v>13</v>
      </c>
      <c r="B2175" t="s">
        <v>82</v>
      </c>
      <c r="C2175" t="s">
        <v>835</v>
      </c>
      <c r="D2175" t="s">
        <v>1273</v>
      </c>
      <c r="E2175" t="s">
        <v>1010</v>
      </c>
      <c r="F2175">
        <v>3141</v>
      </c>
    </row>
    <row r="2176" spans="1:6">
      <c r="A2176" t="s">
        <v>13</v>
      </c>
      <c r="B2176" t="s">
        <v>82</v>
      </c>
      <c r="C2176" t="s">
        <v>835</v>
      </c>
      <c r="D2176" t="s">
        <v>1273</v>
      </c>
      <c r="E2176" t="s">
        <v>1012</v>
      </c>
      <c r="F2176">
        <v>869367</v>
      </c>
    </row>
    <row r="2177" spans="1:6">
      <c r="A2177" t="s">
        <v>13</v>
      </c>
      <c r="B2177" t="s">
        <v>82</v>
      </c>
      <c r="C2177" t="s">
        <v>835</v>
      </c>
      <c r="D2177" t="s">
        <v>1273</v>
      </c>
      <c r="E2177" t="s">
        <v>1035</v>
      </c>
      <c r="F2177" t="s">
        <v>385</v>
      </c>
    </row>
    <row r="2178" spans="1:6">
      <c r="A2178" t="s">
        <v>13</v>
      </c>
      <c r="B2178" t="s">
        <v>82</v>
      </c>
      <c r="C2178" t="s">
        <v>835</v>
      </c>
      <c r="D2178" t="s">
        <v>1273</v>
      </c>
      <c r="E2178" t="s">
        <v>1099</v>
      </c>
      <c r="F2178">
        <v>431</v>
      </c>
    </row>
    <row r="2179" spans="1:6">
      <c r="A2179" t="s">
        <v>13</v>
      </c>
      <c r="B2179" t="s">
        <v>82</v>
      </c>
      <c r="C2179" t="s">
        <v>835</v>
      </c>
      <c r="D2179" t="s">
        <v>1273</v>
      </c>
      <c r="E2179" t="s">
        <v>1100</v>
      </c>
      <c r="F2179">
        <v>1159877</v>
      </c>
    </row>
    <row r="2180" spans="1:6">
      <c r="A2180" t="s">
        <v>13</v>
      </c>
      <c r="B2180" t="s">
        <v>82</v>
      </c>
      <c r="C2180" t="s">
        <v>835</v>
      </c>
      <c r="D2180" t="s">
        <v>1273</v>
      </c>
      <c r="E2180" t="s">
        <v>1037</v>
      </c>
      <c r="F2180" t="s">
        <v>1292</v>
      </c>
    </row>
    <row r="2181" spans="1:6">
      <c r="A2181" t="s">
        <v>13</v>
      </c>
      <c r="B2181" t="s">
        <v>82</v>
      </c>
      <c r="C2181" t="s">
        <v>835</v>
      </c>
      <c r="D2181" t="s">
        <v>1273</v>
      </c>
      <c r="E2181" t="s">
        <v>1103</v>
      </c>
      <c r="F2181">
        <v>1031246</v>
      </c>
    </row>
    <row r="2182" spans="1:6">
      <c r="A2182" t="s">
        <v>13</v>
      </c>
      <c r="B2182" t="s">
        <v>82</v>
      </c>
      <c r="C2182" t="s">
        <v>835</v>
      </c>
      <c r="D2182" t="s">
        <v>1273</v>
      </c>
      <c r="E2182" t="s">
        <v>1104</v>
      </c>
      <c r="F2182">
        <v>2444203</v>
      </c>
    </row>
    <row r="2183" spans="1:6">
      <c r="A2183" t="s">
        <v>13</v>
      </c>
      <c r="B2183" t="s">
        <v>82</v>
      </c>
      <c r="C2183" t="s">
        <v>835</v>
      </c>
      <c r="D2183" t="s">
        <v>1273</v>
      </c>
      <c r="E2183" t="s">
        <v>1052</v>
      </c>
      <c r="F2183" t="s">
        <v>1293</v>
      </c>
    </row>
    <row r="2184" spans="1:6">
      <c r="A2184" t="s">
        <v>13</v>
      </c>
      <c r="B2184" t="s">
        <v>82</v>
      </c>
      <c r="C2184" t="s">
        <v>835</v>
      </c>
      <c r="D2184" t="s">
        <v>1273</v>
      </c>
      <c r="E2184" t="s">
        <v>1053</v>
      </c>
      <c r="F2184" t="s">
        <v>1294</v>
      </c>
    </row>
    <row r="2185" spans="1:6">
      <c r="A2185" t="s">
        <v>13</v>
      </c>
      <c r="B2185" t="s">
        <v>82</v>
      </c>
      <c r="C2185" t="s">
        <v>835</v>
      </c>
      <c r="D2185" t="s">
        <v>1273</v>
      </c>
      <c r="E2185" t="s">
        <v>1108</v>
      </c>
      <c r="F2185">
        <v>1321</v>
      </c>
    </row>
    <row r="2186" spans="1:6">
      <c r="A2186" t="s">
        <v>13</v>
      </c>
      <c r="B2186" t="s">
        <v>82</v>
      </c>
      <c r="C2186" t="s">
        <v>835</v>
      </c>
      <c r="D2186" t="s">
        <v>1273</v>
      </c>
      <c r="E2186" t="s">
        <v>1109</v>
      </c>
      <c r="F2186">
        <v>68632</v>
      </c>
    </row>
    <row r="2187" spans="1:6">
      <c r="A2187" t="s">
        <v>13</v>
      </c>
      <c r="B2187" t="s">
        <v>82</v>
      </c>
      <c r="C2187" t="s">
        <v>835</v>
      </c>
      <c r="D2187" t="s">
        <v>1273</v>
      </c>
      <c r="E2187" t="s">
        <v>1113</v>
      </c>
      <c r="F2187">
        <v>2018</v>
      </c>
    </row>
    <row r="2188" spans="1:6">
      <c r="A2188" t="s">
        <v>13</v>
      </c>
      <c r="B2188" t="s">
        <v>82</v>
      </c>
      <c r="C2188" t="s">
        <v>835</v>
      </c>
      <c r="D2188" t="s">
        <v>1273</v>
      </c>
      <c r="E2188" t="s">
        <v>1114</v>
      </c>
      <c r="F2188">
        <v>817</v>
      </c>
    </row>
    <row r="2189" spans="1:6">
      <c r="A2189" t="s">
        <v>13</v>
      </c>
      <c r="B2189" t="s">
        <v>82</v>
      </c>
      <c r="C2189" t="s">
        <v>835</v>
      </c>
      <c r="D2189" t="s">
        <v>1273</v>
      </c>
      <c r="E2189" t="s">
        <v>1115</v>
      </c>
      <c r="F2189">
        <v>84026</v>
      </c>
    </row>
    <row r="2190" spans="1:6">
      <c r="A2190" t="s">
        <v>13</v>
      </c>
      <c r="B2190" t="s">
        <v>82</v>
      </c>
      <c r="C2190" t="s">
        <v>835</v>
      </c>
      <c r="D2190" t="s">
        <v>1273</v>
      </c>
      <c r="E2190" t="s">
        <v>1118</v>
      </c>
      <c r="F2190">
        <v>2019</v>
      </c>
    </row>
    <row r="2191" spans="1:6">
      <c r="A2191" t="s">
        <v>13</v>
      </c>
      <c r="B2191" t="s">
        <v>82</v>
      </c>
      <c r="C2191" t="s">
        <v>835</v>
      </c>
      <c r="D2191" t="s">
        <v>1273</v>
      </c>
      <c r="E2191" t="s">
        <v>1119</v>
      </c>
      <c r="F2191">
        <v>953</v>
      </c>
    </row>
    <row r="2192" spans="1:6">
      <c r="A2192" t="s">
        <v>13</v>
      </c>
      <c r="B2192" t="s">
        <v>82</v>
      </c>
      <c r="C2192" t="s">
        <v>835</v>
      </c>
      <c r="D2192" t="s">
        <v>1273</v>
      </c>
      <c r="E2192" t="s">
        <v>1120</v>
      </c>
      <c r="F2192">
        <v>100521</v>
      </c>
    </row>
    <row r="2193" spans="1:6">
      <c r="A2193" t="s">
        <v>13</v>
      </c>
      <c r="B2193" t="s">
        <v>82</v>
      </c>
      <c r="C2193" t="s">
        <v>835</v>
      </c>
      <c r="D2193" t="s">
        <v>1273</v>
      </c>
      <c r="E2193" t="s">
        <v>1124</v>
      </c>
      <c r="F2193">
        <v>2020</v>
      </c>
    </row>
    <row r="2194" spans="1:6">
      <c r="A2194" t="s">
        <v>13</v>
      </c>
      <c r="B2194" t="s">
        <v>82</v>
      </c>
      <c r="C2194" t="s">
        <v>835</v>
      </c>
      <c r="D2194" t="s">
        <v>1273</v>
      </c>
      <c r="E2194" t="s">
        <v>1126</v>
      </c>
      <c r="F2194">
        <v>752</v>
      </c>
    </row>
    <row r="2195" spans="1:6">
      <c r="A2195" t="s">
        <v>13</v>
      </c>
      <c r="B2195" t="s">
        <v>82</v>
      </c>
      <c r="C2195" t="s">
        <v>835</v>
      </c>
      <c r="D2195" t="s">
        <v>1273</v>
      </c>
      <c r="E2195" t="s">
        <v>1127</v>
      </c>
      <c r="F2195">
        <v>75096</v>
      </c>
    </row>
    <row r="2196" spans="1:6">
      <c r="A2196" t="s">
        <v>13</v>
      </c>
      <c r="B2196" t="s">
        <v>82</v>
      </c>
      <c r="C2196" t="s">
        <v>835</v>
      </c>
      <c r="D2196" t="s">
        <v>1273</v>
      </c>
      <c r="E2196" t="s">
        <v>1057</v>
      </c>
      <c r="F2196">
        <v>2021</v>
      </c>
    </row>
    <row r="2197" spans="1:6">
      <c r="A2197" t="s">
        <v>13</v>
      </c>
      <c r="B2197" t="s">
        <v>82</v>
      </c>
      <c r="C2197" t="s">
        <v>835</v>
      </c>
      <c r="D2197" t="s">
        <v>1273</v>
      </c>
      <c r="E2197" t="s">
        <v>1058</v>
      </c>
      <c r="F2197">
        <v>727</v>
      </c>
    </row>
    <row r="2198" spans="1:6">
      <c r="A2198" t="s">
        <v>13</v>
      </c>
      <c r="B2198" t="s">
        <v>82</v>
      </c>
      <c r="C2198" t="s">
        <v>835</v>
      </c>
      <c r="D2198" t="s">
        <v>1273</v>
      </c>
      <c r="E2198" t="s">
        <v>1059</v>
      </c>
      <c r="F2198">
        <v>86007</v>
      </c>
    </row>
    <row r="2199" spans="1:6">
      <c r="A2199" t="s">
        <v>13</v>
      </c>
      <c r="B2199" t="s">
        <v>82</v>
      </c>
      <c r="C2199" t="s">
        <v>835</v>
      </c>
      <c r="D2199" t="s">
        <v>1273</v>
      </c>
      <c r="E2199" t="s">
        <v>1072</v>
      </c>
      <c r="F2199">
        <v>2022</v>
      </c>
    </row>
    <row r="2200" spans="1:6">
      <c r="A2200" t="s">
        <v>13</v>
      </c>
      <c r="B2200" t="s">
        <v>82</v>
      </c>
      <c r="C2200" t="s">
        <v>835</v>
      </c>
      <c r="D2200" t="s">
        <v>1273</v>
      </c>
      <c r="E2200" t="s">
        <v>1133</v>
      </c>
      <c r="F2200">
        <v>1294</v>
      </c>
    </row>
    <row r="2201" spans="1:6">
      <c r="A2201" t="s">
        <v>13</v>
      </c>
      <c r="B2201" t="s">
        <v>82</v>
      </c>
      <c r="C2201" t="s">
        <v>835</v>
      </c>
      <c r="D2201" t="s">
        <v>1273</v>
      </c>
      <c r="E2201" t="s">
        <v>1134</v>
      </c>
      <c r="F2201">
        <v>114129</v>
      </c>
    </row>
    <row r="2202" spans="1:6">
      <c r="A2202" t="s">
        <v>13</v>
      </c>
      <c r="B2202" t="s">
        <v>82</v>
      </c>
      <c r="C2202" t="s">
        <v>835</v>
      </c>
      <c r="D2202" t="s">
        <v>1273</v>
      </c>
      <c r="E2202" t="s">
        <v>1074</v>
      </c>
      <c r="F2202">
        <v>2023</v>
      </c>
    </row>
    <row r="2203" spans="1:6">
      <c r="A2203" t="s">
        <v>13</v>
      </c>
      <c r="B2203" t="s">
        <v>82</v>
      </c>
      <c r="C2203" t="s">
        <v>835</v>
      </c>
      <c r="D2203" t="s">
        <v>1273</v>
      </c>
      <c r="E2203" t="s">
        <v>1296</v>
      </c>
      <c r="F2203">
        <v>3920</v>
      </c>
    </row>
    <row r="2204" spans="1:6">
      <c r="A2204" t="s">
        <v>13</v>
      </c>
      <c r="B2204" t="s">
        <v>82</v>
      </c>
      <c r="C2204" t="s">
        <v>835</v>
      </c>
      <c r="D2204" t="s">
        <v>1273</v>
      </c>
      <c r="E2204" t="s">
        <v>1297</v>
      </c>
      <c r="F2204">
        <v>206814</v>
      </c>
    </row>
    <row r="2205" spans="1:6">
      <c r="A2205" t="s">
        <v>13</v>
      </c>
      <c r="B2205" t="s">
        <v>82</v>
      </c>
      <c r="C2205" t="s">
        <v>835</v>
      </c>
      <c r="D2205" t="s">
        <v>1273</v>
      </c>
      <c r="E2205" t="s">
        <v>1076</v>
      </c>
      <c r="F2205">
        <v>2024</v>
      </c>
    </row>
    <row r="2206" spans="1:6">
      <c r="A2206" t="s">
        <v>13</v>
      </c>
      <c r="B2206" t="s">
        <v>82</v>
      </c>
      <c r="C2206" t="s">
        <v>835</v>
      </c>
      <c r="D2206" t="s">
        <v>1273</v>
      </c>
      <c r="E2206" t="s">
        <v>1077</v>
      </c>
      <c r="F2206">
        <v>10012</v>
      </c>
    </row>
    <row r="2207" spans="1:6">
      <c r="A2207" t="s">
        <v>13</v>
      </c>
      <c r="B2207" t="s">
        <v>82</v>
      </c>
      <c r="C2207" t="s">
        <v>835</v>
      </c>
      <c r="D2207" t="s">
        <v>1273</v>
      </c>
      <c r="E2207" t="s">
        <v>1078</v>
      </c>
      <c r="F2207">
        <v>759953</v>
      </c>
    </row>
    <row r="2208" spans="1:6">
      <c r="A2208" t="s">
        <v>13</v>
      </c>
      <c r="B2208" t="s">
        <v>82</v>
      </c>
      <c r="C2208" t="s">
        <v>835</v>
      </c>
      <c r="D2208" t="s">
        <v>1273</v>
      </c>
      <c r="E2208" t="s">
        <v>1090</v>
      </c>
      <c r="F2208">
        <v>2025</v>
      </c>
    </row>
    <row r="2209" spans="1:6">
      <c r="A2209" t="s">
        <v>13</v>
      </c>
      <c r="B2209" t="s">
        <v>82</v>
      </c>
      <c r="C2209" t="s">
        <v>835</v>
      </c>
      <c r="D2209" t="s">
        <v>1273</v>
      </c>
      <c r="E2209" t="s">
        <v>1139</v>
      </c>
      <c r="F2209">
        <v>16647</v>
      </c>
    </row>
    <row r="2210" spans="1:6">
      <c r="A2210" t="s">
        <v>13</v>
      </c>
      <c r="B2210" t="s">
        <v>82</v>
      </c>
      <c r="C2210" t="s">
        <v>835</v>
      </c>
      <c r="D2210" t="s">
        <v>1273</v>
      </c>
      <c r="E2210" t="s">
        <v>1140</v>
      </c>
      <c r="F2210">
        <v>626510</v>
      </c>
    </row>
    <row r="2211" spans="1:6">
      <c r="A2211" t="s">
        <v>13</v>
      </c>
      <c r="B2211" t="s">
        <v>82</v>
      </c>
      <c r="C2211" t="s">
        <v>835</v>
      </c>
      <c r="D2211" t="s">
        <v>1273</v>
      </c>
      <c r="E2211" t="s">
        <v>1298</v>
      </c>
      <c r="F2211">
        <v>2026</v>
      </c>
    </row>
    <row r="2212" spans="1:6">
      <c r="A2212" t="s">
        <v>13</v>
      </c>
      <c r="B2212" t="s">
        <v>82</v>
      </c>
      <c r="C2212" t="s">
        <v>835</v>
      </c>
      <c r="D2212" t="s">
        <v>1273</v>
      </c>
      <c r="E2212" t="s">
        <v>1299</v>
      </c>
      <c r="F2212">
        <v>14520</v>
      </c>
    </row>
    <row r="2213" spans="1:6">
      <c r="A2213" t="s">
        <v>13</v>
      </c>
      <c r="B2213" t="s">
        <v>82</v>
      </c>
      <c r="C2213" t="s">
        <v>835</v>
      </c>
      <c r="D2213" t="s">
        <v>1273</v>
      </c>
      <c r="E2213" t="s">
        <v>1300</v>
      </c>
      <c r="F2213">
        <v>322515</v>
      </c>
    </row>
    <row r="2214" spans="1:6">
      <c r="A2214" t="s">
        <v>13</v>
      </c>
      <c r="B2214" t="s">
        <v>82</v>
      </c>
      <c r="C2214" t="s">
        <v>835</v>
      </c>
      <c r="D2214" t="s">
        <v>1273</v>
      </c>
      <c r="E2214" t="s">
        <v>1301</v>
      </c>
      <c r="F2214" t="s">
        <v>1292</v>
      </c>
    </row>
    <row r="2215" spans="1:6">
      <c r="A2215" t="s">
        <v>13</v>
      </c>
      <c r="B2215" t="s">
        <v>82</v>
      </c>
      <c r="C2215" t="s">
        <v>835</v>
      </c>
      <c r="D2215" t="s">
        <v>1273</v>
      </c>
      <c r="E2215" t="s">
        <v>1302</v>
      </c>
      <c r="F2215">
        <v>50963</v>
      </c>
    </row>
    <row r="2216" spans="1:6">
      <c r="A2216" t="s">
        <v>13</v>
      </c>
      <c r="B2216" t="s">
        <v>82</v>
      </c>
      <c r="C2216" t="s">
        <v>835</v>
      </c>
      <c r="D2216" t="s">
        <v>1273</v>
      </c>
      <c r="E2216" t="s">
        <v>1303</v>
      </c>
      <c r="F2216">
        <v>2444203</v>
      </c>
    </row>
    <row r="2217" spans="1:6">
      <c r="A2217" t="s">
        <v>27</v>
      </c>
      <c r="B2217" t="s">
        <v>49</v>
      </c>
      <c r="C2217" t="s">
        <v>913</v>
      </c>
      <c r="D2217" t="s">
        <v>991</v>
      </c>
      <c r="E2217" t="s">
        <v>1276</v>
      </c>
      <c r="F2217" t="s">
        <v>993</v>
      </c>
    </row>
    <row r="2218" spans="1:6">
      <c r="A2218" t="s">
        <v>27</v>
      </c>
      <c r="B2218" t="s">
        <v>49</v>
      </c>
      <c r="C2218" t="s">
        <v>913</v>
      </c>
      <c r="D2218" t="s">
        <v>991</v>
      </c>
      <c r="E2218" t="s">
        <v>1001</v>
      </c>
      <c r="F2218" t="s">
        <v>49</v>
      </c>
    </row>
    <row r="2219" spans="1:6">
      <c r="A2219" t="s">
        <v>27</v>
      </c>
      <c r="B2219" t="s">
        <v>49</v>
      </c>
      <c r="C2219" t="s">
        <v>913</v>
      </c>
      <c r="D2219" t="s">
        <v>991</v>
      </c>
      <c r="E2219" t="s">
        <v>1509</v>
      </c>
      <c r="F2219" t="s">
        <v>996</v>
      </c>
    </row>
    <row r="2220" spans="1:6">
      <c r="A2220" t="s">
        <v>27</v>
      </c>
      <c r="B2220" t="s">
        <v>49</v>
      </c>
      <c r="C2220" t="s">
        <v>913</v>
      </c>
      <c r="D2220" t="s">
        <v>991</v>
      </c>
      <c r="E2220" t="s">
        <v>1510</v>
      </c>
      <c r="F2220" t="s">
        <v>1511</v>
      </c>
    </row>
    <row r="2221" spans="1:6">
      <c r="A2221" t="s">
        <v>27</v>
      </c>
      <c r="B2221" t="s">
        <v>49</v>
      </c>
      <c r="C2221" t="s">
        <v>913</v>
      </c>
      <c r="D2221" t="s">
        <v>991</v>
      </c>
      <c r="E2221" t="s">
        <v>1283</v>
      </c>
      <c r="F2221" t="s">
        <v>1000</v>
      </c>
    </row>
    <row r="2222" spans="1:6">
      <c r="A2222" t="s">
        <v>27</v>
      </c>
      <c r="B2222" t="s">
        <v>49</v>
      </c>
      <c r="C2222" t="s">
        <v>913</v>
      </c>
      <c r="D2222" t="s">
        <v>991</v>
      </c>
      <c r="E2222" t="s">
        <v>1285</v>
      </c>
      <c r="F2222" t="s">
        <v>10</v>
      </c>
    </row>
    <row r="2223" spans="1:6">
      <c r="A2223" t="s">
        <v>27</v>
      </c>
      <c r="B2223" t="s">
        <v>49</v>
      </c>
      <c r="C2223" t="s">
        <v>913</v>
      </c>
      <c r="D2223" t="s">
        <v>991</v>
      </c>
      <c r="E2223" t="s">
        <v>1335</v>
      </c>
      <c r="F2223" t="s">
        <v>1003</v>
      </c>
    </row>
    <row r="2224" spans="1:6">
      <c r="A2224" t="s">
        <v>27</v>
      </c>
      <c r="B2224" t="s">
        <v>49</v>
      </c>
      <c r="C2224" t="s">
        <v>913</v>
      </c>
      <c r="D2224" t="s">
        <v>991</v>
      </c>
      <c r="E2224" t="s">
        <v>1291</v>
      </c>
      <c r="F2224" t="s">
        <v>1005</v>
      </c>
    </row>
    <row r="2225" spans="1:6">
      <c r="A2225" t="s">
        <v>27</v>
      </c>
      <c r="B2225" t="s">
        <v>49</v>
      </c>
      <c r="C2225" t="s">
        <v>913</v>
      </c>
      <c r="D2225" t="s">
        <v>991</v>
      </c>
      <c r="E2225" t="s">
        <v>1034</v>
      </c>
      <c r="F2225" t="s">
        <v>1007</v>
      </c>
    </row>
    <row r="2226" spans="1:6">
      <c r="A2226" t="s">
        <v>27</v>
      </c>
      <c r="B2226" t="s">
        <v>49</v>
      </c>
      <c r="C2226" t="s">
        <v>913</v>
      </c>
      <c r="D2226" t="s">
        <v>991</v>
      </c>
      <c r="E2226" t="s">
        <v>1035</v>
      </c>
      <c r="F2226" t="s">
        <v>1009</v>
      </c>
    </row>
    <row r="2227" spans="1:6">
      <c r="A2227" t="s">
        <v>27</v>
      </c>
      <c r="B2227" t="s">
        <v>49</v>
      </c>
      <c r="C2227" t="s">
        <v>913</v>
      </c>
      <c r="D2227" t="s">
        <v>991</v>
      </c>
      <c r="E2227" t="s">
        <v>1099</v>
      </c>
      <c r="F2227" t="s">
        <v>1011</v>
      </c>
    </row>
    <row r="2228" spans="1:6">
      <c r="A2228" t="s">
        <v>27</v>
      </c>
      <c r="B2228" t="s">
        <v>49</v>
      </c>
      <c r="C2228" t="s">
        <v>913</v>
      </c>
      <c r="D2228" t="s">
        <v>991</v>
      </c>
      <c r="E2228" t="s">
        <v>1100</v>
      </c>
      <c r="F2228" t="s">
        <v>1013</v>
      </c>
    </row>
    <row r="2229" spans="1:6">
      <c r="A2229" t="s">
        <v>27</v>
      </c>
      <c r="B2229" t="s">
        <v>49</v>
      </c>
      <c r="C2229" t="s">
        <v>913</v>
      </c>
      <c r="D2229" t="s">
        <v>991</v>
      </c>
      <c r="E2229" t="s">
        <v>1101</v>
      </c>
      <c r="F2229" t="s">
        <v>1015</v>
      </c>
    </row>
    <row r="2230" spans="1:6">
      <c r="A2230" t="s">
        <v>27</v>
      </c>
      <c r="B2230" t="s">
        <v>49</v>
      </c>
      <c r="C2230" t="s">
        <v>913</v>
      </c>
      <c r="D2230" t="s">
        <v>991</v>
      </c>
      <c r="E2230" t="s">
        <v>1512</v>
      </c>
      <c r="F2230" t="s">
        <v>1017</v>
      </c>
    </row>
    <row r="2231" spans="1:6">
      <c r="A2231" t="s">
        <v>27</v>
      </c>
      <c r="B2231" t="s">
        <v>49</v>
      </c>
      <c r="C2231" t="s">
        <v>913</v>
      </c>
      <c r="D2231" t="s">
        <v>991</v>
      </c>
      <c r="E2231" t="s">
        <v>1513</v>
      </c>
      <c r="F2231" t="s">
        <v>1019</v>
      </c>
    </row>
    <row r="2232" spans="1:6">
      <c r="A2232" t="s">
        <v>27</v>
      </c>
      <c r="B2232" t="s">
        <v>49</v>
      </c>
      <c r="C2232" t="s">
        <v>913</v>
      </c>
      <c r="D2232" t="s">
        <v>991</v>
      </c>
      <c r="E2232" t="s">
        <v>1514</v>
      </c>
      <c r="F2232" t="s">
        <v>1021</v>
      </c>
    </row>
    <row r="2233" spans="1:6">
      <c r="A2233" t="s">
        <v>27</v>
      </c>
      <c r="B2233" t="s">
        <v>49</v>
      </c>
      <c r="C2233" t="s">
        <v>913</v>
      </c>
      <c r="D2233" t="s">
        <v>991</v>
      </c>
      <c r="E2233" t="s">
        <v>1515</v>
      </c>
      <c r="F2233" t="s">
        <v>1023</v>
      </c>
    </row>
    <row r="2234" spans="1:6">
      <c r="A2234" t="s">
        <v>27</v>
      </c>
      <c r="B2234" t="s">
        <v>49</v>
      </c>
      <c r="C2234" t="s">
        <v>913</v>
      </c>
      <c r="D2234" t="s">
        <v>991</v>
      </c>
      <c r="E2234" t="s">
        <v>1516</v>
      </c>
      <c r="F2234" t="s">
        <v>1025</v>
      </c>
    </row>
    <row r="2235" spans="1:6">
      <c r="A2235" t="s">
        <v>27</v>
      </c>
      <c r="B2235" t="s">
        <v>49</v>
      </c>
      <c r="C2235" t="s">
        <v>913</v>
      </c>
      <c r="D2235" t="s">
        <v>991</v>
      </c>
      <c r="E2235" t="s">
        <v>1517</v>
      </c>
      <c r="F2235" t="s">
        <v>1027</v>
      </c>
    </row>
    <row r="2236" spans="1:6">
      <c r="A2236" t="s">
        <v>27</v>
      </c>
      <c r="B2236" t="s">
        <v>49</v>
      </c>
      <c r="C2236" t="s">
        <v>913</v>
      </c>
      <c r="D2236" t="s">
        <v>991</v>
      </c>
      <c r="E2236" t="s">
        <v>1518</v>
      </c>
      <c r="F2236" t="s">
        <v>1029</v>
      </c>
    </row>
    <row r="2237" spans="1:6">
      <c r="A2237" t="s">
        <v>27</v>
      </c>
      <c r="B2237" t="s">
        <v>49</v>
      </c>
      <c r="C2237" t="s">
        <v>913</v>
      </c>
      <c r="D2237" t="s">
        <v>991</v>
      </c>
      <c r="E2237" t="s">
        <v>1519</v>
      </c>
      <c r="F2237" t="s">
        <v>1031</v>
      </c>
    </row>
    <row r="2238" spans="1:6">
      <c r="A2238" t="s">
        <v>27</v>
      </c>
      <c r="B2238" t="s">
        <v>49</v>
      </c>
      <c r="C2238" t="s">
        <v>913</v>
      </c>
      <c r="D2238" t="s">
        <v>991</v>
      </c>
      <c r="E2238" t="s">
        <v>1520</v>
      </c>
      <c r="F2238" t="s">
        <v>1033</v>
      </c>
    </row>
    <row r="2239" spans="1:6">
      <c r="A2239" t="s">
        <v>27</v>
      </c>
      <c r="B2239" t="s">
        <v>49</v>
      </c>
      <c r="C2239" t="s">
        <v>913</v>
      </c>
      <c r="D2239" t="s">
        <v>991</v>
      </c>
      <c r="E2239" t="s">
        <v>1036</v>
      </c>
      <c r="F2239" t="s">
        <v>50</v>
      </c>
    </row>
    <row r="2240" spans="1:6">
      <c r="A2240" t="s">
        <v>27</v>
      </c>
      <c r="B2240" t="s">
        <v>49</v>
      </c>
      <c r="C2240" t="s">
        <v>913</v>
      </c>
      <c r="D2240" t="s">
        <v>991</v>
      </c>
      <c r="E2240" t="s">
        <v>1037</v>
      </c>
      <c r="F2240">
        <v>35597890</v>
      </c>
    </row>
    <row r="2241" spans="1:6">
      <c r="A2241" t="s">
        <v>27</v>
      </c>
      <c r="B2241" t="s">
        <v>49</v>
      </c>
      <c r="C2241" t="s">
        <v>913</v>
      </c>
      <c r="D2241" t="s">
        <v>991</v>
      </c>
      <c r="E2241" t="s">
        <v>1038</v>
      </c>
      <c r="F2241">
        <v>2025</v>
      </c>
    </row>
    <row r="2242" spans="1:6">
      <c r="A2242" t="s">
        <v>27</v>
      </c>
      <c r="B2242" t="s">
        <v>49</v>
      </c>
      <c r="C2242" t="s">
        <v>913</v>
      </c>
      <c r="D2242" t="s">
        <v>991</v>
      </c>
      <c r="E2242" t="s">
        <v>1039</v>
      </c>
      <c r="F2242">
        <v>5799952</v>
      </c>
    </row>
    <row r="2243" spans="1:6">
      <c r="A2243" t="s">
        <v>27</v>
      </c>
      <c r="B2243" t="s">
        <v>49</v>
      </c>
      <c r="C2243" t="s">
        <v>913</v>
      </c>
      <c r="D2243" t="s">
        <v>991</v>
      </c>
      <c r="E2243" t="s">
        <v>1052</v>
      </c>
      <c r="F2243">
        <v>2026</v>
      </c>
    </row>
    <row r="2244" spans="1:6">
      <c r="A2244" t="s">
        <v>27</v>
      </c>
      <c r="B2244" t="s">
        <v>49</v>
      </c>
      <c r="C2244" t="s">
        <v>913</v>
      </c>
      <c r="D2244" t="s">
        <v>991</v>
      </c>
      <c r="E2244" t="s">
        <v>1053</v>
      </c>
      <c r="F2244">
        <v>893826</v>
      </c>
    </row>
    <row r="2245" spans="1:6">
      <c r="A2245" t="s">
        <v>27</v>
      </c>
      <c r="B2245" t="s">
        <v>49</v>
      </c>
      <c r="C2245" t="s">
        <v>913</v>
      </c>
      <c r="D2245" t="s">
        <v>991</v>
      </c>
      <c r="E2245" t="s">
        <v>1108</v>
      </c>
      <c r="F2245">
        <v>114220</v>
      </c>
    </row>
    <row r="2246" spans="1:6">
      <c r="A2246" t="s">
        <v>27</v>
      </c>
      <c r="B2246" t="s">
        <v>49</v>
      </c>
      <c r="C2246" t="s">
        <v>913</v>
      </c>
      <c r="D2246" t="s">
        <v>991</v>
      </c>
      <c r="E2246" t="s">
        <v>1109</v>
      </c>
      <c r="F2246">
        <v>112478</v>
      </c>
    </row>
    <row r="2247" spans="1:6">
      <c r="A2247" t="s">
        <v>27</v>
      </c>
      <c r="B2247" t="s">
        <v>49</v>
      </c>
      <c r="C2247" t="s">
        <v>913</v>
      </c>
      <c r="D2247" t="s">
        <v>991</v>
      </c>
      <c r="E2247" t="s">
        <v>1110</v>
      </c>
      <c r="F2247">
        <v>145236</v>
      </c>
    </row>
    <row r="2248" spans="1:6">
      <c r="A2248" t="s">
        <v>27</v>
      </c>
      <c r="B2248" t="s">
        <v>49</v>
      </c>
      <c r="C2248" t="s">
        <v>913</v>
      </c>
      <c r="D2248" t="s">
        <v>991</v>
      </c>
      <c r="E2248" t="s">
        <v>1521</v>
      </c>
      <c r="F2248">
        <v>105005</v>
      </c>
    </row>
    <row r="2249" spans="1:6">
      <c r="A2249" t="s">
        <v>27</v>
      </c>
      <c r="B2249" t="s">
        <v>49</v>
      </c>
      <c r="C2249" t="s">
        <v>913</v>
      </c>
      <c r="D2249" t="s">
        <v>991</v>
      </c>
      <c r="E2249" t="s">
        <v>1522</v>
      </c>
      <c r="F2249">
        <v>68164</v>
      </c>
    </row>
    <row r="2250" spans="1:6">
      <c r="A2250" t="s">
        <v>27</v>
      </c>
      <c r="B2250" t="s">
        <v>49</v>
      </c>
      <c r="C2250" t="s">
        <v>913</v>
      </c>
      <c r="D2250" t="s">
        <v>991</v>
      </c>
      <c r="E2250" t="s">
        <v>1523</v>
      </c>
      <c r="F2250">
        <v>104341</v>
      </c>
    </row>
    <row r="2251" spans="1:6">
      <c r="A2251" t="s">
        <v>27</v>
      </c>
      <c r="B2251" t="s">
        <v>49</v>
      </c>
      <c r="C2251" t="s">
        <v>913</v>
      </c>
      <c r="D2251" t="s">
        <v>991</v>
      </c>
      <c r="E2251" t="s">
        <v>1524</v>
      </c>
      <c r="F2251">
        <v>71809</v>
      </c>
    </row>
    <row r="2252" spans="1:6">
      <c r="A2252" t="s">
        <v>27</v>
      </c>
      <c r="B2252" t="s">
        <v>49</v>
      </c>
      <c r="C2252" t="s">
        <v>913</v>
      </c>
      <c r="D2252" t="s">
        <v>991</v>
      </c>
      <c r="E2252" t="s">
        <v>1525</v>
      </c>
      <c r="F2252">
        <v>119870</v>
      </c>
    </row>
    <row r="2253" spans="1:6">
      <c r="A2253" t="s">
        <v>27</v>
      </c>
      <c r="B2253" t="s">
        <v>49</v>
      </c>
      <c r="C2253" t="s">
        <v>913</v>
      </c>
      <c r="D2253" t="s">
        <v>991</v>
      </c>
      <c r="E2253" t="s">
        <v>1526</v>
      </c>
      <c r="F2253">
        <v>52704</v>
      </c>
    </row>
    <row r="2254" spans="1:6">
      <c r="A2254" t="s">
        <v>27</v>
      </c>
      <c r="B2254" t="s">
        <v>49</v>
      </c>
      <c r="C2254" t="s">
        <v>913</v>
      </c>
      <c r="D2254" t="s">
        <v>991</v>
      </c>
      <c r="E2254" t="s">
        <v>1527</v>
      </c>
      <c r="F2254">
        <v>0</v>
      </c>
    </row>
    <row r="2255" spans="1:6">
      <c r="A2255" t="s">
        <v>27</v>
      </c>
      <c r="B2255" t="s">
        <v>49</v>
      </c>
      <c r="C2255" t="s">
        <v>913</v>
      </c>
      <c r="D2255" t="s">
        <v>991</v>
      </c>
      <c r="E2255" t="s">
        <v>1528</v>
      </c>
      <c r="F2255">
        <v>0</v>
      </c>
    </row>
    <row r="2256" spans="1:6">
      <c r="A2256" t="s">
        <v>27</v>
      </c>
      <c r="B2256" t="s">
        <v>49</v>
      </c>
      <c r="C2256" t="s">
        <v>913</v>
      </c>
      <c r="D2256" t="s">
        <v>991</v>
      </c>
      <c r="E2256" t="s">
        <v>1529</v>
      </c>
      <c r="F2256">
        <v>0</v>
      </c>
    </row>
    <row r="2257" spans="1:6">
      <c r="A2257" t="s">
        <v>27</v>
      </c>
      <c r="B2257" t="s">
        <v>49</v>
      </c>
      <c r="C2257" t="s">
        <v>913</v>
      </c>
      <c r="D2257" t="s">
        <v>991</v>
      </c>
      <c r="E2257" t="s">
        <v>1111</v>
      </c>
      <c r="F2257" t="s">
        <v>1009</v>
      </c>
    </row>
    <row r="2258" spans="1:6">
      <c r="A2258" t="s">
        <v>27</v>
      </c>
      <c r="B2258" t="s">
        <v>49</v>
      </c>
      <c r="C2258" t="s">
        <v>913</v>
      </c>
      <c r="D2258" t="s">
        <v>991</v>
      </c>
      <c r="E2258" t="s">
        <v>1113</v>
      </c>
      <c r="F2258">
        <v>42291668</v>
      </c>
    </row>
    <row r="2259" spans="1:6">
      <c r="A2259" t="s">
        <v>27</v>
      </c>
      <c r="B2259" t="s">
        <v>49</v>
      </c>
      <c r="C2259" t="s">
        <v>913</v>
      </c>
      <c r="D2259" t="s">
        <v>991</v>
      </c>
      <c r="E2259" t="s">
        <v>1122</v>
      </c>
      <c r="F2259" t="s">
        <v>1055</v>
      </c>
    </row>
    <row r="2260" spans="1:6">
      <c r="A2260" t="s">
        <v>27</v>
      </c>
      <c r="B2260" t="s">
        <v>49</v>
      </c>
      <c r="C2260" t="s">
        <v>913</v>
      </c>
      <c r="D2260" t="s">
        <v>991</v>
      </c>
      <c r="E2260" t="s">
        <v>1071</v>
      </c>
      <c r="F2260" t="s">
        <v>1007</v>
      </c>
    </row>
    <row r="2261" spans="1:6">
      <c r="A2261" t="s">
        <v>27</v>
      </c>
      <c r="B2261" t="s">
        <v>49</v>
      </c>
      <c r="C2261" t="s">
        <v>913</v>
      </c>
      <c r="D2261" t="s">
        <v>991</v>
      </c>
      <c r="E2261" t="s">
        <v>1072</v>
      </c>
      <c r="F2261" t="s">
        <v>1009</v>
      </c>
    </row>
    <row r="2262" spans="1:6">
      <c r="A2262" t="s">
        <v>27</v>
      </c>
      <c r="B2262" t="s">
        <v>49</v>
      </c>
      <c r="C2262" t="s">
        <v>913</v>
      </c>
      <c r="D2262" t="s">
        <v>991</v>
      </c>
      <c r="E2262" t="s">
        <v>1133</v>
      </c>
      <c r="F2262" t="s">
        <v>1011</v>
      </c>
    </row>
    <row r="2263" spans="1:6">
      <c r="A2263" t="s">
        <v>27</v>
      </c>
      <c r="B2263" t="s">
        <v>49</v>
      </c>
      <c r="C2263" t="s">
        <v>913</v>
      </c>
      <c r="D2263" t="s">
        <v>991</v>
      </c>
      <c r="E2263" t="s">
        <v>1134</v>
      </c>
      <c r="F2263" t="s">
        <v>1013</v>
      </c>
    </row>
    <row r="2264" spans="1:6">
      <c r="A2264" t="s">
        <v>27</v>
      </c>
      <c r="B2264" t="s">
        <v>49</v>
      </c>
      <c r="C2264" t="s">
        <v>913</v>
      </c>
      <c r="D2264" t="s">
        <v>991</v>
      </c>
      <c r="E2264" t="s">
        <v>1135</v>
      </c>
      <c r="F2264" t="s">
        <v>1015</v>
      </c>
    </row>
    <row r="2265" spans="1:6">
      <c r="A2265" t="s">
        <v>27</v>
      </c>
      <c r="B2265" t="s">
        <v>49</v>
      </c>
      <c r="C2265" t="s">
        <v>913</v>
      </c>
      <c r="D2265" t="s">
        <v>991</v>
      </c>
      <c r="E2265" t="s">
        <v>1414</v>
      </c>
      <c r="F2265" t="s">
        <v>1017</v>
      </c>
    </row>
    <row r="2266" spans="1:6">
      <c r="A2266" t="s">
        <v>27</v>
      </c>
      <c r="B2266" t="s">
        <v>49</v>
      </c>
      <c r="C2266" t="s">
        <v>913</v>
      </c>
      <c r="D2266" t="s">
        <v>991</v>
      </c>
      <c r="E2266" t="s">
        <v>1530</v>
      </c>
      <c r="F2266" t="s">
        <v>1019</v>
      </c>
    </row>
    <row r="2267" spans="1:6">
      <c r="A2267" t="s">
        <v>27</v>
      </c>
      <c r="B2267" t="s">
        <v>49</v>
      </c>
      <c r="C2267" t="s">
        <v>913</v>
      </c>
      <c r="D2267" t="s">
        <v>991</v>
      </c>
      <c r="E2267" t="s">
        <v>1531</v>
      </c>
      <c r="F2267" t="s">
        <v>1021</v>
      </c>
    </row>
    <row r="2268" spans="1:6">
      <c r="A2268" t="s">
        <v>27</v>
      </c>
      <c r="B2268" t="s">
        <v>49</v>
      </c>
      <c r="C2268" t="s">
        <v>913</v>
      </c>
      <c r="D2268" t="s">
        <v>991</v>
      </c>
      <c r="E2268" t="s">
        <v>1532</v>
      </c>
      <c r="F2268" t="s">
        <v>1023</v>
      </c>
    </row>
    <row r="2269" spans="1:6">
      <c r="A2269" t="s">
        <v>27</v>
      </c>
      <c r="B2269" t="s">
        <v>49</v>
      </c>
      <c r="C2269" t="s">
        <v>913</v>
      </c>
      <c r="D2269" t="s">
        <v>991</v>
      </c>
      <c r="E2269" t="s">
        <v>1533</v>
      </c>
      <c r="F2269" t="s">
        <v>1066</v>
      </c>
    </row>
    <row r="2270" spans="1:6">
      <c r="A2270" t="s">
        <v>27</v>
      </c>
      <c r="B2270" t="s">
        <v>49</v>
      </c>
      <c r="C2270" t="s">
        <v>913</v>
      </c>
      <c r="D2270" t="s">
        <v>991</v>
      </c>
      <c r="E2270" t="s">
        <v>1534</v>
      </c>
      <c r="F2270" t="s">
        <v>1027</v>
      </c>
    </row>
    <row r="2271" spans="1:6">
      <c r="A2271" t="s">
        <v>27</v>
      </c>
      <c r="B2271" t="s">
        <v>49</v>
      </c>
      <c r="C2271" t="s">
        <v>913</v>
      </c>
      <c r="D2271" t="s">
        <v>991</v>
      </c>
      <c r="E2271" t="s">
        <v>1535</v>
      </c>
      <c r="F2271" t="s">
        <v>1029</v>
      </c>
    </row>
    <row r="2272" spans="1:6">
      <c r="A2272" t="s">
        <v>27</v>
      </c>
      <c r="B2272" t="s">
        <v>49</v>
      </c>
      <c r="C2272" t="s">
        <v>913</v>
      </c>
      <c r="D2272" t="s">
        <v>991</v>
      </c>
      <c r="E2272" t="s">
        <v>1536</v>
      </c>
      <c r="F2272" t="s">
        <v>1031</v>
      </c>
    </row>
    <row r="2273" spans="1:6">
      <c r="A2273" t="s">
        <v>27</v>
      </c>
      <c r="B2273" t="s">
        <v>49</v>
      </c>
      <c r="C2273" t="s">
        <v>913</v>
      </c>
      <c r="D2273" t="s">
        <v>991</v>
      </c>
      <c r="E2273" t="s">
        <v>1537</v>
      </c>
      <c r="F2273" t="s">
        <v>1033</v>
      </c>
    </row>
    <row r="2274" spans="1:6">
      <c r="A2274" t="s">
        <v>27</v>
      </c>
      <c r="B2274" t="s">
        <v>49</v>
      </c>
      <c r="C2274" t="s">
        <v>913</v>
      </c>
      <c r="D2274" t="s">
        <v>991</v>
      </c>
      <c r="E2274" t="s">
        <v>1073</v>
      </c>
      <c r="F2274" t="s">
        <v>50</v>
      </c>
    </row>
    <row r="2275" spans="1:6">
      <c r="A2275" t="s">
        <v>27</v>
      </c>
      <c r="B2275" t="s">
        <v>49</v>
      </c>
      <c r="C2275" t="s">
        <v>913</v>
      </c>
      <c r="D2275" t="s">
        <v>991</v>
      </c>
      <c r="E2275" t="s">
        <v>1074</v>
      </c>
      <c r="F2275">
        <v>113832</v>
      </c>
    </row>
    <row r="2276" spans="1:6">
      <c r="A2276" t="s">
        <v>27</v>
      </c>
      <c r="B2276" t="s">
        <v>49</v>
      </c>
      <c r="C2276" t="s">
        <v>913</v>
      </c>
      <c r="D2276" t="s">
        <v>991</v>
      </c>
      <c r="E2276" t="s">
        <v>1075</v>
      </c>
      <c r="F2276">
        <v>2025</v>
      </c>
    </row>
    <row r="2277" spans="1:6">
      <c r="A2277" t="s">
        <v>27</v>
      </c>
      <c r="B2277" t="s">
        <v>49</v>
      </c>
      <c r="C2277" t="s">
        <v>913</v>
      </c>
      <c r="D2277" t="s">
        <v>991</v>
      </c>
      <c r="E2277" t="s">
        <v>1076</v>
      </c>
      <c r="F2277">
        <v>15979</v>
      </c>
    </row>
    <row r="2278" spans="1:6">
      <c r="A2278" t="s">
        <v>27</v>
      </c>
      <c r="B2278" t="s">
        <v>49</v>
      </c>
      <c r="C2278" t="s">
        <v>913</v>
      </c>
      <c r="D2278" t="s">
        <v>991</v>
      </c>
      <c r="E2278" t="s">
        <v>1089</v>
      </c>
      <c r="F2278">
        <v>2026</v>
      </c>
    </row>
    <row r="2279" spans="1:6">
      <c r="A2279" t="s">
        <v>27</v>
      </c>
      <c r="B2279" t="s">
        <v>49</v>
      </c>
      <c r="C2279" t="s">
        <v>913</v>
      </c>
      <c r="D2279" t="s">
        <v>991</v>
      </c>
      <c r="E2279" t="s">
        <v>1090</v>
      </c>
      <c r="F2279">
        <v>1876</v>
      </c>
    </row>
    <row r="2280" spans="1:6">
      <c r="A2280" t="s">
        <v>27</v>
      </c>
      <c r="B2280" t="s">
        <v>49</v>
      </c>
      <c r="C2280" t="s">
        <v>913</v>
      </c>
      <c r="D2280" t="s">
        <v>991</v>
      </c>
      <c r="E2280" t="s">
        <v>1139</v>
      </c>
      <c r="F2280">
        <v>183</v>
      </c>
    </row>
    <row r="2281" spans="1:6">
      <c r="A2281" t="s">
        <v>27</v>
      </c>
      <c r="B2281" t="s">
        <v>49</v>
      </c>
      <c r="C2281" t="s">
        <v>913</v>
      </c>
      <c r="D2281" t="s">
        <v>991</v>
      </c>
      <c r="E2281" t="s">
        <v>1140</v>
      </c>
      <c r="F2281">
        <v>239</v>
      </c>
    </row>
    <row r="2282" spans="1:6">
      <c r="A2282" t="s">
        <v>27</v>
      </c>
      <c r="B2282" t="s">
        <v>49</v>
      </c>
      <c r="C2282" t="s">
        <v>913</v>
      </c>
      <c r="D2282" t="s">
        <v>991</v>
      </c>
      <c r="E2282" t="s">
        <v>1141</v>
      </c>
      <c r="F2282">
        <v>298</v>
      </c>
    </row>
    <row r="2283" spans="1:6">
      <c r="A2283" t="s">
        <v>27</v>
      </c>
      <c r="B2283" t="s">
        <v>49</v>
      </c>
      <c r="C2283" t="s">
        <v>913</v>
      </c>
      <c r="D2283" t="s">
        <v>991</v>
      </c>
      <c r="E2283" t="s">
        <v>1423</v>
      </c>
      <c r="F2283">
        <v>286</v>
      </c>
    </row>
    <row r="2284" spans="1:6">
      <c r="A2284" t="s">
        <v>27</v>
      </c>
      <c r="B2284" t="s">
        <v>49</v>
      </c>
      <c r="C2284" t="s">
        <v>913</v>
      </c>
      <c r="D2284" t="s">
        <v>991</v>
      </c>
      <c r="E2284" t="s">
        <v>1538</v>
      </c>
      <c r="F2284">
        <v>174</v>
      </c>
    </row>
    <row r="2285" spans="1:6">
      <c r="A2285" t="s">
        <v>27</v>
      </c>
      <c r="B2285" t="s">
        <v>49</v>
      </c>
      <c r="C2285" t="s">
        <v>913</v>
      </c>
      <c r="D2285" t="s">
        <v>991</v>
      </c>
      <c r="E2285" t="s">
        <v>1539</v>
      </c>
      <c r="F2285">
        <v>211</v>
      </c>
    </row>
    <row r="2286" spans="1:6">
      <c r="A2286" t="s">
        <v>27</v>
      </c>
      <c r="B2286" t="s">
        <v>49</v>
      </c>
      <c r="C2286" t="s">
        <v>913</v>
      </c>
      <c r="D2286" t="s">
        <v>991</v>
      </c>
      <c r="E2286" t="s">
        <v>1540</v>
      </c>
      <c r="F2286">
        <v>166</v>
      </c>
    </row>
    <row r="2287" spans="1:6">
      <c r="A2287" t="s">
        <v>27</v>
      </c>
      <c r="B2287" t="s">
        <v>49</v>
      </c>
      <c r="C2287" t="s">
        <v>913</v>
      </c>
      <c r="D2287" t="s">
        <v>991</v>
      </c>
      <c r="E2287" t="s">
        <v>1541</v>
      </c>
      <c r="F2287">
        <v>163</v>
      </c>
    </row>
    <row r="2288" spans="1:6">
      <c r="A2288" t="s">
        <v>27</v>
      </c>
      <c r="B2288" t="s">
        <v>49</v>
      </c>
      <c r="C2288" t="s">
        <v>913</v>
      </c>
      <c r="D2288" t="s">
        <v>991</v>
      </c>
      <c r="E2288" t="s">
        <v>1542</v>
      </c>
      <c r="F2288">
        <v>156</v>
      </c>
    </row>
    <row r="2289" spans="1:6">
      <c r="A2289" t="s">
        <v>27</v>
      </c>
      <c r="B2289" t="s">
        <v>49</v>
      </c>
      <c r="C2289" t="s">
        <v>913</v>
      </c>
      <c r="D2289" t="s">
        <v>991</v>
      </c>
      <c r="E2289" t="s">
        <v>1543</v>
      </c>
      <c r="F2289">
        <v>0</v>
      </c>
    </row>
    <row r="2290" spans="1:6">
      <c r="A2290" t="s">
        <v>27</v>
      </c>
      <c r="B2290" t="s">
        <v>49</v>
      </c>
      <c r="C2290" t="s">
        <v>913</v>
      </c>
      <c r="D2290" t="s">
        <v>991</v>
      </c>
      <c r="E2290" t="s">
        <v>1544</v>
      </c>
      <c r="F2290">
        <v>0</v>
      </c>
    </row>
    <row r="2291" spans="1:6">
      <c r="A2291" t="s">
        <v>27</v>
      </c>
      <c r="B2291" t="s">
        <v>49</v>
      </c>
      <c r="C2291" t="s">
        <v>913</v>
      </c>
      <c r="D2291" t="s">
        <v>991</v>
      </c>
      <c r="E2291" t="s">
        <v>1545</v>
      </c>
      <c r="F2291">
        <v>0</v>
      </c>
    </row>
    <row r="2292" spans="1:6">
      <c r="A2292" t="s">
        <v>27</v>
      </c>
      <c r="B2292" t="s">
        <v>49</v>
      </c>
      <c r="C2292" t="s">
        <v>913</v>
      </c>
      <c r="D2292" t="s">
        <v>991</v>
      </c>
      <c r="E2292" t="s">
        <v>1546</v>
      </c>
      <c r="F2292" t="s">
        <v>1009</v>
      </c>
    </row>
    <row r="2293" spans="1:6">
      <c r="A2293" t="s">
        <v>27</v>
      </c>
      <c r="B2293" t="s">
        <v>49</v>
      </c>
      <c r="C2293" t="s">
        <v>913</v>
      </c>
      <c r="D2293" t="s">
        <v>991</v>
      </c>
      <c r="E2293" t="s">
        <v>1298</v>
      </c>
      <c r="F2293">
        <v>131687</v>
      </c>
    </row>
    <row r="2294" spans="1:6">
      <c r="A2294" t="s">
        <v>27</v>
      </c>
      <c r="B2294" t="s">
        <v>49</v>
      </c>
      <c r="C2294" t="s">
        <v>913</v>
      </c>
      <c r="D2294" t="s">
        <v>1091</v>
      </c>
      <c r="E2294" t="s">
        <v>992</v>
      </c>
      <c r="F2294" t="s">
        <v>1092</v>
      </c>
    </row>
    <row r="2295" spans="1:6">
      <c r="A2295" t="s">
        <v>27</v>
      </c>
      <c r="B2295" t="s">
        <v>49</v>
      </c>
      <c r="C2295" t="s">
        <v>913</v>
      </c>
      <c r="D2295" t="s">
        <v>1091</v>
      </c>
      <c r="E2295" t="s">
        <v>1093</v>
      </c>
      <c r="F2295" t="s">
        <v>1094</v>
      </c>
    </row>
    <row r="2296" spans="1:6">
      <c r="A2296" t="s">
        <v>27</v>
      </c>
      <c r="B2296" t="s">
        <v>49</v>
      </c>
      <c r="C2296" t="s">
        <v>913</v>
      </c>
      <c r="D2296" t="s">
        <v>1091</v>
      </c>
      <c r="E2296" t="s">
        <v>994</v>
      </c>
      <c r="F2296" t="s">
        <v>49</v>
      </c>
    </row>
    <row r="2297" spans="1:6">
      <c r="A2297" t="s">
        <v>27</v>
      </c>
      <c r="B2297" t="s">
        <v>49</v>
      </c>
      <c r="C2297" t="s">
        <v>913</v>
      </c>
      <c r="D2297" t="s">
        <v>1091</v>
      </c>
      <c r="E2297" t="s">
        <v>995</v>
      </c>
      <c r="F2297" t="s">
        <v>996</v>
      </c>
    </row>
    <row r="2298" spans="1:6">
      <c r="A2298" t="s">
        <v>27</v>
      </c>
      <c r="B2298" t="s">
        <v>49</v>
      </c>
      <c r="C2298" t="s">
        <v>913</v>
      </c>
      <c r="D2298" t="s">
        <v>1091</v>
      </c>
      <c r="E2298" t="s">
        <v>997</v>
      </c>
      <c r="F2298" t="s">
        <v>1511</v>
      </c>
    </row>
    <row r="2299" spans="1:6">
      <c r="A2299" t="s">
        <v>27</v>
      </c>
      <c r="B2299" t="s">
        <v>49</v>
      </c>
      <c r="C2299" t="s">
        <v>913</v>
      </c>
      <c r="D2299" t="s">
        <v>1091</v>
      </c>
      <c r="E2299" t="s">
        <v>999</v>
      </c>
      <c r="F2299" t="s">
        <v>1000</v>
      </c>
    </row>
    <row r="2300" spans="1:6">
      <c r="A2300" t="s">
        <v>27</v>
      </c>
      <c r="B2300" t="s">
        <v>49</v>
      </c>
      <c r="C2300" t="s">
        <v>913</v>
      </c>
      <c r="D2300" t="s">
        <v>1091</v>
      </c>
      <c r="E2300" t="s">
        <v>1001</v>
      </c>
      <c r="F2300" t="s">
        <v>10</v>
      </c>
    </row>
    <row r="2301" spans="1:6">
      <c r="A2301" t="s">
        <v>27</v>
      </c>
      <c r="B2301" t="s">
        <v>49</v>
      </c>
      <c r="C2301" t="s">
        <v>913</v>
      </c>
      <c r="D2301" t="s">
        <v>1091</v>
      </c>
      <c r="E2301" t="s">
        <v>1002</v>
      </c>
      <c r="F2301" t="s">
        <v>1095</v>
      </c>
    </row>
    <row r="2302" spans="1:6">
      <c r="A2302" t="s">
        <v>27</v>
      </c>
      <c r="B2302" t="s">
        <v>49</v>
      </c>
      <c r="C2302" t="s">
        <v>913</v>
      </c>
      <c r="D2302" t="s">
        <v>1091</v>
      </c>
      <c r="E2302" t="s">
        <v>1096</v>
      </c>
      <c r="F2302" t="s">
        <v>1005</v>
      </c>
    </row>
    <row r="2303" spans="1:6">
      <c r="A2303" t="s">
        <v>27</v>
      </c>
      <c r="B2303" t="s">
        <v>49</v>
      </c>
      <c r="C2303" t="s">
        <v>913</v>
      </c>
      <c r="D2303" t="s">
        <v>1091</v>
      </c>
      <c r="E2303" t="s">
        <v>1006</v>
      </c>
      <c r="F2303" t="s">
        <v>1097</v>
      </c>
    </row>
    <row r="2304" spans="1:6">
      <c r="A2304" t="s">
        <v>27</v>
      </c>
      <c r="B2304" t="s">
        <v>49</v>
      </c>
      <c r="C2304" t="s">
        <v>913</v>
      </c>
      <c r="D2304" t="s">
        <v>1091</v>
      </c>
      <c r="E2304" t="s">
        <v>1008</v>
      </c>
      <c r="F2304" t="s">
        <v>1098</v>
      </c>
    </row>
    <row r="2305" spans="1:6">
      <c r="A2305" t="s">
        <v>27</v>
      </c>
      <c r="B2305" t="s">
        <v>49</v>
      </c>
      <c r="C2305" t="s">
        <v>913</v>
      </c>
      <c r="D2305" t="s">
        <v>1091</v>
      </c>
      <c r="E2305" t="s">
        <v>1035</v>
      </c>
      <c r="F2305" t="s">
        <v>1009</v>
      </c>
    </row>
    <row r="2306" spans="1:6">
      <c r="A2306" t="s">
        <v>27</v>
      </c>
      <c r="B2306" t="s">
        <v>49</v>
      </c>
      <c r="C2306" t="s">
        <v>913</v>
      </c>
      <c r="D2306" t="s">
        <v>1091</v>
      </c>
      <c r="E2306" t="s">
        <v>1099</v>
      </c>
      <c r="F2306" t="s">
        <v>50</v>
      </c>
    </row>
    <row r="2307" spans="1:6">
      <c r="A2307" t="s">
        <v>27</v>
      </c>
      <c r="B2307" t="s">
        <v>49</v>
      </c>
      <c r="C2307" t="s">
        <v>913</v>
      </c>
      <c r="D2307" t="s">
        <v>1091</v>
      </c>
      <c r="E2307" t="s">
        <v>1100</v>
      </c>
      <c r="F2307">
        <v>2025</v>
      </c>
    </row>
    <row r="2308" spans="1:6">
      <c r="A2308" t="s">
        <v>27</v>
      </c>
      <c r="B2308" t="s">
        <v>49</v>
      </c>
      <c r="C2308" t="s">
        <v>913</v>
      </c>
      <c r="D2308" t="s">
        <v>1091</v>
      </c>
      <c r="E2308" t="s">
        <v>1101</v>
      </c>
      <c r="F2308">
        <v>2026</v>
      </c>
    </row>
    <row r="2309" spans="1:6">
      <c r="A2309" t="s">
        <v>27</v>
      </c>
      <c r="B2309" t="s">
        <v>49</v>
      </c>
      <c r="C2309" t="s">
        <v>913</v>
      </c>
      <c r="D2309" t="s">
        <v>1091</v>
      </c>
      <c r="E2309" t="s">
        <v>1036</v>
      </c>
      <c r="F2309" t="s">
        <v>1102</v>
      </c>
    </row>
    <row r="2310" spans="1:6">
      <c r="A2310" t="s">
        <v>27</v>
      </c>
      <c r="B2310" t="s">
        <v>49</v>
      </c>
      <c r="C2310" t="s">
        <v>913</v>
      </c>
      <c r="D2310" t="s">
        <v>1091</v>
      </c>
      <c r="E2310" t="s">
        <v>1037</v>
      </c>
      <c r="F2310">
        <v>42291668</v>
      </c>
    </row>
    <row r="2311" spans="1:6">
      <c r="A2311" t="s">
        <v>27</v>
      </c>
      <c r="B2311" t="s">
        <v>49</v>
      </c>
      <c r="C2311" t="s">
        <v>913</v>
      </c>
      <c r="D2311" t="s">
        <v>1091</v>
      </c>
      <c r="E2311" t="s">
        <v>1103</v>
      </c>
      <c r="F2311">
        <v>35597890</v>
      </c>
    </row>
    <row r="2312" spans="1:6">
      <c r="A2312" t="s">
        <v>27</v>
      </c>
      <c r="B2312" t="s">
        <v>49</v>
      </c>
      <c r="C2312" t="s">
        <v>913</v>
      </c>
      <c r="D2312" t="s">
        <v>1091</v>
      </c>
      <c r="E2312" t="s">
        <v>1104</v>
      </c>
      <c r="F2312">
        <v>5799952</v>
      </c>
    </row>
    <row r="2313" spans="1:6">
      <c r="A2313" t="s">
        <v>27</v>
      </c>
      <c r="B2313" t="s">
        <v>49</v>
      </c>
      <c r="C2313" t="s">
        <v>913</v>
      </c>
      <c r="D2313" t="s">
        <v>1091</v>
      </c>
      <c r="E2313" t="s">
        <v>1105</v>
      </c>
      <c r="F2313">
        <v>893826</v>
      </c>
    </row>
    <row r="2314" spans="1:6">
      <c r="A2314" t="s">
        <v>27</v>
      </c>
      <c r="B2314" t="s">
        <v>49</v>
      </c>
      <c r="C2314" t="s">
        <v>913</v>
      </c>
      <c r="D2314" t="s">
        <v>1091</v>
      </c>
      <c r="E2314" t="s">
        <v>1038</v>
      </c>
      <c r="F2314" t="s">
        <v>1106</v>
      </c>
    </row>
    <row r="2315" spans="1:6">
      <c r="A2315" t="s">
        <v>27</v>
      </c>
      <c r="B2315" t="s">
        <v>49</v>
      </c>
      <c r="C2315" t="s">
        <v>913</v>
      </c>
      <c r="D2315" t="s">
        <v>1091</v>
      </c>
      <c r="E2315" t="s">
        <v>1039</v>
      </c>
      <c r="F2315">
        <v>42185623</v>
      </c>
    </row>
    <row r="2316" spans="1:6">
      <c r="A2316" t="s">
        <v>27</v>
      </c>
      <c r="B2316" t="s">
        <v>49</v>
      </c>
      <c r="C2316" t="s">
        <v>913</v>
      </c>
      <c r="D2316" t="s">
        <v>1091</v>
      </c>
      <c r="E2316" t="s">
        <v>1040</v>
      </c>
      <c r="F2316">
        <v>35597890</v>
      </c>
    </row>
    <row r="2317" spans="1:6">
      <c r="A2317" t="s">
        <v>27</v>
      </c>
      <c r="B2317" t="s">
        <v>49</v>
      </c>
      <c r="C2317" t="s">
        <v>913</v>
      </c>
      <c r="D2317" t="s">
        <v>1091</v>
      </c>
      <c r="E2317" t="s">
        <v>1041</v>
      </c>
      <c r="F2317">
        <v>5798562</v>
      </c>
    </row>
    <row r="2318" spans="1:6">
      <c r="A2318" t="s">
        <v>27</v>
      </c>
      <c r="B2318" t="s">
        <v>49</v>
      </c>
      <c r="C2318" t="s">
        <v>913</v>
      </c>
      <c r="D2318" t="s">
        <v>1091</v>
      </c>
      <c r="E2318" t="s">
        <v>1042</v>
      </c>
      <c r="F2318">
        <v>789171</v>
      </c>
    </row>
    <row r="2319" spans="1:6">
      <c r="A2319" t="s">
        <v>27</v>
      </c>
      <c r="B2319" t="s">
        <v>49</v>
      </c>
      <c r="C2319" t="s">
        <v>913</v>
      </c>
      <c r="D2319" t="s">
        <v>1091</v>
      </c>
      <c r="E2319" t="s">
        <v>1052</v>
      </c>
      <c r="F2319" t="s">
        <v>1107</v>
      </c>
    </row>
    <row r="2320" spans="1:6">
      <c r="A2320" t="s">
        <v>27</v>
      </c>
      <c r="B2320" t="s">
        <v>49</v>
      </c>
      <c r="C2320" t="s">
        <v>913</v>
      </c>
      <c r="D2320" t="s">
        <v>1091</v>
      </c>
      <c r="E2320" t="s">
        <v>1053</v>
      </c>
      <c r="F2320">
        <v>42144068</v>
      </c>
    </row>
    <row r="2321" spans="1:6">
      <c r="A2321" t="s">
        <v>27</v>
      </c>
      <c r="B2321" t="s">
        <v>49</v>
      </c>
      <c r="C2321" t="s">
        <v>913</v>
      </c>
      <c r="D2321" t="s">
        <v>1091</v>
      </c>
      <c r="E2321" t="s">
        <v>1108</v>
      </c>
      <c r="F2321">
        <v>35556336</v>
      </c>
    </row>
    <row r="2322" spans="1:6">
      <c r="A2322" t="s">
        <v>27</v>
      </c>
      <c r="B2322" t="s">
        <v>49</v>
      </c>
      <c r="C2322" t="s">
        <v>913</v>
      </c>
      <c r="D2322" t="s">
        <v>1091</v>
      </c>
      <c r="E2322" t="s">
        <v>1109</v>
      </c>
      <c r="F2322">
        <v>5798562</v>
      </c>
    </row>
    <row r="2323" spans="1:6">
      <c r="A2323" t="s">
        <v>27</v>
      </c>
      <c r="B2323" t="s">
        <v>49</v>
      </c>
      <c r="C2323" t="s">
        <v>913</v>
      </c>
      <c r="D2323" t="s">
        <v>1091</v>
      </c>
      <c r="E2323" t="s">
        <v>1110</v>
      </c>
      <c r="F2323">
        <v>789171</v>
      </c>
    </row>
    <row r="2324" spans="1:6">
      <c r="A2324" t="s">
        <v>27</v>
      </c>
      <c r="B2324" t="s">
        <v>49</v>
      </c>
      <c r="C2324" t="s">
        <v>913</v>
      </c>
      <c r="D2324" t="s">
        <v>1091</v>
      </c>
      <c r="E2324" t="s">
        <v>1111</v>
      </c>
      <c r="F2324" t="s">
        <v>1112</v>
      </c>
    </row>
    <row r="2325" spans="1:6">
      <c r="A2325" t="s">
        <v>27</v>
      </c>
      <c r="B2325" t="s">
        <v>49</v>
      </c>
      <c r="C2325" t="s">
        <v>913</v>
      </c>
      <c r="D2325" t="s">
        <v>1091</v>
      </c>
      <c r="E2325" t="s">
        <v>1113</v>
      </c>
      <c r="F2325">
        <v>41555</v>
      </c>
    </row>
    <row r="2326" spans="1:6">
      <c r="A2326" t="s">
        <v>27</v>
      </c>
      <c r="B2326" t="s">
        <v>49</v>
      </c>
      <c r="C2326" t="s">
        <v>913</v>
      </c>
      <c r="D2326" t="s">
        <v>1091</v>
      </c>
      <c r="E2326" t="s">
        <v>1114</v>
      </c>
      <c r="F2326">
        <v>41555</v>
      </c>
    </row>
    <row r="2327" spans="1:6">
      <c r="A2327" t="s">
        <v>27</v>
      </c>
      <c r="B2327" t="s">
        <v>49</v>
      </c>
      <c r="C2327" t="s">
        <v>913</v>
      </c>
      <c r="D2327" t="s">
        <v>1091</v>
      </c>
      <c r="E2327" t="s">
        <v>1115</v>
      </c>
      <c r="F2327">
        <v>0</v>
      </c>
    </row>
    <row r="2328" spans="1:6">
      <c r="A2328" t="s">
        <v>27</v>
      </c>
      <c r="B2328" t="s">
        <v>49</v>
      </c>
      <c r="C2328" t="s">
        <v>913</v>
      </c>
      <c r="D2328" t="s">
        <v>1091</v>
      </c>
      <c r="E2328" t="s">
        <v>1116</v>
      </c>
      <c r="F2328">
        <v>0</v>
      </c>
    </row>
    <row r="2329" spans="1:6">
      <c r="A2329" t="s">
        <v>27</v>
      </c>
      <c r="B2329" t="s">
        <v>49</v>
      </c>
      <c r="C2329" t="s">
        <v>913</v>
      </c>
      <c r="D2329" t="s">
        <v>1091</v>
      </c>
      <c r="E2329" t="s">
        <v>1054</v>
      </c>
      <c r="F2329" t="s">
        <v>1117</v>
      </c>
    </row>
    <row r="2330" spans="1:6">
      <c r="A2330" t="s">
        <v>27</v>
      </c>
      <c r="B2330" t="s">
        <v>49</v>
      </c>
      <c r="C2330" t="s">
        <v>913</v>
      </c>
      <c r="D2330" t="s">
        <v>1091</v>
      </c>
      <c r="E2330" t="s">
        <v>1118</v>
      </c>
      <c r="F2330">
        <v>0</v>
      </c>
    </row>
    <row r="2331" spans="1:6">
      <c r="A2331" t="s">
        <v>27</v>
      </c>
      <c r="B2331" t="s">
        <v>49</v>
      </c>
      <c r="C2331" t="s">
        <v>913</v>
      </c>
      <c r="D2331" t="s">
        <v>1091</v>
      </c>
      <c r="E2331" t="s">
        <v>1119</v>
      </c>
      <c r="F2331">
        <v>0</v>
      </c>
    </row>
    <row r="2332" spans="1:6">
      <c r="A2332" t="s">
        <v>27</v>
      </c>
      <c r="B2332" t="s">
        <v>49</v>
      </c>
      <c r="C2332" t="s">
        <v>913</v>
      </c>
      <c r="D2332" t="s">
        <v>1091</v>
      </c>
      <c r="E2332" t="s">
        <v>1120</v>
      </c>
      <c r="F2332">
        <v>0</v>
      </c>
    </row>
    <row r="2333" spans="1:6">
      <c r="A2333" t="s">
        <v>27</v>
      </c>
      <c r="B2333" t="s">
        <v>49</v>
      </c>
      <c r="C2333" t="s">
        <v>913</v>
      </c>
      <c r="D2333" t="s">
        <v>1091</v>
      </c>
      <c r="E2333" t="s">
        <v>1121</v>
      </c>
      <c r="F2333">
        <v>0</v>
      </c>
    </row>
    <row r="2334" spans="1:6">
      <c r="A2334" t="s">
        <v>27</v>
      </c>
      <c r="B2334" t="s">
        <v>49</v>
      </c>
      <c r="C2334" t="s">
        <v>913</v>
      </c>
      <c r="D2334" t="s">
        <v>1091</v>
      </c>
      <c r="E2334" t="s">
        <v>1122</v>
      </c>
      <c r="F2334" t="s">
        <v>1123</v>
      </c>
    </row>
    <row r="2335" spans="1:6">
      <c r="A2335" t="s">
        <v>27</v>
      </c>
      <c r="B2335" t="s">
        <v>49</v>
      </c>
      <c r="C2335" t="s">
        <v>913</v>
      </c>
      <c r="D2335" t="s">
        <v>1091</v>
      </c>
      <c r="E2335" t="s">
        <v>1124</v>
      </c>
      <c r="F2335" t="s">
        <v>1125</v>
      </c>
    </row>
    <row r="2336" spans="1:6">
      <c r="A2336" t="s">
        <v>27</v>
      </c>
      <c r="B2336" t="s">
        <v>49</v>
      </c>
      <c r="C2336" t="s">
        <v>913</v>
      </c>
      <c r="D2336" t="s">
        <v>1091</v>
      </c>
      <c r="E2336" t="s">
        <v>1126</v>
      </c>
      <c r="F2336" t="s">
        <v>1125</v>
      </c>
    </row>
    <row r="2337" spans="1:6">
      <c r="A2337" t="s">
        <v>27</v>
      </c>
      <c r="B2337" t="s">
        <v>49</v>
      </c>
      <c r="C2337" t="s">
        <v>913</v>
      </c>
      <c r="D2337" t="s">
        <v>1091</v>
      </c>
      <c r="E2337" t="s">
        <v>1127</v>
      </c>
      <c r="F2337" t="s">
        <v>1125</v>
      </c>
    </row>
    <row r="2338" spans="1:6">
      <c r="A2338" t="s">
        <v>27</v>
      </c>
      <c r="B2338" t="s">
        <v>49</v>
      </c>
      <c r="C2338" t="s">
        <v>913</v>
      </c>
      <c r="D2338" t="s">
        <v>1091</v>
      </c>
      <c r="E2338" t="s">
        <v>1128</v>
      </c>
      <c r="F2338" t="s">
        <v>1547</v>
      </c>
    </row>
    <row r="2339" spans="1:6">
      <c r="A2339" t="s">
        <v>27</v>
      </c>
      <c r="B2339" t="s">
        <v>49</v>
      </c>
      <c r="C2339" t="s">
        <v>913</v>
      </c>
      <c r="D2339" t="s">
        <v>1091</v>
      </c>
      <c r="E2339" t="s">
        <v>1056</v>
      </c>
      <c r="F2339" t="s">
        <v>1130</v>
      </c>
    </row>
    <row r="2340" spans="1:6">
      <c r="A2340" t="s">
        <v>27</v>
      </c>
      <c r="B2340" t="s">
        <v>49</v>
      </c>
      <c r="C2340" t="s">
        <v>913</v>
      </c>
      <c r="D2340" t="s">
        <v>1091</v>
      </c>
      <c r="E2340" t="s">
        <v>1057</v>
      </c>
      <c r="F2340">
        <v>106046</v>
      </c>
    </row>
    <row r="2341" spans="1:6">
      <c r="A2341" t="s">
        <v>27</v>
      </c>
      <c r="B2341" t="s">
        <v>49</v>
      </c>
      <c r="C2341" t="s">
        <v>913</v>
      </c>
      <c r="D2341" t="s">
        <v>1091</v>
      </c>
      <c r="E2341" t="s">
        <v>1058</v>
      </c>
      <c r="F2341">
        <v>0</v>
      </c>
    </row>
    <row r="2342" spans="1:6">
      <c r="A2342" t="s">
        <v>27</v>
      </c>
      <c r="B2342" t="s">
        <v>49</v>
      </c>
      <c r="C2342" t="s">
        <v>913</v>
      </c>
      <c r="D2342" t="s">
        <v>1091</v>
      </c>
      <c r="E2342" t="s">
        <v>1059</v>
      </c>
      <c r="F2342">
        <v>1390</v>
      </c>
    </row>
    <row r="2343" spans="1:6">
      <c r="A2343" t="s">
        <v>27</v>
      </c>
      <c r="B2343" t="s">
        <v>49</v>
      </c>
      <c r="C2343" t="s">
        <v>913</v>
      </c>
      <c r="D2343" t="s">
        <v>1091</v>
      </c>
      <c r="E2343" t="s">
        <v>1060</v>
      </c>
      <c r="F2343">
        <v>104655</v>
      </c>
    </row>
    <row r="2344" spans="1:6">
      <c r="A2344" t="s">
        <v>27</v>
      </c>
      <c r="B2344" t="s">
        <v>49</v>
      </c>
      <c r="C2344" t="s">
        <v>913</v>
      </c>
      <c r="D2344" t="s">
        <v>1091</v>
      </c>
      <c r="E2344" t="s">
        <v>1071</v>
      </c>
      <c r="F2344" t="s">
        <v>1131</v>
      </c>
    </row>
    <row r="2345" spans="1:6">
      <c r="A2345" t="s">
        <v>27</v>
      </c>
      <c r="B2345" t="s">
        <v>49</v>
      </c>
      <c r="C2345" t="s">
        <v>913</v>
      </c>
      <c r="D2345" t="s">
        <v>1091</v>
      </c>
      <c r="E2345" t="s">
        <v>1072</v>
      </c>
      <c r="F2345" t="s">
        <v>1132</v>
      </c>
    </row>
    <row r="2346" spans="1:6">
      <c r="A2346" t="s">
        <v>27</v>
      </c>
      <c r="B2346" t="s">
        <v>49</v>
      </c>
      <c r="C2346" t="s">
        <v>913</v>
      </c>
      <c r="D2346" t="s">
        <v>1091</v>
      </c>
      <c r="E2346" t="s">
        <v>1133</v>
      </c>
      <c r="F2346" t="s">
        <v>1132</v>
      </c>
    </row>
    <row r="2347" spans="1:6">
      <c r="A2347" t="s">
        <v>27</v>
      </c>
      <c r="B2347" t="s">
        <v>49</v>
      </c>
      <c r="C2347" t="s">
        <v>913</v>
      </c>
      <c r="D2347" t="s">
        <v>1091</v>
      </c>
      <c r="E2347" t="s">
        <v>1134</v>
      </c>
      <c r="F2347" t="s">
        <v>1132</v>
      </c>
    </row>
    <row r="2348" spans="1:6">
      <c r="A2348" t="s">
        <v>27</v>
      </c>
      <c r="B2348" t="s">
        <v>49</v>
      </c>
      <c r="C2348" t="s">
        <v>913</v>
      </c>
      <c r="D2348" t="s">
        <v>1091</v>
      </c>
      <c r="E2348" t="s">
        <v>1135</v>
      </c>
      <c r="F2348" t="s">
        <v>1548</v>
      </c>
    </row>
    <row r="2349" spans="1:6">
      <c r="A2349" t="s">
        <v>27</v>
      </c>
      <c r="B2349" t="s">
        <v>49</v>
      </c>
      <c r="C2349" t="s">
        <v>913</v>
      </c>
      <c r="D2349" t="s">
        <v>1091</v>
      </c>
      <c r="E2349" t="s">
        <v>1076</v>
      </c>
      <c r="F2349" t="s">
        <v>1137</v>
      </c>
    </row>
    <row r="2350" spans="1:6">
      <c r="A2350" t="s">
        <v>27</v>
      </c>
      <c r="B2350" t="s">
        <v>49</v>
      </c>
      <c r="C2350" t="s">
        <v>913</v>
      </c>
      <c r="D2350" t="s">
        <v>1091</v>
      </c>
      <c r="E2350" t="s">
        <v>1090</v>
      </c>
      <c r="F2350" t="s">
        <v>1138</v>
      </c>
    </row>
    <row r="2351" spans="1:6">
      <c r="A2351" t="s">
        <v>27</v>
      </c>
      <c r="B2351" t="s">
        <v>49</v>
      </c>
      <c r="C2351" t="s">
        <v>913</v>
      </c>
      <c r="D2351" t="s">
        <v>1091</v>
      </c>
      <c r="E2351" t="s">
        <v>1139</v>
      </c>
      <c r="F2351" t="s">
        <v>1132</v>
      </c>
    </row>
    <row r="2352" spans="1:6">
      <c r="A2352" t="s">
        <v>27</v>
      </c>
      <c r="B2352" t="s">
        <v>49</v>
      </c>
      <c r="C2352" t="s">
        <v>913</v>
      </c>
      <c r="D2352" t="s">
        <v>1091</v>
      </c>
      <c r="E2352" t="s">
        <v>1140</v>
      </c>
      <c r="F2352" t="s">
        <v>1132</v>
      </c>
    </row>
    <row r="2353" spans="1:6">
      <c r="A2353" t="s">
        <v>27</v>
      </c>
      <c r="B2353" t="s">
        <v>49</v>
      </c>
      <c r="C2353" t="s">
        <v>913</v>
      </c>
      <c r="D2353" t="s">
        <v>1091</v>
      </c>
      <c r="E2353" t="s">
        <v>1141</v>
      </c>
      <c r="F2353" t="s">
        <v>1549</v>
      </c>
    </row>
    <row r="2354" spans="1:6">
      <c r="A2354" t="s">
        <v>27</v>
      </c>
      <c r="B2354" t="s">
        <v>49</v>
      </c>
      <c r="C2354" t="s">
        <v>913</v>
      </c>
      <c r="D2354" t="s">
        <v>1091</v>
      </c>
      <c r="E2354" t="s">
        <v>1143</v>
      </c>
      <c r="F2354" t="s">
        <v>1144</v>
      </c>
    </row>
    <row r="2355" spans="1:6">
      <c r="A2355" t="s">
        <v>27</v>
      </c>
      <c r="B2355" t="s">
        <v>49</v>
      </c>
      <c r="C2355" t="s">
        <v>913</v>
      </c>
      <c r="D2355" t="s">
        <v>1091</v>
      </c>
      <c r="E2355" t="s">
        <v>1145</v>
      </c>
      <c r="F2355" t="s">
        <v>1146</v>
      </c>
    </row>
    <row r="2356" spans="1:6">
      <c r="A2356" t="s">
        <v>27</v>
      </c>
      <c r="B2356" t="s">
        <v>49</v>
      </c>
      <c r="C2356" t="s">
        <v>913</v>
      </c>
      <c r="D2356" t="s">
        <v>1091</v>
      </c>
      <c r="E2356" t="s">
        <v>1147</v>
      </c>
      <c r="F2356" t="s">
        <v>1148</v>
      </c>
    </row>
    <row r="2357" spans="1:6">
      <c r="A2357" t="s">
        <v>27</v>
      </c>
      <c r="B2357" t="s">
        <v>49</v>
      </c>
      <c r="C2357" t="s">
        <v>913</v>
      </c>
      <c r="D2357" t="s">
        <v>1091</v>
      </c>
      <c r="E2357" t="s">
        <v>1149</v>
      </c>
      <c r="F2357" t="s">
        <v>1150</v>
      </c>
    </row>
    <row r="2358" spans="1:6">
      <c r="A2358" t="s">
        <v>27</v>
      </c>
      <c r="B2358" t="s">
        <v>49</v>
      </c>
      <c r="C2358" t="s">
        <v>913</v>
      </c>
      <c r="D2358" t="s">
        <v>1091</v>
      </c>
      <c r="E2358" t="s">
        <v>1151</v>
      </c>
      <c r="F2358" t="s">
        <v>1009</v>
      </c>
    </row>
    <row r="2359" spans="1:6">
      <c r="A2359" t="s">
        <v>27</v>
      </c>
      <c r="B2359" t="s">
        <v>49</v>
      </c>
      <c r="C2359" t="s">
        <v>913</v>
      </c>
      <c r="D2359" t="s">
        <v>1091</v>
      </c>
      <c r="E2359" t="s">
        <v>1152</v>
      </c>
      <c r="F2359" t="s">
        <v>1550</v>
      </c>
    </row>
    <row r="2360" spans="1:6">
      <c r="A2360" t="s">
        <v>27</v>
      </c>
      <c r="B2360" t="s">
        <v>49</v>
      </c>
      <c r="C2360" t="s">
        <v>913</v>
      </c>
      <c r="D2360" t="s">
        <v>1091</v>
      </c>
      <c r="E2360" t="s">
        <v>1154</v>
      </c>
      <c r="F2360" t="s">
        <v>1551</v>
      </c>
    </row>
    <row r="2361" spans="1:6">
      <c r="A2361" t="s">
        <v>27</v>
      </c>
      <c r="B2361" t="s">
        <v>49</v>
      </c>
      <c r="C2361" t="s">
        <v>913</v>
      </c>
      <c r="D2361" t="s">
        <v>1091</v>
      </c>
      <c r="E2361" t="s">
        <v>1156</v>
      </c>
      <c r="F2361" t="s">
        <v>1552</v>
      </c>
    </row>
    <row r="2362" spans="1:6">
      <c r="A2362" t="s">
        <v>27</v>
      </c>
      <c r="B2362" t="s">
        <v>49</v>
      </c>
      <c r="C2362" t="s">
        <v>913</v>
      </c>
      <c r="D2362" t="s">
        <v>1091</v>
      </c>
      <c r="E2362" t="s">
        <v>1158</v>
      </c>
      <c r="F2362" t="s">
        <v>1153</v>
      </c>
    </row>
    <row r="2363" spans="1:6">
      <c r="A2363" t="s">
        <v>27</v>
      </c>
      <c r="B2363" t="s">
        <v>49</v>
      </c>
      <c r="C2363" t="s">
        <v>913</v>
      </c>
      <c r="D2363" t="s">
        <v>1091</v>
      </c>
      <c r="E2363" t="s">
        <v>1160</v>
      </c>
      <c r="F2363" t="s">
        <v>1155</v>
      </c>
    </row>
    <row r="2364" spans="1:6">
      <c r="A2364" t="s">
        <v>27</v>
      </c>
      <c r="B2364" t="s">
        <v>49</v>
      </c>
      <c r="C2364" t="s">
        <v>913</v>
      </c>
      <c r="D2364" t="s">
        <v>1091</v>
      </c>
      <c r="E2364" t="s">
        <v>1162</v>
      </c>
      <c r="F2364" t="s">
        <v>1157</v>
      </c>
    </row>
    <row r="2365" spans="1:6">
      <c r="A2365" t="s">
        <v>27</v>
      </c>
      <c r="B2365" t="s">
        <v>49</v>
      </c>
      <c r="C2365" t="s">
        <v>913</v>
      </c>
      <c r="D2365" t="s">
        <v>1091</v>
      </c>
      <c r="E2365" t="s">
        <v>1164</v>
      </c>
      <c r="F2365" t="s">
        <v>1165</v>
      </c>
    </row>
    <row r="2366" spans="1:6">
      <c r="A2366" t="s">
        <v>27</v>
      </c>
      <c r="B2366" t="s">
        <v>49</v>
      </c>
      <c r="C2366" t="s">
        <v>913</v>
      </c>
      <c r="D2366" t="s">
        <v>1091</v>
      </c>
      <c r="E2366" t="s">
        <v>1166</v>
      </c>
      <c r="F2366">
        <v>521892</v>
      </c>
    </row>
    <row r="2367" spans="1:6">
      <c r="A2367" t="s">
        <v>27</v>
      </c>
      <c r="B2367" t="s">
        <v>49</v>
      </c>
      <c r="C2367" t="s">
        <v>913</v>
      </c>
      <c r="D2367" t="s">
        <v>1091</v>
      </c>
      <c r="E2367" t="s">
        <v>1167</v>
      </c>
      <c r="F2367">
        <v>52704</v>
      </c>
    </row>
    <row r="2368" spans="1:6">
      <c r="A2368" t="s">
        <v>27</v>
      </c>
      <c r="B2368" t="s">
        <v>49</v>
      </c>
      <c r="C2368" t="s">
        <v>913</v>
      </c>
      <c r="D2368" t="s">
        <v>1091</v>
      </c>
      <c r="E2368" t="s">
        <v>1168</v>
      </c>
      <c r="F2368">
        <v>119870</v>
      </c>
    </row>
    <row r="2369" spans="1:6">
      <c r="A2369" t="s">
        <v>27</v>
      </c>
      <c r="B2369" t="s">
        <v>49</v>
      </c>
      <c r="C2369" t="s">
        <v>913</v>
      </c>
      <c r="D2369" t="s">
        <v>1091</v>
      </c>
      <c r="E2369" t="s">
        <v>1169</v>
      </c>
      <c r="F2369">
        <v>71809</v>
      </c>
    </row>
    <row r="2370" spans="1:6">
      <c r="A2370" t="s">
        <v>27</v>
      </c>
      <c r="B2370" t="s">
        <v>49</v>
      </c>
      <c r="C2370" t="s">
        <v>913</v>
      </c>
      <c r="D2370" t="s">
        <v>1091</v>
      </c>
      <c r="E2370" t="s">
        <v>1170</v>
      </c>
      <c r="F2370">
        <v>104341</v>
      </c>
    </row>
    <row r="2371" spans="1:6">
      <c r="A2371" t="s">
        <v>27</v>
      </c>
      <c r="B2371" t="s">
        <v>49</v>
      </c>
      <c r="C2371" t="s">
        <v>913</v>
      </c>
      <c r="D2371" t="s">
        <v>1091</v>
      </c>
      <c r="E2371" t="s">
        <v>1171</v>
      </c>
      <c r="F2371">
        <v>68164</v>
      </c>
    </row>
    <row r="2372" spans="1:6">
      <c r="A2372" t="s">
        <v>27</v>
      </c>
      <c r="B2372" t="s">
        <v>49</v>
      </c>
      <c r="C2372" t="s">
        <v>913</v>
      </c>
      <c r="D2372" t="s">
        <v>1091</v>
      </c>
      <c r="E2372" t="s">
        <v>1172</v>
      </c>
      <c r="F2372">
        <v>105005</v>
      </c>
    </row>
    <row r="2373" spans="1:6">
      <c r="A2373" t="s">
        <v>27</v>
      </c>
      <c r="B2373" t="s">
        <v>49</v>
      </c>
      <c r="C2373" t="s">
        <v>913</v>
      </c>
      <c r="D2373" t="s">
        <v>1091</v>
      </c>
      <c r="E2373" t="s">
        <v>1173</v>
      </c>
      <c r="F2373" t="s">
        <v>1174</v>
      </c>
    </row>
    <row r="2374" spans="1:6">
      <c r="A2374" t="s">
        <v>27</v>
      </c>
      <c r="B2374" t="s">
        <v>49</v>
      </c>
      <c r="C2374" t="s">
        <v>913</v>
      </c>
      <c r="D2374" t="s">
        <v>1091</v>
      </c>
      <c r="E2374" t="s">
        <v>1175</v>
      </c>
      <c r="F2374">
        <v>1156</v>
      </c>
    </row>
    <row r="2375" spans="1:6">
      <c r="A2375" t="s">
        <v>27</v>
      </c>
      <c r="B2375" t="s">
        <v>49</v>
      </c>
      <c r="C2375" t="s">
        <v>913</v>
      </c>
      <c r="D2375" t="s">
        <v>1091</v>
      </c>
      <c r="E2375" t="s">
        <v>1176</v>
      </c>
      <c r="F2375">
        <v>156</v>
      </c>
    </row>
    <row r="2376" spans="1:6">
      <c r="A2376" t="s">
        <v>27</v>
      </c>
      <c r="B2376" t="s">
        <v>49</v>
      </c>
      <c r="C2376" t="s">
        <v>913</v>
      </c>
      <c r="D2376" t="s">
        <v>1091</v>
      </c>
      <c r="E2376" t="s">
        <v>1177</v>
      </c>
      <c r="F2376">
        <v>163</v>
      </c>
    </row>
    <row r="2377" spans="1:6">
      <c r="A2377" t="s">
        <v>27</v>
      </c>
      <c r="B2377" t="s">
        <v>49</v>
      </c>
      <c r="C2377" t="s">
        <v>913</v>
      </c>
      <c r="D2377" t="s">
        <v>1091</v>
      </c>
      <c r="E2377" t="s">
        <v>1178</v>
      </c>
      <c r="F2377">
        <v>166</v>
      </c>
    </row>
    <row r="2378" spans="1:6">
      <c r="A2378" t="s">
        <v>27</v>
      </c>
      <c r="B2378" t="s">
        <v>49</v>
      </c>
      <c r="C2378" t="s">
        <v>913</v>
      </c>
      <c r="D2378" t="s">
        <v>1091</v>
      </c>
      <c r="E2378" t="s">
        <v>1179</v>
      </c>
      <c r="F2378">
        <v>211</v>
      </c>
    </row>
    <row r="2379" spans="1:6">
      <c r="A2379" t="s">
        <v>27</v>
      </c>
      <c r="B2379" t="s">
        <v>49</v>
      </c>
      <c r="C2379" t="s">
        <v>913</v>
      </c>
      <c r="D2379" t="s">
        <v>1091</v>
      </c>
      <c r="E2379" t="s">
        <v>1180</v>
      </c>
      <c r="F2379">
        <v>174</v>
      </c>
    </row>
    <row r="2380" spans="1:6">
      <c r="A2380" t="s">
        <v>27</v>
      </c>
      <c r="B2380" t="s">
        <v>49</v>
      </c>
      <c r="C2380" t="s">
        <v>913</v>
      </c>
      <c r="D2380" t="s">
        <v>1091</v>
      </c>
      <c r="E2380" t="s">
        <v>1181</v>
      </c>
      <c r="F2380">
        <v>286</v>
      </c>
    </row>
    <row r="2381" spans="1:6">
      <c r="A2381" t="s">
        <v>27</v>
      </c>
      <c r="B2381" t="s">
        <v>49</v>
      </c>
      <c r="C2381" t="s">
        <v>913</v>
      </c>
      <c r="D2381" t="s">
        <v>1091</v>
      </c>
      <c r="E2381" t="s">
        <v>1182</v>
      </c>
      <c r="F2381" t="s">
        <v>1183</v>
      </c>
    </row>
    <row r="2382" spans="1:6">
      <c r="A2382" t="s">
        <v>27</v>
      </c>
      <c r="B2382" t="s">
        <v>49</v>
      </c>
      <c r="C2382" t="s">
        <v>913</v>
      </c>
      <c r="D2382" t="s">
        <v>1091</v>
      </c>
      <c r="E2382" t="s">
        <v>1184</v>
      </c>
      <c r="F2382">
        <v>421124</v>
      </c>
    </row>
    <row r="2383" spans="1:6">
      <c r="A2383" t="s">
        <v>27</v>
      </c>
      <c r="B2383" t="s">
        <v>49</v>
      </c>
      <c r="C2383" t="s">
        <v>913</v>
      </c>
      <c r="D2383" t="s">
        <v>1091</v>
      </c>
      <c r="E2383" t="s">
        <v>1185</v>
      </c>
      <c r="F2383">
        <v>0</v>
      </c>
    </row>
    <row r="2384" spans="1:6">
      <c r="A2384" t="s">
        <v>27</v>
      </c>
      <c r="B2384" t="s">
        <v>49</v>
      </c>
      <c r="C2384" t="s">
        <v>913</v>
      </c>
      <c r="D2384" t="s">
        <v>1091</v>
      </c>
      <c r="E2384" t="s">
        <v>1186</v>
      </c>
      <c r="F2384">
        <v>80053</v>
      </c>
    </row>
    <row r="2385" spans="1:6">
      <c r="A2385" t="s">
        <v>27</v>
      </c>
      <c r="B2385" t="s">
        <v>49</v>
      </c>
      <c r="C2385" t="s">
        <v>913</v>
      </c>
      <c r="D2385" t="s">
        <v>1091</v>
      </c>
      <c r="E2385" t="s">
        <v>1187</v>
      </c>
      <c r="F2385">
        <v>65509</v>
      </c>
    </row>
    <row r="2386" spans="1:6">
      <c r="A2386" t="s">
        <v>27</v>
      </c>
      <c r="B2386" t="s">
        <v>49</v>
      </c>
      <c r="C2386" t="s">
        <v>913</v>
      </c>
      <c r="D2386" t="s">
        <v>1091</v>
      </c>
      <c r="E2386" t="s">
        <v>1188</v>
      </c>
      <c r="F2386">
        <v>102512</v>
      </c>
    </row>
    <row r="2387" spans="1:6">
      <c r="A2387" t="s">
        <v>27</v>
      </c>
      <c r="B2387" t="s">
        <v>49</v>
      </c>
      <c r="C2387" t="s">
        <v>913</v>
      </c>
      <c r="D2387" t="s">
        <v>1091</v>
      </c>
      <c r="E2387" t="s">
        <v>1189</v>
      </c>
      <c r="F2387">
        <v>68044</v>
      </c>
    </row>
    <row r="2388" spans="1:6">
      <c r="A2388" t="s">
        <v>27</v>
      </c>
      <c r="B2388" t="s">
        <v>49</v>
      </c>
      <c r="C2388" t="s">
        <v>913</v>
      </c>
      <c r="D2388" t="s">
        <v>1091</v>
      </c>
      <c r="E2388" t="s">
        <v>1190</v>
      </c>
      <c r="F2388">
        <v>105005</v>
      </c>
    </row>
    <row r="2389" spans="1:6">
      <c r="A2389" t="s">
        <v>27</v>
      </c>
      <c r="B2389" t="s">
        <v>49</v>
      </c>
      <c r="C2389" t="s">
        <v>913</v>
      </c>
      <c r="D2389" t="s">
        <v>1091</v>
      </c>
      <c r="E2389" t="s">
        <v>1191</v>
      </c>
      <c r="F2389" t="s">
        <v>1192</v>
      </c>
    </row>
    <row r="2390" spans="1:6">
      <c r="A2390" t="s">
        <v>27</v>
      </c>
      <c r="B2390" t="s">
        <v>49</v>
      </c>
      <c r="C2390" t="s">
        <v>913</v>
      </c>
      <c r="D2390" t="s">
        <v>1091</v>
      </c>
      <c r="E2390" t="s">
        <v>1193</v>
      </c>
      <c r="F2390">
        <v>0</v>
      </c>
    </row>
    <row r="2391" spans="1:6">
      <c r="A2391" t="s">
        <v>27</v>
      </c>
      <c r="B2391" t="s">
        <v>49</v>
      </c>
      <c r="C2391" t="s">
        <v>913</v>
      </c>
      <c r="D2391" t="s">
        <v>1091</v>
      </c>
      <c r="E2391" t="s">
        <v>1194</v>
      </c>
      <c r="F2391">
        <v>120</v>
      </c>
    </row>
    <row r="2392" spans="1:6">
      <c r="A2392" t="s">
        <v>27</v>
      </c>
      <c r="B2392" t="s">
        <v>49</v>
      </c>
      <c r="C2392" t="s">
        <v>913</v>
      </c>
      <c r="D2392" t="s">
        <v>1091</v>
      </c>
      <c r="E2392" t="s">
        <v>1195</v>
      </c>
      <c r="F2392">
        <v>141</v>
      </c>
    </row>
    <row r="2393" spans="1:6">
      <c r="A2393" t="s">
        <v>27</v>
      </c>
      <c r="B2393" t="s">
        <v>49</v>
      </c>
      <c r="C2393" t="s">
        <v>913</v>
      </c>
      <c r="D2393" t="s">
        <v>1091</v>
      </c>
      <c r="E2393" t="s">
        <v>1196</v>
      </c>
      <c r="F2393">
        <v>206</v>
      </c>
    </row>
    <row r="2394" spans="1:6">
      <c r="A2394" t="s">
        <v>27</v>
      </c>
      <c r="B2394" t="s">
        <v>49</v>
      </c>
      <c r="C2394" t="s">
        <v>913</v>
      </c>
      <c r="D2394" t="s">
        <v>1091</v>
      </c>
      <c r="E2394" t="s">
        <v>1197</v>
      </c>
      <c r="F2394">
        <v>173</v>
      </c>
    </row>
    <row r="2395" spans="1:6">
      <c r="A2395" t="s">
        <v>27</v>
      </c>
      <c r="B2395" t="s">
        <v>49</v>
      </c>
      <c r="C2395" t="s">
        <v>913</v>
      </c>
      <c r="D2395" t="s">
        <v>1091</v>
      </c>
      <c r="E2395" t="s">
        <v>1198</v>
      </c>
      <c r="F2395">
        <v>286</v>
      </c>
    </row>
    <row r="2396" spans="1:6">
      <c r="A2396" t="s">
        <v>27</v>
      </c>
      <c r="B2396" t="s">
        <v>49</v>
      </c>
      <c r="C2396" t="s">
        <v>913</v>
      </c>
      <c r="D2396" t="s">
        <v>1091</v>
      </c>
      <c r="E2396" t="s">
        <v>1199</v>
      </c>
      <c r="F2396" t="s">
        <v>1200</v>
      </c>
    </row>
    <row r="2397" spans="1:6">
      <c r="A2397" t="s">
        <v>27</v>
      </c>
      <c r="B2397" t="s">
        <v>49</v>
      </c>
      <c r="C2397" t="s">
        <v>913</v>
      </c>
      <c r="D2397" t="s">
        <v>1091</v>
      </c>
      <c r="E2397" t="s">
        <v>1201</v>
      </c>
      <c r="F2397" t="s">
        <v>1107</v>
      </c>
    </row>
    <row r="2398" spans="1:6">
      <c r="A2398" t="s">
        <v>27</v>
      </c>
      <c r="B2398" t="s">
        <v>49</v>
      </c>
      <c r="C2398" t="s">
        <v>913</v>
      </c>
      <c r="D2398" t="s">
        <v>1091</v>
      </c>
      <c r="E2398" t="s">
        <v>1202</v>
      </c>
      <c r="F2398">
        <v>421124</v>
      </c>
    </row>
    <row r="2399" spans="1:6">
      <c r="A2399" t="s">
        <v>27</v>
      </c>
      <c r="B2399" t="s">
        <v>49</v>
      </c>
      <c r="C2399" t="s">
        <v>913</v>
      </c>
      <c r="D2399" t="s">
        <v>1091</v>
      </c>
      <c r="E2399" t="s">
        <v>1203</v>
      </c>
      <c r="F2399">
        <v>0</v>
      </c>
    </row>
    <row r="2400" spans="1:6">
      <c r="A2400" t="s">
        <v>27</v>
      </c>
      <c r="B2400" t="s">
        <v>49</v>
      </c>
      <c r="C2400" t="s">
        <v>913</v>
      </c>
      <c r="D2400" t="s">
        <v>1091</v>
      </c>
      <c r="E2400" t="s">
        <v>1204</v>
      </c>
      <c r="F2400">
        <v>80053</v>
      </c>
    </row>
    <row r="2401" spans="1:6">
      <c r="A2401" t="s">
        <v>27</v>
      </c>
      <c r="B2401" t="s">
        <v>49</v>
      </c>
      <c r="C2401" t="s">
        <v>913</v>
      </c>
      <c r="D2401" t="s">
        <v>1091</v>
      </c>
      <c r="E2401" t="s">
        <v>1205</v>
      </c>
      <c r="F2401">
        <v>65509</v>
      </c>
    </row>
    <row r="2402" spans="1:6">
      <c r="A2402" t="s">
        <v>27</v>
      </c>
      <c r="B2402" t="s">
        <v>49</v>
      </c>
      <c r="C2402" t="s">
        <v>913</v>
      </c>
      <c r="D2402" t="s">
        <v>1091</v>
      </c>
      <c r="E2402" t="s">
        <v>1206</v>
      </c>
      <c r="F2402">
        <v>102512</v>
      </c>
    </row>
    <row r="2403" spans="1:6">
      <c r="A2403" t="s">
        <v>27</v>
      </c>
      <c r="B2403" t="s">
        <v>49</v>
      </c>
      <c r="C2403" t="s">
        <v>913</v>
      </c>
      <c r="D2403" t="s">
        <v>1091</v>
      </c>
      <c r="E2403" t="s">
        <v>1207</v>
      </c>
      <c r="F2403">
        <v>68044</v>
      </c>
    </row>
    <row r="2404" spans="1:6">
      <c r="A2404" t="s">
        <v>27</v>
      </c>
      <c r="B2404" t="s">
        <v>49</v>
      </c>
      <c r="C2404" t="s">
        <v>913</v>
      </c>
      <c r="D2404" t="s">
        <v>1091</v>
      </c>
      <c r="E2404" t="s">
        <v>1208</v>
      </c>
      <c r="F2404">
        <v>105005</v>
      </c>
    </row>
    <row r="2405" spans="1:6">
      <c r="A2405" t="s">
        <v>27</v>
      </c>
      <c r="B2405" t="s">
        <v>49</v>
      </c>
      <c r="C2405" t="s">
        <v>913</v>
      </c>
      <c r="D2405" t="s">
        <v>1091</v>
      </c>
      <c r="E2405" t="s">
        <v>1209</v>
      </c>
      <c r="F2405" t="s">
        <v>1112</v>
      </c>
    </row>
    <row r="2406" spans="1:6">
      <c r="A2406" t="s">
        <v>27</v>
      </c>
      <c r="B2406" t="s">
        <v>49</v>
      </c>
      <c r="C2406" t="s">
        <v>913</v>
      </c>
      <c r="D2406" t="s">
        <v>1091</v>
      </c>
      <c r="E2406" t="s">
        <v>1210</v>
      </c>
      <c r="F2406">
        <v>0</v>
      </c>
    </row>
    <row r="2407" spans="1:6">
      <c r="A2407" t="s">
        <v>27</v>
      </c>
      <c r="B2407" t="s">
        <v>49</v>
      </c>
      <c r="C2407" t="s">
        <v>913</v>
      </c>
      <c r="D2407" t="s">
        <v>1091</v>
      </c>
      <c r="E2407" t="s">
        <v>1211</v>
      </c>
      <c r="F2407">
        <v>0</v>
      </c>
    </row>
    <row r="2408" spans="1:6">
      <c r="A2408" t="s">
        <v>27</v>
      </c>
      <c r="B2408" t="s">
        <v>49</v>
      </c>
      <c r="C2408" t="s">
        <v>913</v>
      </c>
      <c r="D2408" t="s">
        <v>1091</v>
      </c>
      <c r="E2408" t="s">
        <v>1212</v>
      </c>
      <c r="F2408">
        <v>0</v>
      </c>
    </row>
    <row r="2409" spans="1:6">
      <c r="A2409" t="s">
        <v>27</v>
      </c>
      <c r="B2409" t="s">
        <v>49</v>
      </c>
      <c r="C2409" t="s">
        <v>913</v>
      </c>
      <c r="D2409" t="s">
        <v>1091</v>
      </c>
      <c r="E2409" t="s">
        <v>1213</v>
      </c>
      <c r="F2409">
        <v>0</v>
      </c>
    </row>
    <row r="2410" spans="1:6">
      <c r="A2410" t="s">
        <v>27</v>
      </c>
      <c r="B2410" t="s">
        <v>49</v>
      </c>
      <c r="C2410" t="s">
        <v>913</v>
      </c>
      <c r="D2410" t="s">
        <v>1091</v>
      </c>
      <c r="E2410" t="s">
        <v>1214</v>
      </c>
      <c r="F2410">
        <v>0</v>
      </c>
    </row>
    <row r="2411" spans="1:6">
      <c r="A2411" t="s">
        <v>27</v>
      </c>
      <c r="B2411" t="s">
        <v>49</v>
      </c>
      <c r="C2411" t="s">
        <v>913</v>
      </c>
      <c r="D2411" t="s">
        <v>1091</v>
      </c>
      <c r="E2411" t="s">
        <v>1215</v>
      </c>
      <c r="F2411">
        <v>0</v>
      </c>
    </row>
    <row r="2412" spans="1:6">
      <c r="A2412" t="s">
        <v>27</v>
      </c>
      <c r="B2412" t="s">
        <v>49</v>
      </c>
      <c r="C2412" t="s">
        <v>913</v>
      </c>
      <c r="D2412" t="s">
        <v>1091</v>
      </c>
      <c r="E2412" t="s">
        <v>1216</v>
      </c>
      <c r="F2412">
        <v>0</v>
      </c>
    </row>
    <row r="2413" spans="1:6">
      <c r="A2413" t="s">
        <v>27</v>
      </c>
      <c r="B2413" t="s">
        <v>49</v>
      </c>
      <c r="C2413" t="s">
        <v>913</v>
      </c>
      <c r="D2413" t="s">
        <v>1091</v>
      </c>
      <c r="E2413" t="s">
        <v>1217</v>
      </c>
      <c r="F2413" t="s">
        <v>1117</v>
      </c>
    </row>
    <row r="2414" spans="1:6">
      <c r="A2414" t="s">
        <v>27</v>
      </c>
      <c r="B2414" t="s">
        <v>49</v>
      </c>
      <c r="C2414" t="s">
        <v>913</v>
      </c>
      <c r="D2414" t="s">
        <v>1091</v>
      </c>
      <c r="E2414" t="s">
        <v>1218</v>
      </c>
      <c r="F2414">
        <v>0</v>
      </c>
    </row>
    <row r="2415" spans="1:6">
      <c r="A2415" t="s">
        <v>27</v>
      </c>
      <c r="B2415" t="s">
        <v>49</v>
      </c>
      <c r="C2415" t="s">
        <v>913</v>
      </c>
      <c r="D2415" t="s">
        <v>1091</v>
      </c>
      <c r="E2415" t="s">
        <v>1219</v>
      </c>
      <c r="F2415">
        <v>0</v>
      </c>
    </row>
    <row r="2416" spans="1:6">
      <c r="A2416" t="s">
        <v>27</v>
      </c>
      <c r="B2416" t="s">
        <v>49</v>
      </c>
      <c r="C2416" t="s">
        <v>913</v>
      </c>
      <c r="D2416" t="s">
        <v>1091</v>
      </c>
      <c r="E2416" t="s">
        <v>1220</v>
      </c>
      <c r="F2416">
        <v>0</v>
      </c>
    </row>
    <row r="2417" spans="1:6">
      <c r="A2417" t="s">
        <v>27</v>
      </c>
      <c r="B2417" t="s">
        <v>49</v>
      </c>
      <c r="C2417" t="s">
        <v>913</v>
      </c>
      <c r="D2417" t="s">
        <v>1091</v>
      </c>
      <c r="E2417" t="s">
        <v>1221</v>
      </c>
      <c r="F2417">
        <v>0</v>
      </c>
    </row>
    <row r="2418" spans="1:6">
      <c r="A2418" t="s">
        <v>27</v>
      </c>
      <c r="B2418" t="s">
        <v>49</v>
      </c>
      <c r="C2418" t="s">
        <v>913</v>
      </c>
      <c r="D2418" t="s">
        <v>1091</v>
      </c>
      <c r="E2418" t="s">
        <v>1222</v>
      </c>
      <c r="F2418">
        <v>0</v>
      </c>
    </row>
    <row r="2419" spans="1:6">
      <c r="A2419" t="s">
        <v>27</v>
      </c>
      <c r="B2419" t="s">
        <v>49</v>
      </c>
      <c r="C2419" t="s">
        <v>913</v>
      </c>
      <c r="D2419" t="s">
        <v>1091</v>
      </c>
      <c r="E2419" t="s">
        <v>1223</v>
      </c>
      <c r="F2419">
        <v>0</v>
      </c>
    </row>
    <row r="2420" spans="1:6">
      <c r="A2420" t="s">
        <v>27</v>
      </c>
      <c r="B2420" t="s">
        <v>49</v>
      </c>
      <c r="C2420" t="s">
        <v>913</v>
      </c>
      <c r="D2420" t="s">
        <v>1091</v>
      </c>
      <c r="E2420" t="s">
        <v>1224</v>
      </c>
      <c r="F2420">
        <v>0</v>
      </c>
    </row>
    <row r="2421" spans="1:6">
      <c r="A2421" t="s">
        <v>27</v>
      </c>
      <c r="B2421" t="s">
        <v>49</v>
      </c>
      <c r="C2421" t="s">
        <v>913</v>
      </c>
      <c r="D2421" t="s">
        <v>1091</v>
      </c>
      <c r="E2421" t="s">
        <v>1225</v>
      </c>
      <c r="F2421" t="s">
        <v>1226</v>
      </c>
    </row>
    <row r="2422" spans="1:6">
      <c r="A2422" t="s">
        <v>27</v>
      </c>
      <c r="B2422" t="s">
        <v>49</v>
      </c>
      <c r="C2422" t="s">
        <v>913</v>
      </c>
      <c r="D2422" t="s">
        <v>1091</v>
      </c>
      <c r="E2422" t="s">
        <v>1227</v>
      </c>
      <c r="F2422" t="s">
        <v>1132</v>
      </c>
    </row>
    <row r="2423" spans="1:6">
      <c r="A2423" t="s">
        <v>27</v>
      </c>
      <c r="B2423" t="s">
        <v>49</v>
      </c>
      <c r="C2423" t="s">
        <v>913</v>
      </c>
      <c r="D2423" t="s">
        <v>1091</v>
      </c>
      <c r="E2423" t="s">
        <v>1228</v>
      </c>
      <c r="F2423" t="s">
        <v>1501</v>
      </c>
    </row>
    <row r="2424" spans="1:6">
      <c r="A2424" t="s">
        <v>27</v>
      </c>
      <c r="B2424" t="s">
        <v>49</v>
      </c>
      <c r="C2424" t="s">
        <v>913</v>
      </c>
      <c r="D2424" t="s">
        <v>1091</v>
      </c>
      <c r="E2424" t="s">
        <v>1230</v>
      </c>
      <c r="F2424" t="s">
        <v>1318</v>
      </c>
    </row>
    <row r="2425" spans="1:6">
      <c r="A2425" t="s">
        <v>27</v>
      </c>
      <c r="B2425" t="s">
        <v>49</v>
      </c>
      <c r="C2425" t="s">
        <v>913</v>
      </c>
      <c r="D2425" t="s">
        <v>1091</v>
      </c>
      <c r="E2425" t="s">
        <v>1231</v>
      </c>
      <c r="F2425" t="s">
        <v>1315</v>
      </c>
    </row>
    <row r="2426" spans="1:6">
      <c r="A2426" t="s">
        <v>27</v>
      </c>
      <c r="B2426" t="s">
        <v>49</v>
      </c>
      <c r="C2426" t="s">
        <v>913</v>
      </c>
      <c r="D2426" t="s">
        <v>1091</v>
      </c>
      <c r="E2426" t="s">
        <v>1233</v>
      </c>
      <c r="F2426" t="s">
        <v>1125</v>
      </c>
    </row>
    <row r="2427" spans="1:6">
      <c r="A2427" t="s">
        <v>27</v>
      </c>
      <c r="B2427" t="s">
        <v>49</v>
      </c>
      <c r="C2427" t="s">
        <v>913</v>
      </c>
      <c r="D2427" t="s">
        <v>1091</v>
      </c>
      <c r="E2427" t="s">
        <v>1234</v>
      </c>
      <c r="F2427" t="s">
        <v>1125</v>
      </c>
    </row>
    <row r="2428" spans="1:6">
      <c r="A2428" t="s">
        <v>27</v>
      </c>
      <c r="B2428" t="s">
        <v>49</v>
      </c>
      <c r="C2428" t="s">
        <v>913</v>
      </c>
      <c r="D2428" t="s">
        <v>1091</v>
      </c>
      <c r="E2428" t="s">
        <v>1235</v>
      </c>
      <c r="F2428" t="s">
        <v>1236</v>
      </c>
    </row>
    <row r="2429" spans="1:6">
      <c r="A2429" t="s">
        <v>27</v>
      </c>
      <c r="B2429" t="s">
        <v>49</v>
      </c>
      <c r="C2429" t="s">
        <v>913</v>
      </c>
      <c r="D2429" t="s">
        <v>1091</v>
      </c>
      <c r="E2429" t="s">
        <v>1237</v>
      </c>
      <c r="F2429" t="s">
        <v>1132</v>
      </c>
    </row>
    <row r="2430" spans="1:6">
      <c r="A2430" t="s">
        <v>27</v>
      </c>
      <c r="B2430" t="s">
        <v>49</v>
      </c>
      <c r="C2430" t="s">
        <v>913</v>
      </c>
      <c r="D2430" t="s">
        <v>1091</v>
      </c>
      <c r="E2430" t="s">
        <v>1238</v>
      </c>
      <c r="F2430" t="s">
        <v>1382</v>
      </c>
    </row>
    <row r="2431" spans="1:6">
      <c r="A2431" t="s">
        <v>27</v>
      </c>
      <c r="B2431" t="s">
        <v>49</v>
      </c>
      <c r="C2431" t="s">
        <v>913</v>
      </c>
      <c r="D2431" t="s">
        <v>1091</v>
      </c>
      <c r="E2431" t="s">
        <v>1240</v>
      </c>
      <c r="F2431" t="s">
        <v>1317</v>
      </c>
    </row>
    <row r="2432" spans="1:6">
      <c r="A2432" t="s">
        <v>27</v>
      </c>
      <c r="B2432" t="s">
        <v>49</v>
      </c>
      <c r="C2432" t="s">
        <v>913</v>
      </c>
      <c r="D2432" t="s">
        <v>1091</v>
      </c>
      <c r="E2432" t="s">
        <v>1241</v>
      </c>
      <c r="F2432" t="s">
        <v>1315</v>
      </c>
    </row>
    <row r="2433" spans="1:6">
      <c r="A2433" t="s">
        <v>27</v>
      </c>
      <c r="B2433" t="s">
        <v>49</v>
      </c>
      <c r="C2433" t="s">
        <v>913</v>
      </c>
      <c r="D2433" t="s">
        <v>1091</v>
      </c>
      <c r="E2433" t="s">
        <v>1243</v>
      </c>
      <c r="F2433" t="s">
        <v>1242</v>
      </c>
    </row>
    <row r="2434" spans="1:6">
      <c r="A2434" t="s">
        <v>27</v>
      </c>
      <c r="B2434" t="s">
        <v>49</v>
      </c>
      <c r="C2434" t="s">
        <v>913</v>
      </c>
      <c r="D2434" t="s">
        <v>1091</v>
      </c>
      <c r="E2434" t="s">
        <v>1244</v>
      </c>
      <c r="F2434" t="s">
        <v>1125</v>
      </c>
    </row>
    <row r="2435" spans="1:6">
      <c r="A2435" t="s">
        <v>27</v>
      </c>
      <c r="B2435" t="s">
        <v>49</v>
      </c>
      <c r="C2435" t="s">
        <v>913</v>
      </c>
      <c r="D2435" t="s">
        <v>1091</v>
      </c>
      <c r="E2435" t="s">
        <v>1245</v>
      </c>
      <c r="F2435" t="s">
        <v>1246</v>
      </c>
    </row>
    <row r="2436" spans="1:6">
      <c r="A2436" t="s">
        <v>27</v>
      </c>
      <c r="B2436" t="s">
        <v>49</v>
      </c>
      <c r="C2436" t="s">
        <v>913</v>
      </c>
      <c r="D2436" t="s">
        <v>1091</v>
      </c>
      <c r="E2436" t="s">
        <v>1247</v>
      </c>
      <c r="F2436">
        <v>100768</v>
      </c>
    </row>
    <row r="2437" spans="1:6">
      <c r="A2437" t="s">
        <v>27</v>
      </c>
      <c r="B2437" t="s">
        <v>49</v>
      </c>
      <c r="C2437" t="s">
        <v>913</v>
      </c>
      <c r="D2437" t="s">
        <v>1091</v>
      </c>
      <c r="E2437" t="s">
        <v>1248</v>
      </c>
      <c r="F2437">
        <v>52704</v>
      </c>
    </row>
    <row r="2438" spans="1:6">
      <c r="A2438" t="s">
        <v>27</v>
      </c>
      <c r="B2438" t="s">
        <v>49</v>
      </c>
      <c r="C2438" t="s">
        <v>913</v>
      </c>
      <c r="D2438" t="s">
        <v>1091</v>
      </c>
      <c r="E2438" t="s">
        <v>1249</v>
      </c>
      <c r="F2438">
        <v>39816</v>
      </c>
    </row>
    <row r="2439" spans="1:6">
      <c r="A2439" t="s">
        <v>27</v>
      </c>
      <c r="B2439" t="s">
        <v>49</v>
      </c>
      <c r="C2439" t="s">
        <v>913</v>
      </c>
      <c r="D2439" t="s">
        <v>1091</v>
      </c>
      <c r="E2439" t="s">
        <v>1250</v>
      </c>
      <c r="F2439">
        <v>6300</v>
      </c>
    </row>
    <row r="2440" spans="1:6">
      <c r="A2440" t="s">
        <v>27</v>
      </c>
      <c r="B2440" t="s">
        <v>49</v>
      </c>
      <c r="C2440" t="s">
        <v>913</v>
      </c>
      <c r="D2440" t="s">
        <v>1091</v>
      </c>
      <c r="E2440" t="s">
        <v>1251</v>
      </c>
      <c r="F2440">
        <v>1829</v>
      </c>
    </row>
    <row r="2441" spans="1:6">
      <c r="A2441" t="s">
        <v>27</v>
      </c>
      <c r="B2441" t="s">
        <v>49</v>
      </c>
      <c r="C2441" t="s">
        <v>913</v>
      </c>
      <c r="D2441" t="s">
        <v>1091</v>
      </c>
      <c r="E2441" t="s">
        <v>1252</v>
      </c>
      <c r="F2441">
        <v>119</v>
      </c>
    </row>
    <row r="2442" spans="1:6">
      <c r="A2442" t="s">
        <v>27</v>
      </c>
      <c r="B2442" t="s">
        <v>49</v>
      </c>
      <c r="C2442" t="s">
        <v>913</v>
      </c>
      <c r="D2442" t="s">
        <v>1091</v>
      </c>
      <c r="E2442" t="s">
        <v>1253</v>
      </c>
      <c r="F2442">
        <v>0</v>
      </c>
    </row>
    <row r="2443" spans="1:6">
      <c r="A2443" t="s">
        <v>27</v>
      </c>
      <c r="B2443" t="s">
        <v>49</v>
      </c>
      <c r="C2443" t="s">
        <v>913</v>
      </c>
      <c r="D2443" t="s">
        <v>1091</v>
      </c>
      <c r="E2443" t="s">
        <v>1254</v>
      </c>
      <c r="F2443" t="s">
        <v>1255</v>
      </c>
    </row>
    <row r="2444" spans="1:6">
      <c r="A2444" t="s">
        <v>27</v>
      </c>
      <c r="B2444" t="s">
        <v>49</v>
      </c>
      <c r="C2444" t="s">
        <v>913</v>
      </c>
      <c r="D2444" t="s">
        <v>1091</v>
      </c>
      <c r="E2444" t="s">
        <v>1256</v>
      </c>
      <c r="F2444">
        <v>230</v>
      </c>
    </row>
    <row r="2445" spans="1:6">
      <c r="A2445" t="s">
        <v>27</v>
      </c>
      <c r="B2445" t="s">
        <v>49</v>
      </c>
      <c r="C2445" t="s">
        <v>913</v>
      </c>
      <c r="D2445" t="s">
        <v>1091</v>
      </c>
      <c r="E2445" t="s">
        <v>1257</v>
      </c>
      <c r="F2445">
        <v>156</v>
      </c>
    </row>
    <row r="2446" spans="1:6">
      <c r="A2446" t="s">
        <v>27</v>
      </c>
      <c r="B2446" t="s">
        <v>49</v>
      </c>
      <c r="C2446" t="s">
        <v>913</v>
      </c>
      <c r="D2446" t="s">
        <v>1091</v>
      </c>
      <c r="E2446" t="s">
        <v>1258</v>
      </c>
      <c r="F2446">
        <v>43</v>
      </c>
    </row>
    <row r="2447" spans="1:6">
      <c r="A2447" t="s">
        <v>27</v>
      </c>
      <c r="B2447" t="s">
        <v>49</v>
      </c>
      <c r="C2447" t="s">
        <v>913</v>
      </c>
      <c r="D2447" t="s">
        <v>1091</v>
      </c>
      <c r="E2447" t="s">
        <v>1259</v>
      </c>
      <c r="F2447">
        <v>25</v>
      </c>
    </row>
    <row r="2448" spans="1:6">
      <c r="A2448" t="s">
        <v>27</v>
      </c>
      <c r="B2448" t="s">
        <v>49</v>
      </c>
      <c r="C2448" t="s">
        <v>913</v>
      </c>
      <c r="D2448" t="s">
        <v>1091</v>
      </c>
      <c r="E2448" t="s">
        <v>1260</v>
      </c>
      <c r="F2448">
        <v>5</v>
      </c>
    </row>
    <row r="2449" spans="1:6">
      <c r="A2449" t="s">
        <v>27</v>
      </c>
      <c r="B2449" t="s">
        <v>49</v>
      </c>
      <c r="C2449" t="s">
        <v>913</v>
      </c>
      <c r="D2449" t="s">
        <v>1091</v>
      </c>
      <c r="E2449" t="s">
        <v>1261</v>
      </c>
      <c r="F2449">
        <v>1</v>
      </c>
    </row>
    <row r="2450" spans="1:6">
      <c r="A2450" t="s">
        <v>27</v>
      </c>
      <c r="B2450" t="s">
        <v>49</v>
      </c>
      <c r="C2450" t="s">
        <v>913</v>
      </c>
      <c r="D2450" t="s">
        <v>1091</v>
      </c>
      <c r="E2450" t="s">
        <v>1262</v>
      </c>
      <c r="F2450">
        <v>0</v>
      </c>
    </row>
    <row r="2451" spans="1:6">
      <c r="A2451" t="s">
        <v>27</v>
      </c>
      <c r="B2451" t="s">
        <v>49</v>
      </c>
      <c r="C2451" t="s">
        <v>913</v>
      </c>
      <c r="D2451" t="s">
        <v>1091</v>
      </c>
      <c r="E2451" t="s">
        <v>1263</v>
      </c>
      <c r="F2451" t="s">
        <v>1131</v>
      </c>
    </row>
    <row r="2452" spans="1:6">
      <c r="A2452" t="s">
        <v>27</v>
      </c>
      <c r="B2452" t="s">
        <v>49</v>
      </c>
      <c r="C2452" t="s">
        <v>913</v>
      </c>
      <c r="D2452" t="s">
        <v>1091</v>
      </c>
      <c r="E2452" t="s">
        <v>1264</v>
      </c>
      <c r="F2452" t="s">
        <v>1330</v>
      </c>
    </row>
    <row r="2453" spans="1:6">
      <c r="A2453" t="s">
        <v>27</v>
      </c>
      <c r="B2453" t="s">
        <v>49</v>
      </c>
      <c r="C2453" t="s">
        <v>913</v>
      </c>
      <c r="D2453" t="s">
        <v>1091</v>
      </c>
      <c r="E2453" t="s">
        <v>1265</v>
      </c>
      <c r="F2453" t="s">
        <v>1125</v>
      </c>
    </row>
    <row r="2454" spans="1:6">
      <c r="A2454" t="s">
        <v>27</v>
      </c>
      <c r="B2454" t="s">
        <v>49</v>
      </c>
      <c r="C2454" t="s">
        <v>913</v>
      </c>
      <c r="D2454" t="s">
        <v>1091</v>
      </c>
      <c r="E2454" t="s">
        <v>1266</v>
      </c>
      <c r="F2454" t="s">
        <v>1507</v>
      </c>
    </row>
    <row r="2455" spans="1:6">
      <c r="A2455" t="s">
        <v>27</v>
      </c>
      <c r="B2455" t="s">
        <v>49</v>
      </c>
      <c r="C2455" t="s">
        <v>913</v>
      </c>
      <c r="D2455" t="s">
        <v>1091</v>
      </c>
      <c r="E2455" t="s">
        <v>1268</v>
      </c>
      <c r="F2455" t="s">
        <v>1553</v>
      </c>
    </row>
    <row r="2456" spans="1:6">
      <c r="A2456" t="s">
        <v>27</v>
      </c>
      <c r="B2456" t="s">
        <v>49</v>
      </c>
      <c r="C2456" t="s">
        <v>913</v>
      </c>
      <c r="D2456" t="s">
        <v>1091</v>
      </c>
      <c r="E2456" t="s">
        <v>1269</v>
      </c>
      <c r="F2456" t="s">
        <v>1321</v>
      </c>
    </row>
    <row r="2457" spans="1:6">
      <c r="A2457" t="s">
        <v>27</v>
      </c>
      <c r="B2457" t="s">
        <v>49</v>
      </c>
      <c r="C2457" t="s">
        <v>913</v>
      </c>
      <c r="D2457" t="s">
        <v>1091</v>
      </c>
      <c r="E2457" t="s">
        <v>1271</v>
      </c>
      <c r="F2457" t="s">
        <v>1132</v>
      </c>
    </row>
    <row r="2458" spans="1:6">
      <c r="A2458" t="s">
        <v>27</v>
      </c>
      <c r="B2458" t="s">
        <v>49</v>
      </c>
      <c r="C2458" t="s">
        <v>913</v>
      </c>
      <c r="D2458" t="s">
        <v>1091</v>
      </c>
      <c r="E2458" t="s">
        <v>1272</v>
      </c>
      <c r="F2458" t="s">
        <v>1132</v>
      </c>
    </row>
    <row r="2459" spans="1:6">
      <c r="A2459" t="s">
        <v>27</v>
      </c>
      <c r="B2459" t="s">
        <v>49</v>
      </c>
      <c r="C2459" t="s">
        <v>913</v>
      </c>
      <c r="D2459" t="s">
        <v>1273</v>
      </c>
      <c r="E2459" t="s">
        <v>1274</v>
      </c>
      <c r="F2459" t="s">
        <v>49</v>
      </c>
    </row>
    <row r="2460" spans="1:6">
      <c r="A2460" t="s">
        <v>27</v>
      </c>
      <c r="B2460" t="s">
        <v>49</v>
      </c>
      <c r="C2460" t="s">
        <v>913</v>
      </c>
      <c r="D2460" t="s">
        <v>1273</v>
      </c>
      <c r="E2460" t="s">
        <v>1275</v>
      </c>
      <c r="F2460" t="s">
        <v>1511</v>
      </c>
    </row>
    <row r="2461" spans="1:6">
      <c r="A2461" t="s">
        <v>27</v>
      </c>
      <c r="B2461" t="s">
        <v>49</v>
      </c>
      <c r="C2461" t="s">
        <v>913</v>
      </c>
      <c r="D2461" t="s">
        <v>1273</v>
      </c>
      <c r="E2461" t="s">
        <v>1276</v>
      </c>
      <c r="F2461" t="s">
        <v>1277</v>
      </c>
    </row>
    <row r="2462" spans="1:6">
      <c r="A2462" t="s">
        <v>27</v>
      </c>
      <c r="B2462" t="s">
        <v>49</v>
      </c>
      <c r="C2462" t="s">
        <v>913</v>
      </c>
      <c r="D2462" t="s">
        <v>1273</v>
      </c>
      <c r="E2462" t="s">
        <v>1278</v>
      </c>
      <c r="F2462" t="s">
        <v>1511</v>
      </c>
    </row>
    <row r="2463" spans="1:6">
      <c r="A2463" t="s">
        <v>27</v>
      </c>
      <c r="B2463" t="s">
        <v>49</v>
      </c>
      <c r="C2463" t="s">
        <v>913</v>
      </c>
      <c r="D2463" t="s">
        <v>1273</v>
      </c>
      <c r="E2463" t="s">
        <v>1279</v>
      </c>
      <c r="F2463" t="s">
        <v>1280</v>
      </c>
    </row>
    <row r="2464" spans="1:6">
      <c r="A2464" t="s">
        <v>27</v>
      </c>
      <c r="B2464" t="s">
        <v>49</v>
      </c>
      <c r="C2464" t="s">
        <v>913</v>
      </c>
      <c r="D2464" t="s">
        <v>1273</v>
      </c>
      <c r="E2464" t="s">
        <v>1281</v>
      </c>
      <c r="F2464" t="s">
        <v>1282</v>
      </c>
    </row>
    <row r="2465" spans="1:6">
      <c r="A2465" t="s">
        <v>27</v>
      </c>
      <c r="B2465" t="s">
        <v>49</v>
      </c>
      <c r="C2465" t="s">
        <v>913</v>
      </c>
      <c r="D2465" t="s">
        <v>1273</v>
      </c>
      <c r="E2465" t="s">
        <v>1283</v>
      </c>
      <c r="F2465" t="s">
        <v>1284</v>
      </c>
    </row>
    <row r="2466" spans="1:6">
      <c r="A2466" t="s">
        <v>27</v>
      </c>
      <c r="B2466" t="s">
        <v>49</v>
      </c>
      <c r="C2466" t="s">
        <v>913</v>
      </c>
      <c r="D2466" t="s">
        <v>1273</v>
      </c>
      <c r="E2466" t="s">
        <v>1285</v>
      </c>
      <c r="F2466" t="s">
        <v>377</v>
      </c>
    </row>
    <row r="2467" spans="1:6">
      <c r="A2467" t="s">
        <v>27</v>
      </c>
      <c r="B2467" t="s">
        <v>49</v>
      </c>
      <c r="C2467" t="s">
        <v>913</v>
      </c>
      <c r="D2467" t="s">
        <v>1273</v>
      </c>
      <c r="E2467" t="s">
        <v>1286</v>
      </c>
      <c r="F2467">
        <v>5</v>
      </c>
    </row>
    <row r="2468" spans="1:6">
      <c r="A2468" t="s">
        <v>27</v>
      </c>
      <c r="B2468" t="s">
        <v>49</v>
      </c>
      <c r="C2468" t="s">
        <v>913</v>
      </c>
      <c r="D2468" t="s">
        <v>1273</v>
      </c>
      <c r="E2468" t="s">
        <v>1287</v>
      </c>
      <c r="F2468">
        <v>2</v>
      </c>
    </row>
    <row r="2469" spans="1:6">
      <c r="A2469" t="s">
        <v>27</v>
      </c>
      <c r="B2469" t="s">
        <v>49</v>
      </c>
      <c r="C2469" t="s">
        <v>913</v>
      </c>
      <c r="D2469" t="s">
        <v>1273</v>
      </c>
      <c r="E2469" t="s">
        <v>1288</v>
      </c>
      <c r="F2469" t="s">
        <v>379</v>
      </c>
    </row>
    <row r="2470" spans="1:6">
      <c r="A2470" t="s">
        <v>27</v>
      </c>
      <c r="B2470" t="s">
        <v>49</v>
      </c>
      <c r="C2470" t="s">
        <v>913</v>
      </c>
      <c r="D2470" t="s">
        <v>1273</v>
      </c>
      <c r="E2470" t="s">
        <v>1096</v>
      </c>
      <c r="F2470">
        <v>11</v>
      </c>
    </row>
    <row r="2471" spans="1:6">
      <c r="A2471" t="s">
        <v>27</v>
      </c>
      <c r="B2471" t="s">
        <v>49</v>
      </c>
      <c r="C2471" t="s">
        <v>913</v>
      </c>
      <c r="D2471" t="s">
        <v>1273</v>
      </c>
      <c r="E2471" t="s">
        <v>1004</v>
      </c>
      <c r="F2471">
        <v>72</v>
      </c>
    </row>
    <row r="2472" spans="1:6">
      <c r="A2472" t="s">
        <v>27</v>
      </c>
      <c r="B2472" t="s">
        <v>49</v>
      </c>
      <c r="C2472" t="s">
        <v>913</v>
      </c>
      <c r="D2472" t="s">
        <v>1273</v>
      </c>
      <c r="E2472" t="s">
        <v>1289</v>
      </c>
      <c r="F2472" t="s">
        <v>381</v>
      </c>
    </row>
    <row r="2473" spans="1:6">
      <c r="A2473" t="s">
        <v>27</v>
      </c>
      <c r="B2473" t="s">
        <v>49</v>
      </c>
      <c r="C2473" t="s">
        <v>913</v>
      </c>
      <c r="D2473" t="s">
        <v>1273</v>
      </c>
      <c r="E2473" t="s">
        <v>1290</v>
      </c>
      <c r="F2473">
        <v>54</v>
      </c>
    </row>
    <row r="2474" spans="1:6">
      <c r="A2474" t="s">
        <v>27</v>
      </c>
      <c r="B2474" t="s">
        <v>49</v>
      </c>
      <c r="C2474" t="s">
        <v>913</v>
      </c>
      <c r="D2474" t="s">
        <v>1273</v>
      </c>
      <c r="E2474" t="s">
        <v>1291</v>
      </c>
      <c r="F2474">
        <v>2685</v>
      </c>
    </row>
    <row r="2475" spans="1:6">
      <c r="A2475" t="s">
        <v>27</v>
      </c>
      <c r="B2475" t="s">
        <v>49</v>
      </c>
      <c r="C2475" t="s">
        <v>913</v>
      </c>
      <c r="D2475" t="s">
        <v>1273</v>
      </c>
      <c r="E2475" t="s">
        <v>1008</v>
      </c>
      <c r="F2475" t="s">
        <v>383</v>
      </c>
    </row>
    <row r="2476" spans="1:6">
      <c r="A2476" t="s">
        <v>27</v>
      </c>
      <c r="B2476" t="s">
        <v>49</v>
      </c>
      <c r="C2476" t="s">
        <v>913</v>
      </c>
      <c r="D2476" t="s">
        <v>1273</v>
      </c>
      <c r="E2476" t="s">
        <v>1010</v>
      </c>
      <c r="F2476">
        <v>157</v>
      </c>
    </row>
    <row r="2477" spans="1:6">
      <c r="A2477" t="s">
        <v>27</v>
      </c>
      <c r="B2477" t="s">
        <v>49</v>
      </c>
      <c r="C2477" t="s">
        <v>913</v>
      </c>
      <c r="D2477" t="s">
        <v>1273</v>
      </c>
      <c r="E2477" t="s">
        <v>1012</v>
      </c>
      <c r="F2477">
        <v>44176</v>
      </c>
    </row>
    <row r="2478" spans="1:6">
      <c r="A2478" t="s">
        <v>27</v>
      </c>
      <c r="B2478" t="s">
        <v>49</v>
      </c>
      <c r="C2478" t="s">
        <v>913</v>
      </c>
      <c r="D2478" t="s">
        <v>1273</v>
      </c>
      <c r="E2478" t="s">
        <v>1035</v>
      </c>
      <c r="F2478" t="s">
        <v>385</v>
      </c>
    </row>
    <row r="2479" spans="1:6">
      <c r="A2479" t="s">
        <v>27</v>
      </c>
      <c r="B2479" t="s">
        <v>49</v>
      </c>
      <c r="C2479" t="s">
        <v>913</v>
      </c>
      <c r="D2479" t="s">
        <v>1273</v>
      </c>
      <c r="E2479" t="s">
        <v>1099</v>
      </c>
      <c r="F2479">
        <v>10</v>
      </c>
    </row>
    <row r="2480" spans="1:6">
      <c r="A2480" t="s">
        <v>27</v>
      </c>
      <c r="B2480" t="s">
        <v>49</v>
      </c>
      <c r="C2480" t="s">
        <v>913</v>
      </c>
      <c r="D2480" t="s">
        <v>1273</v>
      </c>
      <c r="E2480" t="s">
        <v>1100</v>
      </c>
      <c r="F2480">
        <v>59111</v>
      </c>
    </row>
    <row r="2481" spans="1:6">
      <c r="A2481" t="s">
        <v>27</v>
      </c>
      <c r="B2481" t="s">
        <v>49</v>
      </c>
      <c r="C2481" t="s">
        <v>913</v>
      </c>
      <c r="D2481" t="s">
        <v>1273</v>
      </c>
      <c r="E2481" t="s">
        <v>1037</v>
      </c>
      <c r="F2481" t="s">
        <v>1292</v>
      </c>
    </row>
    <row r="2482" spans="1:6">
      <c r="A2482" t="s">
        <v>27</v>
      </c>
      <c r="B2482" t="s">
        <v>49</v>
      </c>
      <c r="C2482" t="s">
        <v>913</v>
      </c>
      <c r="D2482" t="s">
        <v>1273</v>
      </c>
      <c r="E2482" t="s">
        <v>1103</v>
      </c>
      <c r="F2482">
        <v>237</v>
      </c>
    </row>
    <row r="2483" spans="1:6">
      <c r="A2483" t="s">
        <v>27</v>
      </c>
      <c r="B2483" t="s">
        <v>49</v>
      </c>
      <c r="C2483" t="s">
        <v>913</v>
      </c>
      <c r="D2483" t="s">
        <v>1273</v>
      </c>
      <c r="E2483" t="s">
        <v>1104</v>
      </c>
      <c r="F2483">
        <v>106046</v>
      </c>
    </row>
    <row r="2484" spans="1:6">
      <c r="A2484" t="s">
        <v>27</v>
      </c>
      <c r="B2484" t="s">
        <v>49</v>
      </c>
      <c r="C2484" t="s">
        <v>913</v>
      </c>
      <c r="D2484" t="s">
        <v>1273</v>
      </c>
      <c r="E2484" t="s">
        <v>1052</v>
      </c>
      <c r="F2484" t="s">
        <v>1293</v>
      </c>
    </row>
    <row r="2485" spans="1:6">
      <c r="A2485" t="s">
        <v>27</v>
      </c>
      <c r="B2485" t="s">
        <v>49</v>
      </c>
      <c r="C2485" t="s">
        <v>913</v>
      </c>
      <c r="D2485" t="s">
        <v>1273</v>
      </c>
      <c r="E2485" t="s">
        <v>1053</v>
      </c>
      <c r="F2485" t="s">
        <v>1294</v>
      </c>
    </row>
    <row r="2486" spans="1:6">
      <c r="A2486" t="s">
        <v>27</v>
      </c>
      <c r="B2486" t="s">
        <v>49</v>
      </c>
      <c r="C2486" t="s">
        <v>913</v>
      </c>
      <c r="D2486" t="s">
        <v>1273</v>
      </c>
      <c r="E2486" t="s">
        <v>1108</v>
      </c>
      <c r="F2486" t="s">
        <v>1295</v>
      </c>
    </row>
    <row r="2487" spans="1:6">
      <c r="A2487" t="s">
        <v>27</v>
      </c>
      <c r="B2487" t="s">
        <v>49</v>
      </c>
      <c r="C2487" t="s">
        <v>913</v>
      </c>
      <c r="D2487" t="s">
        <v>1273</v>
      </c>
      <c r="E2487" t="s">
        <v>1109</v>
      </c>
      <c r="F2487" t="s">
        <v>1295</v>
      </c>
    </row>
    <row r="2488" spans="1:6">
      <c r="A2488" t="s">
        <v>27</v>
      </c>
      <c r="B2488" t="s">
        <v>49</v>
      </c>
      <c r="C2488" t="s">
        <v>913</v>
      </c>
      <c r="D2488" t="s">
        <v>1273</v>
      </c>
      <c r="E2488" t="s">
        <v>1113</v>
      </c>
      <c r="F2488">
        <v>2018</v>
      </c>
    </row>
    <row r="2489" spans="1:6">
      <c r="A2489" t="s">
        <v>27</v>
      </c>
      <c r="B2489" t="s">
        <v>49</v>
      </c>
      <c r="C2489" t="s">
        <v>913</v>
      </c>
      <c r="D2489" t="s">
        <v>1273</v>
      </c>
      <c r="E2489" t="s">
        <v>1114</v>
      </c>
      <c r="F2489" t="s">
        <v>1295</v>
      </c>
    </row>
    <row r="2490" spans="1:6">
      <c r="A2490" t="s">
        <v>27</v>
      </c>
      <c r="B2490" t="s">
        <v>49</v>
      </c>
      <c r="C2490" t="s">
        <v>913</v>
      </c>
      <c r="D2490" t="s">
        <v>1273</v>
      </c>
      <c r="E2490" t="s">
        <v>1115</v>
      </c>
      <c r="F2490" t="s">
        <v>1295</v>
      </c>
    </row>
    <row r="2491" spans="1:6">
      <c r="A2491" t="s">
        <v>27</v>
      </c>
      <c r="B2491" t="s">
        <v>49</v>
      </c>
      <c r="C2491" t="s">
        <v>913</v>
      </c>
      <c r="D2491" t="s">
        <v>1273</v>
      </c>
      <c r="E2491" t="s">
        <v>1118</v>
      </c>
      <c r="F2491">
        <v>2019</v>
      </c>
    </row>
    <row r="2492" spans="1:6">
      <c r="A2492" t="s">
        <v>27</v>
      </c>
      <c r="B2492" t="s">
        <v>49</v>
      </c>
      <c r="C2492" t="s">
        <v>913</v>
      </c>
      <c r="D2492" t="s">
        <v>1273</v>
      </c>
      <c r="E2492" t="s">
        <v>1119</v>
      </c>
      <c r="F2492" t="s">
        <v>1295</v>
      </c>
    </row>
    <row r="2493" spans="1:6">
      <c r="A2493" t="s">
        <v>27</v>
      </c>
      <c r="B2493" t="s">
        <v>49</v>
      </c>
      <c r="C2493" t="s">
        <v>913</v>
      </c>
      <c r="D2493" t="s">
        <v>1273</v>
      </c>
      <c r="E2493" t="s">
        <v>1120</v>
      </c>
      <c r="F2493" t="s">
        <v>1295</v>
      </c>
    </row>
    <row r="2494" spans="1:6">
      <c r="A2494" t="s">
        <v>27</v>
      </c>
      <c r="B2494" t="s">
        <v>49</v>
      </c>
      <c r="C2494" t="s">
        <v>913</v>
      </c>
      <c r="D2494" t="s">
        <v>1273</v>
      </c>
      <c r="E2494" t="s">
        <v>1124</v>
      </c>
      <c r="F2494">
        <v>2020</v>
      </c>
    </row>
    <row r="2495" spans="1:6">
      <c r="A2495" t="s">
        <v>27</v>
      </c>
      <c r="B2495" t="s">
        <v>49</v>
      </c>
      <c r="C2495" t="s">
        <v>913</v>
      </c>
      <c r="D2495" t="s">
        <v>1273</v>
      </c>
      <c r="E2495" t="s">
        <v>1126</v>
      </c>
      <c r="F2495" t="s">
        <v>1295</v>
      </c>
    </row>
    <row r="2496" spans="1:6">
      <c r="A2496" t="s">
        <v>27</v>
      </c>
      <c r="B2496" t="s">
        <v>49</v>
      </c>
      <c r="C2496" t="s">
        <v>913</v>
      </c>
      <c r="D2496" t="s">
        <v>1273</v>
      </c>
      <c r="E2496" t="s">
        <v>1127</v>
      </c>
      <c r="F2496" t="s">
        <v>1295</v>
      </c>
    </row>
    <row r="2497" spans="1:6">
      <c r="A2497" t="s">
        <v>27</v>
      </c>
      <c r="B2497" t="s">
        <v>49</v>
      </c>
      <c r="C2497" t="s">
        <v>913</v>
      </c>
      <c r="D2497" t="s">
        <v>1273</v>
      </c>
      <c r="E2497" t="s">
        <v>1057</v>
      </c>
      <c r="F2497">
        <v>2021</v>
      </c>
    </row>
    <row r="2498" spans="1:6">
      <c r="A2498" t="s">
        <v>27</v>
      </c>
      <c r="B2498" t="s">
        <v>49</v>
      </c>
      <c r="C2498" t="s">
        <v>913</v>
      </c>
      <c r="D2498" t="s">
        <v>1273</v>
      </c>
      <c r="E2498" t="s">
        <v>1058</v>
      </c>
      <c r="F2498" t="s">
        <v>1295</v>
      </c>
    </row>
    <row r="2499" spans="1:6">
      <c r="A2499" t="s">
        <v>27</v>
      </c>
      <c r="B2499" t="s">
        <v>49</v>
      </c>
      <c r="C2499" t="s">
        <v>913</v>
      </c>
      <c r="D2499" t="s">
        <v>1273</v>
      </c>
      <c r="E2499" t="s">
        <v>1059</v>
      </c>
      <c r="F2499" t="s">
        <v>1295</v>
      </c>
    </row>
    <row r="2500" spans="1:6">
      <c r="A2500" t="s">
        <v>27</v>
      </c>
      <c r="B2500" t="s">
        <v>49</v>
      </c>
      <c r="C2500" t="s">
        <v>913</v>
      </c>
      <c r="D2500" t="s">
        <v>1273</v>
      </c>
      <c r="E2500" t="s">
        <v>1072</v>
      </c>
      <c r="F2500">
        <v>2022</v>
      </c>
    </row>
    <row r="2501" spans="1:6">
      <c r="A2501" t="s">
        <v>27</v>
      </c>
      <c r="B2501" t="s">
        <v>49</v>
      </c>
      <c r="C2501" t="s">
        <v>913</v>
      </c>
      <c r="D2501" t="s">
        <v>1273</v>
      </c>
      <c r="E2501" t="s">
        <v>1133</v>
      </c>
      <c r="F2501" t="s">
        <v>1295</v>
      </c>
    </row>
    <row r="2502" spans="1:6">
      <c r="A2502" t="s">
        <v>27</v>
      </c>
      <c r="B2502" t="s">
        <v>49</v>
      </c>
      <c r="C2502" t="s">
        <v>913</v>
      </c>
      <c r="D2502" t="s">
        <v>1273</v>
      </c>
      <c r="E2502" t="s">
        <v>1134</v>
      </c>
      <c r="F2502" t="s">
        <v>1295</v>
      </c>
    </row>
    <row r="2503" spans="1:6">
      <c r="A2503" t="s">
        <v>27</v>
      </c>
      <c r="B2503" t="s">
        <v>49</v>
      </c>
      <c r="C2503" t="s">
        <v>913</v>
      </c>
      <c r="D2503" t="s">
        <v>1273</v>
      </c>
      <c r="E2503" t="s">
        <v>1074</v>
      </c>
      <c r="F2503">
        <v>2023</v>
      </c>
    </row>
    <row r="2504" spans="1:6">
      <c r="A2504" t="s">
        <v>27</v>
      </c>
      <c r="B2504" t="s">
        <v>49</v>
      </c>
      <c r="C2504" t="s">
        <v>913</v>
      </c>
      <c r="D2504" t="s">
        <v>1273</v>
      </c>
      <c r="E2504" t="s">
        <v>1296</v>
      </c>
      <c r="F2504">
        <v>1</v>
      </c>
    </row>
    <row r="2505" spans="1:6">
      <c r="A2505" t="s">
        <v>27</v>
      </c>
      <c r="B2505" t="s">
        <v>49</v>
      </c>
      <c r="C2505" t="s">
        <v>913</v>
      </c>
      <c r="D2505" t="s">
        <v>1273</v>
      </c>
      <c r="E2505" t="s">
        <v>1297</v>
      </c>
      <c r="F2505">
        <v>0</v>
      </c>
    </row>
    <row r="2506" spans="1:6">
      <c r="A2506" t="s">
        <v>27</v>
      </c>
      <c r="B2506" t="s">
        <v>49</v>
      </c>
      <c r="C2506" t="s">
        <v>913</v>
      </c>
      <c r="D2506" t="s">
        <v>1273</v>
      </c>
      <c r="E2506" t="s">
        <v>1076</v>
      </c>
      <c r="F2506">
        <v>2024</v>
      </c>
    </row>
    <row r="2507" spans="1:6">
      <c r="A2507" t="s">
        <v>27</v>
      </c>
      <c r="B2507" t="s">
        <v>49</v>
      </c>
      <c r="C2507" t="s">
        <v>913</v>
      </c>
      <c r="D2507" t="s">
        <v>1273</v>
      </c>
      <c r="E2507" t="s">
        <v>1077</v>
      </c>
      <c r="F2507" t="s">
        <v>1295</v>
      </c>
    </row>
    <row r="2508" spans="1:6">
      <c r="A2508" t="s">
        <v>27</v>
      </c>
      <c r="B2508" t="s">
        <v>49</v>
      </c>
      <c r="C2508" t="s">
        <v>913</v>
      </c>
      <c r="D2508" t="s">
        <v>1273</v>
      </c>
      <c r="E2508" t="s">
        <v>1078</v>
      </c>
      <c r="F2508" t="s">
        <v>1295</v>
      </c>
    </row>
    <row r="2509" spans="1:6">
      <c r="A2509" t="s">
        <v>27</v>
      </c>
      <c r="B2509" t="s">
        <v>49</v>
      </c>
      <c r="C2509" t="s">
        <v>913</v>
      </c>
      <c r="D2509" t="s">
        <v>1273</v>
      </c>
      <c r="E2509" t="s">
        <v>1090</v>
      </c>
      <c r="F2509">
        <v>2025</v>
      </c>
    </row>
    <row r="2510" spans="1:6">
      <c r="A2510" t="s">
        <v>27</v>
      </c>
      <c r="B2510" t="s">
        <v>49</v>
      </c>
      <c r="C2510" t="s">
        <v>913</v>
      </c>
      <c r="D2510" t="s">
        <v>1273</v>
      </c>
      <c r="E2510" t="s">
        <v>1139</v>
      </c>
      <c r="F2510">
        <v>2</v>
      </c>
    </row>
    <row r="2511" spans="1:6">
      <c r="A2511" t="s">
        <v>27</v>
      </c>
      <c r="B2511" t="s">
        <v>49</v>
      </c>
      <c r="C2511" t="s">
        <v>913</v>
      </c>
      <c r="D2511" t="s">
        <v>1273</v>
      </c>
      <c r="E2511" t="s">
        <v>1140</v>
      </c>
      <c r="F2511">
        <v>1390</v>
      </c>
    </row>
    <row r="2512" spans="1:6">
      <c r="A2512" t="s">
        <v>27</v>
      </c>
      <c r="B2512" t="s">
        <v>49</v>
      </c>
      <c r="C2512" t="s">
        <v>913</v>
      </c>
      <c r="D2512" t="s">
        <v>1273</v>
      </c>
      <c r="E2512" t="s">
        <v>1298</v>
      </c>
      <c r="F2512">
        <v>2026</v>
      </c>
    </row>
    <row r="2513" spans="1:6">
      <c r="A2513" t="s">
        <v>27</v>
      </c>
      <c r="B2513" t="s">
        <v>49</v>
      </c>
      <c r="C2513" t="s">
        <v>913</v>
      </c>
      <c r="D2513" t="s">
        <v>1273</v>
      </c>
      <c r="E2513" t="s">
        <v>1299</v>
      </c>
      <c r="F2513">
        <v>234</v>
      </c>
    </row>
    <row r="2514" spans="1:6">
      <c r="A2514" t="s">
        <v>27</v>
      </c>
      <c r="B2514" t="s">
        <v>49</v>
      </c>
      <c r="C2514" t="s">
        <v>913</v>
      </c>
      <c r="D2514" t="s">
        <v>1273</v>
      </c>
      <c r="E2514" t="s">
        <v>1300</v>
      </c>
      <c r="F2514">
        <v>104655</v>
      </c>
    </row>
    <row r="2515" spans="1:6">
      <c r="A2515" t="s">
        <v>27</v>
      </c>
      <c r="B2515" t="s">
        <v>49</v>
      </c>
      <c r="C2515" t="s">
        <v>913</v>
      </c>
      <c r="D2515" t="s">
        <v>1273</v>
      </c>
      <c r="E2515" t="s">
        <v>1301</v>
      </c>
      <c r="F2515" t="s">
        <v>1292</v>
      </c>
    </row>
    <row r="2516" spans="1:6">
      <c r="A2516" t="s">
        <v>27</v>
      </c>
      <c r="B2516" t="s">
        <v>49</v>
      </c>
      <c r="C2516" t="s">
        <v>913</v>
      </c>
      <c r="D2516" t="s">
        <v>1273</v>
      </c>
      <c r="E2516" t="s">
        <v>1302</v>
      </c>
      <c r="F2516">
        <v>237</v>
      </c>
    </row>
    <row r="2517" spans="1:6">
      <c r="A2517" t="s">
        <v>27</v>
      </c>
      <c r="B2517" t="s">
        <v>49</v>
      </c>
      <c r="C2517" t="s">
        <v>913</v>
      </c>
      <c r="D2517" t="s">
        <v>1273</v>
      </c>
      <c r="E2517" t="s">
        <v>1303</v>
      </c>
      <c r="F2517">
        <v>106046</v>
      </c>
    </row>
    <row r="2518" spans="1:6">
      <c r="A2518" t="s">
        <v>27</v>
      </c>
      <c r="B2518" t="s">
        <v>58</v>
      </c>
      <c r="C2518" t="s">
        <v>913</v>
      </c>
      <c r="D2518" t="s">
        <v>991</v>
      </c>
      <c r="E2518" t="s">
        <v>992</v>
      </c>
      <c r="F2518" t="s">
        <v>993</v>
      </c>
    </row>
    <row r="2519" spans="1:6">
      <c r="A2519" t="s">
        <v>27</v>
      </c>
      <c r="B2519" t="s">
        <v>58</v>
      </c>
      <c r="C2519" t="s">
        <v>913</v>
      </c>
      <c r="D2519" t="s">
        <v>991</v>
      </c>
      <c r="E2519" t="s">
        <v>1304</v>
      </c>
      <c r="F2519" t="s">
        <v>1305</v>
      </c>
    </row>
    <row r="2520" spans="1:6">
      <c r="A2520" t="s">
        <v>27</v>
      </c>
      <c r="B2520" t="s">
        <v>58</v>
      </c>
      <c r="C2520" t="s">
        <v>913</v>
      </c>
      <c r="D2520" t="s">
        <v>991</v>
      </c>
      <c r="E2520" t="s">
        <v>1093</v>
      </c>
      <c r="F2520" t="s">
        <v>1094</v>
      </c>
    </row>
    <row r="2521" spans="1:6">
      <c r="A2521" t="s">
        <v>27</v>
      </c>
      <c r="B2521" t="s">
        <v>58</v>
      </c>
      <c r="C2521" t="s">
        <v>913</v>
      </c>
      <c r="D2521" t="s">
        <v>991</v>
      </c>
      <c r="E2521" t="s">
        <v>994</v>
      </c>
      <c r="F2521" t="s">
        <v>1306</v>
      </c>
    </row>
    <row r="2522" spans="1:6">
      <c r="A2522" t="s">
        <v>27</v>
      </c>
      <c r="B2522" t="s">
        <v>58</v>
      </c>
      <c r="C2522" t="s">
        <v>913</v>
      </c>
      <c r="D2522" t="s">
        <v>991</v>
      </c>
      <c r="E2522" t="s">
        <v>995</v>
      </c>
      <c r="F2522" t="s">
        <v>996</v>
      </c>
    </row>
    <row r="2523" spans="1:6">
      <c r="A2523" t="s">
        <v>27</v>
      </c>
      <c r="B2523" t="s">
        <v>58</v>
      </c>
      <c r="C2523" t="s">
        <v>913</v>
      </c>
      <c r="D2523" t="s">
        <v>991</v>
      </c>
      <c r="E2523" t="s">
        <v>997</v>
      </c>
      <c r="F2523" t="s">
        <v>1511</v>
      </c>
    </row>
    <row r="2524" spans="1:6">
      <c r="A2524" t="s">
        <v>27</v>
      </c>
      <c r="B2524" t="s">
        <v>58</v>
      </c>
      <c r="C2524" t="s">
        <v>913</v>
      </c>
      <c r="D2524" t="s">
        <v>991</v>
      </c>
      <c r="E2524" t="s">
        <v>999</v>
      </c>
      <c r="F2524" t="s">
        <v>1000</v>
      </c>
    </row>
    <row r="2525" spans="1:6">
      <c r="A2525" t="s">
        <v>27</v>
      </c>
      <c r="B2525" t="s">
        <v>58</v>
      </c>
      <c r="C2525" t="s">
        <v>913</v>
      </c>
      <c r="D2525" t="s">
        <v>991</v>
      </c>
      <c r="E2525" t="s">
        <v>1001</v>
      </c>
      <c r="F2525" t="s">
        <v>10</v>
      </c>
    </row>
    <row r="2526" spans="1:6">
      <c r="A2526" t="s">
        <v>27</v>
      </c>
      <c r="B2526" t="s">
        <v>58</v>
      </c>
      <c r="C2526" t="s">
        <v>913</v>
      </c>
      <c r="D2526" t="s">
        <v>991</v>
      </c>
      <c r="E2526" t="s">
        <v>1002</v>
      </c>
      <c r="F2526" t="s">
        <v>1003</v>
      </c>
    </row>
    <row r="2527" spans="1:6">
      <c r="A2527" t="s">
        <v>27</v>
      </c>
      <c r="B2527" t="s">
        <v>58</v>
      </c>
      <c r="C2527" t="s">
        <v>913</v>
      </c>
      <c r="D2527" t="s">
        <v>991</v>
      </c>
      <c r="E2527" t="s">
        <v>1004</v>
      </c>
      <c r="F2527" t="s">
        <v>1005</v>
      </c>
    </row>
    <row r="2528" spans="1:6">
      <c r="A2528" t="s">
        <v>27</v>
      </c>
      <c r="B2528" t="s">
        <v>58</v>
      </c>
      <c r="C2528" t="s">
        <v>913</v>
      </c>
      <c r="D2528" t="s">
        <v>991</v>
      </c>
      <c r="E2528" t="s">
        <v>1006</v>
      </c>
      <c r="F2528" t="s">
        <v>1007</v>
      </c>
    </row>
    <row r="2529" spans="1:6">
      <c r="A2529" t="s">
        <v>27</v>
      </c>
      <c r="B2529" t="s">
        <v>58</v>
      </c>
      <c r="C2529" t="s">
        <v>913</v>
      </c>
      <c r="D2529" t="s">
        <v>991</v>
      </c>
      <c r="E2529" t="s">
        <v>1008</v>
      </c>
      <c r="F2529" t="s">
        <v>1009</v>
      </c>
    </row>
    <row r="2530" spans="1:6">
      <c r="A2530" t="s">
        <v>27</v>
      </c>
      <c r="B2530" t="s">
        <v>58</v>
      </c>
      <c r="C2530" t="s">
        <v>913</v>
      </c>
      <c r="D2530" t="s">
        <v>991</v>
      </c>
      <c r="E2530" t="s">
        <v>1010</v>
      </c>
      <c r="F2530" t="s">
        <v>1011</v>
      </c>
    </row>
    <row r="2531" spans="1:6">
      <c r="A2531" t="s">
        <v>27</v>
      </c>
      <c r="B2531" t="s">
        <v>58</v>
      </c>
      <c r="C2531" t="s">
        <v>913</v>
      </c>
      <c r="D2531" t="s">
        <v>991</v>
      </c>
      <c r="E2531" t="s">
        <v>1012</v>
      </c>
      <c r="F2531" t="s">
        <v>1013</v>
      </c>
    </row>
    <row r="2532" spans="1:6">
      <c r="A2532" t="s">
        <v>27</v>
      </c>
      <c r="B2532" t="s">
        <v>58</v>
      </c>
      <c r="C2532" t="s">
        <v>913</v>
      </c>
      <c r="D2532" t="s">
        <v>991</v>
      </c>
      <c r="E2532" t="s">
        <v>1014</v>
      </c>
      <c r="F2532" t="s">
        <v>1015</v>
      </c>
    </row>
    <row r="2533" spans="1:6">
      <c r="A2533" t="s">
        <v>27</v>
      </c>
      <c r="B2533" t="s">
        <v>58</v>
      </c>
      <c r="C2533" t="s">
        <v>913</v>
      </c>
      <c r="D2533" t="s">
        <v>991</v>
      </c>
      <c r="E2533" t="s">
        <v>1016</v>
      </c>
      <c r="F2533" t="s">
        <v>1017</v>
      </c>
    </row>
    <row r="2534" spans="1:6">
      <c r="A2534" t="s">
        <v>27</v>
      </c>
      <c r="B2534" t="s">
        <v>58</v>
      </c>
      <c r="C2534" t="s">
        <v>913</v>
      </c>
      <c r="D2534" t="s">
        <v>991</v>
      </c>
      <c r="E2534" t="s">
        <v>1018</v>
      </c>
      <c r="F2534" t="s">
        <v>1019</v>
      </c>
    </row>
    <row r="2535" spans="1:6">
      <c r="A2535" t="s">
        <v>27</v>
      </c>
      <c r="B2535" t="s">
        <v>58</v>
      </c>
      <c r="C2535" t="s">
        <v>913</v>
      </c>
      <c r="D2535" t="s">
        <v>991</v>
      </c>
      <c r="E2535" t="s">
        <v>1020</v>
      </c>
      <c r="F2535" t="s">
        <v>1021</v>
      </c>
    </row>
    <row r="2536" spans="1:6">
      <c r="A2536" t="s">
        <v>27</v>
      </c>
      <c r="B2536" t="s">
        <v>58</v>
      </c>
      <c r="C2536" t="s">
        <v>913</v>
      </c>
      <c r="D2536" t="s">
        <v>991</v>
      </c>
      <c r="E2536" t="s">
        <v>1022</v>
      </c>
      <c r="F2536" t="s">
        <v>1023</v>
      </c>
    </row>
    <row r="2537" spans="1:6">
      <c r="A2537" t="s">
        <v>27</v>
      </c>
      <c r="B2537" t="s">
        <v>58</v>
      </c>
      <c r="C2537" t="s">
        <v>913</v>
      </c>
      <c r="D2537" t="s">
        <v>991</v>
      </c>
      <c r="E2537" t="s">
        <v>1024</v>
      </c>
      <c r="F2537" t="s">
        <v>1025</v>
      </c>
    </row>
    <row r="2538" spans="1:6">
      <c r="A2538" t="s">
        <v>27</v>
      </c>
      <c r="B2538" t="s">
        <v>58</v>
      </c>
      <c r="C2538" t="s">
        <v>913</v>
      </c>
      <c r="D2538" t="s">
        <v>991</v>
      </c>
      <c r="E2538" t="s">
        <v>1026</v>
      </c>
      <c r="F2538" t="s">
        <v>1027</v>
      </c>
    </row>
    <row r="2539" spans="1:6">
      <c r="A2539" t="s">
        <v>27</v>
      </c>
      <c r="B2539" t="s">
        <v>58</v>
      </c>
      <c r="C2539" t="s">
        <v>913</v>
      </c>
      <c r="D2539" t="s">
        <v>991</v>
      </c>
      <c r="E2539" t="s">
        <v>1028</v>
      </c>
      <c r="F2539" t="s">
        <v>1029</v>
      </c>
    </row>
    <row r="2540" spans="1:6">
      <c r="A2540" t="s">
        <v>27</v>
      </c>
      <c r="B2540" t="s">
        <v>58</v>
      </c>
      <c r="C2540" t="s">
        <v>913</v>
      </c>
      <c r="D2540" t="s">
        <v>991</v>
      </c>
      <c r="E2540" t="s">
        <v>1030</v>
      </c>
      <c r="F2540" t="s">
        <v>1031</v>
      </c>
    </row>
    <row r="2541" spans="1:6">
      <c r="A2541" t="s">
        <v>27</v>
      </c>
      <c r="B2541" t="s">
        <v>58</v>
      </c>
      <c r="C2541" t="s">
        <v>913</v>
      </c>
      <c r="D2541" t="s">
        <v>991</v>
      </c>
      <c r="E2541" t="s">
        <v>1032</v>
      </c>
      <c r="F2541" t="s">
        <v>1033</v>
      </c>
    </row>
    <row r="2542" spans="1:6">
      <c r="A2542" t="s">
        <v>27</v>
      </c>
      <c r="B2542" t="s">
        <v>58</v>
      </c>
      <c r="C2542" t="s">
        <v>913</v>
      </c>
      <c r="D2542" t="s">
        <v>991</v>
      </c>
      <c r="E2542" t="s">
        <v>1034</v>
      </c>
      <c r="F2542" t="s">
        <v>50</v>
      </c>
    </row>
    <row r="2543" spans="1:6">
      <c r="A2543" t="s">
        <v>27</v>
      </c>
      <c r="B2543" t="s">
        <v>58</v>
      </c>
      <c r="C2543" t="s">
        <v>913</v>
      </c>
      <c r="D2543" t="s">
        <v>991</v>
      </c>
      <c r="E2543" t="s">
        <v>1035</v>
      </c>
      <c r="F2543">
        <v>137446609</v>
      </c>
    </row>
    <row r="2544" spans="1:6">
      <c r="A2544" t="s">
        <v>27</v>
      </c>
      <c r="B2544" t="s">
        <v>58</v>
      </c>
      <c r="C2544" t="s">
        <v>913</v>
      </c>
      <c r="D2544" t="s">
        <v>991</v>
      </c>
      <c r="E2544" t="s">
        <v>1036</v>
      </c>
      <c r="F2544">
        <v>2025</v>
      </c>
    </row>
    <row r="2545" spans="1:6">
      <c r="A2545" t="s">
        <v>27</v>
      </c>
      <c r="B2545" t="s">
        <v>58</v>
      </c>
      <c r="C2545" t="s">
        <v>913</v>
      </c>
      <c r="D2545" t="s">
        <v>991</v>
      </c>
      <c r="E2545" t="s">
        <v>1037</v>
      </c>
      <c r="F2545">
        <v>42179412</v>
      </c>
    </row>
    <row r="2546" spans="1:6">
      <c r="A2546" t="s">
        <v>27</v>
      </c>
      <c r="B2546" t="s">
        <v>58</v>
      </c>
      <c r="C2546" t="s">
        <v>913</v>
      </c>
      <c r="D2546" t="s">
        <v>991</v>
      </c>
      <c r="E2546" t="s">
        <v>1038</v>
      </c>
      <c r="F2546">
        <v>2026</v>
      </c>
    </row>
    <row r="2547" spans="1:6">
      <c r="A2547" t="s">
        <v>27</v>
      </c>
      <c r="B2547" t="s">
        <v>58</v>
      </c>
      <c r="C2547" t="s">
        <v>913</v>
      </c>
      <c r="D2547" t="s">
        <v>991</v>
      </c>
      <c r="E2547" t="s">
        <v>1039</v>
      </c>
      <c r="F2547">
        <v>30594590</v>
      </c>
    </row>
    <row r="2548" spans="1:6">
      <c r="A2548" t="s">
        <v>27</v>
      </c>
      <c r="B2548" t="s">
        <v>58</v>
      </c>
      <c r="C2548" t="s">
        <v>913</v>
      </c>
      <c r="D2548" t="s">
        <v>991</v>
      </c>
      <c r="E2548" t="s">
        <v>1040</v>
      </c>
      <c r="F2548">
        <v>2783881</v>
      </c>
    </row>
    <row r="2549" spans="1:6">
      <c r="A2549" t="s">
        <v>27</v>
      </c>
      <c r="B2549" t="s">
        <v>58</v>
      </c>
      <c r="C2549" t="s">
        <v>913</v>
      </c>
      <c r="D2549" t="s">
        <v>991</v>
      </c>
      <c r="E2549" t="s">
        <v>1041</v>
      </c>
      <c r="F2549">
        <v>3530446</v>
      </c>
    </row>
    <row r="2550" spans="1:6">
      <c r="A2550" t="s">
        <v>27</v>
      </c>
      <c r="B2550" t="s">
        <v>58</v>
      </c>
      <c r="C2550" t="s">
        <v>913</v>
      </c>
      <c r="D2550" t="s">
        <v>991</v>
      </c>
      <c r="E2550" t="s">
        <v>1042</v>
      </c>
      <c r="F2550">
        <v>3778843</v>
      </c>
    </row>
    <row r="2551" spans="1:6">
      <c r="A2551" t="s">
        <v>27</v>
      </c>
      <c r="B2551" t="s">
        <v>58</v>
      </c>
      <c r="C2551" t="s">
        <v>913</v>
      </c>
      <c r="D2551" t="s">
        <v>991</v>
      </c>
      <c r="E2551" t="s">
        <v>1043</v>
      </c>
      <c r="F2551">
        <v>3475518</v>
      </c>
    </row>
    <row r="2552" spans="1:6">
      <c r="A2552" t="s">
        <v>27</v>
      </c>
      <c r="B2552" t="s">
        <v>58</v>
      </c>
      <c r="C2552" t="s">
        <v>913</v>
      </c>
      <c r="D2552" t="s">
        <v>991</v>
      </c>
      <c r="E2552" t="s">
        <v>1044</v>
      </c>
      <c r="F2552">
        <v>3162844</v>
      </c>
    </row>
    <row r="2553" spans="1:6">
      <c r="A2553" t="s">
        <v>27</v>
      </c>
      <c r="B2553" t="s">
        <v>58</v>
      </c>
      <c r="C2553" t="s">
        <v>913</v>
      </c>
      <c r="D2553" t="s">
        <v>991</v>
      </c>
      <c r="E2553" t="s">
        <v>1045</v>
      </c>
      <c r="F2553">
        <v>4107101</v>
      </c>
    </row>
    <row r="2554" spans="1:6">
      <c r="A2554" t="s">
        <v>27</v>
      </c>
      <c r="B2554" t="s">
        <v>58</v>
      </c>
      <c r="C2554" t="s">
        <v>913</v>
      </c>
      <c r="D2554" t="s">
        <v>991</v>
      </c>
      <c r="E2554" t="s">
        <v>1046</v>
      </c>
      <c r="F2554">
        <v>3892550</v>
      </c>
    </row>
    <row r="2555" spans="1:6">
      <c r="A2555" t="s">
        <v>27</v>
      </c>
      <c r="B2555" t="s">
        <v>58</v>
      </c>
      <c r="C2555" t="s">
        <v>913</v>
      </c>
      <c r="D2555" t="s">
        <v>991</v>
      </c>
      <c r="E2555" t="s">
        <v>1047</v>
      </c>
      <c r="F2555">
        <v>2506521</v>
      </c>
    </row>
    <row r="2556" spans="1:6">
      <c r="A2556" t="s">
        <v>27</v>
      </c>
      <c r="B2556" t="s">
        <v>58</v>
      </c>
      <c r="C2556" t="s">
        <v>913</v>
      </c>
      <c r="D2556" t="s">
        <v>991</v>
      </c>
      <c r="E2556" t="s">
        <v>1048</v>
      </c>
      <c r="F2556">
        <v>3356886</v>
      </c>
    </row>
    <row r="2557" spans="1:6">
      <c r="A2557" t="s">
        <v>27</v>
      </c>
      <c r="B2557" t="s">
        <v>58</v>
      </c>
      <c r="C2557" t="s">
        <v>913</v>
      </c>
      <c r="D2557" t="s">
        <v>991</v>
      </c>
      <c r="E2557" t="s">
        <v>1049</v>
      </c>
      <c r="F2557">
        <v>0</v>
      </c>
    </row>
    <row r="2558" spans="1:6">
      <c r="A2558" t="s">
        <v>27</v>
      </c>
      <c r="B2558" t="s">
        <v>58</v>
      </c>
      <c r="C2558" t="s">
        <v>913</v>
      </c>
      <c r="D2558" t="s">
        <v>991</v>
      </c>
      <c r="E2558" t="s">
        <v>1050</v>
      </c>
      <c r="F2558">
        <v>0</v>
      </c>
    </row>
    <row r="2559" spans="1:6">
      <c r="A2559" t="s">
        <v>27</v>
      </c>
      <c r="B2559" t="s">
        <v>58</v>
      </c>
      <c r="C2559" t="s">
        <v>913</v>
      </c>
      <c r="D2559" t="s">
        <v>991</v>
      </c>
      <c r="E2559" t="s">
        <v>1051</v>
      </c>
      <c r="F2559">
        <v>0</v>
      </c>
    </row>
    <row r="2560" spans="1:6">
      <c r="A2560" t="s">
        <v>27</v>
      </c>
      <c r="B2560" t="s">
        <v>58</v>
      </c>
      <c r="C2560" t="s">
        <v>913</v>
      </c>
      <c r="D2560" t="s">
        <v>991</v>
      </c>
      <c r="E2560" t="s">
        <v>1052</v>
      </c>
      <c r="F2560" t="s">
        <v>1009</v>
      </c>
    </row>
    <row r="2561" spans="1:6">
      <c r="A2561" t="s">
        <v>27</v>
      </c>
      <c r="B2561" t="s">
        <v>58</v>
      </c>
      <c r="C2561" t="s">
        <v>913</v>
      </c>
      <c r="D2561" t="s">
        <v>991</v>
      </c>
      <c r="E2561" t="s">
        <v>1053</v>
      </c>
      <c r="F2561">
        <v>210220610</v>
      </c>
    </row>
    <row r="2562" spans="1:6">
      <c r="A2562" t="s">
        <v>27</v>
      </c>
      <c r="B2562" t="s">
        <v>58</v>
      </c>
      <c r="C2562" t="s">
        <v>913</v>
      </c>
      <c r="D2562" t="s">
        <v>991</v>
      </c>
      <c r="E2562" t="s">
        <v>1054</v>
      </c>
      <c r="F2562" t="s">
        <v>1055</v>
      </c>
    </row>
    <row r="2563" spans="1:6">
      <c r="A2563" t="s">
        <v>27</v>
      </c>
      <c r="B2563" t="s">
        <v>58</v>
      </c>
      <c r="C2563" t="s">
        <v>913</v>
      </c>
      <c r="D2563" t="s">
        <v>991</v>
      </c>
      <c r="E2563" t="s">
        <v>1056</v>
      </c>
      <c r="F2563" t="s">
        <v>1007</v>
      </c>
    </row>
    <row r="2564" spans="1:6">
      <c r="A2564" t="s">
        <v>27</v>
      </c>
      <c r="B2564" t="s">
        <v>58</v>
      </c>
      <c r="C2564" t="s">
        <v>913</v>
      </c>
      <c r="D2564" t="s">
        <v>991</v>
      </c>
      <c r="E2564" t="s">
        <v>1057</v>
      </c>
      <c r="F2564" t="s">
        <v>1009</v>
      </c>
    </row>
    <row r="2565" spans="1:6">
      <c r="A2565" t="s">
        <v>27</v>
      </c>
      <c r="B2565" t="s">
        <v>58</v>
      </c>
      <c r="C2565" t="s">
        <v>913</v>
      </c>
      <c r="D2565" t="s">
        <v>991</v>
      </c>
      <c r="E2565" t="s">
        <v>1058</v>
      </c>
      <c r="F2565" t="s">
        <v>1011</v>
      </c>
    </row>
    <row r="2566" spans="1:6">
      <c r="A2566" t="s">
        <v>27</v>
      </c>
      <c r="B2566" t="s">
        <v>58</v>
      </c>
      <c r="C2566" t="s">
        <v>913</v>
      </c>
      <c r="D2566" t="s">
        <v>991</v>
      </c>
      <c r="E2566" t="s">
        <v>1059</v>
      </c>
      <c r="F2566" t="s">
        <v>1013</v>
      </c>
    </row>
    <row r="2567" spans="1:6">
      <c r="A2567" t="s">
        <v>27</v>
      </c>
      <c r="B2567" t="s">
        <v>58</v>
      </c>
      <c r="C2567" t="s">
        <v>913</v>
      </c>
      <c r="D2567" t="s">
        <v>991</v>
      </c>
      <c r="E2567" t="s">
        <v>1060</v>
      </c>
      <c r="F2567" t="s">
        <v>1015</v>
      </c>
    </row>
    <row r="2568" spans="1:6">
      <c r="A2568" t="s">
        <v>27</v>
      </c>
      <c r="B2568" t="s">
        <v>58</v>
      </c>
      <c r="C2568" t="s">
        <v>913</v>
      </c>
      <c r="D2568" t="s">
        <v>991</v>
      </c>
      <c r="E2568" t="s">
        <v>1061</v>
      </c>
      <c r="F2568" t="s">
        <v>1017</v>
      </c>
    </row>
    <row r="2569" spans="1:6">
      <c r="A2569" t="s">
        <v>27</v>
      </c>
      <c r="B2569" t="s">
        <v>58</v>
      </c>
      <c r="C2569" t="s">
        <v>913</v>
      </c>
      <c r="D2569" t="s">
        <v>991</v>
      </c>
      <c r="E2569" t="s">
        <v>1062</v>
      </c>
      <c r="F2569" t="s">
        <v>1019</v>
      </c>
    </row>
    <row r="2570" spans="1:6">
      <c r="A2570" t="s">
        <v>27</v>
      </c>
      <c r="B2570" t="s">
        <v>58</v>
      </c>
      <c r="C2570" t="s">
        <v>913</v>
      </c>
      <c r="D2570" t="s">
        <v>991</v>
      </c>
      <c r="E2570" t="s">
        <v>1063</v>
      </c>
      <c r="F2570" t="s">
        <v>1021</v>
      </c>
    </row>
    <row r="2571" spans="1:6">
      <c r="A2571" t="s">
        <v>27</v>
      </c>
      <c r="B2571" t="s">
        <v>58</v>
      </c>
      <c r="C2571" t="s">
        <v>913</v>
      </c>
      <c r="D2571" t="s">
        <v>991</v>
      </c>
      <c r="E2571" t="s">
        <v>1064</v>
      </c>
      <c r="F2571" t="s">
        <v>1023</v>
      </c>
    </row>
    <row r="2572" spans="1:6">
      <c r="A2572" t="s">
        <v>27</v>
      </c>
      <c r="B2572" t="s">
        <v>58</v>
      </c>
      <c r="C2572" t="s">
        <v>913</v>
      </c>
      <c r="D2572" t="s">
        <v>991</v>
      </c>
      <c r="E2572" t="s">
        <v>1065</v>
      </c>
      <c r="F2572" t="s">
        <v>1066</v>
      </c>
    </row>
    <row r="2573" spans="1:6">
      <c r="A2573" t="s">
        <v>27</v>
      </c>
      <c r="B2573" t="s">
        <v>58</v>
      </c>
      <c r="C2573" t="s">
        <v>913</v>
      </c>
      <c r="D2573" t="s">
        <v>991</v>
      </c>
      <c r="E2573" t="s">
        <v>1067</v>
      </c>
      <c r="F2573" t="s">
        <v>1027</v>
      </c>
    </row>
    <row r="2574" spans="1:6">
      <c r="A2574" t="s">
        <v>27</v>
      </c>
      <c r="B2574" t="s">
        <v>58</v>
      </c>
      <c r="C2574" t="s">
        <v>913</v>
      </c>
      <c r="D2574" t="s">
        <v>991</v>
      </c>
      <c r="E2574" t="s">
        <v>1068</v>
      </c>
      <c r="F2574" t="s">
        <v>1029</v>
      </c>
    </row>
    <row r="2575" spans="1:6">
      <c r="A2575" t="s">
        <v>27</v>
      </c>
      <c r="B2575" t="s">
        <v>58</v>
      </c>
      <c r="C2575" t="s">
        <v>913</v>
      </c>
      <c r="D2575" t="s">
        <v>991</v>
      </c>
      <c r="E2575" t="s">
        <v>1069</v>
      </c>
      <c r="F2575" t="s">
        <v>1031</v>
      </c>
    </row>
    <row r="2576" spans="1:6">
      <c r="A2576" t="s">
        <v>27</v>
      </c>
      <c r="B2576" t="s">
        <v>58</v>
      </c>
      <c r="C2576" t="s">
        <v>913</v>
      </c>
      <c r="D2576" t="s">
        <v>991</v>
      </c>
      <c r="E2576" t="s">
        <v>1070</v>
      </c>
      <c r="F2576" t="s">
        <v>1033</v>
      </c>
    </row>
    <row r="2577" spans="1:6">
      <c r="A2577" t="s">
        <v>27</v>
      </c>
      <c r="B2577" t="s">
        <v>58</v>
      </c>
      <c r="C2577" t="s">
        <v>913</v>
      </c>
      <c r="D2577" t="s">
        <v>991</v>
      </c>
      <c r="E2577" t="s">
        <v>1071</v>
      </c>
      <c r="F2577" t="s">
        <v>50</v>
      </c>
    </row>
    <row r="2578" spans="1:6">
      <c r="A2578" t="s">
        <v>27</v>
      </c>
      <c r="B2578" t="s">
        <v>58</v>
      </c>
      <c r="C2578" t="s">
        <v>913</v>
      </c>
      <c r="D2578" t="s">
        <v>991</v>
      </c>
      <c r="E2578" t="s">
        <v>1072</v>
      </c>
      <c r="F2578">
        <v>304947</v>
      </c>
    </row>
    <row r="2579" spans="1:6">
      <c r="A2579" t="s">
        <v>27</v>
      </c>
      <c r="B2579" t="s">
        <v>58</v>
      </c>
      <c r="C2579" t="s">
        <v>913</v>
      </c>
      <c r="D2579" t="s">
        <v>991</v>
      </c>
      <c r="E2579" t="s">
        <v>1073</v>
      </c>
      <c r="F2579">
        <v>2025</v>
      </c>
    </row>
    <row r="2580" spans="1:6">
      <c r="A2580" t="s">
        <v>27</v>
      </c>
      <c r="B2580" t="s">
        <v>58</v>
      </c>
      <c r="C2580" t="s">
        <v>913</v>
      </c>
      <c r="D2580" t="s">
        <v>991</v>
      </c>
      <c r="E2580" t="s">
        <v>1074</v>
      </c>
      <c r="F2580">
        <v>83902</v>
      </c>
    </row>
    <row r="2581" spans="1:6">
      <c r="A2581" t="s">
        <v>27</v>
      </c>
      <c r="B2581" t="s">
        <v>58</v>
      </c>
      <c r="C2581" t="s">
        <v>913</v>
      </c>
      <c r="D2581" t="s">
        <v>991</v>
      </c>
      <c r="E2581" t="s">
        <v>1075</v>
      </c>
      <c r="F2581">
        <v>2026</v>
      </c>
    </row>
    <row r="2582" spans="1:6">
      <c r="A2582" t="s">
        <v>27</v>
      </c>
      <c r="B2582" t="s">
        <v>58</v>
      </c>
      <c r="C2582" t="s">
        <v>913</v>
      </c>
      <c r="D2582" t="s">
        <v>991</v>
      </c>
      <c r="E2582" t="s">
        <v>1076</v>
      </c>
      <c r="F2582">
        <v>63820</v>
      </c>
    </row>
    <row r="2583" spans="1:6">
      <c r="A2583" t="s">
        <v>27</v>
      </c>
      <c r="B2583" t="s">
        <v>58</v>
      </c>
      <c r="C2583" t="s">
        <v>913</v>
      </c>
      <c r="D2583" t="s">
        <v>991</v>
      </c>
      <c r="E2583" t="s">
        <v>1077</v>
      </c>
      <c r="F2583">
        <v>6280</v>
      </c>
    </row>
    <row r="2584" spans="1:6">
      <c r="A2584" t="s">
        <v>27</v>
      </c>
      <c r="B2584" t="s">
        <v>58</v>
      </c>
      <c r="C2584" t="s">
        <v>913</v>
      </c>
      <c r="D2584" t="s">
        <v>991</v>
      </c>
      <c r="E2584" t="s">
        <v>1078</v>
      </c>
      <c r="F2584">
        <v>8109</v>
      </c>
    </row>
    <row r="2585" spans="1:6">
      <c r="A2585" t="s">
        <v>27</v>
      </c>
      <c r="B2585" t="s">
        <v>58</v>
      </c>
      <c r="C2585" t="s">
        <v>913</v>
      </c>
      <c r="D2585" t="s">
        <v>991</v>
      </c>
      <c r="E2585" t="s">
        <v>1079</v>
      </c>
      <c r="F2585">
        <v>6759</v>
      </c>
    </row>
    <row r="2586" spans="1:6">
      <c r="A2586" t="s">
        <v>27</v>
      </c>
      <c r="B2586" t="s">
        <v>58</v>
      </c>
      <c r="C2586" t="s">
        <v>913</v>
      </c>
      <c r="D2586" t="s">
        <v>991</v>
      </c>
      <c r="E2586" t="s">
        <v>1080</v>
      </c>
      <c r="F2586">
        <v>6729</v>
      </c>
    </row>
    <row r="2587" spans="1:6">
      <c r="A2587" t="s">
        <v>27</v>
      </c>
      <c r="B2587" t="s">
        <v>58</v>
      </c>
      <c r="C2587" t="s">
        <v>913</v>
      </c>
      <c r="D2587" t="s">
        <v>991</v>
      </c>
      <c r="E2587" t="s">
        <v>1081</v>
      </c>
      <c r="F2587">
        <v>6720</v>
      </c>
    </row>
    <row r="2588" spans="1:6">
      <c r="A2588" t="s">
        <v>27</v>
      </c>
      <c r="B2588" t="s">
        <v>58</v>
      </c>
      <c r="C2588" t="s">
        <v>913</v>
      </c>
      <c r="D2588" t="s">
        <v>991</v>
      </c>
      <c r="E2588" t="s">
        <v>1082</v>
      </c>
      <c r="F2588">
        <v>7553</v>
      </c>
    </row>
    <row r="2589" spans="1:6">
      <c r="A2589" t="s">
        <v>27</v>
      </c>
      <c r="B2589" t="s">
        <v>58</v>
      </c>
      <c r="C2589" t="s">
        <v>913</v>
      </c>
      <c r="D2589" t="s">
        <v>991</v>
      </c>
      <c r="E2589" t="s">
        <v>1083</v>
      </c>
      <c r="F2589">
        <v>6852</v>
      </c>
    </row>
    <row r="2590" spans="1:6">
      <c r="A2590" t="s">
        <v>27</v>
      </c>
      <c r="B2590" t="s">
        <v>58</v>
      </c>
      <c r="C2590" t="s">
        <v>913</v>
      </c>
      <c r="D2590" t="s">
        <v>991</v>
      </c>
      <c r="E2590" t="s">
        <v>1084</v>
      </c>
      <c r="F2590">
        <v>6218</v>
      </c>
    </row>
    <row r="2591" spans="1:6">
      <c r="A2591" t="s">
        <v>27</v>
      </c>
      <c r="B2591" t="s">
        <v>58</v>
      </c>
      <c r="C2591" t="s">
        <v>913</v>
      </c>
      <c r="D2591" t="s">
        <v>991</v>
      </c>
      <c r="E2591" t="s">
        <v>1085</v>
      </c>
      <c r="F2591">
        <v>8600</v>
      </c>
    </row>
    <row r="2592" spans="1:6">
      <c r="A2592" t="s">
        <v>27</v>
      </c>
      <c r="B2592" t="s">
        <v>58</v>
      </c>
      <c r="C2592" t="s">
        <v>913</v>
      </c>
      <c r="D2592" t="s">
        <v>991</v>
      </c>
      <c r="E2592" t="s">
        <v>1086</v>
      </c>
      <c r="F2592">
        <v>0</v>
      </c>
    </row>
    <row r="2593" spans="1:6">
      <c r="A2593" t="s">
        <v>27</v>
      </c>
      <c r="B2593" t="s">
        <v>58</v>
      </c>
      <c r="C2593" t="s">
        <v>913</v>
      </c>
      <c r="D2593" t="s">
        <v>991</v>
      </c>
      <c r="E2593" t="s">
        <v>1087</v>
      </c>
      <c r="F2593">
        <v>0</v>
      </c>
    </row>
    <row r="2594" spans="1:6">
      <c r="A2594" t="s">
        <v>27</v>
      </c>
      <c r="B2594" t="s">
        <v>58</v>
      </c>
      <c r="C2594" t="s">
        <v>913</v>
      </c>
      <c r="D2594" t="s">
        <v>991</v>
      </c>
      <c r="E2594" t="s">
        <v>1088</v>
      </c>
      <c r="F2594">
        <v>0</v>
      </c>
    </row>
    <row r="2595" spans="1:6">
      <c r="A2595" t="s">
        <v>27</v>
      </c>
      <c r="B2595" t="s">
        <v>58</v>
      </c>
      <c r="C2595" t="s">
        <v>913</v>
      </c>
      <c r="D2595" t="s">
        <v>991</v>
      </c>
      <c r="E2595" t="s">
        <v>1089</v>
      </c>
      <c r="F2595" t="s">
        <v>1009</v>
      </c>
    </row>
    <row r="2596" spans="1:6">
      <c r="A2596" t="s">
        <v>27</v>
      </c>
      <c r="B2596" t="s">
        <v>58</v>
      </c>
      <c r="C2596" t="s">
        <v>913</v>
      </c>
      <c r="D2596" t="s">
        <v>991</v>
      </c>
      <c r="E2596" t="s">
        <v>1090</v>
      </c>
      <c r="F2596">
        <v>452669</v>
      </c>
    </row>
    <row r="2597" spans="1:6">
      <c r="A2597" t="s">
        <v>27</v>
      </c>
      <c r="B2597" t="s">
        <v>58</v>
      </c>
      <c r="C2597" t="s">
        <v>913</v>
      </c>
      <c r="D2597" t="s">
        <v>1091</v>
      </c>
      <c r="E2597" t="s">
        <v>1276</v>
      </c>
      <c r="F2597" t="s">
        <v>1092</v>
      </c>
    </row>
    <row r="2598" spans="1:6">
      <c r="A2598" t="s">
        <v>27</v>
      </c>
      <c r="B2598" t="s">
        <v>58</v>
      </c>
      <c r="C2598" t="s">
        <v>913</v>
      </c>
      <c r="D2598" t="s">
        <v>1091</v>
      </c>
      <c r="E2598" t="s">
        <v>1332</v>
      </c>
      <c r="F2598" t="s">
        <v>1305</v>
      </c>
    </row>
    <row r="2599" spans="1:6">
      <c r="A2599" t="s">
        <v>27</v>
      </c>
      <c r="B2599" t="s">
        <v>58</v>
      </c>
      <c r="C2599" t="s">
        <v>913</v>
      </c>
      <c r="D2599" t="s">
        <v>1091</v>
      </c>
      <c r="E2599" t="s">
        <v>999</v>
      </c>
      <c r="F2599" t="s">
        <v>1094</v>
      </c>
    </row>
    <row r="2600" spans="1:6">
      <c r="A2600" t="s">
        <v>27</v>
      </c>
      <c r="B2600" t="s">
        <v>58</v>
      </c>
      <c r="C2600" t="s">
        <v>913</v>
      </c>
      <c r="D2600" t="s">
        <v>1091</v>
      </c>
      <c r="E2600" t="s">
        <v>1001</v>
      </c>
      <c r="F2600" t="s">
        <v>1306</v>
      </c>
    </row>
    <row r="2601" spans="1:6">
      <c r="A2601" t="s">
        <v>27</v>
      </c>
      <c r="B2601" t="s">
        <v>58</v>
      </c>
      <c r="C2601" t="s">
        <v>913</v>
      </c>
      <c r="D2601" t="s">
        <v>1091</v>
      </c>
      <c r="E2601" t="s">
        <v>1509</v>
      </c>
      <c r="F2601" t="s">
        <v>996</v>
      </c>
    </row>
    <row r="2602" spans="1:6">
      <c r="A2602" t="s">
        <v>27</v>
      </c>
      <c r="B2602" t="s">
        <v>58</v>
      </c>
      <c r="C2602" t="s">
        <v>913</v>
      </c>
      <c r="D2602" t="s">
        <v>1091</v>
      </c>
      <c r="E2602" t="s">
        <v>1510</v>
      </c>
      <c r="F2602" t="s">
        <v>1511</v>
      </c>
    </row>
    <row r="2603" spans="1:6">
      <c r="A2603" t="s">
        <v>27</v>
      </c>
      <c r="B2603" t="s">
        <v>58</v>
      </c>
      <c r="C2603" t="s">
        <v>913</v>
      </c>
      <c r="D2603" t="s">
        <v>1091</v>
      </c>
      <c r="E2603" t="s">
        <v>1283</v>
      </c>
      <c r="F2603" t="s">
        <v>1000</v>
      </c>
    </row>
    <row r="2604" spans="1:6">
      <c r="A2604" t="s">
        <v>27</v>
      </c>
      <c r="B2604" t="s">
        <v>58</v>
      </c>
      <c r="C2604" t="s">
        <v>913</v>
      </c>
      <c r="D2604" t="s">
        <v>1091</v>
      </c>
      <c r="E2604" t="s">
        <v>1285</v>
      </c>
      <c r="F2604" t="s">
        <v>10</v>
      </c>
    </row>
    <row r="2605" spans="1:6">
      <c r="A2605" t="s">
        <v>27</v>
      </c>
      <c r="B2605" t="s">
        <v>58</v>
      </c>
      <c r="C2605" t="s">
        <v>913</v>
      </c>
      <c r="D2605" t="s">
        <v>1091</v>
      </c>
      <c r="E2605" t="s">
        <v>1335</v>
      </c>
      <c r="F2605" t="s">
        <v>1095</v>
      </c>
    </row>
    <row r="2606" spans="1:6">
      <c r="A2606" t="s">
        <v>27</v>
      </c>
      <c r="B2606" t="s">
        <v>58</v>
      </c>
      <c r="C2606" t="s">
        <v>913</v>
      </c>
      <c r="D2606" t="s">
        <v>1091</v>
      </c>
      <c r="E2606" t="s">
        <v>1290</v>
      </c>
      <c r="F2606" t="s">
        <v>1005</v>
      </c>
    </row>
    <row r="2607" spans="1:6">
      <c r="A2607" t="s">
        <v>27</v>
      </c>
      <c r="B2607" t="s">
        <v>58</v>
      </c>
      <c r="C2607" t="s">
        <v>913</v>
      </c>
      <c r="D2607" t="s">
        <v>1091</v>
      </c>
      <c r="E2607" t="s">
        <v>1034</v>
      </c>
      <c r="F2607" t="s">
        <v>1097</v>
      </c>
    </row>
    <row r="2608" spans="1:6">
      <c r="A2608" t="s">
        <v>27</v>
      </c>
      <c r="B2608" t="s">
        <v>58</v>
      </c>
      <c r="C2608" t="s">
        <v>913</v>
      </c>
      <c r="D2608" t="s">
        <v>1091</v>
      </c>
      <c r="E2608" t="s">
        <v>1035</v>
      </c>
      <c r="F2608" t="s">
        <v>1098</v>
      </c>
    </row>
    <row r="2609" spans="1:6">
      <c r="A2609" t="s">
        <v>27</v>
      </c>
      <c r="B2609" t="s">
        <v>58</v>
      </c>
      <c r="C2609" t="s">
        <v>913</v>
      </c>
      <c r="D2609" t="s">
        <v>1091</v>
      </c>
      <c r="E2609" t="s">
        <v>1037</v>
      </c>
      <c r="F2609" t="s">
        <v>1009</v>
      </c>
    </row>
    <row r="2610" spans="1:6">
      <c r="A2610" t="s">
        <v>27</v>
      </c>
      <c r="B2610" t="s">
        <v>58</v>
      </c>
      <c r="C2610" t="s">
        <v>913</v>
      </c>
      <c r="D2610" t="s">
        <v>1091</v>
      </c>
      <c r="E2610" t="s">
        <v>1103</v>
      </c>
      <c r="F2610" t="s">
        <v>50</v>
      </c>
    </row>
    <row r="2611" spans="1:6">
      <c r="A2611" t="s">
        <v>27</v>
      </c>
      <c r="B2611" t="s">
        <v>58</v>
      </c>
      <c r="C2611" t="s">
        <v>913</v>
      </c>
      <c r="D2611" t="s">
        <v>1091</v>
      </c>
      <c r="E2611" t="s">
        <v>1104</v>
      </c>
      <c r="F2611">
        <v>2025</v>
      </c>
    </row>
    <row r="2612" spans="1:6">
      <c r="A2612" t="s">
        <v>27</v>
      </c>
      <c r="B2612" t="s">
        <v>58</v>
      </c>
      <c r="C2612" t="s">
        <v>913</v>
      </c>
      <c r="D2612" t="s">
        <v>1091</v>
      </c>
      <c r="E2612" t="s">
        <v>1105</v>
      </c>
      <c r="F2612">
        <v>2026</v>
      </c>
    </row>
    <row r="2613" spans="1:6">
      <c r="A2613" t="s">
        <v>27</v>
      </c>
      <c r="B2613" t="s">
        <v>58</v>
      </c>
      <c r="C2613" t="s">
        <v>913</v>
      </c>
      <c r="D2613" t="s">
        <v>1091</v>
      </c>
      <c r="E2613" t="s">
        <v>1038</v>
      </c>
      <c r="F2613" t="s">
        <v>1102</v>
      </c>
    </row>
    <row r="2614" spans="1:6">
      <c r="A2614" t="s">
        <v>27</v>
      </c>
      <c r="B2614" t="s">
        <v>58</v>
      </c>
      <c r="C2614" t="s">
        <v>913</v>
      </c>
      <c r="D2614" t="s">
        <v>1091</v>
      </c>
      <c r="E2614" t="s">
        <v>1039</v>
      </c>
      <c r="F2614">
        <v>210220610</v>
      </c>
    </row>
    <row r="2615" spans="1:6">
      <c r="A2615" t="s">
        <v>27</v>
      </c>
      <c r="B2615" t="s">
        <v>58</v>
      </c>
      <c r="C2615" t="s">
        <v>913</v>
      </c>
      <c r="D2615" t="s">
        <v>1091</v>
      </c>
      <c r="E2615" t="s">
        <v>1040</v>
      </c>
      <c r="F2615">
        <v>137446609</v>
      </c>
    </row>
    <row r="2616" spans="1:6">
      <c r="A2616" t="s">
        <v>27</v>
      </c>
      <c r="B2616" t="s">
        <v>58</v>
      </c>
      <c r="C2616" t="s">
        <v>913</v>
      </c>
      <c r="D2616" t="s">
        <v>1091</v>
      </c>
      <c r="E2616" t="s">
        <v>1041</v>
      </c>
      <c r="F2616">
        <v>42179412</v>
      </c>
    </row>
    <row r="2617" spans="1:6">
      <c r="A2617" t="s">
        <v>27</v>
      </c>
      <c r="B2617" t="s">
        <v>58</v>
      </c>
      <c r="C2617" t="s">
        <v>913</v>
      </c>
      <c r="D2617" t="s">
        <v>1091</v>
      </c>
      <c r="E2617" t="s">
        <v>1042</v>
      </c>
      <c r="F2617">
        <v>30594590</v>
      </c>
    </row>
    <row r="2618" spans="1:6">
      <c r="A2618" t="s">
        <v>27</v>
      </c>
      <c r="B2618" t="s">
        <v>58</v>
      </c>
      <c r="C2618" t="s">
        <v>913</v>
      </c>
      <c r="D2618" t="s">
        <v>1091</v>
      </c>
      <c r="E2618" t="s">
        <v>1052</v>
      </c>
      <c r="F2618" t="s">
        <v>1106</v>
      </c>
    </row>
    <row r="2619" spans="1:6">
      <c r="A2619" t="s">
        <v>27</v>
      </c>
      <c r="B2619" t="s">
        <v>58</v>
      </c>
      <c r="C2619" t="s">
        <v>913</v>
      </c>
      <c r="D2619" t="s">
        <v>1091</v>
      </c>
      <c r="E2619" t="s">
        <v>1053</v>
      </c>
      <c r="F2619">
        <v>208740292</v>
      </c>
    </row>
    <row r="2620" spans="1:6">
      <c r="A2620" t="s">
        <v>27</v>
      </c>
      <c r="B2620" t="s">
        <v>58</v>
      </c>
      <c r="C2620" t="s">
        <v>913</v>
      </c>
      <c r="D2620" t="s">
        <v>1091</v>
      </c>
      <c r="E2620" t="s">
        <v>1108</v>
      </c>
      <c r="F2620">
        <v>137448641</v>
      </c>
    </row>
    <row r="2621" spans="1:6">
      <c r="A2621" t="s">
        <v>27</v>
      </c>
      <c r="B2621" t="s">
        <v>58</v>
      </c>
      <c r="C2621" t="s">
        <v>913</v>
      </c>
      <c r="D2621" t="s">
        <v>1091</v>
      </c>
      <c r="E2621" t="s">
        <v>1109</v>
      </c>
      <c r="F2621">
        <v>42164411</v>
      </c>
    </row>
    <row r="2622" spans="1:6">
      <c r="A2622" t="s">
        <v>27</v>
      </c>
      <c r="B2622" t="s">
        <v>58</v>
      </c>
      <c r="C2622" t="s">
        <v>913</v>
      </c>
      <c r="D2622" t="s">
        <v>1091</v>
      </c>
      <c r="E2622" t="s">
        <v>1110</v>
      </c>
      <c r="F2622">
        <v>29127240</v>
      </c>
    </row>
    <row r="2623" spans="1:6">
      <c r="A2623" t="s">
        <v>27</v>
      </c>
      <c r="B2623" t="s">
        <v>58</v>
      </c>
      <c r="C2623" t="s">
        <v>913</v>
      </c>
      <c r="D2623" t="s">
        <v>1091</v>
      </c>
      <c r="E2623" t="s">
        <v>1111</v>
      </c>
      <c r="F2623" t="s">
        <v>1107</v>
      </c>
    </row>
    <row r="2624" spans="1:6">
      <c r="A2624" t="s">
        <v>27</v>
      </c>
      <c r="B2624" t="s">
        <v>58</v>
      </c>
      <c r="C2624" t="s">
        <v>913</v>
      </c>
      <c r="D2624" t="s">
        <v>1091</v>
      </c>
      <c r="E2624" t="s">
        <v>1113</v>
      </c>
      <c r="F2624">
        <v>81777027</v>
      </c>
    </row>
    <row r="2625" spans="1:6">
      <c r="A2625" t="s">
        <v>27</v>
      </c>
      <c r="B2625" t="s">
        <v>58</v>
      </c>
      <c r="C2625" t="s">
        <v>913</v>
      </c>
      <c r="D2625" t="s">
        <v>1091</v>
      </c>
      <c r="E2625" t="s">
        <v>1114</v>
      </c>
      <c r="F2625">
        <v>55414344</v>
      </c>
    </row>
    <row r="2626" spans="1:6">
      <c r="A2626" t="s">
        <v>27</v>
      </c>
      <c r="B2626" t="s">
        <v>58</v>
      </c>
      <c r="C2626" t="s">
        <v>913</v>
      </c>
      <c r="D2626" t="s">
        <v>1091</v>
      </c>
      <c r="E2626" t="s">
        <v>1115</v>
      </c>
      <c r="F2626">
        <v>15769045</v>
      </c>
    </row>
    <row r="2627" spans="1:6">
      <c r="A2627" t="s">
        <v>27</v>
      </c>
      <c r="B2627" t="s">
        <v>58</v>
      </c>
      <c r="C2627" t="s">
        <v>913</v>
      </c>
      <c r="D2627" t="s">
        <v>1091</v>
      </c>
      <c r="E2627" t="s">
        <v>1116</v>
      </c>
      <c r="F2627">
        <v>10593638</v>
      </c>
    </row>
    <row r="2628" spans="1:6">
      <c r="A2628" t="s">
        <v>27</v>
      </c>
      <c r="B2628" t="s">
        <v>58</v>
      </c>
      <c r="C2628" t="s">
        <v>913</v>
      </c>
      <c r="D2628" t="s">
        <v>1091</v>
      </c>
      <c r="E2628" t="s">
        <v>1054</v>
      </c>
      <c r="F2628" t="s">
        <v>1307</v>
      </c>
    </row>
    <row r="2629" spans="1:6">
      <c r="A2629" t="s">
        <v>27</v>
      </c>
      <c r="B2629" t="s">
        <v>58</v>
      </c>
      <c r="C2629" t="s">
        <v>913</v>
      </c>
      <c r="D2629" t="s">
        <v>1091</v>
      </c>
      <c r="E2629" t="s">
        <v>1118</v>
      </c>
      <c r="F2629">
        <v>312847</v>
      </c>
    </row>
    <row r="2630" spans="1:6">
      <c r="A2630" t="s">
        <v>27</v>
      </c>
      <c r="B2630" t="s">
        <v>58</v>
      </c>
      <c r="C2630" t="s">
        <v>913</v>
      </c>
      <c r="D2630" t="s">
        <v>1091</v>
      </c>
      <c r="E2630" t="s">
        <v>1119</v>
      </c>
      <c r="F2630">
        <v>285655</v>
      </c>
    </row>
    <row r="2631" spans="1:6">
      <c r="A2631" t="s">
        <v>27</v>
      </c>
      <c r="B2631" t="s">
        <v>58</v>
      </c>
      <c r="C2631" t="s">
        <v>913</v>
      </c>
      <c r="D2631" t="s">
        <v>1091</v>
      </c>
      <c r="E2631" t="s">
        <v>1120</v>
      </c>
      <c r="F2631">
        <v>16089</v>
      </c>
    </row>
    <row r="2632" spans="1:6">
      <c r="A2632" t="s">
        <v>27</v>
      </c>
      <c r="B2632" t="s">
        <v>58</v>
      </c>
      <c r="C2632" t="s">
        <v>913</v>
      </c>
      <c r="D2632" t="s">
        <v>1091</v>
      </c>
      <c r="E2632" t="s">
        <v>1121</v>
      </c>
      <c r="F2632">
        <v>11103</v>
      </c>
    </row>
    <row r="2633" spans="1:6">
      <c r="A2633" t="s">
        <v>27</v>
      </c>
      <c r="B2633" t="s">
        <v>58</v>
      </c>
      <c r="C2633" t="s">
        <v>913</v>
      </c>
      <c r="D2633" t="s">
        <v>1091</v>
      </c>
      <c r="E2633" t="s">
        <v>1122</v>
      </c>
      <c r="F2633" t="s">
        <v>1308</v>
      </c>
    </row>
    <row r="2634" spans="1:6">
      <c r="A2634" t="s">
        <v>27</v>
      </c>
      <c r="B2634" t="s">
        <v>58</v>
      </c>
      <c r="C2634" t="s">
        <v>913</v>
      </c>
      <c r="D2634" t="s">
        <v>1091</v>
      </c>
      <c r="E2634" t="s">
        <v>1124</v>
      </c>
      <c r="F2634">
        <v>126650418</v>
      </c>
    </row>
    <row r="2635" spans="1:6">
      <c r="A2635" t="s">
        <v>27</v>
      </c>
      <c r="B2635" t="s">
        <v>58</v>
      </c>
      <c r="C2635" t="s">
        <v>913</v>
      </c>
      <c r="D2635" t="s">
        <v>1091</v>
      </c>
      <c r="E2635" t="s">
        <v>1126</v>
      </c>
      <c r="F2635">
        <v>81748642</v>
      </c>
    </row>
    <row r="2636" spans="1:6">
      <c r="A2636" t="s">
        <v>27</v>
      </c>
      <c r="B2636" t="s">
        <v>58</v>
      </c>
      <c r="C2636" t="s">
        <v>913</v>
      </c>
      <c r="D2636" t="s">
        <v>1091</v>
      </c>
      <c r="E2636" t="s">
        <v>1127</v>
      </c>
      <c r="F2636">
        <v>26379277</v>
      </c>
    </row>
    <row r="2637" spans="1:6">
      <c r="A2637" t="s">
        <v>27</v>
      </c>
      <c r="B2637" t="s">
        <v>58</v>
      </c>
      <c r="C2637" t="s">
        <v>913</v>
      </c>
      <c r="D2637" t="s">
        <v>1091</v>
      </c>
      <c r="E2637" t="s">
        <v>1128</v>
      </c>
      <c r="F2637">
        <v>18522500</v>
      </c>
    </row>
    <row r="2638" spans="1:6">
      <c r="A2638" t="s">
        <v>27</v>
      </c>
      <c r="B2638" t="s">
        <v>58</v>
      </c>
      <c r="C2638" t="s">
        <v>913</v>
      </c>
      <c r="D2638" t="s">
        <v>1091</v>
      </c>
      <c r="E2638" t="s">
        <v>1056</v>
      </c>
      <c r="F2638" t="s">
        <v>1123</v>
      </c>
    </row>
    <row r="2639" spans="1:6">
      <c r="A2639" t="s">
        <v>27</v>
      </c>
      <c r="B2639" t="s">
        <v>58</v>
      </c>
      <c r="C2639" t="s">
        <v>913</v>
      </c>
      <c r="D2639" t="s">
        <v>1091</v>
      </c>
      <c r="E2639" t="s">
        <v>1057</v>
      </c>
      <c r="F2639" t="s">
        <v>1242</v>
      </c>
    </row>
    <row r="2640" spans="1:6">
      <c r="A2640" t="s">
        <v>27</v>
      </c>
      <c r="B2640" t="s">
        <v>58</v>
      </c>
      <c r="C2640" t="s">
        <v>913</v>
      </c>
      <c r="D2640" t="s">
        <v>1091</v>
      </c>
      <c r="E2640" t="s">
        <v>1058</v>
      </c>
      <c r="F2640" t="s">
        <v>1125</v>
      </c>
    </row>
    <row r="2641" spans="1:6">
      <c r="A2641" t="s">
        <v>27</v>
      </c>
      <c r="B2641" t="s">
        <v>58</v>
      </c>
      <c r="C2641" t="s">
        <v>913</v>
      </c>
      <c r="D2641" t="s">
        <v>1091</v>
      </c>
      <c r="E2641" t="s">
        <v>1059</v>
      </c>
      <c r="F2641" t="s">
        <v>1125</v>
      </c>
    </row>
    <row r="2642" spans="1:6">
      <c r="A2642" t="s">
        <v>27</v>
      </c>
      <c r="B2642" t="s">
        <v>58</v>
      </c>
      <c r="C2642" t="s">
        <v>913</v>
      </c>
      <c r="D2642" t="s">
        <v>1091</v>
      </c>
      <c r="E2642" t="s">
        <v>1060</v>
      </c>
      <c r="F2642" t="s">
        <v>1314</v>
      </c>
    </row>
    <row r="2643" spans="1:6">
      <c r="A2643" t="s">
        <v>27</v>
      </c>
      <c r="B2643" t="s">
        <v>58</v>
      </c>
      <c r="C2643" t="s">
        <v>913</v>
      </c>
      <c r="D2643" t="s">
        <v>1091</v>
      </c>
      <c r="E2643" t="s">
        <v>1071</v>
      </c>
      <c r="F2643" t="s">
        <v>1130</v>
      </c>
    </row>
    <row r="2644" spans="1:6">
      <c r="A2644" t="s">
        <v>27</v>
      </c>
      <c r="B2644" t="s">
        <v>58</v>
      </c>
      <c r="C2644" t="s">
        <v>913</v>
      </c>
      <c r="D2644" t="s">
        <v>1091</v>
      </c>
      <c r="E2644" t="s">
        <v>1072</v>
      </c>
      <c r="F2644">
        <v>1480318</v>
      </c>
    </row>
    <row r="2645" spans="1:6">
      <c r="A2645" t="s">
        <v>27</v>
      </c>
      <c r="B2645" t="s">
        <v>58</v>
      </c>
      <c r="C2645" t="s">
        <v>913</v>
      </c>
      <c r="D2645" t="s">
        <v>1091</v>
      </c>
      <c r="E2645" t="s">
        <v>1133</v>
      </c>
      <c r="F2645">
        <v>-2032</v>
      </c>
    </row>
    <row r="2646" spans="1:6">
      <c r="A2646" t="s">
        <v>27</v>
      </c>
      <c r="B2646" t="s">
        <v>58</v>
      </c>
      <c r="C2646" t="s">
        <v>913</v>
      </c>
      <c r="D2646" t="s">
        <v>1091</v>
      </c>
      <c r="E2646" t="s">
        <v>1134</v>
      </c>
      <c r="F2646">
        <v>15001</v>
      </c>
    </row>
    <row r="2647" spans="1:6">
      <c r="A2647" t="s">
        <v>27</v>
      </c>
      <c r="B2647" t="s">
        <v>58</v>
      </c>
      <c r="C2647" t="s">
        <v>913</v>
      </c>
      <c r="D2647" t="s">
        <v>1091</v>
      </c>
      <c r="E2647" t="s">
        <v>1135</v>
      </c>
      <c r="F2647">
        <v>1467349</v>
      </c>
    </row>
    <row r="2648" spans="1:6">
      <c r="A2648" t="s">
        <v>27</v>
      </c>
      <c r="B2648" t="s">
        <v>58</v>
      </c>
      <c r="C2648" t="s">
        <v>913</v>
      </c>
      <c r="D2648" t="s">
        <v>1091</v>
      </c>
      <c r="E2648" t="s">
        <v>1073</v>
      </c>
      <c r="F2648" t="s">
        <v>1131</v>
      </c>
    </row>
    <row r="2649" spans="1:6">
      <c r="A2649" t="s">
        <v>27</v>
      </c>
      <c r="B2649" t="s">
        <v>58</v>
      </c>
      <c r="C2649" t="s">
        <v>913</v>
      </c>
      <c r="D2649" t="s">
        <v>1091</v>
      </c>
      <c r="E2649" t="s">
        <v>1074</v>
      </c>
      <c r="F2649" t="s">
        <v>1310</v>
      </c>
    </row>
    <row r="2650" spans="1:6">
      <c r="A2650" t="s">
        <v>27</v>
      </c>
      <c r="B2650" t="s">
        <v>58</v>
      </c>
      <c r="C2650" t="s">
        <v>913</v>
      </c>
      <c r="D2650" t="s">
        <v>1091</v>
      </c>
      <c r="E2650" t="s">
        <v>1296</v>
      </c>
      <c r="F2650" t="s">
        <v>1132</v>
      </c>
    </row>
    <row r="2651" spans="1:6">
      <c r="A2651" t="s">
        <v>27</v>
      </c>
      <c r="B2651" t="s">
        <v>58</v>
      </c>
      <c r="C2651" t="s">
        <v>913</v>
      </c>
      <c r="D2651" t="s">
        <v>1091</v>
      </c>
      <c r="E2651" t="s">
        <v>1297</v>
      </c>
      <c r="F2651" t="s">
        <v>1132</v>
      </c>
    </row>
    <row r="2652" spans="1:6">
      <c r="A2652" t="s">
        <v>27</v>
      </c>
      <c r="B2652" t="s">
        <v>58</v>
      </c>
      <c r="C2652" t="s">
        <v>913</v>
      </c>
      <c r="D2652" t="s">
        <v>1091</v>
      </c>
      <c r="E2652" t="s">
        <v>1364</v>
      </c>
      <c r="F2652" t="s">
        <v>1320</v>
      </c>
    </row>
    <row r="2653" spans="1:6">
      <c r="A2653" t="s">
        <v>27</v>
      </c>
      <c r="B2653" t="s">
        <v>58</v>
      </c>
      <c r="C2653" t="s">
        <v>913</v>
      </c>
      <c r="D2653" t="s">
        <v>1091</v>
      </c>
      <c r="E2653" t="s">
        <v>1090</v>
      </c>
      <c r="F2653" t="s">
        <v>1137</v>
      </c>
    </row>
    <row r="2654" spans="1:6">
      <c r="A2654" t="s">
        <v>27</v>
      </c>
      <c r="B2654" t="s">
        <v>58</v>
      </c>
      <c r="C2654" t="s">
        <v>913</v>
      </c>
      <c r="D2654" t="s">
        <v>1091</v>
      </c>
      <c r="E2654" t="s">
        <v>1139</v>
      </c>
      <c r="F2654">
        <v>0</v>
      </c>
    </row>
    <row r="2655" spans="1:6">
      <c r="A2655" t="s">
        <v>27</v>
      </c>
      <c r="B2655" t="s">
        <v>58</v>
      </c>
      <c r="C2655" t="s">
        <v>913</v>
      </c>
      <c r="D2655" t="s">
        <v>1091</v>
      </c>
      <c r="E2655" t="s">
        <v>1140</v>
      </c>
      <c r="F2655">
        <v>0</v>
      </c>
    </row>
    <row r="2656" spans="1:6">
      <c r="A2656" t="s">
        <v>27</v>
      </c>
      <c r="B2656" t="s">
        <v>58</v>
      </c>
      <c r="C2656" t="s">
        <v>913</v>
      </c>
      <c r="D2656" t="s">
        <v>1091</v>
      </c>
      <c r="E2656" t="s">
        <v>1141</v>
      </c>
      <c r="F2656">
        <v>0</v>
      </c>
    </row>
    <row r="2657" spans="1:6">
      <c r="A2657" t="s">
        <v>27</v>
      </c>
      <c r="B2657" t="s">
        <v>58</v>
      </c>
      <c r="C2657" t="s">
        <v>913</v>
      </c>
      <c r="D2657" t="s">
        <v>1091</v>
      </c>
      <c r="E2657" t="s">
        <v>1298</v>
      </c>
      <c r="F2657" t="s">
        <v>1138</v>
      </c>
    </row>
    <row r="2658" spans="1:6">
      <c r="A2658" t="s">
        <v>27</v>
      </c>
      <c r="B2658" t="s">
        <v>58</v>
      </c>
      <c r="C2658" t="s">
        <v>913</v>
      </c>
      <c r="D2658" t="s">
        <v>1091</v>
      </c>
      <c r="E2658" t="s">
        <v>1299</v>
      </c>
      <c r="F2658" t="s">
        <v>1132</v>
      </c>
    </row>
    <row r="2659" spans="1:6">
      <c r="A2659" t="s">
        <v>27</v>
      </c>
      <c r="B2659" t="s">
        <v>58</v>
      </c>
      <c r="C2659" t="s">
        <v>913</v>
      </c>
      <c r="D2659" t="s">
        <v>1091</v>
      </c>
      <c r="E2659" t="s">
        <v>1300</v>
      </c>
      <c r="F2659" t="s">
        <v>1132</v>
      </c>
    </row>
    <row r="2660" spans="1:6">
      <c r="A2660" t="s">
        <v>27</v>
      </c>
      <c r="B2660" t="s">
        <v>58</v>
      </c>
      <c r="C2660" t="s">
        <v>913</v>
      </c>
      <c r="D2660" t="s">
        <v>1091</v>
      </c>
      <c r="E2660" t="s">
        <v>1426</v>
      </c>
      <c r="F2660" t="s">
        <v>1312</v>
      </c>
    </row>
    <row r="2661" spans="1:6">
      <c r="A2661" t="s">
        <v>27</v>
      </c>
      <c r="B2661" t="s">
        <v>58</v>
      </c>
      <c r="C2661" t="s">
        <v>913</v>
      </c>
      <c r="D2661" t="s">
        <v>1091</v>
      </c>
      <c r="E2661" t="s">
        <v>1554</v>
      </c>
      <c r="F2661" t="s">
        <v>1144</v>
      </c>
    </row>
    <row r="2662" spans="1:6">
      <c r="A2662" t="s">
        <v>27</v>
      </c>
      <c r="B2662" t="s">
        <v>58</v>
      </c>
      <c r="C2662" t="s">
        <v>913</v>
      </c>
      <c r="D2662" t="s">
        <v>1091</v>
      </c>
      <c r="E2662" t="s">
        <v>1434</v>
      </c>
      <c r="F2662" t="s">
        <v>1146</v>
      </c>
    </row>
    <row r="2663" spans="1:6">
      <c r="A2663" t="s">
        <v>27</v>
      </c>
      <c r="B2663" t="s">
        <v>58</v>
      </c>
      <c r="C2663" t="s">
        <v>913</v>
      </c>
      <c r="D2663" t="s">
        <v>1091</v>
      </c>
      <c r="E2663" t="s">
        <v>1555</v>
      </c>
      <c r="F2663" t="s">
        <v>1148</v>
      </c>
    </row>
    <row r="2664" spans="1:6">
      <c r="A2664" t="s">
        <v>27</v>
      </c>
      <c r="B2664" t="s">
        <v>58</v>
      </c>
      <c r="C2664" t="s">
        <v>913</v>
      </c>
      <c r="D2664" t="s">
        <v>1091</v>
      </c>
      <c r="E2664" t="s">
        <v>1151</v>
      </c>
      <c r="F2664" t="s">
        <v>1150</v>
      </c>
    </row>
    <row r="2665" spans="1:6">
      <c r="A2665" t="s">
        <v>27</v>
      </c>
      <c r="B2665" t="s">
        <v>58</v>
      </c>
      <c r="C2665" t="s">
        <v>913</v>
      </c>
      <c r="D2665" t="s">
        <v>1091</v>
      </c>
      <c r="E2665" t="s">
        <v>1166</v>
      </c>
      <c r="F2665" t="s">
        <v>1009</v>
      </c>
    </row>
    <row r="2666" spans="1:6">
      <c r="A2666" t="s">
        <v>27</v>
      </c>
      <c r="B2666" t="s">
        <v>58</v>
      </c>
      <c r="C2666" t="s">
        <v>913</v>
      </c>
      <c r="D2666" t="s">
        <v>1091</v>
      </c>
      <c r="E2666" t="s">
        <v>1167</v>
      </c>
      <c r="F2666" t="s">
        <v>1550</v>
      </c>
    </row>
    <row r="2667" spans="1:6">
      <c r="A2667" t="s">
        <v>27</v>
      </c>
      <c r="B2667" t="s">
        <v>58</v>
      </c>
      <c r="C2667" t="s">
        <v>913</v>
      </c>
      <c r="D2667" t="s">
        <v>1091</v>
      </c>
      <c r="E2667" t="s">
        <v>1168</v>
      </c>
      <c r="F2667" t="s">
        <v>1551</v>
      </c>
    </row>
    <row r="2668" spans="1:6">
      <c r="A2668" t="s">
        <v>27</v>
      </c>
      <c r="B2668" t="s">
        <v>58</v>
      </c>
      <c r="C2668" t="s">
        <v>913</v>
      </c>
      <c r="D2668" t="s">
        <v>1091</v>
      </c>
      <c r="E2668" t="s">
        <v>1169</v>
      </c>
      <c r="F2668" t="s">
        <v>1552</v>
      </c>
    </row>
    <row r="2669" spans="1:6">
      <c r="A2669" t="s">
        <v>27</v>
      </c>
      <c r="B2669" t="s">
        <v>58</v>
      </c>
      <c r="C2669" t="s">
        <v>913</v>
      </c>
      <c r="D2669" t="s">
        <v>1091</v>
      </c>
      <c r="E2669" t="s">
        <v>1170</v>
      </c>
      <c r="F2669" t="s">
        <v>1153</v>
      </c>
    </row>
    <row r="2670" spans="1:6">
      <c r="A2670" t="s">
        <v>27</v>
      </c>
      <c r="B2670" t="s">
        <v>58</v>
      </c>
      <c r="C2670" t="s">
        <v>913</v>
      </c>
      <c r="D2670" t="s">
        <v>1091</v>
      </c>
      <c r="E2670" t="s">
        <v>1171</v>
      </c>
      <c r="F2670" t="s">
        <v>1155</v>
      </c>
    </row>
    <row r="2671" spans="1:6">
      <c r="A2671" t="s">
        <v>27</v>
      </c>
      <c r="B2671" t="s">
        <v>58</v>
      </c>
      <c r="C2671" t="s">
        <v>913</v>
      </c>
      <c r="D2671" t="s">
        <v>1091</v>
      </c>
      <c r="E2671" t="s">
        <v>1172</v>
      </c>
      <c r="F2671" t="s">
        <v>1157</v>
      </c>
    </row>
    <row r="2672" spans="1:6">
      <c r="A2672" t="s">
        <v>27</v>
      </c>
      <c r="B2672" t="s">
        <v>58</v>
      </c>
      <c r="C2672" t="s">
        <v>913</v>
      </c>
      <c r="D2672" t="s">
        <v>1091</v>
      </c>
      <c r="E2672" t="s">
        <v>1173</v>
      </c>
      <c r="F2672" t="s">
        <v>1165</v>
      </c>
    </row>
    <row r="2673" spans="1:6">
      <c r="A2673" t="s">
        <v>27</v>
      </c>
      <c r="B2673" t="s">
        <v>58</v>
      </c>
      <c r="C2673" t="s">
        <v>913</v>
      </c>
      <c r="D2673" t="s">
        <v>1091</v>
      </c>
      <c r="E2673" t="s">
        <v>1175</v>
      </c>
      <c r="F2673">
        <v>20501419</v>
      </c>
    </row>
    <row r="2674" spans="1:6">
      <c r="A2674" t="s">
        <v>27</v>
      </c>
      <c r="B2674" t="s">
        <v>58</v>
      </c>
      <c r="C2674" t="s">
        <v>913</v>
      </c>
      <c r="D2674" t="s">
        <v>1091</v>
      </c>
      <c r="E2674" t="s">
        <v>1176</v>
      </c>
      <c r="F2674">
        <v>3356886</v>
      </c>
    </row>
    <row r="2675" spans="1:6">
      <c r="A2675" t="s">
        <v>27</v>
      </c>
      <c r="B2675" t="s">
        <v>58</v>
      </c>
      <c r="C2675" t="s">
        <v>913</v>
      </c>
      <c r="D2675" t="s">
        <v>1091</v>
      </c>
      <c r="E2675" t="s">
        <v>1177</v>
      </c>
      <c r="F2675">
        <v>2506521</v>
      </c>
    </row>
    <row r="2676" spans="1:6">
      <c r="A2676" t="s">
        <v>27</v>
      </c>
      <c r="B2676" t="s">
        <v>58</v>
      </c>
      <c r="C2676" t="s">
        <v>913</v>
      </c>
      <c r="D2676" t="s">
        <v>1091</v>
      </c>
      <c r="E2676" t="s">
        <v>1178</v>
      </c>
      <c r="F2676">
        <v>3892550</v>
      </c>
    </row>
    <row r="2677" spans="1:6">
      <c r="A2677" t="s">
        <v>27</v>
      </c>
      <c r="B2677" t="s">
        <v>58</v>
      </c>
      <c r="C2677" t="s">
        <v>913</v>
      </c>
      <c r="D2677" t="s">
        <v>1091</v>
      </c>
      <c r="E2677" t="s">
        <v>1179</v>
      </c>
      <c r="F2677">
        <v>4107101</v>
      </c>
    </row>
    <row r="2678" spans="1:6">
      <c r="A2678" t="s">
        <v>27</v>
      </c>
      <c r="B2678" t="s">
        <v>58</v>
      </c>
      <c r="C2678" t="s">
        <v>913</v>
      </c>
      <c r="D2678" t="s">
        <v>1091</v>
      </c>
      <c r="E2678" t="s">
        <v>1180</v>
      </c>
      <c r="F2678">
        <v>3162844</v>
      </c>
    </row>
    <row r="2679" spans="1:6">
      <c r="A2679" t="s">
        <v>27</v>
      </c>
      <c r="B2679" t="s">
        <v>58</v>
      </c>
      <c r="C2679" t="s">
        <v>913</v>
      </c>
      <c r="D2679" t="s">
        <v>1091</v>
      </c>
      <c r="E2679" t="s">
        <v>1181</v>
      </c>
      <c r="F2679">
        <v>3475518</v>
      </c>
    </row>
    <row r="2680" spans="1:6">
      <c r="A2680" t="s">
        <v>27</v>
      </c>
      <c r="B2680" t="s">
        <v>58</v>
      </c>
      <c r="C2680" t="s">
        <v>913</v>
      </c>
      <c r="D2680" t="s">
        <v>1091</v>
      </c>
      <c r="E2680" t="s">
        <v>1556</v>
      </c>
      <c r="F2680" t="s">
        <v>1174</v>
      </c>
    </row>
    <row r="2681" spans="1:6">
      <c r="A2681" t="s">
        <v>27</v>
      </c>
      <c r="B2681" t="s">
        <v>58</v>
      </c>
      <c r="C2681" t="s">
        <v>913</v>
      </c>
      <c r="D2681" t="s">
        <v>1091</v>
      </c>
      <c r="E2681" t="s">
        <v>1452</v>
      </c>
      <c r="F2681">
        <v>42672</v>
      </c>
    </row>
    <row r="2682" spans="1:6">
      <c r="A2682" t="s">
        <v>27</v>
      </c>
      <c r="B2682" t="s">
        <v>58</v>
      </c>
      <c r="C2682" t="s">
        <v>913</v>
      </c>
      <c r="D2682" t="s">
        <v>1091</v>
      </c>
      <c r="E2682" t="s">
        <v>1454</v>
      </c>
      <c r="F2682">
        <v>8600</v>
      </c>
    </row>
    <row r="2683" spans="1:6">
      <c r="A2683" t="s">
        <v>27</v>
      </c>
      <c r="B2683" t="s">
        <v>58</v>
      </c>
      <c r="C2683" t="s">
        <v>913</v>
      </c>
      <c r="D2683" t="s">
        <v>1091</v>
      </c>
      <c r="E2683" t="s">
        <v>1455</v>
      </c>
      <c r="F2683">
        <v>6218</v>
      </c>
    </row>
    <row r="2684" spans="1:6">
      <c r="A2684" t="s">
        <v>27</v>
      </c>
      <c r="B2684" t="s">
        <v>58</v>
      </c>
      <c r="C2684" t="s">
        <v>913</v>
      </c>
      <c r="D2684" t="s">
        <v>1091</v>
      </c>
      <c r="E2684" t="s">
        <v>1456</v>
      </c>
      <c r="F2684">
        <v>6852</v>
      </c>
    </row>
    <row r="2685" spans="1:6">
      <c r="A2685" t="s">
        <v>27</v>
      </c>
      <c r="B2685" t="s">
        <v>58</v>
      </c>
      <c r="C2685" t="s">
        <v>913</v>
      </c>
      <c r="D2685" t="s">
        <v>1091</v>
      </c>
      <c r="E2685" t="s">
        <v>1458</v>
      </c>
      <c r="F2685">
        <v>7553</v>
      </c>
    </row>
    <row r="2686" spans="1:6">
      <c r="A2686" t="s">
        <v>27</v>
      </c>
      <c r="B2686" t="s">
        <v>58</v>
      </c>
      <c r="C2686" t="s">
        <v>913</v>
      </c>
      <c r="D2686" t="s">
        <v>1091</v>
      </c>
      <c r="E2686" t="s">
        <v>1557</v>
      </c>
      <c r="F2686">
        <v>6720</v>
      </c>
    </row>
    <row r="2687" spans="1:6">
      <c r="A2687" t="s">
        <v>27</v>
      </c>
      <c r="B2687" t="s">
        <v>58</v>
      </c>
      <c r="C2687" t="s">
        <v>913</v>
      </c>
      <c r="D2687" t="s">
        <v>1091</v>
      </c>
      <c r="E2687" t="s">
        <v>1558</v>
      </c>
      <c r="F2687">
        <v>6729</v>
      </c>
    </row>
    <row r="2688" spans="1:6">
      <c r="A2688" t="s">
        <v>27</v>
      </c>
      <c r="B2688" t="s">
        <v>58</v>
      </c>
      <c r="C2688" t="s">
        <v>913</v>
      </c>
      <c r="D2688" t="s">
        <v>1091</v>
      </c>
      <c r="E2688" t="s">
        <v>1191</v>
      </c>
      <c r="F2688" t="s">
        <v>1183</v>
      </c>
    </row>
    <row r="2689" spans="1:6">
      <c r="A2689" t="s">
        <v>27</v>
      </c>
      <c r="B2689" t="s">
        <v>58</v>
      </c>
      <c r="C2689" t="s">
        <v>913</v>
      </c>
      <c r="D2689" t="s">
        <v>1091</v>
      </c>
      <c r="E2689" t="s">
        <v>1463</v>
      </c>
      <c r="F2689">
        <v>19099468</v>
      </c>
    </row>
    <row r="2690" spans="1:6">
      <c r="A2690" t="s">
        <v>27</v>
      </c>
      <c r="B2690" t="s">
        <v>58</v>
      </c>
      <c r="C2690" t="s">
        <v>913</v>
      </c>
      <c r="D2690" t="s">
        <v>1091</v>
      </c>
      <c r="E2690" t="s">
        <v>1193</v>
      </c>
      <c r="F2690">
        <v>2510350</v>
      </c>
    </row>
    <row r="2691" spans="1:6">
      <c r="A2691" t="s">
        <v>27</v>
      </c>
      <c r="B2691" t="s">
        <v>58</v>
      </c>
      <c r="C2691" t="s">
        <v>913</v>
      </c>
      <c r="D2691" t="s">
        <v>1091</v>
      </c>
      <c r="E2691" t="s">
        <v>1194</v>
      </c>
      <c r="F2691">
        <v>2410581</v>
      </c>
    </row>
    <row r="2692" spans="1:6">
      <c r="A2692" t="s">
        <v>27</v>
      </c>
      <c r="B2692" t="s">
        <v>58</v>
      </c>
      <c r="C2692" t="s">
        <v>913</v>
      </c>
      <c r="D2692" t="s">
        <v>1091</v>
      </c>
      <c r="E2692" t="s">
        <v>1195</v>
      </c>
      <c r="F2692">
        <v>3752162</v>
      </c>
    </row>
    <row r="2693" spans="1:6">
      <c r="A2693" t="s">
        <v>27</v>
      </c>
      <c r="B2693" t="s">
        <v>58</v>
      </c>
      <c r="C2693" t="s">
        <v>913</v>
      </c>
      <c r="D2693" t="s">
        <v>1091</v>
      </c>
      <c r="E2693" t="s">
        <v>1196</v>
      </c>
      <c r="F2693">
        <v>3922659</v>
      </c>
    </row>
    <row r="2694" spans="1:6">
      <c r="A2694" t="s">
        <v>27</v>
      </c>
      <c r="B2694" t="s">
        <v>58</v>
      </c>
      <c r="C2694" t="s">
        <v>913</v>
      </c>
      <c r="D2694" t="s">
        <v>1091</v>
      </c>
      <c r="E2694" t="s">
        <v>1197</v>
      </c>
      <c r="F2694">
        <v>3076922</v>
      </c>
    </row>
    <row r="2695" spans="1:6">
      <c r="A2695" t="s">
        <v>27</v>
      </c>
      <c r="B2695" t="s">
        <v>58</v>
      </c>
      <c r="C2695" t="s">
        <v>913</v>
      </c>
      <c r="D2695" t="s">
        <v>1091</v>
      </c>
      <c r="E2695" t="s">
        <v>1198</v>
      </c>
      <c r="F2695">
        <v>3426794</v>
      </c>
    </row>
    <row r="2696" spans="1:6">
      <c r="A2696" t="s">
        <v>27</v>
      </c>
      <c r="B2696" t="s">
        <v>58</v>
      </c>
      <c r="C2696" t="s">
        <v>913</v>
      </c>
      <c r="D2696" t="s">
        <v>1091</v>
      </c>
      <c r="E2696" t="s">
        <v>1199</v>
      </c>
      <c r="F2696" t="s">
        <v>1192</v>
      </c>
    </row>
    <row r="2697" spans="1:6">
      <c r="A2697" t="s">
        <v>27</v>
      </c>
      <c r="B2697" t="s">
        <v>58</v>
      </c>
      <c r="C2697" t="s">
        <v>913</v>
      </c>
      <c r="D2697" t="s">
        <v>1091</v>
      </c>
      <c r="E2697" t="s">
        <v>1468</v>
      </c>
      <c r="F2697">
        <v>4860</v>
      </c>
    </row>
    <row r="2698" spans="1:6">
      <c r="A2698" t="s">
        <v>27</v>
      </c>
      <c r="B2698" t="s">
        <v>58</v>
      </c>
      <c r="C2698" t="s">
        <v>913</v>
      </c>
      <c r="D2698" t="s">
        <v>1091</v>
      </c>
      <c r="E2698" t="s">
        <v>1469</v>
      </c>
      <c r="F2698">
        <v>5481</v>
      </c>
    </row>
    <row r="2699" spans="1:6">
      <c r="A2699" t="s">
        <v>27</v>
      </c>
      <c r="B2699" t="s">
        <v>58</v>
      </c>
      <c r="C2699" t="s">
        <v>913</v>
      </c>
      <c r="D2699" t="s">
        <v>1091</v>
      </c>
      <c r="E2699" t="s">
        <v>1470</v>
      </c>
      <c r="F2699">
        <v>5791</v>
      </c>
    </row>
    <row r="2700" spans="1:6">
      <c r="A2700" t="s">
        <v>27</v>
      </c>
      <c r="B2700" t="s">
        <v>58</v>
      </c>
      <c r="C2700" t="s">
        <v>913</v>
      </c>
      <c r="D2700" t="s">
        <v>1091</v>
      </c>
      <c r="E2700" t="s">
        <v>1472</v>
      </c>
      <c r="F2700">
        <v>6767</v>
      </c>
    </row>
    <row r="2701" spans="1:6">
      <c r="A2701" t="s">
        <v>27</v>
      </c>
      <c r="B2701" t="s">
        <v>58</v>
      </c>
      <c r="C2701" t="s">
        <v>913</v>
      </c>
      <c r="D2701" t="s">
        <v>1091</v>
      </c>
      <c r="E2701" t="s">
        <v>1559</v>
      </c>
      <c r="F2701">
        <v>6100</v>
      </c>
    </row>
    <row r="2702" spans="1:6">
      <c r="A2702" t="s">
        <v>27</v>
      </c>
      <c r="B2702" t="s">
        <v>58</v>
      </c>
      <c r="C2702" t="s">
        <v>913</v>
      </c>
      <c r="D2702" t="s">
        <v>1091</v>
      </c>
      <c r="E2702" t="s">
        <v>1560</v>
      </c>
      <c r="F2702">
        <v>6419</v>
      </c>
    </row>
    <row r="2703" spans="1:6">
      <c r="A2703" t="s">
        <v>27</v>
      </c>
      <c r="B2703" t="s">
        <v>58</v>
      </c>
      <c r="C2703" t="s">
        <v>913</v>
      </c>
      <c r="D2703" t="s">
        <v>1091</v>
      </c>
      <c r="E2703" t="s">
        <v>1201</v>
      </c>
      <c r="F2703" t="s">
        <v>1200</v>
      </c>
    </row>
    <row r="2704" spans="1:6">
      <c r="A2704" t="s">
        <v>27</v>
      </c>
      <c r="B2704" t="s">
        <v>58</v>
      </c>
      <c r="C2704" t="s">
        <v>913</v>
      </c>
      <c r="D2704" t="s">
        <v>1091</v>
      </c>
      <c r="E2704" t="s">
        <v>1209</v>
      </c>
      <c r="F2704" t="s">
        <v>1107</v>
      </c>
    </row>
    <row r="2705" spans="1:6">
      <c r="A2705" t="s">
        <v>27</v>
      </c>
      <c r="B2705" t="s">
        <v>58</v>
      </c>
      <c r="C2705" t="s">
        <v>913</v>
      </c>
      <c r="D2705" t="s">
        <v>1091</v>
      </c>
      <c r="E2705" t="s">
        <v>1210</v>
      </c>
      <c r="F2705">
        <v>6829719</v>
      </c>
    </row>
    <row r="2706" spans="1:6">
      <c r="A2706" t="s">
        <v>27</v>
      </c>
      <c r="B2706" t="s">
        <v>58</v>
      </c>
      <c r="C2706" t="s">
        <v>913</v>
      </c>
      <c r="D2706" t="s">
        <v>1091</v>
      </c>
      <c r="E2706" t="s">
        <v>1211</v>
      </c>
      <c r="F2706">
        <v>1039257</v>
      </c>
    </row>
    <row r="2707" spans="1:6">
      <c r="A2707" t="s">
        <v>27</v>
      </c>
      <c r="B2707" t="s">
        <v>58</v>
      </c>
      <c r="C2707" t="s">
        <v>913</v>
      </c>
      <c r="D2707" t="s">
        <v>1091</v>
      </c>
      <c r="E2707" t="s">
        <v>1212</v>
      </c>
      <c r="F2707">
        <v>918537</v>
      </c>
    </row>
    <row r="2708" spans="1:6">
      <c r="A2708" t="s">
        <v>27</v>
      </c>
      <c r="B2708" t="s">
        <v>58</v>
      </c>
      <c r="C2708" t="s">
        <v>913</v>
      </c>
      <c r="D2708" t="s">
        <v>1091</v>
      </c>
      <c r="E2708" t="s">
        <v>1213</v>
      </c>
      <c r="F2708">
        <v>1237658</v>
      </c>
    </row>
    <row r="2709" spans="1:6">
      <c r="A2709" t="s">
        <v>27</v>
      </c>
      <c r="B2709" t="s">
        <v>58</v>
      </c>
      <c r="C2709" t="s">
        <v>913</v>
      </c>
      <c r="D2709" t="s">
        <v>1091</v>
      </c>
      <c r="E2709" t="s">
        <v>1214</v>
      </c>
      <c r="F2709">
        <v>1273686</v>
      </c>
    </row>
    <row r="2710" spans="1:6">
      <c r="A2710" t="s">
        <v>27</v>
      </c>
      <c r="B2710" t="s">
        <v>58</v>
      </c>
      <c r="C2710" t="s">
        <v>913</v>
      </c>
      <c r="D2710" t="s">
        <v>1091</v>
      </c>
      <c r="E2710" t="s">
        <v>1215</v>
      </c>
      <c r="F2710">
        <v>1210913</v>
      </c>
    </row>
    <row r="2711" spans="1:6">
      <c r="A2711" t="s">
        <v>27</v>
      </c>
      <c r="B2711" t="s">
        <v>58</v>
      </c>
      <c r="C2711" t="s">
        <v>913</v>
      </c>
      <c r="D2711" t="s">
        <v>1091</v>
      </c>
      <c r="E2711" t="s">
        <v>1216</v>
      </c>
      <c r="F2711">
        <v>1149668</v>
      </c>
    </row>
    <row r="2712" spans="1:6">
      <c r="A2712" t="s">
        <v>27</v>
      </c>
      <c r="B2712" t="s">
        <v>58</v>
      </c>
      <c r="C2712" t="s">
        <v>913</v>
      </c>
      <c r="D2712" t="s">
        <v>1091</v>
      </c>
      <c r="E2712" t="s">
        <v>1217</v>
      </c>
      <c r="F2712" t="s">
        <v>1307</v>
      </c>
    </row>
    <row r="2713" spans="1:6">
      <c r="A2713" t="s">
        <v>27</v>
      </c>
      <c r="B2713" t="s">
        <v>58</v>
      </c>
      <c r="C2713" t="s">
        <v>913</v>
      </c>
      <c r="D2713" t="s">
        <v>1091</v>
      </c>
      <c r="E2713" t="s">
        <v>1218</v>
      </c>
      <c r="F2713">
        <v>844</v>
      </c>
    </row>
    <row r="2714" spans="1:6">
      <c r="A2714" t="s">
        <v>27</v>
      </c>
      <c r="B2714" t="s">
        <v>58</v>
      </c>
      <c r="C2714" t="s">
        <v>913</v>
      </c>
      <c r="D2714" t="s">
        <v>1091</v>
      </c>
      <c r="E2714" t="s">
        <v>1219</v>
      </c>
      <c r="F2714">
        <v>0</v>
      </c>
    </row>
    <row r="2715" spans="1:6">
      <c r="A2715" t="s">
        <v>27</v>
      </c>
      <c r="B2715" t="s">
        <v>58</v>
      </c>
      <c r="C2715" t="s">
        <v>913</v>
      </c>
      <c r="D2715" t="s">
        <v>1091</v>
      </c>
      <c r="E2715" t="s">
        <v>1220</v>
      </c>
      <c r="F2715">
        <v>791</v>
      </c>
    </row>
    <row r="2716" spans="1:6">
      <c r="A2716" t="s">
        <v>27</v>
      </c>
      <c r="B2716" t="s">
        <v>58</v>
      </c>
      <c r="C2716" t="s">
        <v>913</v>
      </c>
      <c r="D2716" t="s">
        <v>1091</v>
      </c>
      <c r="E2716" t="s">
        <v>1221</v>
      </c>
      <c r="F2716">
        <v>0</v>
      </c>
    </row>
    <row r="2717" spans="1:6">
      <c r="A2717" t="s">
        <v>27</v>
      </c>
      <c r="B2717" t="s">
        <v>58</v>
      </c>
      <c r="C2717" t="s">
        <v>913</v>
      </c>
      <c r="D2717" t="s">
        <v>1091</v>
      </c>
      <c r="E2717" t="s">
        <v>1222</v>
      </c>
      <c r="F2717">
        <v>28</v>
      </c>
    </row>
    <row r="2718" spans="1:6">
      <c r="A2718" t="s">
        <v>27</v>
      </c>
      <c r="B2718" t="s">
        <v>58</v>
      </c>
      <c r="C2718" t="s">
        <v>913</v>
      </c>
      <c r="D2718" t="s">
        <v>1091</v>
      </c>
      <c r="E2718" t="s">
        <v>1223</v>
      </c>
      <c r="F2718">
        <v>0</v>
      </c>
    </row>
    <row r="2719" spans="1:6">
      <c r="A2719" t="s">
        <v>27</v>
      </c>
      <c r="B2719" t="s">
        <v>58</v>
      </c>
      <c r="C2719" t="s">
        <v>913</v>
      </c>
      <c r="D2719" t="s">
        <v>1091</v>
      </c>
      <c r="E2719" t="s">
        <v>1224</v>
      </c>
      <c r="F2719">
        <v>25</v>
      </c>
    </row>
    <row r="2720" spans="1:6">
      <c r="A2720" t="s">
        <v>27</v>
      </c>
      <c r="B2720" t="s">
        <v>58</v>
      </c>
      <c r="C2720" t="s">
        <v>913</v>
      </c>
      <c r="D2720" t="s">
        <v>1091</v>
      </c>
      <c r="E2720" t="s">
        <v>1225</v>
      </c>
      <c r="F2720" t="s">
        <v>1308</v>
      </c>
    </row>
    <row r="2721" spans="1:6">
      <c r="A2721" t="s">
        <v>27</v>
      </c>
      <c r="B2721" t="s">
        <v>58</v>
      </c>
      <c r="C2721" t="s">
        <v>913</v>
      </c>
      <c r="D2721" t="s">
        <v>1091</v>
      </c>
      <c r="E2721" t="s">
        <v>1480</v>
      </c>
      <c r="F2721">
        <v>12268906</v>
      </c>
    </row>
    <row r="2722" spans="1:6">
      <c r="A2722" t="s">
        <v>27</v>
      </c>
      <c r="B2722" t="s">
        <v>58</v>
      </c>
      <c r="C2722" t="s">
        <v>913</v>
      </c>
      <c r="D2722" t="s">
        <v>1091</v>
      </c>
      <c r="E2722" t="s">
        <v>1227</v>
      </c>
      <c r="F2722">
        <v>1471093</v>
      </c>
    </row>
    <row r="2723" spans="1:6">
      <c r="A2723" t="s">
        <v>27</v>
      </c>
      <c r="B2723" t="s">
        <v>58</v>
      </c>
      <c r="C2723" t="s">
        <v>913</v>
      </c>
      <c r="D2723" t="s">
        <v>1091</v>
      </c>
      <c r="E2723" t="s">
        <v>1228</v>
      </c>
      <c r="F2723">
        <v>1491253</v>
      </c>
    </row>
    <row r="2724" spans="1:6">
      <c r="A2724" t="s">
        <v>27</v>
      </c>
      <c r="B2724" t="s">
        <v>58</v>
      </c>
      <c r="C2724" t="s">
        <v>913</v>
      </c>
      <c r="D2724" t="s">
        <v>1091</v>
      </c>
      <c r="E2724" t="s">
        <v>1230</v>
      </c>
      <c r="F2724">
        <v>2514505</v>
      </c>
    </row>
    <row r="2725" spans="1:6">
      <c r="A2725" t="s">
        <v>27</v>
      </c>
      <c r="B2725" t="s">
        <v>58</v>
      </c>
      <c r="C2725" t="s">
        <v>913</v>
      </c>
      <c r="D2725" t="s">
        <v>1091</v>
      </c>
      <c r="E2725" t="s">
        <v>1231</v>
      </c>
      <c r="F2725">
        <v>2648945</v>
      </c>
    </row>
    <row r="2726" spans="1:6">
      <c r="A2726" t="s">
        <v>27</v>
      </c>
      <c r="B2726" t="s">
        <v>58</v>
      </c>
      <c r="C2726" t="s">
        <v>913</v>
      </c>
      <c r="D2726" t="s">
        <v>1091</v>
      </c>
      <c r="E2726" t="s">
        <v>1233</v>
      </c>
      <c r="F2726">
        <v>1866008</v>
      </c>
    </row>
    <row r="2727" spans="1:6">
      <c r="A2727" t="s">
        <v>27</v>
      </c>
      <c r="B2727" t="s">
        <v>58</v>
      </c>
      <c r="C2727" t="s">
        <v>913</v>
      </c>
      <c r="D2727" t="s">
        <v>1091</v>
      </c>
      <c r="E2727" t="s">
        <v>1234</v>
      </c>
      <c r="F2727">
        <v>2277102</v>
      </c>
    </row>
    <row r="2728" spans="1:6">
      <c r="A2728" t="s">
        <v>27</v>
      </c>
      <c r="B2728" t="s">
        <v>58</v>
      </c>
      <c r="C2728" t="s">
        <v>913</v>
      </c>
      <c r="D2728" t="s">
        <v>1091</v>
      </c>
      <c r="E2728" t="s">
        <v>1235</v>
      </c>
      <c r="F2728" t="s">
        <v>1226</v>
      </c>
    </row>
    <row r="2729" spans="1:6">
      <c r="A2729" t="s">
        <v>27</v>
      </c>
      <c r="B2729" t="s">
        <v>58</v>
      </c>
      <c r="C2729" t="s">
        <v>913</v>
      </c>
      <c r="D2729" t="s">
        <v>1091</v>
      </c>
      <c r="E2729" t="s">
        <v>1237</v>
      </c>
      <c r="F2729" t="s">
        <v>1313</v>
      </c>
    </row>
    <row r="2730" spans="1:6">
      <c r="A2730" t="s">
        <v>27</v>
      </c>
      <c r="B2730" t="s">
        <v>58</v>
      </c>
      <c r="C2730" t="s">
        <v>913</v>
      </c>
      <c r="D2730" t="s">
        <v>1091</v>
      </c>
      <c r="E2730" t="s">
        <v>1238</v>
      </c>
      <c r="F2730" t="s">
        <v>1407</v>
      </c>
    </row>
    <row r="2731" spans="1:6">
      <c r="A2731" t="s">
        <v>27</v>
      </c>
      <c r="B2731" t="s">
        <v>58</v>
      </c>
      <c r="C2731" t="s">
        <v>913</v>
      </c>
      <c r="D2731" t="s">
        <v>1091</v>
      </c>
      <c r="E2731" t="s">
        <v>1240</v>
      </c>
      <c r="F2731" t="s">
        <v>1407</v>
      </c>
    </row>
    <row r="2732" spans="1:6">
      <c r="A2732" t="s">
        <v>27</v>
      </c>
      <c r="B2732" t="s">
        <v>58</v>
      </c>
      <c r="C2732" t="s">
        <v>913</v>
      </c>
      <c r="D2732" t="s">
        <v>1091</v>
      </c>
      <c r="E2732" t="s">
        <v>1241</v>
      </c>
      <c r="F2732" t="s">
        <v>1407</v>
      </c>
    </row>
    <row r="2733" spans="1:6">
      <c r="A2733" t="s">
        <v>27</v>
      </c>
      <c r="B2733" t="s">
        <v>58</v>
      </c>
      <c r="C2733" t="s">
        <v>913</v>
      </c>
      <c r="D2733" t="s">
        <v>1091</v>
      </c>
      <c r="E2733" t="s">
        <v>1243</v>
      </c>
      <c r="F2733" t="s">
        <v>1232</v>
      </c>
    </row>
    <row r="2734" spans="1:6">
      <c r="A2734" t="s">
        <v>27</v>
      </c>
      <c r="B2734" t="s">
        <v>58</v>
      </c>
      <c r="C2734" t="s">
        <v>913</v>
      </c>
      <c r="D2734" t="s">
        <v>1091</v>
      </c>
      <c r="E2734" t="s">
        <v>1244</v>
      </c>
      <c r="F2734" t="s">
        <v>1242</v>
      </c>
    </row>
    <row r="2735" spans="1:6">
      <c r="A2735" t="s">
        <v>27</v>
      </c>
      <c r="B2735" t="s">
        <v>58</v>
      </c>
      <c r="C2735" t="s">
        <v>913</v>
      </c>
      <c r="D2735" t="s">
        <v>1091</v>
      </c>
      <c r="E2735" t="s">
        <v>1245</v>
      </c>
      <c r="F2735" t="s">
        <v>1236</v>
      </c>
    </row>
    <row r="2736" spans="1:6">
      <c r="A2736" t="s">
        <v>27</v>
      </c>
      <c r="B2736" t="s">
        <v>58</v>
      </c>
      <c r="C2736" t="s">
        <v>913</v>
      </c>
      <c r="D2736" t="s">
        <v>1091</v>
      </c>
      <c r="E2736" t="s">
        <v>1248</v>
      </c>
      <c r="F2736" t="s">
        <v>1386</v>
      </c>
    </row>
    <row r="2737" spans="1:6">
      <c r="A2737" t="s">
        <v>27</v>
      </c>
      <c r="B2737" t="s">
        <v>58</v>
      </c>
      <c r="C2737" t="s">
        <v>913</v>
      </c>
      <c r="D2737" t="s">
        <v>1091</v>
      </c>
      <c r="E2737" t="s">
        <v>1249</v>
      </c>
      <c r="F2737" t="s">
        <v>1547</v>
      </c>
    </row>
    <row r="2738" spans="1:6">
      <c r="A2738" t="s">
        <v>27</v>
      </c>
      <c r="B2738" t="s">
        <v>58</v>
      </c>
      <c r="C2738" t="s">
        <v>913</v>
      </c>
      <c r="D2738" t="s">
        <v>1091</v>
      </c>
      <c r="E2738" t="s">
        <v>1250</v>
      </c>
      <c r="F2738" t="s">
        <v>1317</v>
      </c>
    </row>
    <row r="2739" spans="1:6">
      <c r="A2739" t="s">
        <v>27</v>
      </c>
      <c r="B2739" t="s">
        <v>58</v>
      </c>
      <c r="C2739" t="s">
        <v>913</v>
      </c>
      <c r="D2739" t="s">
        <v>1091</v>
      </c>
      <c r="E2739" t="s">
        <v>1251</v>
      </c>
      <c r="F2739" t="s">
        <v>1328</v>
      </c>
    </row>
    <row r="2740" spans="1:6">
      <c r="A2740" t="s">
        <v>27</v>
      </c>
      <c r="B2740" t="s">
        <v>58</v>
      </c>
      <c r="C2740" t="s">
        <v>913</v>
      </c>
      <c r="D2740" t="s">
        <v>1091</v>
      </c>
      <c r="E2740" t="s">
        <v>1252</v>
      </c>
      <c r="F2740" t="s">
        <v>1318</v>
      </c>
    </row>
    <row r="2741" spans="1:6">
      <c r="A2741" t="s">
        <v>27</v>
      </c>
      <c r="B2741" t="s">
        <v>58</v>
      </c>
      <c r="C2741" t="s">
        <v>913</v>
      </c>
      <c r="D2741" t="s">
        <v>1091</v>
      </c>
      <c r="E2741" t="s">
        <v>1253</v>
      </c>
      <c r="F2741" t="s">
        <v>1314</v>
      </c>
    </row>
    <row r="2742" spans="1:6">
      <c r="A2742" t="s">
        <v>27</v>
      </c>
      <c r="B2742" t="s">
        <v>58</v>
      </c>
      <c r="C2742" t="s">
        <v>913</v>
      </c>
      <c r="D2742" t="s">
        <v>1091</v>
      </c>
      <c r="E2742" t="s">
        <v>1254</v>
      </c>
      <c r="F2742" t="s">
        <v>1246</v>
      </c>
    </row>
    <row r="2743" spans="1:6">
      <c r="A2743" t="s">
        <v>27</v>
      </c>
      <c r="B2743" t="s">
        <v>58</v>
      </c>
      <c r="C2743" t="s">
        <v>913</v>
      </c>
      <c r="D2743" t="s">
        <v>1091</v>
      </c>
      <c r="E2743" t="s">
        <v>1256</v>
      </c>
      <c r="F2743">
        <v>1401951</v>
      </c>
    </row>
    <row r="2744" spans="1:6">
      <c r="A2744" t="s">
        <v>27</v>
      </c>
      <c r="B2744" t="s">
        <v>58</v>
      </c>
      <c r="C2744" t="s">
        <v>913</v>
      </c>
      <c r="D2744" t="s">
        <v>1091</v>
      </c>
      <c r="E2744" t="s">
        <v>1257</v>
      </c>
      <c r="F2744">
        <v>846536</v>
      </c>
    </row>
    <row r="2745" spans="1:6">
      <c r="A2745" t="s">
        <v>27</v>
      </c>
      <c r="B2745" t="s">
        <v>58</v>
      </c>
      <c r="C2745" t="s">
        <v>913</v>
      </c>
      <c r="D2745" t="s">
        <v>1091</v>
      </c>
      <c r="E2745" t="s">
        <v>1258</v>
      </c>
      <c r="F2745">
        <v>95940</v>
      </c>
    </row>
    <row r="2746" spans="1:6">
      <c r="A2746" t="s">
        <v>27</v>
      </c>
      <c r="B2746" t="s">
        <v>58</v>
      </c>
      <c r="C2746" t="s">
        <v>913</v>
      </c>
      <c r="D2746" t="s">
        <v>1091</v>
      </c>
      <c r="E2746" t="s">
        <v>1259</v>
      </c>
      <c r="F2746">
        <v>140388</v>
      </c>
    </row>
    <row r="2747" spans="1:6">
      <c r="A2747" t="s">
        <v>27</v>
      </c>
      <c r="B2747" t="s">
        <v>58</v>
      </c>
      <c r="C2747" t="s">
        <v>913</v>
      </c>
      <c r="D2747" t="s">
        <v>1091</v>
      </c>
      <c r="E2747" t="s">
        <v>1260</v>
      </c>
      <c r="F2747">
        <v>184442</v>
      </c>
    </row>
    <row r="2748" spans="1:6">
      <c r="A2748" t="s">
        <v>27</v>
      </c>
      <c r="B2748" t="s">
        <v>58</v>
      </c>
      <c r="C2748" t="s">
        <v>913</v>
      </c>
      <c r="D2748" t="s">
        <v>1091</v>
      </c>
      <c r="E2748" t="s">
        <v>1261</v>
      </c>
      <c r="F2748">
        <v>85922</v>
      </c>
    </row>
    <row r="2749" spans="1:6">
      <c r="A2749" t="s">
        <v>27</v>
      </c>
      <c r="B2749" t="s">
        <v>58</v>
      </c>
      <c r="C2749" t="s">
        <v>913</v>
      </c>
      <c r="D2749" t="s">
        <v>1091</v>
      </c>
      <c r="E2749" t="s">
        <v>1262</v>
      </c>
      <c r="F2749">
        <v>48723</v>
      </c>
    </row>
    <row r="2750" spans="1:6">
      <c r="A2750" t="s">
        <v>27</v>
      </c>
      <c r="B2750" t="s">
        <v>58</v>
      </c>
      <c r="C2750" t="s">
        <v>913</v>
      </c>
      <c r="D2750" t="s">
        <v>1091</v>
      </c>
      <c r="E2750" t="s">
        <v>1263</v>
      </c>
      <c r="F2750" t="s">
        <v>1255</v>
      </c>
    </row>
    <row r="2751" spans="1:6">
      <c r="A2751" t="s">
        <v>27</v>
      </c>
      <c r="B2751" t="s">
        <v>58</v>
      </c>
      <c r="C2751" t="s">
        <v>913</v>
      </c>
      <c r="D2751" t="s">
        <v>1091</v>
      </c>
      <c r="E2751" t="s">
        <v>1264</v>
      </c>
      <c r="F2751">
        <v>7254</v>
      </c>
    </row>
    <row r="2752" spans="1:6">
      <c r="A2752" t="s">
        <v>27</v>
      </c>
      <c r="B2752" t="s">
        <v>58</v>
      </c>
      <c r="C2752" t="s">
        <v>913</v>
      </c>
      <c r="D2752" t="s">
        <v>1091</v>
      </c>
      <c r="E2752" t="s">
        <v>1265</v>
      </c>
      <c r="F2752">
        <v>3740</v>
      </c>
    </row>
    <row r="2753" spans="1:6">
      <c r="A2753" t="s">
        <v>27</v>
      </c>
      <c r="B2753" t="s">
        <v>58</v>
      </c>
      <c r="C2753" t="s">
        <v>913</v>
      </c>
      <c r="D2753" t="s">
        <v>1091</v>
      </c>
      <c r="E2753" t="s">
        <v>1266</v>
      </c>
      <c r="F2753">
        <v>737</v>
      </c>
    </row>
    <row r="2754" spans="1:6">
      <c r="A2754" t="s">
        <v>27</v>
      </c>
      <c r="B2754" t="s">
        <v>58</v>
      </c>
      <c r="C2754" t="s">
        <v>913</v>
      </c>
      <c r="D2754" t="s">
        <v>1091</v>
      </c>
      <c r="E2754" t="s">
        <v>1268</v>
      </c>
      <c r="F2754">
        <v>1061</v>
      </c>
    </row>
    <row r="2755" spans="1:6">
      <c r="A2755" t="s">
        <v>27</v>
      </c>
      <c r="B2755" t="s">
        <v>58</v>
      </c>
      <c r="C2755" t="s">
        <v>913</v>
      </c>
      <c r="D2755" t="s">
        <v>1091</v>
      </c>
      <c r="E2755" t="s">
        <v>1269</v>
      </c>
      <c r="F2755">
        <v>786</v>
      </c>
    </row>
    <row r="2756" spans="1:6">
      <c r="A2756" t="s">
        <v>27</v>
      </c>
      <c r="B2756" t="s">
        <v>58</v>
      </c>
      <c r="C2756" t="s">
        <v>913</v>
      </c>
      <c r="D2756" t="s">
        <v>1091</v>
      </c>
      <c r="E2756" t="s">
        <v>1271</v>
      </c>
      <c r="F2756">
        <v>620</v>
      </c>
    </row>
    <row r="2757" spans="1:6">
      <c r="A2757" t="s">
        <v>27</v>
      </c>
      <c r="B2757" t="s">
        <v>58</v>
      </c>
      <c r="C2757" t="s">
        <v>913</v>
      </c>
      <c r="D2757" t="s">
        <v>1091</v>
      </c>
      <c r="E2757" t="s">
        <v>1272</v>
      </c>
      <c r="F2757">
        <v>310</v>
      </c>
    </row>
    <row r="2758" spans="1:6">
      <c r="A2758" t="s">
        <v>27</v>
      </c>
      <c r="B2758" t="s">
        <v>58</v>
      </c>
      <c r="C2758" t="s">
        <v>913</v>
      </c>
      <c r="D2758" t="s">
        <v>1091</v>
      </c>
      <c r="E2758" t="s">
        <v>1561</v>
      </c>
      <c r="F2758" t="s">
        <v>1131</v>
      </c>
    </row>
    <row r="2759" spans="1:6">
      <c r="A2759" t="s">
        <v>27</v>
      </c>
      <c r="B2759" t="s">
        <v>58</v>
      </c>
      <c r="C2759" t="s">
        <v>913</v>
      </c>
      <c r="D2759" t="s">
        <v>1091</v>
      </c>
      <c r="E2759" t="s">
        <v>1562</v>
      </c>
      <c r="F2759" t="s">
        <v>1311</v>
      </c>
    </row>
    <row r="2760" spans="1:6">
      <c r="A2760" t="s">
        <v>27</v>
      </c>
      <c r="B2760" t="s">
        <v>58</v>
      </c>
      <c r="C2760" t="s">
        <v>913</v>
      </c>
      <c r="D2760" t="s">
        <v>1091</v>
      </c>
      <c r="E2760" t="s">
        <v>1563</v>
      </c>
      <c r="F2760" t="s">
        <v>1319</v>
      </c>
    </row>
    <row r="2761" spans="1:6">
      <c r="A2761" t="s">
        <v>27</v>
      </c>
      <c r="B2761" t="s">
        <v>58</v>
      </c>
      <c r="C2761" t="s">
        <v>913</v>
      </c>
      <c r="D2761" t="s">
        <v>1091</v>
      </c>
      <c r="E2761" t="s">
        <v>1564</v>
      </c>
      <c r="F2761" t="s">
        <v>1409</v>
      </c>
    </row>
    <row r="2762" spans="1:6">
      <c r="A2762" t="s">
        <v>27</v>
      </c>
      <c r="B2762" t="s">
        <v>58</v>
      </c>
      <c r="C2762" t="s">
        <v>913</v>
      </c>
      <c r="D2762" t="s">
        <v>1091</v>
      </c>
      <c r="E2762" t="s">
        <v>1565</v>
      </c>
      <c r="F2762" t="s">
        <v>1409</v>
      </c>
    </row>
    <row r="2763" spans="1:6">
      <c r="A2763" t="s">
        <v>27</v>
      </c>
      <c r="B2763" t="s">
        <v>58</v>
      </c>
      <c r="C2763" t="s">
        <v>913</v>
      </c>
      <c r="D2763" t="s">
        <v>1091</v>
      </c>
      <c r="E2763" t="s">
        <v>1566</v>
      </c>
      <c r="F2763" t="s">
        <v>1409</v>
      </c>
    </row>
    <row r="2764" spans="1:6">
      <c r="A2764" t="s">
        <v>27</v>
      </c>
      <c r="B2764" t="s">
        <v>58</v>
      </c>
      <c r="C2764" t="s">
        <v>913</v>
      </c>
      <c r="D2764" t="s">
        <v>1091</v>
      </c>
      <c r="E2764" t="s">
        <v>1488</v>
      </c>
      <c r="F2764" t="s">
        <v>1270</v>
      </c>
    </row>
    <row r="2765" spans="1:6">
      <c r="A2765" t="s">
        <v>27</v>
      </c>
      <c r="B2765" t="s">
        <v>58</v>
      </c>
      <c r="C2765" t="s">
        <v>913</v>
      </c>
      <c r="D2765" t="s">
        <v>1091</v>
      </c>
      <c r="E2765" t="s">
        <v>1567</v>
      </c>
      <c r="F2765" t="s">
        <v>1310</v>
      </c>
    </row>
    <row r="2766" spans="1:6">
      <c r="A2766" t="s">
        <v>27</v>
      </c>
      <c r="B2766" t="s">
        <v>58</v>
      </c>
      <c r="C2766" t="s">
        <v>913</v>
      </c>
      <c r="D2766" t="s">
        <v>1273</v>
      </c>
      <c r="E2766" t="s">
        <v>1274</v>
      </c>
      <c r="F2766" t="s">
        <v>1306</v>
      </c>
    </row>
    <row r="2767" spans="1:6">
      <c r="A2767" t="s">
        <v>27</v>
      </c>
      <c r="B2767" t="s">
        <v>58</v>
      </c>
      <c r="C2767" t="s">
        <v>913</v>
      </c>
      <c r="D2767" t="s">
        <v>1273</v>
      </c>
      <c r="E2767" t="s">
        <v>1275</v>
      </c>
      <c r="F2767" t="s">
        <v>1511</v>
      </c>
    </row>
    <row r="2768" spans="1:6">
      <c r="A2768" t="s">
        <v>27</v>
      </c>
      <c r="B2768" t="s">
        <v>58</v>
      </c>
      <c r="C2768" t="s">
        <v>913</v>
      </c>
      <c r="D2768" t="s">
        <v>1273</v>
      </c>
      <c r="E2768" t="s">
        <v>1276</v>
      </c>
      <c r="F2768" t="s">
        <v>1277</v>
      </c>
    </row>
    <row r="2769" spans="1:6">
      <c r="A2769" t="s">
        <v>27</v>
      </c>
      <c r="B2769" t="s">
        <v>58</v>
      </c>
      <c r="C2769" t="s">
        <v>913</v>
      </c>
      <c r="D2769" t="s">
        <v>1273</v>
      </c>
      <c r="E2769" t="s">
        <v>1278</v>
      </c>
      <c r="F2769" t="s">
        <v>1511</v>
      </c>
    </row>
    <row r="2770" spans="1:6">
      <c r="A2770" t="s">
        <v>27</v>
      </c>
      <c r="B2770" t="s">
        <v>58</v>
      </c>
      <c r="C2770" t="s">
        <v>913</v>
      </c>
      <c r="D2770" t="s">
        <v>1273</v>
      </c>
      <c r="E2770" t="s">
        <v>1279</v>
      </c>
      <c r="F2770" t="s">
        <v>1280</v>
      </c>
    </row>
    <row r="2771" spans="1:6">
      <c r="A2771" t="s">
        <v>27</v>
      </c>
      <c r="B2771" t="s">
        <v>58</v>
      </c>
      <c r="C2771" t="s">
        <v>913</v>
      </c>
      <c r="D2771" t="s">
        <v>1273</v>
      </c>
      <c r="E2771" t="s">
        <v>1281</v>
      </c>
      <c r="F2771" t="s">
        <v>1282</v>
      </c>
    </row>
    <row r="2772" spans="1:6">
      <c r="A2772" t="s">
        <v>27</v>
      </c>
      <c r="B2772" t="s">
        <v>58</v>
      </c>
      <c r="C2772" t="s">
        <v>913</v>
      </c>
      <c r="D2772" t="s">
        <v>1273</v>
      </c>
      <c r="E2772" t="s">
        <v>1283</v>
      </c>
      <c r="F2772" t="s">
        <v>1284</v>
      </c>
    </row>
    <row r="2773" spans="1:6">
      <c r="A2773" t="s">
        <v>27</v>
      </c>
      <c r="B2773" t="s">
        <v>58</v>
      </c>
      <c r="C2773" t="s">
        <v>913</v>
      </c>
      <c r="D2773" t="s">
        <v>1273</v>
      </c>
      <c r="E2773" t="s">
        <v>1285</v>
      </c>
      <c r="F2773" t="s">
        <v>377</v>
      </c>
    </row>
    <row r="2774" spans="1:6">
      <c r="A2774" t="s">
        <v>27</v>
      </c>
      <c r="B2774" t="s">
        <v>58</v>
      </c>
      <c r="C2774" t="s">
        <v>913</v>
      </c>
      <c r="D2774" t="s">
        <v>1273</v>
      </c>
      <c r="E2774" t="s">
        <v>1286</v>
      </c>
      <c r="F2774">
        <v>183</v>
      </c>
    </row>
    <row r="2775" spans="1:6">
      <c r="A2775" t="s">
        <v>27</v>
      </c>
      <c r="B2775" t="s">
        <v>58</v>
      </c>
      <c r="C2775" t="s">
        <v>913</v>
      </c>
      <c r="D2775" t="s">
        <v>1273</v>
      </c>
      <c r="E2775" t="s">
        <v>1287</v>
      </c>
      <c r="F2775">
        <v>27</v>
      </c>
    </row>
    <row r="2776" spans="1:6">
      <c r="A2776" t="s">
        <v>27</v>
      </c>
      <c r="B2776" t="s">
        <v>58</v>
      </c>
      <c r="C2776" t="s">
        <v>913</v>
      </c>
      <c r="D2776" t="s">
        <v>1273</v>
      </c>
      <c r="E2776" t="s">
        <v>1288</v>
      </c>
      <c r="F2776" t="s">
        <v>379</v>
      </c>
    </row>
    <row r="2777" spans="1:6">
      <c r="A2777" t="s">
        <v>27</v>
      </c>
      <c r="B2777" t="s">
        <v>58</v>
      </c>
      <c r="C2777" t="s">
        <v>913</v>
      </c>
      <c r="D2777" t="s">
        <v>1273</v>
      </c>
      <c r="E2777" t="s">
        <v>1096</v>
      </c>
      <c r="F2777">
        <v>469</v>
      </c>
    </row>
    <row r="2778" spans="1:6">
      <c r="A2778" t="s">
        <v>27</v>
      </c>
      <c r="B2778" t="s">
        <v>58</v>
      </c>
      <c r="C2778" t="s">
        <v>913</v>
      </c>
      <c r="D2778" t="s">
        <v>1273</v>
      </c>
      <c r="E2778" t="s">
        <v>1004</v>
      </c>
      <c r="F2778">
        <v>2417</v>
      </c>
    </row>
    <row r="2779" spans="1:6">
      <c r="A2779" t="s">
        <v>27</v>
      </c>
      <c r="B2779" t="s">
        <v>58</v>
      </c>
      <c r="C2779" t="s">
        <v>913</v>
      </c>
      <c r="D2779" t="s">
        <v>1273</v>
      </c>
      <c r="E2779" t="s">
        <v>1289</v>
      </c>
      <c r="F2779" t="s">
        <v>381</v>
      </c>
    </row>
    <row r="2780" spans="1:6">
      <c r="A2780" t="s">
        <v>27</v>
      </c>
      <c r="B2780" t="s">
        <v>58</v>
      </c>
      <c r="C2780" t="s">
        <v>913</v>
      </c>
      <c r="D2780" t="s">
        <v>1273</v>
      </c>
      <c r="E2780" t="s">
        <v>1290</v>
      </c>
      <c r="F2780">
        <v>4270</v>
      </c>
    </row>
    <row r="2781" spans="1:6">
      <c r="A2781" t="s">
        <v>27</v>
      </c>
      <c r="B2781" t="s">
        <v>58</v>
      </c>
      <c r="C2781" t="s">
        <v>913</v>
      </c>
      <c r="D2781" t="s">
        <v>1273</v>
      </c>
      <c r="E2781" t="s">
        <v>1291</v>
      </c>
      <c r="F2781">
        <v>203009</v>
      </c>
    </row>
    <row r="2782" spans="1:6">
      <c r="A2782" t="s">
        <v>27</v>
      </c>
      <c r="B2782" t="s">
        <v>58</v>
      </c>
      <c r="C2782" t="s">
        <v>913</v>
      </c>
      <c r="D2782" t="s">
        <v>1273</v>
      </c>
      <c r="E2782" t="s">
        <v>1008</v>
      </c>
      <c r="F2782" t="s">
        <v>383</v>
      </c>
    </row>
    <row r="2783" spans="1:6">
      <c r="A2783" t="s">
        <v>27</v>
      </c>
      <c r="B2783" t="s">
        <v>58</v>
      </c>
      <c r="C2783" t="s">
        <v>913</v>
      </c>
      <c r="D2783" t="s">
        <v>1273</v>
      </c>
      <c r="E2783" t="s">
        <v>1010</v>
      </c>
      <c r="F2783">
        <v>2772</v>
      </c>
    </row>
    <row r="2784" spans="1:6">
      <c r="A2784" t="s">
        <v>27</v>
      </c>
      <c r="B2784" t="s">
        <v>58</v>
      </c>
      <c r="C2784" t="s">
        <v>913</v>
      </c>
      <c r="D2784" t="s">
        <v>1273</v>
      </c>
      <c r="E2784" t="s">
        <v>1012</v>
      </c>
      <c r="F2784">
        <v>686886</v>
      </c>
    </row>
    <row r="2785" spans="1:6">
      <c r="A2785" t="s">
        <v>27</v>
      </c>
      <c r="B2785" t="s">
        <v>58</v>
      </c>
      <c r="C2785" t="s">
        <v>913</v>
      </c>
      <c r="D2785" t="s">
        <v>1273</v>
      </c>
      <c r="E2785" t="s">
        <v>1035</v>
      </c>
      <c r="F2785" t="s">
        <v>385</v>
      </c>
    </row>
    <row r="2786" spans="1:6">
      <c r="A2786" t="s">
        <v>27</v>
      </c>
      <c r="B2786" t="s">
        <v>58</v>
      </c>
      <c r="C2786" t="s">
        <v>913</v>
      </c>
      <c r="D2786" t="s">
        <v>1273</v>
      </c>
      <c r="E2786" t="s">
        <v>1099</v>
      </c>
      <c r="F2786">
        <v>189</v>
      </c>
    </row>
    <row r="2787" spans="1:6">
      <c r="A2787" t="s">
        <v>27</v>
      </c>
      <c r="B2787" t="s">
        <v>58</v>
      </c>
      <c r="C2787" t="s">
        <v>913</v>
      </c>
      <c r="D2787" t="s">
        <v>1273</v>
      </c>
      <c r="E2787" t="s">
        <v>1100</v>
      </c>
      <c r="F2787">
        <v>591034</v>
      </c>
    </row>
    <row r="2788" spans="1:6">
      <c r="A2788" t="s">
        <v>27</v>
      </c>
      <c r="B2788" t="s">
        <v>58</v>
      </c>
      <c r="C2788" t="s">
        <v>913</v>
      </c>
      <c r="D2788" t="s">
        <v>1273</v>
      </c>
      <c r="E2788" t="s">
        <v>1037</v>
      </c>
      <c r="F2788" t="s">
        <v>1292</v>
      </c>
    </row>
    <row r="2789" spans="1:6">
      <c r="A2789" t="s">
        <v>27</v>
      </c>
      <c r="B2789" t="s">
        <v>58</v>
      </c>
      <c r="C2789" t="s">
        <v>913</v>
      </c>
      <c r="D2789" t="s">
        <v>1273</v>
      </c>
      <c r="E2789" t="s">
        <v>1103</v>
      </c>
      <c r="F2789">
        <v>7883</v>
      </c>
    </row>
    <row r="2790" spans="1:6">
      <c r="A2790" t="s">
        <v>27</v>
      </c>
      <c r="B2790" t="s">
        <v>58</v>
      </c>
      <c r="C2790" t="s">
        <v>913</v>
      </c>
      <c r="D2790" t="s">
        <v>1273</v>
      </c>
      <c r="E2790" t="s">
        <v>1104</v>
      </c>
      <c r="F2790">
        <v>1483372</v>
      </c>
    </row>
    <row r="2791" spans="1:6">
      <c r="A2791" t="s">
        <v>27</v>
      </c>
      <c r="B2791" t="s">
        <v>58</v>
      </c>
      <c r="C2791" t="s">
        <v>913</v>
      </c>
      <c r="D2791" t="s">
        <v>1273</v>
      </c>
      <c r="E2791" t="s">
        <v>1052</v>
      </c>
      <c r="F2791" t="s">
        <v>1293</v>
      </c>
    </row>
    <row r="2792" spans="1:6">
      <c r="A2792" t="s">
        <v>27</v>
      </c>
      <c r="B2792" t="s">
        <v>58</v>
      </c>
      <c r="C2792" t="s">
        <v>913</v>
      </c>
      <c r="D2792" t="s">
        <v>1273</v>
      </c>
      <c r="E2792" t="s">
        <v>1053</v>
      </c>
      <c r="F2792" t="s">
        <v>1294</v>
      </c>
    </row>
    <row r="2793" spans="1:6">
      <c r="A2793" t="s">
        <v>27</v>
      </c>
      <c r="B2793" t="s">
        <v>58</v>
      </c>
      <c r="C2793" t="s">
        <v>913</v>
      </c>
      <c r="D2793" t="s">
        <v>1273</v>
      </c>
      <c r="E2793" t="s">
        <v>1108</v>
      </c>
      <c r="F2793" t="s">
        <v>1295</v>
      </c>
    </row>
    <row r="2794" spans="1:6">
      <c r="A2794" t="s">
        <v>27</v>
      </c>
      <c r="B2794" t="s">
        <v>58</v>
      </c>
      <c r="C2794" t="s">
        <v>913</v>
      </c>
      <c r="D2794" t="s">
        <v>1273</v>
      </c>
      <c r="E2794" t="s">
        <v>1109</v>
      </c>
      <c r="F2794" t="s">
        <v>1295</v>
      </c>
    </row>
    <row r="2795" spans="1:6">
      <c r="A2795" t="s">
        <v>27</v>
      </c>
      <c r="B2795" t="s">
        <v>58</v>
      </c>
      <c r="C2795" t="s">
        <v>913</v>
      </c>
      <c r="D2795" t="s">
        <v>1273</v>
      </c>
      <c r="E2795" t="s">
        <v>1113</v>
      </c>
      <c r="F2795">
        <v>2018</v>
      </c>
    </row>
    <row r="2796" spans="1:6">
      <c r="A2796" t="s">
        <v>27</v>
      </c>
      <c r="B2796" t="s">
        <v>58</v>
      </c>
      <c r="C2796" t="s">
        <v>913</v>
      </c>
      <c r="D2796" t="s">
        <v>1273</v>
      </c>
      <c r="E2796" t="s">
        <v>1114</v>
      </c>
      <c r="F2796" t="s">
        <v>1295</v>
      </c>
    </row>
    <row r="2797" spans="1:6">
      <c r="A2797" t="s">
        <v>27</v>
      </c>
      <c r="B2797" t="s">
        <v>58</v>
      </c>
      <c r="C2797" t="s">
        <v>913</v>
      </c>
      <c r="D2797" t="s">
        <v>1273</v>
      </c>
      <c r="E2797" t="s">
        <v>1115</v>
      </c>
      <c r="F2797" t="s">
        <v>1295</v>
      </c>
    </row>
    <row r="2798" spans="1:6">
      <c r="A2798" t="s">
        <v>27</v>
      </c>
      <c r="B2798" t="s">
        <v>58</v>
      </c>
      <c r="C2798" t="s">
        <v>913</v>
      </c>
      <c r="D2798" t="s">
        <v>1273</v>
      </c>
      <c r="E2798" t="s">
        <v>1118</v>
      </c>
      <c r="F2798">
        <v>2019</v>
      </c>
    </row>
    <row r="2799" spans="1:6">
      <c r="A2799" t="s">
        <v>27</v>
      </c>
      <c r="B2799" t="s">
        <v>58</v>
      </c>
      <c r="C2799" t="s">
        <v>913</v>
      </c>
      <c r="D2799" t="s">
        <v>1273</v>
      </c>
      <c r="E2799" t="s">
        <v>1119</v>
      </c>
      <c r="F2799" t="s">
        <v>1295</v>
      </c>
    </row>
    <row r="2800" spans="1:6">
      <c r="A2800" t="s">
        <v>27</v>
      </c>
      <c r="B2800" t="s">
        <v>58</v>
      </c>
      <c r="C2800" t="s">
        <v>913</v>
      </c>
      <c r="D2800" t="s">
        <v>1273</v>
      </c>
      <c r="E2800" t="s">
        <v>1120</v>
      </c>
      <c r="F2800" t="s">
        <v>1295</v>
      </c>
    </row>
    <row r="2801" spans="1:6">
      <c r="A2801" t="s">
        <v>27</v>
      </c>
      <c r="B2801" t="s">
        <v>58</v>
      </c>
      <c r="C2801" t="s">
        <v>913</v>
      </c>
      <c r="D2801" t="s">
        <v>1273</v>
      </c>
      <c r="E2801" t="s">
        <v>1124</v>
      </c>
      <c r="F2801">
        <v>2020</v>
      </c>
    </row>
    <row r="2802" spans="1:6">
      <c r="A2802" t="s">
        <v>27</v>
      </c>
      <c r="B2802" t="s">
        <v>58</v>
      </c>
      <c r="C2802" t="s">
        <v>913</v>
      </c>
      <c r="D2802" t="s">
        <v>1273</v>
      </c>
      <c r="E2802" t="s">
        <v>1126</v>
      </c>
      <c r="F2802">
        <v>1</v>
      </c>
    </row>
    <row r="2803" spans="1:6">
      <c r="A2803" t="s">
        <v>27</v>
      </c>
      <c r="B2803" t="s">
        <v>58</v>
      </c>
      <c r="C2803" t="s">
        <v>913</v>
      </c>
      <c r="D2803" t="s">
        <v>1273</v>
      </c>
      <c r="E2803" t="s">
        <v>1127</v>
      </c>
      <c r="F2803">
        <v>9</v>
      </c>
    </row>
    <row r="2804" spans="1:6">
      <c r="A2804" t="s">
        <v>27</v>
      </c>
      <c r="B2804" t="s">
        <v>58</v>
      </c>
      <c r="C2804" t="s">
        <v>913</v>
      </c>
      <c r="D2804" t="s">
        <v>1273</v>
      </c>
      <c r="E2804" t="s">
        <v>1057</v>
      </c>
      <c r="F2804">
        <v>2021</v>
      </c>
    </row>
    <row r="2805" spans="1:6">
      <c r="A2805" t="s">
        <v>27</v>
      </c>
      <c r="B2805" t="s">
        <v>58</v>
      </c>
      <c r="C2805" t="s">
        <v>913</v>
      </c>
      <c r="D2805" t="s">
        <v>1273</v>
      </c>
      <c r="E2805" t="s">
        <v>1058</v>
      </c>
      <c r="F2805">
        <v>3</v>
      </c>
    </row>
    <row r="2806" spans="1:6">
      <c r="A2806" t="s">
        <v>27</v>
      </c>
      <c r="B2806" t="s">
        <v>58</v>
      </c>
      <c r="C2806" t="s">
        <v>913</v>
      </c>
      <c r="D2806" t="s">
        <v>1273</v>
      </c>
      <c r="E2806" t="s">
        <v>1059</v>
      </c>
      <c r="F2806">
        <v>273</v>
      </c>
    </row>
    <row r="2807" spans="1:6">
      <c r="A2807" t="s">
        <v>27</v>
      </c>
      <c r="B2807" t="s">
        <v>58</v>
      </c>
      <c r="C2807" t="s">
        <v>913</v>
      </c>
      <c r="D2807" t="s">
        <v>1273</v>
      </c>
      <c r="E2807" t="s">
        <v>1072</v>
      </c>
      <c r="F2807">
        <v>2022</v>
      </c>
    </row>
    <row r="2808" spans="1:6">
      <c r="A2808" t="s">
        <v>27</v>
      </c>
      <c r="B2808" t="s">
        <v>58</v>
      </c>
      <c r="C2808" t="s">
        <v>913</v>
      </c>
      <c r="D2808" t="s">
        <v>1273</v>
      </c>
      <c r="E2808" t="s">
        <v>1133</v>
      </c>
      <c r="F2808">
        <v>4</v>
      </c>
    </row>
    <row r="2809" spans="1:6">
      <c r="A2809" t="s">
        <v>27</v>
      </c>
      <c r="B2809" t="s">
        <v>58</v>
      </c>
      <c r="C2809" t="s">
        <v>913</v>
      </c>
      <c r="D2809" t="s">
        <v>1273</v>
      </c>
      <c r="E2809" t="s">
        <v>1134</v>
      </c>
      <c r="F2809">
        <v>640</v>
      </c>
    </row>
    <row r="2810" spans="1:6">
      <c r="A2810" t="s">
        <v>27</v>
      </c>
      <c r="B2810" t="s">
        <v>58</v>
      </c>
      <c r="C2810" t="s">
        <v>913</v>
      </c>
      <c r="D2810" t="s">
        <v>1273</v>
      </c>
      <c r="E2810" t="s">
        <v>1074</v>
      </c>
      <c r="F2810">
        <v>2023</v>
      </c>
    </row>
    <row r="2811" spans="1:6">
      <c r="A2811" t="s">
        <v>27</v>
      </c>
      <c r="B2811" t="s">
        <v>58</v>
      </c>
      <c r="C2811" t="s">
        <v>913</v>
      </c>
      <c r="D2811" t="s">
        <v>1273</v>
      </c>
      <c r="E2811" t="s">
        <v>1296</v>
      </c>
      <c r="F2811">
        <v>7</v>
      </c>
    </row>
    <row r="2812" spans="1:6">
      <c r="A2812" t="s">
        <v>27</v>
      </c>
      <c r="B2812" t="s">
        <v>58</v>
      </c>
      <c r="C2812" t="s">
        <v>913</v>
      </c>
      <c r="D2812" t="s">
        <v>1273</v>
      </c>
      <c r="E2812" t="s">
        <v>1297</v>
      </c>
      <c r="F2812">
        <v>100</v>
      </c>
    </row>
    <row r="2813" spans="1:6">
      <c r="A2813" t="s">
        <v>27</v>
      </c>
      <c r="B2813" t="s">
        <v>58</v>
      </c>
      <c r="C2813" t="s">
        <v>913</v>
      </c>
      <c r="D2813" t="s">
        <v>1273</v>
      </c>
      <c r="E2813" t="s">
        <v>1076</v>
      </c>
      <c r="F2813">
        <v>2024</v>
      </c>
    </row>
    <row r="2814" spans="1:6">
      <c r="A2814" t="s">
        <v>27</v>
      </c>
      <c r="B2814" t="s">
        <v>58</v>
      </c>
      <c r="C2814" t="s">
        <v>913</v>
      </c>
      <c r="D2814" t="s">
        <v>1273</v>
      </c>
      <c r="E2814" t="s">
        <v>1077</v>
      </c>
      <c r="F2814" t="s">
        <v>1295</v>
      </c>
    </row>
    <row r="2815" spans="1:6">
      <c r="A2815" t="s">
        <v>27</v>
      </c>
      <c r="B2815" t="s">
        <v>58</v>
      </c>
      <c r="C2815" t="s">
        <v>913</v>
      </c>
      <c r="D2815" t="s">
        <v>1273</v>
      </c>
      <c r="E2815" t="s">
        <v>1078</v>
      </c>
      <c r="F2815" t="s">
        <v>1295</v>
      </c>
    </row>
    <row r="2816" spans="1:6">
      <c r="A2816" t="s">
        <v>27</v>
      </c>
      <c r="B2816" t="s">
        <v>58</v>
      </c>
      <c r="C2816" t="s">
        <v>913</v>
      </c>
      <c r="D2816" t="s">
        <v>1273</v>
      </c>
      <c r="E2816" t="s">
        <v>1090</v>
      </c>
      <c r="F2816">
        <v>2025</v>
      </c>
    </row>
    <row r="2817" spans="1:6">
      <c r="A2817" t="s">
        <v>27</v>
      </c>
      <c r="B2817" t="s">
        <v>58</v>
      </c>
      <c r="C2817" t="s">
        <v>913</v>
      </c>
      <c r="D2817" t="s">
        <v>1273</v>
      </c>
      <c r="E2817" t="s">
        <v>1139</v>
      </c>
      <c r="F2817">
        <v>110</v>
      </c>
    </row>
    <row r="2818" spans="1:6">
      <c r="A2818" t="s">
        <v>27</v>
      </c>
      <c r="B2818" t="s">
        <v>58</v>
      </c>
      <c r="C2818" t="s">
        <v>913</v>
      </c>
      <c r="D2818" t="s">
        <v>1273</v>
      </c>
      <c r="E2818" t="s">
        <v>1140</v>
      </c>
      <c r="F2818">
        <v>15001</v>
      </c>
    </row>
    <row r="2819" spans="1:6">
      <c r="A2819" t="s">
        <v>27</v>
      </c>
      <c r="B2819" t="s">
        <v>58</v>
      </c>
      <c r="C2819" t="s">
        <v>913</v>
      </c>
      <c r="D2819" t="s">
        <v>1273</v>
      </c>
      <c r="E2819" t="s">
        <v>1298</v>
      </c>
      <c r="F2819">
        <v>2026</v>
      </c>
    </row>
    <row r="2820" spans="1:6">
      <c r="A2820" t="s">
        <v>27</v>
      </c>
      <c r="B2820" t="s">
        <v>58</v>
      </c>
      <c r="C2820" t="s">
        <v>913</v>
      </c>
      <c r="D2820" t="s">
        <v>1273</v>
      </c>
      <c r="E2820" t="s">
        <v>1299</v>
      </c>
      <c r="F2820">
        <v>7758</v>
      </c>
    </row>
    <row r="2821" spans="1:6">
      <c r="A2821" t="s">
        <v>27</v>
      </c>
      <c r="B2821" t="s">
        <v>58</v>
      </c>
      <c r="C2821" t="s">
        <v>913</v>
      </c>
      <c r="D2821" t="s">
        <v>1273</v>
      </c>
      <c r="E2821" t="s">
        <v>1300</v>
      </c>
      <c r="F2821">
        <v>1467349</v>
      </c>
    </row>
    <row r="2822" spans="1:6">
      <c r="A2822" t="s">
        <v>27</v>
      </c>
      <c r="B2822" t="s">
        <v>58</v>
      </c>
      <c r="C2822" t="s">
        <v>913</v>
      </c>
      <c r="D2822" t="s">
        <v>1273</v>
      </c>
      <c r="E2822" t="s">
        <v>1301</v>
      </c>
      <c r="F2822" t="s">
        <v>1292</v>
      </c>
    </row>
    <row r="2823" spans="1:6">
      <c r="A2823" t="s">
        <v>27</v>
      </c>
      <c r="B2823" t="s">
        <v>58</v>
      </c>
      <c r="C2823" t="s">
        <v>913</v>
      </c>
      <c r="D2823" t="s">
        <v>1273</v>
      </c>
      <c r="E2823" t="s">
        <v>1302</v>
      </c>
      <c r="F2823">
        <v>7883</v>
      </c>
    </row>
    <row r="2824" spans="1:6">
      <c r="A2824" t="s">
        <v>27</v>
      </c>
      <c r="B2824" t="s">
        <v>58</v>
      </c>
      <c r="C2824" t="s">
        <v>913</v>
      </c>
      <c r="D2824" t="s">
        <v>1273</v>
      </c>
      <c r="E2824" t="s">
        <v>1303</v>
      </c>
      <c r="F2824">
        <v>1483372</v>
      </c>
    </row>
    <row r="2825" spans="1:6">
      <c r="A2825" t="s">
        <v>27</v>
      </c>
      <c r="B2825" t="s">
        <v>63</v>
      </c>
      <c r="C2825" t="s">
        <v>913</v>
      </c>
      <c r="D2825" t="s">
        <v>991</v>
      </c>
      <c r="E2825" t="s">
        <v>992</v>
      </c>
      <c r="F2825" t="s">
        <v>993</v>
      </c>
    </row>
    <row r="2826" spans="1:6">
      <c r="A2826" t="s">
        <v>27</v>
      </c>
      <c r="B2826" t="s">
        <v>63</v>
      </c>
      <c r="C2826" t="s">
        <v>913</v>
      </c>
      <c r="D2826" t="s">
        <v>991</v>
      </c>
      <c r="E2826" t="s">
        <v>1304</v>
      </c>
      <c r="F2826">
        <v>2026</v>
      </c>
    </row>
    <row r="2827" spans="1:6">
      <c r="A2827" t="s">
        <v>27</v>
      </c>
      <c r="B2827" t="s">
        <v>63</v>
      </c>
      <c r="C2827" t="s">
        <v>913</v>
      </c>
      <c r="D2827" t="s">
        <v>991</v>
      </c>
      <c r="E2827" t="s">
        <v>1093</v>
      </c>
      <c r="F2827" t="s">
        <v>1094</v>
      </c>
    </row>
    <row r="2828" spans="1:6">
      <c r="A2828" t="s">
        <v>27</v>
      </c>
      <c r="B2828" t="s">
        <v>63</v>
      </c>
      <c r="C2828" t="s">
        <v>913</v>
      </c>
      <c r="D2828" t="s">
        <v>991</v>
      </c>
      <c r="E2828" t="s">
        <v>994</v>
      </c>
      <c r="F2828" t="s">
        <v>63</v>
      </c>
    </row>
    <row r="2829" spans="1:6">
      <c r="A2829" t="s">
        <v>27</v>
      </c>
      <c r="B2829" t="s">
        <v>63</v>
      </c>
      <c r="C2829" t="s">
        <v>913</v>
      </c>
      <c r="D2829" t="s">
        <v>991</v>
      </c>
      <c r="E2829" t="s">
        <v>995</v>
      </c>
      <c r="F2829" t="s">
        <v>996</v>
      </c>
    </row>
    <row r="2830" spans="1:6">
      <c r="A2830" t="s">
        <v>27</v>
      </c>
      <c r="B2830" t="s">
        <v>63</v>
      </c>
      <c r="C2830" t="s">
        <v>913</v>
      </c>
      <c r="D2830" t="s">
        <v>991</v>
      </c>
      <c r="E2830" t="s">
        <v>997</v>
      </c>
      <c r="F2830" t="s">
        <v>1511</v>
      </c>
    </row>
    <row r="2831" spans="1:6">
      <c r="A2831" t="s">
        <v>27</v>
      </c>
      <c r="B2831" t="s">
        <v>63</v>
      </c>
      <c r="C2831" t="s">
        <v>913</v>
      </c>
      <c r="D2831" t="s">
        <v>991</v>
      </c>
      <c r="E2831" t="s">
        <v>999</v>
      </c>
      <c r="F2831" t="s">
        <v>1000</v>
      </c>
    </row>
    <row r="2832" spans="1:6">
      <c r="A2832" t="s">
        <v>27</v>
      </c>
      <c r="B2832" t="s">
        <v>63</v>
      </c>
      <c r="C2832" t="s">
        <v>913</v>
      </c>
      <c r="D2832" t="s">
        <v>991</v>
      </c>
      <c r="E2832" t="s">
        <v>1001</v>
      </c>
      <c r="F2832" t="s">
        <v>10</v>
      </c>
    </row>
    <row r="2833" spans="1:6">
      <c r="A2833" t="s">
        <v>27</v>
      </c>
      <c r="B2833" t="s">
        <v>63</v>
      </c>
      <c r="C2833" t="s">
        <v>913</v>
      </c>
      <c r="D2833" t="s">
        <v>991</v>
      </c>
      <c r="E2833" t="s">
        <v>1002</v>
      </c>
      <c r="F2833" t="s">
        <v>1003</v>
      </c>
    </row>
    <row r="2834" spans="1:6">
      <c r="A2834" t="s">
        <v>27</v>
      </c>
      <c r="B2834" t="s">
        <v>63</v>
      </c>
      <c r="C2834" t="s">
        <v>913</v>
      </c>
      <c r="D2834" t="s">
        <v>991</v>
      </c>
      <c r="E2834" t="s">
        <v>1004</v>
      </c>
      <c r="F2834" t="s">
        <v>1005</v>
      </c>
    </row>
    <row r="2835" spans="1:6">
      <c r="A2835" t="s">
        <v>27</v>
      </c>
      <c r="B2835" t="s">
        <v>63</v>
      </c>
      <c r="C2835" t="s">
        <v>913</v>
      </c>
      <c r="D2835" t="s">
        <v>991</v>
      </c>
      <c r="E2835" t="s">
        <v>1006</v>
      </c>
      <c r="F2835" t="s">
        <v>1007</v>
      </c>
    </row>
    <row r="2836" spans="1:6">
      <c r="A2836" t="s">
        <v>27</v>
      </c>
      <c r="B2836" t="s">
        <v>63</v>
      </c>
      <c r="C2836" t="s">
        <v>913</v>
      </c>
      <c r="D2836" t="s">
        <v>991</v>
      </c>
      <c r="E2836" t="s">
        <v>1008</v>
      </c>
      <c r="F2836" t="s">
        <v>1009</v>
      </c>
    </row>
    <row r="2837" spans="1:6">
      <c r="A2837" t="s">
        <v>27</v>
      </c>
      <c r="B2837" t="s">
        <v>63</v>
      </c>
      <c r="C2837" t="s">
        <v>913</v>
      </c>
      <c r="D2837" t="s">
        <v>991</v>
      </c>
      <c r="E2837" t="s">
        <v>1010</v>
      </c>
      <c r="F2837" t="s">
        <v>1011</v>
      </c>
    </row>
    <row r="2838" spans="1:6">
      <c r="A2838" t="s">
        <v>27</v>
      </c>
      <c r="B2838" t="s">
        <v>63</v>
      </c>
      <c r="C2838" t="s">
        <v>913</v>
      </c>
      <c r="D2838" t="s">
        <v>991</v>
      </c>
      <c r="E2838" t="s">
        <v>1012</v>
      </c>
      <c r="F2838" t="s">
        <v>1013</v>
      </c>
    </row>
    <row r="2839" spans="1:6">
      <c r="A2839" t="s">
        <v>27</v>
      </c>
      <c r="B2839" t="s">
        <v>63</v>
      </c>
      <c r="C2839" t="s">
        <v>913</v>
      </c>
      <c r="D2839" t="s">
        <v>991</v>
      </c>
      <c r="E2839" t="s">
        <v>1014</v>
      </c>
      <c r="F2839" t="s">
        <v>1015</v>
      </c>
    </row>
    <row r="2840" spans="1:6">
      <c r="A2840" t="s">
        <v>27</v>
      </c>
      <c r="B2840" t="s">
        <v>63</v>
      </c>
      <c r="C2840" t="s">
        <v>913</v>
      </c>
      <c r="D2840" t="s">
        <v>991</v>
      </c>
      <c r="E2840" t="s">
        <v>1016</v>
      </c>
      <c r="F2840" t="s">
        <v>1017</v>
      </c>
    </row>
    <row r="2841" spans="1:6">
      <c r="A2841" t="s">
        <v>27</v>
      </c>
      <c r="B2841" t="s">
        <v>63</v>
      </c>
      <c r="C2841" t="s">
        <v>913</v>
      </c>
      <c r="D2841" t="s">
        <v>991</v>
      </c>
      <c r="E2841" t="s">
        <v>1018</v>
      </c>
      <c r="F2841" t="s">
        <v>1019</v>
      </c>
    </row>
    <row r="2842" spans="1:6">
      <c r="A2842" t="s">
        <v>27</v>
      </c>
      <c r="B2842" t="s">
        <v>63</v>
      </c>
      <c r="C2842" t="s">
        <v>913</v>
      </c>
      <c r="D2842" t="s">
        <v>991</v>
      </c>
      <c r="E2842" t="s">
        <v>1020</v>
      </c>
      <c r="F2842" t="s">
        <v>1021</v>
      </c>
    </row>
    <row r="2843" spans="1:6">
      <c r="A2843" t="s">
        <v>27</v>
      </c>
      <c r="B2843" t="s">
        <v>63</v>
      </c>
      <c r="C2843" t="s">
        <v>913</v>
      </c>
      <c r="D2843" t="s">
        <v>991</v>
      </c>
      <c r="E2843" t="s">
        <v>1022</v>
      </c>
      <c r="F2843" t="s">
        <v>1023</v>
      </c>
    </row>
    <row r="2844" spans="1:6">
      <c r="A2844" t="s">
        <v>27</v>
      </c>
      <c r="B2844" t="s">
        <v>63</v>
      </c>
      <c r="C2844" t="s">
        <v>913</v>
      </c>
      <c r="D2844" t="s">
        <v>991</v>
      </c>
      <c r="E2844" t="s">
        <v>1024</v>
      </c>
      <c r="F2844" t="s">
        <v>1025</v>
      </c>
    </row>
    <row r="2845" spans="1:6">
      <c r="A2845" t="s">
        <v>27</v>
      </c>
      <c r="B2845" t="s">
        <v>63</v>
      </c>
      <c r="C2845" t="s">
        <v>913</v>
      </c>
      <c r="D2845" t="s">
        <v>991</v>
      </c>
      <c r="E2845" t="s">
        <v>1026</v>
      </c>
      <c r="F2845" t="s">
        <v>1027</v>
      </c>
    </row>
    <row r="2846" spans="1:6">
      <c r="A2846" t="s">
        <v>27</v>
      </c>
      <c r="B2846" t="s">
        <v>63</v>
      </c>
      <c r="C2846" t="s">
        <v>913</v>
      </c>
      <c r="D2846" t="s">
        <v>991</v>
      </c>
      <c r="E2846" t="s">
        <v>1028</v>
      </c>
      <c r="F2846" t="s">
        <v>1029</v>
      </c>
    </row>
    <row r="2847" spans="1:6">
      <c r="A2847" t="s">
        <v>27</v>
      </c>
      <c r="B2847" t="s">
        <v>63</v>
      </c>
      <c r="C2847" t="s">
        <v>913</v>
      </c>
      <c r="D2847" t="s">
        <v>991</v>
      </c>
      <c r="E2847" t="s">
        <v>1030</v>
      </c>
      <c r="F2847" t="s">
        <v>1031</v>
      </c>
    </row>
    <row r="2848" spans="1:6">
      <c r="A2848" t="s">
        <v>27</v>
      </c>
      <c r="B2848" t="s">
        <v>63</v>
      </c>
      <c r="C2848" t="s">
        <v>913</v>
      </c>
      <c r="D2848" t="s">
        <v>991</v>
      </c>
      <c r="E2848" t="s">
        <v>1032</v>
      </c>
      <c r="F2848" t="s">
        <v>1033</v>
      </c>
    </row>
    <row r="2849" spans="1:6">
      <c r="A2849" t="s">
        <v>27</v>
      </c>
      <c r="B2849" t="s">
        <v>63</v>
      </c>
      <c r="C2849" t="s">
        <v>913</v>
      </c>
      <c r="D2849" t="s">
        <v>991</v>
      </c>
      <c r="E2849" t="s">
        <v>1034</v>
      </c>
      <c r="F2849" t="s">
        <v>50</v>
      </c>
    </row>
    <row r="2850" spans="1:6">
      <c r="A2850" t="s">
        <v>27</v>
      </c>
      <c r="B2850" t="s">
        <v>63</v>
      </c>
      <c r="C2850" t="s">
        <v>913</v>
      </c>
      <c r="D2850" t="s">
        <v>991</v>
      </c>
      <c r="E2850" t="s">
        <v>1035</v>
      </c>
      <c r="F2850">
        <v>69830</v>
      </c>
    </row>
    <row r="2851" spans="1:6">
      <c r="A2851" t="s">
        <v>27</v>
      </c>
      <c r="B2851" t="s">
        <v>63</v>
      </c>
      <c r="C2851" t="s">
        <v>913</v>
      </c>
      <c r="D2851" t="s">
        <v>991</v>
      </c>
      <c r="E2851" t="s">
        <v>1036</v>
      </c>
      <c r="F2851">
        <v>2025</v>
      </c>
    </row>
    <row r="2852" spans="1:6">
      <c r="A2852" t="s">
        <v>27</v>
      </c>
      <c r="B2852" t="s">
        <v>63</v>
      </c>
      <c r="C2852" t="s">
        <v>913</v>
      </c>
      <c r="D2852" t="s">
        <v>991</v>
      </c>
      <c r="E2852" t="s">
        <v>1037</v>
      </c>
      <c r="F2852">
        <v>397822</v>
      </c>
    </row>
    <row r="2853" spans="1:6">
      <c r="A2853" t="s">
        <v>27</v>
      </c>
      <c r="B2853" t="s">
        <v>63</v>
      </c>
      <c r="C2853" t="s">
        <v>913</v>
      </c>
      <c r="D2853" t="s">
        <v>991</v>
      </c>
      <c r="E2853" t="s">
        <v>1038</v>
      </c>
      <c r="F2853">
        <v>2026</v>
      </c>
    </row>
    <row r="2854" spans="1:6">
      <c r="A2854" t="s">
        <v>27</v>
      </c>
      <c r="B2854" t="s">
        <v>63</v>
      </c>
      <c r="C2854" t="s">
        <v>913</v>
      </c>
      <c r="D2854" t="s">
        <v>991</v>
      </c>
      <c r="E2854" t="s">
        <v>1039</v>
      </c>
      <c r="F2854">
        <v>13207110</v>
      </c>
    </row>
    <row r="2855" spans="1:6">
      <c r="A2855" t="s">
        <v>27</v>
      </c>
      <c r="B2855" t="s">
        <v>63</v>
      </c>
      <c r="C2855" t="s">
        <v>913</v>
      </c>
      <c r="D2855" t="s">
        <v>991</v>
      </c>
      <c r="E2855" t="s">
        <v>1040</v>
      </c>
      <c r="F2855">
        <v>1537030</v>
      </c>
    </row>
    <row r="2856" spans="1:6">
      <c r="A2856" t="s">
        <v>27</v>
      </c>
      <c r="B2856" t="s">
        <v>63</v>
      </c>
      <c r="C2856" t="s">
        <v>913</v>
      </c>
      <c r="D2856" t="s">
        <v>991</v>
      </c>
      <c r="E2856" t="s">
        <v>1041</v>
      </c>
      <c r="F2856">
        <v>1864919</v>
      </c>
    </row>
    <row r="2857" spans="1:6">
      <c r="A2857" t="s">
        <v>27</v>
      </c>
      <c r="B2857" t="s">
        <v>63</v>
      </c>
      <c r="C2857" t="s">
        <v>913</v>
      </c>
      <c r="D2857" t="s">
        <v>991</v>
      </c>
      <c r="E2857" t="s">
        <v>1042</v>
      </c>
      <c r="F2857">
        <v>1020748</v>
      </c>
    </row>
    <row r="2858" spans="1:6">
      <c r="A2858" t="s">
        <v>27</v>
      </c>
      <c r="B2858" t="s">
        <v>63</v>
      </c>
      <c r="C2858" t="s">
        <v>913</v>
      </c>
      <c r="D2858" t="s">
        <v>991</v>
      </c>
      <c r="E2858" t="s">
        <v>1043</v>
      </c>
      <c r="F2858">
        <v>1825315</v>
      </c>
    </row>
    <row r="2859" spans="1:6">
      <c r="A2859" t="s">
        <v>27</v>
      </c>
      <c r="B2859" t="s">
        <v>63</v>
      </c>
      <c r="C2859" t="s">
        <v>913</v>
      </c>
      <c r="D2859" t="s">
        <v>991</v>
      </c>
      <c r="E2859" t="s">
        <v>1044</v>
      </c>
      <c r="F2859">
        <v>678076</v>
      </c>
    </row>
    <row r="2860" spans="1:6">
      <c r="A2860" t="s">
        <v>27</v>
      </c>
      <c r="B2860" t="s">
        <v>63</v>
      </c>
      <c r="C2860" t="s">
        <v>913</v>
      </c>
      <c r="D2860" t="s">
        <v>991</v>
      </c>
      <c r="E2860" t="s">
        <v>1045</v>
      </c>
      <c r="F2860">
        <v>1738908</v>
      </c>
    </row>
    <row r="2861" spans="1:6">
      <c r="A2861" t="s">
        <v>27</v>
      </c>
      <c r="B2861" t="s">
        <v>63</v>
      </c>
      <c r="C2861" t="s">
        <v>913</v>
      </c>
      <c r="D2861" t="s">
        <v>991</v>
      </c>
      <c r="E2861" t="s">
        <v>1046</v>
      </c>
      <c r="F2861">
        <v>1680101</v>
      </c>
    </row>
    <row r="2862" spans="1:6">
      <c r="A2862" t="s">
        <v>27</v>
      </c>
      <c r="B2862" t="s">
        <v>63</v>
      </c>
      <c r="C2862" t="s">
        <v>913</v>
      </c>
      <c r="D2862" t="s">
        <v>991</v>
      </c>
      <c r="E2862" t="s">
        <v>1047</v>
      </c>
      <c r="F2862">
        <v>1332153</v>
      </c>
    </row>
    <row r="2863" spans="1:6">
      <c r="A2863" t="s">
        <v>27</v>
      </c>
      <c r="B2863" t="s">
        <v>63</v>
      </c>
      <c r="C2863" t="s">
        <v>913</v>
      </c>
      <c r="D2863" t="s">
        <v>991</v>
      </c>
      <c r="E2863" t="s">
        <v>1048</v>
      </c>
      <c r="F2863">
        <v>1473477</v>
      </c>
    </row>
    <row r="2864" spans="1:6">
      <c r="A2864" t="s">
        <v>27</v>
      </c>
      <c r="B2864" t="s">
        <v>63</v>
      </c>
      <c r="C2864" t="s">
        <v>913</v>
      </c>
      <c r="D2864" t="s">
        <v>991</v>
      </c>
      <c r="E2864" t="s">
        <v>1049</v>
      </c>
      <c r="F2864">
        <v>56384</v>
      </c>
    </row>
    <row r="2865" spans="1:6">
      <c r="A2865" t="s">
        <v>27</v>
      </c>
      <c r="B2865" t="s">
        <v>63</v>
      </c>
      <c r="C2865" t="s">
        <v>913</v>
      </c>
      <c r="D2865" t="s">
        <v>991</v>
      </c>
      <c r="E2865" t="s">
        <v>1050</v>
      </c>
      <c r="F2865">
        <v>0</v>
      </c>
    </row>
    <row r="2866" spans="1:6">
      <c r="A2866" t="s">
        <v>27</v>
      </c>
      <c r="B2866" t="s">
        <v>63</v>
      </c>
      <c r="C2866" t="s">
        <v>913</v>
      </c>
      <c r="D2866" t="s">
        <v>991</v>
      </c>
      <c r="E2866" t="s">
        <v>1051</v>
      </c>
      <c r="F2866">
        <v>0</v>
      </c>
    </row>
    <row r="2867" spans="1:6">
      <c r="A2867" t="s">
        <v>27</v>
      </c>
      <c r="B2867" t="s">
        <v>63</v>
      </c>
      <c r="C2867" t="s">
        <v>913</v>
      </c>
      <c r="D2867" t="s">
        <v>991</v>
      </c>
      <c r="E2867" t="s">
        <v>1052</v>
      </c>
      <c r="F2867" t="s">
        <v>1009</v>
      </c>
    </row>
    <row r="2868" spans="1:6">
      <c r="A2868" t="s">
        <v>27</v>
      </c>
      <c r="B2868" t="s">
        <v>63</v>
      </c>
      <c r="C2868" t="s">
        <v>913</v>
      </c>
      <c r="D2868" t="s">
        <v>991</v>
      </c>
      <c r="E2868" t="s">
        <v>1053</v>
      </c>
      <c r="F2868">
        <v>13674762</v>
      </c>
    </row>
    <row r="2869" spans="1:6">
      <c r="A2869" t="s">
        <v>27</v>
      </c>
      <c r="B2869" t="s">
        <v>63</v>
      </c>
      <c r="C2869" t="s">
        <v>913</v>
      </c>
      <c r="D2869" t="s">
        <v>991</v>
      </c>
      <c r="E2869" t="s">
        <v>1054</v>
      </c>
      <c r="F2869" t="s">
        <v>1055</v>
      </c>
    </row>
    <row r="2870" spans="1:6">
      <c r="A2870" t="s">
        <v>27</v>
      </c>
      <c r="B2870" t="s">
        <v>63</v>
      </c>
      <c r="C2870" t="s">
        <v>913</v>
      </c>
      <c r="D2870" t="s">
        <v>991</v>
      </c>
      <c r="E2870" t="s">
        <v>1056</v>
      </c>
      <c r="F2870" t="s">
        <v>1007</v>
      </c>
    </row>
    <row r="2871" spans="1:6">
      <c r="A2871" t="s">
        <v>27</v>
      </c>
      <c r="B2871" t="s">
        <v>63</v>
      </c>
      <c r="C2871" t="s">
        <v>913</v>
      </c>
      <c r="D2871" t="s">
        <v>991</v>
      </c>
      <c r="E2871" t="s">
        <v>1057</v>
      </c>
      <c r="F2871" t="s">
        <v>1009</v>
      </c>
    </row>
    <row r="2872" spans="1:6">
      <c r="A2872" t="s">
        <v>27</v>
      </c>
      <c r="B2872" t="s">
        <v>63</v>
      </c>
      <c r="C2872" t="s">
        <v>913</v>
      </c>
      <c r="D2872" t="s">
        <v>991</v>
      </c>
      <c r="E2872" t="s">
        <v>1058</v>
      </c>
      <c r="F2872" t="s">
        <v>1011</v>
      </c>
    </row>
    <row r="2873" spans="1:6">
      <c r="A2873" t="s">
        <v>27</v>
      </c>
      <c r="B2873" t="s">
        <v>63</v>
      </c>
      <c r="C2873" t="s">
        <v>913</v>
      </c>
      <c r="D2873" t="s">
        <v>991</v>
      </c>
      <c r="E2873" t="s">
        <v>1059</v>
      </c>
      <c r="F2873" t="s">
        <v>1013</v>
      </c>
    </row>
    <row r="2874" spans="1:6">
      <c r="A2874" t="s">
        <v>27</v>
      </c>
      <c r="B2874" t="s">
        <v>63</v>
      </c>
      <c r="C2874" t="s">
        <v>913</v>
      </c>
      <c r="D2874" t="s">
        <v>991</v>
      </c>
      <c r="E2874" t="s">
        <v>1060</v>
      </c>
      <c r="F2874" t="s">
        <v>1015</v>
      </c>
    </row>
    <row r="2875" spans="1:6">
      <c r="A2875" t="s">
        <v>27</v>
      </c>
      <c r="B2875" t="s">
        <v>63</v>
      </c>
      <c r="C2875" t="s">
        <v>913</v>
      </c>
      <c r="D2875" t="s">
        <v>991</v>
      </c>
      <c r="E2875" t="s">
        <v>1061</v>
      </c>
      <c r="F2875" t="s">
        <v>1017</v>
      </c>
    </row>
    <row r="2876" spans="1:6">
      <c r="A2876" t="s">
        <v>27</v>
      </c>
      <c r="B2876" t="s">
        <v>63</v>
      </c>
      <c r="C2876" t="s">
        <v>913</v>
      </c>
      <c r="D2876" t="s">
        <v>991</v>
      </c>
      <c r="E2876" t="s">
        <v>1062</v>
      </c>
      <c r="F2876" t="s">
        <v>1019</v>
      </c>
    </row>
    <row r="2877" spans="1:6">
      <c r="A2877" t="s">
        <v>27</v>
      </c>
      <c r="B2877" t="s">
        <v>63</v>
      </c>
      <c r="C2877" t="s">
        <v>913</v>
      </c>
      <c r="D2877" t="s">
        <v>991</v>
      </c>
      <c r="E2877" t="s">
        <v>1063</v>
      </c>
      <c r="F2877" t="s">
        <v>1021</v>
      </c>
    </row>
    <row r="2878" spans="1:6">
      <c r="A2878" t="s">
        <v>27</v>
      </c>
      <c r="B2878" t="s">
        <v>63</v>
      </c>
      <c r="C2878" t="s">
        <v>913</v>
      </c>
      <c r="D2878" t="s">
        <v>991</v>
      </c>
      <c r="E2878" t="s">
        <v>1064</v>
      </c>
      <c r="F2878" t="s">
        <v>1023</v>
      </c>
    </row>
    <row r="2879" spans="1:6">
      <c r="A2879" t="s">
        <v>27</v>
      </c>
      <c r="B2879" t="s">
        <v>63</v>
      </c>
      <c r="C2879" t="s">
        <v>913</v>
      </c>
      <c r="D2879" t="s">
        <v>991</v>
      </c>
      <c r="E2879" t="s">
        <v>1065</v>
      </c>
      <c r="F2879" t="s">
        <v>1066</v>
      </c>
    </row>
    <row r="2880" spans="1:6">
      <c r="A2880" t="s">
        <v>27</v>
      </c>
      <c r="B2880" t="s">
        <v>63</v>
      </c>
      <c r="C2880" t="s">
        <v>913</v>
      </c>
      <c r="D2880" t="s">
        <v>991</v>
      </c>
      <c r="E2880" t="s">
        <v>1067</v>
      </c>
      <c r="F2880" t="s">
        <v>1027</v>
      </c>
    </row>
    <row r="2881" spans="1:6">
      <c r="A2881" t="s">
        <v>27</v>
      </c>
      <c r="B2881" t="s">
        <v>63</v>
      </c>
      <c r="C2881" t="s">
        <v>913</v>
      </c>
      <c r="D2881" t="s">
        <v>991</v>
      </c>
      <c r="E2881" t="s">
        <v>1068</v>
      </c>
      <c r="F2881" t="s">
        <v>1029</v>
      </c>
    </row>
    <row r="2882" spans="1:6">
      <c r="A2882" t="s">
        <v>27</v>
      </c>
      <c r="B2882" t="s">
        <v>63</v>
      </c>
      <c r="C2882" t="s">
        <v>913</v>
      </c>
      <c r="D2882" t="s">
        <v>991</v>
      </c>
      <c r="E2882" t="s">
        <v>1069</v>
      </c>
      <c r="F2882" t="s">
        <v>1031</v>
      </c>
    </row>
    <row r="2883" spans="1:6">
      <c r="A2883" t="s">
        <v>27</v>
      </c>
      <c r="B2883" t="s">
        <v>63</v>
      </c>
      <c r="C2883" t="s">
        <v>913</v>
      </c>
      <c r="D2883" t="s">
        <v>991</v>
      </c>
      <c r="E2883" t="s">
        <v>1070</v>
      </c>
      <c r="F2883" t="s">
        <v>1033</v>
      </c>
    </row>
    <row r="2884" spans="1:6">
      <c r="A2884" t="s">
        <v>27</v>
      </c>
      <c r="B2884" t="s">
        <v>63</v>
      </c>
      <c r="C2884" t="s">
        <v>913</v>
      </c>
      <c r="D2884" t="s">
        <v>991</v>
      </c>
      <c r="E2884" t="s">
        <v>1071</v>
      </c>
      <c r="F2884" t="s">
        <v>50</v>
      </c>
    </row>
    <row r="2885" spans="1:6">
      <c r="A2885" t="s">
        <v>27</v>
      </c>
      <c r="B2885" t="s">
        <v>63</v>
      </c>
      <c r="C2885" t="s">
        <v>913</v>
      </c>
      <c r="D2885" t="s">
        <v>991</v>
      </c>
      <c r="E2885" t="s">
        <v>1072</v>
      </c>
      <c r="F2885">
        <v>281</v>
      </c>
    </row>
    <row r="2886" spans="1:6">
      <c r="A2886" t="s">
        <v>27</v>
      </c>
      <c r="B2886" t="s">
        <v>63</v>
      </c>
      <c r="C2886" t="s">
        <v>913</v>
      </c>
      <c r="D2886" t="s">
        <v>991</v>
      </c>
      <c r="E2886" t="s">
        <v>1073</v>
      </c>
      <c r="F2886">
        <v>2025</v>
      </c>
    </row>
    <row r="2887" spans="1:6">
      <c r="A2887" t="s">
        <v>27</v>
      </c>
      <c r="B2887" t="s">
        <v>63</v>
      </c>
      <c r="C2887" t="s">
        <v>913</v>
      </c>
      <c r="D2887" t="s">
        <v>991</v>
      </c>
      <c r="E2887" t="s">
        <v>1074</v>
      </c>
      <c r="F2887">
        <v>1679</v>
      </c>
    </row>
    <row r="2888" spans="1:6">
      <c r="A2888" t="s">
        <v>27</v>
      </c>
      <c r="B2888" t="s">
        <v>63</v>
      </c>
      <c r="C2888" t="s">
        <v>913</v>
      </c>
      <c r="D2888" t="s">
        <v>991</v>
      </c>
      <c r="E2888" t="s">
        <v>1075</v>
      </c>
      <c r="F2888">
        <v>2026</v>
      </c>
    </row>
    <row r="2889" spans="1:6">
      <c r="A2889" t="s">
        <v>27</v>
      </c>
      <c r="B2889" t="s">
        <v>63</v>
      </c>
      <c r="C2889" t="s">
        <v>913</v>
      </c>
      <c r="D2889" t="s">
        <v>991</v>
      </c>
      <c r="E2889" t="s">
        <v>1076</v>
      </c>
      <c r="F2889">
        <v>64948</v>
      </c>
    </row>
    <row r="2890" spans="1:6">
      <c r="A2890" t="s">
        <v>27</v>
      </c>
      <c r="B2890" t="s">
        <v>63</v>
      </c>
      <c r="C2890" t="s">
        <v>913</v>
      </c>
      <c r="D2890" t="s">
        <v>991</v>
      </c>
      <c r="E2890" t="s">
        <v>1077</v>
      </c>
      <c r="F2890">
        <v>7468</v>
      </c>
    </row>
    <row r="2891" spans="1:6">
      <c r="A2891" t="s">
        <v>27</v>
      </c>
      <c r="B2891" t="s">
        <v>63</v>
      </c>
      <c r="C2891" t="s">
        <v>913</v>
      </c>
      <c r="D2891" t="s">
        <v>991</v>
      </c>
      <c r="E2891" t="s">
        <v>1078</v>
      </c>
      <c r="F2891">
        <v>7029</v>
      </c>
    </row>
    <row r="2892" spans="1:6">
      <c r="A2892" t="s">
        <v>27</v>
      </c>
      <c r="B2892" t="s">
        <v>63</v>
      </c>
      <c r="C2892" t="s">
        <v>913</v>
      </c>
      <c r="D2892" t="s">
        <v>991</v>
      </c>
      <c r="E2892" t="s">
        <v>1079</v>
      </c>
      <c r="F2892">
        <v>5701</v>
      </c>
    </row>
    <row r="2893" spans="1:6">
      <c r="A2893" t="s">
        <v>27</v>
      </c>
      <c r="B2893" t="s">
        <v>63</v>
      </c>
      <c r="C2893" t="s">
        <v>913</v>
      </c>
      <c r="D2893" t="s">
        <v>991</v>
      </c>
      <c r="E2893" t="s">
        <v>1080</v>
      </c>
      <c r="F2893">
        <v>7596</v>
      </c>
    </row>
    <row r="2894" spans="1:6">
      <c r="A2894" t="s">
        <v>27</v>
      </c>
      <c r="B2894" t="s">
        <v>63</v>
      </c>
      <c r="C2894" t="s">
        <v>913</v>
      </c>
      <c r="D2894" t="s">
        <v>991</v>
      </c>
      <c r="E2894" t="s">
        <v>1081</v>
      </c>
      <c r="F2894">
        <v>5192</v>
      </c>
    </row>
    <row r="2895" spans="1:6">
      <c r="A2895" t="s">
        <v>27</v>
      </c>
      <c r="B2895" t="s">
        <v>63</v>
      </c>
      <c r="C2895" t="s">
        <v>913</v>
      </c>
      <c r="D2895" t="s">
        <v>991</v>
      </c>
      <c r="E2895" t="s">
        <v>1082</v>
      </c>
      <c r="F2895">
        <v>7492</v>
      </c>
    </row>
    <row r="2896" spans="1:6">
      <c r="A2896" t="s">
        <v>27</v>
      </c>
      <c r="B2896" t="s">
        <v>63</v>
      </c>
      <c r="C2896" t="s">
        <v>913</v>
      </c>
      <c r="D2896" t="s">
        <v>991</v>
      </c>
      <c r="E2896" t="s">
        <v>1083</v>
      </c>
      <c r="F2896">
        <v>7814</v>
      </c>
    </row>
    <row r="2897" spans="1:6">
      <c r="A2897" t="s">
        <v>27</v>
      </c>
      <c r="B2897" t="s">
        <v>63</v>
      </c>
      <c r="C2897" t="s">
        <v>913</v>
      </c>
      <c r="D2897" t="s">
        <v>991</v>
      </c>
      <c r="E2897" t="s">
        <v>1084</v>
      </c>
      <c r="F2897">
        <v>7477</v>
      </c>
    </row>
    <row r="2898" spans="1:6">
      <c r="A2898" t="s">
        <v>27</v>
      </c>
      <c r="B2898" t="s">
        <v>63</v>
      </c>
      <c r="C2898" t="s">
        <v>913</v>
      </c>
      <c r="D2898" t="s">
        <v>991</v>
      </c>
      <c r="E2898" t="s">
        <v>1085</v>
      </c>
      <c r="F2898">
        <v>8999</v>
      </c>
    </row>
    <row r="2899" spans="1:6">
      <c r="A2899" t="s">
        <v>27</v>
      </c>
      <c r="B2899" t="s">
        <v>63</v>
      </c>
      <c r="C2899" t="s">
        <v>913</v>
      </c>
      <c r="D2899" t="s">
        <v>991</v>
      </c>
      <c r="E2899" t="s">
        <v>1086</v>
      </c>
      <c r="F2899">
        <v>180</v>
      </c>
    </row>
    <row r="2900" spans="1:6">
      <c r="A2900" t="s">
        <v>27</v>
      </c>
      <c r="B2900" t="s">
        <v>63</v>
      </c>
      <c r="C2900" t="s">
        <v>913</v>
      </c>
      <c r="D2900" t="s">
        <v>991</v>
      </c>
      <c r="E2900" t="s">
        <v>1087</v>
      </c>
      <c r="F2900">
        <v>0</v>
      </c>
    </row>
    <row r="2901" spans="1:6">
      <c r="A2901" t="s">
        <v>27</v>
      </c>
      <c r="B2901" t="s">
        <v>63</v>
      </c>
      <c r="C2901" t="s">
        <v>913</v>
      </c>
      <c r="D2901" t="s">
        <v>991</v>
      </c>
      <c r="E2901" t="s">
        <v>1088</v>
      </c>
      <c r="F2901">
        <v>0</v>
      </c>
    </row>
    <row r="2902" spans="1:6">
      <c r="A2902" t="s">
        <v>27</v>
      </c>
      <c r="B2902" t="s">
        <v>63</v>
      </c>
      <c r="C2902" t="s">
        <v>913</v>
      </c>
      <c r="D2902" t="s">
        <v>991</v>
      </c>
      <c r="E2902" t="s">
        <v>1089</v>
      </c>
      <c r="F2902" t="s">
        <v>1009</v>
      </c>
    </row>
    <row r="2903" spans="1:6">
      <c r="A2903" t="s">
        <v>27</v>
      </c>
      <c r="B2903" t="s">
        <v>63</v>
      </c>
      <c r="C2903" t="s">
        <v>913</v>
      </c>
      <c r="D2903" t="s">
        <v>991</v>
      </c>
      <c r="E2903" t="s">
        <v>1090</v>
      </c>
      <c r="F2903">
        <v>66908</v>
      </c>
    </row>
    <row r="2904" spans="1:6">
      <c r="A2904" t="s">
        <v>27</v>
      </c>
      <c r="B2904" t="s">
        <v>63</v>
      </c>
      <c r="C2904" t="s">
        <v>913</v>
      </c>
      <c r="D2904" t="s">
        <v>1091</v>
      </c>
      <c r="E2904" t="s">
        <v>1276</v>
      </c>
      <c r="F2904" t="s">
        <v>1092</v>
      </c>
    </row>
    <row r="2905" spans="1:6">
      <c r="A2905" t="s">
        <v>27</v>
      </c>
      <c r="B2905" t="s">
        <v>63</v>
      </c>
      <c r="C2905" t="s">
        <v>913</v>
      </c>
      <c r="D2905" t="s">
        <v>1091</v>
      </c>
      <c r="E2905" t="s">
        <v>999</v>
      </c>
      <c r="F2905" t="s">
        <v>1094</v>
      </c>
    </row>
    <row r="2906" spans="1:6">
      <c r="A2906" t="s">
        <v>27</v>
      </c>
      <c r="B2906" t="s">
        <v>63</v>
      </c>
      <c r="C2906" t="s">
        <v>913</v>
      </c>
      <c r="D2906" t="s">
        <v>1091</v>
      </c>
      <c r="E2906" t="s">
        <v>1001</v>
      </c>
      <c r="F2906" t="s">
        <v>63</v>
      </c>
    </row>
    <row r="2907" spans="1:6">
      <c r="A2907" t="s">
        <v>27</v>
      </c>
      <c r="B2907" t="s">
        <v>63</v>
      </c>
      <c r="C2907" t="s">
        <v>913</v>
      </c>
      <c r="D2907" t="s">
        <v>1091</v>
      </c>
      <c r="E2907" t="s">
        <v>1509</v>
      </c>
      <c r="F2907" t="s">
        <v>996</v>
      </c>
    </row>
    <row r="2908" spans="1:6">
      <c r="A2908" t="s">
        <v>27</v>
      </c>
      <c r="B2908" t="s">
        <v>63</v>
      </c>
      <c r="C2908" t="s">
        <v>913</v>
      </c>
      <c r="D2908" t="s">
        <v>1091</v>
      </c>
      <c r="E2908" t="s">
        <v>1510</v>
      </c>
      <c r="F2908" t="s">
        <v>1511</v>
      </c>
    </row>
    <row r="2909" spans="1:6">
      <c r="A2909" t="s">
        <v>27</v>
      </c>
      <c r="B2909" t="s">
        <v>63</v>
      </c>
      <c r="C2909" t="s">
        <v>913</v>
      </c>
      <c r="D2909" t="s">
        <v>1091</v>
      </c>
      <c r="E2909" t="s">
        <v>1283</v>
      </c>
      <c r="F2909" t="s">
        <v>1000</v>
      </c>
    </row>
    <row r="2910" spans="1:6">
      <c r="A2910" t="s">
        <v>27</v>
      </c>
      <c r="B2910" t="s">
        <v>63</v>
      </c>
      <c r="C2910" t="s">
        <v>913</v>
      </c>
      <c r="D2910" t="s">
        <v>1091</v>
      </c>
      <c r="E2910" t="s">
        <v>1285</v>
      </c>
      <c r="F2910" t="s">
        <v>10</v>
      </c>
    </row>
    <row r="2911" spans="1:6">
      <c r="A2911" t="s">
        <v>27</v>
      </c>
      <c r="B2911" t="s">
        <v>63</v>
      </c>
      <c r="C2911" t="s">
        <v>913</v>
      </c>
      <c r="D2911" t="s">
        <v>1091</v>
      </c>
      <c r="E2911" t="s">
        <v>1335</v>
      </c>
      <c r="F2911" t="s">
        <v>1095</v>
      </c>
    </row>
    <row r="2912" spans="1:6">
      <c r="A2912" t="s">
        <v>27</v>
      </c>
      <c r="B2912" t="s">
        <v>63</v>
      </c>
      <c r="C2912" t="s">
        <v>913</v>
      </c>
      <c r="D2912" t="s">
        <v>1091</v>
      </c>
      <c r="E2912" t="s">
        <v>1290</v>
      </c>
      <c r="F2912" t="s">
        <v>1005</v>
      </c>
    </row>
    <row r="2913" spans="1:6">
      <c r="A2913" t="s">
        <v>27</v>
      </c>
      <c r="B2913" t="s">
        <v>63</v>
      </c>
      <c r="C2913" t="s">
        <v>913</v>
      </c>
      <c r="D2913" t="s">
        <v>1091</v>
      </c>
      <c r="E2913" t="s">
        <v>1034</v>
      </c>
      <c r="F2913" t="s">
        <v>1097</v>
      </c>
    </row>
    <row r="2914" spans="1:6">
      <c r="A2914" t="s">
        <v>27</v>
      </c>
      <c r="B2914" t="s">
        <v>63</v>
      </c>
      <c r="C2914" t="s">
        <v>913</v>
      </c>
      <c r="D2914" t="s">
        <v>1091</v>
      </c>
      <c r="E2914" t="s">
        <v>1035</v>
      </c>
      <c r="F2914" t="s">
        <v>1098</v>
      </c>
    </row>
    <row r="2915" spans="1:6">
      <c r="A2915" t="s">
        <v>27</v>
      </c>
      <c r="B2915" t="s">
        <v>63</v>
      </c>
      <c r="C2915" t="s">
        <v>913</v>
      </c>
      <c r="D2915" t="s">
        <v>1091</v>
      </c>
      <c r="E2915" t="s">
        <v>1037</v>
      </c>
      <c r="F2915" t="s">
        <v>1009</v>
      </c>
    </row>
    <row r="2916" spans="1:6">
      <c r="A2916" t="s">
        <v>27</v>
      </c>
      <c r="B2916" t="s">
        <v>63</v>
      </c>
      <c r="C2916" t="s">
        <v>913</v>
      </c>
      <c r="D2916" t="s">
        <v>1091</v>
      </c>
      <c r="E2916" t="s">
        <v>1103</v>
      </c>
      <c r="F2916" t="s">
        <v>50</v>
      </c>
    </row>
    <row r="2917" spans="1:6">
      <c r="A2917" t="s">
        <v>27</v>
      </c>
      <c r="B2917" t="s">
        <v>63</v>
      </c>
      <c r="C2917" t="s">
        <v>913</v>
      </c>
      <c r="D2917" t="s">
        <v>1091</v>
      </c>
      <c r="E2917" t="s">
        <v>1104</v>
      </c>
      <c r="F2917">
        <v>2025</v>
      </c>
    </row>
    <row r="2918" spans="1:6">
      <c r="A2918" t="s">
        <v>27</v>
      </c>
      <c r="B2918" t="s">
        <v>63</v>
      </c>
      <c r="C2918" t="s">
        <v>913</v>
      </c>
      <c r="D2918" t="s">
        <v>1091</v>
      </c>
      <c r="E2918" t="s">
        <v>1105</v>
      </c>
      <c r="F2918">
        <v>2026</v>
      </c>
    </row>
    <row r="2919" spans="1:6">
      <c r="A2919" t="s">
        <v>27</v>
      </c>
      <c r="B2919" t="s">
        <v>63</v>
      </c>
      <c r="C2919" t="s">
        <v>913</v>
      </c>
      <c r="D2919" t="s">
        <v>1091</v>
      </c>
      <c r="E2919" t="s">
        <v>1038</v>
      </c>
      <c r="F2919" t="s">
        <v>1102</v>
      </c>
    </row>
    <row r="2920" spans="1:6">
      <c r="A2920" t="s">
        <v>27</v>
      </c>
      <c r="B2920" t="s">
        <v>63</v>
      </c>
      <c r="C2920" t="s">
        <v>913</v>
      </c>
      <c r="D2920" t="s">
        <v>1091</v>
      </c>
      <c r="E2920" t="s">
        <v>1039</v>
      </c>
      <c r="F2920">
        <v>13674762</v>
      </c>
    </row>
    <row r="2921" spans="1:6">
      <c r="A2921" t="s">
        <v>27</v>
      </c>
      <c r="B2921" t="s">
        <v>63</v>
      </c>
      <c r="C2921" t="s">
        <v>913</v>
      </c>
      <c r="D2921" t="s">
        <v>1091</v>
      </c>
      <c r="E2921" t="s">
        <v>1040</v>
      </c>
      <c r="F2921">
        <v>69830</v>
      </c>
    </row>
    <row r="2922" spans="1:6">
      <c r="A2922" t="s">
        <v>27</v>
      </c>
      <c r="B2922" t="s">
        <v>63</v>
      </c>
      <c r="C2922" t="s">
        <v>913</v>
      </c>
      <c r="D2922" t="s">
        <v>1091</v>
      </c>
      <c r="E2922" t="s">
        <v>1041</v>
      </c>
      <c r="F2922">
        <v>397822</v>
      </c>
    </row>
    <row r="2923" spans="1:6">
      <c r="A2923" t="s">
        <v>27</v>
      </c>
      <c r="B2923" t="s">
        <v>63</v>
      </c>
      <c r="C2923" t="s">
        <v>913</v>
      </c>
      <c r="D2923" t="s">
        <v>1091</v>
      </c>
      <c r="E2923" t="s">
        <v>1042</v>
      </c>
      <c r="F2923">
        <v>13207110</v>
      </c>
    </row>
    <row r="2924" spans="1:6">
      <c r="A2924" t="s">
        <v>27</v>
      </c>
      <c r="B2924" t="s">
        <v>63</v>
      </c>
      <c r="C2924" t="s">
        <v>913</v>
      </c>
      <c r="D2924" t="s">
        <v>1091</v>
      </c>
      <c r="E2924" t="s">
        <v>1052</v>
      </c>
      <c r="F2924" t="s">
        <v>1106</v>
      </c>
    </row>
    <row r="2925" spans="1:6">
      <c r="A2925" t="s">
        <v>27</v>
      </c>
      <c r="B2925" t="s">
        <v>63</v>
      </c>
      <c r="C2925" t="s">
        <v>913</v>
      </c>
      <c r="D2925" t="s">
        <v>1091</v>
      </c>
      <c r="E2925" t="s">
        <v>1053</v>
      </c>
      <c r="F2925">
        <v>10776140</v>
      </c>
    </row>
    <row r="2926" spans="1:6">
      <c r="A2926" t="s">
        <v>27</v>
      </c>
      <c r="B2926" t="s">
        <v>63</v>
      </c>
      <c r="C2926" t="s">
        <v>913</v>
      </c>
      <c r="D2926" t="s">
        <v>1091</v>
      </c>
      <c r="E2926" t="s">
        <v>1108</v>
      </c>
      <c r="F2926">
        <v>69830</v>
      </c>
    </row>
    <row r="2927" spans="1:6">
      <c r="A2927" t="s">
        <v>27</v>
      </c>
      <c r="B2927" t="s">
        <v>63</v>
      </c>
      <c r="C2927" t="s">
        <v>913</v>
      </c>
      <c r="D2927" t="s">
        <v>1091</v>
      </c>
      <c r="E2927" t="s">
        <v>1109</v>
      </c>
      <c r="F2927">
        <v>160775</v>
      </c>
    </row>
    <row r="2928" spans="1:6">
      <c r="A2928" t="s">
        <v>27</v>
      </c>
      <c r="B2928" t="s">
        <v>63</v>
      </c>
      <c r="C2928" t="s">
        <v>913</v>
      </c>
      <c r="D2928" t="s">
        <v>1091</v>
      </c>
      <c r="E2928" t="s">
        <v>1110</v>
      </c>
      <c r="F2928">
        <v>10545535</v>
      </c>
    </row>
    <row r="2929" spans="1:6">
      <c r="A2929" t="s">
        <v>27</v>
      </c>
      <c r="B2929" t="s">
        <v>63</v>
      </c>
      <c r="C2929" t="s">
        <v>913</v>
      </c>
      <c r="D2929" t="s">
        <v>1091</v>
      </c>
      <c r="E2929" t="s">
        <v>1111</v>
      </c>
      <c r="F2929" t="s">
        <v>1107</v>
      </c>
    </row>
    <row r="2930" spans="1:6">
      <c r="A2930" t="s">
        <v>27</v>
      </c>
      <c r="B2930" t="s">
        <v>63</v>
      </c>
      <c r="C2930" t="s">
        <v>913</v>
      </c>
      <c r="D2930" t="s">
        <v>1091</v>
      </c>
      <c r="E2930" t="s">
        <v>1113</v>
      </c>
      <c r="F2930">
        <v>10675825</v>
      </c>
    </row>
    <row r="2931" spans="1:6">
      <c r="A2931" t="s">
        <v>27</v>
      </c>
      <c r="B2931" t="s">
        <v>63</v>
      </c>
      <c r="C2931" t="s">
        <v>913</v>
      </c>
      <c r="D2931" t="s">
        <v>1091</v>
      </c>
      <c r="E2931" t="s">
        <v>1114</v>
      </c>
      <c r="F2931">
        <v>0</v>
      </c>
    </row>
    <row r="2932" spans="1:6">
      <c r="A2932" t="s">
        <v>27</v>
      </c>
      <c r="B2932" t="s">
        <v>63</v>
      </c>
      <c r="C2932" t="s">
        <v>913</v>
      </c>
      <c r="D2932" t="s">
        <v>1091</v>
      </c>
      <c r="E2932" t="s">
        <v>1115</v>
      </c>
      <c r="F2932">
        <v>130289</v>
      </c>
    </row>
    <row r="2933" spans="1:6">
      <c r="A2933" t="s">
        <v>27</v>
      </c>
      <c r="B2933" t="s">
        <v>63</v>
      </c>
      <c r="C2933" t="s">
        <v>913</v>
      </c>
      <c r="D2933" t="s">
        <v>1091</v>
      </c>
      <c r="E2933" t="s">
        <v>1116</v>
      </c>
      <c r="F2933">
        <v>10545535</v>
      </c>
    </row>
    <row r="2934" spans="1:6">
      <c r="A2934" t="s">
        <v>27</v>
      </c>
      <c r="B2934" t="s">
        <v>63</v>
      </c>
      <c r="C2934" t="s">
        <v>913</v>
      </c>
      <c r="D2934" t="s">
        <v>1091</v>
      </c>
      <c r="E2934" t="s">
        <v>1054</v>
      </c>
      <c r="F2934" t="s">
        <v>1307</v>
      </c>
    </row>
    <row r="2935" spans="1:6">
      <c r="A2935" t="s">
        <v>27</v>
      </c>
      <c r="B2935" t="s">
        <v>63</v>
      </c>
      <c r="C2935" t="s">
        <v>913</v>
      </c>
      <c r="D2935" t="s">
        <v>1091</v>
      </c>
      <c r="E2935" t="s">
        <v>1118</v>
      </c>
      <c r="F2935">
        <v>100315</v>
      </c>
    </row>
    <row r="2936" spans="1:6">
      <c r="A2936" t="s">
        <v>27</v>
      </c>
      <c r="B2936" t="s">
        <v>63</v>
      </c>
      <c r="C2936" t="s">
        <v>913</v>
      </c>
      <c r="D2936" t="s">
        <v>1091</v>
      </c>
      <c r="E2936" t="s">
        <v>1119</v>
      </c>
      <c r="F2936">
        <v>69830</v>
      </c>
    </row>
    <row r="2937" spans="1:6">
      <c r="A2937" t="s">
        <v>27</v>
      </c>
      <c r="B2937" t="s">
        <v>63</v>
      </c>
      <c r="C2937" t="s">
        <v>913</v>
      </c>
      <c r="D2937" t="s">
        <v>1091</v>
      </c>
      <c r="E2937" t="s">
        <v>1120</v>
      </c>
      <c r="F2937">
        <v>30485</v>
      </c>
    </row>
    <row r="2938" spans="1:6">
      <c r="A2938" t="s">
        <v>27</v>
      </c>
      <c r="B2938" t="s">
        <v>63</v>
      </c>
      <c r="C2938" t="s">
        <v>913</v>
      </c>
      <c r="D2938" t="s">
        <v>1091</v>
      </c>
      <c r="E2938" t="s">
        <v>1121</v>
      </c>
      <c r="F2938">
        <v>0</v>
      </c>
    </row>
    <row r="2939" spans="1:6">
      <c r="A2939" t="s">
        <v>27</v>
      </c>
      <c r="B2939" t="s">
        <v>63</v>
      </c>
      <c r="C2939" t="s">
        <v>913</v>
      </c>
      <c r="D2939" t="s">
        <v>1091</v>
      </c>
      <c r="E2939" t="s">
        <v>1122</v>
      </c>
      <c r="F2939" t="s">
        <v>1308</v>
      </c>
    </row>
    <row r="2940" spans="1:6">
      <c r="A2940" t="s">
        <v>27</v>
      </c>
      <c r="B2940" t="s">
        <v>63</v>
      </c>
      <c r="C2940" t="s">
        <v>913</v>
      </c>
      <c r="D2940" t="s">
        <v>1091</v>
      </c>
      <c r="E2940" t="s">
        <v>1124</v>
      </c>
      <c r="F2940">
        <v>0</v>
      </c>
    </row>
    <row r="2941" spans="1:6">
      <c r="A2941" t="s">
        <v>27</v>
      </c>
      <c r="B2941" t="s">
        <v>63</v>
      </c>
      <c r="C2941" t="s">
        <v>913</v>
      </c>
      <c r="D2941" t="s">
        <v>1091</v>
      </c>
      <c r="E2941" t="s">
        <v>1126</v>
      </c>
      <c r="F2941">
        <v>0</v>
      </c>
    </row>
    <row r="2942" spans="1:6">
      <c r="A2942" t="s">
        <v>27</v>
      </c>
      <c r="B2942" t="s">
        <v>63</v>
      </c>
      <c r="C2942" t="s">
        <v>913</v>
      </c>
      <c r="D2942" t="s">
        <v>1091</v>
      </c>
      <c r="E2942" t="s">
        <v>1127</v>
      </c>
      <c r="F2942">
        <v>0</v>
      </c>
    </row>
    <row r="2943" spans="1:6">
      <c r="A2943" t="s">
        <v>27</v>
      </c>
      <c r="B2943" t="s">
        <v>63</v>
      </c>
      <c r="C2943" t="s">
        <v>913</v>
      </c>
      <c r="D2943" t="s">
        <v>1091</v>
      </c>
      <c r="E2943" t="s">
        <v>1128</v>
      </c>
      <c r="F2943">
        <v>0</v>
      </c>
    </row>
    <row r="2944" spans="1:6">
      <c r="A2944" t="s">
        <v>27</v>
      </c>
      <c r="B2944" t="s">
        <v>63</v>
      </c>
      <c r="C2944" t="s">
        <v>913</v>
      </c>
      <c r="D2944" t="s">
        <v>1091</v>
      </c>
      <c r="E2944" t="s">
        <v>1056</v>
      </c>
      <c r="F2944" t="s">
        <v>1123</v>
      </c>
    </row>
    <row r="2945" spans="1:6">
      <c r="A2945" t="s">
        <v>27</v>
      </c>
      <c r="B2945" t="s">
        <v>63</v>
      </c>
      <c r="C2945" t="s">
        <v>913</v>
      </c>
      <c r="D2945" t="s">
        <v>1091</v>
      </c>
      <c r="E2945" t="s">
        <v>1057</v>
      </c>
      <c r="F2945" t="s">
        <v>1568</v>
      </c>
    </row>
    <row r="2946" spans="1:6">
      <c r="A2946" t="s">
        <v>27</v>
      </c>
      <c r="B2946" t="s">
        <v>63</v>
      </c>
      <c r="C2946" t="s">
        <v>913</v>
      </c>
      <c r="D2946" t="s">
        <v>1091</v>
      </c>
      <c r="E2946" t="s">
        <v>1058</v>
      </c>
      <c r="F2946" t="s">
        <v>1125</v>
      </c>
    </row>
    <row r="2947" spans="1:6">
      <c r="A2947" t="s">
        <v>27</v>
      </c>
      <c r="B2947" t="s">
        <v>63</v>
      </c>
      <c r="C2947" t="s">
        <v>913</v>
      </c>
      <c r="D2947" t="s">
        <v>1091</v>
      </c>
      <c r="E2947" t="s">
        <v>1059</v>
      </c>
      <c r="F2947" t="s">
        <v>1375</v>
      </c>
    </row>
    <row r="2948" spans="1:6">
      <c r="A2948" t="s">
        <v>27</v>
      </c>
      <c r="B2948" t="s">
        <v>63</v>
      </c>
      <c r="C2948" t="s">
        <v>913</v>
      </c>
      <c r="D2948" t="s">
        <v>1091</v>
      </c>
      <c r="E2948" t="s">
        <v>1060</v>
      </c>
      <c r="F2948" t="s">
        <v>1569</v>
      </c>
    </row>
    <row r="2949" spans="1:6">
      <c r="A2949" t="s">
        <v>27</v>
      </c>
      <c r="B2949" t="s">
        <v>63</v>
      </c>
      <c r="C2949" t="s">
        <v>913</v>
      </c>
      <c r="D2949" t="s">
        <v>1091</v>
      </c>
      <c r="E2949" t="s">
        <v>1071</v>
      </c>
      <c r="F2949" t="s">
        <v>1130</v>
      </c>
    </row>
    <row r="2950" spans="1:6">
      <c r="A2950" t="s">
        <v>27</v>
      </c>
      <c r="B2950" t="s">
        <v>63</v>
      </c>
      <c r="C2950" t="s">
        <v>913</v>
      </c>
      <c r="D2950" t="s">
        <v>1091</v>
      </c>
      <c r="E2950" t="s">
        <v>1072</v>
      </c>
      <c r="F2950">
        <v>2898622</v>
      </c>
    </row>
    <row r="2951" spans="1:6">
      <c r="A2951" t="s">
        <v>27</v>
      </c>
      <c r="B2951" t="s">
        <v>63</v>
      </c>
      <c r="C2951" t="s">
        <v>913</v>
      </c>
      <c r="D2951" t="s">
        <v>1091</v>
      </c>
      <c r="E2951" t="s">
        <v>1133</v>
      </c>
      <c r="F2951">
        <v>0</v>
      </c>
    </row>
    <row r="2952" spans="1:6">
      <c r="A2952" t="s">
        <v>27</v>
      </c>
      <c r="B2952" t="s">
        <v>63</v>
      </c>
      <c r="C2952" t="s">
        <v>913</v>
      </c>
      <c r="D2952" t="s">
        <v>1091</v>
      </c>
      <c r="E2952" t="s">
        <v>1134</v>
      </c>
      <c r="F2952">
        <v>237048</v>
      </c>
    </row>
    <row r="2953" spans="1:6">
      <c r="A2953" t="s">
        <v>27</v>
      </c>
      <c r="B2953" t="s">
        <v>63</v>
      </c>
      <c r="C2953" t="s">
        <v>913</v>
      </c>
      <c r="D2953" t="s">
        <v>1091</v>
      </c>
      <c r="E2953" t="s">
        <v>1135</v>
      </c>
      <c r="F2953">
        <v>2661575</v>
      </c>
    </row>
    <row r="2954" spans="1:6">
      <c r="A2954" t="s">
        <v>27</v>
      </c>
      <c r="B2954" t="s">
        <v>63</v>
      </c>
      <c r="C2954" t="s">
        <v>913</v>
      </c>
      <c r="D2954" t="s">
        <v>1091</v>
      </c>
      <c r="E2954" t="s">
        <v>1073</v>
      </c>
      <c r="F2954" t="s">
        <v>1131</v>
      </c>
    </row>
    <row r="2955" spans="1:6">
      <c r="A2955" t="s">
        <v>27</v>
      </c>
      <c r="B2955" t="s">
        <v>63</v>
      </c>
      <c r="C2955" t="s">
        <v>913</v>
      </c>
      <c r="D2955" t="s">
        <v>1091</v>
      </c>
      <c r="E2955" t="s">
        <v>1074</v>
      </c>
      <c r="F2955" t="s">
        <v>1570</v>
      </c>
    </row>
    <row r="2956" spans="1:6">
      <c r="A2956" t="s">
        <v>27</v>
      </c>
      <c r="B2956" t="s">
        <v>63</v>
      </c>
      <c r="C2956" t="s">
        <v>913</v>
      </c>
      <c r="D2956" t="s">
        <v>1091</v>
      </c>
      <c r="E2956" t="s">
        <v>1296</v>
      </c>
      <c r="F2956" t="s">
        <v>1132</v>
      </c>
    </row>
    <row r="2957" spans="1:6">
      <c r="A2957" t="s">
        <v>27</v>
      </c>
      <c r="B2957" t="s">
        <v>63</v>
      </c>
      <c r="C2957" t="s">
        <v>913</v>
      </c>
      <c r="D2957" t="s">
        <v>1091</v>
      </c>
      <c r="E2957" t="s">
        <v>1297</v>
      </c>
      <c r="F2957" t="s">
        <v>1374</v>
      </c>
    </row>
    <row r="2958" spans="1:6">
      <c r="A2958" t="s">
        <v>27</v>
      </c>
      <c r="B2958" t="s">
        <v>63</v>
      </c>
      <c r="C2958" t="s">
        <v>913</v>
      </c>
      <c r="D2958" t="s">
        <v>1091</v>
      </c>
      <c r="E2958" t="s">
        <v>1364</v>
      </c>
      <c r="F2958" t="s">
        <v>1571</v>
      </c>
    </row>
    <row r="2959" spans="1:6">
      <c r="A2959" t="s">
        <v>27</v>
      </c>
      <c r="B2959" t="s">
        <v>63</v>
      </c>
      <c r="C2959" t="s">
        <v>913</v>
      </c>
      <c r="D2959" t="s">
        <v>1091</v>
      </c>
      <c r="E2959" t="s">
        <v>1090</v>
      </c>
      <c r="F2959" t="s">
        <v>1137</v>
      </c>
    </row>
    <row r="2960" spans="1:6">
      <c r="A2960" t="s">
        <v>27</v>
      </c>
      <c r="B2960" t="s">
        <v>63</v>
      </c>
      <c r="C2960" t="s">
        <v>913</v>
      </c>
      <c r="D2960" t="s">
        <v>1091</v>
      </c>
      <c r="E2960" t="s">
        <v>1139</v>
      </c>
      <c r="F2960">
        <v>0</v>
      </c>
    </row>
    <row r="2961" spans="1:6">
      <c r="A2961" t="s">
        <v>27</v>
      </c>
      <c r="B2961" t="s">
        <v>63</v>
      </c>
      <c r="C2961" t="s">
        <v>913</v>
      </c>
      <c r="D2961" t="s">
        <v>1091</v>
      </c>
      <c r="E2961" t="s">
        <v>1140</v>
      </c>
      <c r="F2961">
        <v>0</v>
      </c>
    </row>
    <row r="2962" spans="1:6">
      <c r="A2962" t="s">
        <v>27</v>
      </c>
      <c r="B2962" t="s">
        <v>63</v>
      </c>
      <c r="C2962" t="s">
        <v>913</v>
      </c>
      <c r="D2962" t="s">
        <v>1091</v>
      </c>
      <c r="E2962" t="s">
        <v>1141</v>
      </c>
      <c r="F2962">
        <v>0</v>
      </c>
    </row>
    <row r="2963" spans="1:6">
      <c r="A2963" t="s">
        <v>27</v>
      </c>
      <c r="B2963" t="s">
        <v>63</v>
      </c>
      <c r="C2963" t="s">
        <v>913</v>
      </c>
      <c r="D2963" t="s">
        <v>1091</v>
      </c>
      <c r="E2963" t="s">
        <v>1298</v>
      </c>
      <c r="F2963" t="s">
        <v>1138</v>
      </c>
    </row>
    <row r="2964" spans="1:6">
      <c r="A2964" t="s">
        <v>27</v>
      </c>
      <c r="B2964" t="s">
        <v>63</v>
      </c>
      <c r="C2964" t="s">
        <v>913</v>
      </c>
      <c r="D2964" t="s">
        <v>1091</v>
      </c>
      <c r="E2964" t="s">
        <v>1299</v>
      </c>
      <c r="F2964" t="s">
        <v>1132</v>
      </c>
    </row>
    <row r="2965" spans="1:6">
      <c r="A2965" t="s">
        <v>27</v>
      </c>
      <c r="B2965" t="s">
        <v>63</v>
      </c>
      <c r="C2965" t="s">
        <v>913</v>
      </c>
      <c r="D2965" t="s">
        <v>1091</v>
      </c>
      <c r="E2965" t="s">
        <v>1300</v>
      </c>
      <c r="F2965" t="s">
        <v>1572</v>
      </c>
    </row>
    <row r="2966" spans="1:6">
      <c r="A2966" t="s">
        <v>27</v>
      </c>
      <c r="B2966" t="s">
        <v>63</v>
      </c>
      <c r="C2966" t="s">
        <v>913</v>
      </c>
      <c r="D2966" t="s">
        <v>1091</v>
      </c>
      <c r="E2966" t="s">
        <v>1426</v>
      </c>
      <c r="F2966" t="s">
        <v>1573</v>
      </c>
    </row>
    <row r="2967" spans="1:6">
      <c r="A2967" t="s">
        <v>27</v>
      </c>
      <c r="B2967" t="s">
        <v>63</v>
      </c>
      <c r="C2967" t="s">
        <v>913</v>
      </c>
      <c r="D2967" t="s">
        <v>1091</v>
      </c>
      <c r="E2967" t="s">
        <v>1554</v>
      </c>
      <c r="F2967" t="s">
        <v>1144</v>
      </c>
    </row>
    <row r="2968" spans="1:6">
      <c r="A2968" t="s">
        <v>27</v>
      </c>
      <c r="B2968" t="s">
        <v>63</v>
      </c>
      <c r="C2968" t="s">
        <v>913</v>
      </c>
      <c r="D2968" t="s">
        <v>1091</v>
      </c>
      <c r="E2968" t="s">
        <v>1434</v>
      </c>
      <c r="F2968" t="s">
        <v>1146</v>
      </c>
    </row>
    <row r="2969" spans="1:6">
      <c r="A2969" t="s">
        <v>27</v>
      </c>
      <c r="B2969" t="s">
        <v>63</v>
      </c>
      <c r="C2969" t="s">
        <v>913</v>
      </c>
      <c r="D2969" t="s">
        <v>1091</v>
      </c>
      <c r="E2969" t="s">
        <v>1555</v>
      </c>
      <c r="F2969" t="s">
        <v>1148</v>
      </c>
    </row>
    <row r="2970" spans="1:6">
      <c r="A2970" t="s">
        <v>27</v>
      </c>
      <c r="B2970" t="s">
        <v>63</v>
      </c>
      <c r="C2970" t="s">
        <v>913</v>
      </c>
      <c r="D2970" t="s">
        <v>1091</v>
      </c>
      <c r="E2970" t="s">
        <v>1151</v>
      </c>
      <c r="F2970" t="s">
        <v>1150</v>
      </c>
    </row>
    <row r="2971" spans="1:6">
      <c r="A2971" t="s">
        <v>27</v>
      </c>
      <c r="B2971" t="s">
        <v>63</v>
      </c>
      <c r="C2971" t="s">
        <v>913</v>
      </c>
      <c r="D2971" t="s">
        <v>1091</v>
      </c>
      <c r="E2971" t="s">
        <v>1166</v>
      </c>
      <c r="F2971" t="s">
        <v>1009</v>
      </c>
    </row>
    <row r="2972" spans="1:6">
      <c r="A2972" t="s">
        <v>27</v>
      </c>
      <c r="B2972" t="s">
        <v>63</v>
      </c>
      <c r="C2972" t="s">
        <v>913</v>
      </c>
      <c r="D2972" t="s">
        <v>1091</v>
      </c>
      <c r="E2972" t="s">
        <v>1167</v>
      </c>
      <c r="F2972" t="s">
        <v>1550</v>
      </c>
    </row>
    <row r="2973" spans="1:6">
      <c r="A2973" t="s">
        <v>27</v>
      </c>
      <c r="B2973" t="s">
        <v>63</v>
      </c>
      <c r="C2973" t="s">
        <v>913</v>
      </c>
      <c r="D2973" t="s">
        <v>1091</v>
      </c>
      <c r="E2973" t="s">
        <v>1168</v>
      </c>
      <c r="F2973" t="s">
        <v>1551</v>
      </c>
    </row>
    <row r="2974" spans="1:6">
      <c r="A2974" t="s">
        <v>27</v>
      </c>
      <c r="B2974" t="s">
        <v>63</v>
      </c>
      <c r="C2974" t="s">
        <v>913</v>
      </c>
      <c r="D2974" t="s">
        <v>1091</v>
      </c>
      <c r="E2974" t="s">
        <v>1169</v>
      </c>
      <c r="F2974" t="s">
        <v>1552</v>
      </c>
    </row>
    <row r="2975" spans="1:6">
      <c r="A2975" t="s">
        <v>27</v>
      </c>
      <c r="B2975" t="s">
        <v>63</v>
      </c>
      <c r="C2975" t="s">
        <v>913</v>
      </c>
      <c r="D2975" t="s">
        <v>1091</v>
      </c>
      <c r="E2975" t="s">
        <v>1170</v>
      </c>
      <c r="F2975" t="s">
        <v>1153</v>
      </c>
    </row>
    <row r="2976" spans="1:6">
      <c r="A2976" t="s">
        <v>27</v>
      </c>
      <c r="B2976" t="s">
        <v>63</v>
      </c>
      <c r="C2976" t="s">
        <v>913</v>
      </c>
      <c r="D2976" t="s">
        <v>1091</v>
      </c>
      <c r="E2976" t="s">
        <v>1171</v>
      </c>
      <c r="F2976" t="s">
        <v>1155</v>
      </c>
    </row>
    <row r="2977" spans="1:6">
      <c r="A2977" t="s">
        <v>27</v>
      </c>
      <c r="B2977" t="s">
        <v>63</v>
      </c>
      <c r="C2977" t="s">
        <v>913</v>
      </c>
      <c r="D2977" t="s">
        <v>1091</v>
      </c>
      <c r="E2977" t="s">
        <v>1172</v>
      </c>
      <c r="F2977" t="s">
        <v>1157</v>
      </c>
    </row>
    <row r="2978" spans="1:6">
      <c r="A2978" t="s">
        <v>27</v>
      </c>
      <c r="B2978" t="s">
        <v>63</v>
      </c>
      <c r="C2978" t="s">
        <v>913</v>
      </c>
      <c r="D2978" t="s">
        <v>1091</v>
      </c>
      <c r="E2978" t="s">
        <v>1173</v>
      </c>
      <c r="F2978" t="s">
        <v>1165</v>
      </c>
    </row>
    <row r="2979" spans="1:6">
      <c r="A2979" t="s">
        <v>27</v>
      </c>
      <c r="B2979" t="s">
        <v>63</v>
      </c>
      <c r="C2979" t="s">
        <v>913</v>
      </c>
      <c r="D2979" t="s">
        <v>1091</v>
      </c>
      <c r="E2979" t="s">
        <v>1175</v>
      </c>
      <c r="F2979">
        <v>8728029</v>
      </c>
    </row>
    <row r="2980" spans="1:6">
      <c r="A2980" t="s">
        <v>27</v>
      </c>
      <c r="B2980" t="s">
        <v>63</v>
      </c>
      <c r="C2980" t="s">
        <v>913</v>
      </c>
      <c r="D2980" t="s">
        <v>1091</v>
      </c>
      <c r="E2980" t="s">
        <v>1176</v>
      </c>
      <c r="F2980">
        <v>1473477</v>
      </c>
    </row>
    <row r="2981" spans="1:6">
      <c r="A2981" t="s">
        <v>27</v>
      </c>
      <c r="B2981" t="s">
        <v>63</v>
      </c>
      <c r="C2981" t="s">
        <v>913</v>
      </c>
      <c r="D2981" t="s">
        <v>1091</v>
      </c>
      <c r="E2981" t="s">
        <v>1177</v>
      </c>
      <c r="F2981">
        <v>1332153</v>
      </c>
    </row>
    <row r="2982" spans="1:6">
      <c r="A2982" t="s">
        <v>27</v>
      </c>
      <c r="B2982" t="s">
        <v>63</v>
      </c>
      <c r="C2982" t="s">
        <v>913</v>
      </c>
      <c r="D2982" t="s">
        <v>1091</v>
      </c>
      <c r="E2982" t="s">
        <v>1178</v>
      </c>
      <c r="F2982">
        <v>1680101</v>
      </c>
    </row>
    <row r="2983" spans="1:6">
      <c r="A2983" t="s">
        <v>27</v>
      </c>
      <c r="B2983" t="s">
        <v>63</v>
      </c>
      <c r="C2983" t="s">
        <v>913</v>
      </c>
      <c r="D2983" t="s">
        <v>1091</v>
      </c>
      <c r="E2983" t="s">
        <v>1179</v>
      </c>
      <c r="F2983">
        <v>1738908</v>
      </c>
    </row>
    <row r="2984" spans="1:6">
      <c r="A2984" t="s">
        <v>27</v>
      </c>
      <c r="B2984" t="s">
        <v>63</v>
      </c>
      <c r="C2984" t="s">
        <v>913</v>
      </c>
      <c r="D2984" t="s">
        <v>1091</v>
      </c>
      <c r="E2984" t="s">
        <v>1180</v>
      </c>
      <c r="F2984">
        <v>678076</v>
      </c>
    </row>
    <row r="2985" spans="1:6">
      <c r="A2985" t="s">
        <v>27</v>
      </c>
      <c r="B2985" t="s">
        <v>63</v>
      </c>
      <c r="C2985" t="s">
        <v>913</v>
      </c>
      <c r="D2985" t="s">
        <v>1091</v>
      </c>
      <c r="E2985" t="s">
        <v>1181</v>
      </c>
      <c r="F2985">
        <v>1825315</v>
      </c>
    </row>
    <row r="2986" spans="1:6">
      <c r="A2986" t="s">
        <v>27</v>
      </c>
      <c r="B2986" t="s">
        <v>63</v>
      </c>
      <c r="C2986" t="s">
        <v>913</v>
      </c>
      <c r="D2986" t="s">
        <v>1091</v>
      </c>
      <c r="E2986" t="s">
        <v>1556</v>
      </c>
      <c r="F2986" t="s">
        <v>1174</v>
      </c>
    </row>
    <row r="2987" spans="1:6">
      <c r="A2987" t="s">
        <v>27</v>
      </c>
      <c r="B2987" t="s">
        <v>63</v>
      </c>
      <c r="C2987" t="s">
        <v>913</v>
      </c>
      <c r="D2987" t="s">
        <v>1091</v>
      </c>
      <c r="E2987" t="s">
        <v>1452</v>
      </c>
      <c r="F2987">
        <v>44570</v>
      </c>
    </row>
    <row r="2988" spans="1:6">
      <c r="A2988" t="s">
        <v>27</v>
      </c>
      <c r="B2988" t="s">
        <v>63</v>
      </c>
      <c r="C2988" t="s">
        <v>913</v>
      </c>
      <c r="D2988" t="s">
        <v>1091</v>
      </c>
      <c r="E2988" t="s">
        <v>1454</v>
      </c>
      <c r="F2988">
        <v>8999</v>
      </c>
    </row>
    <row r="2989" spans="1:6">
      <c r="A2989" t="s">
        <v>27</v>
      </c>
      <c r="B2989" t="s">
        <v>63</v>
      </c>
      <c r="C2989" t="s">
        <v>913</v>
      </c>
      <c r="D2989" t="s">
        <v>1091</v>
      </c>
      <c r="E2989" t="s">
        <v>1455</v>
      </c>
      <c r="F2989">
        <v>7477</v>
      </c>
    </row>
    <row r="2990" spans="1:6">
      <c r="A2990" t="s">
        <v>27</v>
      </c>
      <c r="B2990" t="s">
        <v>63</v>
      </c>
      <c r="C2990" t="s">
        <v>913</v>
      </c>
      <c r="D2990" t="s">
        <v>1091</v>
      </c>
      <c r="E2990" t="s">
        <v>1456</v>
      </c>
      <c r="F2990">
        <v>7814</v>
      </c>
    </row>
    <row r="2991" spans="1:6">
      <c r="A2991" t="s">
        <v>27</v>
      </c>
      <c r="B2991" t="s">
        <v>63</v>
      </c>
      <c r="C2991" t="s">
        <v>913</v>
      </c>
      <c r="D2991" t="s">
        <v>1091</v>
      </c>
      <c r="E2991" t="s">
        <v>1458</v>
      </c>
      <c r="F2991">
        <v>7492</v>
      </c>
    </row>
    <row r="2992" spans="1:6">
      <c r="A2992" t="s">
        <v>27</v>
      </c>
      <c r="B2992" t="s">
        <v>63</v>
      </c>
      <c r="C2992" t="s">
        <v>913</v>
      </c>
      <c r="D2992" t="s">
        <v>1091</v>
      </c>
      <c r="E2992" t="s">
        <v>1557</v>
      </c>
      <c r="F2992">
        <v>5192</v>
      </c>
    </row>
    <row r="2993" spans="1:6">
      <c r="A2993" t="s">
        <v>27</v>
      </c>
      <c r="B2993" t="s">
        <v>63</v>
      </c>
      <c r="C2993" t="s">
        <v>913</v>
      </c>
      <c r="D2993" t="s">
        <v>1091</v>
      </c>
      <c r="E2993" t="s">
        <v>1558</v>
      </c>
      <c r="F2993">
        <v>7596</v>
      </c>
    </row>
    <row r="2994" spans="1:6">
      <c r="A2994" t="s">
        <v>27</v>
      </c>
      <c r="B2994" t="s">
        <v>63</v>
      </c>
      <c r="C2994" t="s">
        <v>913</v>
      </c>
      <c r="D2994" t="s">
        <v>1091</v>
      </c>
      <c r="E2994" t="s">
        <v>1191</v>
      </c>
      <c r="F2994" t="s">
        <v>1183</v>
      </c>
    </row>
    <row r="2995" spans="1:6">
      <c r="A2995" t="s">
        <v>27</v>
      </c>
      <c r="B2995" t="s">
        <v>63</v>
      </c>
      <c r="C2995" t="s">
        <v>913</v>
      </c>
      <c r="D2995" t="s">
        <v>1091</v>
      </c>
      <c r="E2995" t="s">
        <v>1463</v>
      </c>
      <c r="F2995">
        <v>6126597</v>
      </c>
    </row>
    <row r="2996" spans="1:6">
      <c r="A2996" t="s">
        <v>27</v>
      </c>
      <c r="B2996" t="s">
        <v>63</v>
      </c>
      <c r="C2996" t="s">
        <v>913</v>
      </c>
      <c r="D2996" t="s">
        <v>1091</v>
      </c>
      <c r="E2996" t="s">
        <v>1193</v>
      </c>
      <c r="F2996">
        <v>34796</v>
      </c>
    </row>
    <row r="2997" spans="1:6">
      <c r="A2997" t="s">
        <v>27</v>
      </c>
      <c r="B2997" t="s">
        <v>63</v>
      </c>
      <c r="C2997" t="s">
        <v>913</v>
      </c>
      <c r="D2997" t="s">
        <v>1091</v>
      </c>
      <c r="E2997" t="s">
        <v>1194</v>
      </c>
      <c r="F2997">
        <v>682272</v>
      </c>
    </row>
    <row r="2998" spans="1:6">
      <c r="A2998" t="s">
        <v>27</v>
      </c>
      <c r="B2998" t="s">
        <v>63</v>
      </c>
      <c r="C2998" t="s">
        <v>913</v>
      </c>
      <c r="D2998" t="s">
        <v>1091</v>
      </c>
      <c r="E2998" t="s">
        <v>1195</v>
      </c>
      <c r="F2998">
        <v>1485242</v>
      </c>
    </row>
    <row r="2999" spans="1:6">
      <c r="A2999" t="s">
        <v>27</v>
      </c>
      <c r="B2999" t="s">
        <v>63</v>
      </c>
      <c r="C2999" t="s">
        <v>913</v>
      </c>
      <c r="D2999" t="s">
        <v>1091</v>
      </c>
      <c r="E2999" t="s">
        <v>1196</v>
      </c>
      <c r="F2999">
        <v>1511149</v>
      </c>
    </row>
    <row r="3000" spans="1:6">
      <c r="A3000" t="s">
        <v>27</v>
      </c>
      <c r="B3000" t="s">
        <v>63</v>
      </c>
      <c r="C3000" t="s">
        <v>913</v>
      </c>
      <c r="D3000" t="s">
        <v>1091</v>
      </c>
      <c r="E3000" t="s">
        <v>1197</v>
      </c>
      <c r="F3000">
        <v>598542</v>
      </c>
    </row>
    <row r="3001" spans="1:6">
      <c r="A3001" t="s">
        <v>27</v>
      </c>
      <c r="B3001" t="s">
        <v>63</v>
      </c>
      <c r="C3001" t="s">
        <v>913</v>
      </c>
      <c r="D3001" t="s">
        <v>1091</v>
      </c>
      <c r="E3001" t="s">
        <v>1198</v>
      </c>
      <c r="F3001">
        <v>1814597</v>
      </c>
    </row>
    <row r="3002" spans="1:6">
      <c r="A3002" t="s">
        <v>27</v>
      </c>
      <c r="B3002" t="s">
        <v>63</v>
      </c>
      <c r="C3002" t="s">
        <v>913</v>
      </c>
      <c r="D3002" t="s">
        <v>1091</v>
      </c>
      <c r="E3002" t="s">
        <v>1199</v>
      </c>
      <c r="F3002" t="s">
        <v>1192</v>
      </c>
    </row>
    <row r="3003" spans="1:6">
      <c r="A3003" t="s">
        <v>27</v>
      </c>
      <c r="B3003" t="s">
        <v>63</v>
      </c>
      <c r="C3003" t="s">
        <v>913</v>
      </c>
      <c r="D3003" t="s">
        <v>1091</v>
      </c>
      <c r="E3003" t="s">
        <v>1468</v>
      </c>
      <c r="F3003">
        <v>139</v>
      </c>
    </row>
    <row r="3004" spans="1:6">
      <c r="A3004" t="s">
        <v>27</v>
      </c>
      <c r="B3004" t="s">
        <v>63</v>
      </c>
      <c r="C3004" t="s">
        <v>913</v>
      </c>
      <c r="D3004" t="s">
        <v>1091</v>
      </c>
      <c r="E3004" t="s">
        <v>1469</v>
      </c>
      <c r="F3004">
        <v>2376</v>
      </c>
    </row>
    <row r="3005" spans="1:6">
      <c r="A3005" t="s">
        <v>27</v>
      </c>
      <c r="B3005" t="s">
        <v>63</v>
      </c>
      <c r="C3005" t="s">
        <v>913</v>
      </c>
      <c r="D3005" t="s">
        <v>1091</v>
      </c>
      <c r="E3005" t="s">
        <v>1470</v>
      </c>
      <c r="F3005">
        <v>6970</v>
      </c>
    </row>
    <row r="3006" spans="1:6">
      <c r="A3006" t="s">
        <v>27</v>
      </c>
      <c r="B3006" t="s">
        <v>63</v>
      </c>
      <c r="C3006" t="s">
        <v>913</v>
      </c>
      <c r="D3006" t="s">
        <v>1091</v>
      </c>
      <c r="E3006" t="s">
        <v>1472</v>
      </c>
      <c r="F3006">
        <v>7295</v>
      </c>
    </row>
    <row r="3007" spans="1:6">
      <c r="A3007" t="s">
        <v>27</v>
      </c>
      <c r="B3007" t="s">
        <v>63</v>
      </c>
      <c r="C3007" t="s">
        <v>913</v>
      </c>
      <c r="D3007" t="s">
        <v>1091</v>
      </c>
      <c r="E3007" t="s">
        <v>1559</v>
      </c>
      <c r="F3007">
        <v>5039</v>
      </c>
    </row>
    <row r="3008" spans="1:6">
      <c r="A3008" t="s">
        <v>27</v>
      </c>
      <c r="B3008" t="s">
        <v>63</v>
      </c>
      <c r="C3008" t="s">
        <v>913</v>
      </c>
      <c r="D3008" t="s">
        <v>1091</v>
      </c>
      <c r="E3008" t="s">
        <v>1560</v>
      </c>
      <c r="F3008">
        <v>7336</v>
      </c>
    </row>
    <row r="3009" spans="1:6">
      <c r="A3009" t="s">
        <v>27</v>
      </c>
      <c r="B3009" t="s">
        <v>63</v>
      </c>
      <c r="C3009" t="s">
        <v>913</v>
      </c>
      <c r="D3009" t="s">
        <v>1091</v>
      </c>
      <c r="E3009" t="s">
        <v>1201</v>
      </c>
      <c r="F3009" t="s">
        <v>1200</v>
      </c>
    </row>
    <row r="3010" spans="1:6">
      <c r="A3010" t="s">
        <v>27</v>
      </c>
      <c r="B3010" t="s">
        <v>63</v>
      </c>
      <c r="C3010" t="s">
        <v>913</v>
      </c>
      <c r="D3010" t="s">
        <v>1091</v>
      </c>
      <c r="E3010" t="s">
        <v>1209</v>
      </c>
      <c r="F3010" t="s">
        <v>1107</v>
      </c>
    </row>
    <row r="3011" spans="1:6">
      <c r="A3011" t="s">
        <v>27</v>
      </c>
      <c r="B3011" t="s">
        <v>63</v>
      </c>
      <c r="C3011" t="s">
        <v>913</v>
      </c>
      <c r="D3011" t="s">
        <v>1091</v>
      </c>
      <c r="E3011" t="s">
        <v>1210</v>
      </c>
      <c r="F3011">
        <v>6126597</v>
      </c>
    </row>
    <row r="3012" spans="1:6">
      <c r="A3012" t="s">
        <v>27</v>
      </c>
      <c r="B3012" t="s">
        <v>63</v>
      </c>
      <c r="C3012" t="s">
        <v>913</v>
      </c>
      <c r="D3012" t="s">
        <v>1091</v>
      </c>
      <c r="E3012" t="s">
        <v>1211</v>
      </c>
      <c r="F3012">
        <v>34796</v>
      </c>
    </row>
    <row r="3013" spans="1:6">
      <c r="A3013" t="s">
        <v>27</v>
      </c>
      <c r="B3013" t="s">
        <v>63</v>
      </c>
      <c r="C3013" t="s">
        <v>913</v>
      </c>
      <c r="D3013" t="s">
        <v>1091</v>
      </c>
      <c r="E3013" t="s">
        <v>1212</v>
      </c>
      <c r="F3013">
        <v>682272</v>
      </c>
    </row>
    <row r="3014" spans="1:6">
      <c r="A3014" t="s">
        <v>27</v>
      </c>
      <c r="B3014" t="s">
        <v>63</v>
      </c>
      <c r="C3014" t="s">
        <v>913</v>
      </c>
      <c r="D3014" t="s">
        <v>1091</v>
      </c>
      <c r="E3014" t="s">
        <v>1213</v>
      </c>
      <c r="F3014">
        <v>1485242</v>
      </c>
    </row>
    <row r="3015" spans="1:6">
      <c r="A3015" t="s">
        <v>27</v>
      </c>
      <c r="B3015" t="s">
        <v>63</v>
      </c>
      <c r="C3015" t="s">
        <v>913</v>
      </c>
      <c r="D3015" t="s">
        <v>1091</v>
      </c>
      <c r="E3015" t="s">
        <v>1214</v>
      </c>
      <c r="F3015">
        <v>1511149</v>
      </c>
    </row>
    <row r="3016" spans="1:6">
      <c r="A3016" t="s">
        <v>27</v>
      </c>
      <c r="B3016" t="s">
        <v>63</v>
      </c>
      <c r="C3016" t="s">
        <v>913</v>
      </c>
      <c r="D3016" t="s">
        <v>1091</v>
      </c>
      <c r="E3016" t="s">
        <v>1215</v>
      </c>
      <c r="F3016">
        <v>598542</v>
      </c>
    </row>
    <row r="3017" spans="1:6">
      <c r="A3017" t="s">
        <v>27</v>
      </c>
      <c r="B3017" t="s">
        <v>63</v>
      </c>
      <c r="C3017" t="s">
        <v>913</v>
      </c>
      <c r="D3017" t="s">
        <v>1091</v>
      </c>
      <c r="E3017" t="s">
        <v>1216</v>
      </c>
      <c r="F3017">
        <v>1814597</v>
      </c>
    </row>
    <row r="3018" spans="1:6">
      <c r="A3018" t="s">
        <v>27</v>
      </c>
      <c r="B3018" t="s">
        <v>63</v>
      </c>
      <c r="C3018" t="s">
        <v>913</v>
      </c>
      <c r="D3018" t="s">
        <v>1091</v>
      </c>
      <c r="E3018" t="s">
        <v>1217</v>
      </c>
      <c r="F3018" t="s">
        <v>1307</v>
      </c>
    </row>
    <row r="3019" spans="1:6">
      <c r="A3019" t="s">
        <v>27</v>
      </c>
      <c r="B3019" t="s">
        <v>63</v>
      </c>
      <c r="C3019" t="s">
        <v>913</v>
      </c>
      <c r="D3019" t="s">
        <v>1091</v>
      </c>
      <c r="E3019" t="s">
        <v>1218</v>
      </c>
      <c r="F3019">
        <v>0</v>
      </c>
    </row>
    <row r="3020" spans="1:6">
      <c r="A3020" t="s">
        <v>27</v>
      </c>
      <c r="B3020" t="s">
        <v>63</v>
      </c>
      <c r="C3020" t="s">
        <v>913</v>
      </c>
      <c r="D3020" t="s">
        <v>1091</v>
      </c>
      <c r="E3020" t="s">
        <v>1219</v>
      </c>
      <c r="F3020">
        <v>0</v>
      </c>
    </row>
    <row r="3021" spans="1:6">
      <c r="A3021" t="s">
        <v>27</v>
      </c>
      <c r="B3021" t="s">
        <v>63</v>
      </c>
      <c r="C3021" t="s">
        <v>913</v>
      </c>
      <c r="D3021" t="s">
        <v>1091</v>
      </c>
      <c r="E3021" t="s">
        <v>1220</v>
      </c>
      <c r="F3021">
        <v>0</v>
      </c>
    </row>
    <row r="3022" spans="1:6">
      <c r="A3022" t="s">
        <v>27</v>
      </c>
      <c r="B3022" t="s">
        <v>63</v>
      </c>
      <c r="C3022" t="s">
        <v>913</v>
      </c>
      <c r="D3022" t="s">
        <v>1091</v>
      </c>
      <c r="E3022" t="s">
        <v>1221</v>
      </c>
      <c r="F3022">
        <v>0</v>
      </c>
    </row>
    <row r="3023" spans="1:6">
      <c r="A3023" t="s">
        <v>27</v>
      </c>
      <c r="B3023" t="s">
        <v>63</v>
      </c>
      <c r="C3023" t="s">
        <v>913</v>
      </c>
      <c r="D3023" t="s">
        <v>1091</v>
      </c>
      <c r="E3023" t="s">
        <v>1222</v>
      </c>
      <c r="F3023">
        <v>0</v>
      </c>
    </row>
    <row r="3024" spans="1:6">
      <c r="A3024" t="s">
        <v>27</v>
      </c>
      <c r="B3024" t="s">
        <v>63</v>
      </c>
      <c r="C3024" t="s">
        <v>913</v>
      </c>
      <c r="D3024" t="s">
        <v>1091</v>
      </c>
      <c r="E3024" t="s">
        <v>1223</v>
      </c>
      <c r="F3024">
        <v>0</v>
      </c>
    </row>
    <row r="3025" spans="1:6">
      <c r="A3025" t="s">
        <v>27</v>
      </c>
      <c r="B3025" t="s">
        <v>63</v>
      </c>
      <c r="C3025" t="s">
        <v>913</v>
      </c>
      <c r="D3025" t="s">
        <v>1091</v>
      </c>
      <c r="E3025" t="s">
        <v>1224</v>
      </c>
      <c r="F3025">
        <v>0</v>
      </c>
    </row>
    <row r="3026" spans="1:6">
      <c r="A3026" t="s">
        <v>27</v>
      </c>
      <c r="B3026" t="s">
        <v>63</v>
      </c>
      <c r="C3026" t="s">
        <v>913</v>
      </c>
      <c r="D3026" t="s">
        <v>1091</v>
      </c>
      <c r="E3026" t="s">
        <v>1225</v>
      </c>
      <c r="F3026" t="s">
        <v>1308</v>
      </c>
    </row>
    <row r="3027" spans="1:6">
      <c r="A3027" t="s">
        <v>27</v>
      </c>
      <c r="B3027" t="s">
        <v>63</v>
      </c>
      <c r="C3027" t="s">
        <v>913</v>
      </c>
      <c r="D3027" t="s">
        <v>1091</v>
      </c>
      <c r="E3027" t="s">
        <v>1480</v>
      </c>
      <c r="F3027">
        <v>0</v>
      </c>
    </row>
    <row r="3028" spans="1:6">
      <c r="A3028" t="s">
        <v>27</v>
      </c>
      <c r="B3028" t="s">
        <v>63</v>
      </c>
      <c r="C3028" t="s">
        <v>913</v>
      </c>
      <c r="D3028" t="s">
        <v>1091</v>
      </c>
      <c r="E3028" t="s">
        <v>1227</v>
      </c>
      <c r="F3028">
        <v>0</v>
      </c>
    </row>
    <row r="3029" spans="1:6">
      <c r="A3029" t="s">
        <v>27</v>
      </c>
      <c r="B3029" t="s">
        <v>63</v>
      </c>
      <c r="C3029" t="s">
        <v>913</v>
      </c>
      <c r="D3029" t="s">
        <v>1091</v>
      </c>
      <c r="E3029" t="s">
        <v>1228</v>
      </c>
      <c r="F3029">
        <v>0</v>
      </c>
    </row>
    <row r="3030" spans="1:6">
      <c r="A3030" t="s">
        <v>27</v>
      </c>
      <c r="B3030" t="s">
        <v>63</v>
      </c>
      <c r="C3030" t="s">
        <v>913</v>
      </c>
      <c r="D3030" t="s">
        <v>1091</v>
      </c>
      <c r="E3030" t="s">
        <v>1230</v>
      </c>
      <c r="F3030">
        <v>0</v>
      </c>
    </row>
    <row r="3031" spans="1:6">
      <c r="A3031" t="s">
        <v>27</v>
      </c>
      <c r="B3031" t="s">
        <v>63</v>
      </c>
      <c r="C3031" t="s">
        <v>913</v>
      </c>
      <c r="D3031" t="s">
        <v>1091</v>
      </c>
      <c r="E3031" t="s">
        <v>1231</v>
      </c>
      <c r="F3031">
        <v>0</v>
      </c>
    </row>
    <row r="3032" spans="1:6">
      <c r="A3032" t="s">
        <v>27</v>
      </c>
      <c r="B3032" t="s">
        <v>63</v>
      </c>
      <c r="C3032" t="s">
        <v>913</v>
      </c>
      <c r="D3032" t="s">
        <v>1091</v>
      </c>
      <c r="E3032" t="s">
        <v>1233</v>
      </c>
      <c r="F3032">
        <v>0</v>
      </c>
    </row>
    <row r="3033" spans="1:6">
      <c r="A3033" t="s">
        <v>27</v>
      </c>
      <c r="B3033" t="s">
        <v>63</v>
      </c>
      <c r="C3033" t="s">
        <v>913</v>
      </c>
      <c r="D3033" t="s">
        <v>1091</v>
      </c>
      <c r="E3033" t="s">
        <v>1234</v>
      </c>
      <c r="F3033">
        <v>0</v>
      </c>
    </row>
    <row r="3034" spans="1:6">
      <c r="A3034" t="s">
        <v>27</v>
      </c>
      <c r="B3034" t="s">
        <v>63</v>
      </c>
      <c r="C3034" t="s">
        <v>913</v>
      </c>
      <c r="D3034" t="s">
        <v>1091</v>
      </c>
      <c r="E3034" t="s">
        <v>1235</v>
      </c>
      <c r="F3034" t="s">
        <v>1226</v>
      </c>
    </row>
    <row r="3035" spans="1:6">
      <c r="A3035" t="s">
        <v>27</v>
      </c>
      <c r="B3035" t="s">
        <v>63</v>
      </c>
      <c r="C3035" t="s">
        <v>913</v>
      </c>
      <c r="D3035" t="s">
        <v>1091</v>
      </c>
      <c r="E3035" t="s">
        <v>1237</v>
      </c>
      <c r="F3035" t="s">
        <v>1321</v>
      </c>
    </row>
    <row r="3036" spans="1:6">
      <c r="A3036" t="s">
        <v>27</v>
      </c>
      <c r="B3036" t="s">
        <v>63</v>
      </c>
      <c r="C3036" t="s">
        <v>913</v>
      </c>
      <c r="D3036" t="s">
        <v>1091</v>
      </c>
      <c r="E3036" t="s">
        <v>1238</v>
      </c>
      <c r="F3036" t="s">
        <v>1574</v>
      </c>
    </row>
    <row r="3037" spans="1:6">
      <c r="A3037" t="s">
        <v>27</v>
      </c>
      <c r="B3037" t="s">
        <v>63</v>
      </c>
      <c r="C3037" t="s">
        <v>913</v>
      </c>
      <c r="D3037" t="s">
        <v>1091</v>
      </c>
      <c r="E3037" t="s">
        <v>1240</v>
      </c>
      <c r="F3037" t="s">
        <v>1547</v>
      </c>
    </row>
    <row r="3038" spans="1:6">
      <c r="A3038" t="s">
        <v>27</v>
      </c>
      <c r="B3038" t="s">
        <v>63</v>
      </c>
      <c r="C3038" t="s">
        <v>913</v>
      </c>
      <c r="D3038" t="s">
        <v>1091</v>
      </c>
      <c r="E3038" t="s">
        <v>1241</v>
      </c>
      <c r="F3038" t="s">
        <v>1575</v>
      </c>
    </row>
    <row r="3039" spans="1:6">
      <c r="A3039" t="s">
        <v>27</v>
      </c>
      <c r="B3039" t="s">
        <v>63</v>
      </c>
      <c r="C3039" t="s">
        <v>913</v>
      </c>
      <c r="D3039" t="s">
        <v>1091</v>
      </c>
      <c r="E3039" t="s">
        <v>1243</v>
      </c>
      <c r="F3039" t="s">
        <v>1547</v>
      </c>
    </row>
    <row r="3040" spans="1:6">
      <c r="A3040" t="s">
        <v>27</v>
      </c>
      <c r="B3040" t="s">
        <v>63</v>
      </c>
      <c r="C3040" t="s">
        <v>913</v>
      </c>
      <c r="D3040" t="s">
        <v>1091</v>
      </c>
      <c r="E3040" t="s">
        <v>1244</v>
      </c>
      <c r="F3040" t="s">
        <v>1242</v>
      </c>
    </row>
    <row r="3041" spans="1:6">
      <c r="A3041" t="s">
        <v>27</v>
      </c>
      <c r="B3041" t="s">
        <v>63</v>
      </c>
      <c r="C3041" t="s">
        <v>913</v>
      </c>
      <c r="D3041" t="s">
        <v>1091</v>
      </c>
      <c r="E3041" t="s">
        <v>1245</v>
      </c>
      <c r="F3041" t="s">
        <v>1236</v>
      </c>
    </row>
    <row r="3042" spans="1:6">
      <c r="A3042" t="s">
        <v>27</v>
      </c>
      <c r="B3042" t="s">
        <v>63</v>
      </c>
      <c r="C3042" t="s">
        <v>913</v>
      </c>
      <c r="D3042" t="s">
        <v>1091</v>
      </c>
      <c r="E3042" t="s">
        <v>1248</v>
      </c>
      <c r="F3042" t="s">
        <v>1321</v>
      </c>
    </row>
    <row r="3043" spans="1:6">
      <c r="A3043" t="s">
        <v>27</v>
      </c>
      <c r="B3043" t="s">
        <v>63</v>
      </c>
      <c r="C3043" t="s">
        <v>913</v>
      </c>
      <c r="D3043" t="s">
        <v>1091</v>
      </c>
      <c r="E3043" t="s">
        <v>1249</v>
      </c>
      <c r="F3043" t="s">
        <v>1383</v>
      </c>
    </row>
    <row r="3044" spans="1:6">
      <c r="A3044" t="s">
        <v>27</v>
      </c>
      <c r="B3044" t="s">
        <v>63</v>
      </c>
      <c r="C3044" t="s">
        <v>913</v>
      </c>
      <c r="D3044" t="s">
        <v>1091</v>
      </c>
      <c r="E3044" t="s">
        <v>1250</v>
      </c>
      <c r="F3044" t="s">
        <v>1239</v>
      </c>
    </row>
    <row r="3045" spans="1:6">
      <c r="A3045" t="s">
        <v>27</v>
      </c>
      <c r="B3045" t="s">
        <v>63</v>
      </c>
      <c r="C3045" t="s">
        <v>913</v>
      </c>
      <c r="D3045" t="s">
        <v>1091</v>
      </c>
      <c r="E3045" t="s">
        <v>1251</v>
      </c>
      <c r="F3045" t="s">
        <v>1232</v>
      </c>
    </row>
    <row r="3046" spans="1:6">
      <c r="A3046" t="s">
        <v>27</v>
      </c>
      <c r="B3046" t="s">
        <v>63</v>
      </c>
      <c r="C3046" t="s">
        <v>913</v>
      </c>
      <c r="D3046" t="s">
        <v>1091</v>
      </c>
      <c r="E3046" t="s">
        <v>1252</v>
      </c>
      <c r="F3046" t="s">
        <v>1232</v>
      </c>
    </row>
    <row r="3047" spans="1:6">
      <c r="A3047" t="s">
        <v>27</v>
      </c>
      <c r="B3047" t="s">
        <v>63</v>
      </c>
      <c r="C3047" t="s">
        <v>913</v>
      </c>
      <c r="D3047" t="s">
        <v>1091</v>
      </c>
      <c r="E3047" t="s">
        <v>1253</v>
      </c>
      <c r="F3047" t="s">
        <v>1232</v>
      </c>
    </row>
    <row r="3048" spans="1:6">
      <c r="A3048" t="s">
        <v>27</v>
      </c>
      <c r="B3048" t="s">
        <v>63</v>
      </c>
      <c r="C3048" t="s">
        <v>913</v>
      </c>
      <c r="D3048" t="s">
        <v>1091</v>
      </c>
      <c r="E3048" t="s">
        <v>1254</v>
      </c>
      <c r="F3048" t="s">
        <v>1246</v>
      </c>
    </row>
    <row r="3049" spans="1:6">
      <c r="A3049" t="s">
        <v>27</v>
      </c>
      <c r="B3049" t="s">
        <v>63</v>
      </c>
      <c r="C3049" t="s">
        <v>913</v>
      </c>
      <c r="D3049" t="s">
        <v>1091</v>
      </c>
      <c r="E3049" t="s">
        <v>1256</v>
      </c>
      <c r="F3049">
        <v>2601432</v>
      </c>
    </row>
    <row r="3050" spans="1:6">
      <c r="A3050" t="s">
        <v>27</v>
      </c>
      <c r="B3050" t="s">
        <v>63</v>
      </c>
      <c r="C3050" t="s">
        <v>913</v>
      </c>
      <c r="D3050" t="s">
        <v>1091</v>
      </c>
      <c r="E3050" t="s">
        <v>1257</v>
      </c>
      <c r="F3050">
        <v>1438681</v>
      </c>
    </row>
    <row r="3051" spans="1:6">
      <c r="A3051" t="s">
        <v>27</v>
      </c>
      <c r="B3051" t="s">
        <v>63</v>
      </c>
      <c r="C3051" t="s">
        <v>913</v>
      </c>
      <c r="D3051" t="s">
        <v>1091</v>
      </c>
      <c r="E3051" t="s">
        <v>1258</v>
      </c>
      <c r="F3051">
        <v>649881</v>
      </c>
    </row>
    <row r="3052" spans="1:6">
      <c r="A3052" t="s">
        <v>27</v>
      </c>
      <c r="B3052" t="s">
        <v>63</v>
      </c>
      <c r="C3052" t="s">
        <v>913</v>
      </c>
      <c r="D3052" t="s">
        <v>1091</v>
      </c>
      <c r="E3052" t="s">
        <v>1259</v>
      </c>
      <c r="F3052">
        <v>194859</v>
      </c>
    </row>
    <row r="3053" spans="1:6">
      <c r="A3053" t="s">
        <v>27</v>
      </c>
      <c r="B3053" t="s">
        <v>63</v>
      </c>
      <c r="C3053" t="s">
        <v>913</v>
      </c>
      <c r="D3053" t="s">
        <v>1091</v>
      </c>
      <c r="E3053" t="s">
        <v>1260</v>
      </c>
      <c r="F3053">
        <v>227758</v>
      </c>
    </row>
    <row r="3054" spans="1:6">
      <c r="A3054" t="s">
        <v>27</v>
      </c>
      <c r="B3054" t="s">
        <v>63</v>
      </c>
      <c r="C3054" t="s">
        <v>913</v>
      </c>
      <c r="D3054" t="s">
        <v>1091</v>
      </c>
      <c r="E3054" t="s">
        <v>1261</v>
      </c>
      <c r="F3054">
        <v>79534</v>
      </c>
    </row>
    <row r="3055" spans="1:6">
      <c r="A3055" t="s">
        <v>27</v>
      </c>
      <c r="B3055" t="s">
        <v>63</v>
      </c>
      <c r="C3055" t="s">
        <v>913</v>
      </c>
      <c r="D3055" t="s">
        <v>1091</v>
      </c>
      <c r="E3055" t="s">
        <v>1262</v>
      </c>
      <c r="F3055">
        <v>10718</v>
      </c>
    </row>
    <row r="3056" spans="1:6">
      <c r="A3056" t="s">
        <v>27</v>
      </c>
      <c r="B3056" t="s">
        <v>63</v>
      </c>
      <c r="C3056" t="s">
        <v>913</v>
      </c>
      <c r="D3056" t="s">
        <v>1091</v>
      </c>
      <c r="E3056" t="s">
        <v>1263</v>
      </c>
      <c r="F3056" t="s">
        <v>1255</v>
      </c>
    </row>
    <row r="3057" spans="1:6">
      <c r="A3057" t="s">
        <v>27</v>
      </c>
      <c r="B3057" t="s">
        <v>63</v>
      </c>
      <c r="C3057" t="s">
        <v>913</v>
      </c>
      <c r="D3057" t="s">
        <v>1091</v>
      </c>
      <c r="E3057" t="s">
        <v>1264</v>
      </c>
      <c r="F3057">
        <v>15415</v>
      </c>
    </row>
    <row r="3058" spans="1:6">
      <c r="A3058" t="s">
        <v>27</v>
      </c>
      <c r="B3058" t="s">
        <v>63</v>
      </c>
      <c r="C3058" t="s">
        <v>913</v>
      </c>
      <c r="D3058" t="s">
        <v>1091</v>
      </c>
      <c r="E3058" t="s">
        <v>1265</v>
      </c>
      <c r="F3058">
        <v>8860</v>
      </c>
    </row>
    <row r="3059" spans="1:6">
      <c r="A3059" t="s">
        <v>27</v>
      </c>
      <c r="B3059" t="s">
        <v>63</v>
      </c>
      <c r="C3059" t="s">
        <v>913</v>
      </c>
      <c r="D3059" t="s">
        <v>1091</v>
      </c>
      <c r="E3059" t="s">
        <v>1266</v>
      </c>
      <c r="F3059">
        <v>5101</v>
      </c>
    </row>
    <row r="3060" spans="1:6">
      <c r="A3060" t="s">
        <v>27</v>
      </c>
      <c r="B3060" t="s">
        <v>63</v>
      </c>
      <c r="C3060" t="s">
        <v>913</v>
      </c>
      <c r="D3060" t="s">
        <v>1091</v>
      </c>
      <c r="E3060" t="s">
        <v>1268</v>
      </c>
      <c r="F3060">
        <v>844</v>
      </c>
    </row>
    <row r="3061" spans="1:6">
      <c r="A3061" t="s">
        <v>27</v>
      </c>
      <c r="B3061" t="s">
        <v>63</v>
      </c>
      <c r="C3061" t="s">
        <v>913</v>
      </c>
      <c r="D3061" t="s">
        <v>1091</v>
      </c>
      <c r="E3061" t="s">
        <v>1269</v>
      </c>
      <c r="F3061">
        <v>197</v>
      </c>
    </row>
    <row r="3062" spans="1:6">
      <c r="A3062" t="s">
        <v>27</v>
      </c>
      <c r="B3062" t="s">
        <v>63</v>
      </c>
      <c r="C3062" t="s">
        <v>913</v>
      </c>
      <c r="D3062" t="s">
        <v>1091</v>
      </c>
      <c r="E3062" t="s">
        <v>1271</v>
      </c>
      <c r="F3062">
        <v>153</v>
      </c>
    </row>
    <row r="3063" spans="1:6">
      <c r="A3063" t="s">
        <v>27</v>
      </c>
      <c r="B3063" t="s">
        <v>63</v>
      </c>
      <c r="C3063" t="s">
        <v>913</v>
      </c>
      <c r="D3063" t="s">
        <v>1091</v>
      </c>
      <c r="E3063" t="s">
        <v>1272</v>
      </c>
      <c r="F3063">
        <v>260</v>
      </c>
    </row>
    <row r="3064" spans="1:6">
      <c r="A3064" t="s">
        <v>27</v>
      </c>
      <c r="B3064" t="s">
        <v>63</v>
      </c>
      <c r="C3064" t="s">
        <v>913</v>
      </c>
      <c r="D3064" t="s">
        <v>1091</v>
      </c>
      <c r="E3064" t="s">
        <v>1561</v>
      </c>
      <c r="F3064" t="s">
        <v>1131</v>
      </c>
    </row>
    <row r="3065" spans="1:6">
      <c r="A3065" t="s">
        <v>27</v>
      </c>
      <c r="B3065" t="s">
        <v>63</v>
      </c>
      <c r="C3065" t="s">
        <v>913</v>
      </c>
      <c r="D3065" t="s">
        <v>1091</v>
      </c>
      <c r="E3065" t="s">
        <v>1562</v>
      </c>
      <c r="F3065" t="s">
        <v>1329</v>
      </c>
    </row>
    <row r="3066" spans="1:6">
      <c r="A3066" t="s">
        <v>27</v>
      </c>
      <c r="B3066" t="s">
        <v>63</v>
      </c>
      <c r="C3066" t="s">
        <v>913</v>
      </c>
      <c r="D3066" t="s">
        <v>1091</v>
      </c>
      <c r="E3066" t="s">
        <v>1563</v>
      </c>
      <c r="F3066" t="s">
        <v>1315</v>
      </c>
    </row>
    <row r="3067" spans="1:6">
      <c r="A3067" t="s">
        <v>27</v>
      </c>
      <c r="B3067" t="s">
        <v>63</v>
      </c>
      <c r="C3067" t="s">
        <v>913</v>
      </c>
      <c r="D3067" t="s">
        <v>1091</v>
      </c>
      <c r="E3067" t="s">
        <v>1564</v>
      </c>
      <c r="F3067" t="s">
        <v>1403</v>
      </c>
    </row>
    <row r="3068" spans="1:6">
      <c r="A3068" t="s">
        <v>27</v>
      </c>
      <c r="B3068" t="s">
        <v>63</v>
      </c>
      <c r="C3068" t="s">
        <v>913</v>
      </c>
      <c r="D3068" t="s">
        <v>1091</v>
      </c>
      <c r="E3068" t="s">
        <v>1565</v>
      </c>
      <c r="F3068" t="s">
        <v>1548</v>
      </c>
    </row>
    <row r="3069" spans="1:6">
      <c r="A3069" t="s">
        <v>27</v>
      </c>
      <c r="B3069" t="s">
        <v>63</v>
      </c>
      <c r="C3069" t="s">
        <v>913</v>
      </c>
      <c r="D3069" t="s">
        <v>1091</v>
      </c>
      <c r="E3069" t="s">
        <v>1566</v>
      </c>
      <c r="F3069" t="s">
        <v>1408</v>
      </c>
    </row>
    <row r="3070" spans="1:6">
      <c r="A3070" t="s">
        <v>27</v>
      </c>
      <c r="B3070" t="s">
        <v>63</v>
      </c>
      <c r="C3070" t="s">
        <v>913</v>
      </c>
      <c r="D3070" t="s">
        <v>1091</v>
      </c>
      <c r="E3070" t="s">
        <v>1488</v>
      </c>
      <c r="F3070" t="s">
        <v>1548</v>
      </c>
    </row>
    <row r="3071" spans="1:6">
      <c r="A3071" t="s">
        <v>27</v>
      </c>
      <c r="B3071" t="s">
        <v>63</v>
      </c>
      <c r="C3071" t="s">
        <v>913</v>
      </c>
      <c r="D3071" t="s">
        <v>1091</v>
      </c>
      <c r="E3071" t="s">
        <v>1567</v>
      </c>
      <c r="F3071" t="s">
        <v>1310</v>
      </c>
    </row>
    <row r="3072" spans="1:6">
      <c r="A3072" t="s">
        <v>27</v>
      </c>
      <c r="B3072" t="s">
        <v>63</v>
      </c>
      <c r="C3072" t="s">
        <v>913</v>
      </c>
      <c r="D3072" t="s">
        <v>1273</v>
      </c>
      <c r="E3072" t="s">
        <v>992</v>
      </c>
      <c r="F3072" t="s">
        <v>63</v>
      </c>
    </row>
    <row r="3073" spans="1:6">
      <c r="A3073" t="s">
        <v>27</v>
      </c>
      <c r="B3073" t="s">
        <v>63</v>
      </c>
      <c r="C3073" t="s">
        <v>913</v>
      </c>
      <c r="D3073" t="s">
        <v>1273</v>
      </c>
      <c r="E3073" t="s">
        <v>1304</v>
      </c>
      <c r="F3073" t="s">
        <v>1511</v>
      </c>
    </row>
    <row r="3074" spans="1:6">
      <c r="A3074" t="s">
        <v>27</v>
      </c>
      <c r="B3074" t="s">
        <v>63</v>
      </c>
      <c r="C3074" t="s">
        <v>913</v>
      </c>
      <c r="D3074" t="s">
        <v>1273</v>
      </c>
      <c r="E3074" t="s">
        <v>1093</v>
      </c>
      <c r="F3074" t="s">
        <v>1277</v>
      </c>
    </row>
    <row r="3075" spans="1:6">
      <c r="A3075" t="s">
        <v>27</v>
      </c>
      <c r="B3075" t="s">
        <v>63</v>
      </c>
      <c r="C3075" t="s">
        <v>913</v>
      </c>
      <c r="D3075" t="s">
        <v>1273</v>
      </c>
      <c r="E3075" t="s">
        <v>1279</v>
      </c>
      <c r="F3075" t="s">
        <v>1511</v>
      </c>
    </row>
    <row r="3076" spans="1:6">
      <c r="A3076" t="s">
        <v>27</v>
      </c>
      <c r="B3076" t="s">
        <v>63</v>
      </c>
      <c r="C3076" t="s">
        <v>913</v>
      </c>
      <c r="D3076" t="s">
        <v>1273</v>
      </c>
      <c r="E3076" t="s">
        <v>1576</v>
      </c>
      <c r="F3076" t="s">
        <v>1280</v>
      </c>
    </row>
    <row r="3077" spans="1:6">
      <c r="A3077" t="s">
        <v>27</v>
      </c>
      <c r="B3077" t="s">
        <v>63</v>
      </c>
      <c r="C3077" t="s">
        <v>913</v>
      </c>
      <c r="D3077" t="s">
        <v>1273</v>
      </c>
      <c r="E3077" t="s">
        <v>1577</v>
      </c>
      <c r="F3077" t="s">
        <v>1282</v>
      </c>
    </row>
    <row r="3078" spans="1:6">
      <c r="A3078" t="s">
        <v>27</v>
      </c>
      <c r="B3078" t="s">
        <v>63</v>
      </c>
      <c r="C3078" t="s">
        <v>913</v>
      </c>
      <c r="D3078" t="s">
        <v>1273</v>
      </c>
      <c r="E3078" t="s">
        <v>1002</v>
      </c>
      <c r="F3078" t="s">
        <v>1284</v>
      </c>
    </row>
    <row r="3079" spans="1:6">
      <c r="A3079" t="s">
        <v>27</v>
      </c>
      <c r="B3079" t="s">
        <v>63</v>
      </c>
      <c r="C3079" t="s">
        <v>913</v>
      </c>
      <c r="D3079" t="s">
        <v>1273</v>
      </c>
      <c r="E3079" t="s">
        <v>1288</v>
      </c>
      <c r="F3079" t="s">
        <v>377</v>
      </c>
    </row>
    <row r="3080" spans="1:6">
      <c r="A3080" t="s">
        <v>27</v>
      </c>
      <c r="B3080" t="s">
        <v>63</v>
      </c>
      <c r="C3080" t="s">
        <v>913</v>
      </c>
      <c r="D3080" t="s">
        <v>1273</v>
      </c>
      <c r="E3080" t="s">
        <v>1096</v>
      </c>
      <c r="F3080">
        <v>2792</v>
      </c>
    </row>
    <row r="3081" spans="1:6">
      <c r="A3081" t="s">
        <v>27</v>
      </c>
      <c r="B3081" t="s">
        <v>63</v>
      </c>
      <c r="C3081" t="s">
        <v>913</v>
      </c>
      <c r="D3081" t="s">
        <v>1273</v>
      </c>
      <c r="E3081" t="s">
        <v>1004</v>
      </c>
      <c r="F3081">
        <v>837</v>
      </c>
    </row>
    <row r="3082" spans="1:6">
      <c r="A3082" t="s">
        <v>27</v>
      </c>
      <c r="B3082" t="s">
        <v>63</v>
      </c>
      <c r="C3082" t="s">
        <v>913</v>
      </c>
      <c r="D3082" t="s">
        <v>1273</v>
      </c>
      <c r="E3082" t="s">
        <v>1289</v>
      </c>
      <c r="F3082" t="s">
        <v>379</v>
      </c>
    </row>
    <row r="3083" spans="1:6">
      <c r="A3083" t="s">
        <v>27</v>
      </c>
      <c r="B3083" t="s">
        <v>63</v>
      </c>
      <c r="C3083" t="s">
        <v>913</v>
      </c>
      <c r="D3083" t="s">
        <v>1273</v>
      </c>
      <c r="E3083" t="s">
        <v>1290</v>
      </c>
      <c r="F3083">
        <v>2663</v>
      </c>
    </row>
    <row r="3084" spans="1:6">
      <c r="A3084" t="s">
        <v>27</v>
      </c>
      <c r="B3084" t="s">
        <v>63</v>
      </c>
      <c r="C3084" t="s">
        <v>913</v>
      </c>
      <c r="D3084" t="s">
        <v>1273</v>
      </c>
      <c r="E3084" t="s">
        <v>1291</v>
      </c>
      <c r="F3084">
        <v>12443</v>
      </c>
    </row>
    <row r="3085" spans="1:6">
      <c r="A3085" t="s">
        <v>27</v>
      </c>
      <c r="B3085" t="s">
        <v>63</v>
      </c>
      <c r="C3085" t="s">
        <v>913</v>
      </c>
      <c r="D3085" t="s">
        <v>1273</v>
      </c>
      <c r="E3085" t="s">
        <v>1008</v>
      </c>
      <c r="F3085" t="s">
        <v>381</v>
      </c>
    </row>
    <row r="3086" spans="1:6">
      <c r="A3086" t="s">
        <v>27</v>
      </c>
      <c r="B3086" t="s">
        <v>63</v>
      </c>
      <c r="C3086" t="s">
        <v>913</v>
      </c>
      <c r="D3086" t="s">
        <v>1273</v>
      </c>
      <c r="E3086" t="s">
        <v>1010</v>
      </c>
      <c r="F3086">
        <v>5947</v>
      </c>
    </row>
    <row r="3087" spans="1:6">
      <c r="A3087" t="s">
        <v>27</v>
      </c>
      <c r="B3087" t="s">
        <v>63</v>
      </c>
      <c r="C3087" t="s">
        <v>913</v>
      </c>
      <c r="D3087" t="s">
        <v>1273</v>
      </c>
      <c r="E3087" t="s">
        <v>1012</v>
      </c>
      <c r="F3087">
        <v>265714</v>
      </c>
    </row>
    <row r="3088" spans="1:6">
      <c r="A3088" t="s">
        <v>27</v>
      </c>
      <c r="B3088" t="s">
        <v>63</v>
      </c>
      <c r="C3088" t="s">
        <v>913</v>
      </c>
      <c r="D3088" t="s">
        <v>1273</v>
      </c>
      <c r="E3088" t="s">
        <v>1035</v>
      </c>
      <c r="F3088" t="s">
        <v>383</v>
      </c>
    </row>
    <row r="3089" spans="1:6">
      <c r="A3089" t="s">
        <v>27</v>
      </c>
      <c r="B3089" t="s">
        <v>63</v>
      </c>
      <c r="C3089" t="s">
        <v>913</v>
      </c>
      <c r="D3089" t="s">
        <v>1273</v>
      </c>
      <c r="E3089" t="s">
        <v>1099</v>
      </c>
      <c r="F3089">
        <v>4692</v>
      </c>
    </row>
    <row r="3090" spans="1:6">
      <c r="A3090" t="s">
        <v>27</v>
      </c>
      <c r="B3090" t="s">
        <v>63</v>
      </c>
      <c r="C3090" t="s">
        <v>913</v>
      </c>
      <c r="D3090" t="s">
        <v>1273</v>
      </c>
      <c r="E3090" t="s">
        <v>1100</v>
      </c>
      <c r="F3090">
        <v>1359598</v>
      </c>
    </row>
    <row r="3091" spans="1:6">
      <c r="A3091" t="s">
        <v>27</v>
      </c>
      <c r="B3091" t="s">
        <v>63</v>
      </c>
      <c r="C3091" t="s">
        <v>913</v>
      </c>
      <c r="D3091" t="s">
        <v>1273</v>
      </c>
      <c r="E3091" t="s">
        <v>1037</v>
      </c>
      <c r="F3091" t="s">
        <v>385</v>
      </c>
    </row>
    <row r="3092" spans="1:6">
      <c r="A3092" t="s">
        <v>27</v>
      </c>
      <c r="B3092" t="s">
        <v>63</v>
      </c>
      <c r="C3092" t="s">
        <v>913</v>
      </c>
      <c r="D3092" t="s">
        <v>1273</v>
      </c>
      <c r="E3092" t="s">
        <v>1103</v>
      </c>
      <c r="F3092">
        <v>563</v>
      </c>
    </row>
    <row r="3093" spans="1:6">
      <c r="A3093" t="s">
        <v>27</v>
      </c>
      <c r="B3093" t="s">
        <v>63</v>
      </c>
      <c r="C3093" t="s">
        <v>913</v>
      </c>
      <c r="D3093" t="s">
        <v>1273</v>
      </c>
      <c r="E3093" t="s">
        <v>1104</v>
      </c>
      <c r="F3093">
        <v>1260031</v>
      </c>
    </row>
    <row r="3094" spans="1:6">
      <c r="A3094" t="s">
        <v>27</v>
      </c>
      <c r="B3094" t="s">
        <v>63</v>
      </c>
      <c r="C3094" t="s">
        <v>913</v>
      </c>
      <c r="D3094" t="s">
        <v>1273</v>
      </c>
      <c r="E3094" t="s">
        <v>1039</v>
      </c>
      <c r="F3094" t="s">
        <v>1292</v>
      </c>
    </row>
    <row r="3095" spans="1:6">
      <c r="A3095" t="s">
        <v>27</v>
      </c>
      <c r="B3095" t="s">
        <v>63</v>
      </c>
      <c r="C3095" t="s">
        <v>913</v>
      </c>
      <c r="D3095" t="s">
        <v>1273</v>
      </c>
      <c r="E3095" t="s">
        <v>1040</v>
      </c>
      <c r="F3095">
        <v>16657</v>
      </c>
    </row>
    <row r="3096" spans="1:6">
      <c r="A3096" t="s">
        <v>27</v>
      </c>
      <c r="B3096" t="s">
        <v>63</v>
      </c>
      <c r="C3096" t="s">
        <v>913</v>
      </c>
      <c r="D3096" t="s">
        <v>1273</v>
      </c>
      <c r="E3096" t="s">
        <v>1041</v>
      </c>
      <c r="F3096">
        <v>2898622</v>
      </c>
    </row>
    <row r="3097" spans="1:6">
      <c r="A3097" t="s">
        <v>27</v>
      </c>
      <c r="B3097" t="s">
        <v>63</v>
      </c>
      <c r="C3097" t="s">
        <v>913</v>
      </c>
      <c r="D3097" t="s">
        <v>1273</v>
      </c>
      <c r="E3097" t="s">
        <v>1111</v>
      </c>
      <c r="F3097" t="s">
        <v>1293</v>
      </c>
    </row>
    <row r="3098" spans="1:6">
      <c r="A3098" t="s">
        <v>27</v>
      </c>
      <c r="B3098" t="s">
        <v>63</v>
      </c>
      <c r="C3098" t="s">
        <v>913</v>
      </c>
      <c r="D3098" t="s">
        <v>1273</v>
      </c>
      <c r="E3098" t="s">
        <v>1113</v>
      </c>
      <c r="F3098" t="s">
        <v>1294</v>
      </c>
    </row>
    <row r="3099" spans="1:6">
      <c r="A3099" t="s">
        <v>27</v>
      </c>
      <c r="B3099" t="s">
        <v>63</v>
      </c>
      <c r="C3099" t="s">
        <v>913</v>
      </c>
      <c r="D3099" t="s">
        <v>1273</v>
      </c>
      <c r="E3099" t="s">
        <v>1114</v>
      </c>
      <c r="F3099" t="s">
        <v>1295</v>
      </c>
    </row>
    <row r="3100" spans="1:6">
      <c r="A3100" t="s">
        <v>27</v>
      </c>
      <c r="B3100" t="s">
        <v>63</v>
      </c>
      <c r="C3100" t="s">
        <v>913</v>
      </c>
      <c r="D3100" t="s">
        <v>1273</v>
      </c>
      <c r="E3100" t="s">
        <v>1115</v>
      </c>
      <c r="F3100" t="s">
        <v>1295</v>
      </c>
    </row>
    <row r="3101" spans="1:6">
      <c r="A3101" t="s">
        <v>27</v>
      </c>
      <c r="B3101" t="s">
        <v>63</v>
      </c>
      <c r="C3101" t="s">
        <v>913</v>
      </c>
      <c r="D3101" t="s">
        <v>1273</v>
      </c>
      <c r="E3101" t="s">
        <v>1118</v>
      </c>
      <c r="F3101">
        <v>2018</v>
      </c>
    </row>
    <row r="3102" spans="1:6">
      <c r="A3102" t="s">
        <v>27</v>
      </c>
      <c r="B3102" t="s">
        <v>63</v>
      </c>
      <c r="C3102" t="s">
        <v>913</v>
      </c>
      <c r="D3102" t="s">
        <v>1273</v>
      </c>
      <c r="E3102" t="s">
        <v>1119</v>
      </c>
      <c r="F3102" t="s">
        <v>1295</v>
      </c>
    </row>
    <row r="3103" spans="1:6">
      <c r="A3103" t="s">
        <v>27</v>
      </c>
      <c r="B3103" t="s">
        <v>63</v>
      </c>
      <c r="C3103" t="s">
        <v>913</v>
      </c>
      <c r="D3103" t="s">
        <v>1273</v>
      </c>
      <c r="E3103" t="s">
        <v>1120</v>
      </c>
      <c r="F3103" t="s">
        <v>1295</v>
      </c>
    </row>
    <row r="3104" spans="1:6">
      <c r="A3104" t="s">
        <v>27</v>
      </c>
      <c r="B3104" t="s">
        <v>63</v>
      </c>
      <c r="C3104" t="s">
        <v>913</v>
      </c>
      <c r="D3104" t="s">
        <v>1273</v>
      </c>
      <c r="E3104" t="s">
        <v>1124</v>
      </c>
      <c r="F3104">
        <v>2019</v>
      </c>
    </row>
    <row r="3105" spans="1:6">
      <c r="A3105" t="s">
        <v>27</v>
      </c>
      <c r="B3105" t="s">
        <v>63</v>
      </c>
      <c r="C3105" t="s">
        <v>913</v>
      </c>
      <c r="D3105" t="s">
        <v>1273</v>
      </c>
      <c r="E3105" t="s">
        <v>1126</v>
      </c>
      <c r="F3105" t="s">
        <v>1295</v>
      </c>
    </row>
    <row r="3106" spans="1:6">
      <c r="A3106" t="s">
        <v>27</v>
      </c>
      <c r="B3106" t="s">
        <v>63</v>
      </c>
      <c r="C3106" t="s">
        <v>913</v>
      </c>
      <c r="D3106" t="s">
        <v>1273</v>
      </c>
      <c r="E3106" t="s">
        <v>1127</v>
      </c>
      <c r="F3106" t="s">
        <v>1295</v>
      </c>
    </row>
    <row r="3107" spans="1:6">
      <c r="A3107" t="s">
        <v>27</v>
      </c>
      <c r="B3107" t="s">
        <v>63</v>
      </c>
      <c r="C3107" t="s">
        <v>913</v>
      </c>
      <c r="D3107" t="s">
        <v>1273</v>
      </c>
      <c r="E3107" t="s">
        <v>1057</v>
      </c>
      <c r="F3107">
        <v>2020</v>
      </c>
    </row>
    <row r="3108" spans="1:6">
      <c r="A3108" t="s">
        <v>27</v>
      </c>
      <c r="B3108" t="s">
        <v>63</v>
      </c>
      <c r="C3108" t="s">
        <v>913</v>
      </c>
      <c r="D3108" t="s">
        <v>1273</v>
      </c>
      <c r="E3108" t="s">
        <v>1058</v>
      </c>
      <c r="F3108" t="s">
        <v>1295</v>
      </c>
    </row>
    <row r="3109" spans="1:6">
      <c r="A3109" t="s">
        <v>27</v>
      </c>
      <c r="B3109" t="s">
        <v>63</v>
      </c>
      <c r="C3109" t="s">
        <v>913</v>
      </c>
      <c r="D3109" t="s">
        <v>1273</v>
      </c>
      <c r="E3109" t="s">
        <v>1059</v>
      </c>
      <c r="F3109" t="s">
        <v>1295</v>
      </c>
    </row>
    <row r="3110" spans="1:6">
      <c r="A3110" t="s">
        <v>27</v>
      </c>
      <c r="B3110" t="s">
        <v>63</v>
      </c>
      <c r="C3110" t="s">
        <v>913</v>
      </c>
      <c r="D3110" t="s">
        <v>1273</v>
      </c>
      <c r="E3110" t="s">
        <v>1072</v>
      </c>
      <c r="F3110">
        <v>2021</v>
      </c>
    </row>
    <row r="3111" spans="1:6">
      <c r="A3111" t="s">
        <v>27</v>
      </c>
      <c r="B3111" t="s">
        <v>63</v>
      </c>
      <c r="C3111" t="s">
        <v>913</v>
      </c>
      <c r="D3111" t="s">
        <v>1273</v>
      </c>
      <c r="E3111" t="s">
        <v>1133</v>
      </c>
      <c r="F3111" t="s">
        <v>1295</v>
      </c>
    </row>
    <row r="3112" spans="1:6">
      <c r="A3112" t="s">
        <v>27</v>
      </c>
      <c r="B3112" t="s">
        <v>63</v>
      </c>
      <c r="C3112" t="s">
        <v>913</v>
      </c>
      <c r="D3112" t="s">
        <v>1273</v>
      </c>
      <c r="E3112" t="s">
        <v>1134</v>
      </c>
      <c r="F3112" t="s">
        <v>1295</v>
      </c>
    </row>
    <row r="3113" spans="1:6">
      <c r="A3113" t="s">
        <v>27</v>
      </c>
      <c r="B3113" t="s">
        <v>63</v>
      </c>
      <c r="C3113" t="s">
        <v>913</v>
      </c>
      <c r="D3113" t="s">
        <v>1273</v>
      </c>
      <c r="E3113" t="s">
        <v>1074</v>
      </c>
      <c r="F3113">
        <v>2022</v>
      </c>
    </row>
    <row r="3114" spans="1:6">
      <c r="A3114" t="s">
        <v>27</v>
      </c>
      <c r="B3114" t="s">
        <v>63</v>
      </c>
      <c r="C3114" t="s">
        <v>913</v>
      </c>
      <c r="D3114" t="s">
        <v>1273</v>
      </c>
      <c r="E3114" t="s">
        <v>1296</v>
      </c>
      <c r="F3114" t="s">
        <v>1295</v>
      </c>
    </row>
    <row r="3115" spans="1:6">
      <c r="A3115" t="s">
        <v>27</v>
      </c>
      <c r="B3115" t="s">
        <v>63</v>
      </c>
      <c r="C3115" t="s">
        <v>913</v>
      </c>
      <c r="D3115" t="s">
        <v>1273</v>
      </c>
      <c r="E3115" t="s">
        <v>1297</v>
      </c>
      <c r="F3115" t="s">
        <v>1295</v>
      </c>
    </row>
    <row r="3116" spans="1:6">
      <c r="A3116" t="s">
        <v>27</v>
      </c>
      <c r="B3116" t="s">
        <v>63</v>
      </c>
      <c r="C3116" t="s">
        <v>913</v>
      </c>
      <c r="D3116" t="s">
        <v>1273</v>
      </c>
      <c r="E3116" t="s">
        <v>1076</v>
      </c>
      <c r="F3116">
        <v>2023</v>
      </c>
    </row>
    <row r="3117" spans="1:6">
      <c r="A3117" t="s">
        <v>27</v>
      </c>
      <c r="B3117" t="s">
        <v>63</v>
      </c>
      <c r="C3117" t="s">
        <v>913</v>
      </c>
      <c r="D3117" t="s">
        <v>1273</v>
      </c>
      <c r="E3117" t="s">
        <v>1077</v>
      </c>
      <c r="F3117" t="s">
        <v>1295</v>
      </c>
    </row>
    <row r="3118" spans="1:6">
      <c r="A3118" t="s">
        <v>27</v>
      </c>
      <c r="B3118" t="s">
        <v>63</v>
      </c>
      <c r="C3118" t="s">
        <v>913</v>
      </c>
      <c r="D3118" t="s">
        <v>1273</v>
      </c>
      <c r="E3118" t="s">
        <v>1078</v>
      </c>
      <c r="F3118" t="s">
        <v>1295</v>
      </c>
    </row>
    <row r="3119" spans="1:6">
      <c r="A3119" t="s">
        <v>27</v>
      </c>
      <c r="B3119" t="s">
        <v>63</v>
      </c>
      <c r="C3119" t="s">
        <v>913</v>
      </c>
      <c r="D3119" t="s">
        <v>1273</v>
      </c>
      <c r="E3119" t="s">
        <v>1090</v>
      </c>
      <c r="F3119">
        <v>2024</v>
      </c>
    </row>
    <row r="3120" spans="1:6">
      <c r="A3120" t="s">
        <v>27</v>
      </c>
      <c r="B3120" t="s">
        <v>63</v>
      </c>
      <c r="C3120" t="s">
        <v>913</v>
      </c>
      <c r="D3120" t="s">
        <v>1273</v>
      </c>
      <c r="E3120" t="s">
        <v>1139</v>
      </c>
      <c r="F3120" t="s">
        <v>1295</v>
      </c>
    </row>
    <row r="3121" spans="1:6">
      <c r="A3121" t="s">
        <v>27</v>
      </c>
      <c r="B3121" t="s">
        <v>63</v>
      </c>
      <c r="C3121" t="s">
        <v>913</v>
      </c>
      <c r="D3121" t="s">
        <v>1273</v>
      </c>
      <c r="E3121" t="s">
        <v>1140</v>
      </c>
      <c r="F3121" t="s">
        <v>1295</v>
      </c>
    </row>
    <row r="3122" spans="1:6">
      <c r="A3122" t="s">
        <v>27</v>
      </c>
      <c r="B3122" t="s">
        <v>63</v>
      </c>
      <c r="C3122" t="s">
        <v>913</v>
      </c>
      <c r="D3122" t="s">
        <v>1273</v>
      </c>
      <c r="E3122" t="s">
        <v>1298</v>
      </c>
      <c r="F3122">
        <v>2025</v>
      </c>
    </row>
    <row r="3123" spans="1:6">
      <c r="A3123" t="s">
        <v>27</v>
      </c>
      <c r="B3123" t="s">
        <v>63</v>
      </c>
      <c r="C3123" t="s">
        <v>913</v>
      </c>
      <c r="D3123" t="s">
        <v>1273</v>
      </c>
      <c r="E3123" t="s">
        <v>1299</v>
      </c>
      <c r="F3123">
        <v>978</v>
      </c>
    </row>
    <row r="3124" spans="1:6">
      <c r="A3124" t="s">
        <v>27</v>
      </c>
      <c r="B3124" t="s">
        <v>63</v>
      </c>
      <c r="C3124" t="s">
        <v>913</v>
      </c>
      <c r="D3124" t="s">
        <v>1273</v>
      </c>
      <c r="E3124" t="s">
        <v>1300</v>
      </c>
      <c r="F3124">
        <v>237048</v>
      </c>
    </row>
    <row r="3125" spans="1:6">
      <c r="A3125" t="s">
        <v>27</v>
      </c>
      <c r="B3125" t="s">
        <v>63</v>
      </c>
      <c r="C3125" t="s">
        <v>913</v>
      </c>
      <c r="D3125" t="s">
        <v>1273</v>
      </c>
      <c r="E3125" t="s">
        <v>1301</v>
      </c>
      <c r="F3125">
        <v>2026</v>
      </c>
    </row>
    <row r="3126" spans="1:6">
      <c r="A3126" t="s">
        <v>27</v>
      </c>
      <c r="B3126" t="s">
        <v>63</v>
      </c>
      <c r="C3126" t="s">
        <v>913</v>
      </c>
      <c r="D3126" t="s">
        <v>1273</v>
      </c>
      <c r="E3126" t="s">
        <v>1302</v>
      </c>
      <c r="F3126">
        <v>15679</v>
      </c>
    </row>
    <row r="3127" spans="1:6">
      <c r="A3127" t="s">
        <v>27</v>
      </c>
      <c r="B3127" t="s">
        <v>63</v>
      </c>
      <c r="C3127" t="s">
        <v>913</v>
      </c>
      <c r="D3127" t="s">
        <v>1273</v>
      </c>
      <c r="E3127" t="s">
        <v>1303</v>
      </c>
      <c r="F3127">
        <v>2661575</v>
      </c>
    </row>
    <row r="3128" spans="1:6">
      <c r="A3128" t="s">
        <v>27</v>
      </c>
      <c r="B3128" t="s">
        <v>63</v>
      </c>
      <c r="C3128" t="s">
        <v>913</v>
      </c>
      <c r="D3128" t="s">
        <v>1273</v>
      </c>
      <c r="E3128" t="s">
        <v>1392</v>
      </c>
      <c r="F3128" t="s">
        <v>1292</v>
      </c>
    </row>
    <row r="3129" spans="1:6">
      <c r="A3129" t="s">
        <v>27</v>
      </c>
      <c r="B3129" t="s">
        <v>63</v>
      </c>
      <c r="C3129" t="s">
        <v>913</v>
      </c>
      <c r="D3129" t="s">
        <v>1273</v>
      </c>
      <c r="E3129" t="s">
        <v>1393</v>
      </c>
      <c r="F3129">
        <v>16657</v>
      </c>
    </row>
    <row r="3130" spans="1:6">
      <c r="A3130" t="s">
        <v>27</v>
      </c>
      <c r="B3130" t="s">
        <v>63</v>
      </c>
      <c r="C3130" t="s">
        <v>913</v>
      </c>
      <c r="D3130" t="s">
        <v>1273</v>
      </c>
      <c r="E3130" t="s">
        <v>1394</v>
      </c>
      <c r="F3130">
        <v>2898622</v>
      </c>
    </row>
    <row r="3131" spans="1:6">
      <c r="A3131" t="s">
        <v>27</v>
      </c>
      <c r="B3131" t="s">
        <v>73</v>
      </c>
      <c r="C3131" t="s">
        <v>913</v>
      </c>
      <c r="D3131" t="s">
        <v>991</v>
      </c>
      <c r="E3131" t="s">
        <v>1276</v>
      </c>
      <c r="F3131" t="s">
        <v>993</v>
      </c>
    </row>
    <row r="3132" spans="1:6">
      <c r="A3132" t="s">
        <v>27</v>
      </c>
      <c r="B3132" t="s">
        <v>73</v>
      </c>
      <c r="C3132" t="s">
        <v>913</v>
      </c>
      <c r="D3132" t="s">
        <v>991</v>
      </c>
      <c r="E3132" t="s">
        <v>999</v>
      </c>
      <c r="F3132" t="s">
        <v>1094</v>
      </c>
    </row>
    <row r="3133" spans="1:6">
      <c r="A3133" t="s">
        <v>27</v>
      </c>
      <c r="B3133" t="s">
        <v>73</v>
      </c>
      <c r="C3133" t="s">
        <v>913</v>
      </c>
      <c r="D3133" t="s">
        <v>991</v>
      </c>
      <c r="E3133" t="s">
        <v>1001</v>
      </c>
      <c r="F3133" t="s">
        <v>1395</v>
      </c>
    </row>
    <row r="3134" spans="1:6">
      <c r="A3134" t="s">
        <v>27</v>
      </c>
      <c r="B3134" t="s">
        <v>73</v>
      </c>
      <c r="C3134" t="s">
        <v>913</v>
      </c>
      <c r="D3134" t="s">
        <v>991</v>
      </c>
      <c r="E3134" t="s">
        <v>1509</v>
      </c>
      <c r="F3134" t="s">
        <v>996</v>
      </c>
    </row>
    <row r="3135" spans="1:6">
      <c r="A3135" t="s">
        <v>27</v>
      </c>
      <c r="B3135" t="s">
        <v>73</v>
      </c>
      <c r="C3135" t="s">
        <v>913</v>
      </c>
      <c r="D3135" t="s">
        <v>991</v>
      </c>
      <c r="E3135" t="s">
        <v>1510</v>
      </c>
      <c r="F3135" t="s">
        <v>1511</v>
      </c>
    </row>
    <row r="3136" spans="1:6">
      <c r="A3136" t="s">
        <v>27</v>
      </c>
      <c r="B3136" t="s">
        <v>73</v>
      </c>
      <c r="C3136" t="s">
        <v>913</v>
      </c>
      <c r="D3136" t="s">
        <v>991</v>
      </c>
      <c r="E3136" t="s">
        <v>1283</v>
      </c>
      <c r="F3136" t="s">
        <v>1000</v>
      </c>
    </row>
    <row r="3137" spans="1:6">
      <c r="A3137" t="s">
        <v>27</v>
      </c>
      <c r="B3137" t="s">
        <v>73</v>
      </c>
      <c r="C3137" t="s">
        <v>913</v>
      </c>
      <c r="D3137" t="s">
        <v>991</v>
      </c>
      <c r="E3137" t="s">
        <v>1285</v>
      </c>
      <c r="F3137" t="s">
        <v>10</v>
      </c>
    </row>
    <row r="3138" spans="1:6">
      <c r="A3138" t="s">
        <v>27</v>
      </c>
      <c r="B3138" t="s">
        <v>73</v>
      </c>
      <c r="C3138" t="s">
        <v>913</v>
      </c>
      <c r="D3138" t="s">
        <v>991</v>
      </c>
      <c r="E3138" t="s">
        <v>1335</v>
      </c>
      <c r="F3138" t="s">
        <v>1003</v>
      </c>
    </row>
    <row r="3139" spans="1:6">
      <c r="A3139" t="s">
        <v>27</v>
      </c>
      <c r="B3139" t="s">
        <v>73</v>
      </c>
      <c r="C3139" t="s">
        <v>913</v>
      </c>
      <c r="D3139" t="s">
        <v>991</v>
      </c>
      <c r="E3139" t="s">
        <v>1291</v>
      </c>
      <c r="F3139" t="s">
        <v>1005</v>
      </c>
    </row>
    <row r="3140" spans="1:6">
      <c r="A3140" t="s">
        <v>27</v>
      </c>
      <c r="B3140" t="s">
        <v>73</v>
      </c>
      <c r="C3140" t="s">
        <v>913</v>
      </c>
      <c r="D3140" t="s">
        <v>991</v>
      </c>
      <c r="E3140" t="s">
        <v>1034</v>
      </c>
      <c r="F3140" t="s">
        <v>1007</v>
      </c>
    </row>
    <row r="3141" spans="1:6">
      <c r="A3141" t="s">
        <v>27</v>
      </c>
      <c r="B3141" t="s">
        <v>73</v>
      </c>
      <c r="C3141" t="s">
        <v>913</v>
      </c>
      <c r="D3141" t="s">
        <v>991</v>
      </c>
      <c r="E3141" t="s">
        <v>1035</v>
      </c>
      <c r="F3141" t="s">
        <v>1009</v>
      </c>
    </row>
    <row r="3142" spans="1:6">
      <c r="A3142" t="s">
        <v>27</v>
      </c>
      <c r="B3142" t="s">
        <v>73</v>
      </c>
      <c r="C3142" t="s">
        <v>913</v>
      </c>
      <c r="D3142" t="s">
        <v>991</v>
      </c>
      <c r="E3142" t="s">
        <v>1099</v>
      </c>
      <c r="F3142" t="s">
        <v>1011</v>
      </c>
    </row>
    <row r="3143" spans="1:6">
      <c r="A3143" t="s">
        <v>27</v>
      </c>
      <c r="B3143" t="s">
        <v>73</v>
      </c>
      <c r="C3143" t="s">
        <v>913</v>
      </c>
      <c r="D3143" t="s">
        <v>991</v>
      </c>
      <c r="E3143" t="s">
        <v>1100</v>
      </c>
      <c r="F3143" t="s">
        <v>1013</v>
      </c>
    </row>
    <row r="3144" spans="1:6">
      <c r="A3144" t="s">
        <v>27</v>
      </c>
      <c r="B3144" t="s">
        <v>73</v>
      </c>
      <c r="C3144" t="s">
        <v>913</v>
      </c>
      <c r="D3144" t="s">
        <v>991</v>
      </c>
      <c r="E3144" t="s">
        <v>1101</v>
      </c>
      <c r="F3144" t="s">
        <v>1015</v>
      </c>
    </row>
    <row r="3145" spans="1:6">
      <c r="A3145" t="s">
        <v>27</v>
      </c>
      <c r="B3145" t="s">
        <v>73</v>
      </c>
      <c r="C3145" t="s">
        <v>913</v>
      </c>
      <c r="D3145" t="s">
        <v>991</v>
      </c>
      <c r="E3145" t="s">
        <v>1512</v>
      </c>
      <c r="F3145" t="s">
        <v>1017</v>
      </c>
    </row>
    <row r="3146" spans="1:6">
      <c r="A3146" t="s">
        <v>27</v>
      </c>
      <c r="B3146" t="s">
        <v>73</v>
      </c>
      <c r="C3146" t="s">
        <v>913</v>
      </c>
      <c r="D3146" t="s">
        <v>991</v>
      </c>
      <c r="E3146" t="s">
        <v>1513</v>
      </c>
      <c r="F3146" t="s">
        <v>1019</v>
      </c>
    </row>
    <row r="3147" spans="1:6">
      <c r="A3147" t="s">
        <v>27</v>
      </c>
      <c r="B3147" t="s">
        <v>73</v>
      </c>
      <c r="C3147" t="s">
        <v>913</v>
      </c>
      <c r="D3147" t="s">
        <v>991</v>
      </c>
      <c r="E3147" t="s">
        <v>1514</v>
      </c>
      <c r="F3147" t="s">
        <v>1021</v>
      </c>
    </row>
    <row r="3148" spans="1:6">
      <c r="A3148" t="s">
        <v>27</v>
      </c>
      <c r="B3148" t="s">
        <v>73</v>
      </c>
      <c r="C3148" t="s">
        <v>913</v>
      </c>
      <c r="D3148" t="s">
        <v>991</v>
      </c>
      <c r="E3148" t="s">
        <v>1515</v>
      </c>
      <c r="F3148" t="s">
        <v>1023</v>
      </c>
    </row>
    <row r="3149" spans="1:6">
      <c r="A3149" t="s">
        <v>27</v>
      </c>
      <c r="B3149" t="s">
        <v>73</v>
      </c>
      <c r="C3149" t="s">
        <v>913</v>
      </c>
      <c r="D3149" t="s">
        <v>991</v>
      </c>
      <c r="E3149" t="s">
        <v>1516</v>
      </c>
      <c r="F3149" t="s">
        <v>1025</v>
      </c>
    </row>
    <row r="3150" spans="1:6">
      <c r="A3150" t="s">
        <v>27</v>
      </c>
      <c r="B3150" t="s">
        <v>73</v>
      </c>
      <c r="C3150" t="s">
        <v>913</v>
      </c>
      <c r="D3150" t="s">
        <v>991</v>
      </c>
      <c r="E3150" t="s">
        <v>1517</v>
      </c>
      <c r="F3150" t="s">
        <v>1027</v>
      </c>
    </row>
    <row r="3151" spans="1:6">
      <c r="A3151" t="s">
        <v>27</v>
      </c>
      <c r="B3151" t="s">
        <v>73</v>
      </c>
      <c r="C3151" t="s">
        <v>913</v>
      </c>
      <c r="D3151" t="s">
        <v>991</v>
      </c>
      <c r="E3151" t="s">
        <v>1518</v>
      </c>
      <c r="F3151" t="s">
        <v>1029</v>
      </c>
    </row>
    <row r="3152" spans="1:6">
      <c r="A3152" t="s">
        <v>27</v>
      </c>
      <c r="B3152" t="s">
        <v>73</v>
      </c>
      <c r="C3152" t="s">
        <v>913</v>
      </c>
      <c r="D3152" t="s">
        <v>991</v>
      </c>
      <c r="E3152" t="s">
        <v>1519</v>
      </c>
      <c r="F3152" t="s">
        <v>1031</v>
      </c>
    </row>
    <row r="3153" spans="1:6">
      <c r="A3153" t="s">
        <v>27</v>
      </c>
      <c r="B3153" t="s">
        <v>73</v>
      </c>
      <c r="C3153" t="s">
        <v>913</v>
      </c>
      <c r="D3153" t="s">
        <v>991</v>
      </c>
      <c r="E3153" t="s">
        <v>1520</v>
      </c>
      <c r="F3153" t="s">
        <v>1033</v>
      </c>
    </row>
    <row r="3154" spans="1:6">
      <c r="A3154" t="s">
        <v>27</v>
      </c>
      <c r="B3154" t="s">
        <v>73</v>
      </c>
      <c r="C3154" t="s">
        <v>913</v>
      </c>
      <c r="D3154" t="s">
        <v>991</v>
      </c>
      <c r="E3154" t="s">
        <v>1036</v>
      </c>
      <c r="F3154" t="s">
        <v>1396</v>
      </c>
    </row>
    <row r="3155" spans="1:6">
      <c r="A3155" t="s">
        <v>27</v>
      </c>
      <c r="B3155" t="s">
        <v>73</v>
      </c>
      <c r="C3155" t="s">
        <v>913</v>
      </c>
      <c r="D3155" t="s">
        <v>991</v>
      </c>
      <c r="E3155" t="s">
        <v>1037</v>
      </c>
      <c r="F3155">
        <v>116775257</v>
      </c>
    </row>
    <row r="3156" spans="1:6">
      <c r="A3156" t="s">
        <v>27</v>
      </c>
      <c r="B3156" t="s">
        <v>73</v>
      </c>
      <c r="C3156" t="s">
        <v>913</v>
      </c>
      <c r="D3156" t="s">
        <v>991</v>
      </c>
      <c r="E3156" t="s">
        <v>1038</v>
      </c>
      <c r="F3156">
        <v>2025</v>
      </c>
    </row>
    <row r="3157" spans="1:6">
      <c r="A3157" t="s">
        <v>27</v>
      </c>
      <c r="B3157" t="s">
        <v>73</v>
      </c>
      <c r="C3157" t="s">
        <v>913</v>
      </c>
      <c r="D3157" t="s">
        <v>991</v>
      </c>
      <c r="E3157" t="s">
        <v>1039</v>
      </c>
      <c r="F3157">
        <v>12759393</v>
      </c>
    </row>
    <row r="3158" spans="1:6">
      <c r="A3158" t="s">
        <v>27</v>
      </c>
      <c r="B3158" t="s">
        <v>73</v>
      </c>
      <c r="C3158" t="s">
        <v>913</v>
      </c>
      <c r="D3158" t="s">
        <v>991</v>
      </c>
      <c r="E3158" t="s">
        <v>1052</v>
      </c>
      <c r="F3158">
        <v>2026</v>
      </c>
    </row>
    <row r="3159" spans="1:6">
      <c r="A3159" t="s">
        <v>27</v>
      </c>
      <c r="B3159" t="s">
        <v>73</v>
      </c>
      <c r="C3159" t="s">
        <v>913</v>
      </c>
      <c r="D3159" t="s">
        <v>991</v>
      </c>
      <c r="E3159" t="s">
        <v>1053</v>
      </c>
      <c r="F3159">
        <v>9631077</v>
      </c>
    </row>
    <row r="3160" spans="1:6">
      <c r="A3160" t="s">
        <v>27</v>
      </c>
      <c r="B3160" t="s">
        <v>73</v>
      </c>
      <c r="C3160" t="s">
        <v>913</v>
      </c>
      <c r="D3160" t="s">
        <v>991</v>
      </c>
      <c r="E3160" t="s">
        <v>1108</v>
      </c>
      <c r="F3160">
        <v>946898</v>
      </c>
    </row>
    <row r="3161" spans="1:6">
      <c r="A3161" t="s">
        <v>27</v>
      </c>
      <c r="B3161" t="s">
        <v>73</v>
      </c>
      <c r="C3161" t="s">
        <v>913</v>
      </c>
      <c r="D3161" t="s">
        <v>991</v>
      </c>
      <c r="E3161" t="s">
        <v>1109</v>
      </c>
      <c r="F3161">
        <v>951552</v>
      </c>
    </row>
    <row r="3162" spans="1:6">
      <c r="A3162" t="s">
        <v>27</v>
      </c>
      <c r="B3162" t="s">
        <v>73</v>
      </c>
      <c r="C3162" t="s">
        <v>913</v>
      </c>
      <c r="D3162" t="s">
        <v>991</v>
      </c>
      <c r="E3162" t="s">
        <v>1110</v>
      </c>
      <c r="F3162">
        <v>1177761</v>
      </c>
    </row>
    <row r="3163" spans="1:6">
      <c r="A3163" t="s">
        <v>27</v>
      </c>
      <c r="B3163" t="s">
        <v>73</v>
      </c>
      <c r="C3163" t="s">
        <v>913</v>
      </c>
      <c r="D3163" t="s">
        <v>991</v>
      </c>
      <c r="E3163" t="s">
        <v>1521</v>
      </c>
      <c r="F3163">
        <v>1199204</v>
      </c>
    </row>
    <row r="3164" spans="1:6">
      <c r="A3164" t="s">
        <v>27</v>
      </c>
      <c r="B3164" t="s">
        <v>73</v>
      </c>
      <c r="C3164" t="s">
        <v>913</v>
      </c>
      <c r="D3164" t="s">
        <v>991</v>
      </c>
      <c r="E3164" t="s">
        <v>1522</v>
      </c>
      <c r="F3164">
        <v>1425617</v>
      </c>
    </row>
    <row r="3165" spans="1:6">
      <c r="A3165" t="s">
        <v>27</v>
      </c>
      <c r="B3165" t="s">
        <v>73</v>
      </c>
      <c r="C3165" t="s">
        <v>913</v>
      </c>
      <c r="D3165" t="s">
        <v>991</v>
      </c>
      <c r="E3165" t="s">
        <v>1523</v>
      </c>
      <c r="F3165">
        <v>977488</v>
      </c>
    </row>
    <row r="3166" spans="1:6">
      <c r="A3166" t="s">
        <v>27</v>
      </c>
      <c r="B3166" t="s">
        <v>73</v>
      </c>
      <c r="C3166" t="s">
        <v>913</v>
      </c>
      <c r="D3166" t="s">
        <v>991</v>
      </c>
      <c r="E3166" t="s">
        <v>1524</v>
      </c>
      <c r="F3166">
        <v>1234017</v>
      </c>
    </row>
    <row r="3167" spans="1:6">
      <c r="A3167" t="s">
        <v>27</v>
      </c>
      <c r="B3167" t="s">
        <v>73</v>
      </c>
      <c r="C3167" t="s">
        <v>913</v>
      </c>
      <c r="D3167" t="s">
        <v>991</v>
      </c>
      <c r="E3167" t="s">
        <v>1525</v>
      </c>
      <c r="F3167">
        <v>898183</v>
      </c>
    </row>
    <row r="3168" spans="1:6">
      <c r="A3168" t="s">
        <v>27</v>
      </c>
      <c r="B3168" t="s">
        <v>73</v>
      </c>
      <c r="C3168" t="s">
        <v>913</v>
      </c>
      <c r="D3168" t="s">
        <v>991</v>
      </c>
      <c r="E3168" t="s">
        <v>1526</v>
      </c>
      <c r="F3168">
        <v>820358</v>
      </c>
    </row>
    <row r="3169" spans="1:6">
      <c r="A3169" t="s">
        <v>27</v>
      </c>
      <c r="B3169" t="s">
        <v>73</v>
      </c>
      <c r="C3169" t="s">
        <v>913</v>
      </c>
      <c r="D3169" t="s">
        <v>991</v>
      </c>
      <c r="E3169" t="s">
        <v>1111</v>
      </c>
      <c r="F3169" t="s">
        <v>1009</v>
      </c>
    </row>
    <row r="3170" spans="1:6">
      <c r="A3170" t="s">
        <v>27</v>
      </c>
      <c r="B3170" t="s">
        <v>73</v>
      </c>
      <c r="C3170" t="s">
        <v>913</v>
      </c>
      <c r="D3170" t="s">
        <v>991</v>
      </c>
      <c r="E3170" t="s">
        <v>1113</v>
      </c>
      <c r="F3170">
        <v>139165728</v>
      </c>
    </row>
    <row r="3171" spans="1:6">
      <c r="A3171" t="s">
        <v>27</v>
      </c>
      <c r="B3171" t="s">
        <v>73</v>
      </c>
      <c r="C3171" t="s">
        <v>913</v>
      </c>
      <c r="D3171" t="s">
        <v>991</v>
      </c>
      <c r="E3171" t="s">
        <v>1114</v>
      </c>
      <c r="F3171">
        <v>0</v>
      </c>
    </row>
    <row r="3172" spans="1:6">
      <c r="A3172" t="s">
        <v>27</v>
      </c>
      <c r="B3172" t="s">
        <v>73</v>
      </c>
      <c r="C3172" t="s">
        <v>913</v>
      </c>
      <c r="D3172" t="s">
        <v>991</v>
      </c>
      <c r="E3172" t="s">
        <v>1122</v>
      </c>
      <c r="F3172" t="s">
        <v>1055</v>
      </c>
    </row>
    <row r="3173" spans="1:6">
      <c r="A3173" t="s">
        <v>27</v>
      </c>
      <c r="B3173" t="s">
        <v>73</v>
      </c>
      <c r="C3173" t="s">
        <v>913</v>
      </c>
      <c r="D3173" t="s">
        <v>991</v>
      </c>
      <c r="E3173" t="s">
        <v>1071</v>
      </c>
      <c r="F3173" t="s">
        <v>1007</v>
      </c>
    </row>
    <row r="3174" spans="1:6">
      <c r="A3174" t="s">
        <v>27</v>
      </c>
      <c r="B3174" t="s">
        <v>73</v>
      </c>
      <c r="C3174" t="s">
        <v>913</v>
      </c>
      <c r="D3174" t="s">
        <v>991</v>
      </c>
      <c r="E3174" t="s">
        <v>1072</v>
      </c>
      <c r="F3174" t="s">
        <v>1009</v>
      </c>
    </row>
    <row r="3175" spans="1:6">
      <c r="A3175" t="s">
        <v>27</v>
      </c>
      <c r="B3175" t="s">
        <v>73</v>
      </c>
      <c r="C3175" t="s">
        <v>913</v>
      </c>
      <c r="D3175" t="s">
        <v>991</v>
      </c>
      <c r="E3175" t="s">
        <v>1133</v>
      </c>
      <c r="F3175" t="s">
        <v>1011</v>
      </c>
    </row>
    <row r="3176" spans="1:6">
      <c r="A3176" t="s">
        <v>27</v>
      </c>
      <c r="B3176" t="s">
        <v>73</v>
      </c>
      <c r="C3176" t="s">
        <v>913</v>
      </c>
      <c r="D3176" t="s">
        <v>991</v>
      </c>
      <c r="E3176" t="s">
        <v>1134</v>
      </c>
      <c r="F3176" t="s">
        <v>1013</v>
      </c>
    </row>
    <row r="3177" spans="1:6">
      <c r="A3177" t="s">
        <v>27</v>
      </c>
      <c r="B3177" t="s">
        <v>73</v>
      </c>
      <c r="C3177" t="s">
        <v>913</v>
      </c>
      <c r="D3177" t="s">
        <v>991</v>
      </c>
      <c r="E3177" t="s">
        <v>1135</v>
      </c>
      <c r="F3177" t="s">
        <v>1015</v>
      </c>
    </row>
    <row r="3178" spans="1:6">
      <c r="A3178" t="s">
        <v>27</v>
      </c>
      <c r="B3178" t="s">
        <v>73</v>
      </c>
      <c r="C3178" t="s">
        <v>913</v>
      </c>
      <c r="D3178" t="s">
        <v>991</v>
      </c>
      <c r="E3178" t="s">
        <v>1414</v>
      </c>
      <c r="F3178" t="s">
        <v>1017</v>
      </c>
    </row>
    <row r="3179" spans="1:6">
      <c r="A3179" t="s">
        <v>27</v>
      </c>
      <c r="B3179" t="s">
        <v>73</v>
      </c>
      <c r="C3179" t="s">
        <v>913</v>
      </c>
      <c r="D3179" t="s">
        <v>991</v>
      </c>
      <c r="E3179" t="s">
        <v>1530</v>
      </c>
      <c r="F3179" t="s">
        <v>1019</v>
      </c>
    </row>
    <row r="3180" spans="1:6">
      <c r="A3180" t="s">
        <v>27</v>
      </c>
      <c r="B3180" t="s">
        <v>73</v>
      </c>
      <c r="C3180" t="s">
        <v>913</v>
      </c>
      <c r="D3180" t="s">
        <v>991</v>
      </c>
      <c r="E3180" t="s">
        <v>1531</v>
      </c>
      <c r="F3180" t="s">
        <v>1021</v>
      </c>
    </row>
    <row r="3181" spans="1:6">
      <c r="A3181" t="s">
        <v>27</v>
      </c>
      <c r="B3181" t="s">
        <v>73</v>
      </c>
      <c r="C3181" t="s">
        <v>913</v>
      </c>
      <c r="D3181" t="s">
        <v>991</v>
      </c>
      <c r="E3181" t="s">
        <v>1532</v>
      </c>
      <c r="F3181" t="s">
        <v>1023</v>
      </c>
    </row>
    <row r="3182" spans="1:6">
      <c r="A3182" t="s">
        <v>27</v>
      </c>
      <c r="B3182" t="s">
        <v>73</v>
      </c>
      <c r="C3182" t="s">
        <v>913</v>
      </c>
      <c r="D3182" t="s">
        <v>991</v>
      </c>
      <c r="E3182" t="s">
        <v>1533</v>
      </c>
      <c r="F3182" t="s">
        <v>1066</v>
      </c>
    </row>
    <row r="3183" spans="1:6">
      <c r="A3183" t="s">
        <v>27</v>
      </c>
      <c r="B3183" t="s">
        <v>73</v>
      </c>
      <c r="C3183" t="s">
        <v>913</v>
      </c>
      <c r="D3183" t="s">
        <v>991</v>
      </c>
      <c r="E3183" t="s">
        <v>1534</v>
      </c>
      <c r="F3183" t="s">
        <v>1027</v>
      </c>
    </row>
    <row r="3184" spans="1:6">
      <c r="A3184" t="s">
        <v>27</v>
      </c>
      <c r="B3184" t="s">
        <v>73</v>
      </c>
      <c r="C3184" t="s">
        <v>913</v>
      </c>
      <c r="D3184" t="s">
        <v>991</v>
      </c>
      <c r="E3184" t="s">
        <v>1535</v>
      </c>
      <c r="F3184" t="s">
        <v>1029</v>
      </c>
    </row>
    <row r="3185" spans="1:6">
      <c r="A3185" t="s">
        <v>27</v>
      </c>
      <c r="B3185" t="s">
        <v>73</v>
      </c>
      <c r="C3185" t="s">
        <v>913</v>
      </c>
      <c r="D3185" t="s">
        <v>991</v>
      </c>
      <c r="E3185" t="s">
        <v>1536</v>
      </c>
      <c r="F3185" t="s">
        <v>1031</v>
      </c>
    </row>
    <row r="3186" spans="1:6">
      <c r="A3186" t="s">
        <v>27</v>
      </c>
      <c r="B3186" t="s">
        <v>73</v>
      </c>
      <c r="C3186" t="s">
        <v>913</v>
      </c>
      <c r="D3186" t="s">
        <v>991</v>
      </c>
      <c r="E3186" t="s">
        <v>1537</v>
      </c>
      <c r="F3186" t="s">
        <v>1033</v>
      </c>
    </row>
    <row r="3187" spans="1:6">
      <c r="A3187" t="s">
        <v>27</v>
      </c>
      <c r="B3187" t="s">
        <v>73</v>
      </c>
      <c r="C3187" t="s">
        <v>913</v>
      </c>
      <c r="D3187" t="s">
        <v>991</v>
      </c>
      <c r="E3187" t="s">
        <v>1073</v>
      </c>
      <c r="F3187" t="s">
        <v>1396</v>
      </c>
    </row>
    <row r="3188" spans="1:6">
      <c r="A3188" t="s">
        <v>27</v>
      </c>
      <c r="B3188" t="s">
        <v>73</v>
      </c>
      <c r="C3188" t="s">
        <v>913</v>
      </c>
      <c r="D3188" t="s">
        <v>991</v>
      </c>
      <c r="E3188" t="s">
        <v>1074</v>
      </c>
      <c r="F3188">
        <v>634548</v>
      </c>
    </row>
    <row r="3189" spans="1:6">
      <c r="A3189" t="s">
        <v>27</v>
      </c>
      <c r="B3189" t="s">
        <v>73</v>
      </c>
      <c r="C3189" t="s">
        <v>913</v>
      </c>
      <c r="D3189" t="s">
        <v>991</v>
      </c>
      <c r="E3189" t="s">
        <v>1075</v>
      </c>
      <c r="F3189">
        <v>2025</v>
      </c>
    </row>
    <row r="3190" spans="1:6">
      <c r="A3190" t="s">
        <v>27</v>
      </c>
      <c r="B3190" t="s">
        <v>73</v>
      </c>
      <c r="C3190" t="s">
        <v>913</v>
      </c>
      <c r="D3190" t="s">
        <v>991</v>
      </c>
      <c r="E3190" t="s">
        <v>1076</v>
      </c>
      <c r="F3190">
        <v>61414</v>
      </c>
    </row>
    <row r="3191" spans="1:6">
      <c r="A3191" t="s">
        <v>27</v>
      </c>
      <c r="B3191" t="s">
        <v>73</v>
      </c>
      <c r="C3191" t="s">
        <v>913</v>
      </c>
      <c r="D3191" t="s">
        <v>991</v>
      </c>
      <c r="E3191" t="s">
        <v>1089</v>
      </c>
      <c r="F3191">
        <v>2026</v>
      </c>
    </row>
    <row r="3192" spans="1:6">
      <c r="A3192" t="s">
        <v>27</v>
      </c>
      <c r="B3192" t="s">
        <v>73</v>
      </c>
      <c r="C3192" t="s">
        <v>913</v>
      </c>
      <c r="D3192" t="s">
        <v>991</v>
      </c>
      <c r="E3192" t="s">
        <v>1090</v>
      </c>
      <c r="F3192">
        <v>40157</v>
      </c>
    </row>
    <row r="3193" spans="1:6">
      <c r="A3193" t="s">
        <v>27</v>
      </c>
      <c r="B3193" t="s">
        <v>73</v>
      </c>
      <c r="C3193" t="s">
        <v>913</v>
      </c>
      <c r="D3193" t="s">
        <v>991</v>
      </c>
      <c r="E3193" t="s">
        <v>1139</v>
      </c>
      <c r="F3193">
        <v>4388</v>
      </c>
    </row>
    <row r="3194" spans="1:6">
      <c r="A3194" t="s">
        <v>27</v>
      </c>
      <c r="B3194" t="s">
        <v>73</v>
      </c>
      <c r="C3194" t="s">
        <v>913</v>
      </c>
      <c r="D3194" t="s">
        <v>991</v>
      </c>
      <c r="E3194" t="s">
        <v>1140</v>
      </c>
      <c r="F3194">
        <v>4231</v>
      </c>
    </row>
    <row r="3195" spans="1:6">
      <c r="A3195" t="s">
        <v>27</v>
      </c>
      <c r="B3195" t="s">
        <v>73</v>
      </c>
      <c r="C3195" t="s">
        <v>913</v>
      </c>
      <c r="D3195" t="s">
        <v>991</v>
      </c>
      <c r="E3195" t="s">
        <v>1141</v>
      </c>
      <c r="F3195">
        <v>4606</v>
      </c>
    </row>
    <row r="3196" spans="1:6">
      <c r="A3196" t="s">
        <v>27</v>
      </c>
      <c r="B3196" t="s">
        <v>73</v>
      </c>
      <c r="C3196" t="s">
        <v>913</v>
      </c>
      <c r="D3196" t="s">
        <v>991</v>
      </c>
      <c r="E3196" t="s">
        <v>1423</v>
      </c>
      <c r="F3196">
        <v>4749</v>
      </c>
    </row>
    <row r="3197" spans="1:6">
      <c r="A3197" t="s">
        <v>27</v>
      </c>
      <c r="B3197" t="s">
        <v>73</v>
      </c>
      <c r="C3197" t="s">
        <v>913</v>
      </c>
      <c r="D3197" t="s">
        <v>991</v>
      </c>
      <c r="E3197" t="s">
        <v>1538</v>
      </c>
      <c r="F3197">
        <v>5501</v>
      </c>
    </row>
    <row r="3198" spans="1:6">
      <c r="A3198" t="s">
        <v>27</v>
      </c>
      <c r="B3198" t="s">
        <v>73</v>
      </c>
      <c r="C3198" t="s">
        <v>913</v>
      </c>
      <c r="D3198" t="s">
        <v>991</v>
      </c>
      <c r="E3198" t="s">
        <v>1539</v>
      </c>
      <c r="F3198">
        <v>4259</v>
      </c>
    </row>
    <row r="3199" spans="1:6">
      <c r="A3199" t="s">
        <v>27</v>
      </c>
      <c r="B3199" t="s">
        <v>73</v>
      </c>
      <c r="C3199" t="s">
        <v>913</v>
      </c>
      <c r="D3199" t="s">
        <v>991</v>
      </c>
      <c r="E3199" t="s">
        <v>1540</v>
      </c>
      <c r="F3199">
        <v>4939</v>
      </c>
    </row>
    <row r="3200" spans="1:6">
      <c r="A3200" t="s">
        <v>27</v>
      </c>
      <c r="B3200" t="s">
        <v>73</v>
      </c>
      <c r="C3200" t="s">
        <v>913</v>
      </c>
      <c r="D3200" t="s">
        <v>991</v>
      </c>
      <c r="E3200" t="s">
        <v>1541</v>
      </c>
      <c r="F3200">
        <v>3997</v>
      </c>
    </row>
    <row r="3201" spans="1:6">
      <c r="A3201" t="s">
        <v>27</v>
      </c>
      <c r="B3201" t="s">
        <v>73</v>
      </c>
      <c r="C3201" t="s">
        <v>913</v>
      </c>
      <c r="D3201" t="s">
        <v>991</v>
      </c>
      <c r="E3201" t="s">
        <v>1542</v>
      </c>
      <c r="F3201">
        <v>3487</v>
      </c>
    </row>
    <row r="3202" spans="1:6">
      <c r="A3202" t="s">
        <v>27</v>
      </c>
      <c r="B3202" t="s">
        <v>73</v>
      </c>
      <c r="C3202" t="s">
        <v>913</v>
      </c>
      <c r="D3202" t="s">
        <v>991</v>
      </c>
      <c r="E3202" t="s">
        <v>1546</v>
      </c>
      <c r="F3202" t="s">
        <v>1009</v>
      </c>
    </row>
    <row r="3203" spans="1:6">
      <c r="A3203" t="s">
        <v>27</v>
      </c>
      <c r="B3203" t="s">
        <v>73</v>
      </c>
      <c r="C3203" t="s">
        <v>913</v>
      </c>
      <c r="D3203" t="s">
        <v>991</v>
      </c>
      <c r="E3203" t="s">
        <v>1298</v>
      </c>
      <c r="F3203">
        <v>736119</v>
      </c>
    </row>
    <row r="3204" spans="1:6">
      <c r="A3204" t="s">
        <v>27</v>
      </c>
      <c r="B3204" t="s">
        <v>73</v>
      </c>
      <c r="C3204" t="s">
        <v>913</v>
      </c>
      <c r="D3204" t="s">
        <v>1091</v>
      </c>
      <c r="E3204" t="s">
        <v>992</v>
      </c>
      <c r="F3204" t="s">
        <v>1092</v>
      </c>
    </row>
    <row r="3205" spans="1:6">
      <c r="A3205" t="s">
        <v>27</v>
      </c>
      <c r="B3205" t="s">
        <v>73</v>
      </c>
      <c r="C3205" t="s">
        <v>913</v>
      </c>
      <c r="D3205" t="s">
        <v>1091</v>
      </c>
      <c r="E3205" t="s">
        <v>1093</v>
      </c>
      <c r="F3205" t="s">
        <v>1094</v>
      </c>
    </row>
    <row r="3206" spans="1:6">
      <c r="A3206" t="s">
        <v>27</v>
      </c>
      <c r="B3206" t="s">
        <v>73</v>
      </c>
      <c r="C3206" t="s">
        <v>913</v>
      </c>
      <c r="D3206" t="s">
        <v>1091</v>
      </c>
      <c r="E3206" t="s">
        <v>994</v>
      </c>
      <c r="F3206" t="s">
        <v>1395</v>
      </c>
    </row>
    <row r="3207" spans="1:6">
      <c r="A3207" t="s">
        <v>27</v>
      </c>
      <c r="B3207" t="s">
        <v>73</v>
      </c>
      <c r="C3207" t="s">
        <v>913</v>
      </c>
      <c r="D3207" t="s">
        <v>1091</v>
      </c>
      <c r="E3207" t="s">
        <v>995</v>
      </c>
      <c r="F3207" t="s">
        <v>996</v>
      </c>
    </row>
    <row r="3208" spans="1:6">
      <c r="A3208" t="s">
        <v>27</v>
      </c>
      <c r="B3208" t="s">
        <v>73</v>
      </c>
      <c r="C3208" t="s">
        <v>913</v>
      </c>
      <c r="D3208" t="s">
        <v>1091</v>
      </c>
      <c r="E3208" t="s">
        <v>997</v>
      </c>
      <c r="F3208" t="s">
        <v>1511</v>
      </c>
    </row>
    <row r="3209" spans="1:6">
      <c r="A3209" t="s">
        <v>27</v>
      </c>
      <c r="B3209" t="s">
        <v>73</v>
      </c>
      <c r="C3209" t="s">
        <v>913</v>
      </c>
      <c r="D3209" t="s">
        <v>1091</v>
      </c>
      <c r="E3209" t="s">
        <v>999</v>
      </c>
      <c r="F3209" t="s">
        <v>1000</v>
      </c>
    </row>
    <row r="3210" spans="1:6">
      <c r="A3210" t="s">
        <v>27</v>
      </c>
      <c r="B3210" t="s">
        <v>73</v>
      </c>
      <c r="C3210" t="s">
        <v>913</v>
      </c>
      <c r="D3210" t="s">
        <v>1091</v>
      </c>
      <c r="E3210" t="s">
        <v>1001</v>
      </c>
      <c r="F3210" t="s">
        <v>10</v>
      </c>
    </row>
    <row r="3211" spans="1:6">
      <c r="A3211" t="s">
        <v>27</v>
      </c>
      <c r="B3211" t="s">
        <v>73</v>
      </c>
      <c r="C3211" t="s">
        <v>913</v>
      </c>
      <c r="D3211" t="s">
        <v>1091</v>
      </c>
      <c r="E3211" t="s">
        <v>1002</v>
      </c>
      <c r="F3211" t="s">
        <v>1095</v>
      </c>
    </row>
    <row r="3212" spans="1:6">
      <c r="A3212" t="s">
        <v>27</v>
      </c>
      <c r="B3212" t="s">
        <v>73</v>
      </c>
      <c r="C3212" t="s">
        <v>913</v>
      </c>
      <c r="D3212" t="s">
        <v>1091</v>
      </c>
      <c r="E3212" t="s">
        <v>1096</v>
      </c>
      <c r="F3212" t="s">
        <v>1005</v>
      </c>
    </row>
    <row r="3213" spans="1:6">
      <c r="A3213" t="s">
        <v>27</v>
      </c>
      <c r="B3213" t="s">
        <v>73</v>
      </c>
      <c r="C3213" t="s">
        <v>913</v>
      </c>
      <c r="D3213" t="s">
        <v>1091</v>
      </c>
      <c r="E3213" t="s">
        <v>1006</v>
      </c>
      <c r="F3213" t="s">
        <v>1097</v>
      </c>
    </row>
    <row r="3214" spans="1:6">
      <c r="A3214" t="s">
        <v>27</v>
      </c>
      <c r="B3214" t="s">
        <v>73</v>
      </c>
      <c r="C3214" t="s">
        <v>913</v>
      </c>
      <c r="D3214" t="s">
        <v>1091</v>
      </c>
      <c r="E3214" t="s">
        <v>1008</v>
      </c>
      <c r="F3214" t="s">
        <v>1098</v>
      </c>
    </row>
    <row r="3215" spans="1:6">
      <c r="A3215" t="s">
        <v>27</v>
      </c>
      <c r="B3215" t="s">
        <v>73</v>
      </c>
      <c r="C3215" t="s">
        <v>913</v>
      </c>
      <c r="D3215" t="s">
        <v>1091</v>
      </c>
      <c r="E3215" t="s">
        <v>1035</v>
      </c>
      <c r="F3215" t="s">
        <v>1009</v>
      </c>
    </row>
    <row r="3216" spans="1:6">
      <c r="A3216" t="s">
        <v>27</v>
      </c>
      <c r="B3216" t="s">
        <v>73</v>
      </c>
      <c r="C3216" t="s">
        <v>913</v>
      </c>
      <c r="D3216" t="s">
        <v>1091</v>
      </c>
      <c r="E3216" t="s">
        <v>1099</v>
      </c>
      <c r="F3216" t="s">
        <v>1396</v>
      </c>
    </row>
    <row r="3217" spans="1:6">
      <c r="A3217" t="s">
        <v>27</v>
      </c>
      <c r="B3217" t="s">
        <v>73</v>
      </c>
      <c r="C3217" t="s">
        <v>913</v>
      </c>
      <c r="D3217" t="s">
        <v>1091</v>
      </c>
      <c r="E3217" t="s">
        <v>1100</v>
      </c>
      <c r="F3217">
        <v>2025</v>
      </c>
    </row>
    <row r="3218" spans="1:6">
      <c r="A3218" t="s">
        <v>27</v>
      </c>
      <c r="B3218" t="s">
        <v>73</v>
      </c>
      <c r="C3218" t="s">
        <v>913</v>
      </c>
      <c r="D3218" t="s">
        <v>1091</v>
      </c>
      <c r="E3218" t="s">
        <v>1101</v>
      </c>
      <c r="F3218">
        <v>2026</v>
      </c>
    </row>
    <row r="3219" spans="1:6">
      <c r="A3219" t="s">
        <v>27</v>
      </c>
      <c r="B3219" t="s">
        <v>73</v>
      </c>
      <c r="C3219" t="s">
        <v>913</v>
      </c>
      <c r="D3219" t="s">
        <v>1091</v>
      </c>
      <c r="E3219" t="s">
        <v>1036</v>
      </c>
      <c r="F3219" t="s">
        <v>1102</v>
      </c>
    </row>
    <row r="3220" spans="1:6">
      <c r="A3220" t="s">
        <v>27</v>
      </c>
      <c r="B3220" t="s">
        <v>73</v>
      </c>
      <c r="C3220" t="s">
        <v>913</v>
      </c>
      <c r="D3220" t="s">
        <v>1091</v>
      </c>
      <c r="E3220" t="s">
        <v>1037</v>
      </c>
      <c r="F3220">
        <v>139165728</v>
      </c>
    </row>
    <row r="3221" spans="1:6">
      <c r="A3221" t="s">
        <v>27</v>
      </c>
      <c r="B3221" t="s">
        <v>73</v>
      </c>
      <c r="C3221" t="s">
        <v>913</v>
      </c>
      <c r="D3221" t="s">
        <v>1091</v>
      </c>
      <c r="E3221" t="s">
        <v>1103</v>
      </c>
      <c r="F3221">
        <v>116775257</v>
      </c>
    </row>
    <row r="3222" spans="1:6">
      <c r="A3222" t="s">
        <v>27</v>
      </c>
      <c r="B3222" t="s">
        <v>73</v>
      </c>
      <c r="C3222" t="s">
        <v>913</v>
      </c>
      <c r="D3222" t="s">
        <v>1091</v>
      </c>
      <c r="E3222" t="s">
        <v>1104</v>
      </c>
      <c r="F3222">
        <v>12759393</v>
      </c>
    </row>
    <row r="3223" spans="1:6">
      <c r="A3223" t="s">
        <v>27</v>
      </c>
      <c r="B3223" t="s">
        <v>73</v>
      </c>
      <c r="C3223" t="s">
        <v>913</v>
      </c>
      <c r="D3223" t="s">
        <v>1091</v>
      </c>
      <c r="E3223" t="s">
        <v>1105</v>
      </c>
      <c r="F3223">
        <v>9631077</v>
      </c>
    </row>
    <row r="3224" spans="1:6">
      <c r="A3224" t="s">
        <v>27</v>
      </c>
      <c r="B3224" t="s">
        <v>73</v>
      </c>
      <c r="C3224" t="s">
        <v>913</v>
      </c>
      <c r="D3224" t="s">
        <v>1091</v>
      </c>
      <c r="E3224" t="s">
        <v>1038</v>
      </c>
      <c r="F3224" t="s">
        <v>1106</v>
      </c>
    </row>
    <row r="3225" spans="1:6">
      <c r="A3225" t="s">
        <v>27</v>
      </c>
      <c r="B3225" t="s">
        <v>73</v>
      </c>
      <c r="C3225" t="s">
        <v>913</v>
      </c>
      <c r="D3225" t="s">
        <v>1091</v>
      </c>
      <c r="E3225" t="s">
        <v>1039</v>
      </c>
      <c r="F3225">
        <v>137965381</v>
      </c>
    </row>
    <row r="3226" spans="1:6">
      <c r="A3226" t="s">
        <v>27</v>
      </c>
      <c r="B3226" t="s">
        <v>73</v>
      </c>
      <c r="C3226" t="s">
        <v>913</v>
      </c>
      <c r="D3226" t="s">
        <v>1091</v>
      </c>
      <c r="E3226" t="s">
        <v>1040</v>
      </c>
      <c r="F3226">
        <v>116775257</v>
      </c>
    </row>
    <row r="3227" spans="1:6">
      <c r="A3227" t="s">
        <v>27</v>
      </c>
      <c r="B3227" t="s">
        <v>73</v>
      </c>
      <c r="C3227" t="s">
        <v>913</v>
      </c>
      <c r="D3227" t="s">
        <v>1091</v>
      </c>
      <c r="E3227" t="s">
        <v>1041</v>
      </c>
      <c r="F3227">
        <v>12626312</v>
      </c>
    </row>
    <row r="3228" spans="1:6">
      <c r="A3228" t="s">
        <v>27</v>
      </c>
      <c r="B3228" t="s">
        <v>73</v>
      </c>
      <c r="C3228" t="s">
        <v>913</v>
      </c>
      <c r="D3228" t="s">
        <v>1091</v>
      </c>
      <c r="E3228" t="s">
        <v>1042</v>
      </c>
      <c r="F3228">
        <v>8563812</v>
      </c>
    </row>
    <row r="3229" spans="1:6">
      <c r="A3229" t="s">
        <v>27</v>
      </c>
      <c r="B3229" t="s">
        <v>73</v>
      </c>
      <c r="C3229" t="s">
        <v>913</v>
      </c>
      <c r="D3229" t="s">
        <v>1091</v>
      </c>
      <c r="E3229" t="s">
        <v>1052</v>
      </c>
      <c r="F3229" t="s">
        <v>1107</v>
      </c>
    </row>
    <row r="3230" spans="1:6">
      <c r="A3230" t="s">
        <v>27</v>
      </c>
      <c r="B3230" t="s">
        <v>73</v>
      </c>
      <c r="C3230" t="s">
        <v>913</v>
      </c>
      <c r="D3230" t="s">
        <v>1091</v>
      </c>
      <c r="E3230" t="s">
        <v>1053</v>
      </c>
      <c r="F3230">
        <v>135731325</v>
      </c>
    </row>
    <row r="3231" spans="1:6">
      <c r="A3231" t="s">
        <v>27</v>
      </c>
      <c r="B3231" t="s">
        <v>73</v>
      </c>
      <c r="C3231" t="s">
        <v>913</v>
      </c>
      <c r="D3231" t="s">
        <v>1091</v>
      </c>
      <c r="E3231" t="s">
        <v>1108</v>
      </c>
      <c r="F3231">
        <v>115014042</v>
      </c>
    </row>
    <row r="3232" spans="1:6">
      <c r="A3232" t="s">
        <v>27</v>
      </c>
      <c r="B3232" t="s">
        <v>73</v>
      </c>
      <c r="C3232" t="s">
        <v>913</v>
      </c>
      <c r="D3232" t="s">
        <v>1091</v>
      </c>
      <c r="E3232" t="s">
        <v>1109</v>
      </c>
      <c r="F3232">
        <v>12420075</v>
      </c>
    </row>
    <row r="3233" spans="1:6">
      <c r="A3233" t="s">
        <v>27</v>
      </c>
      <c r="B3233" t="s">
        <v>73</v>
      </c>
      <c r="C3233" t="s">
        <v>913</v>
      </c>
      <c r="D3233" t="s">
        <v>1091</v>
      </c>
      <c r="E3233" t="s">
        <v>1110</v>
      </c>
      <c r="F3233">
        <v>8297208</v>
      </c>
    </row>
    <row r="3234" spans="1:6">
      <c r="A3234" t="s">
        <v>27</v>
      </c>
      <c r="B3234" t="s">
        <v>73</v>
      </c>
      <c r="C3234" t="s">
        <v>913</v>
      </c>
      <c r="D3234" t="s">
        <v>1091</v>
      </c>
      <c r="E3234" t="s">
        <v>1111</v>
      </c>
      <c r="F3234" t="s">
        <v>1397</v>
      </c>
    </row>
    <row r="3235" spans="1:6">
      <c r="A3235" t="s">
        <v>27</v>
      </c>
      <c r="B3235" t="s">
        <v>73</v>
      </c>
      <c r="C3235" t="s">
        <v>913</v>
      </c>
      <c r="D3235" t="s">
        <v>1091</v>
      </c>
      <c r="E3235" t="s">
        <v>1113</v>
      </c>
      <c r="F3235">
        <v>2234056</v>
      </c>
    </row>
    <row r="3236" spans="1:6">
      <c r="A3236" t="s">
        <v>27</v>
      </c>
      <c r="B3236" t="s">
        <v>73</v>
      </c>
      <c r="C3236" t="s">
        <v>913</v>
      </c>
      <c r="D3236" t="s">
        <v>1091</v>
      </c>
      <c r="E3236" t="s">
        <v>1114</v>
      </c>
      <c r="F3236">
        <v>1761215</v>
      </c>
    </row>
    <row r="3237" spans="1:6">
      <c r="A3237" t="s">
        <v>27</v>
      </c>
      <c r="B3237" t="s">
        <v>73</v>
      </c>
      <c r="C3237" t="s">
        <v>913</v>
      </c>
      <c r="D3237" t="s">
        <v>1091</v>
      </c>
      <c r="E3237" t="s">
        <v>1115</v>
      </c>
      <c r="F3237">
        <v>206237</v>
      </c>
    </row>
    <row r="3238" spans="1:6">
      <c r="A3238" t="s">
        <v>27</v>
      </c>
      <c r="B3238" t="s">
        <v>73</v>
      </c>
      <c r="C3238" t="s">
        <v>913</v>
      </c>
      <c r="D3238" t="s">
        <v>1091</v>
      </c>
      <c r="E3238" t="s">
        <v>1116</v>
      </c>
      <c r="F3238">
        <v>266604</v>
      </c>
    </row>
    <row r="3239" spans="1:6">
      <c r="A3239" t="s">
        <v>27</v>
      </c>
      <c r="B3239" t="s">
        <v>73</v>
      </c>
      <c r="C3239" t="s">
        <v>913</v>
      </c>
      <c r="D3239" t="s">
        <v>1091</v>
      </c>
      <c r="E3239" t="s">
        <v>1054</v>
      </c>
      <c r="F3239" t="s">
        <v>1398</v>
      </c>
    </row>
    <row r="3240" spans="1:6">
      <c r="A3240" t="s">
        <v>27</v>
      </c>
      <c r="B3240" t="s">
        <v>73</v>
      </c>
      <c r="C3240" t="s">
        <v>913</v>
      </c>
      <c r="D3240" t="s">
        <v>1091</v>
      </c>
      <c r="E3240" t="s">
        <v>1118</v>
      </c>
      <c r="F3240">
        <v>0</v>
      </c>
    </row>
    <row r="3241" spans="1:6">
      <c r="A3241" t="s">
        <v>27</v>
      </c>
      <c r="B3241" t="s">
        <v>73</v>
      </c>
      <c r="C3241" t="s">
        <v>913</v>
      </c>
      <c r="D3241" t="s">
        <v>1091</v>
      </c>
      <c r="E3241" t="s">
        <v>1119</v>
      </c>
      <c r="F3241">
        <v>0</v>
      </c>
    </row>
    <row r="3242" spans="1:6">
      <c r="A3242" t="s">
        <v>27</v>
      </c>
      <c r="B3242" t="s">
        <v>73</v>
      </c>
      <c r="C3242" t="s">
        <v>913</v>
      </c>
      <c r="D3242" t="s">
        <v>1091</v>
      </c>
      <c r="E3242" t="s">
        <v>1120</v>
      </c>
      <c r="F3242">
        <v>0</v>
      </c>
    </row>
    <row r="3243" spans="1:6">
      <c r="A3243" t="s">
        <v>27</v>
      </c>
      <c r="B3243" t="s">
        <v>73</v>
      </c>
      <c r="C3243" t="s">
        <v>913</v>
      </c>
      <c r="D3243" t="s">
        <v>1091</v>
      </c>
      <c r="E3243" t="s">
        <v>1121</v>
      </c>
      <c r="F3243">
        <v>0</v>
      </c>
    </row>
    <row r="3244" spans="1:6">
      <c r="A3244" t="s">
        <v>27</v>
      </c>
      <c r="B3244" t="s">
        <v>73</v>
      </c>
      <c r="C3244" t="s">
        <v>913</v>
      </c>
      <c r="D3244" t="s">
        <v>1091</v>
      </c>
      <c r="E3244" t="s">
        <v>1122</v>
      </c>
      <c r="F3244" t="s">
        <v>1123</v>
      </c>
    </row>
    <row r="3245" spans="1:6">
      <c r="A3245" t="s">
        <v>27</v>
      </c>
      <c r="B3245" t="s">
        <v>73</v>
      </c>
      <c r="C3245" t="s">
        <v>913</v>
      </c>
      <c r="D3245" t="s">
        <v>1091</v>
      </c>
      <c r="E3245" t="s">
        <v>1124</v>
      </c>
      <c r="F3245" t="s">
        <v>1242</v>
      </c>
    </row>
    <row r="3246" spans="1:6">
      <c r="A3246" t="s">
        <v>27</v>
      </c>
      <c r="B3246" t="s">
        <v>73</v>
      </c>
      <c r="C3246" t="s">
        <v>913</v>
      </c>
      <c r="D3246" t="s">
        <v>1091</v>
      </c>
      <c r="E3246" t="s">
        <v>1126</v>
      </c>
      <c r="F3246" t="s">
        <v>1125</v>
      </c>
    </row>
    <row r="3247" spans="1:6">
      <c r="A3247" t="s">
        <v>27</v>
      </c>
      <c r="B3247" t="s">
        <v>73</v>
      </c>
      <c r="C3247" t="s">
        <v>913</v>
      </c>
      <c r="D3247" t="s">
        <v>1091</v>
      </c>
      <c r="E3247" t="s">
        <v>1127</v>
      </c>
      <c r="F3247" t="s">
        <v>1242</v>
      </c>
    </row>
    <row r="3248" spans="1:6">
      <c r="A3248" t="s">
        <v>27</v>
      </c>
      <c r="B3248" t="s">
        <v>73</v>
      </c>
      <c r="C3248" t="s">
        <v>913</v>
      </c>
      <c r="D3248" t="s">
        <v>1091</v>
      </c>
      <c r="E3248" t="s">
        <v>1128</v>
      </c>
      <c r="F3248" t="s">
        <v>1239</v>
      </c>
    </row>
    <row r="3249" spans="1:6">
      <c r="A3249" t="s">
        <v>27</v>
      </c>
      <c r="B3249" t="s">
        <v>73</v>
      </c>
      <c r="C3249" t="s">
        <v>913</v>
      </c>
      <c r="D3249" t="s">
        <v>1091</v>
      </c>
      <c r="E3249" t="s">
        <v>1578</v>
      </c>
      <c r="F3249" t="s">
        <v>1579</v>
      </c>
    </row>
    <row r="3250" spans="1:6">
      <c r="A3250" t="s">
        <v>27</v>
      </c>
      <c r="B3250" t="s">
        <v>73</v>
      </c>
      <c r="C3250" t="s">
        <v>913</v>
      </c>
      <c r="D3250" t="s">
        <v>1091</v>
      </c>
      <c r="E3250" t="s">
        <v>1056</v>
      </c>
      <c r="F3250" t="s">
        <v>1130</v>
      </c>
    </row>
    <row r="3251" spans="1:6">
      <c r="A3251" t="s">
        <v>27</v>
      </c>
      <c r="B3251" t="s">
        <v>73</v>
      </c>
      <c r="C3251" t="s">
        <v>913</v>
      </c>
      <c r="D3251" t="s">
        <v>1091</v>
      </c>
      <c r="E3251" t="s">
        <v>1057</v>
      </c>
      <c r="F3251">
        <v>1200347</v>
      </c>
    </row>
    <row r="3252" spans="1:6">
      <c r="A3252" t="s">
        <v>27</v>
      </c>
      <c r="B3252" t="s">
        <v>73</v>
      </c>
      <c r="C3252" t="s">
        <v>913</v>
      </c>
      <c r="D3252" t="s">
        <v>1091</v>
      </c>
      <c r="E3252" t="s">
        <v>1058</v>
      </c>
      <c r="F3252">
        <v>0</v>
      </c>
    </row>
    <row r="3253" spans="1:6">
      <c r="A3253" t="s">
        <v>27</v>
      </c>
      <c r="B3253" t="s">
        <v>73</v>
      </c>
      <c r="C3253" t="s">
        <v>913</v>
      </c>
      <c r="D3253" t="s">
        <v>1091</v>
      </c>
      <c r="E3253" t="s">
        <v>1059</v>
      </c>
      <c r="F3253">
        <v>133081</v>
      </c>
    </row>
    <row r="3254" spans="1:6">
      <c r="A3254" t="s">
        <v>27</v>
      </c>
      <c r="B3254" t="s">
        <v>73</v>
      </c>
      <c r="C3254" t="s">
        <v>913</v>
      </c>
      <c r="D3254" t="s">
        <v>1091</v>
      </c>
      <c r="E3254" t="s">
        <v>1060</v>
      </c>
      <c r="F3254">
        <v>1067265</v>
      </c>
    </row>
    <row r="3255" spans="1:6">
      <c r="A3255" t="s">
        <v>27</v>
      </c>
      <c r="B3255" t="s">
        <v>73</v>
      </c>
      <c r="C3255" t="s">
        <v>913</v>
      </c>
      <c r="D3255" t="s">
        <v>1091</v>
      </c>
      <c r="E3255" t="s">
        <v>1580</v>
      </c>
      <c r="F3255">
        <v>1067265.46</v>
      </c>
    </row>
    <row r="3256" spans="1:6">
      <c r="A3256" t="s">
        <v>27</v>
      </c>
      <c r="B3256" t="s">
        <v>73</v>
      </c>
      <c r="C3256" t="s">
        <v>913</v>
      </c>
      <c r="D3256" t="s">
        <v>1091</v>
      </c>
      <c r="E3256" t="s">
        <v>1071</v>
      </c>
      <c r="F3256" t="s">
        <v>1131</v>
      </c>
    </row>
    <row r="3257" spans="1:6">
      <c r="A3257" t="s">
        <v>27</v>
      </c>
      <c r="B3257" t="s">
        <v>73</v>
      </c>
      <c r="C3257" t="s">
        <v>913</v>
      </c>
      <c r="D3257" t="s">
        <v>1091</v>
      </c>
      <c r="E3257" t="s">
        <v>1072</v>
      </c>
      <c r="F3257" t="s">
        <v>1310</v>
      </c>
    </row>
    <row r="3258" spans="1:6">
      <c r="A3258" t="s">
        <v>27</v>
      </c>
      <c r="B3258" t="s">
        <v>73</v>
      </c>
      <c r="C3258" t="s">
        <v>913</v>
      </c>
      <c r="D3258" t="s">
        <v>1091</v>
      </c>
      <c r="E3258" t="s">
        <v>1133</v>
      </c>
      <c r="F3258" t="s">
        <v>1132</v>
      </c>
    </row>
    <row r="3259" spans="1:6">
      <c r="A3259" t="s">
        <v>27</v>
      </c>
      <c r="B3259" t="s">
        <v>73</v>
      </c>
      <c r="C3259" t="s">
        <v>913</v>
      </c>
      <c r="D3259" t="s">
        <v>1091</v>
      </c>
      <c r="E3259" t="s">
        <v>1134</v>
      </c>
      <c r="F3259" t="s">
        <v>1310</v>
      </c>
    </row>
    <row r="3260" spans="1:6">
      <c r="A3260" t="s">
        <v>27</v>
      </c>
      <c r="B3260" t="s">
        <v>73</v>
      </c>
      <c r="C3260" t="s">
        <v>913</v>
      </c>
      <c r="D3260" t="s">
        <v>1091</v>
      </c>
      <c r="E3260" t="s">
        <v>1135</v>
      </c>
      <c r="F3260" t="s">
        <v>1323</v>
      </c>
    </row>
    <row r="3261" spans="1:6">
      <c r="A3261" t="s">
        <v>27</v>
      </c>
      <c r="B3261" t="s">
        <v>73</v>
      </c>
      <c r="C3261" t="s">
        <v>913</v>
      </c>
      <c r="D3261" t="s">
        <v>1091</v>
      </c>
      <c r="E3261" t="s">
        <v>1581</v>
      </c>
      <c r="F3261">
        <v>5870</v>
      </c>
    </row>
    <row r="3262" spans="1:6">
      <c r="A3262" t="s">
        <v>27</v>
      </c>
      <c r="B3262" t="s">
        <v>73</v>
      </c>
      <c r="C3262" t="s">
        <v>913</v>
      </c>
      <c r="D3262" t="s">
        <v>1091</v>
      </c>
      <c r="E3262" t="s">
        <v>1076</v>
      </c>
      <c r="F3262" t="s">
        <v>1137</v>
      </c>
    </row>
    <row r="3263" spans="1:6">
      <c r="A3263" t="s">
        <v>27</v>
      </c>
      <c r="B3263" t="s">
        <v>73</v>
      </c>
      <c r="C3263" t="s">
        <v>913</v>
      </c>
      <c r="D3263" t="s">
        <v>1091</v>
      </c>
      <c r="E3263" t="s">
        <v>1077</v>
      </c>
      <c r="F3263">
        <v>0</v>
      </c>
    </row>
    <row r="3264" spans="1:6">
      <c r="A3264" t="s">
        <v>27</v>
      </c>
      <c r="B3264" t="s">
        <v>73</v>
      </c>
      <c r="C3264" t="s">
        <v>913</v>
      </c>
      <c r="D3264" t="s">
        <v>1091</v>
      </c>
      <c r="E3264" t="s">
        <v>1078</v>
      </c>
      <c r="F3264">
        <v>137168</v>
      </c>
    </row>
    <row r="3265" spans="1:6">
      <c r="A3265" t="s">
        <v>27</v>
      </c>
      <c r="B3265" t="s">
        <v>73</v>
      </c>
      <c r="C3265" t="s">
        <v>913</v>
      </c>
      <c r="D3265" t="s">
        <v>1091</v>
      </c>
      <c r="E3265" t="s">
        <v>1079</v>
      </c>
      <c r="F3265">
        <v>650259</v>
      </c>
    </row>
    <row r="3266" spans="1:6">
      <c r="A3266" t="s">
        <v>27</v>
      </c>
      <c r="B3266" t="s">
        <v>73</v>
      </c>
      <c r="C3266" t="s">
        <v>913</v>
      </c>
      <c r="D3266" t="s">
        <v>1091</v>
      </c>
      <c r="E3266" t="s">
        <v>1090</v>
      </c>
      <c r="F3266" t="s">
        <v>1138</v>
      </c>
    </row>
    <row r="3267" spans="1:6">
      <c r="A3267" t="s">
        <v>27</v>
      </c>
      <c r="B3267" t="s">
        <v>73</v>
      </c>
      <c r="C3267" t="s">
        <v>913</v>
      </c>
      <c r="D3267" t="s">
        <v>1091</v>
      </c>
      <c r="E3267" t="s">
        <v>1139</v>
      </c>
      <c r="F3267" t="s">
        <v>1132</v>
      </c>
    </row>
    <row r="3268" spans="1:6">
      <c r="A3268" t="s">
        <v>27</v>
      </c>
      <c r="B3268" t="s">
        <v>73</v>
      </c>
      <c r="C3268" t="s">
        <v>913</v>
      </c>
      <c r="D3268" t="s">
        <v>1091</v>
      </c>
      <c r="E3268" t="s">
        <v>1140</v>
      </c>
      <c r="F3268" t="s">
        <v>1132</v>
      </c>
    </row>
    <row r="3269" spans="1:6">
      <c r="A3269" t="s">
        <v>27</v>
      </c>
      <c r="B3269" t="s">
        <v>73</v>
      </c>
      <c r="C3269" t="s">
        <v>913</v>
      </c>
      <c r="D3269" t="s">
        <v>1091</v>
      </c>
      <c r="E3269" t="s">
        <v>1141</v>
      </c>
      <c r="F3269" t="s">
        <v>1310</v>
      </c>
    </row>
    <row r="3270" spans="1:6">
      <c r="A3270" t="s">
        <v>27</v>
      </c>
      <c r="B3270" t="s">
        <v>73</v>
      </c>
      <c r="C3270" t="s">
        <v>913</v>
      </c>
      <c r="D3270" t="s">
        <v>1091</v>
      </c>
      <c r="E3270" t="s">
        <v>1400</v>
      </c>
      <c r="F3270" t="s">
        <v>1401</v>
      </c>
    </row>
    <row r="3271" spans="1:6">
      <c r="A3271" t="s">
        <v>27</v>
      </c>
      <c r="B3271" t="s">
        <v>73</v>
      </c>
      <c r="C3271" t="s">
        <v>913</v>
      </c>
      <c r="D3271" t="s">
        <v>1091</v>
      </c>
      <c r="E3271" t="s">
        <v>1582</v>
      </c>
      <c r="F3271" t="s">
        <v>1583</v>
      </c>
    </row>
    <row r="3272" spans="1:6">
      <c r="A3272" t="s">
        <v>27</v>
      </c>
      <c r="B3272" t="s">
        <v>73</v>
      </c>
      <c r="C3272" t="s">
        <v>913</v>
      </c>
      <c r="D3272" t="s">
        <v>1091</v>
      </c>
      <c r="E3272" t="s">
        <v>1584</v>
      </c>
      <c r="F3272" t="s">
        <v>1585</v>
      </c>
    </row>
    <row r="3273" spans="1:6">
      <c r="A3273" t="s">
        <v>27</v>
      </c>
      <c r="B3273" t="s">
        <v>73</v>
      </c>
      <c r="C3273" t="s">
        <v>913</v>
      </c>
      <c r="D3273" t="s">
        <v>1091</v>
      </c>
      <c r="E3273" t="s">
        <v>1586</v>
      </c>
      <c r="F3273" t="s">
        <v>1587</v>
      </c>
    </row>
    <row r="3274" spans="1:6">
      <c r="A3274" t="s">
        <v>27</v>
      </c>
      <c r="B3274" t="s">
        <v>73</v>
      </c>
      <c r="C3274" t="s">
        <v>913</v>
      </c>
      <c r="D3274" t="s">
        <v>1091</v>
      </c>
      <c r="E3274" t="s">
        <v>1588</v>
      </c>
      <c r="F3274" t="s">
        <v>1589</v>
      </c>
    </row>
    <row r="3275" spans="1:6">
      <c r="A3275" t="s">
        <v>27</v>
      </c>
      <c r="B3275" t="s">
        <v>73</v>
      </c>
      <c r="C3275" t="s">
        <v>913</v>
      </c>
      <c r="D3275" t="s">
        <v>1091</v>
      </c>
      <c r="E3275" t="s">
        <v>1590</v>
      </c>
      <c r="F3275" t="s">
        <v>1591</v>
      </c>
    </row>
    <row r="3276" spans="1:6">
      <c r="A3276" t="s">
        <v>27</v>
      </c>
      <c r="B3276" t="s">
        <v>73</v>
      </c>
      <c r="C3276" t="s">
        <v>913</v>
      </c>
      <c r="D3276" t="s">
        <v>1091</v>
      </c>
      <c r="E3276" t="s">
        <v>1592</v>
      </c>
      <c r="F3276" t="s">
        <v>1593</v>
      </c>
    </row>
    <row r="3277" spans="1:6">
      <c r="A3277" t="s">
        <v>27</v>
      </c>
      <c r="B3277" t="s">
        <v>73</v>
      </c>
      <c r="C3277" t="s">
        <v>913</v>
      </c>
      <c r="D3277" t="s">
        <v>1091</v>
      </c>
      <c r="E3277" t="s">
        <v>1594</v>
      </c>
      <c r="F3277" t="s">
        <v>998</v>
      </c>
    </row>
    <row r="3278" spans="1:6">
      <c r="A3278" t="s">
        <v>27</v>
      </c>
      <c r="B3278" t="s">
        <v>73</v>
      </c>
      <c r="C3278" t="s">
        <v>913</v>
      </c>
      <c r="D3278" t="s">
        <v>1091</v>
      </c>
      <c r="E3278" t="s">
        <v>1595</v>
      </c>
      <c r="F3278" t="s">
        <v>1596</v>
      </c>
    </row>
    <row r="3279" spans="1:6">
      <c r="A3279" t="s">
        <v>27</v>
      </c>
      <c r="B3279" t="s">
        <v>73</v>
      </c>
      <c r="C3279" t="s">
        <v>913</v>
      </c>
      <c r="D3279" t="s">
        <v>1091</v>
      </c>
      <c r="E3279" t="s">
        <v>1597</v>
      </c>
      <c r="F3279" t="s">
        <v>1598</v>
      </c>
    </row>
    <row r="3280" spans="1:6">
      <c r="A3280" t="s">
        <v>27</v>
      </c>
      <c r="B3280" t="s">
        <v>73</v>
      </c>
      <c r="C3280" t="s">
        <v>913</v>
      </c>
      <c r="D3280" t="s">
        <v>1091</v>
      </c>
      <c r="E3280" t="s">
        <v>1599</v>
      </c>
      <c r="F3280" t="s">
        <v>1511</v>
      </c>
    </row>
    <row r="3281" spans="1:6">
      <c r="A3281" t="s">
        <v>27</v>
      </c>
      <c r="B3281" t="s">
        <v>73</v>
      </c>
      <c r="C3281" t="s">
        <v>913</v>
      </c>
      <c r="D3281" t="s">
        <v>1091</v>
      </c>
      <c r="E3281" t="s">
        <v>1600</v>
      </c>
      <c r="F3281" t="s">
        <v>1601</v>
      </c>
    </row>
    <row r="3282" spans="1:6">
      <c r="A3282" t="s">
        <v>27</v>
      </c>
      <c r="B3282" t="s">
        <v>73</v>
      </c>
      <c r="C3282" t="s">
        <v>913</v>
      </c>
      <c r="D3282" t="s">
        <v>1091</v>
      </c>
      <c r="E3282" t="s">
        <v>1143</v>
      </c>
      <c r="F3282" t="s">
        <v>1144</v>
      </c>
    </row>
    <row r="3283" spans="1:6">
      <c r="A3283" t="s">
        <v>27</v>
      </c>
      <c r="B3283" t="s">
        <v>73</v>
      </c>
      <c r="C3283" t="s">
        <v>913</v>
      </c>
      <c r="D3283" t="s">
        <v>1091</v>
      </c>
      <c r="E3283" t="s">
        <v>1602</v>
      </c>
      <c r="F3283" t="s">
        <v>1603</v>
      </c>
    </row>
    <row r="3284" spans="1:6">
      <c r="A3284" t="s">
        <v>27</v>
      </c>
      <c r="B3284" t="s">
        <v>73</v>
      </c>
      <c r="C3284" t="s">
        <v>913</v>
      </c>
      <c r="D3284" t="s">
        <v>1091</v>
      </c>
      <c r="E3284" t="s">
        <v>1604</v>
      </c>
      <c r="F3284">
        <v>946898.0699999999</v>
      </c>
    </row>
    <row r="3285" spans="1:6">
      <c r="A3285" t="s">
        <v>27</v>
      </c>
      <c r="B3285" t="s">
        <v>73</v>
      </c>
      <c r="C3285" t="s">
        <v>913</v>
      </c>
      <c r="D3285" t="s">
        <v>1091</v>
      </c>
      <c r="E3285" t="s">
        <v>1605</v>
      </c>
      <c r="F3285">
        <v>951551.9399999999</v>
      </c>
    </row>
    <row r="3286" spans="1:6">
      <c r="A3286" t="s">
        <v>27</v>
      </c>
      <c r="B3286" t="s">
        <v>73</v>
      </c>
      <c r="C3286" t="s">
        <v>913</v>
      </c>
      <c r="D3286" t="s">
        <v>1091</v>
      </c>
      <c r="E3286" t="s">
        <v>1606</v>
      </c>
      <c r="F3286">
        <v>1177760.63</v>
      </c>
    </row>
    <row r="3287" spans="1:6">
      <c r="A3287" t="s">
        <v>27</v>
      </c>
      <c r="B3287" t="s">
        <v>73</v>
      </c>
      <c r="C3287" t="s">
        <v>913</v>
      </c>
      <c r="D3287" t="s">
        <v>1091</v>
      </c>
      <c r="E3287" t="s">
        <v>1607</v>
      </c>
      <c r="F3287">
        <v>1199203.76</v>
      </c>
    </row>
    <row r="3288" spans="1:6">
      <c r="A3288" t="s">
        <v>27</v>
      </c>
      <c r="B3288" t="s">
        <v>73</v>
      </c>
      <c r="C3288" t="s">
        <v>913</v>
      </c>
      <c r="D3288" t="s">
        <v>1091</v>
      </c>
      <c r="E3288" t="s">
        <v>1608</v>
      </c>
      <c r="F3288">
        <v>1425617.1</v>
      </c>
    </row>
    <row r="3289" spans="1:6">
      <c r="A3289" t="s">
        <v>27</v>
      </c>
      <c r="B3289" t="s">
        <v>73</v>
      </c>
      <c r="C3289" t="s">
        <v>913</v>
      </c>
      <c r="D3289" t="s">
        <v>1091</v>
      </c>
      <c r="E3289" t="s">
        <v>1609</v>
      </c>
      <c r="F3289">
        <v>977488.48</v>
      </c>
    </row>
    <row r="3290" spans="1:6">
      <c r="A3290" t="s">
        <v>27</v>
      </c>
      <c r="B3290" t="s">
        <v>73</v>
      </c>
      <c r="C3290" t="s">
        <v>913</v>
      </c>
      <c r="D3290" t="s">
        <v>1091</v>
      </c>
      <c r="E3290" t="s">
        <v>1610</v>
      </c>
      <c r="F3290">
        <v>1234016.87</v>
      </c>
    </row>
    <row r="3291" spans="1:6">
      <c r="A3291" t="s">
        <v>27</v>
      </c>
      <c r="B3291" t="s">
        <v>73</v>
      </c>
      <c r="C3291" t="s">
        <v>913</v>
      </c>
      <c r="D3291" t="s">
        <v>1091</v>
      </c>
      <c r="E3291" t="s">
        <v>1611</v>
      </c>
      <c r="F3291">
        <v>898182.79</v>
      </c>
    </row>
    <row r="3292" spans="1:6">
      <c r="A3292" t="s">
        <v>27</v>
      </c>
      <c r="B3292" t="s">
        <v>73</v>
      </c>
      <c r="C3292" t="s">
        <v>913</v>
      </c>
      <c r="D3292" t="s">
        <v>1091</v>
      </c>
      <c r="E3292" t="s">
        <v>1612</v>
      </c>
      <c r="F3292">
        <v>820357.6</v>
      </c>
    </row>
    <row r="3293" spans="1:6">
      <c r="A3293" t="s">
        <v>27</v>
      </c>
      <c r="B3293" t="s">
        <v>73</v>
      </c>
      <c r="C3293" t="s">
        <v>913</v>
      </c>
      <c r="D3293" t="s">
        <v>1091</v>
      </c>
      <c r="E3293" t="s">
        <v>1613</v>
      </c>
      <c r="F3293">
        <v>9631077.24</v>
      </c>
    </row>
    <row r="3294" spans="1:6">
      <c r="A3294" t="s">
        <v>27</v>
      </c>
      <c r="B3294" t="s">
        <v>73</v>
      </c>
      <c r="C3294" t="s">
        <v>913</v>
      </c>
      <c r="D3294" t="s">
        <v>1091</v>
      </c>
      <c r="E3294" t="s">
        <v>1147</v>
      </c>
      <c r="F3294" t="s">
        <v>1148</v>
      </c>
    </row>
    <row r="3295" spans="1:6">
      <c r="A3295" t="s">
        <v>27</v>
      </c>
      <c r="B3295" t="s">
        <v>73</v>
      </c>
      <c r="C3295" t="s">
        <v>913</v>
      </c>
      <c r="D3295" t="s">
        <v>1091</v>
      </c>
      <c r="E3295" t="s">
        <v>1149</v>
      </c>
      <c r="F3295" t="s">
        <v>1150</v>
      </c>
    </row>
    <row r="3296" spans="1:6">
      <c r="A3296" t="s">
        <v>27</v>
      </c>
      <c r="B3296" t="s">
        <v>73</v>
      </c>
      <c r="C3296" t="s">
        <v>913</v>
      </c>
      <c r="D3296" t="s">
        <v>1091</v>
      </c>
      <c r="E3296" t="s">
        <v>1614</v>
      </c>
      <c r="F3296" t="s">
        <v>1615</v>
      </c>
    </row>
    <row r="3297" spans="1:6">
      <c r="A3297" t="s">
        <v>27</v>
      </c>
      <c r="B3297" t="s">
        <v>73</v>
      </c>
      <c r="C3297" t="s">
        <v>913</v>
      </c>
      <c r="D3297" t="s">
        <v>1091</v>
      </c>
      <c r="E3297" t="s">
        <v>1616</v>
      </c>
      <c r="F3297">
        <v>4388</v>
      </c>
    </row>
    <row r="3298" spans="1:6">
      <c r="A3298" t="s">
        <v>27</v>
      </c>
      <c r="B3298" t="s">
        <v>73</v>
      </c>
      <c r="C3298" t="s">
        <v>913</v>
      </c>
      <c r="D3298" t="s">
        <v>1091</v>
      </c>
      <c r="E3298" t="s">
        <v>1617</v>
      </c>
      <c r="F3298">
        <v>4231</v>
      </c>
    </row>
    <row r="3299" spans="1:6">
      <c r="A3299" t="s">
        <v>27</v>
      </c>
      <c r="B3299" t="s">
        <v>73</v>
      </c>
      <c r="C3299" t="s">
        <v>913</v>
      </c>
      <c r="D3299" t="s">
        <v>1091</v>
      </c>
      <c r="E3299" t="s">
        <v>1618</v>
      </c>
      <c r="F3299">
        <v>4606</v>
      </c>
    </row>
    <row r="3300" spans="1:6">
      <c r="A3300" t="s">
        <v>27</v>
      </c>
      <c r="B3300" t="s">
        <v>73</v>
      </c>
      <c r="C3300" t="s">
        <v>913</v>
      </c>
      <c r="D3300" t="s">
        <v>1091</v>
      </c>
      <c r="E3300" t="s">
        <v>1619</v>
      </c>
      <c r="F3300">
        <v>4749</v>
      </c>
    </row>
    <row r="3301" spans="1:6">
      <c r="A3301" t="s">
        <v>27</v>
      </c>
      <c r="B3301" t="s">
        <v>73</v>
      </c>
      <c r="C3301" t="s">
        <v>913</v>
      </c>
      <c r="D3301" t="s">
        <v>1091</v>
      </c>
      <c r="E3301" t="s">
        <v>1620</v>
      </c>
      <c r="F3301">
        <v>5501</v>
      </c>
    </row>
    <row r="3302" spans="1:6">
      <c r="A3302" t="s">
        <v>27</v>
      </c>
      <c r="B3302" t="s">
        <v>73</v>
      </c>
      <c r="C3302" t="s">
        <v>913</v>
      </c>
      <c r="D3302" t="s">
        <v>1091</v>
      </c>
      <c r="E3302" t="s">
        <v>1621</v>
      </c>
      <c r="F3302">
        <v>4259</v>
      </c>
    </row>
    <row r="3303" spans="1:6">
      <c r="A3303" t="s">
        <v>27</v>
      </c>
      <c r="B3303" t="s">
        <v>73</v>
      </c>
      <c r="C3303" t="s">
        <v>913</v>
      </c>
      <c r="D3303" t="s">
        <v>1091</v>
      </c>
      <c r="E3303" t="s">
        <v>1622</v>
      </c>
      <c r="F3303">
        <v>4939</v>
      </c>
    </row>
    <row r="3304" spans="1:6">
      <c r="A3304" t="s">
        <v>27</v>
      </c>
      <c r="B3304" t="s">
        <v>73</v>
      </c>
      <c r="C3304" t="s">
        <v>913</v>
      </c>
      <c r="D3304" t="s">
        <v>1091</v>
      </c>
      <c r="E3304" t="s">
        <v>1623</v>
      </c>
      <c r="F3304">
        <v>3997</v>
      </c>
    </row>
    <row r="3305" spans="1:6">
      <c r="A3305" t="s">
        <v>27</v>
      </c>
      <c r="B3305" t="s">
        <v>73</v>
      </c>
      <c r="C3305" t="s">
        <v>913</v>
      </c>
      <c r="D3305" t="s">
        <v>1091</v>
      </c>
      <c r="E3305" t="s">
        <v>1624</v>
      </c>
      <c r="F3305">
        <v>3487</v>
      </c>
    </row>
    <row r="3306" spans="1:6">
      <c r="A3306" t="s">
        <v>27</v>
      </c>
      <c r="B3306" t="s">
        <v>73</v>
      </c>
      <c r="C3306" t="s">
        <v>913</v>
      </c>
      <c r="D3306" t="s">
        <v>1091</v>
      </c>
      <c r="E3306" t="s">
        <v>1625</v>
      </c>
      <c r="F3306">
        <v>40157</v>
      </c>
    </row>
    <row r="3307" spans="1:6">
      <c r="A3307" t="s">
        <v>27</v>
      </c>
      <c r="B3307" t="s">
        <v>73</v>
      </c>
      <c r="C3307" t="s">
        <v>913</v>
      </c>
      <c r="D3307" t="s">
        <v>1091</v>
      </c>
      <c r="E3307" t="s">
        <v>1151</v>
      </c>
      <c r="F3307" t="s">
        <v>1009</v>
      </c>
    </row>
    <row r="3308" spans="1:6">
      <c r="A3308" t="s">
        <v>27</v>
      </c>
      <c r="B3308" t="s">
        <v>73</v>
      </c>
      <c r="C3308" t="s">
        <v>913</v>
      </c>
      <c r="D3308" t="s">
        <v>1091</v>
      </c>
      <c r="E3308" t="s">
        <v>1152</v>
      </c>
      <c r="F3308" t="s">
        <v>1550</v>
      </c>
    </row>
    <row r="3309" spans="1:6">
      <c r="A3309" t="s">
        <v>27</v>
      </c>
      <c r="B3309" t="s">
        <v>73</v>
      </c>
      <c r="C3309" t="s">
        <v>913</v>
      </c>
      <c r="D3309" t="s">
        <v>1091</v>
      </c>
      <c r="E3309" t="s">
        <v>1154</v>
      </c>
      <c r="F3309" t="s">
        <v>1551</v>
      </c>
    </row>
    <row r="3310" spans="1:6">
      <c r="A3310" t="s">
        <v>27</v>
      </c>
      <c r="B3310" t="s">
        <v>73</v>
      </c>
      <c r="C3310" t="s">
        <v>913</v>
      </c>
      <c r="D3310" t="s">
        <v>1091</v>
      </c>
      <c r="E3310" t="s">
        <v>1156</v>
      </c>
      <c r="F3310" t="s">
        <v>1552</v>
      </c>
    </row>
    <row r="3311" spans="1:6">
      <c r="A3311" t="s">
        <v>27</v>
      </c>
      <c r="B3311" t="s">
        <v>73</v>
      </c>
      <c r="C3311" t="s">
        <v>913</v>
      </c>
      <c r="D3311" t="s">
        <v>1091</v>
      </c>
      <c r="E3311" t="s">
        <v>1158</v>
      </c>
      <c r="F3311" t="s">
        <v>1153</v>
      </c>
    </row>
    <row r="3312" spans="1:6">
      <c r="A3312" t="s">
        <v>27</v>
      </c>
      <c r="B3312" t="s">
        <v>73</v>
      </c>
      <c r="C3312" t="s">
        <v>913</v>
      </c>
      <c r="D3312" t="s">
        <v>1091</v>
      </c>
      <c r="E3312" t="s">
        <v>1160</v>
      </c>
      <c r="F3312" t="s">
        <v>1155</v>
      </c>
    </row>
    <row r="3313" spans="1:6">
      <c r="A3313" t="s">
        <v>27</v>
      </c>
      <c r="B3313" t="s">
        <v>73</v>
      </c>
      <c r="C3313" t="s">
        <v>913</v>
      </c>
      <c r="D3313" t="s">
        <v>1091</v>
      </c>
      <c r="E3313" t="s">
        <v>1162</v>
      </c>
      <c r="F3313" t="s">
        <v>1157</v>
      </c>
    </row>
    <row r="3314" spans="1:6">
      <c r="A3314" t="s">
        <v>27</v>
      </c>
      <c r="B3314" t="s">
        <v>73</v>
      </c>
      <c r="C3314" t="s">
        <v>913</v>
      </c>
      <c r="D3314" t="s">
        <v>1091</v>
      </c>
      <c r="E3314" t="s">
        <v>1164</v>
      </c>
      <c r="F3314" t="s">
        <v>1165</v>
      </c>
    </row>
    <row r="3315" spans="1:6">
      <c r="A3315" t="s">
        <v>27</v>
      </c>
      <c r="B3315" t="s">
        <v>73</v>
      </c>
      <c r="C3315" t="s">
        <v>913</v>
      </c>
      <c r="D3315" t="s">
        <v>1091</v>
      </c>
      <c r="E3315" t="s">
        <v>1166</v>
      </c>
      <c r="F3315">
        <v>6554867</v>
      </c>
    </row>
    <row r="3316" spans="1:6">
      <c r="A3316" t="s">
        <v>27</v>
      </c>
      <c r="B3316" t="s">
        <v>73</v>
      </c>
      <c r="C3316" t="s">
        <v>913</v>
      </c>
      <c r="D3316" t="s">
        <v>1091</v>
      </c>
      <c r="E3316" t="s">
        <v>1167</v>
      </c>
      <c r="F3316">
        <v>820358</v>
      </c>
    </row>
    <row r="3317" spans="1:6">
      <c r="A3317" t="s">
        <v>27</v>
      </c>
      <c r="B3317" t="s">
        <v>73</v>
      </c>
      <c r="C3317" t="s">
        <v>913</v>
      </c>
      <c r="D3317" t="s">
        <v>1091</v>
      </c>
      <c r="E3317" t="s">
        <v>1168</v>
      </c>
      <c r="F3317">
        <v>898183</v>
      </c>
    </row>
    <row r="3318" spans="1:6">
      <c r="A3318" t="s">
        <v>27</v>
      </c>
      <c r="B3318" t="s">
        <v>73</v>
      </c>
      <c r="C3318" t="s">
        <v>913</v>
      </c>
      <c r="D3318" t="s">
        <v>1091</v>
      </c>
      <c r="E3318" t="s">
        <v>1169</v>
      </c>
      <c r="F3318">
        <v>1234017</v>
      </c>
    </row>
    <row r="3319" spans="1:6">
      <c r="A3319" t="s">
        <v>27</v>
      </c>
      <c r="B3319" t="s">
        <v>73</v>
      </c>
      <c r="C3319" t="s">
        <v>913</v>
      </c>
      <c r="D3319" t="s">
        <v>1091</v>
      </c>
      <c r="E3319" t="s">
        <v>1170</v>
      </c>
      <c r="F3319">
        <v>977488</v>
      </c>
    </row>
    <row r="3320" spans="1:6">
      <c r="A3320" t="s">
        <v>27</v>
      </c>
      <c r="B3320" t="s">
        <v>73</v>
      </c>
      <c r="C3320" t="s">
        <v>913</v>
      </c>
      <c r="D3320" t="s">
        <v>1091</v>
      </c>
      <c r="E3320" t="s">
        <v>1171</v>
      </c>
      <c r="F3320">
        <v>1425617</v>
      </c>
    </row>
    <row r="3321" spans="1:6">
      <c r="A3321" t="s">
        <v>27</v>
      </c>
      <c r="B3321" t="s">
        <v>73</v>
      </c>
      <c r="C3321" t="s">
        <v>913</v>
      </c>
      <c r="D3321" t="s">
        <v>1091</v>
      </c>
      <c r="E3321" t="s">
        <v>1172</v>
      </c>
      <c r="F3321">
        <v>1199204</v>
      </c>
    </row>
    <row r="3322" spans="1:6">
      <c r="A3322" t="s">
        <v>27</v>
      </c>
      <c r="B3322" t="s">
        <v>73</v>
      </c>
      <c r="C3322" t="s">
        <v>913</v>
      </c>
      <c r="D3322" t="s">
        <v>1091</v>
      </c>
      <c r="E3322" t="s">
        <v>1626</v>
      </c>
      <c r="F3322" t="s">
        <v>1627</v>
      </c>
    </row>
    <row r="3323" spans="1:6">
      <c r="A3323" t="s">
        <v>27</v>
      </c>
      <c r="B3323" t="s">
        <v>73</v>
      </c>
      <c r="C3323" t="s">
        <v>913</v>
      </c>
      <c r="D3323" t="s">
        <v>1091</v>
      </c>
      <c r="E3323" t="s">
        <v>1628</v>
      </c>
      <c r="F3323">
        <v>51027</v>
      </c>
    </row>
    <row r="3324" spans="1:6">
      <c r="A3324" t="s">
        <v>27</v>
      </c>
      <c r="B3324" t="s">
        <v>73</v>
      </c>
      <c r="C3324" t="s">
        <v>913</v>
      </c>
      <c r="D3324" t="s">
        <v>1091</v>
      </c>
      <c r="E3324" t="s">
        <v>1629</v>
      </c>
      <c r="F3324">
        <v>40478.73</v>
      </c>
    </row>
    <row r="3325" spans="1:6">
      <c r="A3325" t="s">
        <v>27</v>
      </c>
      <c r="B3325" t="s">
        <v>73</v>
      </c>
      <c r="C3325" t="s">
        <v>913</v>
      </c>
      <c r="D3325" t="s">
        <v>1091</v>
      </c>
      <c r="E3325" t="s">
        <v>1630</v>
      </c>
      <c r="F3325">
        <v>42116.03</v>
      </c>
    </row>
    <row r="3326" spans="1:6">
      <c r="A3326" t="s">
        <v>27</v>
      </c>
      <c r="B3326" t="s">
        <v>73</v>
      </c>
      <c r="C3326" t="s">
        <v>913</v>
      </c>
      <c r="D3326" t="s">
        <v>1091</v>
      </c>
      <c r="E3326" t="s">
        <v>1631</v>
      </c>
      <c r="F3326">
        <v>46104.65</v>
      </c>
    </row>
    <row r="3327" spans="1:6">
      <c r="A3327" t="s">
        <v>27</v>
      </c>
      <c r="B3327" t="s">
        <v>73</v>
      </c>
      <c r="C3327" t="s">
        <v>913</v>
      </c>
      <c r="D3327" t="s">
        <v>1091</v>
      </c>
      <c r="E3327" t="s">
        <v>1632</v>
      </c>
      <c r="F3327">
        <v>62226.93</v>
      </c>
    </row>
    <row r="3328" spans="1:6">
      <c r="A3328" t="s">
        <v>27</v>
      </c>
      <c r="B3328" t="s">
        <v>73</v>
      </c>
      <c r="C3328" t="s">
        <v>913</v>
      </c>
      <c r="D3328" t="s">
        <v>1091</v>
      </c>
      <c r="E3328" t="s">
        <v>1633</v>
      </c>
      <c r="F3328">
        <v>75849.92</v>
      </c>
    </row>
    <row r="3329" spans="1:6">
      <c r="A3329" t="s">
        <v>27</v>
      </c>
      <c r="B3329" t="s">
        <v>73</v>
      </c>
      <c r="C3329" t="s">
        <v>913</v>
      </c>
      <c r="D3329" t="s">
        <v>1091</v>
      </c>
      <c r="E3329" t="s">
        <v>1634</v>
      </c>
      <c r="F3329">
        <v>184886.57</v>
      </c>
    </row>
    <row r="3330" spans="1:6">
      <c r="A3330" t="s">
        <v>27</v>
      </c>
      <c r="B3330" t="s">
        <v>73</v>
      </c>
      <c r="C3330" t="s">
        <v>913</v>
      </c>
      <c r="D3330" t="s">
        <v>1091</v>
      </c>
      <c r="E3330" t="s">
        <v>1635</v>
      </c>
      <c r="F3330">
        <v>262885.96</v>
      </c>
    </row>
    <row r="3331" spans="1:6">
      <c r="A3331" t="s">
        <v>27</v>
      </c>
      <c r="B3331" t="s">
        <v>73</v>
      </c>
      <c r="C3331" t="s">
        <v>913</v>
      </c>
      <c r="D3331" t="s">
        <v>1091</v>
      </c>
      <c r="E3331" t="s">
        <v>1636</v>
      </c>
      <c r="F3331">
        <v>568293.52</v>
      </c>
    </row>
    <row r="3332" spans="1:6">
      <c r="A3332" t="s">
        <v>27</v>
      </c>
      <c r="B3332" t="s">
        <v>73</v>
      </c>
      <c r="C3332" t="s">
        <v>913</v>
      </c>
      <c r="D3332" t="s">
        <v>1091</v>
      </c>
      <c r="E3332" t="s">
        <v>1637</v>
      </c>
      <c r="F3332">
        <v>1333869.31</v>
      </c>
    </row>
    <row r="3333" spans="1:6">
      <c r="A3333" t="s">
        <v>27</v>
      </c>
      <c r="B3333" t="s">
        <v>73</v>
      </c>
      <c r="C3333" t="s">
        <v>913</v>
      </c>
      <c r="D3333" t="s">
        <v>1091</v>
      </c>
      <c r="E3333" t="s">
        <v>1173</v>
      </c>
      <c r="F3333" t="s">
        <v>1174</v>
      </c>
    </row>
    <row r="3334" spans="1:6">
      <c r="A3334" t="s">
        <v>27</v>
      </c>
      <c r="B3334" t="s">
        <v>73</v>
      </c>
      <c r="C3334" t="s">
        <v>913</v>
      </c>
      <c r="D3334" t="s">
        <v>1091</v>
      </c>
      <c r="E3334" t="s">
        <v>1175</v>
      </c>
      <c r="F3334">
        <v>26932</v>
      </c>
    </row>
    <row r="3335" spans="1:6">
      <c r="A3335" t="s">
        <v>27</v>
      </c>
      <c r="B3335" t="s">
        <v>73</v>
      </c>
      <c r="C3335" t="s">
        <v>913</v>
      </c>
      <c r="D3335" t="s">
        <v>1091</v>
      </c>
      <c r="E3335" t="s">
        <v>1176</v>
      </c>
      <c r="F3335">
        <v>3487</v>
      </c>
    </row>
    <row r="3336" spans="1:6">
      <c r="A3336" t="s">
        <v>27</v>
      </c>
      <c r="B3336" t="s">
        <v>73</v>
      </c>
      <c r="C3336" t="s">
        <v>913</v>
      </c>
      <c r="D3336" t="s">
        <v>1091</v>
      </c>
      <c r="E3336" t="s">
        <v>1177</v>
      </c>
      <c r="F3336">
        <v>3997</v>
      </c>
    </row>
    <row r="3337" spans="1:6">
      <c r="A3337" t="s">
        <v>27</v>
      </c>
      <c r="B3337" t="s">
        <v>73</v>
      </c>
      <c r="C3337" t="s">
        <v>913</v>
      </c>
      <c r="D3337" t="s">
        <v>1091</v>
      </c>
      <c r="E3337" t="s">
        <v>1178</v>
      </c>
      <c r="F3337">
        <v>4939</v>
      </c>
    </row>
    <row r="3338" spans="1:6">
      <c r="A3338" t="s">
        <v>27</v>
      </c>
      <c r="B3338" t="s">
        <v>73</v>
      </c>
      <c r="C3338" t="s">
        <v>913</v>
      </c>
      <c r="D3338" t="s">
        <v>1091</v>
      </c>
      <c r="E3338" t="s">
        <v>1179</v>
      </c>
      <c r="F3338">
        <v>4259</v>
      </c>
    </row>
    <row r="3339" spans="1:6">
      <c r="A3339" t="s">
        <v>27</v>
      </c>
      <c r="B3339" t="s">
        <v>73</v>
      </c>
      <c r="C3339" t="s">
        <v>913</v>
      </c>
      <c r="D3339" t="s">
        <v>1091</v>
      </c>
      <c r="E3339" t="s">
        <v>1180</v>
      </c>
      <c r="F3339">
        <v>5501</v>
      </c>
    </row>
    <row r="3340" spans="1:6">
      <c r="A3340" t="s">
        <v>27</v>
      </c>
      <c r="B3340" t="s">
        <v>73</v>
      </c>
      <c r="C3340" t="s">
        <v>913</v>
      </c>
      <c r="D3340" t="s">
        <v>1091</v>
      </c>
      <c r="E3340" t="s">
        <v>1181</v>
      </c>
      <c r="F3340">
        <v>4749</v>
      </c>
    </row>
    <row r="3341" spans="1:6">
      <c r="A3341" t="s">
        <v>27</v>
      </c>
      <c r="B3341" t="s">
        <v>73</v>
      </c>
      <c r="C3341" t="s">
        <v>913</v>
      </c>
      <c r="D3341" t="s">
        <v>1091</v>
      </c>
      <c r="E3341" t="s">
        <v>1638</v>
      </c>
      <c r="F3341" t="s">
        <v>1639</v>
      </c>
    </row>
    <row r="3342" spans="1:6">
      <c r="A3342" t="s">
        <v>27</v>
      </c>
      <c r="B3342" t="s">
        <v>73</v>
      </c>
      <c r="C3342" t="s">
        <v>913</v>
      </c>
      <c r="D3342" t="s">
        <v>1091</v>
      </c>
      <c r="E3342" t="s">
        <v>1640</v>
      </c>
      <c r="F3342">
        <v>505</v>
      </c>
    </row>
    <row r="3343" spans="1:6">
      <c r="A3343" t="s">
        <v>27</v>
      </c>
      <c r="B3343" t="s">
        <v>73</v>
      </c>
      <c r="C3343" t="s">
        <v>913</v>
      </c>
      <c r="D3343" t="s">
        <v>1091</v>
      </c>
      <c r="E3343" t="s">
        <v>1641</v>
      </c>
      <c r="F3343">
        <v>569</v>
      </c>
    </row>
    <row r="3344" spans="1:6">
      <c r="A3344" t="s">
        <v>27</v>
      </c>
      <c r="B3344" t="s">
        <v>73</v>
      </c>
      <c r="C3344" t="s">
        <v>913</v>
      </c>
      <c r="D3344" t="s">
        <v>1091</v>
      </c>
      <c r="E3344" t="s">
        <v>1642</v>
      </c>
      <c r="F3344">
        <v>490</v>
      </c>
    </row>
    <row r="3345" spans="1:6">
      <c r="A3345" t="s">
        <v>27</v>
      </c>
      <c r="B3345" t="s">
        <v>73</v>
      </c>
      <c r="C3345" t="s">
        <v>913</v>
      </c>
      <c r="D3345" t="s">
        <v>1091</v>
      </c>
      <c r="E3345" t="s">
        <v>1643</v>
      </c>
      <c r="F3345">
        <v>520</v>
      </c>
    </row>
    <row r="3346" spans="1:6">
      <c r="A3346" t="s">
        <v>27</v>
      </c>
      <c r="B3346" t="s">
        <v>73</v>
      </c>
      <c r="C3346" t="s">
        <v>913</v>
      </c>
      <c r="D3346" t="s">
        <v>1091</v>
      </c>
      <c r="E3346" t="s">
        <v>1644</v>
      </c>
      <c r="F3346">
        <v>688</v>
      </c>
    </row>
    <row r="3347" spans="1:6">
      <c r="A3347" t="s">
        <v>27</v>
      </c>
      <c r="B3347" t="s">
        <v>73</v>
      </c>
      <c r="C3347" t="s">
        <v>913</v>
      </c>
      <c r="D3347" t="s">
        <v>1091</v>
      </c>
      <c r="E3347" t="s">
        <v>1645</v>
      </c>
      <c r="F3347">
        <v>647</v>
      </c>
    </row>
    <row r="3348" spans="1:6">
      <c r="A3348" t="s">
        <v>27</v>
      </c>
      <c r="B3348" t="s">
        <v>73</v>
      </c>
      <c r="C3348" t="s">
        <v>913</v>
      </c>
      <c r="D3348" t="s">
        <v>1091</v>
      </c>
      <c r="E3348" t="s">
        <v>1646</v>
      </c>
      <c r="F3348">
        <v>1048</v>
      </c>
    </row>
    <row r="3349" spans="1:6">
      <c r="A3349" t="s">
        <v>27</v>
      </c>
      <c r="B3349" t="s">
        <v>73</v>
      </c>
      <c r="C3349" t="s">
        <v>913</v>
      </c>
      <c r="D3349" t="s">
        <v>1091</v>
      </c>
      <c r="E3349" t="s">
        <v>1647</v>
      </c>
      <c r="F3349">
        <v>1303</v>
      </c>
    </row>
    <row r="3350" spans="1:6">
      <c r="A3350" t="s">
        <v>27</v>
      </c>
      <c r="B3350" t="s">
        <v>73</v>
      </c>
      <c r="C3350" t="s">
        <v>913</v>
      </c>
      <c r="D3350" t="s">
        <v>1091</v>
      </c>
      <c r="E3350" t="s">
        <v>1648</v>
      </c>
      <c r="F3350">
        <v>2136</v>
      </c>
    </row>
    <row r="3351" spans="1:6">
      <c r="A3351" t="s">
        <v>27</v>
      </c>
      <c r="B3351" t="s">
        <v>73</v>
      </c>
      <c r="C3351" t="s">
        <v>913</v>
      </c>
      <c r="D3351" t="s">
        <v>1091</v>
      </c>
      <c r="E3351" t="s">
        <v>1649</v>
      </c>
      <c r="F3351">
        <v>7906</v>
      </c>
    </row>
    <row r="3352" spans="1:6">
      <c r="A3352" t="s">
        <v>27</v>
      </c>
      <c r="B3352" t="s">
        <v>73</v>
      </c>
      <c r="C3352" t="s">
        <v>913</v>
      </c>
      <c r="D3352" t="s">
        <v>1091</v>
      </c>
      <c r="E3352" t="s">
        <v>1182</v>
      </c>
      <c r="F3352" t="s">
        <v>1183</v>
      </c>
    </row>
    <row r="3353" spans="1:6">
      <c r="A3353" t="s">
        <v>27</v>
      </c>
      <c r="B3353" t="s">
        <v>73</v>
      </c>
      <c r="C3353" t="s">
        <v>913</v>
      </c>
      <c r="D3353" t="s">
        <v>1091</v>
      </c>
      <c r="E3353" t="s">
        <v>1184</v>
      </c>
      <c r="F3353">
        <v>5536856</v>
      </c>
    </row>
    <row r="3354" spans="1:6">
      <c r="A3354" t="s">
        <v>27</v>
      </c>
      <c r="B3354" t="s">
        <v>73</v>
      </c>
      <c r="C3354" t="s">
        <v>913</v>
      </c>
      <c r="D3354" t="s">
        <v>1091</v>
      </c>
      <c r="E3354" t="s">
        <v>1185</v>
      </c>
      <c r="F3354">
        <v>274850</v>
      </c>
    </row>
    <row r="3355" spans="1:6">
      <c r="A3355" t="s">
        <v>27</v>
      </c>
      <c r="B3355" t="s">
        <v>73</v>
      </c>
      <c r="C3355" t="s">
        <v>913</v>
      </c>
      <c r="D3355" t="s">
        <v>1091</v>
      </c>
      <c r="E3355" t="s">
        <v>1186</v>
      </c>
      <c r="F3355">
        <v>664779</v>
      </c>
    </row>
    <row r="3356" spans="1:6">
      <c r="A3356" t="s">
        <v>27</v>
      </c>
      <c r="B3356" t="s">
        <v>73</v>
      </c>
      <c r="C3356" t="s">
        <v>913</v>
      </c>
      <c r="D3356" t="s">
        <v>1091</v>
      </c>
      <c r="E3356" t="s">
        <v>1187</v>
      </c>
      <c r="F3356">
        <v>1089611</v>
      </c>
    </row>
    <row r="3357" spans="1:6">
      <c r="A3357" t="s">
        <v>27</v>
      </c>
      <c r="B3357" t="s">
        <v>73</v>
      </c>
      <c r="C3357" t="s">
        <v>913</v>
      </c>
      <c r="D3357" t="s">
        <v>1091</v>
      </c>
      <c r="E3357" t="s">
        <v>1188</v>
      </c>
      <c r="F3357">
        <v>936506</v>
      </c>
    </row>
    <row r="3358" spans="1:6">
      <c r="A3358" t="s">
        <v>27</v>
      </c>
      <c r="B3358" t="s">
        <v>73</v>
      </c>
      <c r="C3358" t="s">
        <v>913</v>
      </c>
      <c r="D3358" t="s">
        <v>1091</v>
      </c>
      <c r="E3358" t="s">
        <v>1189</v>
      </c>
      <c r="F3358">
        <v>1400959</v>
      </c>
    </row>
    <row r="3359" spans="1:6">
      <c r="A3359" t="s">
        <v>27</v>
      </c>
      <c r="B3359" t="s">
        <v>73</v>
      </c>
      <c r="C3359" t="s">
        <v>913</v>
      </c>
      <c r="D3359" t="s">
        <v>1091</v>
      </c>
      <c r="E3359" t="s">
        <v>1190</v>
      </c>
      <c r="F3359">
        <v>1170152</v>
      </c>
    </row>
    <row r="3360" spans="1:6">
      <c r="A3360" t="s">
        <v>27</v>
      </c>
      <c r="B3360" t="s">
        <v>73</v>
      </c>
      <c r="C3360" t="s">
        <v>913</v>
      </c>
      <c r="D3360" t="s">
        <v>1091</v>
      </c>
      <c r="E3360" t="s">
        <v>1191</v>
      </c>
      <c r="F3360" t="s">
        <v>1192</v>
      </c>
    </row>
    <row r="3361" spans="1:6">
      <c r="A3361" t="s">
        <v>27</v>
      </c>
      <c r="B3361" t="s">
        <v>73</v>
      </c>
      <c r="C3361" t="s">
        <v>913</v>
      </c>
      <c r="D3361" t="s">
        <v>1091</v>
      </c>
      <c r="E3361" t="s">
        <v>1193</v>
      </c>
      <c r="F3361">
        <v>1415</v>
      </c>
    </row>
    <row r="3362" spans="1:6">
      <c r="A3362" t="s">
        <v>27</v>
      </c>
      <c r="B3362" t="s">
        <v>73</v>
      </c>
      <c r="C3362" t="s">
        <v>913</v>
      </c>
      <c r="D3362" t="s">
        <v>1091</v>
      </c>
      <c r="E3362" t="s">
        <v>1194</v>
      </c>
      <c r="F3362">
        <v>2990</v>
      </c>
    </row>
    <row r="3363" spans="1:6">
      <c r="A3363" t="s">
        <v>27</v>
      </c>
      <c r="B3363" t="s">
        <v>73</v>
      </c>
      <c r="C3363" t="s">
        <v>913</v>
      </c>
      <c r="D3363" t="s">
        <v>1091</v>
      </c>
      <c r="E3363" t="s">
        <v>1195</v>
      </c>
      <c r="F3363">
        <v>4184</v>
      </c>
    </row>
    <row r="3364" spans="1:6">
      <c r="A3364" t="s">
        <v>27</v>
      </c>
      <c r="B3364" t="s">
        <v>73</v>
      </c>
      <c r="C3364" t="s">
        <v>913</v>
      </c>
      <c r="D3364" t="s">
        <v>1091</v>
      </c>
      <c r="E3364" t="s">
        <v>1196</v>
      </c>
      <c r="F3364">
        <v>3860</v>
      </c>
    </row>
    <row r="3365" spans="1:6">
      <c r="A3365" t="s">
        <v>27</v>
      </c>
      <c r="B3365" t="s">
        <v>73</v>
      </c>
      <c r="C3365" t="s">
        <v>913</v>
      </c>
      <c r="D3365" t="s">
        <v>1091</v>
      </c>
      <c r="E3365" t="s">
        <v>1197</v>
      </c>
      <c r="F3365">
        <v>5067</v>
      </c>
    </row>
    <row r="3366" spans="1:6">
      <c r="A3366" t="s">
        <v>27</v>
      </c>
      <c r="B3366" t="s">
        <v>73</v>
      </c>
      <c r="C3366" t="s">
        <v>913</v>
      </c>
      <c r="D3366" t="s">
        <v>1091</v>
      </c>
      <c r="E3366" t="s">
        <v>1198</v>
      </c>
      <c r="F3366">
        <v>4450</v>
      </c>
    </row>
    <row r="3367" spans="1:6">
      <c r="A3367" t="s">
        <v>27</v>
      </c>
      <c r="B3367" t="s">
        <v>73</v>
      </c>
      <c r="C3367" t="s">
        <v>913</v>
      </c>
      <c r="D3367" t="s">
        <v>1091</v>
      </c>
      <c r="E3367" t="s">
        <v>1650</v>
      </c>
      <c r="F3367" t="s">
        <v>1651</v>
      </c>
    </row>
    <row r="3368" spans="1:6">
      <c r="A3368" t="s">
        <v>27</v>
      </c>
      <c r="B3368" t="s">
        <v>73</v>
      </c>
      <c r="C3368" t="s">
        <v>913</v>
      </c>
      <c r="D3368" t="s">
        <v>1091</v>
      </c>
      <c r="E3368" t="s">
        <v>1652</v>
      </c>
      <c r="F3368">
        <v>895871.0699999999</v>
      </c>
    </row>
    <row r="3369" spans="1:6">
      <c r="A3369" t="s">
        <v>27</v>
      </c>
      <c r="B3369" t="s">
        <v>73</v>
      </c>
      <c r="C3369" t="s">
        <v>913</v>
      </c>
      <c r="D3369" t="s">
        <v>1091</v>
      </c>
      <c r="E3369" t="s">
        <v>1653</v>
      </c>
      <c r="F3369">
        <v>911073.21</v>
      </c>
    </row>
    <row r="3370" spans="1:6">
      <c r="A3370" t="s">
        <v>27</v>
      </c>
      <c r="B3370" t="s">
        <v>73</v>
      </c>
      <c r="C3370" t="s">
        <v>913</v>
      </c>
      <c r="D3370" t="s">
        <v>1091</v>
      </c>
      <c r="E3370" t="s">
        <v>1654</v>
      </c>
      <c r="F3370">
        <v>1135644.6</v>
      </c>
    </row>
    <row r="3371" spans="1:6">
      <c r="A3371" t="s">
        <v>27</v>
      </c>
      <c r="B3371" t="s">
        <v>73</v>
      </c>
      <c r="C3371" t="s">
        <v>913</v>
      </c>
      <c r="D3371" t="s">
        <v>1091</v>
      </c>
      <c r="E3371" t="s">
        <v>1655</v>
      </c>
      <c r="F3371">
        <v>1153099.11</v>
      </c>
    </row>
    <row r="3372" spans="1:6">
      <c r="A3372" t="s">
        <v>27</v>
      </c>
      <c r="B3372" t="s">
        <v>73</v>
      </c>
      <c r="C3372" t="s">
        <v>913</v>
      </c>
      <c r="D3372" t="s">
        <v>1091</v>
      </c>
      <c r="E3372" t="s">
        <v>1656</v>
      </c>
      <c r="F3372">
        <v>1363390.17</v>
      </c>
    </row>
    <row r="3373" spans="1:6">
      <c r="A3373" t="s">
        <v>27</v>
      </c>
      <c r="B3373" t="s">
        <v>73</v>
      </c>
      <c r="C3373" t="s">
        <v>913</v>
      </c>
      <c r="D3373" t="s">
        <v>1091</v>
      </c>
      <c r="E3373" t="s">
        <v>1657</v>
      </c>
      <c r="F3373">
        <v>901638.5600000001</v>
      </c>
    </row>
    <row r="3374" spans="1:6">
      <c r="A3374" t="s">
        <v>27</v>
      </c>
      <c r="B3374" t="s">
        <v>73</v>
      </c>
      <c r="C3374" t="s">
        <v>913</v>
      </c>
      <c r="D3374" t="s">
        <v>1091</v>
      </c>
      <c r="E3374" t="s">
        <v>1658</v>
      </c>
      <c r="F3374">
        <v>1049130.3</v>
      </c>
    </row>
    <row r="3375" spans="1:6">
      <c r="A3375" t="s">
        <v>27</v>
      </c>
      <c r="B3375" t="s">
        <v>73</v>
      </c>
      <c r="C3375" t="s">
        <v>913</v>
      </c>
      <c r="D3375" t="s">
        <v>1091</v>
      </c>
      <c r="E3375" t="s">
        <v>1659</v>
      </c>
      <c r="F3375">
        <v>635296.83</v>
      </c>
    </row>
    <row r="3376" spans="1:6">
      <c r="A3376" t="s">
        <v>27</v>
      </c>
      <c r="B3376" t="s">
        <v>73</v>
      </c>
      <c r="C3376" t="s">
        <v>913</v>
      </c>
      <c r="D3376" t="s">
        <v>1091</v>
      </c>
      <c r="E3376" t="s">
        <v>1660</v>
      </c>
      <c r="F3376">
        <v>252064.08</v>
      </c>
    </row>
    <row r="3377" spans="1:6">
      <c r="A3377" t="s">
        <v>27</v>
      </c>
      <c r="B3377" t="s">
        <v>73</v>
      </c>
      <c r="C3377" t="s">
        <v>913</v>
      </c>
      <c r="D3377" t="s">
        <v>1091</v>
      </c>
      <c r="E3377" t="s">
        <v>1661</v>
      </c>
      <c r="F3377">
        <v>8297207.93</v>
      </c>
    </row>
    <row r="3378" spans="1:6">
      <c r="A3378" t="s">
        <v>27</v>
      </c>
      <c r="B3378" t="s">
        <v>73</v>
      </c>
      <c r="C3378" t="s">
        <v>913</v>
      </c>
      <c r="D3378" t="s">
        <v>1091</v>
      </c>
      <c r="E3378" t="s">
        <v>1199</v>
      </c>
      <c r="F3378" t="s">
        <v>1200</v>
      </c>
    </row>
    <row r="3379" spans="1:6">
      <c r="A3379" t="s">
        <v>27</v>
      </c>
      <c r="B3379" t="s">
        <v>73</v>
      </c>
      <c r="C3379" t="s">
        <v>913</v>
      </c>
      <c r="D3379" t="s">
        <v>1091</v>
      </c>
      <c r="E3379" t="s">
        <v>1201</v>
      </c>
      <c r="F3379" t="s">
        <v>1107</v>
      </c>
    </row>
    <row r="3380" spans="1:6">
      <c r="A3380" t="s">
        <v>27</v>
      </c>
      <c r="B3380" t="s">
        <v>73</v>
      </c>
      <c r="C3380" t="s">
        <v>913</v>
      </c>
      <c r="D3380" t="s">
        <v>1091</v>
      </c>
      <c r="E3380" t="s">
        <v>1202</v>
      </c>
      <c r="F3380">
        <v>5354619</v>
      </c>
    </row>
    <row r="3381" spans="1:6">
      <c r="A3381" t="s">
        <v>27</v>
      </c>
      <c r="B3381" t="s">
        <v>73</v>
      </c>
      <c r="C3381" t="s">
        <v>913</v>
      </c>
      <c r="D3381" t="s">
        <v>1091</v>
      </c>
      <c r="E3381" t="s">
        <v>1203</v>
      </c>
      <c r="F3381">
        <v>252064</v>
      </c>
    </row>
    <row r="3382" spans="1:6">
      <c r="A3382" t="s">
        <v>27</v>
      </c>
      <c r="B3382" t="s">
        <v>73</v>
      </c>
      <c r="C3382" t="s">
        <v>913</v>
      </c>
      <c r="D3382" t="s">
        <v>1091</v>
      </c>
      <c r="E3382" t="s">
        <v>1204</v>
      </c>
      <c r="F3382">
        <v>635297</v>
      </c>
    </row>
    <row r="3383" spans="1:6">
      <c r="A3383" t="s">
        <v>27</v>
      </c>
      <c r="B3383" t="s">
        <v>73</v>
      </c>
      <c r="C3383" t="s">
        <v>913</v>
      </c>
      <c r="D3383" t="s">
        <v>1091</v>
      </c>
      <c r="E3383" t="s">
        <v>1205</v>
      </c>
      <c r="F3383">
        <v>1049130</v>
      </c>
    </row>
    <row r="3384" spans="1:6">
      <c r="A3384" t="s">
        <v>27</v>
      </c>
      <c r="B3384" t="s">
        <v>73</v>
      </c>
      <c r="C3384" t="s">
        <v>913</v>
      </c>
      <c r="D3384" t="s">
        <v>1091</v>
      </c>
      <c r="E3384" t="s">
        <v>1206</v>
      </c>
      <c r="F3384">
        <v>901639</v>
      </c>
    </row>
    <row r="3385" spans="1:6">
      <c r="A3385" t="s">
        <v>27</v>
      </c>
      <c r="B3385" t="s">
        <v>73</v>
      </c>
      <c r="C3385" t="s">
        <v>913</v>
      </c>
      <c r="D3385" t="s">
        <v>1091</v>
      </c>
      <c r="E3385" t="s">
        <v>1207</v>
      </c>
      <c r="F3385">
        <v>1363390</v>
      </c>
    </row>
    <row r="3386" spans="1:6">
      <c r="A3386" t="s">
        <v>27</v>
      </c>
      <c r="B3386" t="s">
        <v>73</v>
      </c>
      <c r="C3386" t="s">
        <v>913</v>
      </c>
      <c r="D3386" t="s">
        <v>1091</v>
      </c>
      <c r="E3386" t="s">
        <v>1208</v>
      </c>
      <c r="F3386">
        <v>1153099</v>
      </c>
    </row>
    <row r="3387" spans="1:6">
      <c r="A3387" t="s">
        <v>27</v>
      </c>
      <c r="B3387" t="s">
        <v>73</v>
      </c>
      <c r="C3387" t="s">
        <v>913</v>
      </c>
      <c r="D3387" t="s">
        <v>1091</v>
      </c>
      <c r="E3387" t="s">
        <v>1662</v>
      </c>
      <c r="F3387" t="s">
        <v>1663</v>
      </c>
    </row>
    <row r="3388" spans="1:6">
      <c r="A3388" t="s">
        <v>27</v>
      </c>
      <c r="B3388" t="s">
        <v>73</v>
      </c>
      <c r="C3388" t="s">
        <v>913</v>
      </c>
      <c r="D3388" t="s">
        <v>1091</v>
      </c>
      <c r="E3388" t="s">
        <v>1664</v>
      </c>
      <c r="F3388">
        <v>3883</v>
      </c>
    </row>
    <row r="3389" spans="1:6">
      <c r="A3389" t="s">
        <v>27</v>
      </c>
      <c r="B3389" t="s">
        <v>73</v>
      </c>
      <c r="C3389" t="s">
        <v>913</v>
      </c>
      <c r="D3389" t="s">
        <v>1091</v>
      </c>
      <c r="E3389" t="s">
        <v>1665</v>
      </c>
      <c r="F3389">
        <v>3662</v>
      </c>
    </row>
    <row r="3390" spans="1:6">
      <c r="A3390" t="s">
        <v>27</v>
      </c>
      <c r="B3390" t="s">
        <v>73</v>
      </c>
      <c r="C3390" t="s">
        <v>913</v>
      </c>
      <c r="D3390" t="s">
        <v>1091</v>
      </c>
      <c r="E3390" t="s">
        <v>1666</v>
      </c>
      <c r="F3390">
        <v>4116</v>
      </c>
    </row>
    <row r="3391" spans="1:6">
      <c r="A3391" t="s">
        <v>27</v>
      </c>
      <c r="B3391" t="s">
        <v>73</v>
      </c>
      <c r="C3391" t="s">
        <v>913</v>
      </c>
      <c r="D3391" t="s">
        <v>1091</v>
      </c>
      <c r="E3391" t="s">
        <v>1667</v>
      </c>
      <c r="F3391">
        <v>4229</v>
      </c>
    </row>
    <row r="3392" spans="1:6">
      <c r="A3392" t="s">
        <v>27</v>
      </c>
      <c r="B3392" t="s">
        <v>73</v>
      </c>
      <c r="C3392" t="s">
        <v>913</v>
      </c>
      <c r="D3392" t="s">
        <v>1091</v>
      </c>
      <c r="E3392" t="s">
        <v>1668</v>
      </c>
      <c r="F3392">
        <v>4813</v>
      </c>
    </row>
    <row r="3393" spans="1:6">
      <c r="A3393" t="s">
        <v>27</v>
      </c>
      <c r="B3393" t="s">
        <v>73</v>
      </c>
      <c r="C3393" t="s">
        <v>913</v>
      </c>
      <c r="D3393" t="s">
        <v>1091</v>
      </c>
      <c r="E3393" t="s">
        <v>1669</v>
      </c>
      <c r="F3393">
        <v>3612</v>
      </c>
    </row>
    <row r="3394" spans="1:6">
      <c r="A3394" t="s">
        <v>27</v>
      </c>
      <c r="B3394" t="s">
        <v>73</v>
      </c>
      <c r="C3394" t="s">
        <v>913</v>
      </c>
      <c r="D3394" t="s">
        <v>1091</v>
      </c>
      <c r="E3394" t="s">
        <v>1670</v>
      </c>
      <c r="F3394">
        <v>3891</v>
      </c>
    </row>
    <row r="3395" spans="1:6">
      <c r="A3395" t="s">
        <v>27</v>
      </c>
      <c r="B3395" t="s">
        <v>73</v>
      </c>
      <c r="C3395" t="s">
        <v>913</v>
      </c>
      <c r="D3395" t="s">
        <v>1091</v>
      </c>
      <c r="E3395" t="s">
        <v>1671</v>
      </c>
      <c r="F3395">
        <v>2694</v>
      </c>
    </row>
    <row r="3396" spans="1:6">
      <c r="A3396" t="s">
        <v>27</v>
      </c>
      <c r="B3396" t="s">
        <v>73</v>
      </c>
      <c r="C3396" t="s">
        <v>913</v>
      </c>
      <c r="D3396" t="s">
        <v>1091</v>
      </c>
      <c r="E3396" t="s">
        <v>1672</v>
      </c>
      <c r="F3396">
        <v>1351</v>
      </c>
    </row>
    <row r="3397" spans="1:6">
      <c r="A3397" t="s">
        <v>27</v>
      </c>
      <c r="B3397" t="s">
        <v>73</v>
      </c>
      <c r="C3397" t="s">
        <v>913</v>
      </c>
      <c r="D3397" t="s">
        <v>1091</v>
      </c>
      <c r="E3397" t="s">
        <v>1673</v>
      </c>
      <c r="F3397">
        <v>32251</v>
      </c>
    </row>
    <row r="3398" spans="1:6">
      <c r="A3398" t="s">
        <v>27</v>
      </c>
      <c r="B3398" t="s">
        <v>73</v>
      </c>
      <c r="C3398" t="s">
        <v>913</v>
      </c>
      <c r="D3398" t="s">
        <v>1091</v>
      </c>
      <c r="E3398" t="s">
        <v>1209</v>
      </c>
      <c r="F3398" t="s">
        <v>1397</v>
      </c>
    </row>
    <row r="3399" spans="1:6">
      <c r="A3399" t="s">
        <v>27</v>
      </c>
      <c r="B3399" t="s">
        <v>73</v>
      </c>
      <c r="C3399" t="s">
        <v>913</v>
      </c>
      <c r="D3399" t="s">
        <v>1091</v>
      </c>
      <c r="E3399" t="s">
        <v>1210</v>
      </c>
      <c r="F3399">
        <v>182237</v>
      </c>
    </row>
    <row r="3400" spans="1:6">
      <c r="A3400" t="s">
        <v>27</v>
      </c>
      <c r="B3400" t="s">
        <v>73</v>
      </c>
      <c r="C3400" t="s">
        <v>913</v>
      </c>
      <c r="D3400" t="s">
        <v>1091</v>
      </c>
      <c r="E3400" t="s">
        <v>1211</v>
      </c>
      <c r="F3400">
        <v>22786</v>
      </c>
    </row>
    <row r="3401" spans="1:6">
      <c r="A3401" t="s">
        <v>27</v>
      </c>
      <c r="B3401" t="s">
        <v>73</v>
      </c>
      <c r="C3401" t="s">
        <v>913</v>
      </c>
      <c r="D3401" t="s">
        <v>1091</v>
      </c>
      <c r="E3401" t="s">
        <v>1212</v>
      </c>
      <c r="F3401">
        <v>29482</v>
      </c>
    </row>
    <row r="3402" spans="1:6">
      <c r="A3402" t="s">
        <v>27</v>
      </c>
      <c r="B3402" t="s">
        <v>73</v>
      </c>
      <c r="C3402" t="s">
        <v>913</v>
      </c>
      <c r="D3402" t="s">
        <v>1091</v>
      </c>
      <c r="E3402" t="s">
        <v>1213</v>
      </c>
      <c r="F3402">
        <v>40480</v>
      </c>
    </row>
    <row r="3403" spans="1:6">
      <c r="A3403" t="s">
        <v>27</v>
      </c>
      <c r="B3403" t="s">
        <v>73</v>
      </c>
      <c r="C3403" t="s">
        <v>913</v>
      </c>
      <c r="D3403" t="s">
        <v>1091</v>
      </c>
      <c r="E3403" t="s">
        <v>1214</v>
      </c>
      <c r="F3403">
        <v>34867</v>
      </c>
    </row>
    <row r="3404" spans="1:6">
      <c r="A3404" t="s">
        <v>27</v>
      </c>
      <c r="B3404" t="s">
        <v>73</v>
      </c>
      <c r="C3404" t="s">
        <v>913</v>
      </c>
      <c r="D3404" t="s">
        <v>1091</v>
      </c>
      <c r="E3404" t="s">
        <v>1215</v>
      </c>
      <c r="F3404">
        <v>37569</v>
      </c>
    </row>
    <row r="3405" spans="1:6">
      <c r="A3405" t="s">
        <v>27</v>
      </c>
      <c r="B3405" t="s">
        <v>73</v>
      </c>
      <c r="C3405" t="s">
        <v>913</v>
      </c>
      <c r="D3405" t="s">
        <v>1091</v>
      </c>
      <c r="E3405" t="s">
        <v>1216</v>
      </c>
      <c r="F3405">
        <v>17053</v>
      </c>
    </row>
    <row r="3406" spans="1:6">
      <c r="A3406" t="s">
        <v>27</v>
      </c>
      <c r="B3406" t="s">
        <v>73</v>
      </c>
      <c r="C3406" t="s">
        <v>913</v>
      </c>
      <c r="D3406" t="s">
        <v>1091</v>
      </c>
      <c r="E3406" t="s">
        <v>1217</v>
      </c>
      <c r="F3406" t="s">
        <v>1398</v>
      </c>
    </row>
    <row r="3407" spans="1:6">
      <c r="A3407" t="s">
        <v>27</v>
      </c>
      <c r="B3407" t="s">
        <v>73</v>
      </c>
      <c r="C3407" t="s">
        <v>913</v>
      </c>
      <c r="D3407" t="s">
        <v>1091</v>
      </c>
      <c r="E3407" t="s">
        <v>1218</v>
      </c>
      <c r="F3407">
        <v>0</v>
      </c>
    </row>
    <row r="3408" spans="1:6">
      <c r="A3408" t="s">
        <v>27</v>
      </c>
      <c r="B3408" t="s">
        <v>73</v>
      </c>
      <c r="C3408" t="s">
        <v>913</v>
      </c>
      <c r="D3408" t="s">
        <v>1091</v>
      </c>
      <c r="E3408" t="s">
        <v>1219</v>
      </c>
      <c r="F3408">
        <v>0</v>
      </c>
    </row>
    <row r="3409" spans="1:6">
      <c r="A3409" t="s">
        <v>27</v>
      </c>
      <c r="B3409" t="s">
        <v>73</v>
      </c>
      <c r="C3409" t="s">
        <v>913</v>
      </c>
      <c r="D3409" t="s">
        <v>1091</v>
      </c>
      <c r="E3409" t="s">
        <v>1220</v>
      </c>
      <c r="F3409">
        <v>0</v>
      </c>
    </row>
    <row r="3410" spans="1:6">
      <c r="A3410" t="s">
        <v>27</v>
      </c>
      <c r="B3410" t="s">
        <v>73</v>
      </c>
      <c r="C3410" t="s">
        <v>913</v>
      </c>
      <c r="D3410" t="s">
        <v>1091</v>
      </c>
      <c r="E3410" t="s">
        <v>1221</v>
      </c>
      <c r="F3410">
        <v>0</v>
      </c>
    </row>
    <row r="3411" spans="1:6">
      <c r="A3411" t="s">
        <v>27</v>
      </c>
      <c r="B3411" t="s">
        <v>73</v>
      </c>
      <c r="C3411" t="s">
        <v>913</v>
      </c>
      <c r="D3411" t="s">
        <v>1091</v>
      </c>
      <c r="E3411" t="s">
        <v>1222</v>
      </c>
      <c r="F3411">
        <v>0</v>
      </c>
    </row>
    <row r="3412" spans="1:6">
      <c r="A3412" t="s">
        <v>27</v>
      </c>
      <c r="B3412" t="s">
        <v>73</v>
      </c>
      <c r="C3412" t="s">
        <v>913</v>
      </c>
      <c r="D3412" t="s">
        <v>1091</v>
      </c>
      <c r="E3412" t="s">
        <v>1223</v>
      </c>
      <c r="F3412">
        <v>0</v>
      </c>
    </row>
    <row r="3413" spans="1:6">
      <c r="A3413" t="s">
        <v>27</v>
      </c>
      <c r="B3413" t="s">
        <v>73</v>
      </c>
      <c r="C3413" t="s">
        <v>913</v>
      </c>
      <c r="D3413" t="s">
        <v>1091</v>
      </c>
      <c r="E3413" t="s">
        <v>1224</v>
      </c>
      <c r="F3413">
        <v>0</v>
      </c>
    </row>
    <row r="3414" spans="1:6">
      <c r="A3414" t="s">
        <v>27</v>
      </c>
      <c r="B3414" t="s">
        <v>73</v>
      </c>
      <c r="C3414" t="s">
        <v>913</v>
      </c>
      <c r="D3414" t="s">
        <v>1091</v>
      </c>
      <c r="E3414" t="s">
        <v>1674</v>
      </c>
      <c r="F3414" t="s">
        <v>1675</v>
      </c>
    </row>
    <row r="3415" spans="1:6">
      <c r="A3415" t="s">
        <v>27</v>
      </c>
      <c r="B3415" t="s">
        <v>73</v>
      </c>
      <c r="C3415" t="s">
        <v>913</v>
      </c>
      <c r="D3415" t="s">
        <v>1091</v>
      </c>
      <c r="E3415" t="s">
        <v>1676</v>
      </c>
      <c r="F3415">
        <v>36593.68</v>
      </c>
    </row>
    <row r="3416" spans="1:6">
      <c r="A3416" t="s">
        <v>27</v>
      </c>
      <c r="B3416" t="s">
        <v>73</v>
      </c>
      <c r="C3416" t="s">
        <v>913</v>
      </c>
      <c r="D3416" t="s">
        <v>1091</v>
      </c>
      <c r="E3416" t="s">
        <v>1677</v>
      </c>
      <c r="F3416">
        <v>24803.55</v>
      </c>
    </row>
    <row r="3417" spans="1:6">
      <c r="A3417" t="s">
        <v>27</v>
      </c>
      <c r="B3417" t="s">
        <v>73</v>
      </c>
      <c r="C3417" t="s">
        <v>913</v>
      </c>
      <c r="D3417" t="s">
        <v>1091</v>
      </c>
      <c r="E3417" t="s">
        <v>1678</v>
      </c>
      <c r="F3417">
        <v>22969.66</v>
      </c>
    </row>
    <row r="3418" spans="1:6">
      <c r="A3418" t="s">
        <v>27</v>
      </c>
      <c r="B3418" t="s">
        <v>73</v>
      </c>
      <c r="C3418" t="s">
        <v>913</v>
      </c>
      <c r="D3418" t="s">
        <v>1091</v>
      </c>
      <c r="E3418" t="s">
        <v>1679</v>
      </c>
      <c r="F3418">
        <v>17052.63</v>
      </c>
    </row>
    <row r="3419" spans="1:6">
      <c r="A3419" t="s">
        <v>27</v>
      </c>
      <c r="B3419" t="s">
        <v>73</v>
      </c>
      <c r="C3419" t="s">
        <v>913</v>
      </c>
      <c r="D3419" t="s">
        <v>1091</v>
      </c>
      <c r="E3419" t="s">
        <v>1680</v>
      </c>
      <c r="F3419">
        <v>37568.55</v>
      </c>
    </row>
    <row r="3420" spans="1:6">
      <c r="A3420" t="s">
        <v>27</v>
      </c>
      <c r="B3420" t="s">
        <v>73</v>
      </c>
      <c r="C3420" t="s">
        <v>913</v>
      </c>
      <c r="D3420" t="s">
        <v>1091</v>
      </c>
      <c r="E3420" t="s">
        <v>1681</v>
      </c>
      <c r="F3420">
        <v>34867.3</v>
      </c>
    </row>
    <row r="3421" spans="1:6">
      <c r="A3421" t="s">
        <v>27</v>
      </c>
      <c r="B3421" t="s">
        <v>73</v>
      </c>
      <c r="C3421" t="s">
        <v>913</v>
      </c>
      <c r="D3421" t="s">
        <v>1091</v>
      </c>
      <c r="E3421" t="s">
        <v>1682</v>
      </c>
      <c r="F3421">
        <v>40480.4</v>
      </c>
    </row>
    <row r="3422" spans="1:6">
      <c r="A3422" t="s">
        <v>27</v>
      </c>
      <c r="B3422" t="s">
        <v>73</v>
      </c>
      <c r="C3422" t="s">
        <v>913</v>
      </c>
      <c r="D3422" t="s">
        <v>1091</v>
      </c>
      <c r="E3422" t="s">
        <v>1683</v>
      </c>
      <c r="F3422">
        <v>29482.28</v>
      </c>
    </row>
    <row r="3423" spans="1:6">
      <c r="A3423" t="s">
        <v>27</v>
      </c>
      <c r="B3423" t="s">
        <v>73</v>
      </c>
      <c r="C3423" t="s">
        <v>913</v>
      </c>
      <c r="D3423" t="s">
        <v>1091</v>
      </c>
      <c r="E3423" t="s">
        <v>1684</v>
      </c>
      <c r="F3423">
        <v>22785.8</v>
      </c>
    </row>
    <row r="3424" spans="1:6">
      <c r="A3424" t="s">
        <v>27</v>
      </c>
      <c r="B3424" t="s">
        <v>73</v>
      </c>
      <c r="C3424" t="s">
        <v>913</v>
      </c>
      <c r="D3424" t="s">
        <v>1091</v>
      </c>
      <c r="E3424" t="s">
        <v>1685</v>
      </c>
      <c r="F3424">
        <v>266603.85</v>
      </c>
    </row>
    <row r="3425" spans="1:6">
      <c r="A3425" t="s">
        <v>27</v>
      </c>
      <c r="B3425" t="s">
        <v>73</v>
      </c>
      <c r="C3425" t="s">
        <v>913</v>
      </c>
      <c r="D3425" t="s">
        <v>1091</v>
      </c>
      <c r="E3425" t="s">
        <v>1225</v>
      </c>
      <c r="F3425" t="s">
        <v>1226</v>
      </c>
    </row>
    <row r="3426" spans="1:6">
      <c r="A3426" t="s">
        <v>27</v>
      </c>
      <c r="B3426" t="s">
        <v>73</v>
      </c>
      <c r="C3426" t="s">
        <v>913</v>
      </c>
      <c r="D3426" t="s">
        <v>1091</v>
      </c>
      <c r="E3426" t="s">
        <v>1227</v>
      </c>
      <c r="F3426" t="s">
        <v>1506</v>
      </c>
    </row>
    <row r="3427" spans="1:6">
      <c r="A3427" t="s">
        <v>27</v>
      </c>
      <c r="B3427" t="s">
        <v>73</v>
      </c>
      <c r="C3427" t="s">
        <v>913</v>
      </c>
      <c r="D3427" t="s">
        <v>1091</v>
      </c>
      <c r="E3427" t="s">
        <v>1228</v>
      </c>
      <c r="F3427" t="s">
        <v>1382</v>
      </c>
    </row>
    <row r="3428" spans="1:6">
      <c r="A3428" t="s">
        <v>27</v>
      </c>
      <c r="B3428" t="s">
        <v>73</v>
      </c>
      <c r="C3428" t="s">
        <v>913</v>
      </c>
      <c r="D3428" t="s">
        <v>1091</v>
      </c>
      <c r="E3428" t="s">
        <v>1230</v>
      </c>
      <c r="F3428" t="s">
        <v>1547</v>
      </c>
    </row>
    <row r="3429" spans="1:6">
      <c r="A3429" t="s">
        <v>27</v>
      </c>
      <c r="B3429" t="s">
        <v>73</v>
      </c>
      <c r="C3429" t="s">
        <v>913</v>
      </c>
      <c r="D3429" t="s">
        <v>1091</v>
      </c>
      <c r="E3429" t="s">
        <v>1231</v>
      </c>
      <c r="F3429" t="s">
        <v>1407</v>
      </c>
    </row>
    <row r="3430" spans="1:6">
      <c r="A3430" t="s">
        <v>27</v>
      </c>
      <c r="B3430" t="s">
        <v>73</v>
      </c>
      <c r="C3430" t="s">
        <v>913</v>
      </c>
      <c r="D3430" t="s">
        <v>1091</v>
      </c>
      <c r="E3430" t="s">
        <v>1233</v>
      </c>
      <c r="F3430" t="s">
        <v>1315</v>
      </c>
    </row>
    <row r="3431" spans="1:6">
      <c r="A3431" t="s">
        <v>27</v>
      </c>
      <c r="B3431" t="s">
        <v>73</v>
      </c>
      <c r="C3431" t="s">
        <v>913</v>
      </c>
      <c r="D3431" t="s">
        <v>1091</v>
      </c>
      <c r="E3431" t="s">
        <v>1234</v>
      </c>
      <c r="F3431" t="s">
        <v>1315</v>
      </c>
    </row>
    <row r="3432" spans="1:6">
      <c r="A3432" t="s">
        <v>27</v>
      </c>
      <c r="B3432" t="s">
        <v>73</v>
      </c>
      <c r="C3432" t="s">
        <v>913</v>
      </c>
      <c r="D3432" t="s">
        <v>1091</v>
      </c>
      <c r="E3432" t="s">
        <v>1235</v>
      </c>
      <c r="F3432" t="s">
        <v>1236</v>
      </c>
    </row>
    <row r="3433" spans="1:6">
      <c r="A3433" t="s">
        <v>27</v>
      </c>
      <c r="B3433" t="s">
        <v>73</v>
      </c>
      <c r="C3433" t="s">
        <v>913</v>
      </c>
      <c r="D3433" t="s">
        <v>1091</v>
      </c>
      <c r="E3433" t="s">
        <v>1237</v>
      </c>
      <c r="F3433" t="s">
        <v>1686</v>
      </c>
    </row>
    <row r="3434" spans="1:6">
      <c r="A3434" t="s">
        <v>27</v>
      </c>
      <c r="B3434" t="s">
        <v>73</v>
      </c>
      <c r="C3434" t="s">
        <v>913</v>
      </c>
      <c r="D3434" t="s">
        <v>1091</v>
      </c>
      <c r="E3434" t="s">
        <v>1238</v>
      </c>
      <c r="F3434" t="s">
        <v>1313</v>
      </c>
    </row>
    <row r="3435" spans="1:6">
      <c r="A3435" t="s">
        <v>27</v>
      </c>
      <c r="B3435" t="s">
        <v>73</v>
      </c>
      <c r="C3435" t="s">
        <v>913</v>
      </c>
      <c r="D3435" t="s">
        <v>1091</v>
      </c>
      <c r="E3435" t="s">
        <v>1240</v>
      </c>
      <c r="F3435" t="s">
        <v>1317</v>
      </c>
    </row>
    <row r="3436" spans="1:6">
      <c r="A3436" t="s">
        <v>27</v>
      </c>
      <c r="B3436" t="s">
        <v>73</v>
      </c>
      <c r="C3436" t="s">
        <v>913</v>
      </c>
      <c r="D3436" t="s">
        <v>1091</v>
      </c>
      <c r="E3436" t="s">
        <v>1241</v>
      </c>
      <c r="F3436" t="s">
        <v>1318</v>
      </c>
    </row>
    <row r="3437" spans="1:6">
      <c r="A3437" t="s">
        <v>27</v>
      </c>
      <c r="B3437" t="s">
        <v>73</v>
      </c>
      <c r="C3437" t="s">
        <v>913</v>
      </c>
      <c r="D3437" t="s">
        <v>1091</v>
      </c>
      <c r="E3437" t="s">
        <v>1243</v>
      </c>
      <c r="F3437" t="s">
        <v>1495</v>
      </c>
    </row>
    <row r="3438" spans="1:6">
      <c r="A3438" t="s">
        <v>27</v>
      </c>
      <c r="B3438" t="s">
        <v>73</v>
      </c>
      <c r="C3438" t="s">
        <v>913</v>
      </c>
      <c r="D3438" t="s">
        <v>1091</v>
      </c>
      <c r="E3438" t="s">
        <v>1244</v>
      </c>
      <c r="F3438" t="s">
        <v>1229</v>
      </c>
    </row>
    <row r="3439" spans="1:6">
      <c r="A3439" t="s">
        <v>27</v>
      </c>
      <c r="B3439" t="s">
        <v>73</v>
      </c>
      <c r="C3439" t="s">
        <v>913</v>
      </c>
      <c r="D3439" t="s">
        <v>1091</v>
      </c>
      <c r="E3439" t="s">
        <v>1687</v>
      </c>
      <c r="F3439" t="s">
        <v>1688</v>
      </c>
    </row>
    <row r="3440" spans="1:6">
      <c r="A3440" t="s">
        <v>27</v>
      </c>
      <c r="B3440" t="s">
        <v>73</v>
      </c>
      <c r="C3440" t="s">
        <v>913</v>
      </c>
      <c r="D3440" t="s">
        <v>1091</v>
      </c>
      <c r="E3440" t="s">
        <v>1689</v>
      </c>
      <c r="F3440">
        <v>287</v>
      </c>
    </row>
    <row r="3441" spans="1:6">
      <c r="A3441" t="s">
        <v>27</v>
      </c>
      <c r="B3441" t="s">
        <v>73</v>
      </c>
      <c r="C3441" t="s">
        <v>913</v>
      </c>
      <c r="D3441" t="s">
        <v>1091</v>
      </c>
      <c r="E3441" t="s">
        <v>1690</v>
      </c>
      <c r="F3441">
        <v>164</v>
      </c>
    </row>
    <row r="3442" spans="1:6">
      <c r="A3442" t="s">
        <v>27</v>
      </c>
      <c r="B3442" t="s">
        <v>73</v>
      </c>
      <c r="C3442" t="s">
        <v>913</v>
      </c>
      <c r="D3442" t="s">
        <v>1091</v>
      </c>
      <c r="E3442" t="s">
        <v>1691</v>
      </c>
      <c r="F3442">
        <v>209</v>
      </c>
    </row>
    <row r="3443" spans="1:6">
      <c r="A3443" t="s">
        <v>27</v>
      </c>
      <c r="B3443" t="s">
        <v>73</v>
      </c>
      <c r="C3443" t="s">
        <v>913</v>
      </c>
      <c r="D3443" t="s">
        <v>1091</v>
      </c>
      <c r="E3443" t="s">
        <v>1692</v>
      </c>
      <c r="F3443">
        <v>221</v>
      </c>
    </row>
    <row r="3444" spans="1:6">
      <c r="A3444" t="s">
        <v>27</v>
      </c>
      <c r="B3444" t="s">
        <v>73</v>
      </c>
      <c r="C3444" t="s">
        <v>913</v>
      </c>
      <c r="D3444" t="s">
        <v>1091</v>
      </c>
      <c r="E3444" t="s">
        <v>1693</v>
      </c>
      <c r="F3444">
        <v>254</v>
      </c>
    </row>
    <row r="3445" spans="1:6">
      <c r="A3445" t="s">
        <v>27</v>
      </c>
      <c r="B3445" t="s">
        <v>73</v>
      </c>
      <c r="C3445" t="s">
        <v>913</v>
      </c>
      <c r="D3445" t="s">
        <v>1091</v>
      </c>
      <c r="E3445" t="s">
        <v>1694</v>
      </c>
      <c r="F3445">
        <v>248</v>
      </c>
    </row>
    <row r="3446" spans="1:6">
      <c r="A3446" t="s">
        <v>27</v>
      </c>
      <c r="B3446" t="s">
        <v>73</v>
      </c>
      <c r="C3446" t="s">
        <v>913</v>
      </c>
      <c r="D3446" t="s">
        <v>1091</v>
      </c>
      <c r="E3446" t="s">
        <v>1695</v>
      </c>
      <c r="F3446">
        <v>293</v>
      </c>
    </row>
    <row r="3447" spans="1:6">
      <c r="A3447" t="s">
        <v>27</v>
      </c>
      <c r="B3447" t="s">
        <v>73</v>
      </c>
      <c r="C3447" t="s">
        <v>913</v>
      </c>
      <c r="D3447" t="s">
        <v>1091</v>
      </c>
      <c r="E3447" t="s">
        <v>1696</v>
      </c>
      <c r="F3447">
        <v>296</v>
      </c>
    </row>
    <row r="3448" spans="1:6">
      <c r="A3448" t="s">
        <v>27</v>
      </c>
      <c r="B3448" t="s">
        <v>73</v>
      </c>
      <c r="C3448" t="s">
        <v>913</v>
      </c>
      <c r="D3448" t="s">
        <v>1091</v>
      </c>
      <c r="E3448" t="s">
        <v>1697</v>
      </c>
      <c r="F3448">
        <v>64</v>
      </c>
    </row>
    <row r="3449" spans="1:6">
      <c r="A3449" t="s">
        <v>27</v>
      </c>
      <c r="B3449" t="s">
        <v>73</v>
      </c>
      <c r="C3449" t="s">
        <v>913</v>
      </c>
      <c r="D3449" t="s">
        <v>1091</v>
      </c>
      <c r="E3449" t="s">
        <v>1698</v>
      </c>
      <c r="F3449">
        <v>2036</v>
      </c>
    </row>
    <row r="3450" spans="1:6">
      <c r="A3450" t="s">
        <v>27</v>
      </c>
      <c r="B3450" t="s">
        <v>73</v>
      </c>
      <c r="C3450" t="s">
        <v>913</v>
      </c>
      <c r="D3450" t="s">
        <v>1091</v>
      </c>
      <c r="E3450" t="s">
        <v>1245</v>
      </c>
      <c r="F3450" t="s">
        <v>1246</v>
      </c>
    </row>
    <row r="3451" spans="1:6">
      <c r="A3451" t="s">
        <v>27</v>
      </c>
      <c r="B3451" t="s">
        <v>73</v>
      </c>
      <c r="C3451" t="s">
        <v>913</v>
      </c>
      <c r="D3451" t="s">
        <v>1091</v>
      </c>
      <c r="E3451" t="s">
        <v>1247</v>
      </c>
      <c r="F3451">
        <v>1018011</v>
      </c>
    </row>
    <row r="3452" spans="1:6">
      <c r="A3452" t="s">
        <v>27</v>
      </c>
      <c r="B3452" t="s">
        <v>73</v>
      </c>
      <c r="C3452" t="s">
        <v>913</v>
      </c>
      <c r="D3452" t="s">
        <v>1091</v>
      </c>
      <c r="E3452" t="s">
        <v>1248</v>
      </c>
      <c r="F3452">
        <v>545508</v>
      </c>
    </row>
    <row r="3453" spans="1:6">
      <c r="A3453" t="s">
        <v>27</v>
      </c>
      <c r="B3453" t="s">
        <v>73</v>
      </c>
      <c r="C3453" t="s">
        <v>913</v>
      </c>
      <c r="D3453" t="s">
        <v>1091</v>
      </c>
      <c r="E3453" t="s">
        <v>1249</v>
      </c>
      <c r="F3453">
        <v>233404</v>
      </c>
    </row>
    <row r="3454" spans="1:6">
      <c r="A3454" t="s">
        <v>27</v>
      </c>
      <c r="B3454" t="s">
        <v>73</v>
      </c>
      <c r="C3454" t="s">
        <v>913</v>
      </c>
      <c r="D3454" t="s">
        <v>1091</v>
      </c>
      <c r="E3454" t="s">
        <v>1250</v>
      </c>
      <c r="F3454">
        <v>144406</v>
      </c>
    </row>
    <row r="3455" spans="1:6">
      <c r="A3455" t="s">
        <v>27</v>
      </c>
      <c r="B3455" t="s">
        <v>73</v>
      </c>
      <c r="C3455" t="s">
        <v>913</v>
      </c>
      <c r="D3455" t="s">
        <v>1091</v>
      </c>
      <c r="E3455" t="s">
        <v>1251</v>
      </c>
      <c r="F3455">
        <v>40983</v>
      </c>
    </row>
    <row r="3456" spans="1:6">
      <c r="A3456" t="s">
        <v>27</v>
      </c>
      <c r="B3456" t="s">
        <v>73</v>
      </c>
      <c r="C3456" t="s">
        <v>913</v>
      </c>
      <c r="D3456" t="s">
        <v>1091</v>
      </c>
      <c r="E3456" t="s">
        <v>1252</v>
      </c>
      <c r="F3456">
        <v>24658</v>
      </c>
    </row>
    <row r="3457" spans="1:6">
      <c r="A3457" t="s">
        <v>27</v>
      </c>
      <c r="B3457" t="s">
        <v>73</v>
      </c>
      <c r="C3457" t="s">
        <v>913</v>
      </c>
      <c r="D3457" t="s">
        <v>1091</v>
      </c>
      <c r="E3457" t="s">
        <v>1253</v>
      </c>
      <c r="F3457">
        <v>29052</v>
      </c>
    </row>
    <row r="3458" spans="1:6">
      <c r="A3458" t="s">
        <v>27</v>
      </c>
      <c r="B3458" t="s">
        <v>73</v>
      </c>
      <c r="C3458" t="s">
        <v>913</v>
      </c>
      <c r="D3458" t="s">
        <v>1091</v>
      </c>
      <c r="E3458" t="s">
        <v>1254</v>
      </c>
      <c r="F3458" t="s">
        <v>1255</v>
      </c>
    </row>
    <row r="3459" spans="1:6">
      <c r="A3459" t="s">
        <v>27</v>
      </c>
      <c r="B3459" t="s">
        <v>73</v>
      </c>
      <c r="C3459" t="s">
        <v>913</v>
      </c>
      <c r="D3459" t="s">
        <v>1091</v>
      </c>
      <c r="E3459" t="s">
        <v>1256</v>
      </c>
      <c r="F3459">
        <v>4966</v>
      </c>
    </row>
    <row r="3460" spans="1:6">
      <c r="A3460" t="s">
        <v>27</v>
      </c>
      <c r="B3460" t="s">
        <v>73</v>
      </c>
      <c r="C3460" t="s">
        <v>913</v>
      </c>
      <c r="D3460" t="s">
        <v>1091</v>
      </c>
      <c r="E3460" t="s">
        <v>1257</v>
      </c>
      <c r="F3460">
        <v>2072</v>
      </c>
    </row>
    <row r="3461" spans="1:6">
      <c r="A3461" t="s">
        <v>27</v>
      </c>
      <c r="B3461" t="s">
        <v>73</v>
      </c>
      <c r="C3461" t="s">
        <v>913</v>
      </c>
      <c r="D3461" t="s">
        <v>1091</v>
      </c>
      <c r="E3461" t="s">
        <v>1258</v>
      </c>
      <c r="F3461">
        <v>1007</v>
      </c>
    </row>
    <row r="3462" spans="1:6">
      <c r="A3462" t="s">
        <v>27</v>
      </c>
      <c r="B3462" t="s">
        <v>73</v>
      </c>
      <c r="C3462" t="s">
        <v>913</v>
      </c>
      <c r="D3462" t="s">
        <v>1091</v>
      </c>
      <c r="E3462" t="s">
        <v>1259</v>
      </c>
      <c r="F3462">
        <v>755</v>
      </c>
    </row>
    <row r="3463" spans="1:6">
      <c r="A3463" t="s">
        <v>27</v>
      </c>
      <c r="B3463" t="s">
        <v>73</v>
      </c>
      <c r="C3463" t="s">
        <v>913</v>
      </c>
      <c r="D3463" t="s">
        <v>1091</v>
      </c>
      <c r="E3463" t="s">
        <v>1260</v>
      </c>
      <c r="F3463">
        <v>399</v>
      </c>
    </row>
    <row r="3464" spans="1:6">
      <c r="A3464" t="s">
        <v>27</v>
      </c>
      <c r="B3464" t="s">
        <v>73</v>
      </c>
      <c r="C3464" t="s">
        <v>913</v>
      </c>
      <c r="D3464" t="s">
        <v>1091</v>
      </c>
      <c r="E3464" t="s">
        <v>1261</v>
      </c>
      <c r="F3464">
        <v>434</v>
      </c>
    </row>
    <row r="3465" spans="1:6">
      <c r="A3465" t="s">
        <v>27</v>
      </c>
      <c r="B3465" t="s">
        <v>73</v>
      </c>
      <c r="C3465" t="s">
        <v>913</v>
      </c>
      <c r="D3465" t="s">
        <v>1091</v>
      </c>
      <c r="E3465" t="s">
        <v>1262</v>
      </c>
      <c r="F3465">
        <v>299</v>
      </c>
    </row>
    <row r="3466" spans="1:6">
      <c r="A3466" t="s">
        <v>27</v>
      </c>
      <c r="B3466" t="s">
        <v>73</v>
      </c>
      <c r="C3466" t="s">
        <v>913</v>
      </c>
      <c r="D3466" t="s">
        <v>1091</v>
      </c>
      <c r="E3466" t="s">
        <v>1263</v>
      </c>
      <c r="F3466" t="s">
        <v>1131</v>
      </c>
    </row>
    <row r="3467" spans="1:6">
      <c r="A3467" t="s">
        <v>27</v>
      </c>
      <c r="B3467" t="s">
        <v>73</v>
      </c>
      <c r="C3467" t="s">
        <v>913</v>
      </c>
      <c r="D3467" t="s">
        <v>1091</v>
      </c>
      <c r="E3467" t="s">
        <v>1264</v>
      </c>
      <c r="F3467" t="s">
        <v>1699</v>
      </c>
    </row>
    <row r="3468" spans="1:6">
      <c r="A3468" t="s">
        <v>27</v>
      </c>
      <c r="B3468" t="s">
        <v>73</v>
      </c>
      <c r="C3468" t="s">
        <v>913</v>
      </c>
      <c r="D3468" t="s">
        <v>1091</v>
      </c>
      <c r="E3468" t="s">
        <v>1265</v>
      </c>
      <c r="F3468" t="s">
        <v>1500</v>
      </c>
    </row>
    <row r="3469" spans="1:6">
      <c r="A3469" t="s">
        <v>27</v>
      </c>
      <c r="B3469" t="s">
        <v>73</v>
      </c>
      <c r="C3469" t="s">
        <v>913</v>
      </c>
      <c r="D3469" t="s">
        <v>1091</v>
      </c>
      <c r="E3469" t="s">
        <v>1266</v>
      </c>
      <c r="F3469" t="s">
        <v>1391</v>
      </c>
    </row>
    <row r="3470" spans="1:6">
      <c r="A3470" t="s">
        <v>27</v>
      </c>
      <c r="B3470" t="s">
        <v>73</v>
      </c>
      <c r="C3470" t="s">
        <v>913</v>
      </c>
      <c r="D3470" t="s">
        <v>1091</v>
      </c>
      <c r="E3470" t="s">
        <v>1268</v>
      </c>
      <c r="F3470" t="s">
        <v>1548</v>
      </c>
    </row>
    <row r="3471" spans="1:6">
      <c r="A3471" t="s">
        <v>27</v>
      </c>
      <c r="B3471" t="s">
        <v>73</v>
      </c>
      <c r="C3471" t="s">
        <v>913</v>
      </c>
      <c r="D3471" t="s">
        <v>1091</v>
      </c>
      <c r="E3471" t="s">
        <v>1269</v>
      </c>
      <c r="F3471" t="s">
        <v>1409</v>
      </c>
    </row>
    <row r="3472" spans="1:6">
      <c r="A3472" t="s">
        <v>27</v>
      </c>
      <c r="B3472" t="s">
        <v>73</v>
      </c>
      <c r="C3472" t="s">
        <v>913</v>
      </c>
      <c r="D3472" t="s">
        <v>1091</v>
      </c>
      <c r="E3472" t="s">
        <v>1271</v>
      </c>
      <c r="F3472" t="s">
        <v>1321</v>
      </c>
    </row>
    <row r="3473" spans="1:6">
      <c r="A3473" t="s">
        <v>27</v>
      </c>
      <c r="B3473" t="s">
        <v>73</v>
      </c>
      <c r="C3473" t="s">
        <v>913</v>
      </c>
      <c r="D3473" t="s">
        <v>1091</v>
      </c>
      <c r="E3473" t="s">
        <v>1272</v>
      </c>
      <c r="F3473" t="s">
        <v>1321</v>
      </c>
    </row>
    <row r="3474" spans="1:6">
      <c r="A3474" t="s">
        <v>27</v>
      </c>
      <c r="B3474" t="s">
        <v>73</v>
      </c>
      <c r="C3474" t="s">
        <v>913</v>
      </c>
      <c r="D3474" t="s">
        <v>1273</v>
      </c>
      <c r="E3474" t="s">
        <v>992</v>
      </c>
      <c r="F3474" t="s">
        <v>1395</v>
      </c>
    </row>
    <row r="3475" spans="1:6">
      <c r="A3475" t="s">
        <v>27</v>
      </c>
      <c r="B3475" t="s">
        <v>73</v>
      </c>
      <c r="C3475" t="s">
        <v>913</v>
      </c>
      <c r="D3475" t="s">
        <v>1273</v>
      </c>
      <c r="E3475" t="s">
        <v>1304</v>
      </c>
      <c r="F3475" t="s">
        <v>1511</v>
      </c>
    </row>
    <row r="3476" spans="1:6">
      <c r="A3476" t="s">
        <v>27</v>
      </c>
      <c r="B3476" t="s">
        <v>73</v>
      </c>
      <c r="C3476" t="s">
        <v>913</v>
      </c>
      <c r="D3476" t="s">
        <v>1273</v>
      </c>
      <c r="E3476" t="s">
        <v>1093</v>
      </c>
      <c r="F3476" t="s">
        <v>1277</v>
      </c>
    </row>
    <row r="3477" spans="1:6">
      <c r="A3477" t="s">
        <v>27</v>
      </c>
      <c r="B3477" t="s">
        <v>73</v>
      </c>
      <c r="C3477" t="s">
        <v>913</v>
      </c>
      <c r="D3477" t="s">
        <v>1273</v>
      </c>
      <c r="E3477" t="s">
        <v>1279</v>
      </c>
      <c r="F3477" t="s">
        <v>1511</v>
      </c>
    </row>
    <row r="3478" spans="1:6">
      <c r="A3478" t="s">
        <v>27</v>
      </c>
      <c r="B3478" t="s">
        <v>73</v>
      </c>
      <c r="C3478" t="s">
        <v>913</v>
      </c>
      <c r="D3478" t="s">
        <v>1273</v>
      </c>
      <c r="E3478" t="s">
        <v>1576</v>
      </c>
      <c r="F3478" t="s">
        <v>1280</v>
      </c>
    </row>
    <row r="3479" spans="1:6">
      <c r="A3479" t="s">
        <v>27</v>
      </c>
      <c r="B3479" t="s">
        <v>73</v>
      </c>
      <c r="C3479" t="s">
        <v>913</v>
      </c>
      <c r="D3479" t="s">
        <v>1273</v>
      </c>
      <c r="E3479" t="s">
        <v>1577</v>
      </c>
      <c r="F3479" t="s">
        <v>1282</v>
      </c>
    </row>
    <row r="3480" spans="1:6">
      <c r="A3480" t="s">
        <v>27</v>
      </c>
      <c r="B3480" t="s">
        <v>73</v>
      </c>
      <c r="C3480" t="s">
        <v>913</v>
      </c>
      <c r="D3480" t="s">
        <v>1273</v>
      </c>
      <c r="E3480" t="s">
        <v>1002</v>
      </c>
      <c r="F3480" t="s">
        <v>1284</v>
      </c>
    </row>
    <row r="3481" spans="1:6">
      <c r="A3481" t="s">
        <v>27</v>
      </c>
      <c r="B3481" t="s">
        <v>73</v>
      </c>
      <c r="C3481" t="s">
        <v>913</v>
      </c>
      <c r="D3481" t="s">
        <v>1273</v>
      </c>
      <c r="E3481" t="s">
        <v>1288</v>
      </c>
      <c r="F3481" t="s">
        <v>377</v>
      </c>
    </row>
    <row r="3482" spans="1:6">
      <c r="A3482" t="s">
        <v>27</v>
      </c>
      <c r="B3482" t="s">
        <v>73</v>
      </c>
      <c r="C3482" t="s">
        <v>913</v>
      </c>
      <c r="D3482" t="s">
        <v>1273</v>
      </c>
      <c r="E3482" t="s">
        <v>1096</v>
      </c>
      <c r="F3482">
        <v>18250</v>
      </c>
    </row>
    <row r="3483" spans="1:6">
      <c r="A3483" t="s">
        <v>27</v>
      </c>
      <c r="B3483" t="s">
        <v>73</v>
      </c>
      <c r="C3483" t="s">
        <v>913</v>
      </c>
      <c r="D3483" t="s">
        <v>1273</v>
      </c>
      <c r="E3483" t="s">
        <v>1004</v>
      </c>
      <c r="F3483">
        <v>7959</v>
      </c>
    </row>
    <row r="3484" spans="1:6">
      <c r="A3484" t="s">
        <v>27</v>
      </c>
      <c r="B3484" t="s">
        <v>73</v>
      </c>
      <c r="C3484" t="s">
        <v>913</v>
      </c>
      <c r="D3484" t="s">
        <v>1273</v>
      </c>
      <c r="E3484" t="s">
        <v>1289</v>
      </c>
      <c r="F3484" t="s">
        <v>379</v>
      </c>
    </row>
    <row r="3485" spans="1:6">
      <c r="A3485" t="s">
        <v>27</v>
      </c>
      <c r="B3485" t="s">
        <v>73</v>
      </c>
      <c r="C3485" t="s">
        <v>913</v>
      </c>
      <c r="D3485" t="s">
        <v>1273</v>
      </c>
      <c r="E3485" t="s">
        <v>1290</v>
      </c>
      <c r="F3485">
        <v>75932</v>
      </c>
    </row>
    <row r="3486" spans="1:6">
      <c r="A3486" t="s">
        <v>27</v>
      </c>
      <c r="B3486" t="s">
        <v>73</v>
      </c>
      <c r="C3486" t="s">
        <v>913</v>
      </c>
      <c r="D3486" t="s">
        <v>1273</v>
      </c>
      <c r="E3486" t="s">
        <v>1291</v>
      </c>
      <c r="F3486">
        <v>206829</v>
      </c>
    </row>
    <row r="3487" spans="1:6">
      <c r="A3487" t="s">
        <v>27</v>
      </c>
      <c r="B3487" t="s">
        <v>73</v>
      </c>
      <c r="C3487" t="s">
        <v>913</v>
      </c>
      <c r="D3487" t="s">
        <v>1273</v>
      </c>
      <c r="E3487" t="s">
        <v>1008</v>
      </c>
      <c r="F3487" t="s">
        <v>381</v>
      </c>
    </row>
    <row r="3488" spans="1:6">
      <c r="A3488" t="s">
        <v>27</v>
      </c>
      <c r="B3488" t="s">
        <v>73</v>
      </c>
      <c r="C3488" t="s">
        <v>913</v>
      </c>
      <c r="D3488" t="s">
        <v>1273</v>
      </c>
      <c r="E3488" t="s">
        <v>1010</v>
      </c>
      <c r="F3488">
        <v>8710</v>
      </c>
    </row>
    <row r="3489" spans="1:6">
      <c r="A3489" t="s">
        <v>27</v>
      </c>
      <c r="B3489" t="s">
        <v>73</v>
      </c>
      <c r="C3489" t="s">
        <v>913</v>
      </c>
      <c r="D3489" t="s">
        <v>1273</v>
      </c>
      <c r="E3489" t="s">
        <v>1012</v>
      </c>
      <c r="F3489">
        <v>316895</v>
      </c>
    </row>
    <row r="3490" spans="1:6">
      <c r="A3490" t="s">
        <v>27</v>
      </c>
      <c r="B3490" t="s">
        <v>73</v>
      </c>
      <c r="C3490" t="s">
        <v>913</v>
      </c>
      <c r="D3490" t="s">
        <v>1273</v>
      </c>
      <c r="E3490" t="s">
        <v>1035</v>
      </c>
      <c r="F3490" t="s">
        <v>383</v>
      </c>
    </row>
    <row r="3491" spans="1:6">
      <c r="A3491" t="s">
        <v>27</v>
      </c>
      <c r="B3491" t="s">
        <v>73</v>
      </c>
      <c r="C3491" t="s">
        <v>913</v>
      </c>
      <c r="D3491" t="s">
        <v>1273</v>
      </c>
      <c r="E3491" t="s">
        <v>1099</v>
      </c>
      <c r="F3491">
        <v>6783</v>
      </c>
    </row>
    <row r="3492" spans="1:6">
      <c r="A3492" t="s">
        <v>27</v>
      </c>
      <c r="B3492" t="s">
        <v>73</v>
      </c>
      <c r="C3492" t="s">
        <v>913</v>
      </c>
      <c r="D3492" t="s">
        <v>1273</v>
      </c>
      <c r="E3492" t="s">
        <v>1100</v>
      </c>
      <c r="F3492">
        <v>1951658</v>
      </c>
    </row>
    <row r="3493" spans="1:6">
      <c r="A3493" t="s">
        <v>27</v>
      </c>
      <c r="B3493" t="s">
        <v>73</v>
      </c>
      <c r="C3493" t="s">
        <v>913</v>
      </c>
      <c r="D3493" t="s">
        <v>1273</v>
      </c>
      <c r="E3493" t="s">
        <v>1037</v>
      </c>
      <c r="F3493" t="s">
        <v>385</v>
      </c>
    </row>
    <row r="3494" spans="1:6">
      <c r="A3494" t="s">
        <v>27</v>
      </c>
      <c r="B3494" t="s">
        <v>73</v>
      </c>
      <c r="C3494" t="s">
        <v>913</v>
      </c>
      <c r="D3494" t="s">
        <v>1273</v>
      </c>
      <c r="E3494" t="s">
        <v>1103</v>
      </c>
      <c r="F3494">
        <v>381</v>
      </c>
    </row>
    <row r="3495" spans="1:6">
      <c r="A3495" t="s">
        <v>27</v>
      </c>
      <c r="B3495" t="s">
        <v>73</v>
      </c>
      <c r="C3495" t="s">
        <v>913</v>
      </c>
      <c r="D3495" t="s">
        <v>1273</v>
      </c>
      <c r="E3495" t="s">
        <v>1104</v>
      </c>
      <c r="F3495">
        <v>951062</v>
      </c>
    </row>
    <row r="3496" spans="1:6">
      <c r="A3496" t="s">
        <v>27</v>
      </c>
      <c r="B3496" t="s">
        <v>73</v>
      </c>
      <c r="C3496" t="s">
        <v>913</v>
      </c>
      <c r="D3496" t="s">
        <v>1273</v>
      </c>
      <c r="E3496" t="s">
        <v>1039</v>
      </c>
      <c r="F3496" t="s">
        <v>1292</v>
      </c>
    </row>
    <row r="3497" spans="1:6">
      <c r="A3497" t="s">
        <v>27</v>
      </c>
      <c r="B3497" t="s">
        <v>73</v>
      </c>
      <c r="C3497" t="s">
        <v>913</v>
      </c>
      <c r="D3497" t="s">
        <v>1273</v>
      </c>
      <c r="E3497" t="s">
        <v>1040</v>
      </c>
      <c r="F3497">
        <v>110056</v>
      </c>
    </row>
    <row r="3498" spans="1:6">
      <c r="A3498" t="s">
        <v>27</v>
      </c>
      <c r="B3498" t="s">
        <v>73</v>
      </c>
      <c r="C3498" t="s">
        <v>913</v>
      </c>
      <c r="D3498" t="s">
        <v>1273</v>
      </c>
      <c r="E3498" t="s">
        <v>1041</v>
      </c>
      <c r="F3498">
        <v>3434403</v>
      </c>
    </row>
    <row r="3499" spans="1:6">
      <c r="A3499" t="s">
        <v>27</v>
      </c>
      <c r="B3499" t="s">
        <v>73</v>
      </c>
      <c r="C3499" t="s">
        <v>913</v>
      </c>
      <c r="D3499" t="s">
        <v>1273</v>
      </c>
      <c r="E3499" t="s">
        <v>1111</v>
      </c>
      <c r="F3499" t="s">
        <v>1293</v>
      </c>
    </row>
    <row r="3500" spans="1:6">
      <c r="A3500" t="s">
        <v>27</v>
      </c>
      <c r="B3500" t="s">
        <v>73</v>
      </c>
      <c r="C3500" t="s">
        <v>913</v>
      </c>
      <c r="D3500" t="s">
        <v>1273</v>
      </c>
      <c r="E3500" t="s">
        <v>1113</v>
      </c>
      <c r="F3500" t="s">
        <v>1294</v>
      </c>
    </row>
    <row r="3501" spans="1:6">
      <c r="A3501" t="s">
        <v>27</v>
      </c>
      <c r="B3501" t="s">
        <v>73</v>
      </c>
      <c r="C3501" t="s">
        <v>913</v>
      </c>
      <c r="D3501" t="s">
        <v>1273</v>
      </c>
      <c r="E3501" t="s">
        <v>1114</v>
      </c>
      <c r="F3501">
        <v>8232</v>
      </c>
    </row>
    <row r="3502" spans="1:6">
      <c r="A3502" t="s">
        <v>27</v>
      </c>
      <c r="B3502" t="s">
        <v>73</v>
      </c>
      <c r="C3502" t="s">
        <v>913</v>
      </c>
      <c r="D3502" t="s">
        <v>1273</v>
      </c>
      <c r="E3502" t="s">
        <v>1115</v>
      </c>
      <c r="F3502">
        <v>527322</v>
      </c>
    </row>
    <row r="3503" spans="1:6">
      <c r="A3503" t="s">
        <v>27</v>
      </c>
      <c r="B3503" t="s">
        <v>73</v>
      </c>
      <c r="C3503" t="s">
        <v>913</v>
      </c>
      <c r="D3503" t="s">
        <v>1273</v>
      </c>
      <c r="E3503" t="s">
        <v>1118</v>
      </c>
      <c r="F3503">
        <v>2018</v>
      </c>
    </row>
    <row r="3504" spans="1:6">
      <c r="A3504" t="s">
        <v>27</v>
      </c>
      <c r="B3504" t="s">
        <v>73</v>
      </c>
      <c r="C3504" t="s">
        <v>913</v>
      </c>
      <c r="D3504" t="s">
        <v>1273</v>
      </c>
      <c r="E3504" t="s">
        <v>1119</v>
      </c>
      <c r="F3504">
        <v>6189</v>
      </c>
    </row>
    <row r="3505" spans="1:6">
      <c r="A3505" t="s">
        <v>27</v>
      </c>
      <c r="B3505" t="s">
        <v>73</v>
      </c>
      <c r="C3505" t="s">
        <v>913</v>
      </c>
      <c r="D3505" t="s">
        <v>1273</v>
      </c>
      <c r="E3505" t="s">
        <v>1120</v>
      </c>
      <c r="F3505">
        <v>112535</v>
      </c>
    </row>
    <row r="3506" spans="1:6">
      <c r="A3506" t="s">
        <v>27</v>
      </c>
      <c r="B3506" t="s">
        <v>73</v>
      </c>
      <c r="C3506" t="s">
        <v>913</v>
      </c>
      <c r="D3506" t="s">
        <v>1273</v>
      </c>
      <c r="E3506" t="s">
        <v>1124</v>
      </c>
      <c r="F3506">
        <v>2019</v>
      </c>
    </row>
    <row r="3507" spans="1:6">
      <c r="A3507" t="s">
        <v>27</v>
      </c>
      <c r="B3507" t="s">
        <v>73</v>
      </c>
      <c r="C3507" t="s">
        <v>913</v>
      </c>
      <c r="D3507" t="s">
        <v>1273</v>
      </c>
      <c r="E3507" t="s">
        <v>1126</v>
      </c>
      <c r="F3507">
        <v>15718</v>
      </c>
    </row>
    <row r="3508" spans="1:6">
      <c r="A3508" t="s">
        <v>27</v>
      </c>
      <c r="B3508" t="s">
        <v>73</v>
      </c>
      <c r="C3508" t="s">
        <v>913</v>
      </c>
      <c r="D3508" t="s">
        <v>1273</v>
      </c>
      <c r="E3508" t="s">
        <v>1127</v>
      </c>
      <c r="F3508">
        <v>169399</v>
      </c>
    </row>
    <row r="3509" spans="1:6">
      <c r="A3509" t="s">
        <v>27</v>
      </c>
      <c r="B3509" t="s">
        <v>73</v>
      </c>
      <c r="C3509" t="s">
        <v>913</v>
      </c>
      <c r="D3509" t="s">
        <v>1273</v>
      </c>
      <c r="E3509" t="s">
        <v>1057</v>
      </c>
      <c r="F3509">
        <v>2020</v>
      </c>
    </row>
    <row r="3510" spans="1:6">
      <c r="A3510" t="s">
        <v>27</v>
      </c>
      <c r="B3510" t="s">
        <v>73</v>
      </c>
      <c r="C3510" t="s">
        <v>913</v>
      </c>
      <c r="D3510" t="s">
        <v>1273</v>
      </c>
      <c r="E3510" t="s">
        <v>1058</v>
      </c>
      <c r="F3510">
        <v>15750</v>
      </c>
    </row>
    <row r="3511" spans="1:6">
      <c r="A3511" t="s">
        <v>27</v>
      </c>
      <c r="B3511" t="s">
        <v>73</v>
      </c>
      <c r="C3511" t="s">
        <v>913</v>
      </c>
      <c r="D3511" t="s">
        <v>1273</v>
      </c>
      <c r="E3511" t="s">
        <v>1059</v>
      </c>
      <c r="F3511">
        <v>197087</v>
      </c>
    </row>
    <row r="3512" spans="1:6">
      <c r="A3512" t="s">
        <v>27</v>
      </c>
      <c r="B3512" t="s">
        <v>73</v>
      </c>
      <c r="C3512" t="s">
        <v>913</v>
      </c>
      <c r="D3512" t="s">
        <v>1273</v>
      </c>
      <c r="E3512" t="s">
        <v>1072</v>
      </c>
      <c r="F3512">
        <v>2021</v>
      </c>
    </row>
    <row r="3513" spans="1:6">
      <c r="A3513" t="s">
        <v>27</v>
      </c>
      <c r="B3513" t="s">
        <v>73</v>
      </c>
      <c r="C3513" t="s">
        <v>913</v>
      </c>
      <c r="D3513" t="s">
        <v>1273</v>
      </c>
      <c r="E3513" t="s">
        <v>1133</v>
      </c>
      <c r="F3513">
        <v>12911</v>
      </c>
    </row>
    <row r="3514" spans="1:6">
      <c r="A3514" t="s">
        <v>27</v>
      </c>
      <c r="B3514" t="s">
        <v>73</v>
      </c>
      <c r="C3514" t="s">
        <v>913</v>
      </c>
      <c r="D3514" t="s">
        <v>1273</v>
      </c>
      <c r="E3514" t="s">
        <v>1134</v>
      </c>
      <c r="F3514">
        <v>151747</v>
      </c>
    </row>
    <row r="3515" spans="1:6">
      <c r="A3515" t="s">
        <v>27</v>
      </c>
      <c r="B3515" t="s">
        <v>73</v>
      </c>
      <c r="C3515" t="s">
        <v>913</v>
      </c>
      <c r="D3515" t="s">
        <v>1273</v>
      </c>
      <c r="E3515" t="s">
        <v>1074</v>
      </c>
      <c r="F3515">
        <v>2022</v>
      </c>
    </row>
    <row r="3516" spans="1:6">
      <c r="A3516" t="s">
        <v>27</v>
      </c>
      <c r="B3516" t="s">
        <v>73</v>
      </c>
      <c r="C3516" t="s">
        <v>913</v>
      </c>
      <c r="D3516" t="s">
        <v>1273</v>
      </c>
      <c r="E3516" t="s">
        <v>1296</v>
      </c>
      <c r="F3516">
        <v>10802</v>
      </c>
    </row>
    <row r="3517" spans="1:6">
      <c r="A3517" t="s">
        <v>27</v>
      </c>
      <c r="B3517" t="s">
        <v>73</v>
      </c>
      <c r="C3517" t="s">
        <v>913</v>
      </c>
      <c r="D3517" t="s">
        <v>1273</v>
      </c>
      <c r="E3517" t="s">
        <v>1297</v>
      </c>
      <c r="F3517">
        <v>137964</v>
      </c>
    </row>
    <row r="3518" spans="1:6">
      <c r="A3518" t="s">
        <v>27</v>
      </c>
      <c r="B3518" t="s">
        <v>73</v>
      </c>
      <c r="C3518" t="s">
        <v>913</v>
      </c>
      <c r="D3518" t="s">
        <v>1273</v>
      </c>
      <c r="E3518" t="s">
        <v>1076</v>
      </c>
      <c r="F3518">
        <v>2023</v>
      </c>
    </row>
    <row r="3519" spans="1:6">
      <c r="A3519" t="s">
        <v>27</v>
      </c>
      <c r="B3519" t="s">
        <v>73</v>
      </c>
      <c r="C3519" t="s">
        <v>913</v>
      </c>
      <c r="D3519" t="s">
        <v>1273</v>
      </c>
      <c r="E3519" t="s">
        <v>1077</v>
      </c>
      <c r="F3519">
        <v>11891</v>
      </c>
    </row>
    <row r="3520" spans="1:6">
      <c r="A3520" t="s">
        <v>27</v>
      </c>
      <c r="B3520" t="s">
        <v>73</v>
      </c>
      <c r="C3520" t="s">
        <v>913</v>
      </c>
      <c r="D3520" t="s">
        <v>1273</v>
      </c>
      <c r="E3520" t="s">
        <v>1078</v>
      </c>
      <c r="F3520">
        <v>169085</v>
      </c>
    </row>
    <row r="3521" spans="1:6">
      <c r="A3521" t="s">
        <v>27</v>
      </c>
      <c r="B3521" t="s">
        <v>73</v>
      </c>
      <c r="C3521" t="s">
        <v>913</v>
      </c>
      <c r="D3521" t="s">
        <v>1273</v>
      </c>
      <c r="E3521" t="s">
        <v>1090</v>
      </c>
      <c r="F3521">
        <v>2024</v>
      </c>
    </row>
    <row r="3522" spans="1:6">
      <c r="A3522" t="s">
        <v>27</v>
      </c>
      <c r="B3522" t="s">
        <v>73</v>
      </c>
      <c r="C3522" t="s">
        <v>913</v>
      </c>
      <c r="D3522" t="s">
        <v>1273</v>
      </c>
      <c r="E3522" t="s">
        <v>1139</v>
      </c>
      <c r="F3522">
        <v>12689</v>
      </c>
    </row>
    <row r="3523" spans="1:6">
      <c r="A3523" t="s">
        <v>27</v>
      </c>
      <c r="B3523" t="s">
        <v>73</v>
      </c>
      <c r="C3523" t="s">
        <v>913</v>
      </c>
      <c r="D3523" t="s">
        <v>1273</v>
      </c>
      <c r="E3523" t="s">
        <v>1140</v>
      </c>
      <c r="F3523">
        <v>296076</v>
      </c>
    </row>
    <row r="3524" spans="1:6">
      <c r="A3524" t="s">
        <v>27</v>
      </c>
      <c r="B3524" t="s">
        <v>73</v>
      </c>
      <c r="C3524" t="s">
        <v>913</v>
      </c>
      <c r="D3524" t="s">
        <v>1273</v>
      </c>
      <c r="E3524" t="s">
        <v>1298</v>
      </c>
      <c r="F3524">
        <v>2025</v>
      </c>
    </row>
    <row r="3525" spans="1:6">
      <c r="A3525" t="s">
        <v>27</v>
      </c>
      <c r="B3525" t="s">
        <v>73</v>
      </c>
      <c r="C3525" t="s">
        <v>913</v>
      </c>
      <c r="D3525" t="s">
        <v>1273</v>
      </c>
      <c r="E3525" t="s">
        <v>1299</v>
      </c>
      <c r="F3525">
        <v>7968</v>
      </c>
    </row>
    <row r="3526" spans="1:6">
      <c r="A3526" t="s">
        <v>27</v>
      </c>
      <c r="B3526" t="s">
        <v>73</v>
      </c>
      <c r="C3526" t="s">
        <v>913</v>
      </c>
      <c r="D3526" t="s">
        <v>1273</v>
      </c>
      <c r="E3526" t="s">
        <v>1300</v>
      </c>
      <c r="F3526">
        <v>339318</v>
      </c>
    </row>
    <row r="3527" spans="1:6">
      <c r="A3527" t="s">
        <v>27</v>
      </c>
      <c r="B3527" t="s">
        <v>73</v>
      </c>
      <c r="C3527" t="s">
        <v>913</v>
      </c>
      <c r="D3527" t="s">
        <v>1273</v>
      </c>
      <c r="E3527" t="s">
        <v>1301</v>
      </c>
      <c r="F3527">
        <v>2026</v>
      </c>
    </row>
    <row r="3528" spans="1:6">
      <c r="A3528" t="s">
        <v>27</v>
      </c>
      <c r="B3528" t="s">
        <v>73</v>
      </c>
      <c r="C3528" t="s">
        <v>913</v>
      </c>
      <c r="D3528" t="s">
        <v>1273</v>
      </c>
      <c r="E3528" t="s">
        <v>1302</v>
      </c>
      <c r="F3528">
        <v>7906</v>
      </c>
    </row>
    <row r="3529" spans="1:6">
      <c r="A3529" t="s">
        <v>27</v>
      </c>
      <c r="B3529" t="s">
        <v>73</v>
      </c>
      <c r="C3529" t="s">
        <v>913</v>
      </c>
      <c r="D3529" t="s">
        <v>1273</v>
      </c>
      <c r="E3529" t="s">
        <v>1303</v>
      </c>
      <c r="F3529">
        <v>1333869</v>
      </c>
    </row>
    <row r="3530" spans="1:6">
      <c r="A3530" t="s">
        <v>27</v>
      </c>
      <c r="B3530" t="s">
        <v>73</v>
      </c>
      <c r="C3530" t="s">
        <v>913</v>
      </c>
      <c r="D3530" t="s">
        <v>1273</v>
      </c>
      <c r="E3530" t="s">
        <v>1392</v>
      </c>
      <c r="F3530" t="s">
        <v>1292</v>
      </c>
    </row>
    <row r="3531" spans="1:6">
      <c r="A3531" t="s">
        <v>27</v>
      </c>
      <c r="B3531" t="s">
        <v>73</v>
      </c>
      <c r="C3531" t="s">
        <v>913</v>
      </c>
      <c r="D3531" t="s">
        <v>1273</v>
      </c>
      <c r="E3531" t="s">
        <v>1393</v>
      </c>
      <c r="F3531">
        <v>110056</v>
      </c>
    </row>
    <row r="3532" spans="1:6">
      <c r="A3532" t="s">
        <v>27</v>
      </c>
      <c r="B3532" t="s">
        <v>73</v>
      </c>
      <c r="C3532" t="s">
        <v>913</v>
      </c>
      <c r="D3532" t="s">
        <v>1273</v>
      </c>
      <c r="E3532" t="s">
        <v>1394</v>
      </c>
      <c r="F3532">
        <v>3434403</v>
      </c>
    </row>
    <row r="3533" spans="1:6">
      <c r="A3533" t="s">
        <v>27</v>
      </c>
      <c r="B3533" t="s">
        <v>78</v>
      </c>
      <c r="C3533" t="s">
        <v>913</v>
      </c>
      <c r="D3533" t="s">
        <v>991</v>
      </c>
      <c r="E3533" t="s">
        <v>992</v>
      </c>
      <c r="F3533" t="s">
        <v>993</v>
      </c>
    </row>
    <row r="3534" spans="1:6">
      <c r="A3534" t="s">
        <v>27</v>
      </c>
      <c r="B3534" t="s">
        <v>78</v>
      </c>
      <c r="C3534" t="s">
        <v>913</v>
      </c>
      <c r="D3534" t="s">
        <v>991</v>
      </c>
      <c r="E3534" t="s">
        <v>1093</v>
      </c>
      <c r="F3534" t="s">
        <v>1094</v>
      </c>
    </row>
    <row r="3535" spans="1:6">
      <c r="A3535" t="s">
        <v>27</v>
      </c>
      <c r="B3535" t="s">
        <v>78</v>
      </c>
      <c r="C3535" t="s">
        <v>913</v>
      </c>
      <c r="D3535" t="s">
        <v>991</v>
      </c>
      <c r="E3535" t="s">
        <v>994</v>
      </c>
      <c r="F3535" t="s">
        <v>1406</v>
      </c>
    </row>
    <row r="3536" spans="1:6">
      <c r="A3536" t="s">
        <v>27</v>
      </c>
      <c r="B3536" t="s">
        <v>78</v>
      </c>
      <c r="C3536" t="s">
        <v>913</v>
      </c>
      <c r="D3536" t="s">
        <v>991</v>
      </c>
      <c r="E3536" t="s">
        <v>995</v>
      </c>
      <c r="F3536" t="s">
        <v>996</v>
      </c>
    </row>
    <row r="3537" spans="1:6">
      <c r="A3537" t="s">
        <v>27</v>
      </c>
      <c r="B3537" t="s">
        <v>78</v>
      </c>
      <c r="C3537" t="s">
        <v>913</v>
      </c>
      <c r="D3537" t="s">
        <v>991</v>
      </c>
      <c r="E3537" t="s">
        <v>997</v>
      </c>
      <c r="F3537" t="s">
        <v>1511</v>
      </c>
    </row>
    <row r="3538" spans="1:6">
      <c r="A3538" t="s">
        <v>27</v>
      </c>
      <c r="B3538" t="s">
        <v>78</v>
      </c>
      <c r="C3538" t="s">
        <v>913</v>
      </c>
      <c r="D3538" t="s">
        <v>991</v>
      </c>
      <c r="E3538" t="s">
        <v>999</v>
      </c>
      <c r="F3538" t="s">
        <v>1000</v>
      </c>
    </row>
    <row r="3539" spans="1:6">
      <c r="A3539" t="s">
        <v>27</v>
      </c>
      <c r="B3539" t="s">
        <v>78</v>
      </c>
      <c r="C3539" t="s">
        <v>913</v>
      </c>
      <c r="D3539" t="s">
        <v>991</v>
      </c>
      <c r="E3539" t="s">
        <v>1001</v>
      </c>
      <c r="F3539" t="s">
        <v>10</v>
      </c>
    </row>
    <row r="3540" spans="1:6">
      <c r="A3540" t="s">
        <v>27</v>
      </c>
      <c r="B3540" t="s">
        <v>78</v>
      </c>
      <c r="C3540" t="s">
        <v>913</v>
      </c>
      <c r="D3540" t="s">
        <v>991</v>
      </c>
      <c r="E3540" t="s">
        <v>1002</v>
      </c>
      <c r="F3540" t="s">
        <v>1003</v>
      </c>
    </row>
    <row r="3541" spans="1:6">
      <c r="A3541" t="s">
        <v>27</v>
      </c>
      <c r="B3541" t="s">
        <v>78</v>
      </c>
      <c r="C3541" t="s">
        <v>913</v>
      </c>
      <c r="D3541" t="s">
        <v>991</v>
      </c>
      <c r="E3541" t="s">
        <v>1004</v>
      </c>
      <c r="F3541" t="s">
        <v>1005</v>
      </c>
    </row>
    <row r="3542" spans="1:6">
      <c r="A3542" t="s">
        <v>27</v>
      </c>
      <c r="B3542" t="s">
        <v>78</v>
      </c>
      <c r="C3542" t="s">
        <v>913</v>
      </c>
      <c r="D3542" t="s">
        <v>991</v>
      </c>
      <c r="E3542" t="s">
        <v>1006</v>
      </c>
      <c r="F3542" t="s">
        <v>1007</v>
      </c>
    </row>
    <row r="3543" spans="1:6">
      <c r="A3543" t="s">
        <v>27</v>
      </c>
      <c r="B3543" t="s">
        <v>78</v>
      </c>
      <c r="C3543" t="s">
        <v>913</v>
      </c>
      <c r="D3543" t="s">
        <v>991</v>
      </c>
      <c r="E3543" t="s">
        <v>1008</v>
      </c>
      <c r="F3543" t="s">
        <v>1009</v>
      </c>
    </row>
    <row r="3544" spans="1:6">
      <c r="A3544" t="s">
        <v>27</v>
      </c>
      <c r="B3544" t="s">
        <v>78</v>
      </c>
      <c r="C3544" t="s">
        <v>913</v>
      </c>
      <c r="D3544" t="s">
        <v>991</v>
      </c>
      <c r="E3544" t="s">
        <v>1010</v>
      </c>
      <c r="F3544" t="s">
        <v>1011</v>
      </c>
    </row>
    <row r="3545" spans="1:6">
      <c r="A3545" t="s">
        <v>27</v>
      </c>
      <c r="B3545" t="s">
        <v>78</v>
      </c>
      <c r="C3545" t="s">
        <v>913</v>
      </c>
      <c r="D3545" t="s">
        <v>991</v>
      </c>
      <c r="E3545" t="s">
        <v>1012</v>
      </c>
      <c r="F3545" t="s">
        <v>1013</v>
      </c>
    </row>
    <row r="3546" spans="1:6">
      <c r="A3546" t="s">
        <v>27</v>
      </c>
      <c r="B3546" t="s">
        <v>78</v>
      </c>
      <c r="C3546" t="s">
        <v>913</v>
      </c>
      <c r="D3546" t="s">
        <v>991</v>
      </c>
      <c r="E3546" t="s">
        <v>1014</v>
      </c>
      <c r="F3546" t="s">
        <v>1015</v>
      </c>
    </row>
    <row r="3547" spans="1:6">
      <c r="A3547" t="s">
        <v>27</v>
      </c>
      <c r="B3547" t="s">
        <v>78</v>
      </c>
      <c r="C3547" t="s">
        <v>913</v>
      </c>
      <c r="D3547" t="s">
        <v>991</v>
      </c>
      <c r="E3547" t="s">
        <v>1016</v>
      </c>
      <c r="F3547" t="s">
        <v>1017</v>
      </c>
    </row>
    <row r="3548" spans="1:6">
      <c r="A3548" t="s">
        <v>27</v>
      </c>
      <c r="B3548" t="s">
        <v>78</v>
      </c>
      <c r="C3548" t="s">
        <v>913</v>
      </c>
      <c r="D3548" t="s">
        <v>991</v>
      </c>
      <c r="E3548" t="s">
        <v>1018</v>
      </c>
      <c r="F3548" t="s">
        <v>1019</v>
      </c>
    </row>
    <row r="3549" spans="1:6">
      <c r="A3549" t="s">
        <v>27</v>
      </c>
      <c r="B3549" t="s">
        <v>78</v>
      </c>
      <c r="C3549" t="s">
        <v>913</v>
      </c>
      <c r="D3549" t="s">
        <v>991</v>
      </c>
      <c r="E3549" t="s">
        <v>1020</v>
      </c>
      <c r="F3549" t="s">
        <v>1021</v>
      </c>
    </row>
    <row r="3550" spans="1:6">
      <c r="A3550" t="s">
        <v>27</v>
      </c>
      <c r="B3550" t="s">
        <v>78</v>
      </c>
      <c r="C3550" t="s">
        <v>913</v>
      </c>
      <c r="D3550" t="s">
        <v>991</v>
      </c>
      <c r="E3550" t="s">
        <v>1022</v>
      </c>
      <c r="F3550" t="s">
        <v>1023</v>
      </c>
    </row>
    <row r="3551" spans="1:6">
      <c r="A3551" t="s">
        <v>27</v>
      </c>
      <c r="B3551" t="s">
        <v>78</v>
      </c>
      <c r="C3551" t="s">
        <v>913</v>
      </c>
      <c r="D3551" t="s">
        <v>991</v>
      </c>
      <c r="E3551" t="s">
        <v>1024</v>
      </c>
      <c r="F3551" t="s">
        <v>1025</v>
      </c>
    </row>
    <row r="3552" spans="1:6">
      <c r="A3552" t="s">
        <v>27</v>
      </c>
      <c r="B3552" t="s">
        <v>78</v>
      </c>
      <c r="C3552" t="s">
        <v>913</v>
      </c>
      <c r="D3552" t="s">
        <v>991</v>
      </c>
      <c r="E3552" t="s">
        <v>1026</v>
      </c>
      <c r="F3552" t="s">
        <v>1027</v>
      </c>
    </row>
    <row r="3553" spans="1:6">
      <c r="A3553" t="s">
        <v>27</v>
      </c>
      <c r="B3553" t="s">
        <v>78</v>
      </c>
      <c r="C3553" t="s">
        <v>913</v>
      </c>
      <c r="D3553" t="s">
        <v>991</v>
      </c>
      <c r="E3553" t="s">
        <v>1028</v>
      </c>
      <c r="F3553" t="s">
        <v>1029</v>
      </c>
    </row>
    <row r="3554" spans="1:6">
      <c r="A3554" t="s">
        <v>27</v>
      </c>
      <c r="B3554" t="s">
        <v>78</v>
      </c>
      <c r="C3554" t="s">
        <v>913</v>
      </c>
      <c r="D3554" t="s">
        <v>991</v>
      </c>
      <c r="E3554" t="s">
        <v>1030</v>
      </c>
      <c r="F3554" t="s">
        <v>1031</v>
      </c>
    </row>
    <row r="3555" spans="1:6">
      <c r="A3555" t="s">
        <v>27</v>
      </c>
      <c r="B3555" t="s">
        <v>78</v>
      </c>
      <c r="C3555" t="s">
        <v>913</v>
      </c>
      <c r="D3555" t="s">
        <v>991</v>
      </c>
      <c r="E3555" t="s">
        <v>1032</v>
      </c>
      <c r="F3555" t="s">
        <v>1033</v>
      </c>
    </row>
    <row r="3556" spans="1:6">
      <c r="A3556" t="s">
        <v>27</v>
      </c>
      <c r="B3556" t="s">
        <v>78</v>
      </c>
      <c r="C3556" t="s">
        <v>913</v>
      </c>
      <c r="D3556" t="s">
        <v>991</v>
      </c>
      <c r="E3556" t="s">
        <v>1034</v>
      </c>
      <c r="F3556" t="s">
        <v>50</v>
      </c>
    </row>
    <row r="3557" spans="1:6">
      <c r="A3557" t="s">
        <v>27</v>
      </c>
      <c r="B3557" t="s">
        <v>78</v>
      </c>
      <c r="C3557" t="s">
        <v>913</v>
      </c>
      <c r="D3557" t="s">
        <v>991</v>
      </c>
      <c r="E3557" t="s">
        <v>1035</v>
      </c>
      <c r="F3557">
        <v>1979499</v>
      </c>
    </row>
    <row r="3558" spans="1:6">
      <c r="A3558" t="s">
        <v>27</v>
      </c>
      <c r="B3558" t="s">
        <v>78</v>
      </c>
      <c r="C3558" t="s">
        <v>913</v>
      </c>
      <c r="D3558" t="s">
        <v>991</v>
      </c>
      <c r="E3558" t="s">
        <v>1036</v>
      </c>
      <c r="F3558">
        <v>2025</v>
      </c>
    </row>
    <row r="3559" spans="1:6">
      <c r="A3559" t="s">
        <v>27</v>
      </c>
      <c r="B3559" t="s">
        <v>78</v>
      </c>
      <c r="C3559" t="s">
        <v>913</v>
      </c>
      <c r="D3559" t="s">
        <v>991</v>
      </c>
      <c r="E3559" t="s">
        <v>1037</v>
      </c>
      <c r="F3559">
        <v>15874670</v>
      </c>
    </row>
    <row r="3560" spans="1:6">
      <c r="A3560" t="s">
        <v>27</v>
      </c>
      <c r="B3560" t="s">
        <v>78</v>
      </c>
      <c r="C3560" t="s">
        <v>913</v>
      </c>
      <c r="D3560" t="s">
        <v>991</v>
      </c>
      <c r="E3560" t="s">
        <v>1038</v>
      </c>
      <c r="F3560">
        <v>2026</v>
      </c>
    </row>
    <row r="3561" spans="1:6">
      <c r="A3561" t="s">
        <v>27</v>
      </c>
      <c r="B3561" t="s">
        <v>78</v>
      </c>
      <c r="C3561" t="s">
        <v>913</v>
      </c>
      <c r="D3561" t="s">
        <v>991</v>
      </c>
      <c r="E3561" t="s">
        <v>1039</v>
      </c>
      <c r="F3561">
        <v>14607616</v>
      </c>
    </row>
    <row r="3562" spans="1:6">
      <c r="A3562" t="s">
        <v>27</v>
      </c>
      <c r="B3562" t="s">
        <v>78</v>
      </c>
      <c r="C3562" t="s">
        <v>913</v>
      </c>
      <c r="D3562" t="s">
        <v>991</v>
      </c>
      <c r="E3562" t="s">
        <v>1040</v>
      </c>
      <c r="F3562">
        <v>4060466</v>
      </c>
    </row>
    <row r="3563" spans="1:6">
      <c r="A3563" t="s">
        <v>27</v>
      </c>
      <c r="B3563" t="s">
        <v>78</v>
      </c>
      <c r="C3563" t="s">
        <v>913</v>
      </c>
      <c r="D3563" t="s">
        <v>991</v>
      </c>
      <c r="E3563" t="s">
        <v>1041</v>
      </c>
      <c r="F3563">
        <v>3650675</v>
      </c>
    </row>
    <row r="3564" spans="1:6">
      <c r="A3564" t="s">
        <v>27</v>
      </c>
      <c r="B3564" t="s">
        <v>78</v>
      </c>
      <c r="C3564" t="s">
        <v>913</v>
      </c>
      <c r="D3564" t="s">
        <v>991</v>
      </c>
      <c r="E3564" t="s">
        <v>1042</v>
      </c>
      <c r="F3564">
        <v>2534318</v>
      </c>
    </row>
    <row r="3565" spans="1:6">
      <c r="A3565" t="s">
        <v>27</v>
      </c>
      <c r="B3565" t="s">
        <v>78</v>
      </c>
      <c r="C3565" t="s">
        <v>913</v>
      </c>
      <c r="D3565" t="s">
        <v>991</v>
      </c>
      <c r="E3565" t="s">
        <v>1043</v>
      </c>
      <c r="F3565">
        <v>1649935</v>
      </c>
    </row>
    <row r="3566" spans="1:6">
      <c r="A3566" t="s">
        <v>27</v>
      </c>
      <c r="B3566" t="s">
        <v>78</v>
      </c>
      <c r="C3566" t="s">
        <v>913</v>
      </c>
      <c r="D3566" t="s">
        <v>991</v>
      </c>
      <c r="E3566" t="s">
        <v>1044</v>
      </c>
      <c r="F3566">
        <v>1234586</v>
      </c>
    </row>
    <row r="3567" spans="1:6">
      <c r="A3567" t="s">
        <v>27</v>
      </c>
      <c r="B3567" t="s">
        <v>78</v>
      </c>
      <c r="C3567" t="s">
        <v>913</v>
      </c>
      <c r="D3567" t="s">
        <v>991</v>
      </c>
      <c r="E3567" t="s">
        <v>1045</v>
      </c>
      <c r="F3567">
        <v>1001410</v>
      </c>
    </row>
    <row r="3568" spans="1:6">
      <c r="A3568" t="s">
        <v>27</v>
      </c>
      <c r="B3568" t="s">
        <v>78</v>
      </c>
      <c r="C3568" t="s">
        <v>913</v>
      </c>
      <c r="D3568" t="s">
        <v>991</v>
      </c>
      <c r="E3568" t="s">
        <v>1046</v>
      </c>
      <c r="F3568">
        <v>93138</v>
      </c>
    </row>
    <row r="3569" spans="1:6">
      <c r="A3569" t="s">
        <v>27</v>
      </c>
      <c r="B3569" t="s">
        <v>78</v>
      </c>
      <c r="C3569" t="s">
        <v>913</v>
      </c>
      <c r="D3569" t="s">
        <v>991</v>
      </c>
      <c r="E3569" t="s">
        <v>1047</v>
      </c>
      <c r="F3569">
        <v>121006</v>
      </c>
    </row>
    <row r="3570" spans="1:6">
      <c r="A3570" t="s">
        <v>27</v>
      </c>
      <c r="B3570" t="s">
        <v>78</v>
      </c>
      <c r="C3570" t="s">
        <v>913</v>
      </c>
      <c r="D3570" t="s">
        <v>991</v>
      </c>
      <c r="E3570" t="s">
        <v>1048</v>
      </c>
      <c r="F3570">
        <v>262081</v>
      </c>
    </row>
    <row r="3571" spans="1:6">
      <c r="A3571" t="s">
        <v>27</v>
      </c>
      <c r="B3571" t="s">
        <v>78</v>
      </c>
      <c r="C3571" t="s">
        <v>913</v>
      </c>
      <c r="D3571" t="s">
        <v>991</v>
      </c>
      <c r="E3571" t="s">
        <v>1049</v>
      </c>
      <c r="F3571">
        <v>0</v>
      </c>
    </row>
    <row r="3572" spans="1:6">
      <c r="A3572" t="s">
        <v>27</v>
      </c>
      <c r="B3572" t="s">
        <v>78</v>
      </c>
      <c r="C3572" t="s">
        <v>913</v>
      </c>
      <c r="D3572" t="s">
        <v>991</v>
      </c>
      <c r="E3572" t="s">
        <v>1050</v>
      </c>
      <c r="F3572">
        <v>0</v>
      </c>
    </row>
    <row r="3573" spans="1:6">
      <c r="A3573" t="s">
        <v>27</v>
      </c>
      <c r="B3573" t="s">
        <v>78</v>
      </c>
      <c r="C3573" t="s">
        <v>913</v>
      </c>
      <c r="D3573" t="s">
        <v>991</v>
      </c>
      <c r="E3573" t="s">
        <v>1051</v>
      </c>
      <c r="F3573">
        <v>0</v>
      </c>
    </row>
    <row r="3574" spans="1:6">
      <c r="A3574" t="s">
        <v>27</v>
      </c>
      <c r="B3574" t="s">
        <v>78</v>
      </c>
      <c r="C3574" t="s">
        <v>913</v>
      </c>
      <c r="D3574" t="s">
        <v>991</v>
      </c>
      <c r="E3574" t="s">
        <v>1052</v>
      </c>
      <c r="F3574" t="s">
        <v>1009</v>
      </c>
    </row>
    <row r="3575" spans="1:6">
      <c r="A3575" t="s">
        <v>27</v>
      </c>
      <c r="B3575" t="s">
        <v>78</v>
      </c>
      <c r="C3575" t="s">
        <v>913</v>
      </c>
      <c r="D3575" t="s">
        <v>991</v>
      </c>
      <c r="E3575" t="s">
        <v>1053</v>
      </c>
      <c r="F3575">
        <v>32461784</v>
      </c>
    </row>
    <row r="3576" spans="1:6">
      <c r="A3576" t="s">
        <v>27</v>
      </c>
      <c r="B3576" t="s">
        <v>78</v>
      </c>
      <c r="C3576" t="s">
        <v>913</v>
      </c>
      <c r="D3576" t="s">
        <v>991</v>
      </c>
      <c r="E3576" t="s">
        <v>1054</v>
      </c>
      <c r="F3576" t="s">
        <v>1055</v>
      </c>
    </row>
    <row r="3577" spans="1:6">
      <c r="A3577" t="s">
        <v>27</v>
      </c>
      <c r="B3577" t="s">
        <v>78</v>
      </c>
      <c r="C3577" t="s">
        <v>913</v>
      </c>
      <c r="D3577" t="s">
        <v>991</v>
      </c>
      <c r="E3577" t="s">
        <v>1056</v>
      </c>
      <c r="F3577" t="s">
        <v>1007</v>
      </c>
    </row>
    <row r="3578" spans="1:6">
      <c r="A3578" t="s">
        <v>27</v>
      </c>
      <c r="B3578" t="s">
        <v>78</v>
      </c>
      <c r="C3578" t="s">
        <v>913</v>
      </c>
      <c r="D3578" t="s">
        <v>991</v>
      </c>
      <c r="E3578" t="s">
        <v>1057</v>
      </c>
      <c r="F3578" t="s">
        <v>1009</v>
      </c>
    </row>
    <row r="3579" spans="1:6">
      <c r="A3579" t="s">
        <v>27</v>
      </c>
      <c r="B3579" t="s">
        <v>78</v>
      </c>
      <c r="C3579" t="s">
        <v>913</v>
      </c>
      <c r="D3579" t="s">
        <v>991</v>
      </c>
      <c r="E3579" t="s">
        <v>1058</v>
      </c>
      <c r="F3579" t="s">
        <v>1011</v>
      </c>
    </row>
    <row r="3580" spans="1:6">
      <c r="A3580" t="s">
        <v>27</v>
      </c>
      <c r="B3580" t="s">
        <v>78</v>
      </c>
      <c r="C3580" t="s">
        <v>913</v>
      </c>
      <c r="D3580" t="s">
        <v>991</v>
      </c>
      <c r="E3580" t="s">
        <v>1059</v>
      </c>
      <c r="F3580" t="s">
        <v>1013</v>
      </c>
    </row>
    <row r="3581" spans="1:6">
      <c r="A3581" t="s">
        <v>27</v>
      </c>
      <c r="B3581" t="s">
        <v>78</v>
      </c>
      <c r="C3581" t="s">
        <v>913</v>
      </c>
      <c r="D3581" t="s">
        <v>991</v>
      </c>
      <c r="E3581" t="s">
        <v>1060</v>
      </c>
      <c r="F3581" t="s">
        <v>1015</v>
      </c>
    </row>
    <row r="3582" spans="1:6">
      <c r="A3582" t="s">
        <v>27</v>
      </c>
      <c r="B3582" t="s">
        <v>78</v>
      </c>
      <c r="C3582" t="s">
        <v>913</v>
      </c>
      <c r="D3582" t="s">
        <v>991</v>
      </c>
      <c r="E3582" t="s">
        <v>1061</v>
      </c>
      <c r="F3582" t="s">
        <v>1017</v>
      </c>
    </row>
    <row r="3583" spans="1:6">
      <c r="A3583" t="s">
        <v>27</v>
      </c>
      <c r="B3583" t="s">
        <v>78</v>
      </c>
      <c r="C3583" t="s">
        <v>913</v>
      </c>
      <c r="D3583" t="s">
        <v>991</v>
      </c>
      <c r="E3583" t="s">
        <v>1062</v>
      </c>
      <c r="F3583" t="s">
        <v>1019</v>
      </c>
    </row>
    <row r="3584" spans="1:6">
      <c r="A3584" t="s">
        <v>27</v>
      </c>
      <c r="B3584" t="s">
        <v>78</v>
      </c>
      <c r="C3584" t="s">
        <v>913</v>
      </c>
      <c r="D3584" t="s">
        <v>991</v>
      </c>
      <c r="E3584" t="s">
        <v>1063</v>
      </c>
      <c r="F3584" t="s">
        <v>1021</v>
      </c>
    </row>
    <row r="3585" spans="1:6">
      <c r="A3585" t="s">
        <v>27</v>
      </c>
      <c r="B3585" t="s">
        <v>78</v>
      </c>
      <c r="C3585" t="s">
        <v>913</v>
      </c>
      <c r="D3585" t="s">
        <v>991</v>
      </c>
      <c r="E3585" t="s">
        <v>1064</v>
      </c>
      <c r="F3585" t="s">
        <v>1023</v>
      </c>
    </row>
    <row r="3586" spans="1:6">
      <c r="A3586" t="s">
        <v>27</v>
      </c>
      <c r="B3586" t="s">
        <v>78</v>
      </c>
      <c r="C3586" t="s">
        <v>913</v>
      </c>
      <c r="D3586" t="s">
        <v>991</v>
      </c>
      <c r="E3586" t="s">
        <v>1065</v>
      </c>
      <c r="F3586" t="s">
        <v>1066</v>
      </c>
    </row>
    <row r="3587" spans="1:6">
      <c r="A3587" t="s">
        <v>27</v>
      </c>
      <c r="B3587" t="s">
        <v>78</v>
      </c>
      <c r="C3587" t="s">
        <v>913</v>
      </c>
      <c r="D3587" t="s">
        <v>991</v>
      </c>
      <c r="E3587" t="s">
        <v>1067</v>
      </c>
      <c r="F3587" t="s">
        <v>1027</v>
      </c>
    </row>
    <row r="3588" spans="1:6">
      <c r="A3588" t="s">
        <v>27</v>
      </c>
      <c r="B3588" t="s">
        <v>78</v>
      </c>
      <c r="C3588" t="s">
        <v>913</v>
      </c>
      <c r="D3588" t="s">
        <v>991</v>
      </c>
      <c r="E3588" t="s">
        <v>1068</v>
      </c>
      <c r="F3588" t="s">
        <v>1029</v>
      </c>
    </row>
    <row r="3589" spans="1:6">
      <c r="A3589" t="s">
        <v>27</v>
      </c>
      <c r="B3589" t="s">
        <v>78</v>
      </c>
      <c r="C3589" t="s">
        <v>913</v>
      </c>
      <c r="D3589" t="s">
        <v>991</v>
      </c>
      <c r="E3589" t="s">
        <v>1069</v>
      </c>
      <c r="F3589" t="s">
        <v>1031</v>
      </c>
    </row>
    <row r="3590" spans="1:6">
      <c r="A3590" t="s">
        <v>27</v>
      </c>
      <c r="B3590" t="s">
        <v>78</v>
      </c>
      <c r="C3590" t="s">
        <v>913</v>
      </c>
      <c r="D3590" t="s">
        <v>991</v>
      </c>
      <c r="E3590" t="s">
        <v>1070</v>
      </c>
      <c r="F3590" t="s">
        <v>1033</v>
      </c>
    </row>
    <row r="3591" spans="1:6">
      <c r="A3591" t="s">
        <v>27</v>
      </c>
      <c r="B3591" t="s">
        <v>78</v>
      </c>
      <c r="C3591" t="s">
        <v>913</v>
      </c>
      <c r="D3591" t="s">
        <v>991</v>
      </c>
      <c r="E3591" t="s">
        <v>1071</v>
      </c>
      <c r="F3591" t="s">
        <v>50</v>
      </c>
    </row>
    <row r="3592" spans="1:6">
      <c r="A3592" t="s">
        <v>27</v>
      </c>
      <c r="B3592" t="s">
        <v>78</v>
      </c>
      <c r="C3592" t="s">
        <v>913</v>
      </c>
      <c r="D3592" t="s">
        <v>991</v>
      </c>
      <c r="E3592" t="s">
        <v>1072</v>
      </c>
      <c r="F3592">
        <v>5508</v>
      </c>
    </row>
    <row r="3593" spans="1:6">
      <c r="A3593" t="s">
        <v>27</v>
      </c>
      <c r="B3593" t="s">
        <v>78</v>
      </c>
      <c r="C3593" t="s">
        <v>913</v>
      </c>
      <c r="D3593" t="s">
        <v>991</v>
      </c>
      <c r="E3593" t="s">
        <v>1073</v>
      </c>
      <c r="F3593">
        <v>2025</v>
      </c>
    </row>
    <row r="3594" spans="1:6">
      <c r="A3594" t="s">
        <v>27</v>
      </c>
      <c r="B3594" t="s">
        <v>78</v>
      </c>
      <c r="C3594" t="s">
        <v>913</v>
      </c>
      <c r="D3594" t="s">
        <v>991</v>
      </c>
      <c r="E3594" t="s">
        <v>1074</v>
      </c>
      <c r="F3594">
        <v>35746</v>
      </c>
    </row>
    <row r="3595" spans="1:6">
      <c r="A3595" t="s">
        <v>27</v>
      </c>
      <c r="B3595" t="s">
        <v>78</v>
      </c>
      <c r="C3595" t="s">
        <v>913</v>
      </c>
      <c r="D3595" t="s">
        <v>991</v>
      </c>
      <c r="E3595" t="s">
        <v>1075</v>
      </c>
      <c r="F3595">
        <v>2026</v>
      </c>
    </row>
    <row r="3596" spans="1:6">
      <c r="A3596" t="s">
        <v>27</v>
      </c>
      <c r="B3596" t="s">
        <v>78</v>
      </c>
      <c r="C3596" t="s">
        <v>913</v>
      </c>
      <c r="D3596" t="s">
        <v>991</v>
      </c>
      <c r="E3596" t="s">
        <v>1076</v>
      </c>
      <c r="F3596">
        <v>25140</v>
      </c>
    </row>
    <row r="3597" spans="1:6">
      <c r="A3597" t="s">
        <v>27</v>
      </c>
      <c r="B3597" t="s">
        <v>78</v>
      </c>
      <c r="C3597" t="s">
        <v>913</v>
      </c>
      <c r="D3597" t="s">
        <v>991</v>
      </c>
      <c r="E3597" t="s">
        <v>1077</v>
      </c>
      <c r="F3597">
        <v>3126</v>
      </c>
    </row>
    <row r="3598" spans="1:6">
      <c r="A3598" t="s">
        <v>27</v>
      </c>
      <c r="B3598" t="s">
        <v>78</v>
      </c>
      <c r="C3598" t="s">
        <v>913</v>
      </c>
      <c r="D3598" t="s">
        <v>991</v>
      </c>
      <c r="E3598" t="s">
        <v>1078</v>
      </c>
      <c r="F3598">
        <v>3258</v>
      </c>
    </row>
    <row r="3599" spans="1:6">
      <c r="A3599" t="s">
        <v>27</v>
      </c>
      <c r="B3599" t="s">
        <v>78</v>
      </c>
      <c r="C3599" t="s">
        <v>913</v>
      </c>
      <c r="D3599" t="s">
        <v>991</v>
      </c>
      <c r="E3599" t="s">
        <v>1079</v>
      </c>
      <c r="F3599">
        <v>2789</v>
      </c>
    </row>
    <row r="3600" spans="1:6">
      <c r="A3600" t="s">
        <v>27</v>
      </c>
      <c r="B3600" t="s">
        <v>78</v>
      </c>
      <c r="C3600" t="s">
        <v>913</v>
      </c>
      <c r="D3600" t="s">
        <v>991</v>
      </c>
      <c r="E3600" t="s">
        <v>1080</v>
      </c>
      <c r="F3600">
        <v>2993</v>
      </c>
    </row>
    <row r="3601" spans="1:6">
      <c r="A3601" t="s">
        <v>27</v>
      </c>
      <c r="B3601" t="s">
        <v>78</v>
      </c>
      <c r="C3601" t="s">
        <v>913</v>
      </c>
      <c r="D3601" t="s">
        <v>991</v>
      </c>
      <c r="E3601" t="s">
        <v>1081</v>
      </c>
      <c r="F3601">
        <v>2780</v>
      </c>
    </row>
    <row r="3602" spans="1:6">
      <c r="A3602" t="s">
        <v>27</v>
      </c>
      <c r="B3602" t="s">
        <v>78</v>
      </c>
      <c r="C3602" t="s">
        <v>913</v>
      </c>
      <c r="D3602" t="s">
        <v>991</v>
      </c>
      <c r="E3602" t="s">
        <v>1082</v>
      </c>
      <c r="F3602">
        <v>2643</v>
      </c>
    </row>
    <row r="3603" spans="1:6">
      <c r="A3603" t="s">
        <v>27</v>
      </c>
      <c r="B3603" t="s">
        <v>78</v>
      </c>
      <c r="C3603" t="s">
        <v>913</v>
      </c>
      <c r="D3603" t="s">
        <v>991</v>
      </c>
      <c r="E3603" t="s">
        <v>1083</v>
      </c>
      <c r="F3603">
        <v>2265</v>
      </c>
    </row>
    <row r="3604" spans="1:6">
      <c r="A3604" t="s">
        <v>27</v>
      </c>
      <c r="B3604" t="s">
        <v>78</v>
      </c>
      <c r="C3604" t="s">
        <v>913</v>
      </c>
      <c r="D3604" t="s">
        <v>991</v>
      </c>
      <c r="E3604" t="s">
        <v>1084</v>
      </c>
      <c r="F3604">
        <v>1726</v>
      </c>
    </row>
    <row r="3605" spans="1:6">
      <c r="A3605" t="s">
        <v>27</v>
      </c>
      <c r="B3605" t="s">
        <v>78</v>
      </c>
      <c r="C3605" t="s">
        <v>913</v>
      </c>
      <c r="D3605" t="s">
        <v>991</v>
      </c>
      <c r="E3605" t="s">
        <v>1085</v>
      </c>
      <c r="F3605">
        <v>3560</v>
      </c>
    </row>
    <row r="3606" spans="1:6">
      <c r="A3606" t="s">
        <v>27</v>
      </c>
      <c r="B3606" t="s">
        <v>78</v>
      </c>
      <c r="C3606" t="s">
        <v>913</v>
      </c>
      <c r="D3606" t="s">
        <v>991</v>
      </c>
      <c r="E3606" t="s">
        <v>1086</v>
      </c>
      <c r="F3606">
        <v>0</v>
      </c>
    </row>
    <row r="3607" spans="1:6">
      <c r="A3607" t="s">
        <v>27</v>
      </c>
      <c r="B3607" t="s">
        <v>78</v>
      </c>
      <c r="C3607" t="s">
        <v>913</v>
      </c>
      <c r="D3607" t="s">
        <v>991</v>
      </c>
      <c r="E3607" t="s">
        <v>1087</v>
      </c>
      <c r="F3607">
        <v>0</v>
      </c>
    </row>
    <row r="3608" spans="1:6">
      <c r="A3608" t="s">
        <v>27</v>
      </c>
      <c r="B3608" t="s">
        <v>78</v>
      </c>
      <c r="C3608" t="s">
        <v>913</v>
      </c>
      <c r="D3608" t="s">
        <v>991</v>
      </c>
      <c r="E3608" t="s">
        <v>1088</v>
      </c>
      <c r="F3608">
        <v>0</v>
      </c>
    </row>
    <row r="3609" spans="1:6">
      <c r="A3609" t="s">
        <v>27</v>
      </c>
      <c r="B3609" t="s">
        <v>78</v>
      </c>
      <c r="C3609" t="s">
        <v>913</v>
      </c>
      <c r="D3609" t="s">
        <v>991</v>
      </c>
      <c r="E3609" t="s">
        <v>1089</v>
      </c>
      <c r="F3609" t="s">
        <v>1009</v>
      </c>
    </row>
    <row r="3610" spans="1:6">
      <c r="A3610" t="s">
        <v>27</v>
      </c>
      <c r="B3610" t="s">
        <v>78</v>
      </c>
      <c r="C3610" t="s">
        <v>913</v>
      </c>
      <c r="D3610" t="s">
        <v>991</v>
      </c>
      <c r="E3610" t="s">
        <v>1090</v>
      </c>
      <c r="F3610">
        <v>66394</v>
      </c>
    </row>
    <row r="3611" spans="1:6">
      <c r="A3611" t="s">
        <v>27</v>
      </c>
      <c r="B3611" t="s">
        <v>78</v>
      </c>
      <c r="C3611" t="s">
        <v>913</v>
      </c>
      <c r="D3611" t="s">
        <v>1091</v>
      </c>
      <c r="E3611" t="s">
        <v>1276</v>
      </c>
      <c r="F3611" t="s">
        <v>1092</v>
      </c>
    </row>
    <row r="3612" spans="1:6">
      <c r="A3612" t="s">
        <v>27</v>
      </c>
      <c r="B3612" t="s">
        <v>78</v>
      </c>
      <c r="C3612" t="s">
        <v>913</v>
      </c>
      <c r="D3612" t="s">
        <v>1091</v>
      </c>
      <c r="E3612" t="s">
        <v>999</v>
      </c>
      <c r="F3612" t="s">
        <v>1094</v>
      </c>
    </row>
    <row r="3613" spans="1:6">
      <c r="A3613" t="s">
        <v>27</v>
      </c>
      <c r="B3613" t="s">
        <v>78</v>
      </c>
      <c r="C3613" t="s">
        <v>913</v>
      </c>
      <c r="D3613" t="s">
        <v>1091</v>
      </c>
      <c r="E3613" t="s">
        <v>1001</v>
      </c>
      <c r="F3613" t="s">
        <v>1406</v>
      </c>
    </row>
    <row r="3614" spans="1:6">
      <c r="A3614" t="s">
        <v>27</v>
      </c>
      <c r="B3614" t="s">
        <v>78</v>
      </c>
      <c r="C3614" t="s">
        <v>913</v>
      </c>
      <c r="D3614" t="s">
        <v>1091</v>
      </c>
      <c r="E3614" t="s">
        <v>1509</v>
      </c>
      <c r="F3614" t="s">
        <v>996</v>
      </c>
    </row>
    <row r="3615" spans="1:6">
      <c r="A3615" t="s">
        <v>27</v>
      </c>
      <c r="B3615" t="s">
        <v>78</v>
      </c>
      <c r="C3615" t="s">
        <v>913</v>
      </c>
      <c r="D3615" t="s">
        <v>1091</v>
      </c>
      <c r="E3615" t="s">
        <v>1510</v>
      </c>
      <c r="F3615" t="s">
        <v>1511</v>
      </c>
    </row>
    <row r="3616" spans="1:6">
      <c r="A3616" t="s">
        <v>27</v>
      </c>
      <c r="B3616" t="s">
        <v>78</v>
      </c>
      <c r="C3616" t="s">
        <v>913</v>
      </c>
      <c r="D3616" t="s">
        <v>1091</v>
      </c>
      <c r="E3616" t="s">
        <v>1283</v>
      </c>
      <c r="F3616" t="s">
        <v>1000</v>
      </c>
    </row>
    <row r="3617" spans="1:6">
      <c r="A3617" t="s">
        <v>27</v>
      </c>
      <c r="B3617" t="s">
        <v>78</v>
      </c>
      <c r="C3617" t="s">
        <v>913</v>
      </c>
      <c r="D3617" t="s">
        <v>1091</v>
      </c>
      <c r="E3617" t="s">
        <v>1285</v>
      </c>
      <c r="F3617" t="s">
        <v>10</v>
      </c>
    </row>
    <row r="3618" spans="1:6">
      <c r="A3618" t="s">
        <v>27</v>
      </c>
      <c r="B3618" t="s">
        <v>78</v>
      </c>
      <c r="C3618" t="s">
        <v>913</v>
      </c>
      <c r="D3618" t="s">
        <v>1091</v>
      </c>
      <c r="E3618" t="s">
        <v>1335</v>
      </c>
      <c r="F3618" t="s">
        <v>1095</v>
      </c>
    </row>
    <row r="3619" spans="1:6">
      <c r="A3619" t="s">
        <v>27</v>
      </c>
      <c r="B3619" t="s">
        <v>78</v>
      </c>
      <c r="C3619" t="s">
        <v>913</v>
      </c>
      <c r="D3619" t="s">
        <v>1091</v>
      </c>
      <c r="E3619" t="s">
        <v>1290</v>
      </c>
      <c r="F3619" t="s">
        <v>1005</v>
      </c>
    </row>
    <row r="3620" spans="1:6">
      <c r="A3620" t="s">
        <v>27</v>
      </c>
      <c r="B3620" t="s">
        <v>78</v>
      </c>
      <c r="C3620" t="s">
        <v>913</v>
      </c>
      <c r="D3620" t="s">
        <v>1091</v>
      </c>
      <c r="E3620" t="s">
        <v>1034</v>
      </c>
      <c r="F3620" t="s">
        <v>1097</v>
      </c>
    </row>
    <row r="3621" spans="1:6">
      <c r="A3621" t="s">
        <v>27</v>
      </c>
      <c r="B3621" t="s">
        <v>78</v>
      </c>
      <c r="C3621" t="s">
        <v>913</v>
      </c>
      <c r="D3621" t="s">
        <v>1091</v>
      </c>
      <c r="E3621" t="s">
        <v>1035</v>
      </c>
      <c r="F3621" t="s">
        <v>1098</v>
      </c>
    </row>
    <row r="3622" spans="1:6">
      <c r="A3622" t="s">
        <v>27</v>
      </c>
      <c r="B3622" t="s">
        <v>78</v>
      </c>
      <c r="C3622" t="s">
        <v>913</v>
      </c>
      <c r="D3622" t="s">
        <v>1091</v>
      </c>
      <c r="E3622" t="s">
        <v>1037</v>
      </c>
      <c r="F3622" t="s">
        <v>1009</v>
      </c>
    </row>
    <row r="3623" spans="1:6">
      <c r="A3623" t="s">
        <v>27</v>
      </c>
      <c r="B3623" t="s">
        <v>78</v>
      </c>
      <c r="C3623" t="s">
        <v>913</v>
      </c>
      <c r="D3623" t="s">
        <v>1091</v>
      </c>
      <c r="E3623" t="s">
        <v>1103</v>
      </c>
      <c r="F3623" t="s">
        <v>50</v>
      </c>
    </row>
    <row r="3624" spans="1:6">
      <c r="A3624" t="s">
        <v>27</v>
      </c>
      <c r="B3624" t="s">
        <v>78</v>
      </c>
      <c r="C3624" t="s">
        <v>913</v>
      </c>
      <c r="D3624" t="s">
        <v>1091</v>
      </c>
      <c r="E3624" t="s">
        <v>1104</v>
      </c>
      <c r="F3624">
        <v>2025</v>
      </c>
    </row>
    <row r="3625" spans="1:6">
      <c r="A3625" t="s">
        <v>27</v>
      </c>
      <c r="B3625" t="s">
        <v>78</v>
      </c>
      <c r="C3625" t="s">
        <v>913</v>
      </c>
      <c r="D3625" t="s">
        <v>1091</v>
      </c>
      <c r="E3625" t="s">
        <v>1105</v>
      </c>
      <c r="F3625">
        <v>2026</v>
      </c>
    </row>
    <row r="3626" spans="1:6">
      <c r="A3626" t="s">
        <v>27</v>
      </c>
      <c r="B3626" t="s">
        <v>78</v>
      </c>
      <c r="C3626" t="s">
        <v>913</v>
      </c>
      <c r="D3626" t="s">
        <v>1091</v>
      </c>
      <c r="E3626" t="s">
        <v>1038</v>
      </c>
      <c r="F3626" t="s">
        <v>1102</v>
      </c>
    </row>
    <row r="3627" spans="1:6">
      <c r="A3627" t="s">
        <v>27</v>
      </c>
      <c r="B3627" t="s">
        <v>78</v>
      </c>
      <c r="C3627" t="s">
        <v>913</v>
      </c>
      <c r="D3627" t="s">
        <v>1091</v>
      </c>
      <c r="E3627" t="s">
        <v>1039</v>
      </c>
      <c r="F3627">
        <v>32461784</v>
      </c>
    </row>
    <row r="3628" spans="1:6">
      <c r="A3628" t="s">
        <v>27</v>
      </c>
      <c r="B3628" t="s">
        <v>78</v>
      </c>
      <c r="C3628" t="s">
        <v>913</v>
      </c>
      <c r="D3628" t="s">
        <v>1091</v>
      </c>
      <c r="E3628" t="s">
        <v>1040</v>
      </c>
      <c r="F3628">
        <v>1979499</v>
      </c>
    </row>
    <row r="3629" spans="1:6">
      <c r="A3629" t="s">
        <v>27</v>
      </c>
      <c r="B3629" t="s">
        <v>78</v>
      </c>
      <c r="C3629" t="s">
        <v>913</v>
      </c>
      <c r="D3629" t="s">
        <v>1091</v>
      </c>
      <c r="E3629" t="s">
        <v>1041</v>
      </c>
      <c r="F3629">
        <v>15874670</v>
      </c>
    </row>
    <row r="3630" spans="1:6">
      <c r="A3630" t="s">
        <v>27</v>
      </c>
      <c r="B3630" t="s">
        <v>78</v>
      </c>
      <c r="C3630" t="s">
        <v>913</v>
      </c>
      <c r="D3630" t="s">
        <v>1091</v>
      </c>
      <c r="E3630" t="s">
        <v>1042</v>
      </c>
      <c r="F3630">
        <v>14607616</v>
      </c>
    </row>
    <row r="3631" spans="1:6">
      <c r="A3631" t="s">
        <v>27</v>
      </c>
      <c r="B3631" t="s">
        <v>78</v>
      </c>
      <c r="C3631" t="s">
        <v>913</v>
      </c>
      <c r="D3631" t="s">
        <v>1091</v>
      </c>
      <c r="E3631" t="s">
        <v>1052</v>
      </c>
      <c r="F3631" t="s">
        <v>1106</v>
      </c>
    </row>
    <row r="3632" spans="1:6">
      <c r="A3632" t="s">
        <v>27</v>
      </c>
      <c r="B3632" t="s">
        <v>78</v>
      </c>
      <c r="C3632" t="s">
        <v>913</v>
      </c>
      <c r="D3632" t="s">
        <v>1091</v>
      </c>
      <c r="E3632" t="s">
        <v>1053</v>
      </c>
      <c r="F3632">
        <v>31919651</v>
      </c>
    </row>
    <row r="3633" spans="1:6">
      <c r="A3633" t="s">
        <v>27</v>
      </c>
      <c r="B3633" t="s">
        <v>78</v>
      </c>
      <c r="C3633" t="s">
        <v>913</v>
      </c>
      <c r="D3633" t="s">
        <v>1091</v>
      </c>
      <c r="E3633" t="s">
        <v>1108</v>
      </c>
      <c r="F3633">
        <v>1988872</v>
      </c>
    </row>
    <row r="3634" spans="1:6">
      <c r="A3634" t="s">
        <v>27</v>
      </c>
      <c r="B3634" t="s">
        <v>78</v>
      </c>
      <c r="C3634" t="s">
        <v>913</v>
      </c>
      <c r="D3634" t="s">
        <v>1091</v>
      </c>
      <c r="E3634" t="s">
        <v>1109</v>
      </c>
      <c r="F3634">
        <v>15827152</v>
      </c>
    </row>
    <row r="3635" spans="1:6">
      <c r="A3635" t="s">
        <v>27</v>
      </c>
      <c r="B3635" t="s">
        <v>78</v>
      </c>
      <c r="C3635" t="s">
        <v>913</v>
      </c>
      <c r="D3635" t="s">
        <v>1091</v>
      </c>
      <c r="E3635" t="s">
        <v>1110</v>
      </c>
      <c r="F3635">
        <v>14103627</v>
      </c>
    </row>
    <row r="3636" spans="1:6">
      <c r="A3636" t="s">
        <v>27</v>
      </c>
      <c r="B3636" t="s">
        <v>78</v>
      </c>
      <c r="C3636" t="s">
        <v>913</v>
      </c>
      <c r="D3636" t="s">
        <v>1091</v>
      </c>
      <c r="E3636" t="s">
        <v>1111</v>
      </c>
      <c r="F3636" t="s">
        <v>1107</v>
      </c>
    </row>
    <row r="3637" spans="1:6">
      <c r="A3637" t="s">
        <v>27</v>
      </c>
      <c r="B3637" t="s">
        <v>78</v>
      </c>
      <c r="C3637" t="s">
        <v>913</v>
      </c>
      <c r="D3637" t="s">
        <v>1091</v>
      </c>
      <c r="E3637" t="s">
        <v>1113</v>
      </c>
      <c r="F3637">
        <v>8132453</v>
      </c>
    </row>
    <row r="3638" spans="1:6">
      <c r="A3638" t="s">
        <v>27</v>
      </c>
      <c r="B3638" t="s">
        <v>78</v>
      </c>
      <c r="C3638" t="s">
        <v>913</v>
      </c>
      <c r="D3638" t="s">
        <v>1091</v>
      </c>
      <c r="E3638" t="s">
        <v>1114</v>
      </c>
      <c r="F3638">
        <v>230893</v>
      </c>
    </row>
    <row r="3639" spans="1:6">
      <c r="A3639" t="s">
        <v>27</v>
      </c>
      <c r="B3639" t="s">
        <v>78</v>
      </c>
      <c r="C3639" t="s">
        <v>913</v>
      </c>
      <c r="D3639" t="s">
        <v>1091</v>
      </c>
      <c r="E3639" t="s">
        <v>1115</v>
      </c>
      <c r="F3639">
        <v>2826091</v>
      </c>
    </row>
    <row r="3640" spans="1:6">
      <c r="A3640" t="s">
        <v>27</v>
      </c>
      <c r="B3640" t="s">
        <v>78</v>
      </c>
      <c r="C3640" t="s">
        <v>913</v>
      </c>
      <c r="D3640" t="s">
        <v>1091</v>
      </c>
      <c r="E3640" t="s">
        <v>1116</v>
      </c>
      <c r="F3640">
        <v>5075468</v>
      </c>
    </row>
    <row r="3641" spans="1:6">
      <c r="A3641" t="s">
        <v>27</v>
      </c>
      <c r="B3641" t="s">
        <v>78</v>
      </c>
      <c r="C3641" t="s">
        <v>913</v>
      </c>
      <c r="D3641" t="s">
        <v>1091</v>
      </c>
      <c r="E3641" t="s">
        <v>1054</v>
      </c>
      <c r="F3641" t="s">
        <v>1307</v>
      </c>
    </row>
    <row r="3642" spans="1:6">
      <c r="A3642" t="s">
        <v>27</v>
      </c>
      <c r="B3642" t="s">
        <v>78</v>
      </c>
      <c r="C3642" t="s">
        <v>913</v>
      </c>
      <c r="D3642" t="s">
        <v>1091</v>
      </c>
      <c r="E3642" t="s">
        <v>1118</v>
      </c>
      <c r="F3642">
        <v>65461</v>
      </c>
    </row>
    <row r="3643" spans="1:6">
      <c r="A3643" t="s">
        <v>27</v>
      </c>
      <c r="B3643" t="s">
        <v>78</v>
      </c>
      <c r="C3643" t="s">
        <v>913</v>
      </c>
      <c r="D3643" t="s">
        <v>1091</v>
      </c>
      <c r="E3643" t="s">
        <v>1119</v>
      </c>
      <c r="F3643">
        <v>17364</v>
      </c>
    </row>
    <row r="3644" spans="1:6">
      <c r="A3644" t="s">
        <v>27</v>
      </c>
      <c r="B3644" t="s">
        <v>78</v>
      </c>
      <c r="C3644" t="s">
        <v>913</v>
      </c>
      <c r="D3644" t="s">
        <v>1091</v>
      </c>
      <c r="E3644" t="s">
        <v>1120</v>
      </c>
      <c r="F3644">
        <v>16585</v>
      </c>
    </row>
    <row r="3645" spans="1:6">
      <c r="A3645" t="s">
        <v>27</v>
      </c>
      <c r="B3645" t="s">
        <v>78</v>
      </c>
      <c r="C3645" t="s">
        <v>913</v>
      </c>
      <c r="D3645" t="s">
        <v>1091</v>
      </c>
      <c r="E3645" t="s">
        <v>1121</v>
      </c>
      <c r="F3645">
        <v>31511</v>
      </c>
    </row>
    <row r="3646" spans="1:6">
      <c r="A3646" t="s">
        <v>27</v>
      </c>
      <c r="B3646" t="s">
        <v>78</v>
      </c>
      <c r="C3646" t="s">
        <v>913</v>
      </c>
      <c r="D3646" t="s">
        <v>1091</v>
      </c>
      <c r="E3646" t="s">
        <v>1122</v>
      </c>
      <c r="F3646" t="s">
        <v>1308</v>
      </c>
    </row>
    <row r="3647" spans="1:6">
      <c r="A3647" t="s">
        <v>27</v>
      </c>
      <c r="B3647" t="s">
        <v>78</v>
      </c>
      <c r="C3647" t="s">
        <v>913</v>
      </c>
      <c r="D3647" t="s">
        <v>1091</v>
      </c>
      <c r="E3647" t="s">
        <v>1124</v>
      </c>
      <c r="F3647">
        <v>23721737</v>
      </c>
    </row>
    <row r="3648" spans="1:6">
      <c r="A3648" t="s">
        <v>27</v>
      </c>
      <c r="B3648" t="s">
        <v>78</v>
      </c>
      <c r="C3648" t="s">
        <v>913</v>
      </c>
      <c r="D3648" t="s">
        <v>1091</v>
      </c>
      <c r="E3648" t="s">
        <v>1126</v>
      </c>
      <c r="F3648">
        <v>1740614</v>
      </c>
    </row>
    <row r="3649" spans="1:6">
      <c r="A3649" t="s">
        <v>27</v>
      </c>
      <c r="B3649" t="s">
        <v>78</v>
      </c>
      <c r="C3649" t="s">
        <v>913</v>
      </c>
      <c r="D3649" t="s">
        <v>1091</v>
      </c>
      <c r="E3649" t="s">
        <v>1127</v>
      </c>
      <c r="F3649">
        <v>12984476</v>
      </c>
    </row>
    <row r="3650" spans="1:6">
      <c r="A3650" t="s">
        <v>27</v>
      </c>
      <c r="B3650" t="s">
        <v>78</v>
      </c>
      <c r="C3650" t="s">
        <v>913</v>
      </c>
      <c r="D3650" t="s">
        <v>1091</v>
      </c>
      <c r="E3650" t="s">
        <v>1128</v>
      </c>
      <c r="F3650">
        <v>8996648</v>
      </c>
    </row>
    <row r="3651" spans="1:6">
      <c r="A3651" t="s">
        <v>27</v>
      </c>
      <c r="B3651" t="s">
        <v>78</v>
      </c>
      <c r="C3651" t="s">
        <v>913</v>
      </c>
      <c r="D3651" t="s">
        <v>1091</v>
      </c>
      <c r="E3651" t="s">
        <v>1056</v>
      </c>
      <c r="F3651" t="s">
        <v>1123</v>
      </c>
    </row>
    <row r="3652" spans="1:6">
      <c r="A3652" t="s">
        <v>27</v>
      </c>
      <c r="B3652" t="s">
        <v>78</v>
      </c>
      <c r="C3652" t="s">
        <v>913</v>
      </c>
      <c r="D3652" t="s">
        <v>1091</v>
      </c>
      <c r="E3652" t="s">
        <v>1057</v>
      </c>
      <c r="F3652" t="s">
        <v>1315</v>
      </c>
    </row>
    <row r="3653" spans="1:6">
      <c r="A3653" t="s">
        <v>27</v>
      </c>
      <c r="B3653" t="s">
        <v>78</v>
      </c>
      <c r="C3653" t="s">
        <v>913</v>
      </c>
      <c r="D3653" t="s">
        <v>1091</v>
      </c>
      <c r="E3653" t="s">
        <v>1058</v>
      </c>
      <c r="F3653" t="s">
        <v>1125</v>
      </c>
    </row>
    <row r="3654" spans="1:6">
      <c r="A3654" t="s">
        <v>27</v>
      </c>
      <c r="B3654" t="s">
        <v>78</v>
      </c>
      <c r="C3654" t="s">
        <v>913</v>
      </c>
      <c r="D3654" t="s">
        <v>1091</v>
      </c>
      <c r="E3654" t="s">
        <v>1059</v>
      </c>
      <c r="F3654" t="s">
        <v>1125</v>
      </c>
    </row>
    <row r="3655" spans="1:6">
      <c r="A3655" t="s">
        <v>27</v>
      </c>
      <c r="B3655" t="s">
        <v>78</v>
      </c>
      <c r="C3655" t="s">
        <v>913</v>
      </c>
      <c r="D3655" t="s">
        <v>1091</v>
      </c>
      <c r="E3655" t="s">
        <v>1060</v>
      </c>
      <c r="F3655" t="s">
        <v>1232</v>
      </c>
    </row>
    <row r="3656" spans="1:6">
      <c r="A3656" t="s">
        <v>27</v>
      </c>
      <c r="B3656" t="s">
        <v>78</v>
      </c>
      <c r="C3656" t="s">
        <v>913</v>
      </c>
      <c r="D3656" t="s">
        <v>1091</v>
      </c>
      <c r="E3656" t="s">
        <v>1071</v>
      </c>
      <c r="F3656" t="s">
        <v>1130</v>
      </c>
    </row>
    <row r="3657" spans="1:6">
      <c r="A3657" t="s">
        <v>27</v>
      </c>
      <c r="B3657" t="s">
        <v>78</v>
      </c>
      <c r="C3657" t="s">
        <v>913</v>
      </c>
      <c r="D3657" t="s">
        <v>1091</v>
      </c>
      <c r="E3657" t="s">
        <v>1072</v>
      </c>
      <c r="F3657">
        <v>542133</v>
      </c>
    </row>
    <row r="3658" spans="1:6">
      <c r="A3658" t="s">
        <v>27</v>
      </c>
      <c r="B3658" t="s">
        <v>78</v>
      </c>
      <c r="C3658" t="s">
        <v>913</v>
      </c>
      <c r="D3658" t="s">
        <v>1091</v>
      </c>
      <c r="E3658" t="s">
        <v>1133</v>
      </c>
      <c r="F3658">
        <v>-9373</v>
      </c>
    </row>
    <row r="3659" spans="1:6">
      <c r="A3659" t="s">
        <v>27</v>
      </c>
      <c r="B3659" t="s">
        <v>78</v>
      </c>
      <c r="C3659" t="s">
        <v>913</v>
      </c>
      <c r="D3659" t="s">
        <v>1091</v>
      </c>
      <c r="E3659" t="s">
        <v>1134</v>
      </c>
      <c r="F3659">
        <v>47517</v>
      </c>
    </row>
    <row r="3660" spans="1:6">
      <c r="A3660" t="s">
        <v>27</v>
      </c>
      <c r="B3660" t="s">
        <v>78</v>
      </c>
      <c r="C3660" t="s">
        <v>913</v>
      </c>
      <c r="D3660" t="s">
        <v>1091</v>
      </c>
      <c r="E3660" t="s">
        <v>1135</v>
      </c>
      <c r="F3660">
        <v>503988</v>
      </c>
    </row>
    <row r="3661" spans="1:6">
      <c r="A3661" t="s">
        <v>27</v>
      </c>
      <c r="B3661" t="s">
        <v>78</v>
      </c>
      <c r="C3661" t="s">
        <v>913</v>
      </c>
      <c r="D3661" t="s">
        <v>1091</v>
      </c>
      <c r="E3661" t="s">
        <v>1073</v>
      </c>
      <c r="F3661" t="s">
        <v>1131</v>
      </c>
    </row>
    <row r="3662" spans="1:6">
      <c r="A3662" t="s">
        <v>27</v>
      </c>
      <c r="B3662" t="s">
        <v>78</v>
      </c>
      <c r="C3662" t="s">
        <v>913</v>
      </c>
      <c r="D3662" t="s">
        <v>1091</v>
      </c>
      <c r="E3662" t="s">
        <v>1074</v>
      </c>
      <c r="F3662" t="s">
        <v>1321</v>
      </c>
    </row>
    <row r="3663" spans="1:6">
      <c r="A3663" t="s">
        <v>27</v>
      </c>
      <c r="B3663" t="s">
        <v>78</v>
      </c>
      <c r="C3663" t="s">
        <v>913</v>
      </c>
      <c r="D3663" t="s">
        <v>1091</v>
      </c>
      <c r="E3663" t="s">
        <v>1296</v>
      </c>
      <c r="F3663" t="s">
        <v>1132</v>
      </c>
    </row>
    <row r="3664" spans="1:6">
      <c r="A3664" t="s">
        <v>27</v>
      </c>
      <c r="B3664" t="s">
        <v>78</v>
      </c>
      <c r="C3664" t="s">
        <v>913</v>
      </c>
      <c r="D3664" t="s">
        <v>1091</v>
      </c>
      <c r="E3664" t="s">
        <v>1297</v>
      </c>
      <c r="F3664" t="s">
        <v>1132</v>
      </c>
    </row>
    <row r="3665" spans="1:6">
      <c r="A3665" t="s">
        <v>27</v>
      </c>
      <c r="B3665" t="s">
        <v>78</v>
      </c>
      <c r="C3665" t="s">
        <v>913</v>
      </c>
      <c r="D3665" t="s">
        <v>1091</v>
      </c>
      <c r="E3665" t="s">
        <v>1364</v>
      </c>
      <c r="F3665" t="s">
        <v>1270</v>
      </c>
    </row>
    <row r="3666" spans="1:6">
      <c r="A3666" t="s">
        <v>27</v>
      </c>
      <c r="B3666" t="s">
        <v>78</v>
      </c>
      <c r="C3666" t="s">
        <v>913</v>
      </c>
      <c r="D3666" t="s">
        <v>1091</v>
      </c>
      <c r="E3666" t="s">
        <v>1090</v>
      </c>
      <c r="F3666" t="s">
        <v>1137</v>
      </c>
    </row>
    <row r="3667" spans="1:6">
      <c r="A3667" t="s">
        <v>27</v>
      </c>
      <c r="B3667" t="s">
        <v>78</v>
      </c>
      <c r="C3667" t="s">
        <v>913</v>
      </c>
      <c r="D3667" t="s">
        <v>1091</v>
      </c>
      <c r="E3667" t="s">
        <v>1139</v>
      </c>
      <c r="F3667">
        <v>0</v>
      </c>
    </row>
    <row r="3668" spans="1:6">
      <c r="A3668" t="s">
        <v>27</v>
      </c>
      <c r="B3668" t="s">
        <v>78</v>
      </c>
      <c r="C3668" t="s">
        <v>913</v>
      </c>
      <c r="D3668" t="s">
        <v>1091</v>
      </c>
      <c r="E3668" t="s">
        <v>1140</v>
      </c>
      <c r="F3668">
        <v>0</v>
      </c>
    </row>
    <row r="3669" spans="1:6">
      <c r="A3669" t="s">
        <v>27</v>
      </c>
      <c r="B3669" t="s">
        <v>78</v>
      </c>
      <c r="C3669" t="s">
        <v>913</v>
      </c>
      <c r="D3669" t="s">
        <v>1091</v>
      </c>
      <c r="E3669" t="s">
        <v>1141</v>
      </c>
      <c r="F3669">
        <v>0</v>
      </c>
    </row>
    <row r="3670" spans="1:6">
      <c r="A3670" t="s">
        <v>27</v>
      </c>
      <c r="B3670" t="s">
        <v>78</v>
      </c>
      <c r="C3670" t="s">
        <v>913</v>
      </c>
      <c r="D3670" t="s">
        <v>1091</v>
      </c>
      <c r="E3670" t="s">
        <v>1298</v>
      </c>
      <c r="F3670" t="s">
        <v>1138</v>
      </c>
    </row>
    <row r="3671" spans="1:6">
      <c r="A3671" t="s">
        <v>27</v>
      </c>
      <c r="B3671" t="s">
        <v>78</v>
      </c>
      <c r="C3671" t="s">
        <v>913</v>
      </c>
      <c r="D3671" t="s">
        <v>1091</v>
      </c>
      <c r="E3671" t="s">
        <v>1299</v>
      </c>
      <c r="F3671" t="s">
        <v>1132</v>
      </c>
    </row>
    <row r="3672" spans="1:6">
      <c r="A3672" t="s">
        <v>27</v>
      </c>
      <c r="B3672" t="s">
        <v>78</v>
      </c>
      <c r="C3672" t="s">
        <v>913</v>
      </c>
      <c r="D3672" t="s">
        <v>1091</v>
      </c>
      <c r="E3672" t="s">
        <v>1300</v>
      </c>
      <c r="F3672" t="s">
        <v>1132</v>
      </c>
    </row>
    <row r="3673" spans="1:6">
      <c r="A3673" t="s">
        <v>27</v>
      </c>
      <c r="B3673" t="s">
        <v>78</v>
      </c>
      <c r="C3673" t="s">
        <v>913</v>
      </c>
      <c r="D3673" t="s">
        <v>1091</v>
      </c>
      <c r="E3673" t="s">
        <v>1426</v>
      </c>
      <c r="F3673" t="s">
        <v>1376</v>
      </c>
    </row>
    <row r="3674" spans="1:6">
      <c r="A3674" t="s">
        <v>27</v>
      </c>
      <c r="B3674" t="s">
        <v>78</v>
      </c>
      <c r="C3674" t="s">
        <v>913</v>
      </c>
      <c r="D3674" t="s">
        <v>1091</v>
      </c>
      <c r="E3674" t="s">
        <v>1554</v>
      </c>
      <c r="F3674" t="s">
        <v>1144</v>
      </c>
    </row>
    <row r="3675" spans="1:6">
      <c r="A3675" t="s">
        <v>27</v>
      </c>
      <c r="B3675" t="s">
        <v>78</v>
      </c>
      <c r="C3675" t="s">
        <v>913</v>
      </c>
      <c r="D3675" t="s">
        <v>1091</v>
      </c>
      <c r="E3675" t="s">
        <v>1434</v>
      </c>
      <c r="F3675" t="s">
        <v>1146</v>
      </c>
    </row>
    <row r="3676" spans="1:6">
      <c r="A3676" t="s">
        <v>27</v>
      </c>
      <c r="B3676" t="s">
        <v>78</v>
      </c>
      <c r="C3676" t="s">
        <v>913</v>
      </c>
      <c r="D3676" t="s">
        <v>1091</v>
      </c>
      <c r="E3676" t="s">
        <v>1555</v>
      </c>
      <c r="F3676" t="s">
        <v>1148</v>
      </c>
    </row>
    <row r="3677" spans="1:6">
      <c r="A3677" t="s">
        <v>27</v>
      </c>
      <c r="B3677" t="s">
        <v>78</v>
      </c>
      <c r="C3677" t="s">
        <v>913</v>
      </c>
      <c r="D3677" t="s">
        <v>1091</v>
      </c>
      <c r="E3677" t="s">
        <v>1151</v>
      </c>
      <c r="F3677" t="s">
        <v>1150</v>
      </c>
    </row>
    <row r="3678" spans="1:6">
      <c r="A3678" t="s">
        <v>27</v>
      </c>
      <c r="B3678" t="s">
        <v>78</v>
      </c>
      <c r="C3678" t="s">
        <v>913</v>
      </c>
      <c r="D3678" t="s">
        <v>1091</v>
      </c>
      <c r="E3678" t="s">
        <v>1166</v>
      </c>
      <c r="F3678" t="s">
        <v>1009</v>
      </c>
    </row>
    <row r="3679" spans="1:6">
      <c r="A3679" t="s">
        <v>27</v>
      </c>
      <c r="B3679" t="s">
        <v>78</v>
      </c>
      <c r="C3679" t="s">
        <v>913</v>
      </c>
      <c r="D3679" t="s">
        <v>1091</v>
      </c>
      <c r="E3679" t="s">
        <v>1167</v>
      </c>
      <c r="F3679" t="s">
        <v>1550</v>
      </c>
    </row>
    <row r="3680" spans="1:6">
      <c r="A3680" t="s">
        <v>27</v>
      </c>
      <c r="B3680" t="s">
        <v>78</v>
      </c>
      <c r="C3680" t="s">
        <v>913</v>
      </c>
      <c r="D3680" t="s">
        <v>1091</v>
      </c>
      <c r="E3680" t="s">
        <v>1168</v>
      </c>
      <c r="F3680" t="s">
        <v>1551</v>
      </c>
    </row>
    <row r="3681" spans="1:6">
      <c r="A3681" t="s">
        <v>27</v>
      </c>
      <c r="B3681" t="s">
        <v>78</v>
      </c>
      <c r="C3681" t="s">
        <v>913</v>
      </c>
      <c r="D3681" t="s">
        <v>1091</v>
      </c>
      <c r="E3681" t="s">
        <v>1169</v>
      </c>
      <c r="F3681" t="s">
        <v>1552</v>
      </c>
    </row>
    <row r="3682" spans="1:6">
      <c r="A3682" t="s">
        <v>27</v>
      </c>
      <c r="B3682" t="s">
        <v>78</v>
      </c>
      <c r="C3682" t="s">
        <v>913</v>
      </c>
      <c r="D3682" t="s">
        <v>1091</v>
      </c>
      <c r="E3682" t="s">
        <v>1170</v>
      </c>
      <c r="F3682" t="s">
        <v>1153</v>
      </c>
    </row>
    <row r="3683" spans="1:6">
      <c r="A3683" t="s">
        <v>27</v>
      </c>
      <c r="B3683" t="s">
        <v>78</v>
      </c>
      <c r="C3683" t="s">
        <v>913</v>
      </c>
      <c r="D3683" t="s">
        <v>1091</v>
      </c>
      <c r="E3683" t="s">
        <v>1171</v>
      </c>
      <c r="F3683" t="s">
        <v>1155</v>
      </c>
    </row>
    <row r="3684" spans="1:6">
      <c r="A3684" t="s">
        <v>27</v>
      </c>
      <c r="B3684" t="s">
        <v>78</v>
      </c>
      <c r="C3684" t="s">
        <v>913</v>
      </c>
      <c r="D3684" t="s">
        <v>1091</v>
      </c>
      <c r="E3684" t="s">
        <v>1172</v>
      </c>
      <c r="F3684" t="s">
        <v>1157</v>
      </c>
    </row>
    <row r="3685" spans="1:6">
      <c r="A3685" t="s">
        <v>27</v>
      </c>
      <c r="B3685" t="s">
        <v>78</v>
      </c>
      <c r="C3685" t="s">
        <v>913</v>
      </c>
      <c r="D3685" t="s">
        <v>1091</v>
      </c>
      <c r="E3685" t="s">
        <v>1173</v>
      </c>
      <c r="F3685" t="s">
        <v>1165</v>
      </c>
    </row>
    <row r="3686" spans="1:6">
      <c r="A3686" t="s">
        <v>27</v>
      </c>
      <c r="B3686" t="s">
        <v>78</v>
      </c>
      <c r="C3686" t="s">
        <v>913</v>
      </c>
      <c r="D3686" t="s">
        <v>1091</v>
      </c>
      <c r="E3686" t="s">
        <v>1175</v>
      </c>
      <c r="F3686">
        <v>14131392</v>
      </c>
    </row>
    <row r="3687" spans="1:6">
      <c r="A3687" t="s">
        <v>27</v>
      </c>
      <c r="B3687" t="s">
        <v>78</v>
      </c>
      <c r="C3687" t="s">
        <v>913</v>
      </c>
      <c r="D3687" t="s">
        <v>1091</v>
      </c>
      <c r="E3687" t="s">
        <v>1176</v>
      </c>
      <c r="F3687">
        <v>1001410</v>
      </c>
    </row>
    <row r="3688" spans="1:6">
      <c r="A3688" t="s">
        <v>27</v>
      </c>
      <c r="B3688" t="s">
        <v>78</v>
      </c>
      <c r="C3688" t="s">
        <v>913</v>
      </c>
      <c r="D3688" t="s">
        <v>1091</v>
      </c>
      <c r="E3688" t="s">
        <v>1177</v>
      </c>
      <c r="F3688">
        <v>1234586</v>
      </c>
    </row>
    <row r="3689" spans="1:6">
      <c r="A3689" t="s">
        <v>27</v>
      </c>
      <c r="B3689" t="s">
        <v>78</v>
      </c>
      <c r="C3689" t="s">
        <v>913</v>
      </c>
      <c r="D3689" t="s">
        <v>1091</v>
      </c>
      <c r="E3689" t="s">
        <v>1178</v>
      </c>
      <c r="F3689">
        <v>1649935</v>
      </c>
    </row>
    <row r="3690" spans="1:6">
      <c r="A3690" t="s">
        <v>27</v>
      </c>
      <c r="B3690" t="s">
        <v>78</v>
      </c>
      <c r="C3690" t="s">
        <v>913</v>
      </c>
      <c r="D3690" t="s">
        <v>1091</v>
      </c>
      <c r="E3690" t="s">
        <v>1179</v>
      </c>
      <c r="F3690">
        <v>2534318</v>
      </c>
    </row>
    <row r="3691" spans="1:6">
      <c r="A3691" t="s">
        <v>27</v>
      </c>
      <c r="B3691" t="s">
        <v>78</v>
      </c>
      <c r="C3691" t="s">
        <v>913</v>
      </c>
      <c r="D3691" t="s">
        <v>1091</v>
      </c>
      <c r="E3691" t="s">
        <v>1180</v>
      </c>
      <c r="F3691">
        <v>3650675</v>
      </c>
    </row>
    <row r="3692" spans="1:6">
      <c r="A3692" t="s">
        <v>27</v>
      </c>
      <c r="B3692" t="s">
        <v>78</v>
      </c>
      <c r="C3692" t="s">
        <v>913</v>
      </c>
      <c r="D3692" t="s">
        <v>1091</v>
      </c>
      <c r="E3692" t="s">
        <v>1181</v>
      </c>
      <c r="F3692">
        <v>4060466</v>
      </c>
    </row>
    <row r="3693" spans="1:6">
      <c r="A3693" t="s">
        <v>27</v>
      </c>
      <c r="B3693" t="s">
        <v>78</v>
      </c>
      <c r="C3693" t="s">
        <v>913</v>
      </c>
      <c r="D3693" t="s">
        <v>1091</v>
      </c>
      <c r="E3693" t="s">
        <v>1556</v>
      </c>
      <c r="F3693" t="s">
        <v>1174</v>
      </c>
    </row>
    <row r="3694" spans="1:6">
      <c r="A3694" t="s">
        <v>27</v>
      </c>
      <c r="B3694" t="s">
        <v>78</v>
      </c>
      <c r="C3694" t="s">
        <v>913</v>
      </c>
      <c r="D3694" t="s">
        <v>1091</v>
      </c>
      <c r="E3694" t="s">
        <v>1452</v>
      </c>
      <c r="F3694">
        <v>17589</v>
      </c>
    </row>
    <row r="3695" spans="1:6">
      <c r="A3695" t="s">
        <v>27</v>
      </c>
      <c r="B3695" t="s">
        <v>78</v>
      </c>
      <c r="C3695" t="s">
        <v>913</v>
      </c>
      <c r="D3695" t="s">
        <v>1091</v>
      </c>
      <c r="E3695" t="s">
        <v>1454</v>
      </c>
      <c r="F3695">
        <v>2643</v>
      </c>
    </row>
    <row r="3696" spans="1:6">
      <c r="A3696" t="s">
        <v>27</v>
      </c>
      <c r="B3696" t="s">
        <v>78</v>
      </c>
      <c r="C3696" t="s">
        <v>913</v>
      </c>
      <c r="D3696" t="s">
        <v>1091</v>
      </c>
      <c r="E3696" t="s">
        <v>1455</v>
      </c>
      <c r="F3696">
        <v>2780</v>
      </c>
    </row>
    <row r="3697" spans="1:6">
      <c r="A3697" t="s">
        <v>27</v>
      </c>
      <c r="B3697" t="s">
        <v>78</v>
      </c>
      <c r="C3697" t="s">
        <v>913</v>
      </c>
      <c r="D3697" t="s">
        <v>1091</v>
      </c>
      <c r="E3697" t="s">
        <v>1456</v>
      </c>
      <c r="F3697">
        <v>2993</v>
      </c>
    </row>
    <row r="3698" spans="1:6">
      <c r="A3698" t="s">
        <v>27</v>
      </c>
      <c r="B3698" t="s">
        <v>78</v>
      </c>
      <c r="C3698" t="s">
        <v>913</v>
      </c>
      <c r="D3698" t="s">
        <v>1091</v>
      </c>
      <c r="E3698" t="s">
        <v>1458</v>
      </c>
      <c r="F3698">
        <v>2789</v>
      </c>
    </row>
    <row r="3699" spans="1:6">
      <c r="A3699" t="s">
        <v>27</v>
      </c>
      <c r="B3699" t="s">
        <v>78</v>
      </c>
      <c r="C3699" t="s">
        <v>913</v>
      </c>
      <c r="D3699" t="s">
        <v>1091</v>
      </c>
      <c r="E3699" t="s">
        <v>1557</v>
      </c>
      <c r="F3699">
        <v>3258</v>
      </c>
    </row>
    <row r="3700" spans="1:6">
      <c r="A3700" t="s">
        <v>27</v>
      </c>
      <c r="B3700" t="s">
        <v>78</v>
      </c>
      <c r="C3700" t="s">
        <v>913</v>
      </c>
      <c r="D3700" t="s">
        <v>1091</v>
      </c>
      <c r="E3700" t="s">
        <v>1558</v>
      </c>
      <c r="F3700">
        <v>3126</v>
      </c>
    </row>
    <row r="3701" spans="1:6">
      <c r="A3701" t="s">
        <v>27</v>
      </c>
      <c r="B3701" t="s">
        <v>78</v>
      </c>
      <c r="C3701" t="s">
        <v>913</v>
      </c>
      <c r="D3701" t="s">
        <v>1091</v>
      </c>
      <c r="E3701" t="s">
        <v>1191</v>
      </c>
      <c r="F3701" t="s">
        <v>1183</v>
      </c>
    </row>
    <row r="3702" spans="1:6">
      <c r="A3702" t="s">
        <v>27</v>
      </c>
      <c r="B3702" t="s">
        <v>78</v>
      </c>
      <c r="C3702" t="s">
        <v>913</v>
      </c>
      <c r="D3702" t="s">
        <v>1091</v>
      </c>
      <c r="E3702" t="s">
        <v>1463</v>
      </c>
      <c r="F3702">
        <v>13965535</v>
      </c>
    </row>
    <row r="3703" spans="1:6">
      <c r="A3703" t="s">
        <v>27</v>
      </c>
      <c r="B3703" t="s">
        <v>78</v>
      </c>
      <c r="C3703" t="s">
        <v>913</v>
      </c>
      <c r="D3703" t="s">
        <v>1091</v>
      </c>
      <c r="E3703" t="s">
        <v>1193</v>
      </c>
      <c r="F3703">
        <v>969719</v>
      </c>
    </row>
    <row r="3704" spans="1:6">
      <c r="A3704" t="s">
        <v>27</v>
      </c>
      <c r="B3704" t="s">
        <v>78</v>
      </c>
      <c r="C3704" t="s">
        <v>913</v>
      </c>
      <c r="D3704" t="s">
        <v>1091</v>
      </c>
      <c r="E3704" t="s">
        <v>1194</v>
      </c>
      <c r="F3704">
        <v>1200177</v>
      </c>
    </row>
    <row r="3705" spans="1:6">
      <c r="A3705" t="s">
        <v>27</v>
      </c>
      <c r="B3705" t="s">
        <v>78</v>
      </c>
      <c r="C3705" t="s">
        <v>913</v>
      </c>
      <c r="D3705" t="s">
        <v>1091</v>
      </c>
      <c r="E3705" t="s">
        <v>1195</v>
      </c>
      <c r="F3705">
        <v>1605668</v>
      </c>
    </row>
    <row r="3706" spans="1:6">
      <c r="A3706" t="s">
        <v>27</v>
      </c>
      <c r="B3706" t="s">
        <v>78</v>
      </c>
      <c r="C3706" t="s">
        <v>913</v>
      </c>
      <c r="D3706" t="s">
        <v>1091</v>
      </c>
      <c r="E3706" t="s">
        <v>1196</v>
      </c>
      <c r="F3706">
        <v>2512855</v>
      </c>
    </row>
    <row r="3707" spans="1:6">
      <c r="A3707" t="s">
        <v>27</v>
      </c>
      <c r="B3707" t="s">
        <v>78</v>
      </c>
      <c r="C3707" t="s">
        <v>913</v>
      </c>
      <c r="D3707" t="s">
        <v>1091</v>
      </c>
      <c r="E3707" t="s">
        <v>1197</v>
      </c>
      <c r="F3707">
        <v>3628953</v>
      </c>
    </row>
    <row r="3708" spans="1:6">
      <c r="A3708" t="s">
        <v>27</v>
      </c>
      <c r="B3708" t="s">
        <v>78</v>
      </c>
      <c r="C3708" t="s">
        <v>913</v>
      </c>
      <c r="D3708" t="s">
        <v>1091</v>
      </c>
      <c r="E3708" t="s">
        <v>1198</v>
      </c>
      <c r="F3708">
        <v>4048164</v>
      </c>
    </row>
    <row r="3709" spans="1:6">
      <c r="A3709" t="s">
        <v>27</v>
      </c>
      <c r="B3709" t="s">
        <v>78</v>
      </c>
      <c r="C3709" t="s">
        <v>913</v>
      </c>
      <c r="D3709" t="s">
        <v>1091</v>
      </c>
      <c r="E3709" t="s">
        <v>1199</v>
      </c>
      <c r="F3709" t="s">
        <v>1192</v>
      </c>
    </row>
    <row r="3710" spans="1:6">
      <c r="A3710" t="s">
        <v>27</v>
      </c>
      <c r="B3710" t="s">
        <v>78</v>
      </c>
      <c r="C3710" t="s">
        <v>913</v>
      </c>
      <c r="D3710" t="s">
        <v>1091</v>
      </c>
      <c r="E3710" t="s">
        <v>1468</v>
      </c>
      <c r="F3710">
        <v>1319</v>
      </c>
    </row>
    <row r="3711" spans="1:6">
      <c r="A3711" t="s">
        <v>27</v>
      </c>
      <c r="B3711" t="s">
        <v>78</v>
      </c>
      <c r="C3711" t="s">
        <v>913</v>
      </c>
      <c r="D3711" t="s">
        <v>1091</v>
      </c>
      <c r="E3711" t="s">
        <v>1469</v>
      </c>
      <c r="F3711">
        <v>1378</v>
      </c>
    </row>
    <row r="3712" spans="1:6">
      <c r="A3712" t="s">
        <v>27</v>
      </c>
      <c r="B3712" t="s">
        <v>78</v>
      </c>
      <c r="C3712" t="s">
        <v>913</v>
      </c>
      <c r="D3712" t="s">
        <v>1091</v>
      </c>
      <c r="E3712" t="s">
        <v>1470</v>
      </c>
      <c r="F3712">
        <v>1896</v>
      </c>
    </row>
    <row r="3713" spans="1:6">
      <c r="A3713" t="s">
        <v>27</v>
      </c>
      <c r="B3713" t="s">
        <v>78</v>
      </c>
      <c r="C3713" t="s">
        <v>913</v>
      </c>
      <c r="D3713" t="s">
        <v>1091</v>
      </c>
      <c r="E3713" t="s">
        <v>1472</v>
      </c>
      <c r="F3713">
        <v>2335</v>
      </c>
    </row>
    <row r="3714" spans="1:6">
      <c r="A3714" t="s">
        <v>27</v>
      </c>
      <c r="B3714" t="s">
        <v>78</v>
      </c>
      <c r="C3714" t="s">
        <v>913</v>
      </c>
      <c r="D3714" t="s">
        <v>1091</v>
      </c>
      <c r="E3714" t="s">
        <v>1559</v>
      </c>
      <c r="F3714">
        <v>2880</v>
      </c>
    </row>
    <row r="3715" spans="1:6">
      <c r="A3715" t="s">
        <v>27</v>
      </c>
      <c r="B3715" t="s">
        <v>78</v>
      </c>
      <c r="C3715" t="s">
        <v>913</v>
      </c>
      <c r="D3715" t="s">
        <v>1091</v>
      </c>
      <c r="E3715" t="s">
        <v>1560</v>
      </c>
      <c r="F3715">
        <v>2938</v>
      </c>
    </row>
    <row r="3716" spans="1:6">
      <c r="A3716" t="s">
        <v>27</v>
      </c>
      <c r="B3716" t="s">
        <v>78</v>
      </c>
      <c r="C3716" t="s">
        <v>913</v>
      </c>
      <c r="D3716" t="s">
        <v>1091</v>
      </c>
      <c r="E3716" t="s">
        <v>1201</v>
      </c>
      <c r="F3716" t="s">
        <v>1200</v>
      </c>
    </row>
    <row r="3717" spans="1:6">
      <c r="A3717" t="s">
        <v>27</v>
      </c>
      <c r="B3717" t="s">
        <v>78</v>
      </c>
      <c r="C3717" t="s">
        <v>913</v>
      </c>
      <c r="D3717" t="s">
        <v>1091</v>
      </c>
      <c r="E3717" t="s">
        <v>1209</v>
      </c>
      <c r="F3717" t="s">
        <v>1107</v>
      </c>
    </row>
    <row r="3718" spans="1:6">
      <c r="A3718" t="s">
        <v>27</v>
      </c>
      <c r="B3718" t="s">
        <v>78</v>
      </c>
      <c r="C3718" t="s">
        <v>913</v>
      </c>
      <c r="D3718" t="s">
        <v>1091</v>
      </c>
      <c r="E3718" t="s">
        <v>1210</v>
      </c>
      <c r="F3718">
        <v>5001730</v>
      </c>
    </row>
    <row r="3719" spans="1:6">
      <c r="A3719" t="s">
        <v>27</v>
      </c>
      <c r="B3719" t="s">
        <v>78</v>
      </c>
      <c r="C3719" t="s">
        <v>913</v>
      </c>
      <c r="D3719" t="s">
        <v>1091</v>
      </c>
      <c r="E3719" t="s">
        <v>1211</v>
      </c>
      <c r="F3719">
        <v>54571</v>
      </c>
    </row>
    <row r="3720" spans="1:6">
      <c r="A3720" t="s">
        <v>27</v>
      </c>
      <c r="B3720" t="s">
        <v>78</v>
      </c>
      <c r="C3720" t="s">
        <v>913</v>
      </c>
      <c r="D3720" t="s">
        <v>1091</v>
      </c>
      <c r="E3720" t="s">
        <v>1212</v>
      </c>
      <c r="F3720">
        <v>83327</v>
      </c>
    </row>
    <row r="3721" spans="1:6">
      <c r="A3721" t="s">
        <v>27</v>
      </c>
      <c r="B3721" t="s">
        <v>78</v>
      </c>
      <c r="C3721" t="s">
        <v>913</v>
      </c>
      <c r="D3721" t="s">
        <v>1091</v>
      </c>
      <c r="E3721" t="s">
        <v>1213</v>
      </c>
      <c r="F3721">
        <v>109120</v>
      </c>
    </row>
    <row r="3722" spans="1:6">
      <c r="A3722" t="s">
        <v>27</v>
      </c>
      <c r="B3722" t="s">
        <v>78</v>
      </c>
      <c r="C3722" t="s">
        <v>913</v>
      </c>
      <c r="D3722" t="s">
        <v>1091</v>
      </c>
      <c r="E3722" t="s">
        <v>1214</v>
      </c>
      <c r="F3722">
        <v>418075</v>
      </c>
    </row>
    <row r="3723" spans="1:6">
      <c r="A3723" t="s">
        <v>27</v>
      </c>
      <c r="B3723" t="s">
        <v>78</v>
      </c>
      <c r="C3723" t="s">
        <v>913</v>
      </c>
      <c r="D3723" t="s">
        <v>1091</v>
      </c>
      <c r="E3723" t="s">
        <v>1215</v>
      </c>
      <c r="F3723">
        <v>1989474</v>
      </c>
    </row>
    <row r="3724" spans="1:6">
      <c r="A3724" t="s">
        <v>27</v>
      </c>
      <c r="B3724" t="s">
        <v>78</v>
      </c>
      <c r="C3724" t="s">
        <v>913</v>
      </c>
      <c r="D3724" t="s">
        <v>1091</v>
      </c>
      <c r="E3724" t="s">
        <v>1216</v>
      </c>
      <c r="F3724">
        <v>2347164</v>
      </c>
    </row>
    <row r="3725" spans="1:6">
      <c r="A3725" t="s">
        <v>27</v>
      </c>
      <c r="B3725" t="s">
        <v>78</v>
      </c>
      <c r="C3725" t="s">
        <v>913</v>
      </c>
      <c r="D3725" t="s">
        <v>1091</v>
      </c>
      <c r="E3725" t="s">
        <v>1217</v>
      </c>
      <c r="F3725" t="s">
        <v>1307</v>
      </c>
    </row>
    <row r="3726" spans="1:6">
      <c r="A3726" t="s">
        <v>27</v>
      </c>
      <c r="B3726" t="s">
        <v>78</v>
      </c>
      <c r="C3726" t="s">
        <v>913</v>
      </c>
      <c r="D3726" t="s">
        <v>1091</v>
      </c>
      <c r="E3726" t="s">
        <v>1218</v>
      </c>
      <c r="F3726">
        <v>29245</v>
      </c>
    </row>
    <row r="3727" spans="1:6">
      <c r="A3727" t="s">
        <v>27</v>
      </c>
      <c r="B3727" t="s">
        <v>78</v>
      </c>
      <c r="C3727" t="s">
        <v>913</v>
      </c>
      <c r="D3727" t="s">
        <v>1091</v>
      </c>
      <c r="E3727" t="s">
        <v>1219</v>
      </c>
      <c r="F3727">
        <v>149</v>
      </c>
    </row>
    <row r="3728" spans="1:6">
      <c r="A3728" t="s">
        <v>27</v>
      </c>
      <c r="B3728" t="s">
        <v>78</v>
      </c>
      <c r="C3728" t="s">
        <v>913</v>
      </c>
      <c r="D3728" t="s">
        <v>1091</v>
      </c>
      <c r="E3728" t="s">
        <v>1220</v>
      </c>
      <c r="F3728">
        <v>6237</v>
      </c>
    </row>
    <row r="3729" spans="1:6">
      <c r="A3729" t="s">
        <v>27</v>
      </c>
      <c r="B3729" t="s">
        <v>78</v>
      </c>
      <c r="C3729" t="s">
        <v>913</v>
      </c>
      <c r="D3729" t="s">
        <v>1091</v>
      </c>
      <c r="E3729" t="s">
        <v>1221</v>
      </c>
      <c r="F3729">
        <v>17939</v>
      </c>
    </row>
    <row r="3730" spans="1:6">
      <c r="A3730" t="s">
        <v>27</v>
      </c>
      <c r="B3730" t="s">
        <v>78</v>
      </c>
      <c r="C3730" t="s">
        <v>913</v>
      </c>
      <c r="D3730" t="s">
        <v>1091</v>
      </c>
      <c r="E3730" t="s">
        <v>1222</v>
      </c>
      <c r="F3730">
        <v>3785</v>
      </c>
    </row>
    <row r="3731" spans="1:6">
      <c r="A3731" t="s">
        <v>27</v>
      </c>
      <c r="B3731" t="s">
        <v>78</v>
      </c>
      <c r="C3731" t="s">
        <v>913</v>
      </c>
      <c r="D3731" t="s">
        <v>1091</v>
      </c>
      <c r="E3731" t="s">
        <v>1223</v>
      </c>
      <c r="F3731">
        <v>0</v>
      </c>
    </row>
    <row r="3732" spans="1:6">
      <c r="A3732" t="s">
        <v>27</v>
      </c>
      <c r="B3732" t="s">
        <v>78</v>
      </c>
      <c r="C3732" t="s">
        <v>913</v>
      </c>
      <c r="D3732" t="s">
        <v>1091</v>
      </c>
      <c r="E3732" t="s">
        <v>1224</v>
      </c>
      <c r="F3732">
        <v>1136</v>
      </c>
    </row>
    <row r="3733" spans="1:6">
      <c r="A3733" t="s">
        <v>27</v>
      </c>
      <c r="B3733" t="s">
        <v>78</v>
      </c>
      <c r="C3733" t="s">
        <v>913</v>
      </c>
      <c r="D3733" t="s">
        <v>1091</v>
      </c>
      <c r="E3733" t="s">
        <v>1225</v>
      </c>
      <c r="F3733" t="s">
        <v>1308</v>
      </c>
    </row>
    <row r="3734" spans="1:6">
      <c r="A3734" t="s">
        <v>27</v>
      </c>
      <c r="B3734" t="s">
        <v>78</v>
      </c>
      <c r="C3734" t="s">
        <v>913</v>
      </c>
      <c r="D3734" t="s">
        <v>1091</v>
      </c>
      <c r="E3734" t="s">
        <v>1480</v>
      </c>
      <c r="F3734">
        <v>8934560</v>
      </c>
    </row>
    <row r="3735" spans="1:6">
      <c r="A3735" t="s">
        <v>27</v>
      </c>
      <c r="B3735" t="s">
        <v>78</v>
      </c>
      <c r="C3735" t="s">
        <v>913</v>
      </c>
      <c r="D3735" t="s">
        <v>1091</v>
      </c>
      <c r="E3735" t="s">
        <v>1227</v>
      </c>
      <c r="F3735">
        <v>914999</v>
      </c>
    </row>
    <row r="3736" spans="1:6">
      <c r="A3736" t="s">
        <v>27</v>
      </c>
      <c r="B3736" t="s">
        <v>78</v>
      </c>
      <c r="C3736" t="s">
        <v>913</v>
      </c>
      <c r="D3736" t="s">
        <v>1091</v>
      </c>
      <c r="E3736" t="s">
        <v>1228</v>
      </c>
      <c r="F3736">
        <v>1110613</v>
      </c>
    </row>
    <row r="3737" spans="1:6">
      <c r="A3737" t="s">
        <v>27</v>
      </c>
      <c r="B3737" t="s">
        <v>78</v>
      </c>
      <c r="C3737" t="s">
        <v>913</v>
      </c>
      <c r="D3737" t="s">
        <v>1091</v>
      </c>
      <c r="E3737" t="s">
        <v>1230</v>
      </c>
      <c r="F3737">
        <v>1478610</v>
      </c>
    </row>
    <row r="3738" spans="1:6">
      <c r="A3738" t="s">
        <v>27</v>
      </c>
      <c r="B3738" t="s">
        <v>78</v>
      </c>
      <c r="C3738" t="s">
        <v>913</v>
      </c>
      <c r="D3738" t="s">
        <v>1091</v>
      </c>
      <c r="E3738" t="s">
        <v>1231</v>
      </c>
      <c r="F3738">
        <v>2090995</v>
      </c>
    </row>
    <row r="3739" spans="1:6">
      <c r="A3739" t="s">
        <v>27</v>
      </c>
      <c r="B3739" t="s">
        <v>78</v>
      </c>
      <c r="C3739" t="s">
        <v>913</v>
      </c>
      <c r="D3739" t="s">
        <v>1091</v>
      </c>
      <c r="E3739" t="s">
        <v>1233</v>
      </c>
      <c r="F3739">
        <v>1639479</v>
      </c>
    </row>
    <row r="3740" spans="1:6">
      <c r="A3740" t="s">
        <v>27</v>
      </c>
      <c r="B3740" t="s">
        <v>78</v>
      </c>
      <c r="C3740" t="s">
        <v>913</v>
      </c>
      <c r="D3740" t="s">
        <v>1091</v>
      </c>
      <c r="E3740" t="s">
        <v>1234</v>
      </c>
      <c r="F3740">
        <v>1699865</v>
      </c>
    </row>
    <row r="3741" spans="1:6">
      <c r="A3741" t="s">
        <v>27</v>
      </c>
      <c r="B3741" t="s">
        <v>78</v>
      </c>
      <c r="C3741" t="s">
        <v>913</v>
      </c>
      <c r="D3741" t="s">
        <v>1091</v>
      </c>
      <c r="E3741" t="s">
        <v>1235</v>
      </c>
      <c r="F3741" t="s">
        <v>1226</v>
      </c>
    </row>
    <row r="3742" spans="1:6">
      <c r="A3742" t="s">
        <v>27</v>
      </c>
      <c r="B3742" t="s">
        <v>78</v>
      </c>
      <c r="C3742" t="s">
        <v>913</v>
      </c>
      <c r="D3742" t="s">
        <v>1091</v>
      </c>
      <c r="E3742" t="s">
        <v>1237</v>
      </c>
      <c r="F3742" t="s">
        <v>1232</v>
      </c>
    </row>
    <row r="3743" spans="1:6">
      <c r="A3743" t="s">
        <v>27</v>
      </c>
      <c r="B3743" t="s">
        <v>78</v>
      </c>
      <c r="C3743" t="s">
        <v>913</v>
      </c>
      <c r="D3743" t="s">
        <v>1091</v>
      </c>
      <c r="E3743" t="s">
        <v>1238</v>
      </c>
      <c r="F3743" t="s">
        <v>1232</v>
      </c>
    </row>
    <row r="3744" spans="1:6">
      <c r="A3744" t="s">
        <v>27</v>
      </c>
      <c r="B3744" t="s">
        <v>78</v>
      </c>
      <c r="C3744" t="s">
        <v>913</v>
      </c>
      <c r="D3744" t="s">
        <v>1091</v>
      </c>
      <c r="E3744" t="s">
        <v>1240</v>
      </c>
      <c r="F3744" t="s">
        <v>1232</v>
      </c>
    </row>
    <row r="3745" spans="1:6">
      <c r="A3745" t="s">
        <v>27</v>
      </c>
      <c r="B3745" t="s">
        <v>78</v>
      </c>
      <c r="C3745" t="s">
        <v>913</v>
      </c>
      <c r="D3745" t="s">
        <v>1091</v>
      </c>
      <c r="E3745" t="s">
        <v>1241</v>
      </c>
      <c r="F3745" t="s">
        <v>1242</v>
      </c>
    </row>
    <row r="3746" spans="1:6">
      <c r="A3746" t="s">
        <v>27</v>
      </c>
      <c r="B3746" t="s">
        <v>78</v>
      </c>
      <c r="C3746" t="s">
        <v>913</v>
      </c>
      <c r="D3746" t="s">
        <v>1091</v>
      </c>
      <c r="E3746" t="s">
        <v>1243</v>
      </c>
      <c r="F3746" t="s">
        <v>1242</v>
      </c>
    </row>
    <row r="3747" spans="1:6">
      <c r="A3747" t="s">
        <v>27</v>
      </c>
      <c r="B3747" t="s">
        <v>78</v>
      </c>
      <c r="C3747" t="s">
        <v>913</v>
      </c>
      <c r="D3747" t="s">
        <v>1091</v>
      </c>
      <c r="E3747" t="s">
        <v>1244</v>
      </c>
      <c r="F3747" t="s">
        <v>1125</v>
      </c>
    </row>
    <row r="3748" spans="1:6">
      <c r="A3748" t="s">
        <v>27</v>
      </c>
      <c r="B3748" t="s">
        <v>78</v>
      </c>
      <c r="C3748" t="s">
        <v>913</v>
      </c>
      <c r="D3748" t="s">
        <v>1091</v>
      </c>
      <c r="E3748" t="s">
        <v>1245</v>
      </c>
      <c r="F3748" t="s">
        <v>1236</v>
      </c>
    </row>
    <row r="3749" spans="1:6">
      <c r="A3749" t="s">
        <v>27</v>
      </c>
      <c r="B3749" t="s">
        <v>78</v>
      </c>
      <c r="C3749" t="s">
        <v>913</v>
      </c>
      <c r="D3749" t="s">
        <v>1091</v>
      </c>
      <c r="E3749" t="s">
        <v>1248</v>
      </c>
      <c r="F3749" t="s">
        <v>1326</v>
      </c>
    </row>
    <row r="3750" spans="1:6">
      <c r="A3750" t="s">
        <v>27</v>
      </c>
      <c r="B3750" t="s">
        <v>78</v>
      </c>
      <c r="C3750" t="s">
        <v>913</v>
      </c>
      <c r="D3750" t="s">
        <v>1091</v>
      </c>
      <c r="E3750" t="s">
        <v>1249</v>
      </c>
      <c r="F3750" t="s">
        <v>1326</v>
      </c>
    </row>
    <row r="3751" spans="1:6">
      <c r="A3751" t="s">
        <v>27</v>
      </c>
      <c r="B3751" t="s">
        <v>78</v>
      </c>
      <c r="C3751" t="s">
        <v>913</v>
      </c>
      <c r="D3751" t="s">
        <v>1091</v>
      </c>
      <c r="E3751" t="s">
        <v>1250</v>
      </c>
      <c r="F3751" t="s">
        <v>1496</v>
      </c>
    </row>
    <row r="3752" spans="1:6">
      <c r="A3752" t="s">
        <v>27</v>
      </c>
      <c r="B3752" t="s">
        <v>78</v>
      </c>
      <c r="C3752" t="s">
        <v>913</v>
      </c>
      <c r="D3752" t="s">
        <v>1091</v>
      </c>
      <c r="E3752" t="s">
        <v>1251</v>
      </c>
      <c r="F3752" t="s">
        <v>1491</v>
      </c>
    </row>
    <row r="3753" spans="1:6">
      <c r="A3753" t="s">
        <v>27</v>
      </c>
      <c r="B3753" t="s">
        <v>78</v>
      </c>
      <c r="C3753" t="s">
        <v>913</v>
      </c>
      <c r="D3753" t="s">
        <v>1091</v>
      </c>
      <c r="E3753" t="s">
        <v>1252</v>
      </c>
      <c r="F3753" t="s">
        <v>1547</v>
      </c>
    </row>
    <row r="3754" spans="1:6">
      <c r="A3754" t="s">
        <v>27</v>
      </c>
      <c r="B3754" t="s">
        <v>78</v>
      </c>
      <c r="C3754" t="s">
        <v>913</v>
      </c>
      <c r="D3754" t="s">
        <v>1091</v>
      </c>
      <c r="E3754" t="s">
        <v>1253</v>
      </c>
      <c r="F3754" t="s">
        <v>1229</v>
      </c>
    </row>
    <row r="3755" spans="1:6">
      <c r="A3755" t="s">
        <v>27</v>
      </c>
      <c r="B3755" t="s">
        <v>78</v>
      </c>
      <c r="C3755" t="s">
        <v>913</v>
      </c>
      <c r="D3755" t="s">
        <v>1091</v>
      </c>
      <c r="E3755" t="s">
        <v>1254</v>
      </c>
      <c r="F3755" t="s">
        <v>1246</v>
      </c>
    </row>
    <row r="3756" spans="1:6">
      <c r="A3756" t="s">
        <v>27</v>
      </c>
      <c r="B3756" t="s">
        <v>78</v>
      </c>
      <c r="C3756" t="s">
        <v>913</v>
      </c>
      <c r="D3756" t="s">
        <v>1091</v>
      </c>
      <c r="E3756" t="s">
        <v>1256</v>
      </c>
      <c r="F3756">
        <v>165856</v>
      </c>
    </row>
    <row r="3757" spans="1:6">
      <c r="A3757" t="s">
        <v>27</v>
      </c>
      <c r="B3757" t="s">
        <v>78</v>
      </c>
      <c r="C3757" t="s">
        <v>913</v>
      </c>
      <c r="D3757" t="s">
        <v>1091</v>
      </c>
      <c r="E3757" t="s">
        <v>1257</v>
      </c>
      <c r="F3757">
        <v>31692</v>
      </c>
    </row>
    <row r="3758" spans="1:6">
      <c r="A3758" t="s">
        <v>27</v>
      </c>
      <c r="B3758" t="s">
        <v>78</v>
      </c>
      <c r="C3758" t="s">
        <v>913</v>
      </c>
      <c r="D3758" t="s">
        <v>1091</v>
      </c>
      <c r="E3758" t="s">
        <v>1258</v>
      </c>
      <c r="F3758">
        <v>34409</v>
      </c>
    </row>
    <row r="3759" spans="1:6">
      <c r="A3759" t="s">
        <v>27</v>
      </c>
      <c r="B3759" t="s">
        <v>78</v>
      </c>
      <c r="C3759" t="s">
        <v>913</v>
      </c>
      <c r="D3759" t="s">
        <v>1091</v>
      </c>
      <c r="E3759" t="s">
        <v>1259</v>
      </c>
      <c r="F3759">
        <v>44267</v>
      </c>
    </row>
    <row r="3760" spans="1:6">
      <c r="A3760" t="s">
        <v>27</v>
      </c>
      <c r="B3760" t="s">
        <v>78</v>
      </c>
      <c r="C3760" t="s">
        <v>913</v>
      </c>
      <c r="D3760" t="s">
        <v>1091</v>
      </c>
      <c r="E3760" t="s">
        <v>1260</v>
      </c>
      <c r="F3760">
        <v>21464</v>
      </c>
    </row>
    <row r="3761" spans="1:6">
      <c r="A3761" t="s">
        <v>27</v>
      </c>
      <c r="B3761" t="s">
        <v>78</v>
      </c>
      <c r="C3761" t="s">
        <v>913</v>
      </c>
      <c r="D3761" t="s">
        <v>1091</v>
      </c>
      <c r="E3761" t="s">
        <v>1261</v>
      </c>
      <c r="F3761">
        <v>21723</v>
      </c>
    </row>
    <row r="3762" spans="1:6">
      <c r="A3762" t="s">
        <v>27</v>
      </c>
      <c r="B3762" t="s">
        <v>78</v>
      </c>
      <c r="C3762" t="s">
        <v>913</v>
      </c>
      <c r="D3762" t="s">
        <v>1091</v>
      </c>
      <c r="E3762" t="s">
        <v>1262</v>
      </c>
      <c r="F3762">
        <v>12302</v>
      </c>
    </row>
    <row r="3763" spans="1:6">
      <c r="A3763" t="s">
        <v>27</v>
      </c>
      <c r="B3763" t="s">
        <v>78</v>
      </c>
      <c r="C3763" t="s">
        <v>913</v>
      </c>
      <c r="D3763" t="s">
        <v>1091</v>
      </c>
      <c r="E3763" t="s">
        <v>1263</v>
      </c>
      <c r="F3763" t="s">
        <v>1255</v>
      </c>
    </row>
    <row r="3764" spans="1:6">
      <c r="A3764" t="s">
        <v>27</v>
      </c>
      <c r="B3764" t="s">
        <v>78</v>
      </c>
      <c r="C3764" t="s">
        <v>913</v>
      </c>
      <c r="D3764" t="s">
        <v>1091</v>
      </c>
      <c r="E3764" t="s">
        <v>1264</v>
      </c>
      <c r="F3764">
        <v>4843</v>
      </c>
    </row>
    <row r="3765" spans="1:6">
      <c r="A3765" t="s">
        <v>27</v>
      </c>
      <c r="B3765" t="s">
        <v>78</v>
      </c>
      <c r="C3765" t="s">
        <v>913</v>
      </c>
      <c r="D3765" t="s">
        <v>1091</v>
      </c>
      <c r="E3765" t="s">
        <v>1265</v>
      </c>
      <c r="F3765">
        <v>1324</v>
      </c>
    </row>
    <row r="3766" spans="1:6">
      <c r="A3766" t="s">
        <v>27</v>
      </c>
      <c r="B3766" t="s">
        <v>78</v>
      </c>
      <c r="C3766" t="s">
        <v>913</v>
      </c>
      <c r="D3766" t="s">
        <v>1091</v>
      </c>
      <c r="E3766" t="s">
        <v>1266</v>
      </c>
      <c r="F3766">
        <v>1402</v>
      </c>
    </row>
    <row r="3767" spans="1:6">
      <c r="A3767" t="s">
        <v>27</v>
      </c>
      <c r="B3767" t="s">
        <v>78</v>
      </c>
      <c r="C3767" t="s">
        <v>913</v>
      </c>
      <c r="D3767" t="s">
        <v>1091</v>
      </c>
      <c r="E3767" t="s">
        <v>1268</v>
      </c>
      <c r="F3767">
        <v>1097</v>
      </c>
    </row>
    <row r="3768" spans="1:6">
      <c r="A3768" t="s">
        <v>27</v>
      </c>
      <c r="B3768" t="s">
        <v>78</v>
      </c>
      <c r="C3768" t="s">
        <v>913</v>
      </c>
      <c r="D3768" t="s">
        <v>1091</v>
      </c>
      <c r="E3768" t="s">
        <v>1269</v>
      </c>
      <c r="F3768">
        <v>454</v>
      </c>
    </row>
    <row r="3769" spans="1:6">
      <c r="A3769" t="s">
        <v>27</v>
      </c>
      <c r="B3769" t="s">
        <v>78</v>
      </c>
      <c r="C3769" t="s">
        <v>913</v>
      </c>
      <c r="D3769" t="s">
        <v>1091</v>
      </c>
      <c r="E3769" t="s">
        <v>1271</v>
      </c>
      <c r="F3769">
        <v>378</v>
      </c>
    </row>
    <row r="3770" spans="1:6">
      <c r="A3770" t="s">
        <v>27</v>
      </c>
      <c r="B3770" t="s">
        <v>78</v>
      </c>
      <c r="C3770" t="s">
        <v>913</v>
      </c>
      <c r="D3770" t="s">
        <v>1091</v>
      </c>
      <c r="E3770" t="s">
        <v>1272</v>
      </c>
      <c r="F3770">
        <v>188</v>
      </c>
    </row>
    <row r="3771" spans="1:6">
      <c r="A3771" t="s">
        <v>27</v>
      </c>
      <c r="B3771" t="s">
        <v>78</v>
      </c>
      <c r="C3771" t="s">
        <v>913</v>
      </c>
      <c r="D3771" t="s">
        <v>1091</v>
      </c>
      <c r="E3771" t="s">
        <v>1561</v>
      </c>
      <c r="F3771" t="s">
        <v>1131</v>
      </c>
    </row>
    <row r="3772" spans="1:6">
      <c r="A3772" t="s">
        <v>27</v>
      </c>
      <c r="B3772" t="s">
        <v>78</v>
      </c>
      <c r="C3772" t="s">
        <v>913</v>
      </c>
      <c r="D3772" t="s">
        <v>1091</v>
      </c>
      <c r="E3772" t="s">
        <v>1562</v>
      </c>
      <c r="F3772" t="s">
        <v>1310</v>
      </c>
    </row>
    <row r="3773" spans="1:6">
      <c r="A3773" t="s">
        <v>27</v>
      </c>
      <c r="B3773" t="s">
        <v>78</v>
      </c>
      <c r="C3773" t="s">
        <v>913</v>
      </c>
      <c r="D3773" t="s">
        <v>1091</v>
      </c>
      <c r="E3773" t="s">
        <v>1563</v>
      </c>
      <c r="F3773" t="s">
        <v>1270</v>
      </c>
    </row>
    <row r="3774" spans="1:6">
      <c r="A3774" t="s">
        <v>27</v>
      </c>
      <c r="B3774" t="s">
        <v>78</v>
      </c>
      <c r="C3774" t="s">
        <v>913</v>
      </c>
      <c r="D3774" t="s">
        <v>1091</v>
      </c>
      <c r="E3774" t="s">
        <v>1564</v>
      </c>
      <c r="F3774" t="s">
        <v>1270</v>
      </c>
    </row>
    <row r="3775" spans="1:6">
      <c r="A3775" t="s">
        <v>27</v>
      </c>
      <c r="B3775" t="s">
        <v>78</v>
      </c>
      <c r="C3775" t="s">
        <v>913</v>
      </c>
      <c r="D3775" t="s">
        <v>1091</v>
      </c>
      <c r="E3775" t="s">
        <v>1565</v>
      </c>
      <c r="F3775" t="s">
        <v>1270</v>
      </c>
    </row>
    <row r="3776" spans="1:6">
      <c r="A3776" t="s">
        <v>27</v>
      </c>
      <c r="B3776" t="s">
        <v>78</v>
      </c>
      <c r="C3776" t="s">
        <v>913</v>
      </c>
      <c r="D3776" t="s">
        <v>1091</v>
      </c>
      <c r="E3776" t="s">
        <v>1566</v>
      </c>
      <c r="F3776" t="s">
        <v>1310</v>
      </c>
    </row>
    <row r="3777" spans="1:6">
      <c r="A3777" t="s">
        <v>27</v>
      </c>
      <c r="B3777" t="s">
        <v>78</v>
      </c>
      <c r="C3777" t="s">
        <v>913</v>
      </c>
      <c r="D3777" t="s">
        <v>1091</v>
      </c>
      <c r="E3777" t="s">
        <v>1488</v>
      </c>
      <c r="F3777" t="s">
        <v>1310</v>
      </c>
    </row>
    <row r="3778" spans="1:6">
      <c r="A3778" t="s">
        <v>27</v>
      </c>
      <c r="B3778" t="s">
        <v>78</v>
      </c>
      <c r="C3778" t="s">
        <v>913</v>
      </c>
      <c r="D3778" t="s">
        <v>1091</v>
      </c>
      <c r="E3778" t="s">
        <v>1567</v>
      </c>
      <c r="F3778" t="s">
        <v>1132</v>
      </c>
    </row>
    <row r="3779" spans="1:6">
      <c r="A3779" t="s">
        <v>27</v>
      </c>
      <c r="B3779" t="s">
        <v>78</v>
      </c>
      <c r="C3779" t="s">
        <v>913</v>
      </c>
      <c r="D3779" t="s">
        <v>1273</v>
      </c>
      <c r="E3779" t="s">
        <v>992</v>
      </c>
      <c r="F3779" t="s">
        <v>1406</v>
      </c>
    </row>
    <row r="3780" spans="1:6">
      <c r="A3780" t="s">
        <v>27</v>
      </c>
      <c r="B3780" t="s">
        <v>78</v>
      </c>
      <c r="C3780" t="s">
        <v>913</v>
      </c>
      <c r="D3780" t="s">
        <v>1273</v>
      </c>
      <c r="E3780" t="s">
        <v>1304</v>
      </c>
      <c r="F3780" t="s">
        <v>1511</v>
      </c>
    </row>
    <row r="3781" spans="1:6">
      <c r="A3781" t="s">
        <v>27</v>
      </c>
      <c r="B3781" t="s">
        <v>78</v>
      </c>
      <c r="C3781" t="s">
        <v>913</v>
      </c>
      <c r="D3781" t="s">
        <v>1273</v>
      </c>
      <c r="E3781" t="s">
        <v>1093</v>
      </c>
      <c r="F3781" t="s">
        <v>1277</v>
      </c>
    </row>
    <row r="3782" spans="1:6">
      <c r="A3782" t="s">
        <v>27</v>
      </c>
      <c r="B3782" t="s">
        <v>78</v>
      </c>
      <c r="C3782" t="s">
        <v>913</v>
      </c>
      <c r="D3782" t="s">
        <v>1273</v>
      </c>
      <c r="E3782" t="s">
        <v>1279</v>
      </c>
      <c r="F3782" t="s">
        <v>1511</v>
      </c>
    </row>
    <row r="3783" spans="1:6">
      <c r="A3783" t="s">
        <v>27</v>
      </c>
      <c r="B3783" t="s">
        <v>78</v>
      </c>
      <c r="C3783" t="s">
        <v>913</v>
      </c>
      <c r="D3783" t="s">
        <v>1273</v>
      </c>
      <c r="E3783" t="s">
        <v>1576</v>
      </c>
      <c r="F3783" t="s">
        <v>1280</v>
      </c>
    </row>
    <row r="3784" spans="1:6">
      <c r="A3784" t="s">
        <v>27</v>
      </c>
      <c r="B3784" t="s">
        <v>78</v>
      </c>
      <c r="C3784" t="s">
        <v>913</v>
      </c>
      <c r="D3784" t="s">
        <v>1273</v>
      </c>
      <c r="E3784" t="s">
        <v>1577</v>
      </c>
      <c r="F3784" t="s">
        <v>1282</v>
      </c>
    </row>
    <row r="3785" spans="1:6">
      <c r="A3785" t="s">
        <v>27</v>
      </c>
      <c r="B3785" t="s">
        <v>78</v>
      </c>
      <c r="C3785" t="s">
        <v>913</v>
      </c>
      <c r="D3785" t="s">
        <v>1273</v>
      </c>
      <c r="E3785" t="s">
        <v>1002</v>
      </c>
      <c r="F3785" t="s">
        <v>1284</v>
      </c>
    </row>
    <row r="3786" spans="1:6">
      <c r="A3786" t="s">
        <v>27</v>
      </c>
      <c r="B3786" t="s">
        <v>78</v>
      </c>
      <c r="C3786" t="s">
        <v>913</v>
      </c>
      <c r="D3786" t="s">
        <v>1273</v>
      </c>
      <c r="E3786" t="s">
        <v>1288</v>
      </c>
      <c r="F3786" t="s">
        <v>377</v>
      </c>
    </row>
    <row r="3787" spans="1:6">
      <c r="A3787" t="s">
        <v>27</v>
      </c>
      <c r="B3787" t="s">
        <v>78</v>
      </c>
      <c r="C3787" t="s">
        <v>913</v>
      </c>
      <c r="D3787" t="s">
        <v>1273</v>
      </c>
      <c r="E3787" t="s">
        <v>1096</v>
      </c>
      <c r="F3787">
        <v>3811</v>
      </c>
    </row>
    <row r="3788" spans="1:6">
      <c r="A3788" t="s">
        <v>27</v>
      </c>
      <c r="B3788" t="s">
        <v>78</v>
      </c>
      <c r="C3788" t="s">
        <v>913</v>
      </c>
      <c r="D3788" t="s">
        <v>1273</v>
      </c>
      <c r="E3788" t="s">
        <v>1004</v>
      </c>
      <c r="F3788">
        <v>1102</v>
      </c>
    </row>
    <row r="3789" spans="1:6">
      <c r="A3789" t="s">
        <v>27</v>
      </c>
      <c r="B3789" t="s">
        <v>78</v>
      </c>
      <c r="C3789" t="s">
        <v>913</v>
      </c>
      <c r="D3789" t="s">
        <v>1273</v>
      </c>
      <c r="E3789" t="s">
        <v>1289</v>
      </c>
      <c r="F3789" t="s">
        <v>379</v>
      </c>
    </row>
    <row r="3790" spans="1:6">
      <c r="A3790" t="s">
        <v>27</v>
      </c>
      <c r="B3790" t="s">
        <v>78</v>
      </c>
      <c r="C3790" t="s">
        <v>913</v>
      </c>
      <c r="D3790" t="s">
        <v>1273</v>
      </c>
      <c r="E3790" t="s">
        <v>1290</v>
      </c>
      <c r="F3790">
        <v>2952</v>
      </c>
    </row>
    <row r="3791" spans="1:6">
      <c r="A3791" t="s">
        <v>27</v>
      </c>
      <c r="B3791" t="s">
        <v>78</v>
      </c>
      <c r="C3791" t="s">
        <v>913</v>
      </c>
      <c r="D3791" t="s">
        <v>1273</v>
      </c>
      <c r="E3791" t="s">
        <v>1291</v>
      </c>
      <c r="F3791">
        <v>11915</v>
      </c>
    </row>
    <row r="3792" spans="1:6">
      <c r="A3792" t="s">
        <v>27</v>
      </c>
      <c r="B3792" t="s">
        <v>78</v>
      </c>
      <c r="C3792" t="s">
        <v>913</v>
      </c>
      <c r="D3792" t="s">
        <v>1273</v>
      </c>
      <c r="E3792" t="s">
        <v>1008</v>
      </c>
      <c r="F3792" t="s">
        <v>381</v>
      </c>
    </row>
    <row r="3793" spans="1:6">
      <c r="A3793" t="s">
        <v>27</v>
      </c>
      <c r="B3793" t="s">
        <v>78</v>
      </c>
      <c r="C3793" t="s">
        <v>913</v>
      </c>
      <c r="D3793" t="s">
        <v>1273</v>
      </c>
      <c r="E3793" t="s">
        <v>1010</v>
      </c>
      <c r="F3793">
        <v>4828</v>
      </c>
    </row>
    <row r="3794" spans="1:6">
      <c r="A3794" t="s">
        <v>27</v>
      </c>
      <c r="B3794" t="s">
        <v>78</v>
      </c>
      <c r="C3794" t="s">
        <v>913</v>
      </c>
      <c r="D3794" t="s">
        <v>1273</v>
      </c>
      <c r="E3794" t="s">
        <v>1012</v>
      </c>
      <c r="F3794">
        <v>175661</v>
      </c>
    </row>
    <row r="3795" spans="1:6">
      <c r="A3795" t="s">
        <v>27</v>
      </c>
      <c r="B3795" t="s">
        <v>78</v>
      </c>
      <c r="C3795" t="s">
        <v>913</v>
      </c>
      <c r="D3795" t="s">
        <v>1273</v>
      </c>
      <c r="E3795" t="s">
        <v>1035</v>
      </c>
      <c r="F3795" t="s">
        <v>383</v>
      </c>
    </row>
    <row r="3796" spans="1:6">
      <c r="A3796" t="s">
        <v>27</v>
      </c>
      <c r="B3796" t="s">
        <v>78</v>
      </c>
      <c r="C3796" t="s">
        <v>913</v>
      </c>
      <c r="D3796" t="s">
        <v>1273</v>
      </c>
      <c r="E3796" t="s">
        <v>1099</v>
      </c>
      <c r="F3796">
        <v>1069</v>
      </c>
    </row>
    <row r="3797" spans="1:6">
      <c r="A3797" t="s">
        <v>27</v>
      </c>
      <c r="B3797" t="s">
        <v>78</v>
      </c>
      <c r="C3797" t="s">
        <v>913</v>
      </c>
      <c r="D3797" t="s">
        <v>1273</v>
      </c>
      <c r="E3797" t="s">
        <v>1100</v>
      </c>
      <c r="F3797">
        <v>236826</v>
      </c>
    </row>
    <row r="3798" spans="1:6">
      <c r="A3798" t="s">
        <v>27</v>
      </c>
      <c r="B3798" t="s">
        <v>78</v>
      </c>
      <c r="C3798" t="s">
        <v>913</v>
      </c>
      <c r="D3798" t="s">
        <v>1273</v>
      </c>
      <c r="E3798" t="s">
        <v>1037</v>
      </c>
      <c r="F3798" t="s">
        <v>385</v>
      </c>
    </row>
    <row r="3799" spans="1:6">
      <c r="A3799" t="s">
        <v>27</v>
      </c>
      <c r="B3799" t="s">
        <v>78</v>
      </c>
      <c r="C3799" t="s">
        <v>913</v>
      </c>
      <c r="D3799" t="s">
        <v>1273</v>
      </c>
      <c r="E3799" t="s">
        <v>1103</v>
      </c>
      <c r="F3799">
        <v>49</v>
      </c>
    </row>
    <row r="3800" spans="1:6">
      <c r="A3800" t="s">
        <v>27</v>
      </c>
      <c r="B3800" t="s">
        <v>78</v>
      </c>
      <c r="C3800" t="s">
        <v>913</v>
      </c>
      <c r="D3800" t="s">
        <v>1273</v>
      </c>
      <c r="E3800" t="s">
        <v>1104</v>
      </c>
      <c r="F3800">
        <v>133031</v>
      </c>
    </row>
    <row r="3801" spans="1:6">
      <c r="A3801" t="s">
        <v>27</v>
      </c>
      <c r="B3801" t="s">
        <v>78</v>
      </c>
      <c r="C3801" t="s">
        <v>913</v>
      </c>
      <c r="D3801" t="s">
        <v>1273</v>
      </c>
      <c r="E3801" t="s">
        <v>1039</v>
      </c>
      <c r="F3801" t="s">
        <v>1292</v>
      </c>
    </row>
    <row r="3802" spans="1:6">
      <c r="A3802" t="s">
        <v>27</v>
      </c>
      <c r="B3802" t="s">
        <v>78</v>
      </c>
      <c r="C3802" t="s">
        <v>913</v>
      </c>
      <c r="D3802" t="s">
        <v>1273</v>
      </c>
      <c r="E3802" t="s">
        <v>1040</v>
      </c>
      <c r="F3802">
        <v>12709</v>
      </c>
    </row>
    <row r="3803" spans="1:6">
      <c r="A3803" t="s">
        <v>27</v>
      </c>
      <c r="B3803" t="s">
        <v>78</v>
      </c>
      <c r="C3803" t="s">
        <v>913</v>
      </c>
      <c r="D3803" t="s">
        <v>1273</v>
      </c>
      <c r="E3803" t="s">
        <v>1041</v>
      </c>
      <c r="F3803">
        <v>558535</v>
      </c>
    </row>
    <row r="3804" spans="1:6">
      <c r="A3804" t="s">
        <v>27</v>
      </c>
      <c r="B3804" t="s">
        <v>78</v>
      </c>
      <c r="C3804" t="s">
        <v>913</v>
      </c>
      <c r="D3804" t="s">
        <v>1273</v>
      </c>
      <c r="E3804" t="s">
        <v>1111</v>
      </c>
      <c r="F3804" t="s">
        <v>1293</v>
      </c>
    </row>
    <row r="3805" spans="1:6">
      <c r="A3805" t="s">
        <v>27</v>
      </c>
      <c r="B3805" t="s">
        <v>78</v>
      </c>
      <c r="C3805" t="s">
        <v>913</v>
      </c>
      <c r="D3805" t="s">
        <v>1273</v>
      </c>
      <c r="E3805" t="s">
        <v>1113</v>
      </c>
      <c r="F3805">
        <v>2024</v>
      </c>
    </row>
    <row r="3806" spans="1:6">
      <c r="A3806" t="s">
        <v>27</v>
      </c>
      <c r="B3806" t="s">
        <v>78</v>
      </c>
      <c r="C3806" t="s">
        <v>913</v>
      </c>
      <c r="D3806" t="s">
        <v>1273</v>
      </c>
      <c r="E3806" t="s">
        <v>1114</v>
      </c>
      <c r="F3806">
        <v>113</v>
      </c>
    </row>
    <row r="3807" spans="1:6">
      <c r="A3807" t="s">
        <v>27</v>
      </c>
      <c r="B3807" t="s">
        <v>78</v>
      </c>
      <c r="C3807" t="s">
        <v>913</v>
      </c>
      <c r="D3807" t="s">
        <v>1273</v>
      </c>
      <c r="E3807" t="s">
        <v>1115</v>
      </c>
      <c r="F3807">
        <v>7029</v>
      </c>
    </row>
    <row r="3808" spans="1:6">
      <c r="A3808" t="s">
        <v>27</v>
      </c>
      <c r="B3808" t="s">
        <v>78</v>
      </c>
      <c r="C3808" t="s">
        <v>913</v>
      </c>
      <c r="D3808" t="s">
        <v>1273</v>
      </c>
      <c r="E3808" t="s">
        <v>1118</v>
      </c>
      <c r="F3808">
        <v>2025</v>
      </c>
    </row>
    <row r="3809" spans="1:6">
      <c r="A3809" t="s">
        <v>27</v>
      </c>
      <c r="B3809" t="s">
        <v>78</v>
      </c>
      <c r="C3809" t="s">
        <v>913</v>
      </c>
      <c r="D3809" t="s">
        <v>1273</v>
      </c>
      <c r="E3809" t="s">
        <v>1119</v>
      </c>
      <c r="F3809">
        <v>808</v>
      </c>
    </row>
    <row r="3810" spans="1:6">
      <c r="A3810" t="s">
        <v>27</v>
      </c>
      <c r="B3810" t="s">
        <v>78</v>
      </c>
      <c r="C3810" t="s">
        <v>913</v>
      </c>
      <c r="D3810" t="s">
        <v>1273</v>
      </c>
      <c r="E3810" t="s">
        <v>1120</v>
      </c>
      <c r="F3810">
        <v>47517</v>
      </c>
    </row>
    <row r="3811" spans="1:6">
      <c r="A3811" t="s">
        <v>27</v>
      </c>
      <c r="B3811" t="s">
        <v>78</v>
      </c>
      <c r="C3811" t="s">
        <v>913</v>
      </c>
      <c r="D3811" t="s">
        <v>1273</v>
      </c>
      <c r="E3811" t="s">
        <v>1124</v>
      </c>
      <c r="F3811">
        <v>2026</v>
      </c>
    </row>
    <row r="3812" spans="1:6">
      <c r="A3812" t="s">
        <v>27</v>
      </c>
      <c r="B3812" t="s">
        <v>78</v>
      </c>
      <c r="C3812" t="s">
        <v>913</v>
      </c>
      <c r="D3812" t="s">
        <v>1273</v>
      </c>
      <c r="E3812" t="s">
        <v>1126</v>
      </c>
      <c r="F3812">
        <v>11788</v>
      </c>
    </row>
    <row r="3813" spans="1:6">
      <c r="A3813" t="s">
        <v>27</v>
      </c>
      <c r="B3813" t="s">
        <v>78</v>
      </c>
      <c r="C3813" t="s">
        <v>913</v>
      </c>
      <c r="D3813" t="s">
        <v>1273</v>
      </c>
      <c r="E3813" t="s">
        <v>1127</v>
      </c>
      <c r="F3813">
        <v>503988</v>
      </c>
    </row>
    <row r="3814" spans="1:6">
      <c r="A3814" t="s">
        <v>27</v>
      </c>
      <c r="B3814" t="s">
        <v>78</v>
      </c>
      <c r="C3814" t="s">
        <v>913</v>
      </c>
      <c r="D3814" t="s">
        <v>1273</v>
      </c>
      <c r="E3814" t="s">
        <v>1057</v>
      </c>
      <c r="F3814" t="s">
        <v>1292</v>
      </c>
    </row>
    <row r="3815" spans="1:6">
      <c r="A3815" t="s">
        <v>27</v>
      </c>
      <c r="B3815" t="s">
        <v>78</v>
      </c>
      <c r="C3815" t="s">
        <v>913</v>
      </c>
      <c r="D3815" t="s">
        <v>1273</v>
      </c>
      <c r="E3815" t="s">
        <v>1058</v>
      </c>
      <c r="F3815">
        <v>12709</v>
      </c>
    </row>
    <row r="3816" spans="1:6">
      <c r="A3816" t="s">
        <v>27</v>
      </c>
      <c r="B3816" t="s">
        <v>78</v>
      </c>
      <c r="C3816" t="s">
        <v>913</v>
      </c>
      <c r="D3816" t="s">
        <v>1273</v>
      </c>
      <c r="E3816" t="s">
        <v>1059</v>
      </c>
      <c r="F3816">
        <v>558535</v>
      </c>
    </row>
    <row r="3817" spans="1:6">
      <c r="A3817" t="s">
        <v>27</v>
      </c>
      <c r="B3817" t="s">
        <v>78</v>
      </c>
      <c r="C3817" t="s">
        <v>913</v>
      </c>
      <c r="D3817" t="s">
        <v>1273</v>
      </c>
      <c r="E3817" t="s">
        <v>1074</v>
      </c>
      <c r="F3817" t="s">
        <v>1410</v>
      </c>
    </row>
    <row r="3818" spans="1:6">
      <c r="A3818" t="s">
        <v>27</v>
      </c>
      <c r="B3818" t="s">
        <v>78</v>
      </c>
      <c r="C3818" t="s">
        <v>913</v>
      </c>
      <c r="D3818" t="s">
        <v>1273</v>
      </c>
      <c r="E3818" t="s">
        <v>1296</v>
      </c>
      <c r="F3818" t="s">
        <v>1411</v>
      </c>
    </row>
    <row r="3819" spans="1:6">
      <c r="A3819" t="s">
        <v>27</v>
      </c>
      <c r="B3819" t="s">
        <v>78</v>
      </c>
      <c r="C3819" t="s">
        <v>913</v>
      </c>
      <c r="D3819" t="s">
        <v>1273</v>
      </c>
      <c r="E3819" t="s">
        <v>1297</v>
      </c>
      <c r="F3819" t="s">
        <v>1412</v>
      </c>
    </row>
    <row r="3820" spans="1:6">
      <c r="A3820" t="s">
        <v>27</v>
      </c>
      <c r="B3820" t="s">
        <v>78</v>
      </c>
      <c r="C3820" t="s">
        <v>913</v>
      </c>
      <c r="D3820" t="s">
        <v>1273</v>
      </c>
      <c r="E3820" t="s">
        <v>1364</v>
      </c>
      <c r="F3820" t="s">
        <v>1413</v>
      </c>
    </row>
    <row r="3821" spans="1:6">
      <c r="A3821" t="s">
        <v>27</v>
      </c>
      <c r="B3821" t="s">
        <v>78</v>
      </c>
      <c r="C3821" t="s">
        <v>913</v>
      </c>
      <c r="D3821" t="s">
        <v>1273</v>
      </c>
      <c r="E3821" t="s">
        <v>1365</v>
      </c>
      <c r="F3821" t="s">
        <v>1415</v>
      </c>
    </row>
    <row r="3822" spans="1:6">
      <c r="A3822" t="s">
        <v>27</v>
      </c>
      <c r="B3822" t="s">
        <v>78</v>
      </c>
      <c r="C3822" t="s">
        <v>913</v>
      </c>
      <c r="D3822" t="s">
        <v>1273</v>
      </c>
      <c r="E3822" t="s">
        <v>1076</v>
      </c>
      <c r="F3822">
        <v>2024</v>
      </c>
    </row>
    <row r="3823" spans="1:6">
      <c r="A3823" t="s">
        <v>27</v>
      </c>
      <c r="B3823" t="s">
        <v>78</v>
      </c>
      <c r="C3823" t="s">
        <v>913</v>
      </c>
      <c r="D3823" t="s">
        <v>1273</v>
      </c>
      <c r="E3823" t="s">
        <v>1077</v>
      </c>
      <c r="F3823">
        <v>113</v>
      </c>
    </row>
    <row r="3824" spans="1:6">
      <c r="A3824" t="s">
        <v>27</v>
      </c>
      <c r="B3824" t="s">
        <v>78</v>
      </c>
      <c r="C3824" t="s">
        <v>913</v>
      </c>
      <c r="D3824" t="s">
        <v>1273</v>
      </c>
      <c r="E3824" t="s">
        <v>1078</v>
      </c>
      <c r="F3824">
        <v>7029</v>
      </c>
    </row>
    <row r="3825" spans="1:6">
      <c r="A3825" t="s">
        <v>27</v>
      </c>
      <c r="B3825" t="s">
        <v>78</v>
      </c>
      <c r="C3825" t="s">
        <v>913</v>
      </c>
      <c r="D3825" t="s">
        <v>1273</v>
      </c>
      <c r="E3825" t="s">
        <v>1079</v>
      </c>
      <c r="F3825" t="s">
        <v>1700</v>
      </c>
    </row>
    <row r="3826" spans="1:6">
      <c r="A3826" t="s">
        <v>27</v>
      </c>
      <c r="B3826" t="s">
        <v>78</v>
      </c>
      <c r="C3826" t="s">
        <v>913</v>
      </c>
      <c r="D3826" t="s">
        <v>1273</v>
      </c>
      <c r="E3826" t="s">
        <v>1080</v>
      </c>
      <c r="F3826" t="s">
        <v>1701</v>
      </c>
    </row>
    <row r="3827" spans="1:6">
      <c r="A3827" t="s">
        <v>27</v>
      </c>
      <c r="B3827" t="s">
        <v>78</v>
      </c>
      <c r="C3827" t="s">
        <v>913</v>
      </c>
      <c r="D3827" t="s">
        <v>1273</v>
      </c>
      <c r="E3827" t="s">
        <v>1090</v>
      </c>
      <c r="F3827" t="s">
        <v>1418</v>
      </c>
    </row>
    <row r="3828" spans="1:6">
      <c r="A3828" t="s">
        <v>27</v>
      </c>
      <c r="B3828" t="s">
        <v>78</v>
      </c>
      <c r="C3828" t="s">
        <v>913</v>
      </c>
      <c r="D3828" t="s">
        <v>1273</v>
      </c>
      <c r="E3828" t="s">
        <v>1139</v>
      </c>
      <c r="F3828">
        <v>39</v>
      </c>
    </row>
    <row r="3829" spans="1:6">
      <c r="A3829" t="s">
        <v>27</v>
      </c>
      <c r="B3829" t="s">
        <v>78</v>
      </c>
      <c r="C3829" t="s">
        <v>913</v>
      </c>
      <c r="D3829" t="s">
        <v>1273</v>
      </c>
      <c r="E3829" t="s">
        <v>1140</v>
      </c>
      <c r="F3829">
        <v>2153</v>
      </c>
    </row>
    <row r="3830" spans="1:6">
      <c r="A3830" t="s">
        <v>27</v>
      </c>
      <c r="B3830" t="s">
        <v>78</v>
      </c>
      <c r="C3830" t="s">
        <v>913</v>
      </c>
      <c r="D3830" t="s">
        <v>1273</v>
      </c>
      <c r="E3830" t="s">
        <v>1141</v>
      </c>
      <c r="F3830" t="s">
        <v>1702</v>
      </c>
    </row>
    <row r="3831" spans="1:6">
      <c r="A3831" t="s">
        <v>27</v>
      </c>
      <c r="B3831" t="s">
        <v>78</v>
      </c>
      <c r="C3831" t="s">
        <v>913</v>
      </c>
      <c r="D3831" t="s">
        <v>1273</v>
      </c>
      <c r="E3831" t="s">
        <v>1423</v>
      </c>
      <c r="F3831" t="s">
        <v>1703</v>
      </c>
    </row>
    <row r="3832" spans="1:6">
      <c r="A3832" t="s">
        <v>27</v>
      </c>
      <c r="B3832" t="s">
        <v>78</v>
      </c>
      <c r="C3832" t="s">
        <v>913</v>
      </c>
      <c r="D3832" t="s">
        <v>1273</v>
      </c>
      <c r="E3832" t="s">
        <v>1298</v>
      </c>
      <c r="F3832" t="s">
        <v>1421</v>
      </c>
    </row>
    <row r="3833" spans="1:6">
      <c r="A3833" t="s">
        <v>27</v>
      </c>
      <c r="B3833" t="s">
        <v>78</v>
      </c>
      <c r="C3833" t="s">
        <v>913</v>
      </c>
      <c r="D3833" t="s">
        <v>1273</v>
      </c>
      <c r="E3833" t="s">
        <v>1299</v>
      </c>
      <c r="F3833">
        <v>44</v>
      </c>
    </row>
    <row r="3834" spans="1:6">
      <c r="A3834" t="s">
        <v>27</v>
      </c>
      <c r="B3834" t="s">
        <v>78</v>
      </c>
      <c r="C3834" t="s">
        <v>913</v>
      </c>
      <c r="D3834" t="s">
        <v>1273</v>
      </c>
      <c r="E3834" t="s">
        <v>1300</v>
      </c>
      <c r="F3834">
        <v>2372</v>
      </c>
    </row>
    <row r="3835" spans="1:6">
      <c r="A3835" t="s">
        <v>27</v>
      </c>
      <c r="B3835" t="s">
        <v>78</v>
      </c>
      <c r="C3835" t="s">
        <v>913</v>
      </c>
      <c r="D3835" t="s">
        <v>1273</v>
      </c>
      <c r="E3835" t="s">
        <v>1426</v>
      </c>
      <c r="F3835" t="s">
        <v>1704</v>
      </c>
    </row>
    <row r="3836" spans="1:6">
      <c r="A3836" t="s">
        <v>27</v>
      </c>
      <c r="B3836" t="s">
        <v>78</v>
      </c>
      <c r="C3836" t="s">
        <v>913</v>
      </c>
      <c r="D3836" t="s">
        <v>1273</v>
      </c>
      <c r="E3836" t="s">
        <v>1400</v>
      </c>
      <c r="F3836" t="s">
        <v>1705</v>
      </c>
    </row>
    <row r="3837" spans="1:6">
      <c r="A3837" t="s">
        <v>27</v>
      </c>
      <c r="B3837" t="s">
        <v>78</v>
      </c>
      <c r="C3837" t="s">
        <v>913</v>
      </c>
      <c r="D3837" t="s">
        <v>1273</v>
      </c>
      <c r="E3837" t="s">
        <v>1301</v>
      </c>
      <c r="F3837" t="s">
        <v>1425</v>
      </c>
    </row>
    <row r="3838" spans="1:6">
      <c r="A3838" t="s">
        <v>27</v>
      </c>
      <c r="B3838" t="s">
        <v>78</v>
      </c>
      <c r="C3838" t="s">
        <v>913</v>
      </c>
      <c r="D3838" t="s">
        <v>1273</v>
      </c>
      <c r="E3838" t="s">
        <v>1302</v>
      </c>
      <c r="F3838">
        <v>37</v>
      </c>
    </row>
    <row r="3839" spans="1:6">
      <c r="A3839" t="s">
        <v>27</v>
      </c>
      <c r="B3839" t="s">
        <v>78</v>
      </c>
      <c r="C3839" t="s">
        <v>913</v>
      </c>
      <c r="D3839" t="s">
        <v>1273</v>
      </c>
      <c r="E3839" t="s">
        <v>1303</v>
      </c>
      <c r="F3839">
        <v>1957</v>
      </c>
    </row>
    <row r="3840" spans="1:6">
      <c r="A3840" t="s">
        <v>27</v>
      </c>
      <c r="B3840" t="s">
        <v>78</v>
      </c>
      <c r="C3840" t="s">
        <v>913</v>
      </c>
      <c r="D3840" t="s">
        <v>1273</v>
      </c>
      <c r="E3840" t="s">
        <v>1429</v>
      </c>
      <c r="F3840" t="s">
        <v>1706</v>
      </c>
    </row>
    <row r="3841" spans="1:6">
      <c r="A3841" t="s">
        <v>27</v>
      </c>
      <c r="B3841" t="s">
        <v>78</v>
      </c>
      <c r="C3841" t="s">
        <v>913</v>
      </c>
      <c r="D3841" t="s">
        <v>1273</v>
      </c>
      <c r="E3841" t="s">
        <v>1145</v>
      </c>
      <c r="F3841" t="s">
        <v>1704</v>
      </c>
    </row>
    <row r="3842" spans="1:6">
      <c r="A3842" t="s">
        <v>27</v>
      </c>
      <c r="B3842" t="s">
        <v>78</v>
      </c>
      <c r="C3842" t="s">
        <v>913</v>
      </c>
      <c r="D3842" t="s">
        <v>1273</v>
      </c>
      <c r="E3842" t="s">
        <v>1392</v>
      </c>
      <c r="F3842" t="s">
        <v>1428</v>
      </c>
    </row>
    <row r="3843" spans="1:6">
      <c r="A3843" t="s">
        <v>27</v>
      </c>
      <c r="B3843" t="s">
        <v>78</v>
      </c>
      <c r="C3843" t="s">
        <v>913</v>
      </c>
      <c r="D3843" t="s">
        <v>1273</v>
      </c>
      <c r="E3843" t="s">
        <v>1393</v>
      </c>
      <c r="F3843">
        <v>36</v>
      </c>
    </row>
    <row r="3844" spans="1:6">
      <c r="A3844" t="s">
        <v>27</v>
      </c>
      <c r="B3844" t="s">
        <v>78</v>
      </c>
      <c r="C3844" t="s">
        <v>913</v>
      </c>
      <c r="D3844" t="s">
        <v>1273</v>
      </c>
      <c r="E3844" t="s">
        <v>1394</v>
      </c>
      <c r="F3844">
        <v>1600</v>
      </c>
    </row>
    <row r="3845" spans="1:6">
      <c r="A3845" t="s">
        <v>27</v>
      </c>
      <c r="B3845" t="s">
        <v>78</v>
      </c>
      <c r="C3845" t="s">
        <v>913</v>
      </c>
      <c r="D3845" t="s">
        <v>1273</v>
      </c>
      <c r="E3845" t="s">
        <v>1432</v>
      </c>
      <c r="F3845" t="s">
        <v>1707</v>
      </c>
    </row>
    <row r="3846" spans="1:6">
      <c r="A3846" t="s">
        <v>27</v>
      </c>
      <c r="B3846" t="s">
        <v>78</v>
      </c>
      <c r="C3846" t="s">
        <v>913</v>
      </c>
      <c r="D3846" t="s">
        <v>1273</v>
      </c>
      <c r="E3846" t="s">
        <v>1434</v>
      </c>
      <c r="F3846" t="s">
        <v>1706</v>
      </c>
    </row>
    <row r="3847" spans="1:6">
      <c r="A3847" t="s">
        <v>27</v>
      </c>
      <c r="B3847" t="s">
        <v>78</v>
      </c>
      <c r="C3847" t="s">
        <v>913</v>
      </c>
      <c r="D3847" t="s">
        <v>1273</v>
      </c>
      <c r="E3847" t="s">
        <v>1149</v>
      </c>
      <c r="F3847" t="s">
        <v>1431</v>
      </c>
    </row>
    <row r="3848" spans="1:6">
      <c r="A3848" t="s">
        <v>27</v>
      </c>
      <c r="B3848" t="s">
        <v>78</v>
      </c>
      <c r="C3848" t="s">
        <v>913</v>
      </c>
      <c r="D3848" t="s">
        <v>1273</v>
      </c>
      <c r="E3848" t="s">
        <v>1437</v>
      </c>
      <c r="F3848">
        <v>63</v>
      </c>
    </row>
    <row r="3849" spans="1:6">
      <c r="A3849" t="s">
        <v>27</v>
      </c>
      <c r="B3849" t="s">
        <v>78</v>
      </c>
      <c r="C3849" t="s">
        <v>913</v>
      </c>
      <c r="D3849" t="s">
        <v>1273</v>
      </c>
      <c r="E3849" t="s">
        <v>1438</v>
      </c>
      <c r="F3849">
        <v>2994</v>
      </c>
    </row>
    <row r="3850" spans="1:6">
      <c r="A3850" t="s">
        <v>27</v>
      </c>
      <c r="B3850" t="s">
        <v>78</v>
      </c>
      <c r="C3850" t="s">
        <v>913</v>
      </c>
      <c r="D3850" t="s">
        <v>1273</v>
      </c>
      <c r="E3850" t="s">
        <v>1439</v>
      </c>
      <c r="F3850" t="s">
        <v>1422</v>
      </c>
    </row>
    <row r="3851" spans="1:6">
      <c r="A3851" t="s">
        <v>27</v>
      </c>
      <c r="B3851" t="s">
        <v>78</v>
      </c>
      <c r="C3851" t="s">
        <v>913</v>
      </c>
      <c r="D3851" t="s">
        <v>1273</v>
      </c>
      <c r="E3851" t="s">
        <v>1441</v>
      </c>
      <c r="F3851" t="s">
        <v>1708</v>
      </c>
    </row>
    <row r="3852" spans="1:6">
      <c r="A3852" t="s">
        <v>27</v>
      </c>
      <c r="B3852" t="s">
        <v>78</v>
      </c>
      <c r="C3852" t="s">
        <v>913</v>
      </c>
      <c r="D3852" t="s">
        <v>1273</v>
      </c>
      <c r="E3852" t="s">
        <v>1151</v>
      </c>
      <c r="F3852" t="s">
        <v>1436</v>
      </c>
    </row>
    <row r="3853" spans="1:6">
      <c r="A3853" t="s">
        <v>27</v>
      </c>
      <c r="B3853" t="s">
        <v>78</v>
      </c>
      <c r="C3853" t="s">
        <v>913</v>
      </c>
      <c r="D3853" t="s">
        <v>1273</v>
      </c>
      <c r="E3853" t="s">
        <v>1152</v>
      </c>
      <c r="F3853">
        <v>51</v>
      </c>
    </row>
    <row r="3854" spans="1:6">
      <c r="A3854" t="s">
        <v>27</v>
      </c>
      <c r="B3854" t="s">
        <v>78</v>
      </c>
      <c r="C3854" t="s">
        <v>913</v>
      </c>
      <c r="D3854" t="s">
        <v>1273</v>
      </c>
      <c r="E3854" t="s">
        <v>1154</v>
      </c>
      <c r="F3854">
        <v>2550</v>
      </c>
    </row>
    <row r="3855" spans="1:6">
      <c r="A3855" t="s">
        <v>27</v>
      </c>
      <c r="B3855" t="s">
        <v>78</v>
      </c>
      <c r="C3855" t="s">
        <v>913</v>
      </c>
      <c r="D3855" t="s">
        <v>1273</v>
      </c>
      <c r="E3855" t="s">
        <v>1156</v>
      </c>
      <c r="F3855" t="s">
        <v>1709</v>
      </c>
    </row>
    <row r="3856" spans="1:6">
      <c r="A3856" t="s">
        <v>27</v>
      </c>
      <c r="B3856" t="s">
        <v>78</v>
      </c>
      <c r="C3856" t="s">
        <v>913</v>
      </c>
      <c r="D3856" t="s">
        <v>1273</v>
      </c>
      <c r="E3856" t="s">
        <v>1158</v>
      </c>
      <c r="F3856" t="s">
        <v>1419</v>
      </c>
    </row>
    <row r="3857" spans="1:6">
      <c r="A3857" t="s">
        <v>27</v>
      </c>
      <c r="B3857" t="s">
        <v>78</v>
      </c>
      <c r="C3857" t="s">
        <v>913</v>
      </c>
      <c r="D3857" t="s">
        <v>1273</v>
      </c>
      <c r="E3857" t="s">
        <v>1166</v>
      </c>
      <c r="F3857" t="s">
        <v>1443</v>
      </c>
    </row>
    <row r="3858" spans="1:6">
      <c r="A3858" t="s">
        <v>27</v>
      </c>
      <c r="B3858" t="s">
        <v>78</v>
      </c>
      <c r="C3858" t="s">
        <v>913</v>
      </c>
      <c r="D3858" t="s">
        <v>1273</v>
      </c>
      <c r="E3858" t="s">
        <v>1167</v>
      </c>
      <c r="F3858">
        <v>125</v>
      </c>
    </row>
    <row r="3859" spans="1:6">
      <c r="A3859" t="s">
        <v>27</v>
      </c>
      <c r="B3859" t="s">
        <v>78</v>
      </c>
      <c r="C3859" t="s">
        <v>913</v>
      </c>
      <c r="D3859" t="s">
        <v>1273</v>
      </c>
      <c r="E3859" t="s">
        <v>1168</v>
      </c>
      <c r="F3859">
        <v>6276</v>
      </c>
    </row>
    <row r="3860" spans="1:6">
      <c r="A3860" t="s">
        <v>27</v>
      </c>
      <c r="B3860" t="s">
        <v>78</v>
      </c>
      <c r="C3860" t="s">
        <v>913</v>
      </c>
      <c r="D3860" t="s">
        <v>1273</v>
      </c>
      <c r="E3860" t="s">
        <v>1169</v>
      </c>
      <c r="F3860" t="s">
        <v>1710</v>
      </c>
    </row>
    <row r="3861" spans="1:6">
      <c r="A3861" t="s">
        <v>27</v>
      </c>
      <c r="B3861" t="s">
        <v>78</v>
      </c>
      <c r="C3861" t="s">
        <v>913</v>
      </c>
      <c r="D3861" t="s">
        <v>1273</v>
      </c>
      <c r="E3861" t="s">
        <v>1170</v>
      </c>
      <c r="F3861" t="s">
        <v>1433</v>
      </c>
    </row>
    <row r="3862" spans="1:6">
      <c r="A3862" t="s">
        <v>27</v>
      </c>
      <c r="B3862" t="s">
        <v>78</v>
      </c>
      <c r="C3862" t="s">
        <v>913</v>
      </c>
      <c r="D3862" t="s">
        <v>1273</v>
      </c>
      <c r="E3862" t="s">
        <v>1175</v>
      </c>
      <c r="F3862" t="s">
        <v>1446</v>
      </c>
    </row>
    <row r="3863" spans="1:6">
      <c r="A3863" t="s">
        <v>27</v>
      </c>
      <c r="B3863" t="s">
        <v>78</v>
      </c>
      <c r="C3863" t="s">
        <v>913</v>
      </c>
      <c r="D3863" t="s">
        <v>1273</v>
      </c>
      <c r="E3863" t="s">
        <v>1176</v>
      </c>
      <c r="F3863">
        <v>70</v>
      </c>
    </row>
    <row r="3864" spans="1:6">
      <c r="A3864" t="s">
        <v>27</v>
      </c>
      <c r="B3864" t="s">
        <v>78</v>
      </c>
      <c r="C3864" t="s">
        <v>913</v>
      </c>
      <c r="D3864" t="s">
        <v>1273</v>
      </c>
      <c r="E3864" t="s">
        <v>1177</v>
      </c>
      <c r="F3864">
        <v>3887</v>
      </c>
    </row>
    <row r="3865" spans="1:6">
      <c r="A3865" t="s">
        <v>27</v>
      </c>
      <c r="B3865" t="s">
        <v>78</v>
      </c>
      <c r="C3865" t="s">
        <v>913</v>
      </c>
      <c r="D3865" t="s">
        <v>1273</v>
      </c>
      <c r="E3865" t="s">
        <v>1178</v>
      </c>
      <c r="F3865" t="s">
        <v>1711</v>
      </c>
    </row>
    <row r="3866" spans="1:6">
      <c r="A3866" t="s">
        <v>27</v>
      </c>
      <c r="B3866" t="s">
        <v>78</v>
      </c>
      <c r="C3866" t="s">
        <v>913</v>
      </c>
      <c r="D3866" t="s">
        <v>1273</v>
      </c>
      <c r="E3866" t="s">
        <v>1179</v>
      </c>
      <c r="F3866" t="s">
        <v>1712</v>
      </c>
    </row>
    <row r="3867" spans="1:6">
      <c r="A3867" t="s">
        <v>27</v>
      </c>
      <c r="B3867" t="s">
        <v>78</v>
      </c>
      <c r="C3867" t="s">
        <v>913</v>
      </c>
      <c r="D3867" t="s">
        <v>1273</v>
      </c>
      <c r="E3867" t="s">
        <v>1452</v>
      </c>
      <c r="F3867" t="s">
        <v>1449</v>
      </c>
    </row>
    <row r="3868" spans="1:6">
      <c r="A3868" t="s">
        <v>27</v>
      </c>
      <c r="B3868" t="s">
        <v>78</v>
      </c>
      <c r="C3868" t="s">
        <v>913</v>
      </c>
      <c r="D3868" t="s">
        <v>1273</v>
      </c>
      <c r="E3868" t="s">
        <v>1454</v>
      </c>
      <c r="F3868">
        <v>63</v>
      </c>
    </row>
    <row r="3869" spans="1:6">
      <c r="A3869" t="s">
        <v>27</v>
      </c>
      <c r="B3869" t="s">
        <v>78</v>
      </c>
      <c r="C3869" t="s">
        <v>913</v>
      </c>
      <c r="D3869" t="s">
        <v>1273</v>
      </c>
      <c r="E3869" t="s">
        <v>1455</v>
      </c>
      <c r="F3869">
        <v>3766</v>
      </c>
    </row>
    <row r="3870" spans="1:6">
      <c r="A3870" t="s">
        <v>27</v>
      </c>
      <c r="B3870" t="s">
        <v>78</v>
      </c>
      <c r="C3870" t="s">
        <v>913</v>
      </c>
      <c r="D3870" t="s">
        <v>1273</v>
      </c>
      <c r="E3870" t="s">
        <v>1456</v>
      </c>
      <c r="F3870" t="s">
        <v>1422</v>
      </c>
    </row>
    <row r="3871" spans="1:6">
      <c r="A3871" t="s">
        <v>27</v>
      </c>
      <c r="B3871" t="s">
        <v>78</v>
      </c>
      <c r="C3871" t="s">
        <v>913</v>
      </c>
      <c r="D3871" t="s">
        <v>1273</v>
      </c>
      <c r="E3871" t="s">
        <v>1458</v>
      </c>
      <c r="F3871" t="s">
        <v>1713</v>
      </c>
    </row>
    <row r="3872" spans="1:6">
      <c r="A3872" t="s">
        <v>27</v>
      </c>
      <c r="B3872" t="s">
        <v>78</v>
      </c>
      <c r="C3872" t="s">
        <v>913</v>
      </c>
      <c r="D3872" t="s">
        <v>1273</v>
      </c>
      <c r="E3872" t="s">
        <v>1184</v>
      </c>
      <c r="F3872" t="s">
        <v>1453</v>
      </c>
    </row>
    <row r="3873" spans="1:6">
      <c r="A3873" t="s">
        <v>27</v>
      </c>
      <c r="B3873" t="s">
        <v>78</v>
      </c>
      <c r="C3873" t="s">
        <v>913</v>
      </c>
      <c r="D3873" t="s">
        <v>1273</v>
      </c>
      <c r="E3873" t="s">
        <v>1185</v>
      </c>
      <c r="F3873">
        <v>64</v>
      </c>
    </row>
    <row r="3874" spans="1:6">
      <c r="A3874" t="s">
        <v>27</v>
      </c>
      <c r="B3874" t="s">
        <v>78</v>
      </c>
      <c r="C3874" t="s">
        <v>913</v>
      </c>
      <c r="D3874" t="s">
        <v>1273</v>
      </c>
      <c r="E3874" t="s">
        <v>1186</v>
      </c>
      <c r="F3874">
        <v>4382</v>
      </c>
    </row>
    <row r="3875" spans="1:6">
      <c r="A3875" t="s">
        <v>27</v>
      </c>
      <c r="B3875" t="s">
        <v>78</v>
      </c>
      <c r="C3875" t="s">
        <v>913</v>
      </c>
      <c r="D3875" t="s">
        <v>1273</v>
      </c>
      <c r="E3875" t="s">
        <v>1187</v>
      </c>
      <c r="F3875" t="s">
        <v>1422</v>
      </c>
    </row>
    <row r="3876" spans="1:6">
      <c r="A3876" t="s">
        <v>27</v>
      </c>
      <c r="B3876" t="s">
        <v>78</v>
      </c>
      <c r="C3876" t="s">
        <v>913</v>
      </c>
      <c r="D3876" t="s">
        <v>1273</v>
      </c>
      <c r="E3876" t="s">
        <v>1188</v>
      </c>
      <c r="F3876" t="s">
        <v>1714</v>
      </c>
    </row>
    <row r="3877" spans="1:6">
      <c r="A3877" t="s">
        <v>27</v>
      </c>
      <c r="B3877" t="s">
        <v>78</v>
      </c>
      <c r="C3877" t="s">
        <v>913</v>
      </c>
      <c r="D3877" t="s">
        <v>1273</v>
      </c>
      <c r="E3877" t="s">
        <v>1463</v>
      </c>
      <c r="F3877" t="s">
        <v>1460</v>
      </c>
    </row>
    <row r="3878" spans="1:6">
      <c r="A3878" t="s">
        <v>27</v>
      </c>
      <c r="B3878" t="s">
        <v>78</v>
      </c>
      <c r="C3878" t="s">
        <v>913</v>
      </c>
      <c r="D3878" t="s">
        <v>1273</v>
      </c>
      <c r="E3878" t="s">
        <v>1193</v>
      </c>
      <c r="F3878">
        <v>106</v>
      </c>
    </row>
    <row r="3879" spans="1:6">
      <c r="A3879" t="s">
        <v>27</v>
      </c>
      <c r="B3879" t="s">
        <v>78</v>
      </c>
      <c r="C3879" t="s">
        <v>913</v>
      </c>
      <c r="D3879" t="s">
        <v>1273</v>
      </c>
      <c r="E3879" t="s">
        <v>1194</v>
      </c>
      <c r="F3879">
        <v>7995</v>
      </c>
    </row>
    <row r="3880" spans="1:6">
      <c r="A3880" t="s">
        <v>27</v>
      </c>
      <c r="B3880" t="s">
        <v>78</v>
      </c>
      <c r="C3880" t="s">
        <v>913</v>
      </c>
      <c r="D3880" t="s">
        <v>1273</v>
      </c>
      <c r="E3880" t="s">
        <v>1195</v>
      </c>
      <c r="F3880" t="s">
        <v>1715</v>
      </c>
    </row>
    <row r="3881" spans="1:6">
      <c r="A3881" t="s">
        <v>27</v>
      </c>
      <c r="B3881" t="s">
        <v>78</v>
      </c>
      <c r="C3881" t="s">
        <v>913</v>
      </c>
      <c r="D3881" t="s">
        <v>1273</v>
      </c>
      <c r="E3881" t="s">
        <v>1196</v>
      </c>
      <c r="F3881" t="s">
        <v>1716</v>
      </c>
    </row>
    <row r="3882" spans="1:6">
      <c r="A3882" t="s">
        <v>27</v>
      </c>
      <c r="B3882" t="s">
        <v>78</v>
      </c>
      <c r="C3882" t="s">
        <v>913</v>
      </c>
      <c r="D3882" t="s">
        <v>1273</v>
      </c>
      <c r="E3882" t="s">
        <v>1467</v>
      </c>
      <c r="F3882" t="s">
        <v>1464</v>
      </c>
    </row>
    <row r="3883" spans="1:6">
      <c r="A3883" t="s">
        <v>27</v>
      </c>
      <c r="B3883" t="s">
        <v>78</v>
      </c>
      <c r="C3883" t="s">
        <v>913</v>
      </c>
      <c r="D3883" t="s">
        <v>1273</v>
      </c>
      <c r="E3883" t="s">
        <v>1468</v>
      </c>
      <c r="F3883">
        <v>110</v>
      </c>
    </row>
    <row r="3884" spans="1:6">
      <c r="A3884" t="s">
        <v>27</v>
      </c>
      <c r="B3884" t="s">
        <v>78</v>
      </c>
      <c r="C3884" t="s">
        <v>913</v>
      </c>
      <c r="D3884" t="s">
        <v>1273</v>
      </c>
      <c r="E3884" t="s">
        <v>1469</v>
      </c>
      <c r="F3884">
        <v>7586</v>
      </c>
    </row>
    <row r="3885" spans="1:6">
      <c r="A3885" t="s">
        <v>27</v>
      </c>
      <c r="B3885" t="s">
        <v>78</v>
      </c>
      <c r="C3885" t="s">
        <v>913</v>
      </c>
      <c r="D3885" t="s">
        <v>1273</v>
      </c>
      <c r="E3885" t="s">
        <v>1470</v>
      </c>
      <c r="F3885" t="s">
        <v>1717</v>
      </c>
    </row>
    <row r="3886" spans="1:6">
      <c r="A3886" t="s">
        <v>27</v>
      </c>
      <c r="B3886" t="s">
        <v>78</v>
      </c>
      <c r="C3886" t="s">
        <v>913</v>
      </c>
      <c r="D3886" t="s">
        <v>1273</v>
      </c>
      <c r="E3886" t="s">
        <v>1472</v>
      </c>
      <c r="F3886" t="s">
        <v>1718</v>
      </c>
    </row>
    <row r="3887" spans="1:6">
      <c r="A3887" t="s">
        <v>27</v>
      </c>
      <c r="B3887" t="s">
        <v>78</v>
      </c>
      <c r="C3887" t="s">
        <v>913</v>
      </c>
      <c r="D3887" t="s">
        <v>1273</v>
      </c>
      <c r="E3887" t="s">
        <v>1202</v>
      </c>
      <c r="F3887" t="s">
        <v>1163</v>
      </c>
    </row>
    <row r="3888" spans="1:6">
      <c r="A3888" t="s">
        <v>27</v>
      </c>
      <c r="B3888" t="s">
        <v>78</v>
      </c>
      <c r="C3888" t="s">
        <v>913</v>
      </c>
      <c r="D3888" t="s">
        <v>1273</v>
      </c>
      <c r="E3888" t="s">
        <v>1203</v>
      </c>
      <c r="F3888">
        <v>188</v>
      </c>
    </row>
    <row r="3889" spans="1:6">
      <c r="A3889" t="s">
        <v>27</v>
      </c>
      <c r="B3889" t="s">
        <v>78</v>
      </c>
      <c r="C3889" t="s">
        <v>913</v>
      </c>
      <c r="D3889" t="s">
        <v>1273</v>
      </c>
      <c r="E3889" t="s">
        <v>1204</v>
      </c>
      <c r="F3889">
        <v>12302</v>
      </c>
    </row>
    <row r="3890" spans="1:6">
      <c r="A3890" t="s">
        <v>27</v>
      </c>
      <c r="B3890" t="s">
        <v>78</v>
      </c>
      <c r="C3890" t="s">
        <v>913</v>
      </c>
      <c r="D3890" t="s">
        <v>1273</v>
      </c>
      <c r="E3890" t="s">
        <v>1205</v>
      </c>
      <c r="F3890" t="s">
        <v>1719</v>
      </c>
    </row>
    <row r="3891" spans="1:6">
      <c r="A3891" t="s">
        <v>27</v>
      </c>
      <c r="B3891" t="s">
        <v>78</v>
      </c>
      <c r="C3891" t="s">
        <v>913</v>
      </c>
      <c r="D3891" t="s">
        <v>1273</v>
      </c>
      <c r="E3891" t="s">
        <v>1206</v>
      </c>
      <c r="F3891" t="s">
        <v>1720</v>
      </c>
    </row>
    <row r="3892" spans="1:6">
      <c r="A3892" t="s">
        <v>27</v>
      </c>
      <c r="B3892" t="s">
        <v>78</v>
      </c>
      <c r="C3892" t="s">
        <v>913</v>
      </c>
      <c r="D3892" t="s">
        <v>1273</v>
      </c>
      <c r="E3892" t="s">
        <v>1210</v>
      </c>
      <c r="F3892" t="s">
        <v>1161</v>
      </c>
    </row>
    <row r="3893" spans="1:6">
      <c r="A3893" t="s">
        <v>27</v>
      </c>
      <c r="B3893" t="s">
        <v>78</v>
      </c>
      <c r="C3893" t="s">
        <v>913</v>
      </c>
      <c r="D3893" t="s">
        <v>1273</v>
      </c>
      <c r="E3893" t="s">
        <v>1211</v>
      </c>
      <c r="F3893">
        <v>378</v>
      </c>
    </row>
    <row r="3894" spans="1:6">
      <c r="A3894" t="s">
        <v>27</v>
      </c>
      <c r="B3894" t="s">
        <v>78</v>
      </c>
      <c r="C3894" t="s">
        <v>913</v>
      </c>
      <c r="D3894" t="s">
        <v>1273</v>
      </c>
      <c r="E3894" t="s">
        <v>1212</v>
      </c>
      <c r="F3894">
        <v>19514</v>
      </c>
    </row>
    <row r="3895" spans="1:6">
      <c r="A3895" t="s">
        <v>27</v>
      </c>
      <c r="B3895" t="s">
        <v>78</v>
      </c>
      <c r="C3895" t="s">
        <v>913</v>
      </c>
      <c r="D3895" t="s">
        <v>1273</v>
      </c>
      <c r="E3895" t="s">
        <v>1213</v>
      </c>
      <c r="F3895" t="s">
        <v>1721</v>
      </c>
    </row>
    <row r="3896" spans="1:6">
      <c r="A3896" t="s">
        <v>27</v>
      </c>
      <c r="B3896" t="s">
        <v>78</v>
      </c>
      <c r="C3896" t="s">
        <v>913</v>
      </c>
      <c r="D3896" t="s">
        <v>1273</v>
      </c>
      <c r="E3896" t="s">
        <v>1214</v>
      </c>
      <c r="F3896" t="s">
        <v>1722</v>
      </c>
    </row>
    <row r="3897" spans="1:6">
      <c r="A3897" t="s">
        <v>27</v>
      </c>
      <c r="B3897" t="s">
        <v>78</v>
      </c>
      <c r="C3897" t="s">
        <v>913</v>
      </c>
      <c r="D3897" t="s">
        <v>1273</v>
      </c>
      <c r="E3897" t="s">
        <v>1218</v>
      </c>
      <c r="F3897" t="s">
        <v>1159</v>
      </c>
    </row>
    <row r="3898" spans="1:6">
      <c r="A3898" t="s">
        <v>27</v>
      </c>
      <c r="B3898" t="s">
        <v>78</v>
      </c>
      <c r="C3898" t="s">
        <v>913</v>
      </c>
      <c r="D3898" t="s">
        <v>1273</v>
      </c>
      <c r="E3898" t="s">
        <v>1219</v>
      </c>
      <c r="F3898">
        <v>454</v>
      </c>
    </row>
    <row r="3899" spans="1:6">
      <c r="A3899" t="s">
        <v>27</v>
      </c>
      <c r="B3899" t="s">
        <v>78</v>
      </c>
      <c r="C3899" t="s">
        <v>913</v>
      </c>
      <c r="D3899" t="s">
        <v>1273</v>
      </c>
      <c r="E3899" t="s">
        <v>1220</v>
      </c>
      <c r="F3899">
        <v>21464</v>
      </c>
    </row>
    <row r="3900" spans="1:6">
      <c r="A3900" t="s">
        <v>27</v>
      </c>
      <c r="B3900" t="s">
        <v>78</v>
      </c>
      <c r="C3900" t="s">
        <v>913</v>
      </c>
      <c r="D3900" t="s">
        <v>1273</v>
      </c>
      <c r="E3900" t="s">
        <v>1221</v>
      </c>
      <c r="F3900" t="s">
        <v>1723</v>
      </c>
    </row>
    <row r="3901" spans="1:6">
      <c r="A3901" t="s">
        <v>27</v>
      </c>
      <c r="B3901" t="s">
        <v>78</v>
      </c>
      <c r="C3901" t="s">
        <v>913</v>
      </c>
      <c r="D3901" t="s">
        <v>1273</v>
      </c>
      <c r="E3901" t="s">
        <v>1222</v>
      </c>
      <c r="F3901" t="s">
        <v>1724</v>
      </c>
    </row>
    <row r="3902" spans="1:6">
      <c r="A3902" t="s">
        <v>27</v>
      </c>
      <c r="B3902" t="s">
        <v>78</v>
      </c>
      <c r="C3902" t="s">
        <v>913</v>
      </c>
      <c r="D3902" t="s">
        <v>1273</v>
      </c>
      <c r="E3902" t="s">
        <v>1480</v>
      </c>
      <c r="F3902" t="s">
        <v>1157</v>
      </c>
    </row>
    <row r="3903" spans="1:6">
      <c r="A3903" t="s">
        <v>27</v>
      </c>
      <c r="B3903" t="s">
        <v>78</v>
      </c>
      <c r="C3903" t="s">
        <v>913</v>
      </c>
      <c r="D3903" t="s">
        <v>1273</v>
      </c>
      <c r="E3903" t="s">
        <v>1227</v>
      </c>
      <c r="F3903">
        <v>1097</v>
      </c>
    </row>
    <row r="3904" spans="1:6">
      <c r="A3904" t="s">
        <v>27</v>
      </c>
      <c r="B3904" t="s">
        <v>78</v>
      </c>
      <c r="C3904" t="s">
        <v>913</v>
      </c>
      <c r="D3904" t="s">
        <v>1273</v>
      </c>
      <c r="E3904" t="s">
        <v>1228</v>
      </c>
      <c r="F3904">
        <v>44267</v>
      </c>
    </row>
    <row r="3905" spans="1:6">
      <c r="A3905" t="s">
        <v>27</v>
      </c>
      <c r="B3905" t="s">
        <v>78</v>
      </c>
      <c r="C3905" t="s">
        <v>913</v>
      </c>
      <c r="D3905" t="s">
        <v>1273</v>
      </c>
      <c r="E3905" t="s">
        <v>1230</v>
      </c>
      <c r="F3905" t="s">
        <v>1725</v>
      </c>
    </row>
    <row r="3906" spans="1:6">
      <c r="A3906" t="s">
        <v>27</v>
      </c>
      <c r="B3906" t="s">
        <v>78</v>
      </c>
      <c r="C3906" t="s">
        <v>913</v>
      </c>
      <c r="D3906" t="s">
        <v>1273</v>
      </c>
      <c r="E3906" t="s">
        <v>1231</v>
      </c>
      <c r="F3906" t="s">
        <v>1726</v>
      </c>
    </row>
    <row r="3907" spans="1:6">
      <c r="A3907" t="s">
        <v>27</v>
      </c>
      <c r="B3907" t="s">
        <v>78</v>
      </c>
      <c r="C3907" t="s">
        <v>913</v>
      </c>
      <c r="D3907" t="s">
        <v>1273</v>
      </c>
      <c r="E3907" t="s">
        <v>1483</v>
      </c>
      <c r="F3907" t="s">
        <v>1155</v>
      </c>
    </row>
    <row r="3908" spans="1:6">
      <c r="A3908" t="s">
        <v>27</v>
      </c>
      <c r="B3908" t="s">
        <v>78</v>
      </c>
      <c r="C3908" t="s">
        <v>913</v>
      </c>
      <c r="D3908" t="s">
        <v>1273</v>
      </c>
      <c r="E3908" t="s">
        <v>1237</v>
      </c>
      <c r="F3908">
        <v>1402</v>
      </c>
    </row>
    <row r="3909" spans="1:6">
      <c r="A3909" t="s">
        <v>27</v>
      </c>
      <c r="B3909" t="s">
        <v>78</v>
      </c>
      <c r="C3909" t="s">
        <v>913</v>
      </c>
      <c r="D3909" t="s">
        <v>1273</v>
      </c>
      <c r="E3909" t="s">
        <v>1238</v>
      </c>
      <c r="F3909">
        <v>34409</v>
      </c>
    </row>
    <row r="3910" spans="1:6">
      <c r="A3910" t="s">
        <v>27</v>
      </c>
      <c r="B3910" t="s">
        <v>78</v>
      </c>
      <c r="C3910" t="s">
        <v>913</v>
      </c>
      <c r="D3910" t="s">
        <v>1273</v>
      </c>
      <c r="E3910" t="s">
        <v>1240</v>
      </c>
      <c r="F3910" t="s">
        <v>1727</v>
      </c>
    </row>
    <row r="3911" spans="1:6">
      <c r="A3911" t="s">
        <v>27</v>
      </c>
      <c r="B3911" t="s">
        <v>78</v>
      </c>
      <c r="C3911" t="s">
        <v>913</v>
      </c>
      <c r="D3911" t="s">
        <v>1273</v>
      </c>
      <c r="E3911" t="s">
        <v>1241</v>
      </c>
      <c r="F3911" t="s">
        <v>1728</v>
      </c>
    </row>
    <row r="3912" spans="1:6">
      <c r="A3912" t="s">
        <v>27</v>
      </c>
      <c r="B3912" t="s">
        <v>78</v>
      </c>
      <c r="C3912" t="s">
        <v>913</v>
      </c>
      <c r="D3912" t="s">
        <v>1273</v>
      </c>
      <c r="E3912" t="s">
        <v>1247</v>
      </c>
      <c r="F3912" t="s">
        <v>1153</v>
      </c>
    </row>
    <row r="3913" spans="1:6">
      <c r="A3913" t="s">
        <v>27</v>
      </c>
      <c r="B3913" t="s">
        <v>78</v>
      </c>
      <c r="C3913" t="s">
        <v>913</v>
      </c>
      <c r="D3913" t="s">
        <v>1273</v>
      </c>
      <c r="E3913" t="s">
        <v>1248</v>
      </c>
      <c r="F3913">
        <v>1324</v>
      </c>
    </row>
    <row r="3914" spans="1:6">
      <c r="A3914" t="s">
        <v>27</v>
      </c>
      <c r="B3914" t="s">
        <v>78</v>
      </c>
      <c r="C3914" t="s">
        <v>913</v>
      </c>
      <c r="D3914" t="s">
        <v>1273</v>
      </c>
      <c r="E3914" t="s">
        <v>1249</v>
      </c>
      <c r="F3914">
        <v>31692</v>
      </c>
    </row>
    <row r="3915" spans="1:6">
      <c r="A3915" t="s">
        <v>27</v>
      </c>
      <c r="B3915" t="s">
        <v>78</v>
      </c>
      <c r="C3915" t="s">
        <v>913</v>
      </c>
      <c r="D3915" t="s">
        <v>1273</v>
      </c>
      <c r="E3915" t="s">
        <v>1250</v>
      </c>
      <c r="F3915" t="s">
        <v>1729</v>
      </c>
    </row>
    <row r="3916" spans="1:6">
      <c r="A3916" t="s">
        <v>27</v>
      </c>
      <c r="B3916" t="s">
        <v>78</v>
      </c>
      <c r="C3916" t="s">
        <v>913</v>
      </c>
      <c r="D3916" t="s">
        <v>1273</v>
      </c>
      <c r="E3916" t="s">
        <v>1251</v>
      </c>
      <c r="F3916" t="s">
        <v>1730</v>
      </c>
    </row>
    <row r="3917" spans="1:6">
      <c r="A3917" t="s">
        <v>27</v>
      </c>
      <c r="B3917" t="s">
        <v>78</v>
      </c>
      <c r="C3917" t="s">
        <v>913</v>
      </c>
      <c r="D3917" t="s">
        <v>1273</v>
      </c>
      <c r="E3917" t="s">
        <v>1256</v>
      </c>
      <c r="F3917" t="s">
        <v>1552</v>
      </c>
    </row>
    <row r="3918" spans="1:6">
      <c r="A3918" t="s">
        <v>27</v>
      </c>
      <c r="B3918" t="s">
        <v>78</v>
      </c>
      <c r="C3918" t="s">
        <v>913</v>
      </c>
      <c r="D3918" t="s">
        <v>1273</v>
      </c>
      <c r="E3918" t="s">
        <v>1257</v>
      </c>
      <c r="F3918">
        <v>1972</v>
      </c>
    </row>
    <row r="3919" spans="1:6">
      <c r="A3919" t="s">
        <v>27</v>
      </c>
      <c r="B3919" t="s">
        <v>78</v>
      </c>
      <c r="C3919" t="s">
        <v>913</v>
      </c>
      <c r="D3919" t="s">
        <v>1273</v>
      </c>
      <c r="E3919" t="s">
        <v>1258</v>
      </c>
      <c r="F3919">
        <v>53322</v>
      </c>
    </row>
    <row r="3920" spans="1:6">
      <c r="A3920" t="s">
        <v>27</v>
      </c>
      <c r="B3920" t="s">
        <v>78</v>
      </c>
      <c r="C3920" t="s">
        <v>913</v>
      </c>
      <c r="D3920" t="s">
        <v>1273</v>
      </c>
      <c r="E3920" t="s">
        <v>1259</v>
      </c>
      <c r="F3920" t="s">
        <v>1731</v>
      </c>
    </row>
    <row r="3921" spans="1:6">
      <c r="A3921" t="s">
        <v>27</v>
      </c>
      <c r="B3921" t="s">
        <v>78</v>
      </c>
      <c r="C3921" t="s">
        <v>913</v>
      </c>
      <c r="D3921" t="s">
        <v>1273</v>
      </c>
      <c r="E3921" t="s">
        <v>1260</v>
      </c>
      <c r="F3921" t="s">
        <v>1732</v>
      </c>
    </row>
    <row r="3922" spans="1:6">
      <c r="A3922" t="s">
        <v>27</v>
      </c>
      <c r="B3922" t="s">
        <v>78</v>
      </c>
      <c r="C3922" t="s">
        <v>913</v>
      </c>
      <c r="D3922" t="s">
        <v>1273</v>
      </c>
      <c r="E3922" t="s">
        <v>1264</v>
      </c>
      <c r="F3922" t="s">
        <v>1551</v>
      </c>
    </row>
    <row r="3923" spans="1:6">
      <c r="A3923" t="s">
        <v>27</v>
      </c>
      <c r="B3923" t="s">
        <v>78</v>
      </c>
      <c r="C3923" t="s">
        <v>913</v>
      </c>
      <c r="D3923" t="s">
        <v>1273</v>
      </c>
      <c r="E3923" t="s">
        <v>1265</v>
      </c>
      <c r="F3923">
        <v>1464</v>
      </c>
    </row>
    <row r="3924" spans="1:6">
      <c r="A3924" t="s">
        <v>27</v>
      </c>
      <c r="B3924" t="s">
        <v>78</v>
      </c>
      <c r="C3924" t="s">
        <v>913</v>
      </c>
      <c r="D3924" t="s">
        <v>1273</v>
      </c>
      <c r="E3924" t="s">
        <v>1266</v>
      </c>
      <c r="F3924">
        <v>62910</v>
      </c>
    </row>
    <row r="3925" spans="1:6">
      <c r="A3925" t="s">
        <v>27</v>
      </c>
      <c r="B3925" t="s">
        <v>78</v>
      </c>
      <c r="C3925" t="s">
        <v>913</v>
      </c>
      <c r="D3925" t="s">
        <v>1273</v>
      </c>
      <c r="E3925" t="s">
        <v>1268</v>
      </c>
      <c r="F3925" t="s">
        <v>1733</v>
      </c>
    </row>
    <row r="3926" spans="1:6">
      <c r="A3926" t="s">
        <v>27</v>
      </c>
      <c r="B3926" t="s">
        <v>78</v>
      </c>
      <c r="C3926" t="s">
        <v>913</v>
      </c>
      <c r="D3926" t="s">
        <v>1273</v>
      </c>
      <c r="E3926" t="s">
        <v>1269</v>
      </c>
      <c r="F3926" t="s">
        <v>1734</v>
      </c>
    </row>
    <row r="3927" spans="1:6">
      <c r="A3927" t="s">
        <v>27</v>
      </c>
      <c r="B3927" t="s">
        <v>78</v>
      </c>
      <c r="C3927" t="s">
        <v>913</v>
      </c>
      <c r="D3927" t="s">
        <v>1273</v>
      </c>
      <c r="E3927" t="s">
        <v>1562</v>
      </c>
      <c r="F3927" t="s">
        <v>1550</v>
      </c>
    </row>
    <row r="3928" spans="1:6">
      <c r="A3928" t="s">
        <v>27</v>
      </c>
      <c r="B3928" t="s">
        <v>78</v>
      </c>
      <c r="C3928" t="s">
        <v>913</v>
      </c>
      <c r="D3928" t="s">
        <v>1273</v>
      </c>
      <c r="E3928" t="s">
        <v>1563</v>
      </c>
      <c r="F3928">
        <v>3509</v>
      </c>
    </row>
    <row r="3929" spans="1:6">
      <c r="A3929" t="s">
        <v>27</v>
      </c>
      <c r="B3929" t="s">
        <v>78</v>
      </c>
      <c r="C3929" t="s">
        <v>913</v>
      </c>
      <c r="D3929" t="s">
        <v>1273</v>
      </c>
      <c r="E3929" t="s">
        <v>1564</v>
      </c>
      <c r="F3929">
        <v>224109</v>
      </c>
    </row>
    <row r="3930" spans="1:6">
      <c r="A3930" t="s">
        <v>27</v>
      </c>
      <c r="B3930" t="s">
        <v>78</v>
      </c>
      <c r="C3930" t="s">
        <v>913</v>
      </c>
      <c r="D3930" t="s">
        <v>1273</v>
      </c>
      <c r="E3930" t="s">
        <v>1565</v>
      </c>
      <c r="F3930" t="s">
        <v>1735</v>
      </c>
    </row>
    <row r="3931" spans="1:6">
      <c r="A3931" t="s">
        <v>27</v>
      </c>
      <c r="B3931" t="s">
        <v>78</v>
      </c>
      <c r="C3931" t="s">
        <v>913</v>
      </c>
      <c r="D3931" t="s">
        <v>1273</v>
      </c>
      <c r="E3931" t="s">
        <v>1566</v>
      </c>
      <c r="F3931" t="s">
        <v>1736</v>
      </c>
    </row>
    <row r="3932" spans="1:6">
      <c r="A3932" t="s">
        <v>27</v>
      </c>
      <c r="B3932" t="s">
        <v>78</v>
      </c>
      <c r="C3932" t="s">
        <v>913</v>
      </c>
      <c r="D3932" t="s">
        <v>1273</v>
      </c>
      <c r="E3932" t="s">
        <v>1737</v>
      </c>
      <c r="F3932" t="s">
        <v>1009</v>
      </c>
    </row>
    <row r="3933" spans="1:6">
      <c r="A3933" t="s">
        <v>27</v>
      </c>
      <c r="B3933" t="s">
        <v>78</v>
      </c>
      <c r="C3933" t="s">
        <v>913</v>
      </c>
      <c r="D3933" t="s">
        <v>1273</v>
      </c>
      <c r="E3933" t="s">
        <v>1738</v>
      </c>
      <c r="F3933">
        <v>12709</v>
      </c>
    </row>
    <row r="3934" spans="1:6">
      <c r="A3934" t="s">
        <v>27</v>
      </c>
      <c r="B3934" t="s">
        <v>78</v>
      </c>
      <c r="C3934" t="s">
        <v>913</v>
      </c>
      <c r="D3934" t="s">
        <v>1273</v>
      </c>
      <c r="E3934" t="s">
        <v>1739</v>
      </c>
      <c r="F3934">
        <v>558535</v>
      </c>
    </row>
    <row r="3935" spans="1:6">
      <c r="A3935" t="s">
        <v>27</v>
      </c>
      <c r="B3935" t="s">
        <v>78</v>
      </c>
      <c r="C3935" t="s">
        <v>913</v>
      </c>
      <c r="D3935" t="s">
        <v>1273</v>
      </c>
      <c r="E3935" t="s">
        <v>1740</v>
      </c>
      <c r="F3935" t="s">
        <v>1486</v>
      </c>
    </row>
    <row r="3936" spans="1:6">
      <c r="A3936" t="s">
        <v>27</v>
      </c>
      <c r="B3936" t="s">
        <v>78</v>
      </c>
      <c r="C3936" t="s">
        <v>913</v>
      </c>
      <c r="D3936" t="s">
        <v>1273</v>
      </c>
      <c r="E3936" t="s">
        <v>1741</v>
      </c>
      <c r="F3936" t="s">
        <v>1486</v>
      </c>
    </row>
    <row r="3937" spans="1:6">
      <c r="A3937" t="s">
        <v>27</v>
      </c>
      <c r="B3937" t="s">
        <v>78</v>
      </c>
      <c r="C3937" t="s">
        <v>913</v>
      </c>
      <c r="D3937" t="s">
        <v>1273</v>
      </c>
      <c r="E3937" t="s">
        <v>1742</v>
      </c>
      <c r="F3937" t="s">
        <v>1487</v>
      </c>
    </row>
    <row r="3938" spans="1:6">
      <c r="A3938" t="s">
        <v>27</v>
      </c>
      <c r="B3938" t="s">
        <v>78</v>
      </c>
      <c r="C3938" t="s">
        <v>913</v>
      </c>
      <c r="D3938" t="s">
        <v>1273</v>
      </c>
      <c r="E3938" t="s">
        <v>1743</v>
      </c>
      <c r="F3938">
        <v>0</v>
      </c>
    </row>
    <row r="3939" spans="1:6">
      <c r="A3939" t="s">
        <v>27</v>
      </c>
      <c r="B3939" t="s">
        <v>78</v>
      </c>
      <c r="C3939" t="s">
        <v>913</v>
      </c>
      <c r="D3939" t="s">
        <v>1273</v>
      </c>
      <c r="E3939" t="s">
        <v>1744</v>
      </c>
      <c r="F3939">
        <v>0</v>
      </c>
    </row>
    <row r="3940" spans="1:6">
      <c r="A3940" t="s">
        <v>27</v>
      </c>
      <c r="B3940" t="s">
        <v>78</v>
      </c>
      <c r="C3940" t="s">
        <v>913</v>
      </c>
      <c r="D3940" t="s">
        <v>1273</v>
      </c>
      <c r="E3940" t="s">
        <v>1745</v>
      </c>
      <c r="F3940" t="s">
        <v>1489</v>
      </c>
    </row>
    <row r="3941" spans="1:6">
      <c r="A3941" t="s">
        <v>27</v>
      </c>
      <c r="B3941" t="s">
        <v>78</v>
      </c>
      <c r="C3941" t="s">
        <v>913</v>
      </c>
      <c r="D3941" t="s">
        <v>1273</v>
      </c>
      <c r="E3941" t="s">
        <v>1746</v>
      </c>
      <c r="F3941" t="s">
        <v>1317</v>
      </c>
    </row>
    <row r="3942" spans="1:6">
      <c r="A3942" t="s">
        <v>27</v>
      </c>
      <c r="B3942" t="s">
        <v>78</v>
      </c>
      <c r="C3942" t="s">
        <v>913</v>
      </c>
      <c r="D3942" t="s">
        <v>1273</v>
      </c>
      <c r="E3942" t="s">
        <v>1747</v>
      </c>
      <c r="F3942" t="s">
        <v>1493</v>
      </c>
    </row>
    <row r="3943" spans="1:6">
      <c r="A3943" t="s">
        <v>27</v>
      </c>
      <c r="B3943" t="s">
        <v>82</v>
      </c>
      <c r="C3943" t="s">
        <v>913</v>
      </c>
      <c r="D3943" t="s">
        <v>991</v>
      </c>
      <c r="E3943" t="s">
        <v>1276</v>
      </c>
      <c r="F3943" t="s">
        <v>993</v>
      </c>
    </row>
    <row r="3944" spans="1:6">
      <c r="A3944" t="s">
        <v>27</v>
      </c>
      <c r="B3944" t="s">
        <v>82</v>
      </c>
      <c r="C3944" t="s">
        <v>913</v>
      </c>
      <c r="D3944" t="s">
        <v>991</v>
      </c>
      <c r="E3944" t="s">
        <v>999</v>
      </c>
      <c r="F3944" t="s">
        <v>1094</v>
      </c>
    </row>
    <row r="3945" spans="1:6">
      <c r="A3945" t="s">
        <v>27</v>
      </c>
      <c r="B3945" t="s">
        <v>82</v>
      </c>
      <c r="C3945" t="s">
        <v>913</v>
      </c>
      <c r="D3945" t="s">
        <v>991</v>
      </c>
      <c r="E3945" t="s">
        <v>1001</v>
      </c>
      <c r="F3945" t="s">
        <v>82</v>
      </c>
    </row>
    <row r="3946" spans="1:6">
      <c r="A3946" t="s">
        <v>27</v>
      </c>
      <c r="B3946" t="s">
        <v>82</v>
      </c>
      <c r="C3946" t="s">
        <v>913</v>
      </c>
      <c r="D3946" t="s">
        <v>991</v>
      </c>
      <c r="E3946" t="s">
        <v>1509</v>
      </c>
      <c r="F3946" t="s">
        <v>996</v>
      </c>
    </row>
    <row r="3947" spans="1:6">
      <c r="A3947" t="s">
        <v>27</v>
      </c>
      <c r="B3947" t="s">
        <v>82</v>
      </c>
      <c r="C3947" t="s">
        <v>913</v>
      </c>
      <c r="D3947" t="s">
        <v>991</v>
      </c>
      <c r="E3947" t="s">
        <v>1510</v>
      </c>
      <c r="F3947" t="s">
        <v>1511</v>
      </c>
    </row>
    <row r="3948" spans="1:6">
      <c r="A3948" t="s">
        <v>27</v>
      </c>
      <c r="B3948" t="s">
        <v>82</v>
      </c>
      <c r="C3948" t="s">
        <v>913</v>
      </c>
      <c r="D3948" t="s">
        <v>991</v>
      </c>
      <c r="E3948" t="s">
        <v>1283</v>
      </c>
      <c r="F3948" t="s">
        <v>1000</v>
      </c>
    </row>
    <row r="3949" spans="1:6">
      <c r="A3949" t="s">
        <v>27</v>
      </c>
      <c r="B3949" t="s">
        <v>82</v>
      </c>
      <c r="C3949" t="s">
        <v>913</v>
      </c>
      <c r="D3949" t="s">
        <v>991</v>
      </c>
      <c r="E3949" t="s">
        <v>1285</v>
      </c>
      <c r="F3949" t="s">
        <v>19</v>
      </c>
    </row>
    <row r="3950" spans="1:6">
      <c r="A3950" t="s">
        <v>27</v>
      </c>
      <c r="B3950" t="s">
        <v>82</v>
      </c>
      <c r="C3950" t="s">
        <v>913</v>
      </c>
      <c r="D3950" t="s">
        <v>991</v>
      </c>
      <c r="E3950" t="s">
        <v>1335</v>
      </c>
      <c r="F3950" t="s">
        <v>1003</v>
      </c>
    </row>
    <row r="3951" spans="1:6">
      <c r="A3951" t="s">
        <v>27</v>
      </c>
      <c r="B3951" t="s">
        <v>82</v>
      </c>
      <c r="C3951" t="s">
        <v>913</v>
      </c>
      <c r="D3951" t="s">
        <v>991</v>
      </c>
      <c r="E3951" t="s">
        <v>1291</v>
      </c>
      <c r="F3951" t="s">
        <v>1005</v>
      </c>
    </row>
    <row r="3952" spans="1:6">
      <c r="A3952" t="s">
        <v>27</v>
      </c>
      <c r="B3952" t="s">
        <v>82</v>
      </c>
      <c r="C3952" t="s">
        <v>913</v>
      </c>
      <c r="D3952" t="s">
        <v>991</v>
      </c>
      <c r="E3952" t="s">
        <v>1034</v>
      </c>
      <c r="F3952" t="s">
        <v>1007</v>
      </c>
    </row>
    <row r="3953" spans="1:6">
      <c r="A3953" t="s">
        <v>27</v>
      </c>
      <c r="B3953" t="s">
        <v>82</v>
      </c>
      <c r="C3953" t="s">
        <v>913</v>
      </c>
      <c r="D3953" t="s">
        <v>991</v>
      </c>
      <c r="E3953" t="s">
        <v>1035</v>
      </c>
      <c r="F3953" t="s">
        <v>1009</v>
      </c>
    </row>
    <row r="3954" spans="1:6">
      <c r="A3954" t="s">
        <v>27</v>
      </c>
      <c r="B3954" t="s">
        <v>82</v>
      </c>
      <c r="C3954" t="s">
        <v>913</v>
      </c>
      <c r="D3954" t="s">
        <v>991</v>
      </c>
      <c r="E3954" t="s">
        <v>1099</v>
      </c>
      <c r="F3954" t="s">
        <v>1011</v>
      </c>
    </row>
    <row r="3955" spans="1:6">
      <c r="A3955" t="s">
        <v>27</v>
      </c>
      <c r="B3955" t="s">
        <v>82</v>
      </c>
      <c r="C3955" t="s">
        <v>913</v>
      </c>
      <c r="D3955" t="s">
        <v>991</v>
      </c>
      <c r="E3955" t="s">
        <v>1100</v>
      </c>
      <c r="F3955" t="s">
        <v>1013</v>
      </c>
    </row>
    <row r="3956" spans="1:6">
      <c r="A3956" t="s">
        <v>27</v>
      </c>
      <c r="B3956" t="s">
        <v>82</v>
      </c>
      <c r="C3956" t="s">
        <v>913</v>
      </c>
      <c r="D3956" t="s">
        <v>991</v>
      </c>
      <c r="E3956" t="s">
        <v>1101</v>
      </c>
      <c r="F3956" t="s">
        <v>1015</v>
      </c>
    </row>
    <row r="3957" spans="1:6">
      <c r="A3957" t="s">
        <v>27</v>
      </c>
      <c r="B3957" t="s">
        <v>82</v>
      </c>
      <c r="C3957" t="s">
        <v>913</v>
      </c>
      <c r="D3957" t="s">
        <v>991</v>
      </c>
      <c r="E3957" t="s">
        <v>1512</v>
      </c>
      <c r="F3957" t="s">
        <v>1017</v>
      </c>
    </row>
    <row r="3958" spans="1:6">
      <c r="A3958" t="s">
        <v>27</v>
      </c>
      <c r="B3958" t="s">
        <v>82</v>
      </c>
      <c r="C3958" t="s">
        <v>913</v>
      </c>
      <c r="D3958" t="s">
        <v>991</v>
      </c>
      <c r="E3958" t="s">
        <v>1513</v>
      </c>
      <c r="F3958" t="s">
        <v>1019</v>
      </c>
    </row>
    <row r="3959" spans="1:6">
      <c r="A3959" t="s">
        <v>27</v>
      </c>
      <c r="B3959" t="s">
        <v>82</v>
      </c>
      <c r="C3959" t="s">
        <v>913</v>
      </c>
      <c r="D3959" t="s">
        <v>991</v>
      </c>
      <c r="E3959" t="s">
        <v>1514</v>
      </c>
      <c r="F3959" t="s">
        <v>1021</v>
      </c>
    </row>
    <row r="3960" spans="1:6">
      <c r="A3960" t="s">
        <v>27</v>
      </c>
      <c r="B3960" t="s">
        <v>82</v>
      </c>
      <c r="C3960" t="s">
        <v>913</v>
      </c>
      <c r="D3960" t="s">
        <v>991</v>
      </c>
      <c r="E3960" t="s">
        <v>1515</v>
      </c>
      <c r="F3960" t="s">
        <v>1023</v>
      </c>
    </row>
    <row r="3961" spans="1:6">
      <c r="A3961" t="s">
        <v>27</v>
      </c>
      <c r="B3961" t="s">
        <v>82</v>
      </c>
      <c r="C3961" t="s">
        <v>913</v>
      </c>
      <c r="D3961" t="s">
        <v>991</v>
      </c>
      <c r="E3961" t="s">
        <v>1516</v>
      </c>
      <c r="F3961" t="s">
        <v>1025</v>
      </c>
    </row>
    <row r="3962" spans="1:6">
      <c r="A3962" t="s">
        <v>27</v>
      </c>
      <c r="B3962" t="s">
        <v>82</v>
      </c>
      <c r="C3962" t="s">
        <v>913</v>
      </c>
      <c r="D3962" t="s">
        <v>991</v>
      </c>
      <c r="E3962" t="s">
        <v>1517</v>
      </c>
      <c r="F3962" t="s">
        <v>1027</v>
      </c>
    </row>
    <row r="3963" spans="1:6">
      <c r="A3963" t="s">
        <v>27</v>
      </c>
      <c r="B3963" t="s">
        <v>82</v>
      </c>
      <c r="C3963" t="s">
        <v>913</v>
      </c>
      <c r="D3963" t="s">
        <v>991</v>
      </c>
      <c r="E3963" t="s">
        <v>1518</v>
      </c>
      <c r="F3963" t="s">
        <v>1029</v>
      </c>
    </row>
    <row r="3964" spans="1:6">
      <c r="A3964" t="s">
        <v>27</v>
      </c>
      <c r="B3964" t="s">
        <v>82</v>
      </c>
      <c r="C3964" t="s">
        <v>913</v>
      </c>
      <c r="D3964" t="s">
        <v>991</v>
      </c>
      <c r="E3964" t="s">
        <v>1519</v>
      </c>
      <c r="F3964" t="s">
        <v>1031</v>
      </c>
    </row>
    <row r="3965" spans="1:6">
      <c r="A3965" t="s">
        <v>27</v>
      </c>
      <c r="B3965" t="s">
        <v>82</v>
      </c>
      <c r="C3965" t="s">
        <v>913</v>
      </c>
      <c r="D3965" t="s">
        <v>991</v>
      </c>
      <c r="E3965" t="s">
        <v>1520</v>
      </c>
      <c r="F3965" t="s">
        <v>1033</v>
      </c>
    </row>
    <row r="3966" spans="1:6">
      <c r="A3966" t="s">
        <v>27</v>
      </c>
      <c r="B3966" t="s">
        <v>82</v>
      </c>
      <c r="C3966" t="s">
        <v>913</v>
      </c>
      <c r="D3966" t="s">
        <v>991</v>
      </c>
      <c r="E3966" t="s">
        <v>1036</v>
      </c>
      <c r="F3966" t="s">
        <v>50</v>
      </c>
    </row>
    <row r="3967" spans="1:6">
      <c r="A3967" t="s">
        <v>27</v>
      </c>
      <c r="B3967" t="s">
        <v>82</v>
      </c>
      <c r="C3967" t="s">
        <v>913</v>
      </c>
      <c r="D3967" t="s">
        <v>991</v>
      </c>
      <c r="E3967" t="s">
        <v>1037</v>
      </c>
      <c r="F3967">
        <v>1921923</v>
      </c>
    </row>
    <row r="3968" spans="1:6">
      <c r="A3968" t="s">
        <v>27</v>
      </c>
      <c r="B3968" t="s">
        <v>82</v>
      </c>
      <c r="C3968" t="s">
        <v>913</v>
      </c>
      <c r="D3968" t="s">
        <v>991</v>
      </c>
      <c r="E3968" t="s">
        <v>1038</v>
      </c>
      <c r="F3968">
        <v>2025</v>
      </c>
    </row>
    <row r="3969" spans="1:6">
      <c r="A3969" t="s">
        <v>27</v>
      </c>
      <c r="B3969" t="s">
        <v>82</v>
      </c>
      <c r="C3969" t="s">
        <v>913</v>
      </c>
      <c r="D3969" t="s">
        <v>991</v>
      </c>
      <c r="E3969" t="s">
        <v>1039</v>
      </c>
      <c r="F3969">
        <v>1318194</v>
      </c>
    </row>
    <row r="3970" spans="1:6">
      <c r="A3970" t="s">
        <v>27</v>
      </c>
      <c r="B3970" t="s">
        <v>82</v>
      </c>
      <c r="C3970" t="s">
        <v>913</v>
      </c>
      <c r="D3970" t="s">
        <v>991</v>
      </c>
      <c r="E3970" t="s">
        <v>1052</v>
      </c>
      <c r="F3970">
        <v>2026</v>
      </c>
    </row>
    <row r="3971" spans="1:6">
      <c r="A3971" t="s">
        <v>27</v>
      </c>
      <c r="B3971" t="s">
        <v>82</v>
      </c>
      <c r="C3971" t="s">
        <v>913</v>
      </c>
      <c r="D3971" t="s">
        <v>991</v>
      </c>
      <c r="E3971" t="s">
        <v>1053</v>
      </c>
      <c r="F3971">
        <v>1701435</v>
      </c>
    </row>
    <row r="3972" spans="1:6">
      <c r="A3972" t="s">
        <v>27</v>
      </c>
      <c r="B3972" t="s">
        <v>82</v>
      </c>
      <c r="C3972" t="s">
        <v>913</v>
      </c>
      <c r="D3972" t="s">
        <v>991</v>
      </c>
      <c r="E3972" t="s">
        <v>1108</v>
      </c>
      <c r="F3972">
        <v>122409</v>
      </c>
    </row>
    <row r="3973" spans="1:6">
      <c r="A3973" t="s">
        <v>27</v>
      </c>
      <c r="B3973" t="s">
        <v>82</v>
      </c>
      <c r="C3973" t="s">
        <v>913</v>
      </c>
      <c r="D3973" t="s">
        <v>991</v>
      </c>
      <c r="E3973" t="s">
        <v>1109</v>
      </c>
      <c r="F3973">
        <v>175397</v>
      </c>
    </row>
    <row r="3974" spans="1:6">
      <c r="A3974" t="s">
        <v>27</v>
      </c>
      <c r="B3974" t="s">
        <v>82</v>
      </c>
      <c r="C3974" t="s">
        <v>913</v>
      </c>
      <c r="D3974" t="s">
        <v>991</v>
      </c>
      <c r="E3974" t="s">
        <v>1110</v>
      </c>
      <c r="F3974">
        <v>320341</v>
      </c>
    </row>
    <row r="3975" spans="1:6">
      <c r="A3975" t="s">
        <v>27</v>
      </c>
      <c r="B3975" t="s">
        <v>82</v>
      </c>
      <c r="C3975" t="s">
        <v>913</v>
      </c>
      <c r="D3975" t="s">
        <v>991</v>
      </c>
      <c r="E3975" t="s">
        <v>1521</v>
      </c>
      <c r="F3975">
        <v>103356</v>
      </c>
    </row>
    <row r="3976" spans="1:6">
      <c r="A3976" t="s">
        <v>27</v>
      </c>
      <c r="B3976" t="s">
        <v>82</v>
      </c>
      <c r="C3976" t="s">
        <v>913</v>
      </c>
      <c r="D3976" t="s">
        <v>991</v>
      </c>
      <c r="E3976" t="s">
        <v>1522</v>
      </c>
      <c r="F3976">
        <v>145777</v>
      </c>
    </row>
    <row r="3977" spans="1:6">
      <c r="A3977" t="s">
        <v>27</v>
      </c>
      <c r="B3977" t="s">
        <v>82</v>
      </c>
      <c r="C3977" t="s">
        <v>913</v>
      </c>
      <c r="D3977" t="s">
        <v>991</v>
      </c>
      <c r="E3977" t="s">
        <v>1523</v>
      </c>
      <c r="F3977">
        <v>79929</v>
      </c>
    </row>
    <row r="3978" spans="1:6">
      <c r="A3978" t="s">
        <v>27</v>
      </c>
      <c r="B3978" t="s">
        <v>82</v>
      </c>
      <c r="C3978" t="s">
        <v>913</v>
      </c>
      <c r="D3978" t="s">
        <v>991</v>
      </c>
      <c r="E3978" t="s">
        <v>1524</v>
      </c>
      <c r="F3978">
        <v>114841</v>
      </c>
    </row>
    <row r="3979" spans="1:6">
      <c r="A3979" t="s">
        <v>27</v>
      </c>
      <c r="B3979" t="s">
        <v>82</v>
      </c>
      <c r="C3979" t="s">
        <v>913</v>
      </c>
      <c r="D3979" t="s">
        <v>991</v>
      </c>
      <c r="E3979" t="s">
        <v>1525</v>
      </c>
      <c r="F3979">
        <v>134216</v>
      </c>
    </row>
    <row r="3980" spans="1:6">
      <c r="A3980" t="s">
        <v>27</v>
      </c>
      <c r="B3980" t="s">
        <v>82</v>
      </c>
      <c r="C3980" t="s">
        <v>913</v>
      </c>
      <c r="D3980" t="s">
        <v>991</v>
      </c>
      <c r="E3980" t="s">
        <v>1526</v>
      </c>
      <c r="F3980">
        <v>505169</v>
      </c>
    </row>
    <row r="3981" spans="1:6">
      <c r="A3981" t="s">
        <v>27</v>
      </c>
      <c r="B3981" t="s">
        <v>82</v>
      </c>
      <c r="C3981" t="s">
        <v>913</v>
      </c>
      <c r="D3981" t="s">
        <v>991</v>
      </c>
      <c r="E3981" t="s">
        <v>1527</v>
      </c>
      <c r="F3981">
        <v>0</v>
      </c>
    </row>
    <row r="3982" spans="1:6">
      <c r="A3982" t="s">
        <v>27</v>
      </c>
      <c r="B3982" t="s">
        <v>82</v>
      </c>
      <c r="C3982" t="s">
        <v>913</v>
      </c>
      <c r="D3982" t="s">
        <v>991</v>
      </c>
      <c r="E3982" t="s">
        <v>1528</v>
      </c>
      <c r="F3982">
        <v>0</v>
      </c>
    </row>
    <row r="3983" spans="1:6">
      <c r="A3983" t="s">
        <v>27</v>
      </c>
      <c r="B3983" t="s">
        <v>82</v>
      </c>
      <c r="C3983" t="s">
        <v>913</v>
      </c>
      <c r="D3983" t="s">
        <v>991</v>
      </c>
      <c r="E3983" t="s">
        <v>1529</v>
      </c>
      <c r="F3983">
        <v>0</v>
      </c>
    </row>
    <row r="3984" spans="1:6">
      <c r="A3984" t="s">
        <v>27</v>
      </c>
      <c r="B3984" t="s">
        <v>82</v>
      </c>
      <c r="C3984" t="s">
        <v>913</v>
      </c>
      <c r="D3984" t="s">
        <v>991</v>
      </c>
      <c r="E3984" t="s">
        <v>1111</v>
      </c>
      <c r="F3984" t="s">
        <v>1009</v>
      </c>
    </row>
    <row r="3985" spans="1:6">
      <c r="A3985" t="s">
        <v>27</v>
      </c>
      <c r="B3985" t="s">
        <v>82</v>
      </c>
      <c r="C3985" t="s">
        <v>913</v>
      </c>
      <c r="D3985" t="s">
        <v>991</v>
      </c>
      <c r="E3985" t="s">
        <v>1113</v>
      </c>
      <c r="F3985">
        <v>4941553</v>
      </c>
    </row>
    <row r="3986" spans="1:6">
      <c r="A3986" t="s">
        <v>27</v>
      </c>
      <c r="B3986" t="s">
        <v>82</v>
      </c>
      <c r="C3986" t="s">
        <v>913</v>
      </c>
      <c r="D3986" t="s">
        <v>991</v>
      </c>
      <c r="E3986" t="s">
        <v>1122</v>
      </c>
      <c r="F3986" t="s">
        <v>1055</v>
      </c>
    </row>
    <row r="3987" spans="1:6">
      <c r="A3987" t="s">
        <v>27</v>
      </c>
      <c r="B3987" t="s">
        <v>82</v>
      </c>
      <c r="C3987" t="s">
        <v>913</v>
      </c>
      <c r="D3987" t="s">
        <v>991</v>
      </c>
      <c r="E3987" t="s">
        <v>1071</v>
      </c>
      <c r="F3987" t="s">
        <v>1007</v>
      </c>
    </row>
    <row r="3988" spans="1:6">
      <c r="A3988" t="s">
        <v>27</v>
      </c>
      <c r="B3988" t="s">
        <v>82</v>
      </c>
      <c r="C3988" t="s">
        <v>913</v>
      </c>
      <c r="D3988" t="s">
        <v>991</v>
      </c>
      <c r="E3988" t="s">
        <v>1072</v>
      </c>
      <c r="F3988" t="s">
        <v>1009</v>
      </c>
    </row>
    <row r="3989" spans="1:6">
      <c r="A3989" t="s">
        <v>27</v>
      </c>
      <c r="B3989" t="s">
        <v>82</v>
      </c>
      <c r="C3989" t="s">
        <v>913</v>
      </c>
      <c r="D3989" t="s">
        <v>991</v>
      </c>
      <c r="E3989" t="s">
        <v>1133</v>
      </c>
      <c r="F3989" t="s">
        <v>1011</v>
      </c>
    </row>
    <row r="3990" spans="1:6">
      <c r="A3990" t="s">
        <v>27</v>
      </c>
      <c r="B3990" t="s">
        <v>82</v>
      </c>
      <c r="C3990" t="s">
        <v>913</v>
      </c>
      <c r="D3990" t="s">
        <v>991</v>
      </c>
      <c r="E3990" t="s">
        <v>1134</v>
      </c>
      <c r="F3990" t="s">
        <v>1013</v>
      </c>
    </row>
    <row r="3991" spans="1:6">
      <c r="A3991" t="s">
        <v>27</v>
      </c>
      <c r="B3991" t="s">
        <v>82</v>
      </c>
      <c r="C3991" t="s">
        <v>913</v>
      </c>
      <c r="D3991" t="s">
        <v>991</v>
      </c>
      <c r="E3991" t="s">
        <v>1135</v>
      </c>
      <c r="F3991" t="s">
        <v>1015</v>
      </c>
    </row>
    <row r="3992" spans="1:6">
      <c r="A3992" t="s">
        <v>27</v>
      </c>
      <c r="B3992" t="s">
        <v>82</v>
      </c>
      <c r="C3992" t="s">
        <v>913</v>
      </c>
      <c r="D3992" t="s">
        <v>991</v>
      </c>
      <c r="E3992" t="s">
        <v>1414</v>
      </c>
      <c r="F3992" t="s">
        <v>1017</v>
      </c>
    </row>
    <row r="3993" spans="1:6">
      <c r="A3993" t="s">
        <v>27</v>
      </c>
      <c r="B3993" t="s">
        <v>82</v>
      </c>
      <c r="C3993" t="s">
        <v>913</v>
      </c>
      <c r="D3993" t="s">
        <v>991</v>
      </c>
      <c r="E3993" t="s">
        <v>1530</v>
      </c>
      <c r="F3993" t="s">
        <v>1019</v>
      </c>
    </row>
    <row r="3994" spans="1:6">
      <c r="A3994" t="s">
        <v>27</v>
      </c>
      <c r="B3994" t="s">
        <v>82</v>
      </c>
      <c r="C3994" t="s">
        <v>913</v>
      </c>
      <c r="D3994" t="s">
        <v>991</v>
      </c>
      <c r="E3994" t="s">
        <v>1531</v>
      </c>
      <c r="F3994" t="s">
        <v>1021</v>
      </c>
    </row>
    <row r="3995" spans="1:6">
      <c r="A3995" t="s">
        <v>27</v>
      </c>
      <c r="B3995" t="s">
        <v>82</v>
      </c>
      <c r="C3995" t="s">
        <v>913</v>
      </c>
      <c r="D3995" t="s">
        <v>991</v>
      </c>
      <c r="E3995" t="s">
        <v>1532</v>
      </c>
      <c r="F3995" t="s">
        <v>1023</v>
      </c>
    </row>
    <row r="3996" spans="1:6">
      <c r="A3996" t="s">
        <v>27</v>
      </c>
      <c r="B3996" t="s">
        <v>82</v>
      </c>
      <c r="C3996" t="s">
        <v>913</v>
      </c>
      <c r="D3996" t="s">
        <v>991</v>
      </c>
      <c r="E3996" t="s">
        <v>1533</v>
      </c>
      <c r="F3996" t="s">
        <v>1066</v>
      </c>
    </row>
    <row r="3997" spans="1:6">
      <c r="A3997" t="s">
        <v>27</v>
      </c>
      <c r="B3997" t="s">
        <v>82</v>
      </c>
      <c r="C3997" t="s">
        <v>913</v>
      </c>
      <c r="D3997" t="s">
        <v>991</v>
      </c>
      <c r="E3997" t="s">
        <v>1534</v>
      </c>
      <c r="F3997" t="s">
        <v>1027</v>
      </c>
    </row>
    <row r="3998" spans="1:6">
      <c r="A3998" t="s">
        <v>27</v>
      </c>
      <c r="B3998" t="s">
        <v>82</v>
      </c>
      <c r="C3998" t="s">
        <v>913</v>
      </c>
      <c r="D3998" t="s">
        <v>991</v>
      </c>
      <c r="E3998" t="s">
        <v>1535</v>
      </c>
      <c r="F3998" t="s">
        <v>1029</v>
      </c>
    </row>
    <row r="3999" spans="1:6">
      <c r="A3999" t="s">
        <v>27</v>
      </c>
      <c r="B3999" t="s">
        <v>82</v>
      </c>
      <c r="C3999" t="s">
        <v>913</v>
      </c>
      <c r="D3999" t="s">
        <v>991</v>
      </c>
      <c r="E3999" t="s">
        <v>1536</v>
      </c>
      <c r="F3999" t="s">
        <v>1031</v>
      </c>
    </row>
    <row r="4000" spans="1:6">
      <c r="A4000" t="s">
        <v>27</v>
      </c>
      <c r="B4000" t="s">
        <v>82</v>
      </c>
      <c r="C4000" t="s">
        <v>913</v>
      </c>
      <c r="D4000" t="s">
        <v>991</v>
      </c>
      <c r="E4000" t="s">
        <v>1537</v>
      </c>
      <c r="F4000" t="s">
        <v>1033</v>
      </c>
    </row>
    <row r="4001" spans="1:6">
      <c r="A4001" t="s">
        <v>27</v>
      </c>
      <c r="B4001" t="s">
        <v>82</v>
      </c>
      <c r="C4001" t="s">
        <v>913</v>
      </c>
      <c r="D4001" t="s">
        <v>991</v>
      </c>
      <c r="E4001" t="s">
        <v>1073</v>
      </c>
      <c r="F4001" t="s">
        <v>50</v>
      </c>
    </row>
    <row r="4002" spans="1:6">
      <c r="A4002" t="s">
        <v>27</v>
      </c>
      <c r="B4002" t="s">
        <v>82</v>
      </c>
      <c r="C4002" t="s">
        <v>913</v>
      </c>
      <c r="D4002" t="s">
        <v>991</v>
      </c>
      <c r="E4002" t="s">
        <v>1074</v>
      </c>
      <c r="F4002">
        <v>24107</v>
      </c>
    </row>
    <row r="4003" spans="1:6">
      <c r="A4003" t="s">
        <v>27</v>
      </c>
      <c r="B4003" t="s">
        <v>82</v>
      </c>
      <c r="C4003" t="s">
        <v>913</v>
      </c>
      <c r="D4003" t="s">
        <v>991</v>
      </c>
      <c r="E4003" t="s">
        <v>1075</v>
      </c>
      <c r="F4003">
        <v>2025</v>
      </c>
    </row>
    <row r="4004" spans="1:6">
      <c r="A4004" t="s">
        <v>27</v>
      </c>
      <c r="B4004" t="s">
        <v>82</v>
      </c>
      <c r="C4004" t="s">
        <v>913</v>
      </c>
      <c r="D4004" t="s">
        <v>991</v>
      </c>
      <c r="E4004" t="s">
        <v>1076</v>
      </c>
      <c r="F4004">
        <v>23508</v>
      </c>
    </row>
    <row r="4005" spans="1:6">
      <c r="A4005" t="s">
        <v>27</v>
      </c>
      <c r="B4005" t="s">
        <v>82</v>
      </c>
      <c r="C4005" t="s">
        <v>913</v>
      </c>
      <c r="D4005" t="s">
        <v>991</v>
      </c>
      <c r="E4005" t="s">
        <v>1089</v>
      </c>
      <c r="F4005">
        <v>2026</v>
      </c>
    </row>
    <row r="4006" spans="1:6">
      <c r="A4006" t="s">
        <v>27</v>
      </c>
      <c r="B4006" t="s">
        <v>82</v>
      </c>
      <c r="C4006" t="s">
        <v>913</v>
      </c>
      <c r="D4006" t="s">
        <v>991</v>
      </c>
      <c r="E4006" t="s">
        <v>1090</v>
      </c>
      <c r="F4006">
        <v>30501</v>
      </c>
    </row>
    <row r="4007" spans="1:6">
      <c r="A4007" t="s">
        <v>27</v>
      </c>
      <c r="B4007" t="s">
        <v>82</v>
      </c>
      <c r="C4007" t="s">
        <v>913</v>
      </c>
      <c r="D4007" t="s">
        <v>991</v>
      </c>
      <c r="E4007" t="s">
        <v>1139</v>
      </c>
      <c r="F4007">
        <v>6725</v>
      </c>
    </row>
    <row r="4008" spans="1:6">
      <c r="A4008" t="s">
        <v>27</v>
      </c>
      <c r="B4008" t="s">
        <v>82</v>
      </c>
      <c r="C4008" t="s">
        <v>913</v>
      </c>
      <c r="D4008" t="s">
        <v>991</v>
      </c>
      <c r="E4008" t="s">
        <v>1140</v>
      </c>
      <c r="F4008">
        <v>2977</v>
      </c>
    </row>
    <row r="4009" spans="1:6">
      <c r="A4009" t="s">
        <v>27</v>
      </c>
      <c r="B4009" t="s">
        <v>82</v>
      </c>
      <c r="C4009" t="s">
        <v>913</v>
      </c>
      <c r="D4009" t="s">
        <v>991</v>
      </c>
      <c r="E4009" t="s">
        <v>1141</v>
      </c>
      <c r="F4009">
        <v>4413</v>
      </c>
    </row>
    <row r="4010" spans="1:6">
      <c r="A4010" t="s">
        <v>27</v>
      </c>
      <c r="B4010" t="s">
        <v>82</v>
      </c>
      <c r="C4010" t="s">
        <v>913</v>
      </c>
      <c r="D4010" t="s">
        <v>991</v>
      </c>
      <c r="E4010" t="s">
        <v>1423</v>
      </c>
      <c r="F4010">
        <v>2185</v>
      </c>
    </row>
    <row r="4011" spans="1:6">
      <c r="A4011" t="s">
        <v>27</v>
      </c>
      <c r="B4011" t="s">
        <v>82</v>
      </c>
      <c r="C4011" t="s">
        <v>913</v>
      </c>
      <c r="D4011" t="s">
        <v>991</v>
      </c>
      <c r="E4011" t="s">
        <v>1538</v>
      </c>
      <c r="F4011">
        <v>4446</v>
      </c>
    </row>
    <row r="4012" spans="1:6">
      <c r="A4012" t="s">
        <v>27</v>
      </c>
      <c r="B4012" t="s">
        <v>82</v>
      </c>
      <c r="C4012" t="s">
        <v>913</v>
      </c>
      <c r="D4012" t="s">
        <v>991</v>
      </c>
      <c r="E4012" t="s">
        <v>1539</v>
      </c>
      <c r="F4012">
        <v>4121</v>
      </c>
    </row>
    <row r="4013" spans="1:6">
      <c r="A4013" t="s">
        <v>27</v>
      </c>
      <c r="B4013" t="s">
        <v>82</v>
      </c>
      <c r="C4013" t="s">
        <v>913</v>
      </c>
      <c r="D4013" t="s">
        <v>991</v>
      </c>
      <c r="E4013" t="s">
        <v>1540</v>
      </c>
      <c r="F4013">
        <v>1636</v>
      </c>
    </row>
    <row r="4014" spans="1:6">
      <c r="A4014" t="s">
        <v>27</v>
      </c>
      <c r="B4014" t="s">
        <v>82</v>
      </c>
      <c r="C4014" t="s">
        <v>913</v>
      </c>
      <c r="D4014" t="s">
        <v>991</v>
      </c>
      <c r="E4014" t="s">
        <v>1541</v>
      </c>
      <c r="F4014">
        <v>2515</v>
      </c>
    </row>
    <row r="4015" spans="1:6">
      <c r="A4015" t="s">
        <v>27</v>
      </c>
      <c r="B4015" t="s">
        <v>82</v>
      </c>
      <c r="C4015" t="s">
        <v>913</v>
      </c>
      <c r="D4015" t="s">
        <v>991</v>
      </c>
      <c r="E4015" t="s">
        <v>1542</v>
      </c>
      <c r="F4015">
        <v>1483</v>
      </c>
    </row>
    <row r="4016" spans="1:6">
      <c r="A4016" t="s">
        <v>27</v>
      </c>
      <c r="B4016" t="s">
        <v>82</v>
      </c>
      <c r="C4016" t="s">
        <v>913</v>
      </c>
      <c r="D4016" t="s">
        <v>991</v>
      </c>
      <c r="E4016" t="s">
        <v>1543</v>
      </c>
      <c r="F4016">
        <v>0</v>
      </c>
    </row>
    <row r="4017" spans="1:6">
      <c r="A4017" t="s">
        <v>27</v>
      </c>
      <c r="B4017" t="s">
        <v>82</v>
      </c>
      <c r="C4017" t="s">
        <v>913</v>
      </c>
      <c r="D4017" t="s">
        <v>991</v>
      </c>
      <c r="E4017" t="s">
        <v>1544</v>
      </c>
      <c r="F4017">
        <v>0</v>
      </c>
    </row>
    <row r="4018" spans="1:6">
      <c r="A4018" t="s">
        <v>27</v>
      </c>
      <c r="B4018" t="s">
        <v>82</v>
      </c>
      <c r="C4018" t="s">
        <v>913</v>
      </c>
      <c r="D4018" t="s">
        <v>991</v>
      </c>
      <c r="E4018" t="s">
        <v>1545</v>
      </c>
      <c r="F4018">
        <v>0</v>
      </c>
    </row>
    <row r="4019" spans="1:6">
      <c r="A4019" t="s">
        <v>27</v>
      </c>
      <c r="B4019" t="s">
        <v>82</v>
      </c>
      <c r="C4019" t="s">
        <v>913</v>
      </c>
      <c r="D4019" t="s">
        <v>991</v>
      </c>
      <c r="E4019" t="s">
        <v>1546</v>
      </c>
      <c r="F4019" t="s">
        <v>1009</v>
      </c>
    </row>
    <row r="4020" spans="1:6">
      <c r="A4020" t="s">
        <v>27</v>
      </c>
      <c r="B4020" t="s">
        <v>82</v>
      </c>
      <c r="C4020" t="s">
        <v>913</v>
      </c>
      <c r="D4020" t="s">
        <v>991</v>
      </c>
      <c r="E4020" t="s">
        <v>1298</v>
      </c>
      <c r="F4020">
        <v>78116</v>
      </c>
    </row>
    <row r="4021" spans="1:6">
      <c r="A4021" t="s">
        <v>27</v>
      </c>
      <c r="B4021" t="s">
        <v>82</v>
      </c>
      <c r="C4021" t="s">
        <v>913</v>
      </c>
      <c r="D4021" t="s">
        <v>1091</v>
      </c>
      <c r="E4021" t="s">
        <v>1276</v>
      </c>
      <c r="F4021" t="s">
        <v>1092</v>
      </c>
    </row>
    <row r="4022" spans="1:6">
      <c r="A4022" t="s">
        <v>27</v>
      </c>
      <c r="B4022" t="s">
        <v>82</v>
      </c>
      <c r="C4022" t="s">
        <v>913</v>
      </c>
      <c r="D4022" t="s">
        <v>1091</v>
      </c>
      <c r="E4022" t="s">
        <v>999</v>
      </c>
      <c r="F4022" t="s">
        <v>1094</v>
      </c>
    </row>
    <row r="4023" spans="1:6">
      <c r="A4023" t="s">
        <v>27</v>
      </c>
      <c r="B4023" t="s">
        <v>82</v>
      </c>
      <c r="C4023" t="s">
        <v>913</v>
      </c>
      <c r="D4023" t="s">
        <v>1091</v>
      </c>
      <c r="E4023" t="s">
        <v>1001</v>
      </c>
      <c r="F4023" t="s">
        <v>82</v>
      </c>
    </row>
    <row r="4024" spans="1:6">
      <c r="A4024" t="s">
        <v>27</v>
      </c>
      <c r="B4024" t="s">
        <v>82</v>
      </c>
      <c r="C4024" t="s">
        <v>913</v>
      </c>
      <c r="D4024" t="s">
        <v>1091</v>
      </c>
      <c r="E4024" t="s">
        <v>1509</v>
      </c>
      <c r="F4024" t="s">
        <v>996</v>
      </c>
    </row>
    <row r="4025" spans="1:6">
      <c r="A4025" t="s">
        <v>27</v>
      </c>
      <c r="B4025" t="s">
        <v>82</v>
      </c>
      <c r="C4025" t="s">
        <v>913</v>
      </c>
      <c r="D4025" t="s">
        <v>1091</v>
      </c>
      <c r="E4025" t="s">
        <v>1510</v>
      </c>
      <c r="F4025" t="s">
        <v>1511</v>
      </c>
    </row>
    <row r="4026" spans="1:6">
      <c r="A4026" t="s">
        <v>27</v>
      </c>
      <c r="B4026" t="s">
        <v>82</v>
      </c>
      <c r="C4026" t="s">
        <v>913</v>
      </c>
      <c r="D4026" t="s">
        <v>1091</v>
      </c>
      <c r="E4026" t="s">
        <v>1283</v>
      </c>
      <c r="F4026" t="s">
        <v>1000</v>
      </c>
    </row>
    <row r="4027" spans="1:6">
      <c r="A4027" t="s">
        <v>27</v>
      </c>
      <c r="B4027" t="s">
        <v>82</v>
      </c>
      <c r="C4027" t="s">
        <v>913</v>
      </c>
      <c r="D4027" t="s">
        <v>1091</v>
      </c>
      <c r="E4027" t="s">
        <v>1285</v>
      </c>
      <c r="F4027" t="s">
        <v>19</v>
      </c>
    </row>
    <row r="4028" spans="1:6">
      <c r="A4028" t="s">
        <v>27</v>
      </c>
      <c r="B4028" t="s">
        <v>82</v>
      </c>
      <c r="C4028" t="s">
        <v>913</v>
      </c>
      <c r="D4028" t="s">
        <v>1091</v>
      </c>
      <c r="E4028" t="s">
        <v>1335</v>
      </c>
      <c r="F4028" t="s">
        <v>1095</v>
      </c>
    </row>
    <row r="4029" spans="1:6">
      <c r="A4029" t="s">
        <v>27</v>
      </c>
      <c r="B4029" t="s">
        <v>82</v>
      </c>
      <c r="C4029" t="s">
        <v>913</v>
      </c>
      <c r="D4029" t="s">
        <v>1091</v>
      </c>
      <c r="E4029" t="s">
        <v>1290</v>
      </c>
      <c r="F4029" t="s">
        <v>1005</v>
      </c>
    </row>
    <row r="4030" spans="1:6">
      <c r="A4030" t="s">
        <v>27</v>
      </c>
      <c r="B4030" t="s">
        <v>82</v>
      </c>
      <c r="C4030" t="s">
        <v>913</v>
      </c>
      <c r="D4030" t="s">
        <v>1091</v>
      </c>
      <c r="E4030" t="s">
        <v>1034</v>
      </c>
      <c r="F4030" t="s">
        <v>1097</v>
      </c>
    </row>
    <row r="4031" spans="1:6">
      <c r="A4031" t="s">
        <v>27</v>
      </c>
      <c r="B4031" t="s">
        <v>82</v>
      </c>
      <c r="C4031" t="s">
        <v>913</v>
      </c>
      <c r="D4031" t="s">
        <v>1091</v>
      </c>
      <c r="E4031" t="s">
        <v>1035</v>
      </c>
      <c r="F4031" t="s">
        <v>1098</v>
      </c>
    </row>
    <row r="4032" spans="1:6">
      <c r="A4032" t="s">
        <v>27</v>
      </c>
      <c r="B4032" t="s">
        <v>82</v>
      </c>
      <c r="C4032" t="s">
        <v>913</v>
      </c>
      <c r="D4032" t="s">
        <v>1091</v>
      </c>
      <c r="E4032" t="s">
        <v>1037</v>
      </c>
      <c r="F4032" t="s">
        <v>1009</v>
      </c>
    </row>
    <row r="4033" spans="1:6">
      <c r="A4033" t="s">
        <v>27</v>
      </c>
      <c r="B4033" t="s">
        <v>82</v>
      </c>
      <c r="C4033" t="s">
        <v>913</v>
      </c>
      <c r="D4033" t="s">
        <v>1091</v>
      </c>
      <c r="E4033" t="s">
        <v>1103</v>
      </c>
      <c r="F4033" t="s">
        <v>50</v>
      </c>
    </row>
    <row r="4034" spans="1:6">
      <c r="A4034" t="s">
        <v>27</v>
      </c>
      <c r="B4034" t="s">
        <v>82</v>
      </c>
      <c r="C4034" t="s">
        <v>913</v>
      </c>
      <c r="D4034" t="s">
        <v>1091</v>
      </c>
      <c r="E4034" t="s">
        <v>1104</v>
      </c>
      <c r="F4034">
        <v>2025</v>
      </c>
    </row>
    <row r="4035" spans="1:6">
      <c r="A4035" t="s">
        <v>27</v>
      </c>
      <c r="B4035" t="s">
        <v>82</v>
      </c>
      <c r="C4035" t="s">
        <v>913</v>
      </c>
      <c r="D4035" t="s">
        <v>1091</v>
      </c>
      <c r="E4035" t="s">
        <v>1105</v>
      </c>
      <c r="F4035">
        <v>2026</v>
      </c>
    </row>
    <row r="4036" spans="1:6">
      <c r="A4036" t="s">
        <v>27</v>
      </c>
      <c r="B4036" t="s">
        <v>82</v>
      </c>
      <c r="C4036" t="s">
        <v>913</v>
      </c>
      <c r="D4036" t="s">
        <v>1091</v>
      </c>
      <c r="E4036" t="s">
        <v>1038</v>
      </c>
      <c r="F4036" t="s">
        <v>1102</v>
      </c>
    </row>
    <row r="4037" spans="1:6">
      <c r="A4037" t="s">
        <v>27</v>
      </c>
      <c r="B4037" t="s">
        <v>82</v>
      </c>
      <c r="C4037" t="s">
        <v>913</v>
      </c>
      <c r="D4037" t="s">
        <v>1091</v>
      </c>
      <c r="E4037" t="s">
        <v>1039</v>
      </c>
      <c r="F4037">
        <v>4941553</v>
      </c>
    </row>
    <row r="4038" spans="1:6">
      <c r="A4038" t="s">
        <v>27</v>
      </c>
      <c r="B4038" t="s">
        <v>82</v>
      </c>
      <c r="C4038" t="s">
        <v>913</v>
      </c>
      <c r="D4038" t="s">
        <v>1091</v>
      </c>
      <c r="E4038" t="s">
        <v>1040</v>
      </c>
      <c r="F4038">
        <v>1921923</v>
      </c>
    </row>
    <row r="4039" spans="1:6">
      <c r="A4039" t="s">
        <v>27</v>
      </c>
      <c r="B4039" t="s">
        <v>82</v>
      </c>
      <c r="C4039" t="s">
        <v>913</v>
      </c>
      <c r="D4039" t="s">
        <v>1091</v>
      </c>
      <c r="E4039" t="s">
        <v>1041</v>
      </c>
      <c r="F4039">
        <v>1318194</v>
      </c>
    </row>
    <row r="4040" spans="1:6">
      <c r="A4040" t="s">
        <v>27</v>
      </c>
      <c r="B4040" t="s">
        <v>82</v>
      </c>
      <c r="C4040" t="s">
        <v>913</v>
      </c>
      <c r="D4040" t="s">
        <v>1091</v>
      </c>
      <c r="E4040" t="s">
        <v>1042</v>
      </c>
      <c r="F4040">
        <v>1701435</v>
      </c>
    </row>
    <row r="4041" spans="1:6">
      <c r="A4041" t="s">
        <v>27</v>
      </c>
      <c r="B4041" t="s">
        <v>82</v>
      </c>
      <c r="C4041" t="s">
        <v>913</v>
      </c>
      <c r="D4041" t="s">
        <v>1091</v>
      </c>
      <c r="E4041" t="s">
        <v>1043</v>
      </c>
      <c r="F4041" t="s">
        <v>1748</v>
      </c>
    </row>
    <row r="4042" spans="1:6">
      <c r="A4042" t="s">
        <v>27</v>
      </c>
      <c r="B4042" t="s">
        <v>82</v>
      </c>
      <c r="C4042" t="s">
        <v>913</v>
      </c>
      <c r="D4042" t="s">
        <v>1091</v>
      </c>
      <c r="E4042" t="s">
        <v>1044</v>
      </c>
      <c r="F4042">
        <v>3321222.49</v>
      </c>
    </row>
    <row r="4043" spans="1:6">
      <c r="A4043" t="s">
        <v>27</v>
      </c>
      <c r="B4043" t="s">
        <v>82</v>
      </c>
      <c r="C4043" t="s">
        <v>913</v>
      </c>
      <c r="D4043" t="s">
        <v>1091</v>
      </c>
      <c r="E4043" t="s">
        <v>1052</v>
      </c>
      <c r="F4043" t="s">
        <v>1106</v>
      </c>
    </row>
    <row r="4044" spans="1:6">
      <c r="A4044" t="s">
        <v>27</v>
      </c>
      <c r="B4044" t="s">
        <v>82</v>
      </c>
      <c r="C4044" t="s">
        <v>913</v>
      </c>
      <c r="D4044" t="s">
        <v>1091</v>
      </c>
      <c r="E4044" t="s">
        <v>1053</v>
      </c>
      <c r="F4044">
        <v>4075376</v>
      </c>
    </row>
    <row r="4045" spans="1:6">
      <c r="A4045" t="s">
        <v>27</v>
      </c>
      <c r="B4045" t="s">
        <v>82</v>
      </c>
      <c r="C4045" t="s">
        <v>913</v>
      </c>
      <c r="D4045" t="s">
        <v>1091</v>
      </c>
      <c r="E4045" t="s">
        <v>1108</v>
      </c>
      <c r="F4045">
        <v>1921597</v>
      </c>
    </row>
    <row r="4046" spans="1:6">
      <c r="A4046" t="s">
        <v>27</v>
      </c>
      <c r="B4046" t="s">
        <v>82</v>
      </c>
      <c r="C4046" t="s">
        <v>913</v>
      </c>
      <c r="D4046" t="s">
        <v>1091</v>
      </c>
      <c r="E4046" t="s">
        <v>1109</v>
      </c>
      <c r="F4046">
        <v>1278173</v>
      </c>
    </row>
    <row r="4047" spans="1:6">
      <c r="A4047" t="s">
        <v>27</v>
      </c>
      <c r="B4047" t="s">
        <v>82</v>
      </c>
      <c r="C4047" t="s">
        <v>913</v>
      </c>
      <c r="D4047" t="s">
        <v>1091</v>
      </c>
      <c r="E4047" t="s">
        <v>1110</v>
      </c>
      <c r="F4047">
        <v>875606</v>
      </c>
    </row>
    <row r="4048" spans="1:6">
      <c r="A4048" t="s">
        <v>27</v>
      </c>
      <c r="B4048" t="s">
        <v>82</v>
      </c>
      <c r="C4048" t="s">
        <v>913</v>
      </c>
      <c r="D4048" t="s">
        <v>1091</v>
      </c>
      <c r="E4048" t="s">
        <v>1521</v>
      </c>
      <c r="F4048" t="s">
        <v>1749</v>
      </c>
    </row>
    <row r="4049" spans="1:6">
      <c r="A4049" t="s">
        <v>27</v>
      </c>
      <c r="B4049" t="s">
        <v>82</v>
      </c>
      <c r="C4049" t="s">
        <v>913</v>
      </c>
      <c r="D4049" t="s">
        <v>1091</v>
      </c>
      <c r="E4049" t="s">
        <v>1522</v>
      </c>
      <c r="F4049">
        <v>1620330.07</v>
      </c>
    </row>
    <row r="4050" spans="1:6">
      <c r="A4050" t="s">
        <v>27</v>
      </c>
      <c r="B4050" t="s">
        <v>82</v>
      </c>
      <c r="C4050" t="s">
        <v>913</v>
      </c>
      <c r="D4050" t="s">
        <v>1091</v>
      </c>
      <c r="E4050" t="s">
        <v>1111</v>
      </c>
      <c r="F4050" t="s">
        <v>1107</v>
      </c>
    </row>
    <row r="4051" spans="1:6">
      <c r="A4051" t="s">
        <v>27</v>
      </c>
      <c r="B4051" t="s">
        <v>82</v>
      </c>
      <c r="C4051" t="s">
        <v>913</v>
      </c>
      <c r="D4051" t="s">
        <v>1091</v>
      </c>
      <c r="E4051" t="s">
        <v>1113</v>
      </c>
      <c r="F4051">
        <v>1661121</v>
      </c>
    </row>
    <row r="4052" spans="1:6">
      <c r="A4052" t="s">
        <v>27</v>
      </c>
      <c r="B4052" t="s">
        <v>82</v>
      </c>
      <c r="C4052" t="s">
        <v>913</v>
      </c>
      <c r="D4052" t="s">
        <v>1091</v>
      </c>
      <c r="E4052" t="s">
        <v>1114</v>
      </c>
      <c r="F4052">
        <v>217007</v>
      </c>
    </row>
    <row r="4053" spans="1:6">
      <c r="A4053" t="s">
        <v>27</v>
      </c>
      <c r="B4053" t="s">
        <v>82</v>
      </c>
      <c r="C4053" t="s">
        <v>913</v>
      </c>
      <c r="D4053" t="s">
        <v>1091</v>
      </c>
      <c r="E4053" t="s">
        <v>1115</v>
      </c>
      <c r="F4053">
        <v>641750</v>
      </c>
    </row>
    <row r="4054" spans="1:6">
      <c r="A4054" t="s">
        <v>27</v>
      </c>
      <c r="B4054" t="s">
        <v>82</v>
      </c>
      <c r="C4054" t="s">
        <v>913</v>
      </c>
      <c r="D4054" t="s">
        <v>1091</v>
      </c>
      <c r="E4054" t="s">
        <v>1116</v>
      </c>
      <c r="F4054">
        <v>802363</v>
      </c>
    </row>
    <row r="4055" spans="1:6">
      <c r="A4055" t="s">
        <v>27</v>
      </c>
      <c r="B4055" t="s">
        <v>82</v>
      </c>
      <c r="C4055" t="s">
        <v>913</v>
      </c>
      <c r="D4055" t="s">
        <v>1091</v>
      </c>
      <c r="E4055" t="s">
        <v>1750</v>
      </c>
      <c r="F4055">
        <v>4941552.56</v>
      </c>
    </row>
    <row r="4056" spans="1:6">
      <c r="A4056" t="s">
        <v>27</v>
      </c>
      <c r="B4056" t="s">
        <v>82</v>
      </c>
      <c r="C4056" t="s">
        <v>913</v>
      </c>
      <c r="D4056" t="s">
        <v>1091</v>
      </c>
      <c r="E4056" t="s">
        <v>1054</v>
      </c>
      <c r="F4056" t="s">
        <v>1307</v>
      </c>
    </row>
    <row r="4057" spans="1:6">
      <c r="A4057" t="s">
        <v>27</v>
      </c>
      <c r="B4057" t="s">
        <v>82</v>
      </c>
      <c r="C4057" t="s">
        <v>913</v>
      </c>
      <c r="D4057" t="s">
        <v>1091</v>
      </c>
      <c r="E4057" t="s">
        <v>1118</v>
      </c>
      <c r="F4057">
        <v>2110597</v>
      </c>
    </row>
    <row r="4058" spans="1:6">
      <c r="A4058" t="s">
        <v>27</v>
      </c>
      <c r="B4058" t="s">
        <v>82</v>
      </c>
      <c r="C4058" t="s">
        <v>913</v>
      </c>
      <c r="D4058" t="s">
        <v>1091</v>
      </c>
      <c r="E4058" t="s">
        <v>1119</v>
      </c>
      <c r="F4058">
        <v>1495177</v>
      </c>
    </row>
    <row r="4059" spans="1:6">
      <c r="A4059" t="s">
        <v>27</v>
      </c>
      <c r="B4059" t="s">
        <v>82</v>
      </c>
      <c r="C4059" t="s">
        <v>913</v>
      </c>
      <c r="D4059" t="s">
        <v>1091</v>
      </c>
      <c r="E4059" t="s">
        <v>1120</v>
      </c>
      <c r="F4059">
        <v>586481</v>
      </c>
    </row>
    <row r="4060" spans="1:6">
      <c r="A4060" t="s">
        <v>27</v>
      </c>
      <c r="B4060" t="s">
        <v>82</v>
      </c>
      <c r="C4060" t="s">
        <v>913</v>
      </c>
      <c r="D4060" t="s">
        <v>1091</v>
      </c>
      <c r="E4060" t="s">
        <v>1121</v>
      </c>
      <c r="F4060">
        <v>28939</v>
      </c>
    </row>
    <row r="4061" spans="1:6">
      <c r="A4061" t="s">
        <v>27</v>
      </c>
      <c r="B4061" t="s">
        <v>82</v>
      </c>
      <c r="C4061" t="s">
        <v>913</v>
      </c>
      <c r="D4061" t="s">
        <v>1091</v>
      </c>
      <c r="E4061" t="s">
        <v>1122</v>
      </c>
      <c r="F4061" t="s">
        <v>1308</v>
      </c>
    </row>
    <row r="4062" spans="1:6">
      <c r="A4062" t="s">
        <v>27</v>
      </c>
      <c r="B4062" t="s">
        <v>82</v>
      </c>
      <c r="C4062" t="s">
        <v>913</v>
      </c>
      <c r="D4062" t="s">
        <v>1091</v>
      </c>
      <c r="E4062" t="s">
        <v>1124</v>
      </c>
      <c r="F4062">
        <v>303657</v>
      </c>
    </row>
    <row r="4063" spans="1:6">
      <c r="A4063" t="s">
        <v>27</v>
      </c>
      <c r="B4063" t="s">
        <v>82</v>
      </c>
      <c r="C4063" t="s">
        <v>913</v>
      </c>
      <c r="D4063" t="s">
        <v>1091</v>
      </c>
      <c r="E4063" t="s">
        <v>1126</v>
      </c>
      <c r="F4063">
        <v>209412</v>
      </c>
    </row>
    <row r="4064" spans="1:6">
      <c r="A4064" t="s">
        <v>27</v>
      </c>
      <c r="B4064" t="s">
        <v>82</v>
      </c>
      <c r="C4064" t="s">
        <v>913</v>
      </c>
      <c r="D4064" t="s">
        <v>1091</v>
      </c>
      <c r="E4064" t="s">
        <v>1127</v>
      </c>
      <c r="F4064">
        <v>49941</v>
      </c>
    </row>
    <row r="4065" spans="1:6">
      <c r="A4065" t="s">
        <v>27</v>
      </c>
      <c r="B4065" t="s">
        <v>82</v>
      </c>
      <c r="C4065" t="s">
        <v>913</v>
      </c>
      <c r="D4065" t="s">
        <v>1091</v>
      </c>
      <c r="E4065" t="s">
        <v>1128</v>
      </c>
      <c r="F4065">
        <v>44304</v>
      </c>
    </row>
    <row r="4066" spans="1:6">
      <c r="A4066" t="s">
        <v>27</v>
      </c>
      <c r="B4066" t="s">
        <v>82</v>
      </c>
      <c r="C4066" t="s">
        <v>913</v>
      </c>
      <c r="D4066" t="s">
        <v>1091</v>
      </c>
      <c r="E4066" t="s">
        <v>1056</v>
      </c>
      <c r="F4066" t="s">
        <v>1123</v>
      </c>
    </row>
    <row r="4067" spans="1:6">
      <c r="A4067" t="s">
        <v>27</v>
      </c>
      <c r="B4067" t="s">
        <v>82</v>
      </c>
      <c r="C4067" t="s">
        <v>913</v>
      </c>
      <c r="D4067" t="s">
        <v>1091</v>
      </c>
      <c r="E4067" t="s">
        <v>1057</v>
      </c>
      <c r="F4067" t="s">
        <v>1751</v>
      </c>
    </row>
    <row r="4068" spans="1:6">
      <c r="A4068" t="s">
        <v>27</v>
      </c>
      <c r="B4068" t="s">
        <v>82</v>
      </c>
      <c r="C4068" t="s">
        <v>913</v>
      </c>
      <c r="D4068" t="s">
        <v>1091</v>
      </c>
      <c r="E4068" t="s">
        <v>1058</v>
      </c>
      <c r="F4068" t="s">
        <v>1125</v>
      </c>
    </row>
    <row r="4069" spans="1:6">
      <c r="A4069" t="s">
        <v>27</v>
      </c>
      <c r="B4069" t="s">
        <v>82</v>
      </c>
      <c r="C4069" t="s">
        <v>913</v>
      </c>
      <c r="D4069" t="s">
        <v>1091</v>
      </c>
      <c r="E4069" t="s">
        <v>1059</v>
      </c>
      <c r="F4069" t="s">
        <v>1232</v>
      </c>
    </row>
    <row r="4070" spans="1:6">
      <c r="A4070" t="s">
        <v>27</v>
      </c>
      <c r="B4070" t="s">
        <v>82</v>
      </c>
      <c r="C4070" t="s">
        <v>913</v>
      </c>
      <c r="D4070" t="s">
        <v>1091</v>
      </c>
      <c r="E4070" t="s">
        <v>1060</v>
      </c>
      <c r="F4070" t="s">
        <v>1574</v>
      </c>
    </row>
    <row r="4071" spans="1:6">
      <c r="A4071" t="s">
        <v>27</v>
      </c>
      <c r="B4071" t="s">
        <v>82</v>
      </c>
      <c r="C4071" t="s">
        <v>913</v>
      </c>
      <c r="D4071" t="s">
        <v>1091</v>
      </c>
      <c r="E4071" t="s">
        <v>1071</v>
      </c>
      <c r="F4071" t="s">
        <v>1130</v>
      </c>
    </row>
    <row r="4072" spans="1:6">
      <c r="A4072" t="s">
        <v>27</v>
      </c>
      <c r="B4072" t="s">
        <v>82</v>
      </c>
      <c r="C4072" t="s">
        <v>913</v>
      </c>
      <c r="D4072" t="s">
        <v>1091</v>
      </c>
      <c r="E4072" t="s">
        <v>1072</v>
      </c>
      <c r="F4072">
        <v>866177</v>
      </c>
    </row>
    <row r="4073" spans="1:6">
      <c r="A4073" t="s">
        <v>27</v>
      </c>
      <c r="B4073" t="s">
        <v>82</v>
      </c>
      <c r="C4073" t="s">
        <v>913</v>
      </c>
      <c r="D4073" t="s">
        <v>1091</v>
      </c>
      <c r="E4073" t="s">
        <v>1133</v>
      </c>
      <c r="F4073">
        <v>326</v>
      </c>
    </row>
    <row r="4074" spans="1:6">
      <c r="A4074" t="s">
        <v>27</v>
      </c>
      <c r="B4074" t="s">
        <v>82</v>
      </c>
      <c r="C4074" t="s">
        <v>913</v>
      </c>
      <c r="D4074" t="s">
        <v>1091</v>
      </c>
      <c r="E4074" t="s">
        <v>1134</v>
      </c>
      <c r="F4074">
        <v>40022</v>
      </c>
    </row>
    <row r="4075" spans="1:6">
      <c r="A4075" t="s">
        <v>27</v>
      </c>
      <c r="B4075" t="s">
        <v>82</v>
      </c>
      <c r="C4075" t="s">
        <v>913</v>
      </c>
      <c r="D4075" t="s">
        <v>1091</v>
      </c>
      <c r="E4075" t="s">
        <v>1135</v>
      </c>
      <c r="F4075">
        <v>825829</v>
      </c>
    </row>
    <row r="4076" spans="1:6">
      <c r="A4076" t="s">
        <v>27</v>
      </c>
      <c r="B4076" t="s">
        <v>82</v>
      </c>
      <c r="C4076" t="s">
        <v>913</v>
      </c>
      <c r="D4076" t="s">
        <v>1091</v>
      </c>
      <c r="E4076" t="s">
        <v>1073</v>
      </c>
      <c r="F4076" t="s">
        <v>1131</v>
      </c>
    </row>
    <row r="4077" spans="1:6">
      <c r="A4077" t="s">
        <v>27</v>
      </c>
      <c r="B4077" t="s">
        <v>82</v>
      </c>
      <c r="C4077" t="s">
        <v>913</v>
      </c>
      <c r="D4077" t="s">
        <v>1091</v>
      </c>
      <c r="E4077" t="s">
        <v>1074</v>
      </c>
      <c r="F4077" t="s">
        <v>1752</v>
      </c>
    </row>
    <row r="4078" spans="1:6">
      <c r="A4078" t="s">
        <v>27</v>
      </c>
      <c r="B4078" t="s">
        <v>82</v>
      </c>
      <c r="C4078" t="s">
        <v>913</v>
      </c>
      <c r="D4078" t="s">
        <v>1091</v>
      </c>
      <c r="E4078" t="s">
        <v>1296</v>
      </c>
      <c r="F4078" t="s">
        <v>1132</v>
      </c>
    </row>
    <row r="4079" spans="1:6">
      <c r="A4079" t="s">
        <v>27</v>
      </c>
      <c r="B4079" t="s">
        <v>82</v>
      </c>
      <c r="C4079" t="s">
        <v>913</v>
      </c>
      <c r="D4079" t="s">
        <v>1091</v>
      </c>
      <c r="E4079" t="s">
        <v>1297</v>
      </c>
      <c r="F4079" t="s">
        <v>1270</v>
      </c>
    </row>
    <row r="4080" spans="1:6">
      <c r="A4080" t="s">
        <v>27</v>
      </c>
      <c r="B4080" t="s">
        <v>82</v>
      </c>
      <c r="C4080" t="s">
        <v>913</v>
      </c>
      <c r="D4080" t="s">
        <v>1091</v>
      </c>
      <c r="E4080" t="s">
        <v>1364</v>
      </c>
      <c r="F4080" t="s">
        <v>1403</v>
      </c>
    </row>
    <row r="4081" spans="1:6">
      <c r="A4081" t="s">
        <v>27</v>
      </c>
      <c r="B4081" t="s">
        <v>82</v>
      </c>
      <c r="C4081" t="s">
        <v>913</v>
      </c>
      <c r="D4081" t="s">
        <v>1091</v>
      </c>
      <c r="E4081" t="s">
        <v>1090</v>
      </c>
      <c r="F4081" t="s">
        <v>1137</v>
      </c>
    </row>
    <row r="4082" spans="1:6">
      <c r="A4082" t="s">
        <v>27</v>
      </c>
      <c r="B4082" t="s">
        <v>82</v>
      </c>
      <c r="C4082" t="s">
        <v>913</v>
      </c>
      <c r="D4082" t="s">
        <v>1091</v>
      </c>
      <c r="E4082" t="s">
        <v>1139</v>
      </c>
      <c r="F4082">
        <v>0</v>
      </c>
    </row>
    <row r="4083" spans="1:6">
      <c r="A4083" t="s">
        <v>27</v>
      </c>
      <c r="B4083" t="s">
        <v>82</v>
      </c>
      <c r="C4083" t="s">
        <v>913</v>
      </c>
      <c r="D4083" t="s">
        <v>1091</v>
      </c>
      <c r="E4083" t="s">
        <v>1140</v>
      </c>
      <c r="F4083">
        <v>0</v>
      </c>
    </row>
    <row r="4084" spans="1:6">
      <c r="A4084" t="s">
        <v>27</v>
      </c>
      <c r="B4084" t="s">
        <v>82</v>
      </c>
      <c r="C4084" t="s">
        <v>913</v>
      </c>
      <c r="D4084" t="s">
        <v>1091</v>
      </c>
      <c r="E4084" t="s">
        <v>1141</v>
      </c>
      <c r="F4084">
        <v>0</v>
      </c>
    </row>
    <row r="4085" spans="1:6">
      <c r="A4085" t="s">
        <v>27</v>
      </c>
      <c r="B4085" t="s">
        <v>82</v>
      </c>
      <c r="C4085" t="s">
        <v>913</v>
      </c>
      <c r="D4085" t="s">
        <v>1091</v>
      </c>
      <c r="E4085" t="s">
        <v>1298</v>
      </c>
      <c r="F4085" t="s">
        <v>1138</v>
      </c>
    </row>
    <row r="4086" spans="1:6">
      <c r="A4086" t="s">
        <v>27</v>
      </c>
      <c r="B4086" t="s">
        <v>82</v>
      </c>
      <c r="C4086" t="s">
        <v>913</v>
      </c>
      <c r="D4086" t="s">
        <v>1091</v>
      </c>
      <c r="E4086" t="s">
        <v>1299</v>
      </c>
      <c r="F4086" t="s">
        <v>1132</v>
      </c>
    </row>
    <row r="4087" spans="1:6">
      <c r="A4087" t="s">
        <v>27</v>
      </c>
      <c r="B4087" t="s">
        <v>82</v>
      </c>
      <c r="C4087" t="s">
        <v>913</v>
      </c>
      <c r="D4087" t="s">
        <v>1091</v>
      </c>
      <c r="E4087" t="s">
        <v>1300</v>
      </c>
      <c r="F4087" t="s">
        <v>1376</v>
      </c>
    </row>
    <row r="4088" spans="1:6">
      <c r="A4088" t="s">
        <v>27</v>
      </c>
      <c r="B4088" t="s">
        <v>82</v>
      </c>
      <c r="C4088" t="s">
        <v>913</v>
      </c>
      <c r="D4088" t="s">
        <v>1091</v>
      </c>
      <c r="E4088" t="s">
        <v>1426</v>
      </c>
      <c r="F4088" t="s">
        <v>1753</v>
      </c>
    </row>
    <row r="4089" spans="1:6">
      <c r="A4089" t="s">
        <v>27</v>
      </c>
      <c r="B4089" t="s">
        <v>82</v>
      </c>
      <c r="C4089" t="s">
        <v>913</v>
      </c>
      <c r="D4089" t="s">
        <v>1091</v>
      </c>
      <c r="E4089" t="s">
        <v>1554</v>
      </c>
      <c r="F4089" t="s">
        <v>1144</v>
      </c>
    </row>
    <row r="4090" spans="1:6">
      <c r="A4090" t="s">
        <v>27</v>
      </c>
      <c r="B4090" t="s">
        <v>82</v>
      </c>
      <c r="C4090" t="s">
        <v>913</v>
      </c>
      <c r="D4090" t="s">
        <v>1091</v>
      </c>
      <c r="E4090" t="s">
        <v>1434</v>
      </c>
      <c r="F4090" t="s">
        <v>1146</v>
      </c>
    </row>
    <row r="4091" spans="1:6">
      <c r="A4091" t="s">
        <v>27</v>
      </c>
      <c r="B4091" t="s">
        <v>82</v>
      </c>
      <c r="C4091" t="s">
        <v>913</v>
      </c>
      <c r="D4091" t="s">
        <v>1091</v>
      </c>
      <c r="E4091" t="s">
        <v>1555</v>
      </c>
      <c r="F4091" t="s">
        <v>1148</v>
      </c>
    </row>
    <row r="4092" spans="1:6">
      <c r="A4092" t="s">
        <v>27</v>
      </c>
      <c r="B4092" t="s">
        <v>82</v>
      </c>
      <c r="C4092" t="s">
        <v>913</v>
      </c>
      <c r="D4092" t="s">
        <v>1091</v>
      </c>
      <c r="E4092" t="s">
        <v>1151</v>
      </c>
      <c r="F4092" t="s">
        <v>1150</v>
      </c>
    </row>
    <row r="4093" spans="1:6">
      <c r="A4093" t="s">
        <v>27</v>
      </c>
      <c r="B4093" t="s">
        <v>82</v>
      </c>
      <c r="C4093" t="s">
        <v>913</v>
      </c>
      <c r="D4093" t="s">
        <v>1091</v>
      </c>
      <c r="E4093" t="s">
        <v>1166</v>
      </c>
      <c r="F4093" t="s">
        <v>1009</v>
      </c>
    </row>
    <row r="4094" spans="1:6">
      <c r="A4094" t="s">
        <v>27</v>
      </c>
      <c r="B4094" t="s">
        <v>82</v>
      </c>
      <c r="C4094" t="s">
        <v>913</v>
      </c>
      <c r="D4094" t="s">
        <v>1091</v>
      </c>
      <c r="E4094" t="s">
        <v>1167</v>
      </c>
      <c r="F4094" t="s">
        <v>1550</v>
      </c>
    </row>
    <row r="4095" spans="1:6">
      <c r="A4095" t="s">
        <v>27</v>
      </c>
      <c r="B4095" t="s">
        <v>82</v>
      </c>
      <c r="C4095" t="s">
        <v>913</v>
      </c>
      <c r="D4095" t="s">
        <v>1091</v>
      </c>
      <c r="E4095" t="s">
        <v>1168</v>
      </c>
      <c r="F4095" t="s">
        <v>1551</v>
      </c>
    </row>
    <row r="4096" spans="1:6">
      <c r="A4096" t="s">
        <v>27</v>
      </c>
      <c r="B4096" t="s">
        <v>82</v>
      </c>
      <c r="C4096" t="s">
        <v>913</v>
      </c>
      <c r="D4096" t="s">
        <v>1091</v>
      </c>
      <c r="E4096" t="s">
        <v>1169</v>
      </c>
      <c r="F4096" t="s">
        <v>1552</v>
      </c>
    </row>
    <row r="4097" spans="1:6">
      <c r="A4097" t="s">
        <v>27</v>
      </c>
      <c r="B4097" t="s">
        <v>82</v>
      </c>
      <c r="C4097" t="s">
        <v>913</v>
      </c>
      <c r="D4097" t="s">
        <v>1091</v>
      </c>
      <c r="E4097" t="s">
        <v>1170</v>
      </c>
      <c r="F4097" t="s">
        <v>1153</v>
      </c>
    </row>
    <row r="4098" spans="1:6">
      <c r="A4098" t="s">
        <v>27</v>
      </c>
      <c r="B4098" t="s">
        <v>82</v>
      </c>
      <c r="C4098" t="s">
        <v>913</v>
      </c>
      <c r="D4098" t="s">
        <v>1091</v>
      </c>
      <c r="E4098" t="s">
        <v>1171</v>
      </c>
      <c r="F4098" t="s">
        <v>1155</v>
      </c>
    </row>
    <row r="4099" spans="1:6">
      <c r="A4099" t="s">
        <v>27</v>
      </c>
      <c r="B4099" t="s">
        <v>82</v>
      </c>
      <c r="C4099" t="s">
        <v>913</v>
      </c>
      <c r="D4099" t="s">
        <v>1091</v>
      </c>
      <c r="E4099" t="s">
        <v>1172</v>
      </c>
      <c r="F4099" t="s">
        <v>1157</v>
      </c>
    </row>
    <row r="4100" spans="1:6">
      <c r="A4100" t="s">
        <v>27</v>
      </c>
      <c r="B4100" t="s">
        <v>82</v>
      </c>
      <c r="C4100" t="s">
        <v>913</v>
      </c>
      <c r="D4100" t="s">
        <v>1091</v>
      </c>
      <c r="E4100" t="s">
        <v>1173</v>
      </c>
      <c r="F4100" t="s">
        <v>1165</v>
      </c>
    </row>
    <row r="4101" spans="1:6">
      <c r="A4101" t="s">
        <v>27</v>
      </c>
      <c r="B4101" t="s">
        <v>82</v>
      </c>
      <c r="C4101" t="s">
        <v>913</v>
      </c>
      <c r="D4101" t="s">
        <v>1091</v>
      </c>
      <c r="E4101" t="s">
        <v>1175</v>
      </c>
      <c r="F4101">
        <v>1083289</v>
      </c>
    </row>
    <row r="4102" spans="1:6">
      <c r="A4102" t="s">
        <v>27</v>
      </c>
      <c r="B4102" t="s">
        <v>82</v>
      </c>
      <c r="C4102" t="s">
        <v>913</v>
      </c>
      <c r="D4102" t="s">
        <v>1091</v>
      </c>
      <c r="E4102" t="s">
        <v>1176</v>
      </c>
      <c r="F4102">
        <v>505169</v>
      </c>
    </row>
    <row r="4103" spans="1:6">
      <c r="A4103" t="s">
        <v>27</v>
      </c>
      <c r="B4103" t="s">
        <v>82</v>
      </c>
      <c r="C4103" t="s">
        <v>913</v>
      </c>
      <c r="D4103" t="s">
        <v>1091</v>
      </c>
      <c r="E4103" t="s">
        <v>1177</v>
      </c>
      <c r="F4103">
        <v>134216</v>
      </c>
    </row>
    <row r="4104" spans="1:6">
      <c r="A4104" t="s">
        <v>27</v>
      </c>
      <c r="B4104" t="s">
        <v>82</v>
      </c>
      <c r="C4104" t="s">
        <v>913</v>
      </c>
      <c r="D4104" t="s">
        <v>1091</v>
      </c>
      <c r="E4104" t="s">
        <v>1178</v>
      </c>
      <c r="F4104">
        <v>114841</v>
      </c>
    </row>
    <row r="4105" spans="1:6">
      <c r="A4105" t="s">
        <v>27</v>
      </c>
      <c r="B4105" t="s">
        <v>82</v>
      </c>
      <c r="C4105" t="s">
        <v>913</v>
      </c>
      <c r="D4105" t="s">
        <v>1091</v>
      </c>
      <c r="E4105" t="s">
        <v>1179</v>
      </c>
      <c r="F4105">
        <v>79929</v>
      </c>
    </row>
    <row r="4106" spans="1:6">
      <c r="A4106" t="s">
        <v>27</v>
      </c>
      <c r="B4106" t="s">
        <v>82</v>
      </c>
      <c r="C4106" t="s">
        <v>913</v>
      </c>
      <c r="D4106" t="s">
        <v>1091</v>
      </c>
      <c r="E4106" t="s">
        <v>1180</v>
      </c>
      <c r="F4106">
        <v>145777</v>
      </c>
    </row>
    <row r="4107" spans="1:6">
      <c r="A4107" t="s">
        <v>27</v>
      </c>
      <c r="B4107" t="s">
        <v>82</v>
      </c>
      <c r="C4107" t="s">
        <v>913</v>
      </c>
      <c r="D4107" t="s">
        <v>1091</v>
      </c>
      <c r="E4107" t="s">
        <v>1181</v>
      </c>
      <c r="F4107">
        <v>103356</v>
      </c>
    </row>
    <row r="4108" spans="1:6">
      <c r="A4108" t="s">
        <v>27</v>
      </c>
      <c r="B4108" t="s">
        <v>82</v>
      </c>
      <c r="C4108" t="s">
        <v>913</v>
      </c>
      <c r="D4108" t="s">
        <v>1091</v>
      </c>
      <c r="E4108" t="s">
        <v>1556</v>
      </c>
      <c r="F4108" t="s">
        <v>1174</v>
      </c>
    </row>
    <row r="4109" spans="1:6">
      <c r="A4109" t="s">
        <v>27</v>
      </c>
      <c r="B4109" t="s">
        <v>82</v>
      </c>
      <c r="C4109" t="s">
        <v>913</v>
      </c>
      <c r="D4109" t="s">
        <v>1091</v>
      </c>
      <c r="E4109" t="s">
        <v>1452</v>
      </c>
      <c r="F4109">
        <v>16386</v>
      </c>
    </row>
    <row r="4110" spans="1:6">
      <c r="A4110" t="s">
        <v>27</v>
      </c>
      <c r="B4110" t="s">
        <v>82</v>
      </c>
      <c r="C4110" t="s">
        <v>913</v>
      </c>
      <c r="D4110" t="s">
        <v>1091</v>
      </c>
      <c r="E4110" t="s">
        <v>1454</v>
      </c>
      <c r="F4110">
        <v>1483</v>
      </c>
    </row>
    <row r="4111" spans="1:6">
      <c r="A4111" t="s">
        <v>27</v>
      </c>
      <c r="B4111" t="s">
        <v>82</v>
      </c>
      <c r="C4111" t="s">
        <v>913</v>
      </c>
      <c r="D4111" t="s">
        <v>1091</v>
      </c>
      <c r="E4111" t="s">
        <v>1455</v>
      </c>
      <c r="F4111">
        <v>2515</v>
      </c>
    </row>
    <row r="4112" spans="1:6">
      <c r="A4112" t="s">
        <v>27</v>
      </c>
      <c r="B4112" t="s">
        <v>82</v>
      </c>
      <c r="C4112" t="s">
        <v>913</v>
      </c>
      <c r="D4112" t="s">
        <v>1091</v>
      </c>
      <c r="E4112" t="s">
        <v>1456</v>
      </c>
      <c r="F4112">
        <v>1636</v>
      </c>
    </row>
    <row r="4113" spans="1:6">
      <c r="A4113" t="s">
        <v>27</v>
      </c>
      <c r="B4113" t="s">
        <v>82</v>
      </c>
      <c r="C4113" t="s">
        <v>913</v>
      </c>
      <c r="D4113" t="s">
        <v>1091</v>
      </c>
      <c r="E4113" t="s">
        <v>1458</v>
      </c>
      <c r="F4113">
        <v>4121</v>
      </c>
    </row>
    <row r="4114" spans="1:6">
      <c r="A4114" t="s">
        <v>27</v>
      </c>
      <c r="B4114" t="s">
        <v>82</v>
      </c>
      <c r="C4114" t="s">
        <v>913</v>
      </c>
      <c r="D4114" t="s">
        <v>1091</v>
      </c>
      <c r="E4114" t="s">
        <v>1557</v>
      </c>
      <c r="F4114">
        <v>4446</v>
      </c>
    </row>
    <row r="4115" spans="1:6">
      <c r="A4115" t="s">
        <v>27</v>
      </c>
      <c r="B4115" t="s">
        <v>82</v>
      </c>
      <c r="C4115" t="s">
        <v>913</v>
      </c>
      <c r="D4115" t="s">
        <v>1091</v>
      </c>
      <c r="E4115" t="s">
        <v>1558</v>
      </c>
      <c r="F4115">
        <v>2185</v>
      </c>
    </row>
    <row r="4116" spans="1:6">
      <c r="A4116" t="s">
        <v>27</v>
      </c>
      <c r="B4116" t="s">
        <v>82</v>
      </c>
      <c r="C4116" t="s">
        <v>913</v>
      </c>
      <c r="D4116" t="s">
        <v>1091</v>
      </c>
      <c r="E4116" t="s">
        <v>1191</v>
      </c>
      <c r="F4116" t="s">
        <v>1183</v>
      </c>
    </row>
    <row r="4117" spans="1:6">
      <c r="A4117" t="s">
        <v>27</v>
      </c>
      <c r="B4117" t="s">
        <v>82</v>
      </c>
      <c r="C4117" t="s">
        <v>913</v>
      </c>
      <c r="D4117" t="s">
        <v>1091</v>
      </c>
      <c r="E4117" t="s">
        <v>1463</v>
      </c>
      <c r="F4117">
        <v>441130</v>
      </c>
    </row>
    <row r="4118" spans="1:6">
      <c r="A4118" t="s">
        <v>27</v>
      </c>
      <c r="B4118" t="s">
        <v>82</v>
      </c>
      <c r="C4118" t="s">
        <v>913</v>
      </c>
      <c r="D4118" t="s">
        <v>1091</v>
      </c>
      <c r="E4118" t="s">
        <v>1193</v>
      </c>
      <c r="F4118">
        <v>633</v>
      </c>
    </row>
    <row r="4119" spans="1:6">
      <c r="A4119" t="s">
        <v>27</v>
      </c>
      <c r="B4119" t="s">
        <v>82</v>
      </c>
      <c r="C4119" t="s">
        <v>913</v>
      </c>
      <c r="D4119" t="s">
        <v>1091</v>
      </c>
      <c r="E4119" t="s">
        <v>1194</v>
      </c>
      <c r="F4119">
        <v>96026</v>
      </c>
    </row>
    <row r="4120" spans="1:6">
      <c r="A4120" t="s">
        <v>27</v>
      </c>
      <c r="B4120" t="s">
        <v>82</v>
      </c>
      <c r="C4120" t="s">
        <v>913</v>
      </c>
      <c r="D4120" t="s">
        <v>1091</v>
      </c>
      <c r="E4120" t="s">
        <v>1195</v>
      </c>
      <c r="F4120">
        <v>81998</v>
      </c>
    </row>
    <row r="4121" spans="1:6">
      <c r="A4121" t="s">
        <v>27</v>
      </c>
      <c r="B4121" t="s">
        <v>82</v>
      </c>
      <c r="C4121" t="s">
        <v>913</v>
      </c>
      <c r="D4121" t="s">
        <v>1091</v>
      </c>
      <c r="E4121" t="s">
        <v>1196</v>
      </c>
      <c r="F4121">
        <v>65153</v>
      </c>
    </row>
    <row r="4122" spans="1:6">
      <c r="A4122" t="s">
        <v>27</v>
      </c>
      <c r="B4122" t="s">
        <v>82</v>
      </c>
      <c r="C4122" t="s">
        <v>913</v>
      </c>
      <c r="D4122" t="s">
        <v>1091</v>
      </c>
      <c r="E4122" t="s">
        <v>1197</v>
      </c>
      <c r="F4122">
        <v>115345</v>
      </c>
    </row>
    <row r="4123" spans="1:6">
      <c r="A4123" t="s">
        <v>27</v>
      </c>
      <c r="B4123" t="s">
        <v>82</v>
      </c>
      <c r="C4123" t="s">
        <v>913</v>
      </c>
      <c r="D4123" t="s">
        <v>1091</v>
      </c>
      <c r="E4123" t="s">
        <v>1198</v>
      </c>
      <c r="F4123">
        <v>81975</v>
      </c>
    </row>
    <row r="4124" spans="1:6">
      <c r="A4124" t="s">
        <v>27</v>
      </c>
      <c r="B4124" t="s">
        <v>82</v>
      </c>
      <c r="C4124" t="s">
        <v>913</v>
      </c>
      <c r="D4124" t="s">
        <v>1091</v>
      </c>
      <c r="E4124" t="s">
        <v>1199</v>
      </c>
      <c r="F4124" t="s">
        <v>1192</v>
      </c>
    </row>
    <row r="4125" spans="1:6">
      <c r="A4125" t="s">
        <v>27</v>
      </c>
      <c r="B4125" t="s">
        <v>82</v>
      </c>
      <c r="C4125" t="s">
        <v>913</v>
      </c>
      <c r="D4125" t="s">
        <v>1091</v>
      </c>
      <c r="E4125" t="s">
        <v>1468</v>
      </c>
      <c r="F4125">
        <v>24</v>
      </c>
    </row>
    <row r="4126" spans="1:6">
      <c r="A4126" t="s">
        <v>27</v>
      </c>
      <c r="B4126" t="s">
        <v>82</v>
      </c>
      <c r="C4126" t="s">
        <v>913</v>
      </c>
      <c r="D4126" t="s">
        <v>1091</v>
      </c>
      <c r="E4126" t="s">
        <v>1469</v>
      </c>
      <c r="F4126">
        <v>1154</v>
      </c>
    </row>
    <row r="4127" spans="1:6">
      <c r="A4127" t="s">
        <v>27</v>
      </c>
      <c r="B4127" t="s">
        <v>82</v>
      </c>
      <c r="C4127" t="s">
        <v>913</v>
      </c>
      <c r="D4127" t="s">
        <v>1091</v>
      </c>
      <c r="E4127" t="s">
        <v>1470</v>
      </c>
      <c r="F4127">
        <v>732</v>
      </c>
    </row>
    <row r="4128" spans="1:6">
      <c r="A4128" t="s">
        <v>27</v>
      </c>
      <c r="B4128" t="s">
        <v>82</v>
      </c>
      <c r="C4128" t="s">
        <v>913</v>
      </c>
      <c r="D4128" t="s">
        <v>1091</v>
      </c>
      <c r="E4128" t="s">
        <v>1472</v>
      </c>
      <c r="F4128">
        <v>1541</v>
      </c>
    </row>
    <row r="4129" spans="1:6">
      <c r="A4129" t="s">
        <v>27</v>
      </c>
      <c r="B4129" t="s">
        <v>82</v>
      </c>
      <c r="C4129" t="s">
        <v>913</v>
      </c>
      <c r="D4129" t="s">
        <v>1091</v>
      </c>
      <c r="E4129" t="s">
        <v>1559</v>
      </c>
      <c r="F4129">
        <v>2573</v>
      </c>
    </row>
    <row r="4130" spans="1:6">
      <c r="A4130" t="s">
        <v>27</v>
      </c>
      <c r="B4130" t="s">
        <v>82</v>
      </c>
      <c r="C4130" t="s">
        <v>913</v>
      </c>
      <c r="D4130" t="s">
        <v>1091</v>
      </c>
      <c r="E4130" t="s">
        <v>1560</v>
      </c>
      <c r="F4130">
        <v>1519</v>
      </c>
    </row>
    <row r="4131" spans="1:6">
      <c r="A4131" t="s">
        <v>27</v>
      </c>
      <c r="B4131" t="s">
        <v>82</v>
      </c>
      <c r="C4131" t="s">
        <v>913</v>
      </c>
      <c r="D4131" t="s">
        <v>1091</v>
      </c>
      <c r="E4131" t="s">
        <v>1201</v>
      </c>
      <c r="F4131" t="s">
        <v>1200</v>
      </c>
    </row>
    <row r="4132" spans="1:6">
      <c r="A4132" t="s">
        <v>27</v>
      </c>
      <c r="B4132" t="s">
        <v>82</v>
      </c>
      <c r="C4132" t="s">
        <v>913</v>
      </c>
      <c r="D4132" t="s">
        <v>1091</v>
      </c>
      <c r="E4132" t="s">
        <v>1209</v>
      </c>
      <c r="F4132" t="s">
        <v>1107</v>
      </c>
    </row>
    <row r="4133" spans="1:6">
      <c r="A4133" t="s">
        <v>27</v>
      </c>
      <c r="B4133" t="s">
        <v>82</v>
      </c>
      <c r="C4133" t="s">
        <v>913</v>
      </c>
      <c r="D4133" t="s">
        <v>1091</v>
      </c>
      <c r="E4133" t="s">
        <v>1210</v>
      </c>
      <c r="F4133">
        <v>403452</v>
      </c>
    </row>
    <row r="4134" spans="1:6">
      <c r="A4134" t="s">
        <v>27</v>
      </c>
      <c r="B4134" t="s">
        <v>82</v>
      </c>
      <c r="C4134" t="s">
        <v>913</v>
      </c>
      <c r="D4134" t="s">
        <v>1091</v>
      </c>
      <c r="E4134" t="s">
        <v>1211</v>
      </c>
      <c r="F4134">
        <v>0</v>
      </c>
    </row>
    <row r="4135" spans="1:6">
      <c r="A4135" t="s">
        <v>27</v>
      </c>
      <c r="B4135" t="s">
        <v>82</v>
      </c>
      <c r="C4135" t="s">
        <v>913</v>
      </c>
      <c r="D4135" t="s">
        <v>1091</v>
      </c>
      <c r="E4135" t="s">
        <v>1212</v>
      </c>
      <c r="F4135">
        <v>92823</v>
      </c>
    </row>
    <row r="4136" spans="1:6">
      <c r="A4136" t="s">
        <v>27</v>
      </c>
      <c r="B4136" t="s">
        <v>82</v>
      </c>
      <c r="C4136" t="s">
        <v>913</v>
      </c>
      <c r="D4136" t="s">
        <v>1091</v>
      </c>
      <c r="E4136" t="s">
        <v>1213</v>
      </c>
      <c r="F4136">
        <v>68133</v>
      </c>
    </row>
    <row r="4137" spans="1:6">
      <c r="A4137" t="s">
        <v>27</v>
      </c>
      <c r="B4137" t="s">
        <v>82</v>
      </c>
      <c r="C4137" t="s">
        <v>913</v>
      </c>
      <c r="D4137" t="s">
        <v>1091</v>
      </c>
      <c r="E4137" t="s">
        <v>1214</v>
      </c>
      <c r="F4137">
        <v>53420</v>
      </c>
    </row>
    <row r="4138" spans="1:6">
      <c r="A4138" t="s">
        <v>27</v>
      </c>
      <c r="B4138" t="s">
        <v>82</v>
      </c>
      <c r="C4138" t="s">
        <v>913</v>
      </c>
      <c r="D4138" t="s">
        <v>1091</v>
      </c>
      <c r="E4138" t="s">
        <v>1215</v>
      </c>
      <c r="F4138">
        <v>110936</v>
      </c>
    </row>
    <row r="4139" spans="1:6">
      <c r="A4139" t="s">
        <v>27</v>
      </c>
      <c r="B4139" t="s">
        <v>82</v>
      </c>
      <c r="C4139" t="s">
        <v>913</v>
      </c>
      <c r="D4139" t="s">
        <v>1091</v>
      </c>
      <c r="E4139" t="s">
        <v>1216</v>
      </c>
      <c r="F4139">
        <v>78140</v>
      </c>
    </row>
    <row r="4140" spans="1:6">
      <c r="A4140" t="s">
        <v>27</v>
      </c>
      <c r="B4140" t="s">
        <v>82</v>
      </c>
      <c r="C4140" t="s">
        <v>913</v>
      </c>
      <c r="D4140" t="s">
        <v>1091</v>
      </c>
      <c r="E4140" t="s">
        <v>1217</v>
      </c>
      <c r="F4140" t="s">
        <v>1307</v>
      </c>
    </row>
    <row r="4141" spans="1:6">
      <c r="A4141" t="s">
        <v>27</v>
      </c>
      <c r="B4141" t="s">
        <v>82</v>
      </c>
      <c r="C4141" t="s">
        <v>913</v>
      </c>
      <c r="D4141" t="s">
        <v>1091</v>
      </c>
      <c r="E4141" t="s">
        <v>1218</v>
      </c>
      <c r="F4141">
        <v>13027</v>
      </c>
    </row>
    <row r="4142" spans="1:6">
      <c r="A4142" t="s">
        <v>27</v>
      </c>
      <c r="B4142" t="s">
        <v>82</v>
      </c>
      <c r="C4142" t="s">
        <v>913</v>
      </c>
      <c r="D4142" t="s">
        <v>1091</v>
      </c>
      <c r="E4142" t="s">
        <v>1219</v>
      </c>
      <c r="F4142">
        <v>405</v>
      </c>
    </row>
    <row r="4143" spans="1:6">
      <c r="A4143" t="s">
        <v>27</v>
      </c>
      <c r="B4143" t="s">
        <v>82</v>
      </c>
      <c r="C4143" t="s">
        <v>913</v>
      </c>
      <c r="D4143" t="s">
        <v>1091</v>
      </c>
      <c r="E4143" t="s">
        <v>1220</v>
      </c>
      <c r="F4143">
        <v>1958</v>
      </c>
    </row>
    <row r="4144" spans="1:6">
      <c r="A4144" t="s">
        <v>27</v>
      </c>
      <c r="B4144" t="s">
        <v>82</v>
      </c>
      <c r="C4144" t="s">
        <v>913</v>
      </c>
      <c r="D4144" t="s">
        <v>1091</v>
      </c>
      <c r="E4144" t="s">
        <v>1221</v>
      </c>
      <c r="F4144">
        <v>2678</v>
      </c>
    </row>
    <row r="4145" spans="1:6">
      <c r="A4145" t="s">
        <v>27</v>
      </c>
      <c r="B4145" t="s">
        <v>82</v>
      </c>
      <c r="C4145" t="s">
        <v>913</v>
      </c>
      <c r="D4145" t="s">
        <v>1091</v>
      </c>
      <c r="E4145" t="s">
        <v>1222</v>
      </c>
      <c r="F4145">
        <v>3252</v>
      </c>
    </row>
    <row r="4146" spans="1:6">
      <c r="A4146" t="s">
        <v>27</v>
      </c>
      <c r="B4146" t="s">
        <v>82</v>
      </c>
      <c r="C4146" t="s">
        <v>913</v>
      </c>
      <c r="D4146" t="s">
        <v>1091</v>
      </c>
      <c r="E4146" t="s">
        <v>1223</v>
      </c>
      <c r="F4146">
        <v>2383</v>
      </c>
    </row>
    <row r="4147" spans="1:6">
      <c r="A4147" t="s">
        <v>27</v>
      </c>
      <c r="B4147" t="s">
        <v>82</v>
      </c>
      <c r="C4147" t="s">
        <v>913</v>
      </c>
      <c r="D4147" t="s">
        <v>1091</v>
      </c>
      <c r="E4147" t="s">
        <v>1224</v>
      </c>
      <c r="F4147">
        <v>2351</v>
      </c>
    </row>
    <row r="4148" spans="1:6">
      <c r="A4148" t="s">
        <v>27</v>
      </c>
      <c r="B4148" t="s">
        <v>82</v>
      </c>
      <c r="C4148" t="s">
        <v>913</v>
      </c>
      <c r="D4148" t="s">
        <v>1091</v>
      </c>
      <c r="E4148" t="s">
        <v>1225</v>
      </c>
      <c r="F4148" t="s">
        <v>1308</v>
      </c>
    </row>
    <row r="4149" spans="1:6">
      <c r="A4149" t="s">
        <v>27</v>
      </c>
      <c r="B4149" t="s">
        <v>82</v>
      </c>
      <c r="C4149" t="s">
        <v>913</v>
      </c>
      <c r="D4149" t="s">
        <v>1091</v>
      </c>
      <c r="E4149" t="s">
        <v>1480</v>
      </c>
      <c r="F4149">
        <v>24651</v>
      </c>
    </row>
    <row r="4150" spans="1:6">
      <c r="A4150" t="s">
        <v>27</v>
      </c>
      <c r="B4150" t="s">
        <v>82</v>
      </c>
      <c r="C4150" t="s">
        <v>913</v>
      </c>
      <c r="D4150" t="s">
        <v>1091</v>
      </c>
      <c r="E4150" t="s">
        <v>1227</v>
      </c>
      <c r="F4150">
        <v>228</v>
      </c>
    </row>
    <row r="4151" spans="1:6">
      <c r="A4151" t="s">
        <v>27</v>
      </c>
      <c r="B4151" t="s">
        <v>82</v>
      </c>
      <c r="C4151" t="s">
        <v>913</v>
      </c>
      <c r="D4151" t="s">
        <v>1091</v>
      </c>
      <c r="E4151" t="s">
        <v>1228</v>
      </c>
      <c r="F4151">
        <v>1245</v>
      </c>
    </row>
    <row r="4152" spans="1:6">
      <c r="A4152" t="s">
        <v>27</v>
      </c>
      <c r="B4152" t="s">
        <v>82</v>
      </c>
      <c r="C4152" t="s">
        <v>913</v>
      </c>
      <c r="D4152" t="s">
        <v>1091</v>
      </c>
      <c r="E4152" t="s">
        <v>1230</v>
      </c>
      <c r="F4152">
        <v>11187</v>
      </c>
    </row>
    <row r="4153" spans="1:6">
      <c r="A4153" t="s">
        <v>27</v>
      </c>
      <c r="B4153" t="s">
        <v>82</v>
      </c>
      <c r="C4153" t="s">
        <v>913</v>
      </c>
      <c r="D4153" t="s">
        <v>1091</v>
      </c>
      <c r="E4153" t="s">
        <v>1231</v>
      </c>
      <c r="F4153">
        <v>8481</v>
      </c>
    </row>
    <row r="4154" spans="1:6">
      <c r="A4154" t="s">
        <v>27</v>
      </c>
      <c r="B4154" t="s">
        <v>82</v>
      </c>
      <c r="C4154" t="s">
        <v>913</v>
      </c>
      <c r="D4154" t="s">
        <v>1091</v>
      </c>
      <c r="E4154" t="s">
        <v>1233</v>
      </c>
      <c r="F4154">
        <v>2026</v>
      </c>
    </row>
    <row r="4155" spans="1:6">
      <c r="A4155" t="s">
        <v>27</v>
      </c>
      <c r="B4155" t="s">
        <v>82</v>
      </c>
      <c r="C4155" t="s">
        <v>913</v>
      </c>
      <c r="D4155" t="s">
        <v>1091</v>
      </c>
      <c r="E4155" t="s">
        <v>1234</v>
      </c>
      <c r="F4155">
        <v>1484</v>
      </c>
    </row>
    <row r="4156" spans="1:6">
      <c r="A4156" t="s">
        <v>27</v>
      </c>
      <c r="B4156" t="s">
        <v>82</v>
      </c>
      <c r="C4156" t="s">
        <v>913</v>
      </c>
      <c r="D4156" t="s">
        <v>1091</v>
      </c>
      <c r="E4156" t="s">
        <v>1235</v>
      </c>
      <c r="F4156" t="s">
        <v>1226</v>
      </c>
    </row>
    <row r="4157" spans="1:6">
      <c r="A4157" t="s">
        <v>27</v>
      </c>
      <c r="B4157" t="s">
        <v>82</v>
      </c>
      <c r="C4157" t="s">
        <v>913</v>
      </c>
      <c r="D4157" t="s">
        <v>1091</v>
      </c>
      <c r="E4157" t="s">
        <v>1237</v>
      </c>
      <c r="F4157" t="s">
        <v>1132</v>
      </c>
    </row>
    <row r="4158" spans="1:6">
      <c r="A4158" t="s">
        <v>27</v>
      </c>
      <c r="B4158" t="s">
        <v>82</v>
      </c>
      <c r="C4158" t="s">
        <v>913</v>
      </c>
      <c r="D4158" t="s">
        <v>1091</v>
      </c>
      <c r="E4158" t="s">
        <v>1238</v>
      </c>
      <c r="F4158" t="s">
        <v>1502</v>
      </c>
    </row>
    <row r="4159" spans="1:6">
      <c r="A4159" t="s">
        <v>27</v>
      </c>
      <c r="B4159" t="s">
        <v>82</v>
      </c>
      <c r="C4159" t="s">
        <v>913</v>
      </c>
      <c r="D4159" t="s">
        <v>1091</v>
      </c>
      <c r="E4159" t="s">
        <v>1240</v>
      </c>
      <c r="F4159" t="s">
        <v>1322</v>
      </c>
    </row>
    <row r="4160" spans="1:6">
      <c r="A4160" t="s">
        <v>27</v>
      </c>
      <c r="B4160" t="s">
        <v>82</v>
      </c>
      <c r="C4160" t="s">
        <v>913</v>
      </c>
      <c r="D4160" t="s">
        <v>1091</v>
      </c>
      <c r="E4160" t="s">
        <v>1241</v>
      </c>
      <c r="F4160" t="s">
        <v>1751</v>
      </c>
    </row>
    <row r="4161" spans="1:6">
      <c r="A4161" t="s">
        <v>27</v>
      </c>
      <c r="B4161" t="s">
        <v>82</v>
      </c>
      <c r="C4161" t="s">
        <v>913</v>
      </c>
      <c r="D4161" t="s">
        <v>1091</v>
      </c>
      <c r="E4161" t="s">
        <v>1243</v>
      </c>
      <c r="F4161" t="s">
        <v>1568</v>
      </c>
    </row>
    <row r="4162" spans="1:6">
      <c r="A4162" t="s">
        <v>27</v>
      </c>
      <c r="B4162" t="s">
        <v>82</v>
      </c>
      <c r="C4162" t="s">
        <v>913</v>
      </c>
      <c r="D4162" t="s">
        <v>1091</v>
      </c>
      <c r="E4162" t="s">
        <v>1244</v>
      </c>
      <c r="F4162" t="s">
        <v>1568</v>
      </c>
    </row>
    <row r="4163" spans="1:6">
      <c r="A4163" t="s">
        <v>27</v>
      </c>
      <c r="B4163" t="s">
        <v>82</v>
      </c>
      <c r="C4163" t="s">
        <v>913</v>
      </c>
      <c r="D4163" t="s">
        <v>1091</v>
      </c>
      <c r="E4163" t="s">
        <v>1245</v>
      </c>
      <c r="F4163" t="s">
        <v>1236</v>
      </c>
    </row>
    <row r="4164" spans="1:6">
      <c r="A4164" t="s">
        <v>27</v>
      </c>
      <c r="B4164" t="s">
        <v>82</v>
      </c>
      <c r="C4164" t="s">
        <v>913</v>
      </c>
      <c r="D4164" t="s">
        <v>1091</v>
      </c>
      <c r="E4164" t="s">
        <v>1248</v>
      </c>
      <c r="F4164" t="s">
        <v>1321</v>
      </c>
    </row>
    <row r="4165" spans="1:6">
      <c r="A4165" t="s">
        <v>27</v>
      </c>
      <c r="B4165" t="s">
        <v>82</v>
      </c>
      <c r="C4165" t="s">
        <v>913</v>
      </c>
      <c r="D4165" t="s">
        <v>1091</v>
      </c>
      <c r="E4165" t="s">
        <v>1249</v>
      </c>
      <c r="F4165" t="s">
        <v>1754</v>
      </c>
    </row>
    <row r="4166" spans="1:6">
      <c r="A4166" t="s">
        <v>27</v>
      </c>
      <c r="B4166" t="s">
        <v>82</v>
      </c>
      <c r="C4166" t="s">
        <v>913</v>
      </c>
      <c r="D4166" t="s">
        <v>1091</v>
      </c>
      <c r="E4166" t="s">
        <v>1250</v>
      </c>
      <c r="F4166" t="s">
        <v>1755</v>
      </c>
    </row>
    <row r="4167" spans="1:6">
      <c r="A4167" t="s">
        <v>27</v>
      </c>
      <c r="B4167" t="s">
        <v>82</v>
      </c>
      <c r="C4167" t="s">
        <v>913</v>
      </c>
      <c r="D4167" t="s">
        <v>1091</v>
      </c>
      <c r="E4167" t="s">
        <v>1251</v>
      </c>
      <c r="F4167" t="s">
        <v>1384</v>
      </c>
    </row>
    <row r="4168" spans="1:6">
      <c r="A4168" t="s">
        <v>27</v>
      </c>
      <c r="B4168" t="s">
        <v>82</v>
      </c>
      <c r="C4168" t="s">
        <v>913</v>
      </c>
      <c r="D4168" t="s">
        <v>1091</v>
      </c>
      <c r="E4168" t="s">
        <v>1252</v>
      </c>
      <c r="F4168" t="s">
        <v>1756</v>
      </c>
    </row>
    <row r="4169" spans="1:6">
      <c r="A4169" t="s">
        <v>27</v>
      </c>
      <c r="B4169" t="s">
        <v>82</v>
      </c>
      <c r="C4169" t="s">
        <v>913</v>
      </c>
      <c r="D4169" t="s">
        <v>1091</v>
      </c>
      <c r="E4169" t="s">
        <v>1253</v>
      </c>
      <c r="F4169" t="s">
        <v>1757</v>
      </c>
    </row>
    <row r="4170" spans="1:6">
      <c r="A4170" t="s">
        <v>27</v>
      </c>
      <c r="B4170" t="s">
        <v>82</v>
      </c>
      <c r="C4170" t="s">
        <v>913</v>
      </c>
      <c r="D4170" t="s">
        <v>1091</v>
      </c>
      <c r="E4170" t="s">
        <v>1254</v>
      </c>
      <c r="F4170" t="s">
        <v>1246</v>
      </c>
    </row>
    <row r="4171" spans="1:6">
      <c r="A4171" t="s">
        <v>27</v>
      </c>
      <c r="B4171" t="s">
        <v>82</v>
      </c>
      <c r="C4171" t="s">
        <v>913</v>
      </c>
      <c r="D4171" t="s">
        <v>1091</v>
      </c>
      <c r="E4171" t="s">
        <v>1256</v>
      </c>
      <c r="F4171">
        <v>642158</v>
      </c>
    </row>
    <row r="4172" spans="1:6">
      <c r="A4172" t="s">
        <v>27</v>
      </c>
      <c r="B4172" t="s">
        <v>82</v>
      </c>
      <c r="C4172" t="s">
        <v>913</v>
      </c>
      <c r="D4172" t="s">
        <v>1091</v>
      </c>
      <c r="E4172" t="s">
        <v>1257</v>
      </c>
      <c r="F4172">
        <v>504536</v>
      </c>
    </row>
    <row r="4173" spans="1:6">
      <c r="A4173" t="s">
        <v>27</v>
      </c>
      <c r="B4173" t="s">
        <v>82</v>
      </c>
      <c r="C4173" t="s">
        <v>913</v>
      </c>
      <c r="D4173" t="s">
        <v>1091</v>
      </c>
      <c r="E4173" t="s">
        <v>1258</v>
      </c>
      <c r="F4173">
        <v>38190</v>
      </c>
    </row>
    <row r="4174" spans="1:6">
      <c r="A4174" t="s">
        <v>27</v>
      </c>
      <c r="B4174" t="s">
        <v>82</v>
      </c>
      <c r="C4174" t="s">
        <v>913</v>
      </c>
      <c r="D4174" t="s">
        <v>1091</v>
      </c>
      <c r="E4174" t="s">
        <v>1259</v>
      </c>
      <c r="F4174">
        <v>32843</v>
      </c>
    </row>
    <row r="4175" spans="1:6">
      <c r="A4175" t="s">
        <v>27</v>
      </c>
      <c r="B4175" t="s">
        <v>82</v>
      </c>
      <c r="C4175" t="s">
        <v>913</v>
      </c>
      <c r="D4175" t="s">
        <v>1091</v>
      </c>
      <c r="E4175" t="s">
        <v>1260</v>
      </c>
      <c r="F4175">
        <v>14776</v>
      </c>
    </row>
    <row r="4176" spans="1:6">
      <c r="A4176" t="s">
        <v>27</v>
      </c>
      <c r="B4176" t="s">
        <v>82</v>
      </c>
      <c r="C4176" t="s">
        <v>913</v>
      </c>
      <c r="D4176" t="s">
        <v>1091</v>
      </c>
      <c r="E4176" t="s">
        <v>1261</v>
      </c>
      <c r="F4176">
        <v>30432</v>
      </c>
    </row>
    <row r="4177" spans="1:6">
      <c r="A4177" t="s">
        <v>27</v>
      </c>
      <c r="B4177" t="s">
        <v>82</v>
      </c>
      <c r="C4177" t="s">
        <v>913</v>
      </c>
      <c r="D4177" t="s">
        <v>1091</v>
      </c>
      <c r="E4177" t="s">
        <v>1262</v>
      </c>
      <c r="F4177">
        <v>21382</v>
      </c>
    </row>
    <row r="4178" spans="1:6">
      <c r="A4178" t="s">
        <v>27</v>
      </c>
      <c r="B4178" t="s">
        <v>82</v>
      </c>
      <c r="C4178" t="s">
        <v>913</v>
      </c>
      <c r="D4178" t="s">
        <v>1091</v>
      </c>
      <c r="E4178" t="s">
        <v>1263</v>
      </c>
      <c r="F4178" t="s">
        <v>1255</v>
      </c>
    </row>
    <row r="4179" spans="1:6">
      <c r="A4179" t="s">
        <v>27</v>
      </c>
      <c r="B4179" t="s">
        <v>82</v>
      </c>
      <c r="C4179" t="s">
        <v>913</v>
      </c>
      <c r="D4179" t="s">
        <v>1091</v>
      </c>
      <c r="E4179" t="s">
        <v>1264</v>
      </c>
      <c r="F4179">
        <v>8843</v>
      </c>
    </row>
    <row r="4180" spans="1:6">
      <c r="A4180" t="s">
        <v>27</v>
      </c>
      <c r="B4180" t="s">
        <v>82</v>
      </c>
      <c r="C4180" t="s">
        <v>913</v>
      </c>
      <c r="D4180" t="s">
        <v>1091</v>
      </c>
      <c r="E4180" t="s">
        <v>1265</v>
      </c>
      <c r="F4180">
        <v>1459</v>
      </c>
    </row>
    <row r="4181" spans="1:6">
      <c r="A4181" t="s">
        <v>27</v>
      </c>
      <c r="B4181" t="s">
        <v>82</v>
      </c>
      <c r="C4181" t="s">
        <v>913</v>
      </c>
      <c r="D4181" t="s">
        <v>1091</v>
      </c>
      <c r="E4181" t="s">
        <v>1266</v>
      </c>
      <c r="F4181">
        <v>1361</v>
      </c>
    </row>
    <row r="4182" spans="1:6">
      <c r="A4182" t="s">
        <v>27</v>
      </c>
      <c r="B4182" t="s">
        <v>82</v>
      </c>
      <c r="C4182" t="s">
        <v>913</v>
      </c>
      <c r="D4182" t="s">
        <v>1091</v>
      </c>
      <c r="E4182" t="s">
        <v>1268</v>
      </c>
      <c r="F4182">
        <v>904</v>
      </c>
    </row>
    <row r="4183" spans="1:6">
      <c r="A4183" t="s">
        <v>27</v>
      </c>
      <c r="B4183" t="s">
        <v>82</v>
      </c>
      <c r="C4183" t="s">
        <v>913</v>
      </c>
      <c r="D4183" t="s">
        <v>1091</v>
      </c>
      <c r="E4183" t="s">
        <v>1269</v>
      </c>
      <c r="F4183">
        <v>2580</v>
      </c>
    </row>
    <row r="4184" spans="1:6">
      <c r="A4184" t="s">
        <v>27</v>
      </c>
      <c r="B4184" t="s">
        <v>82</v>
      </c>
      <c r="C4184" t="s">
        <v>913</v>
      </c>
      <c r="D4184" t="s">
        <v>1091</v>
      </c>
      <c r="E4184" t="s">
        <v>1271</v>
      </c>
      <c r="F4184">
        <v>1873</v>
      </c>
    </row>
    <row r="4185" spans="1:6">
      <c r="A4185" t="s">
        <v>27</v>
      </c>
      <c r="B4185" t="s">
        <v>82</v>
      </c>
      <c r="C4185" t="s">
        <v>913</v>
      </c>
      <c r="D4185" t="s">
        <v>1091</v>
      </c>
      <c r="E4185" t="s">
        <v>1272</v>
      </c>
      <c r="F4185">
        <v>666</v>
      </c>
    </row>
    <row r="4186" spans="1:6">
      <c r="A4186" t="s">
        <v>27</v>
      </c>
      <c r="B4186" t="s">
        <v>82</v>
      </c>
      <c r="C4186" t="s">
        <v>913</v>
      </c>
      <c r="D4186" t="s">
        <v>1091</v>
      </c>
      <c r="E4186" t="s">
        <v>1561</v>
      </c>
      <c r="F4186" t="s">
        <v>1131</v>
      </c>
    </row>
    <row r="4187" spans="1:6">
      <c r="A4187" t="s">
        <v>27</v>
      </c>
      <c r="B4187" t="s">
        <v>82</v>
      </c>
      <c r="C4187" t="s">
        <v>913</v>
      </c>
      <c r="D4187" t="s">
        <v>1091</v>
      </c>
      <c r="E4187" t="s">
        <v>1562</v>
      </c>
      <c r="F4187" t="s">
        <v>1504</v>
      </c>
    </row>
    <row r="4188" spans="1:6">
      <c r="A4188" t="s">
        <v>27</v>
      </c>
      <c r="B4188" t="s">
        <v>82</v>
      </c>
      <c r="C4188" t="s">
        <v>913</v>
      </c>
      <c r="D4188" t="s">
        <v>1091</v>
      </c>
      <c r="E4188" t="s">
        <v>1563</v>
      </c>
      <c r="F4188" t="s">
        <v>1125</v>
      </c>
    </row>
    <row r="4189" spans="1:6">
      <c r="A4189" t="s">
        <v>27</v>
      </c>
      <c r="B4189" t="s">
        <v>82</v>
      </c>
      <c r="C4189" t="s">
        <v>913</v>
      </c>
      <c r="D4189" t="s">
        <v>1091</v>
      </c>
      <c r="E4189" t="s">
        <v>1564</v>
      </c>
      <c r="F4189" t="s">
        <v>1508</v>
      </c>
    </row>
    <row r="4190" spans="1:6">
      <c r="A4190" t="s">
        <v>27</v>
      </c>
      <c r="B4190" t="s">
        <v>82</v>
      </c>
      <c r="C4190" t="s">
        <v>913</v>
      </c>
      <c r="D4190" t="s">
        <v>1091</v>
      </c>
      <c r="E4190" t="s">
        <v>1565</v>
      </c>
      <c r="F4190" t="s">
        <v>1324</v>
      </c>
    </row>
    <row r="4191" spans="1:6">
      <c r="A4191" t="s">
        <v>27</v>
      </c>
      <c r="B4191" t="s">
        <v>82</v>
      </c>
      <c r="C4191" t="s">
        <v>913</v>
      </c>
      <c r="D4191" t="s">
        <v>1091</v>
      </c>
      <c r="E4191" t="s">
        <v>1566</v>
      </c>
      <c r="F4191" t="s">
        <v>1752</v>
      </c>
    </row>
    <row r="4192" spans="1:6">
      <c r="A4192" t="s">
        <v>27</v>
      </c>
      <c r="B4192" t="s">
        <v>82</v>
      </c>
      <c r="C4192" t="s">
        <v>913</v>
      </c>
      <c r="D4192" t="s">
        <v>1091</v>
      </c>
      <c r="E4192" t="s">
        <v>1488</v>
      </c>
      <c r="F4192" t="s">
        <v>1570</v>
      </c>
    </row>
    <row r="4193" spans="1:6">
      <c r="A4193" t="s">
        <v>27</v>
      </c>
      <c r="B4193" t="s">
        <v>82</v>
      </c>
      <c r="C4193" t="s">
        <v>913</v>
      </c>
      <c r="D4193" t="s">
        <v>1091</v>
      </c>
      <c r="E4193" t="s">
        <v>1567</v>
      </c>
      <c r="F4193" t="s">
        <v>1570</v>
      </c>
    </row>
    <row r="4194" spans="1:6">
      <c r="A4194" t="s">
        <v>27</v>
      </c>
      <c r="B4194" t="s">
        <v>82</v>
      </c>
      <c r="C4194" t="s">
        <v>913</v>
      </c>
      <c r="D4194" t="s">
        <v>1273</v>
      </c>
      <c r="E4194" t="s">
        <v>992</v>
      </c>
      <c r="F4194" t="s">
        <v>82</v>
      </c>
    </row>
    <row r="4195" spans="1:6">
      <c r="A4195" t="s">
        <v>27</v>
      </c>
      <c r="B4195" t="s">
        <v>82</v>
      </c>
      <c r="C4195" t="s">
        <v>913</v>
      </c>
      <c r="D4195" t="s">
        <v>1273</v>
      </c>
      <c r="E4195" t="s">
        <v>1304</v>
      </c>
      <c r="F4195" t="s">
        <v>1511</v>
      </c>
    </row>
    <row r="4196" spans="1:6">
      <c r="A4196" t="s">
        <v>27</v>
      </c>
      <c r="B4196" t="s">
        <v>82</v>
      </c>
      <c r="C4196" t="s">
        <v>913</v>
      </c>
      <c r="D4196" t="s">
        <v>1273</v>
      </c>
      <c r="E4196" t="s">
        <v>1093</v>
      </c>
      <c r="F4196" t="s">
        <v>1277</v>
      </c>
    </row>
    <row r="4197" spans="1:6">
      <c r="A4197" t="s">
        <v>27</v>
      </c>
      <c r="B4197" t="s">
        <v>82</v>
      </c>
      <c r="C4197" t="s">
        <v>913</v>
      </c>
      <c r="D4197" t="s">
        <v>1273</v>
      </c>
      <c r="E4197" t="s">
        <v>1279</v>
      </c>
      <c r="F4197" t="s">
        <v>1511</v>
      </c>
    </row>
    <row r="4198" spans="1:6">
      <c r="A4198" t="s">
        <v>27</v>
      </c>
      <c r="B4198" t="s">
        <v>82</v>
      </c>
      <c r="C4198" t="s">
        <v>913</v>
      </c>
      <c r="D4198" t="s">
        <v>1273</v>
      </c>
      <c r="E4198" t="s">
        <v>1576</v>
      </c>
      <c r="F4198" t="s">
        <v>1280</v>
      </c>
    </row>
    <row r="4199" spans="1:6">
      <c r="A4199" t="s">
        <v>27</v>
      </c>
      <c r="B4199" t="s">
        <v>82</v>
      </c>
      <c r="C4199" t="s">
        <v>913</v>
      </c>
      <c r="D4199" t="s">
        <v>1273</v>
      </c>
      <c r="E4199" t="s">
        <v>1577</v>
      </c>
      <c r="F4199" t="s">
        <v>1282</v>
      </c>
    </row>
    <row r="4200" spans="1:6">
      <c r="A4200" t="s">
        <v>27</v>
      </c>
      <c r="B4200" t="s">
        <v>82</v>
      </c>
      <c r="C4200" t="s">
        <v>913</v>
      </c>
      <c r="D4200" t="s">
        <v>1273</v>
      </c>
      <c r="E4200" t="s">
        <v>1758</v>
      </c>
      <c r="F4200" t="s">
        <v>1759</v>
      </c>
    </row>
    <row r="4201" spans="1:6">
      <c r="A4201" t="s">
        <v>27</v>
      </c>
      <c r="B4201" t="s">
        <v>82</v>
      </c>
      <c r="C4201" t="s">
        <v>913</v>
      </c>
      <c r="D4201" t="s">
        <v>1273</v>
      </c>
      <c r="E4201" t="s">
        <v>1760</v>
      </c>
      <c r="F4201" t="s">
        <v>1761</v>
      </c>
    </row>
    <row r="4202" spans="1:6">
      <c r="A4202" t="s">
        <v>27</v>
      </c>
      <c r="B4202" t="s">
        <v>82</v>
      </c>
      <c r="C4202" t="s">
        <v>913</v>
      </c>
      <c r="D4202" t="s">
        <v>1273</v>
      </c>
      <c r="E4202" t="s">
        <v>1762</v>
      </c>
      <c r="F4202" t="s">
        <v>1763</v>
      </c>
    </row>
    <row r="4203" spans="1:6">
      <c r="A4203" t="s">
        <v>27</v>
      </c>
      <c r="B4203" t="s">
        <v>82</v>
      </c>
      <c r="C4203" t="s">
        <v>913</v>
      </c>
      <c r="D4203" t="s">
        <v>1273</v>
      </c>
      <c r="E4203" t="s">
        <v>1764</v>
      </c>
      <c r="F4203" t="s">
        <v>1759</v>
      </c>
    </row>
    <row r="4204" spans="1:6">
      <c r="A4204" t="s">
        <v>27</v>
      </c>
      <c r="B4204" t="s">
        <v>82</v>
      </c>
      <c r="C4204" t="s">
        <v>913</v>
      </c>
      <c r="D4204" t="s">
        <v>1273</v>
      </c>
      <c r="E4204" t="s">
        <v>1765</v>
      </c>
      <c r="F4204" t="s">
        <v>1761</v>
      </c>
    </row>
    <row r="4205" spans="1:6">
      <c r="A4205" t="s">
        <v>27</v>
      </c>
      <c r="B4205" t="s">
        <v>82</v>
      </c>
      <c r="C4205" t="s">
        <v>913</v>
      </c>
      <c r="D4205" t="s">
        <v>1273</v>
      </c>
      <c r="E4205" t="s">
        <v>1766</v>
      </c>
      <c r="F4205" t="s">
        <v>1763</v>
      </c>
    </row>
    <row r="4206" spans="1:6">
      <c r="A4206" t="s">
        <v>27</v>
      </c>
      <c r="B4206" t="s">
        <v>82</v>
      </c>
      <c r="C4206" t="s">
        <v>913</v>
      </c>
      <c r="D4206" t="s">
        <v>1273</v>
      </c>
      <c r="E4206" t="s">
        <v>1767</v>
      </c>
      <c r="F4206">
        <v>1994</v>
      </c>
    </row>
    <row r="4207" spans="1:6">
      <c r="A4207" t="s">
        <v>27</v>
      </c>
      <c r="B4207" t="s">
        <v>82</v>
      </c>
      <c r="C4207" t="s">
        <v>913</v>
      </c>
      <c r="D4207" t="s">
        <v>1273</v>
      </c>
      <c r="E4207" t="s">
        <v>1768</v>
      </c>
      <c r="F4207">
        <v>2</v>
      </c>
    </row>
    <row r="4208" spans="1:6">
      <c r="A4208" t="s">
        <v>27</v>
      </c>
      <c r="B4208" t="s">
        <v>82</v>
      </c>
      <c r="C4208" t="s">
        <v>913</v>
      </c>
      <c r="D4208" t="s">
        <v>1273</v>
      </c>
      <c r="E4208" t="s">
        <v>1769</v>
      </c>
      <c r="F4208">
        <v>1560.92</v>
      </c>
    </row>
    <row r="4209" spans="1:6">
      <c r="A4209" t="s">
        <v>27</v>
      </c>
      <c r="B4209" t="s">
        <v>82</v>
      </c>
      <c r="C4209" t="s">
        <v>913</v>
      </c>
      <c r="D4209" t="s">
        <v>1273</v>
      </c>
      <c r="E4209" t="s">
        <v>1770</v>
      </c>
      <c r="F4209" t="s">
        <v>1771</v>
      </c>
    </row>
    <row r="4210" spans="1:6">
      <c r="A4210" t="s">
        <v>27</v>
      </c>
      <c r="B4210" t="s">
        <v>82</v>
      </c>
      <c r="C4210" t="s">
        <v>913</v>
      </c>
      <c r="D4210" t="s">
        <v>1273</v>
      </c>
      <c r="E4210" t="s">
        <v>1772</v>
      </c>
      <c r="F4210">
        <v>830</v>
      </c>
    </row>
    <row r="4211" spans="1:6">
      <c r="A4211" t="s">
        <v>27</v>
      </c>
      <c r="B4211" t="s">
        <v>82</v>
      </c>
      <c r="C4211" t="s">
        <v>913</v>
      </c>
      <c r="D4211" t="s">
        <v>1273</v>
      </c>
      <c r="E4211" t="s">
        <v>1773</v>
      </c>
      <c r="F4211">
        <v>2617728.05</v>
      </c>
    </row>
    <row r="4212" spans="1:6">
      <c r="A4212" t="s">
        <v>27</v>
      </c>
      <c r="B4212" t="s">
        <v>82</v>
      </c>
      <c r="C4212" t="s">
        <v>913</v>
      </c>
      <c r="D4212" t="s">
        <v>1273</v>
      </c>
      <c r="E4212" t="s">
        <v>1002</v>
      </c>
      <c r="F4212" t="s">
        <v>1284</v>
      </c>
    </row>
    <row r="4213" spans="1:6">
      <c r="A4213" t="s">
        <v>27</v>
      </c>
      <c r="B4213" t="s">
        <v>82</v>
      </c>
      <c r="C4213" t="s">
        <v>913</v>
      </c>
      <c r="D4213" t="s">
        <v>1273</v>
      </c>
      <c r="E4213" t="s">
        <v>1288</v>
      </c>
      <c r="F4213" t="s">
        <v>377</v>
      </c>
    </row>
    <row r="4214" spans="1:6">
      <c r="A4214" t="s">
        <v>27</v>
      </c>
      <c r="B4214" t="s">
        <v>82</v>
      </c>
      <c r="C4214" t="s">
        <v>913</v>
      </c>
      <c r="D4214" t="s">
        <v>1273</v>
      </c>
      <c r="E4214" t="s">
        <v>1096</v>
      </c>
      <c r="F4214">
        <v>962009</v>
      </c>
    </row>
    <row r="4215" spans="1:6">
      <c r="A4215" t="s">
        <v>27</v>
      </c>
      <c r="B4215" t="s">
        <v>82</v>
      </c>
      <c r="C4215" t="s">
        <v>913</v>
      </c>
      <c r="D4215" t="s">
        <v>1273</v>
      </c>
      <c r="E4215" t="s">
        <v>1004</v>
      </c>
      <c r="F4215">
        <v>-193166</v>
      </c>
    </row>
    <row r="4216" spans="1:6">
      <c r="A4216" t="s">
        <v>27</v>
      </c>
      <c r="B4216" t="s">
        <v>82</v>
      </c>
      <c r="C4216" t="s">
        <v>913</v>
      </c>
      <c r="D4216" t="s">
        <v>1273</v>
      </c>
      <c r="E4216" t="s">
        <v>1774</v>
      </c>
      <c r="F4216">
        <v>1996</v>
      </c>
    </row>
    <row r="4217" spans="1:6">
      <c r="A4217" t="s">
        <v>27</v>
      </c>
      <c r="B4217" t="s">
        <v>82</v>
      </c>
      <c r="C4217" t="s">
        <v>913</v>
      </c>
      <c r="D4217" t="s">
        <v>1273</v>
      </c>
      <c r="E4217" t="s">
        <v>1775</v>
      </c>
      <c r="F4217">
        <v>1</v>
      </c>
    </row>
    <row r="4218" spans="1:6">
      <c r="A4218" t="s">
        <v>27</v>
      </c>
      <c r="B4218" t="s">
        <v>82</v>
      </c>
      <c r="C4218" t="s">
        <v>913</v>
      </c>
      <c r="D4218" t="s">
        <v>1273</v>
      </c>
      <c r="E4218" t="s">
        <v>1776</v>
      </c>
      <c r="F4218">
        <v>70.72</v>
      </c>
    </row>
    <row r="4219" spans="1:6">
      <c r="A4219" t="s">
        <v>27</v>
      </c>
      <c r="B4219" t="s">
        <v>82</v>
      </c>
      <c r="C4219" t="s">
        <v>913</v>
      </c>
      <c r="D4219" t="s">
        <v>1273</v>
      </c>
      <c r="E4219" t="s">
        <v>1777</v>
      </c>
      <c r="F4219" t="s">
        <v>377</v>
      </c>
    </row>
    <row r="4220" spans="1:6">
      <c r="A4220" t="s">
        <v>27</v>
      </c>
      <c r="B4220" t="s">
        <v>82</v>
      </c>
      <c r="C4220" t="s">
        <v>913</v>
      </c>
      <c r="D4220" t="s">
        <v>1273</v>
      </c>
      <c r="E4220" t="s">
        <v>1778</v>
      </c>
      <c r="F4220">
        <v>24885</v>
      </c>
    </row>
    <row r="4221" spans="1:6">
      <c r="A4221" t="s">
        <v>27</v>
      </c>
      <c r="B4221" t="s">
        <v>82</v>
      </c>
      <c r="C4221" t="s">
        <v>913</v>
      </c>
      <c r="D4221" t="s">
        <v>1273</v>
      </c>
      <c r="E4221" t="s">
        <v>1779</v>
      </c>
      <c r="F4221">
        <v>-364484.12</v>
      </c>
    </row>
    <row r="4222" spans="1:6">
      <c r="A4222" t="s">
        <v>27</v>
      </c>
      <c r="B4222" t="s">
        <v>82</v>
      </c>
      <c r="C4222" t="s">
        <v>913</v>
      </c>
      <c r="D4222" t="s">
        <v>1273</v>
      </c>
      <c r="E4222" t="s">
        <v>1289</v>
      </c>
      <c r="F4222" t="s">
        <v>379</v>
      </c>
    </row>
    <row r="4223" spans="1:6">
      <c r="A4223" t="s">
        <v>27</v>
      </c>
      <c r="B4223" t="s">
        <v>82</v>
      </c>
      <c r="C4223" t="s">
        <v>913</v>
      </c>
      <c r="D4223" t="s">
        <v>1273</v>
      </c>
      <c r="E4223" t="s">
        <v>1290</v>
      </c>
      <c r="F4223">
        <v>14899</v>
      </c>
    </row>
    <row r="4224" spans="1:6">
      <c r="A4224" t="s">
        <v>27</v>
      </c>
      <c r="B4224" t="s">
        <v>82</v>
      </c>
      <c r="C4224" t="s">
        <v>913</v>
      </c>
      <c r="D4224" t="s">
        <v>1273</v>
      </c>
      <c r="E4224" t="s">
        <v>1291</v>
      </c>
      <c r="F4224">
        <v>69483</v>
      </c>
    </row>
    <row r="4225" spans="1:6">
      <c r="A4225" t="s">
        <v>27</v>
      </c>
      <c r="B4225" t="s">
        <v>82</v>
      </c>
      <c r="C4225" t="s">
        <v>913</v>
      </c>
      <c r="D4225" t="s">
        <v>1273</v>
      </c>
      <c r="E4225" t="s">
        <v>1341</v>
      </c>
      <c r="F4225">
        <v>1997</v>
      </c>
    </row>
    <row r="4226" spans="1:6">
      <c r="A4226" t="s">
        <v>27</v>
      </c>
      <c r="B4226" t="s">
        <v>82</v>
      </c>
      <c r="C4226" t="s">
        <v>913</v>
      </c>
      <c r="D4226" t="s">
        <v>1273</v>
      </c>
      <c r="E4226" t="s">
        <v>1342</v>
      </c>
      <c r="F4226">
        <v>2</v>
      </c>
    </row>
    <row r="4227" spans="1:6">
      <c r="A4227" t="s">
        <v>27</v>
      </c>
      <c r="B4227" t="s">
        <v>82</v>
      </c>
      <c r="C4227" t="s">
        <v>913</v>
      </c>
      <c r="D4227" t="s">
        <v>1273</v>
      </c>
      <c r="E4227" t="s">
        <v>1343</v>
      </c>
      <c r="F4227">
        <v>130.86</v>
      </c>
    </row>
    <row r="4228" spans="1:6">
      <c r="A4228" t="s">
        <v>27</v>
      </c>
      <c r="B4228" t="s">
        <v>82</v>
      </c>
      <c r="C4228" t="s">
        <v>913</v>
      </c>
      <c r="D4228" t="s">
        <v>1273</v>
      </c>
      <c r="E4228" t="s">
        <v>1345</v>
      </c>
      <c r="F4228" t="s">
        <v>379</v>
      </c>
    </row>
    <row r="4229" spans="1:6">
      <c r="A4229" t="s">
        <v>27</v>
      </c>
      <c r="B4229" t="s">
        <v>82</v>
      </c>
      <c r="C4229" t="s">
        <v>913</v>
      </c>
      <c r="D4229" t="s">
        <v>1273</v>
      </c>
      <c r="E4229" t="s">
        <v>1780</v>
      </c>
      <c r="F4229">
        <v>19877</v>
      </c>
    </row>
    <row r="4230" spans="1:6">
      <c r="A4230" t="s">
        <v>27</v>
      </c>
      <c r="B4230" t="s">
        <v>82</v>
      </c>
      <c r="C4230" t="s">
        <v>913</v>
      </c>
      <c r="D4230" t="s">
        <v>1273</v>
      </c>
      <c r="E4230" t="s">
        <v>1781</v>
      </c>
      <c r="F4230">
        <v>94816.53</v>
      </c>
    </row>
    <row r="4231" spans="1:6">
      <c r="A4231" t="s">
        <v>27</v>
      </c>
      <c r="B4231" t="s">
        <v>82</v>
      </c>
      <c r="C4231" t="s">
        <v>913</v>
      </c>
      <c r="D4231" t="s">
        <v>1273</v>
      </c>
      <c r="E4231" t="s">
        <v>1008</v>
      </c>
      <c r="F4231" t="s">
        <v>381</v>
      </c>
    </row>
    <row r="4232" spans="1:6">
      <c r="A4232" t="s">
        <v>27</v>
      </c>
      <c r="B4232" t="s">
        <v>82</v>
      </c>
      <c r="C4232" t="s">
        <v>913</v>
      </c>
      <c r="D4232" t="s">
        <v>1273</v>
      </c>
      <c r="E4232" t="s">
        <v>1010</v>
      </c>
      <c r="F4232">
        <v>16228</v>
      </c>
    </row>
    <row r="4233" spans="1:6">
      <c r="A4233" t="s">
        <v>27</v>
      </c>
      <c r="B4233" t="s">
        <v>82</v>
      </c>
      <c r="C4233" t="s">
        <v>913</v>
      </c>
      <c r="D4233" t="s">
        <v>1273</v>
      </c>
      <c r="E4233" t="s">
        <v>1012</v>
      </c>
      <c r="F4233">
        <v>571089</v>
      </c>
    </row>
    <row r="4234" spans="1:6">
      <c r="A4234" t="s">
        <v>27</v>
      </c>
      <c r="B4234" t="s">
        <v>82</v>
      </c>
      <c r="C4234" t="s">
        <v>913</v>
      </c>
      <c r="D4234" t="s">
        <v>1273</v>
      </c>
      <c r="E4234" t="s">
        <v>1024</v>
      </c>
      <c r="F4234">
        <v>1999</v>
      </c>
    </row>
    <row r="4235" spans="1:6">
      <c r="A4235" t="s">
        <v>27</v>
      </c>
      <c r="B4235" t="s">
        <v>82</v>
      </c>
      <c r="C4235" t="s">
        <v>913</v>
      </c>
      <c r="D4235" t="s">
        <v>1273</v>
      </c>
      <c r="E4235" t="s">
        <v>1026</v>
      </c>
      <c r="F4235">
        <v>3</v>
      </c>
    </row>
    <row r="4236" spans="1:6">
      <c r="A4236" t="s">
        <v>27</v>
      </c>
      <c r="B4236" t="s">
        <v>82</v>
      </c>
      <c r="C4236" t="s">
        <v>913</v>
      </c>
      <c r="D4236" t="s">
        <v>1273</v>
      </c>
      <c r="E4236" t="s">
        <v>1028</v>
      </c>
      <c r="F4236">
        <v>12.22</v>
      </c>
    </row>
    <row r="4237" spans="1:6">
      <c r="A4237" t="s">
        <v>27</v>
      </c>
      <c r="B4237" t="s">
        <v>82</v>
      </c>
      <c r="C4237" t="s">
        <v>913</v>
      </c>
      <c r="D4237" t="s">
        <v>1273</v>
      </c>
      <c r="E4237" t="s">
        <v>1032</v>
      </c>
      <c r="F4237" t="s">
        <v>381</v>
      </c>
    </row>
    <row r="4238" spans="1:6">
      <c r="A4238" t="s">
        <v>27</v>
      </c>
      <c r="B4238" t="s">
        <v>82</v>
      </c>
      <c r="C4238" t="s">
        <v>913</v>
      </c>
      <c r="D4238" t="s">
        <v>1273</v>
      </c>
      <c r="E4238" t="s">
        <v>1782</v>
      </c>
      <c r="F4238">
        <v>26546</v>
      </c>
    </row>
    <row r="4239" spans="1:6">
      <c r="A4239" t="s">
        <v>27</v>
      </c>
      <c r="B4239" t="s">
        <v>82</v>
      </c>
      <c r="C4239" t="s">
        <v>913</v>
      </c>
      <c r="D4239" t="s">
        <v>1273</v>
      </c>
      <c r="E4239" t="s">
        <v>1783</v>
      </c>
      <c r="F4239">
        <v>963882.4300000001</v>
      </c>
    </row>
    <row r="4240" spans="1:6">
      <c r="A4240" t="s">
        <v>27</v>
      </c>
      <c r="B4240" t="s">
        <v>82</v>
      </c>
      <c r="C4240" t="s">
        <v>913</v>
      </c>
      <c r="D4240" t="s">
        <v>1273</v>
      </c>
      <c r="E4240" t="s">
        <v>1035</v>
      </c>
      <c r="F4240" t="s">
        <v>383</v>
      </c>
    </row>
    <row r="4241" spans="1:6">
      <c r="A4241" t="s">
        <v>27</v>
      </c>
      <c r="B4241" t="s">
        <v>82</v>
      </c>
      <c r="C4241" t="s">
        <v>913</v>
      </c>
      <c r="D4241" t="s">
        <v>1273</v>
      </c>
      <c r="E4241" t="s">
        <v>1099</v>
      </c>
      <c r="F4241">
        <v>3273</v>
      </c>
    </row>
    <row r="4242" spans="1:6">
      <c r="A4242" t="s">
        <v>27</v>
      </c>
      <c r="B4242" t="s">
        <v>82</v>
      </c>
      <c r="C4242" t="s">
        <v>913</v>
      </c>
      <c r="D4242" t="s">
        <v>1273</v>
      </c>
      <c r="E4242" t="s">
        <v>1100</v>
      </c>
      <c r="F4242">
        <v>906305</v>
      </c>
    </row>
    <row r="4243" spans="1:6">
      <c r="A4243" t="s">
        <v>27</v>
      </c>
      <c r="B4243" t="s">
        <v>82</v>
      </c>
      <c r="C4243" t="s">
        <v>913</v>
      </c>
      <c r="D4243" t="s">
        <v>1273</v>
      </c>
      <c r="E4243" t="s">
        <v>1516</v>
      </c>
      <c r="F4243">
        <v>2000</v>
      </c>
    </row>
    <row r="4244" spans="1:6">
      <c r="A4244" t="s">
        <v>27</v>
      </c>
      <c r="B4244" t="s">
        <v>82</v>
      </c>
      <c r="C4244" t="s">
        <v>913</v>
      </c>
      <c r="D4244" t="s">
        <v>1273</v>
      </c>
      <c r="E4244" t="s">
        <v>1517</v>
      </c>
      <c r="F4244">
        <v>9</v>
      </c>
    </row>
    <row r="4245" spans="1:6">
      <c r="A4245" t="s">
        <v>27</v>
      </c>
      <c r="B4245" t="s">
        <v>82</v>
      </c>
      <c r="C4245" t="s">
        <v>913</v>
      </c>
      <c r="D4245" t="s">
        <v>1273</v>
      </c>
      <c r="E4245" t="s">
        <v>1518</v>
      </c>
      <c r="F4245">
        <v>63.63</v>
      </c>
    </row>
    <row r="4246" spans="1:6">
      <c r="A4246" t="s">
        <v>27</v>
      </c>
      <c r="B4246" t="s">
        <v>82</v>
      </c>
      <c r="C4246" t="s">
        <v>913</v>
      </c>
      <c r="D4246" t="s">
        <v>1273</v>
      </c>
      <c r="E4246" t="s">
        <v>1520</v>
      </c>
      <c r="F4246" t="s">
        <v>1784</v>
      </c>
    </row>
    <row r="4247" spans="1:6">
      <c r="A4247" t="s">
        <v>27</v>
      </c>
      <c r="B4247" t="s">
        <v>82</v>
      </c>
      <c r="C4247" t="s">
        <v>913</v>
      </c>
      <c r="D4247" t="s">
        <v>1273</v>
      </c>
      <c r="E4247" t="s">
        <v>1785</v>
      </c>
      <c r="F4247">
        <v>5986</v>
      </c>
    </row>
    <row r="4248" spans="1:6">
      <c r="A4248" t="s">
        <v>27</v>
      </c>
      <c r="B4248" t="s">
        <v>82</v>
      </c>
      <c r="C4248" t="s">
        <v>913</v>
      </c>
      <c r="D4248" t="s">
        <v>1273</v>
      </c>
      <c r="E4248" t="s">
        <v>1786</v>
      </c>
      <c r="F4248">
        <v>1629609.67</v>
      </c>
    </row>
    <row r="4249" spans="1:6">
      <c r="A4249" t="s">
        <v>27</v>
      </c>
      <c r="B4249" t="s">
        <v>82</v>
      </c>
      <c r="C4249" t="s">
        <v>913</v>
      </c>
      <c r="D4249" t="s">
        <v>1273</v>
      </c>
      <c r="E4249" t="s">
        <v>1037</v>
      </c>
      <c r="F4249" t="s">
        <v>385</v>
      </c>
    </row>
    <row r="4250" spans="1:6">
      <c r="A4250" t="s">
        <v>27</v>
      </c>
      <c r="B4250" t="s">
        <v>82</v>
      </c>
      <c r="C4250" t="s">
        <v>913</v>
      </c>
      <c r="D4250" t="s">
        <v>1273</v>
      </c>
      <c r="E4250" t="s">
        <v>1103</v>
      </c>
      <c r="F4250">
        <v>458</v>
      </c>
    </row>
    <row r="4251" spans="1:6">
      <c r="A4251" t="s">
        <v>27</v>
      </c>
      <c r="B4251" t="s">
        <v>82</v>
      </c>
      <c r="C4251" t="s">
        <v>913</v>
      </c>
      <c r="D4251" t="s">
        <v>1273</v>
      </c>
      <c r="E4251" t="s">
        <v>1104</v>
      </c>
      <c r="F4251">
        <v>1623063</v>
      </c>
    </row>
    <row r="4252" spans="1:6">
      <c r="A4252" t="s">
        <v>27</v>
      </c>
      <c r="B4252" t="s">
        <v>82</v>
      </c>
      <c r="C4252" t="s">
        <v>913</v>
      </c>
      <c r="D4252" t="s">
        <v>1273</v>
      </c>
      <c r="E4252" t="s">
        <v>1350</v>
      </c>
      <c r="F4252">
        <v>2001</v>
      </c>
    </row>
    <row r="4253" spans="1:6">
      <c r="A4253" t="s">
        <v>27</v>
      </c>
      <c r="B4253" t="s">
        <v>82</v>
      </c>
      <c r="C4253" t="s">
        <v>913</v>
      </c>
      <c r="D4253" t="s">
        <v>1273</v>
      </c>
      <c r="E4253" t="s">
        <v>1351</v>
      </c>
      <c r="F4253">
        <v>5</v>
      </c>
    </row>
    <row r="4254" spans="1:6">
      <c r="A4254" t="s">
        <v>27</v>
      </c>
      <c r="B4254" t="s">
        <v>82</v>
      </c>
      <c r="C4254" t="s">
        <v>913</v>
      </c>
      <c r="D4254" t="s">
        <v>1273</v>
      </c>
      <c r="E4254" t="s">
        <v>1352</v>
      </c>
      <c r="F4254">
        <v>35.9</v>
      </c>
    </row>
    <row r="4255" spans="1:6">
      <c r="A4255" t="s">
        <v>27</v>
      </c>
      <c r="B4255" t="s">
        <v>82</v>
      </c>
      <c r="C4255" t="s">
        <v>913</v>
      </c>
      <c r="D4255" t="s">
        <v>1273</v>
      </c>
      <c r="E4255" t="s">
        <v>1354</v>
      </c>
      <c r="F4255" t="s">
        <v>1787</v>
      </c>
    </row>
    <row r="4256" spans="1:6">
      <c r="A4256" t="s">
        <v>27</v>
      </c>
      <c r="B4256" t="s">
        <v>82</v>
      </c>
      <c r="C4256" t="s">
        <v>913</v>
      </c>
      <c r="D4256" t="s">
        <v>1273</v>
      </c>
      <c r="E4256" t="s">
        <v>1788</v>
      </c>
      <c r="F4256">
        <v>78124</v>
      </c>
    </row>
    <row r="4257" spans="1:6">
      <c r="A4257" t="s">
        <v>27</v>
      </c>
      <c r="B4257" t="s">
        <v>82</v>
      </c>
      <c r="C4257" t="s">
        <v>913</v>
      </c>
      <c r="D4257" t="s">
        <v>1273</v>
      </c>
      <c r="E4257" t="s">
        <v>1789</v>
      </c>
      <c r="F4257">
        <v>4941552.56</v>
      </c>
    </row>
    <row r="4258" spans="1:6">
      <c r="A4258" t="s">
        <v>27</v>
      </c>
      <c r="B4258" t="s">
        <v>82</v>
      </c>
      <c r="C4258" t="s">
        <v>913</v>
      </c>
      <c r="D4258" t="s">
        <v>1273</v>
      </c>
      <c r="E4258" t="s">
        <v>1039</v>
      </c>
      <c r="F4258" t="s">
        <v>1292</v>
      </c>
    </row>
    <row r="4259" spans="1:6">
      <c r="A4259" t="s">
        <v>27</v>
      </c>
      <c r="B4259" t="s">
        <v>82</v>
      </c>
      <c r="C4259" t="s">
        <v>913</v>
      </c>
      <c r="D4259" t="s">
        <v>1273</v>
      </c>
      <c r="E4259" t="s">
        <v>1040</v>
      </c>
      <c r="F4259">
        <v>996867</v>
      </c>
    </row>
    <row r="4260" spans="1:6">
      <c r="A4260" t="s">
        <v>27</v>
      </c>
      <c r="B4260" t="s">
        <v>82</v>
      </c>
      <c r="C4260" t="s">
        <v>913</v>
      </c>
      <c r="D4260" t="s">
        <v>1273</v>
      </c>
      <c r="E4260" t="s">
        <v>1041</v>
      </c>
      <c r="F4260">
        <v>2976774</v>
      </c>
    </row>
    <row r="4261" spans="1:6">
      <c r="A4261" t="s">
        <v>27</v>
      </c>
      <c r="B4261" t="s">
        <v>82</v>
      </c>
      <c r="C4261" t="s">
        <v>913</v>
      </c>
      <c r="D4261" t="s">
        <v>1273</v>
      </c>
      <c r="E4261" t="s">
        <v>1047</v>
      </c>
      <c r="F4261">
        <v>2002</v>
      </c>
    </row>
    <row r="4262" spans="1:6">
      <c r="A4262" t="s">
        <v>27</v>
      </c>
      <c r="B4262" t="s">
        <v>82</v>
      </c>
      <c r="C4262" t="s">
        <v>913</v>
      </c>
      <c r="D4262" t="s">
        <v>1273</v>
      </c>
      <c r="E4262" t="s">
        <v>1048</v>
      </c>
      <c r="F4262">
        <v>5</v>
      </c>
    </row>
    <row r="4263" spans="1:6">
      <c r="A4263" t="s">
        <v>27</v>
      </c>
      <c r="B4263" t="s">
        <v>82</v>
      </c>
      <c r="C4263" t="s">
        <v>913</v>
      </c>
      <c r="D4263" t="s">
        <v>1273</v>
      </c>
      <c r="E4263" t="s">
        <v>1049</v>
      </c>
      <c r="F4263">
        <v>18.27</v>
      </c>
    </row>
    <row r="4264" spans="1:6">
      <c r="A4264" t="s">
        <v>27</v>
      </c>
      <c r="B4264" t="s">
        <v>82</v>
      </c>
      <c r="C4264" t="s">
        <v>913</v>
      </c>
      <c r="D4264" t="s">
        <v>1273</v>
      </c>
      <c r="E4264" t="s">
        <v>1525</v>
      </c>
      <c r="F4264">
        <v>2003</v>
      </c>
    </row>
    <row r="4265" spans="1:6">
      <c r="A4265" t="s">
        <v>27</v>
      </c>
      <c r="B4265" t="s">
        <v>82</v>
      </c>
      <c r="C4265" t="s">
        <v>913</v>
      </c>
      <c r="D4265" t="s">
        <v>1273</v>
      </c>
      <c r="E4265" t="s">
        <v>1526</v>
      </c>
      <c r="F4265">
        <v>7</v>
      </c>
    </row>
    <row r="4266" spans="1:6">
      <c r="A4266" t="s">
        <v>27</v>
      </c>
      <c r="B4266" t="s">
        <v>82</v>
      </c>
      <c r="C4266" t="s">
        <v>913</v>
      </c>
      <c r="D4266" t="s">
        <v>1273</v>
      </c>
      <c r="E4266" t="s">
        <v>1527</v>
      </c>
      <c r="F4266">
        <v>4.03</v>
      </c>
    </row>
    <row r="4267" spans="1:6">
      <c r="A4267" t="s">
        <v>27</v>
      </c>
      <c r="B4267" t="s">
        <v>82</v>
      </c>
      <c r="C4267" t="s">
        <v>913</v>
      </c>
      <c r="D4267" t="s">
        <v>1273</v>
      </c>
      <c r="E4267" t="s">
        <v>1111</v>
      </c>
      <c r="F4267" t="s">
        <v>1293</v>
      </c>
    </row>
    <row r="4268" spans="1:6">
      <c r="A4268" t="s">
        <v>27</v>
      </c>
      <c r="B4268" t="s">
        <v>82</v>
      </c>
      <c r="C4268" t="s">
        <v>913</v>
      </c>
      <c r="D4268" t="s">
        <v>1273</v>
      </c>
      <c r="E4268" t="s">
        <v>1113</v>
      </c>
      <c r="F4268" t="s">
        <v>1294</v>
      </c>
    </row>
    <row r="4269" spans="1:6">
      <c r="A4269" t="s">
        <v>27</v>
      </c>
      <c r="B4269" t="s">
        <v>82</v>
      </c>
      <c r="C4269" t="s">
        <v>913</v>
      </c>
      <c r="D4269" t="s">
        <v>1273</v>
      </c>
      <c r="E4269" t="s">
        <v>1114</v>
      </c>
      <c r="F4269">
        <v>1321</v>
      </c>
    </row>
    <row r="4270" spans="1:6">
      <c r="A4270" t="s">
        <v>27</v>
      </c>
      <c r="B4270" t="s">
        <v>82</v>
      </c>
      <c r="C4270" t="s">
        <v>913</v>
      </c>
      <c r="D4270" t="s">
        <v>1273</v>
      </c>
      <c r="E4270" t="s">
        <v>1115</v>
      </c>
      <c r="F4270">
        <v>68632</v>
      </c>
    </row>
    <row r="4271" spans="1:6">
      <c r="A4271" t="s">
        <v>27</v>
      </c>
      <c r="B4271" t="s">
        <v>82</v>
      </c>
      <c r="C4271" t="s">
        <v>913</v>
      </c>
      <c r="D4271" t="s">
        <v>1273</v>
      </c>
      <c r="E4271" t="s">
        <v>1790</v>
      </c>
      <c r="F4271">
        <v>2004</v>
      </c>
    </row>
    <row r="4272" spans="1:6">
      <c r="A4272" t="s">
        <v>27</v>
      </c>
      <c r="B4272" t="s">
        <v>82</v>
      </c>
      <c r="C4272" t="s">
        <v>913</v>
      </c>
      <c r="D4272" t="s">
        <v>1273</v>
      </c>
      <c r="E4272" t="s">
        <v>1791</v>
      </c>
      <c r="F4272">
        <v>32</v>
      </c>
    </row>
    <row r="4273" spans="1:6">
      <c r="A4273" t="s">
        <v>27</v>
      </c>
      <c r="B4273" t="s">
        <v>82</v>
      </c>
      <c r="C4273" t="s">
        <v>913</v>
      </c>
      <c r="D4273" t="s">
        <v>1273</v>
      </c>
      <c r="E4273" t="s">
        <v>1792</v>
      </c>
      <c r="F4273">
        <v>408.52</v>
      </c>
    </row>
    <row r="4274" spans="1:6">
      <c r="A4274" t="s">
        <v>27</v>
      </c>
      <c r="B4274" t="s">
        <v>82</v>
      </c>
      <c r="C4274" t="s">
        <v>913</v>
      </c>
      <c r="D4274" t="s">
        <v>1273</v>
      </c>
      <c r="E4274" t="s">
        <v>1118</v>
      </c>
      <c r="F4274">
        <v>2018</v>
      </c>
    </row>
    <row r="4275" spans="1:6">
      <c r="A4275" t="s">
        <v>27</v>
      </c>
      <c r="B4275" t="s">
        <v>82</v>
      </c>
      <c r="C4275" t="s">
        <v>913</v>
      </c>
      <c r="D4275" t="s">
        <v>1273</v>
      </c>
      <c r="E4275" t="s">
        <v>1119</v>
      </c>
      <c r="F4275">
        <v>817</v>
      </c>
    </row>
    <row r="4276" spans="1:6">
      <c r="A4276" t="s">
        <v>27</v>
      </c>
      <c r="B4276" t="s">
        <v>82</v>
      </c>
      <c r="C4276" t="s">
        <v>913</v>
      </c>
      <c r="D4276" t="s">
        <v>1273</v>
      </c>
      <c r="E4276" t="s">
        <v>1120</v>
      </c>
      <c r="F4276">
        <v>84026</v>
      </c>
    </row>
    <row r="4277" spans="1:6">
      <c r="A4277" t="s">
        <v>27</v>
      </c>
      <c r="B4277" t="s">
        <v>82</v>
      </c>
      <c r="C4277" t="s">
        <v>913</v>
      </c>
      <c r="D4277" t="s">
        <v>1273</v>
      </c>
      <c r="E4277" t="s">
        <v>1793</v>
      </c>
      <c r="F4277">
        <v>2005</v>
      </c>
    </row>
    <row r="4278" spans="1:6">
      <c r="A4278" t="s">
        <v>27</v>
      </c>
      <c r="B4278" t="s">
        <v>82</v>
      </c>
      <c r="C4278" t="s">
        <v>913</v>
      </c>
      <c r="D4278" t="s">
        <v>1273</v>
      </c>
      <c r="E4278" t="s">
        <v>1794</v>
      </c>
      <c r="F4278">
        <v>25</v>
      </c>
    </row>
    <row r="4279" spans="1:6">
      <c r="A4279" t="s">
        <v>27</v>
      </c>
      <c r="B4279" t="s">
        <v>82</v>
      </c>
      <c r="C4279" t="s">
        <v>913</v>
      </c>
      <c r="D4279" t="s">
        <v>1273</v>
      </c>
      <c r="E4279" t="s">
        <v>1795</v>
      </c>
      <c r="F4279">
        <v>322.6</v>
      </c>
    </row>
    <row r="4280" spans="1:6">
      <c r="A4280" t="s">
        <v>27</v>
      </c>
      <c r="B4280" t="s">
        <v>82</v>
      </c>
      <c r="C4280" t="s">
        <v>913</v>
      </c>
      <c r="D4280" t="s">
        <v>1273</v>
      </c>
      <c r="E4280" t="s">
        <v>1124</v>
      </c>
      <c r="F4280">
        <v>2019</v>
      </c>
    </row>
    <row r="4281" spans="1:6">
      <c r="A4281" t="s">
        <v>27</v>
      </c>
      <c r="B4281" t="s">
        <v>82</v>
      </c>
      <c r="C4281" t="s">
        <v>913</v>
      </c>
      <c r="D4281" t="s">
        <v>1273</v>
      </c>
      <c r="E4281" t="s">
        <v>1126</v>
      </c>
      <c r="F4281">
        <v>953</v>
      </c>
    </row>
    <row r="4282" spans="1:6">
      <c r="A4282" t="s">
        <v>27</v>
      </c>
      <c r="B4282" t="s">
        <v>82</v>
      </c>
      <c r="C4282" t="s">
        <v>913</v>
      </c>
      <c r="D4282" t="s">
        <v>1273</v>
      </c>
      <c r="E4282" t="s">
        <v>1127</v>
      </c>
      <c r="F4282">
        <v>100521</v>
      </c>
    </row>
    <row r="4283" spans="1:6">
      <c r="A4283" t="s">
        <v>27</v>
      </c>
      <c r="B4283" t="s">
        <v>82</v>
      </c>
      <c r="C4283" t="s">
        <v>913</v>
      </c>
      <c r="D4283" t="s">
        <v>1273</v>
      </c>
      <c r="E4283" t="s">
        <v>1359</v>
      </c>
      <c r="F4283">
        <v>2006</v>
      </c>
    </row>
    <row r="4284" spans="1:6">
      <c r="A4284" t="s">
        <v>27</v>
      </c>
      <c r="B4284" t="s">
        <v>82</v>
      </c>
      <c r="C4284" t="s">
        <v>913</v>
      </c>
      <c r="D4284" t="s">
        <v>1273</v>
      </c>
      <c r="E4284" t="s">
        <v>1360</v>
      </c>
      <c r="F4284">
        <v>11</v>
      </c>
    </row>
    <row r="4285" spans="1:6">
      <c r="A4285" t="s">
        <v>27</v>
      </c>
      <c r="B4285" t="s">
        <v>82</v>
      </c>
      <c r="C4285" t="s">
        <v>913</v>
      </c>
      <c r="D4285" t="s">
        <v>1273</v>
      </c>
      <c r="E4285" t="s">
        <v>1361</v>
      </c>
      <c r="F4285">
        <v>129.56</v>
      </c>
    </row>
    <row r="4286" spans="1:6">
      <c r="A4286" t="s">
        <v>27</v>
      </c>
      <c r="B4286" t="s">
        <v>82</v>
      </c>
      <c r="C4286" t="s">
        <v>913</v>
      </c>
      <c r="D4286" t="s">
        <v>1273</v>
      </c>
      <c r="E4286" t="s">
        <v>1057</v>
      </c>
      <c r="F4286">
        <v>2020</v>
      </c>
    </row>
    <row r="4287" spans="1:6">
      <c r="A4287" t="s">
        <v>27</v>
      </c>
      <c r="B4287" t="s">
        <v>82</v>
      </c>
      <c r="C4287" t="s">
        <v>913</v>
      </c>
      <c r="D4287" t="s">
        <v>1273</v>
      </c>
      <c r="E4287" t="s">
        <v>1058</v>
      </c>
      <c r="F4287">
        <v>752</v>
      </c>
    </row>
    <row r="4288" spans="1:6">
      <c r="A4288" t="s">
        <v>27</v>
      </c>
      <c r="B4288" t="s">
        <v>82</v>
      </c>
      <c r="C4288" t="s">
        <v>913</v>
      </c>
      <c r="D4288" t="s">
        <v>1273</v>
      </c>
      <c r="E4288" t="s">
        <v>1059</v>
      </c>
      <c r="F4288">
        <v>75096</v>
      </c>
    </row>
    <row r="4289" spans="1:6">
      <c r="A4289" t="s">
        <v>27</v>
      </c>
      <c r="B4289" t="s">
        <v>82</v>
      </c>
      <c r="C4289" t="s">
        <v>913</v>
      </c>
      <c r="D4289" t="s">
        <v>1273</v>
      </c>
      <c r="E4289" t="s">
        <v>1065</v>
      </c>
      <c r="F4289">
        <v>2007</v>
      </c>
    </row>
    <row r="4290" spans="1:6">
      <c r="A4290" t="s">
        <v>27</v>
      </c>
      <c r="B4290" t="s">
        <v>82</v>
      </c>
      <c r="C4290" t="s">
        <v>913</v>
      </c>
      <c r="D4290" t="s">
        <v>1273</v>
      </c>
      <c r="E4290" t="s">
        <v>1067</v>
      </c>
      <c r="F4290">
        <v>27</v>
      </c>
    </row>
    <row r="4291" spans="1:6">
      <c r="A4291" t="s">
        <v>27</v>
      </c>
      <c r="B4291" t="s">
        <v>82</v>
      </c>
      <c r="C4291" t="s">
        <v>913</v>
      </c>
      <c r="D4291" t="s">
        <v>1273</v>
      </c>
      <c r="E4291" t="s">
        <v>1068</v>
      </c>
      <c r="F4291">
        <v>1118.35</v>
      </c>
    </row>
    <row r="4292" spans="1:6">
      <c r="A4292" t="s">
        <v>27</v>
      </c>
      <c r="B4292" t="s">
        <v>82</v>
      </c>
      <c r="C4292" t="s">
        <v>913</v>
      </c>
      <c r="D4292" t="s">
        <v>1273</v>
      </c>
      <c r="E4292" t="s">
        <v>1072</v>
      </c>
      <c r="F4292">
        <v>2021</v>
      </c>
    </row>
    <row r="4293" spans="1:6">
      <c r="A4293" t="s">
        <v>27</v>
      </c>
      <c r="B4293" t="s">
        <v>82</v>
      </c>
      <c r="C4293" t="s">
        <v>913</v>
      </c>
      <c r="D4293" t="s">
        <v>1273</v>
      </c>
      <c r="E4293" t="s">
        <v>1133</v>
      </c>
      <c r="F4293">
        <v>727</v>
      </c>
    </row>
    <row r="4294" spans="1:6">
      <c r="A4294" t="s">
        <v>27</v>
      </c>
      <c r="B4294" t="s">
        <v>82</v>
      </c>
      <c r="C4294" t="s">
        <v>913</v>
      </c>
      <c r="D4294" t="s">
        <v>1273</v>
      </c>
      <c r="E4294" t="s">
        <v>1134</v>
      </c>
      <c r="F4294">
        <v>86007</v>
      </c>
    </row>
    <row r="4295" spans="1:6">
      <c r="A4295" t="s">
        <v>27</v>
      </c>
      <c r="B4295" t="s">
        <v>82</v>
      </c>
      <c r="C4295" t="s">
        <v>913</v>
      </c>
      <c r="D4295" t="s">
        <v>1273</v>
      </c>
      <c r="E4295" t="s">
        <v>1533</v>
      </c>
      <c r="F4295">
        <v>2008</v>
      </c>
    </row>
    <row r="4296" spans="1:6">
      <c r="A4296" t="s">
        <v>27</v>
      </c>
      <c r="B4296" t="s">
        <v>82</v>
      </c>
      <c r="C4296" t="s">
        <v>913</v>
      </c>
      <c r="D4296" t="s">
        <v>1273</v>
      </c>
      <c r="E4296" t="s">
        <v>1534</v>
      </c>
      <c r="F4296">
        <v>105</v>
      </c>
    </row>
    <row r="4297" spans="1:6">
      <c r="A4297" t="s">
        <v>27</v>
      </c>
      <c r="B4297" t="s">
        <v>82</v>
      </c>
      <c r="C4297" t="s">
        <v>913</v>
      </c>
      <c r="D4297" t="s">
        <v>1273</v>
      </c>
      <c r="E4297" t="s">
        <v>1535</v>
      </c>
      <c r="F4297">
        <v>1292.83</v>
      </c>
    </row>
    <row r="4298" spans="1:6">
      <c r="A4298" t="s">
        <v>27</v>
      </c>
      <c r="B4298" t="s">
        <v>82</v>
      </c>
      <c r="C4298" t="s">
        <v>913</v>
      </c>
      <c r="D4298" t="s">
        <v>1273</v>
      </c>
      <c r="E4298" t="s">
        <v>1074</v>
      </c>
      <c r="F4298">
        <v>2022</v>
      </c>
    </row>
    <row r="4299" spans="1:6">
      <c r="A4299" t="s">
        <v>27</v>
      </c>
      <c r="B4299" t="s">
        <v>82</v>
      </c>
      <c r="C4299" t="s">
        <v>913</v>
      </c>
      <c r="D4299" t="s">
        <v>1273</v>
      </c>
      <c r="E4299" t="s">
        <v>1296</v>
      </c>
      <c r="F4299">
        <v>1294</v>
      </c>
    </row>
    <row r="4300" spans="1:6">
      <c r="A4300" t="s">
        <v>27</v>
      </c>
      <c r="B4300" t="s">
        <v>82</v>
      </c>
      <c r="C4300" t="s">
        <v>913</v>
      </c>
      <c r="D4300" t="s">
        <v>1273</v>
      </c>
      <c r="E4300" t="s">
        <v>1297</v>
      </c>
      <c r="F4300">
        <v>114129</v>
      </c>
    </row>
    <row r="4301" spans="1:6">
      <c r="A4301" t="s">
        <v>27</v>
      </c>
      <c r="B4301" t="s">
        <v>82</v>
      </c>
      <c r="C4301" t="s">
        <v>913</v>
      </c>
      <c r="D4301" t="s">
        <v>1273</v>
      </c>
      <c r="E4301" t="s">
        <v>1369</v>
      </c>
      <c r="F4301">
        <v>2009</v>
      </c>
    </row>
    <row r="4302" spans="1:6">
      <c r="A4302" t="s">
        <v>27</v>
      </c>
      <c r="B4302" t="s">
        <v>82</v>
      </c>
      <c r="C4302" t="s">
        <v>913</v>
      </c>
      <c r="D4302" t="s">
        <v>1273</v>
      </c>
      <c r="E4302" t="s">
        <v>1370</v>
      </c>
      <c r="F4302">
        <v>64</v>
      </c>
    </row>
    <row r="4303" spans="1:6">
      <c r="A4303" t="s">
        <v>27</v>
      </c>
      <c r="B4303" t="s">
        <v>82</v>
      </c>
      <c r="C4303" t="s">
        <v>913</v>
      </c>
      <c r="D4303" t="s">
        <v>1273</v>
      </c>
      <c r="E4303" t="s">
        <v>1371</v>
      </c>
      <c r="F4303">
        <v>5549.39</v>
      </c>
    </row>
    <row r="4304" spans="1:6">
      <c r="A4304" t="s">
        <v>27</v>
      </c>
      <c r="B4304" t="s">
        <v>82</v>
      </c>
      <c r="C4304" t="s">
        <v>913</v>
      </c>
      <c r="D4304" t="s">
        <v>1273</v>
      </c>
      <c r="E4304" t="s">
        <v>1076</v>
      </c>
      <c r="F4304">
        <v>2023</v>
      </c>
    </row>
    <row r="4305" spans="1:6">
      <c r="A4305" t="s">
        <v>27</v>
      </c>
      <c r="B4305" t="s">
        <v>82</v>
      </c>
      <c r="C4305" t="s">
        <v>913</v>
      </c>
      <c r="D4305" t="s">
        <v>1273</v>
      </c>
      <c r="E4305" t="s">
        <v>1077</v>
      </c>
      <c r="F4305">
        <v>3922</v>
      </c>
    </row>
    <row r="4306" spans="1:6">
      <c r="A4306" t="s">
        <v>27</v>
      </c>
      <c r="B4306" t="s">
        <v>82</v>
      </c>
      <c r="C4306" t="s">
        <v>913</v>
      </c>
      <c r="D4306" t="s">
        <v>1273</v>
      </c>
      <c r="E4306" t="s">
        <v>1078</v>
      </c>
      <c r="F4306">
        <v>206890</v>
      </c>
    </row>
    <row r="4307" spans="1:6">
      <c r="A4307" t="s">
        <v>27</v>
      </c>
      <c r="B4307" t="s">
        <v>82</v>
      </c>
      <c r="C4307" t="s">
        <v>913</v>
      </c>
      <c r="D4307" t="s">
        <v>1273</v>
      </c>
      <c r="E4307" t="s">
        <v>1084</v>
      </c>
      <c r="F4307">
        <v>2010</v>
      </c>
    </row>
    <row r="4308" spans="1:6">
      <c r="A4308" t="s">
        <v>27</v>
      </c>
      <c r="B4308" t="s">
        <v>82</v>
      </c>
      <c r="C4308" t="s">
        <v>913</v>
      </c>
      <c r="D4308" t="s">
        <v>1273</v>
      </c>
      <c r="E4308" t="s">
        <v>1085</v>
      </c>
      <c r="F4308">
        <v>46</v>
      </c>
    </row>
    <row r="4309" spans="1:6">
      <c r="A4309" t="s">
        <v>27</v>
      </c>
      <c r="B4309" t="s">
        <v>82</v>
      </c>
      <c r="C4309" t="s">
        <v>913</v>
      </c>
      <c r="D4309" t="s">
        <v>1273</v>
      </c>
      <c r="E4309" t="s">
        <v>1086</v>
      </c>
      <c r="F4309">
        <v>2943.78</v>
      </c>
    </row>
    <row r="4310" spans="1:6">
      <c r="A4310" t="s">
        <v>27</v>
      </c>
      <c r="B4310" t="s">
        <v>82</v>
      </c>
      <c r="C4310" t="s">
        <v>913</v>
      </c>
      <c r="D4310" t="s">
        <v>1273</v>
      </c>
      <c r="E4310" t="s">
        <v>1090</v>
      </c>
      <c r="F4310">
        <v>2024</v>
      </c>
    </row>
    <row r="4311" spans="1:6">
      <c r="A4311" t="s">
        <v>27</v>
      </c>
      <c r="B4311" t="s">
        <v>82</v>
      </c>
      <c r="C4311" t="s">
        <v>913</v>
      </c>
      <c r="D4311" t="s">
        <v>1273</v>
      </c>
      <c r="E4311" t="s">
        <v>1139</v>
      </c>
      <c r="F4311">
        <v>10013</v>
      </c>
    </row>
    <row r="4312" spans="1:6">
      <c r="A4312" t="s">
        <v>27</v>
      </c>
      <c r="B4312" t="s">
        <v>82</v>
      </c>
      <c r="C4312" t="s">
        <v>913</v>
      </c>
      <c r="D4312" t="s">
        <v>1273</v>
      </c>
      <c r="E4312" t="s">
        <v>1140</v>
      </c>
      <c r="F4312">
        <v>760202</v>
      </c>
    </row>
    <row r="4313" spans="1:6">
      <c r="A4313" t="s">
        <v>27</v>
      </c>
      <c r="B4313" t="s">
        <v>82</v>
      </c>
      <c r="C4313" t="s">
        <v>913</v>
      </c>
      <c r="D4313" t="s">
        <v>1273</v>
      </c>
      <c r="E4313" t="s">
        <v>1541</v>
      </c>
      <c r="F4313">
        <v>2011</v>
      </c>
    </row>
    <row r="4314" spans="1:6">
      <c r="A4314" t="s">
        <v>27</v>
      </c>
      <c r="B4314" t="s">
        <v>82</v>
      </c>
      <c r="C4314" t="s">
        <v>913</v>
      </c>
      <c r="D4314" t="s">
        <v>1273</v>
      </c>
      <c r="E4314" t="s">
        <v>1542</v>
      </c>
      <c r="F4314">
        <v>41</v>
      </c>
    </row>
    <row r="4315" spans="1:6">
      <c r="A4315" t="s">
        <v>27</v>
      </c>
      <c r="B4315" t="s">
        <v>82</v>
      </c>
      <c r="C4315" t="s">
        <v>913</v>
      </c>
      <c r="D4315" t="s">
        <v>1273</v>
      </c>
      <c r="E4315" t="s">
        <v>1543</v>
      </c>
      <c r="F4315">
        <v>4640.97</v>
      </c>
    </row>
    <row r="4316" spans="1:6">
      <c r="A4316" t="s">
        <v>27</v>
      </c>
      <c r="B4316" t="s">
        <v>82</v>
      </c>
      <c r="C4316" t="s">
        <v>913</v>
      </c>
      <c r="D4316" t="s">
        <v>1273</v>
      </c>
      <c r="E4316" t="s">
        <v>1298</v>
      </c>
      <c r="F4316">
        <v>2025</v>
      </c>
    </row>
    <row r="4317" spans="1:6">
      <c r="A4317" t="s">
        <v>27</v>
      </c>
      <c r="B4317" t="s">
        <v>82</v>
      </c>
      <c r="C4317" t="s">
        <v>913</v>
      </c>
      <c r="D4317" t="s">
        <v>1273</v>
      </c>
      <c r="E4317" t="s">
        <v>1299</v>
      </c>
      <c r="F4317">
        <v>16652</v>
      </c>
    </row>
    <row r="4318" spans="1:6">
      <c r="A4318" t="s">
        <v>27</v>
      </c>
      <c r="B4318" t="s">
        <v>82</v>
      </c>
      <c r="C4318" t="s">
        <v>913</v>
      </c>
      <c r="D4318" t="s">
        <v>1273</v>
      </c>
      <c r="E4318" t="s">
        <v>1300</v>
      </c>
      <c r="F4318">
        <v>626503</v>
      </c>
    </row>
    <row r="4319" spans="1:6">
      <c r="A4319" t="s">
        <v>27</v>
      </c>
      <c r="B4319" t="s">
        <v>82</v>
      </c>
      <c r="C4319" t="s">
        <v>913</v>
      </c>
      <c r="D4319" t="s">
        <v>1273</v>
      </c>
      <c r="E4319" t="s">
        <v>1796</v>
      </c>
      <c r="F4319">
        <v>2012</v>
      </c>
    </row>
    <row r="4320" spans="1:6">
      <c r="A4320" t="s">
        <v>27</v>
      </c>
      <c r="B4320" t="s">
        <v>82</v>
      </c>
      <c r="C4320" t="s">
        <v>913</v>
      </c>
      <c r="D4320" t="s">
        <v>1273</v>
      </c>
      <c r="E4320" t="s">
        <v>1797</v>
      </c>
      <c r="F4320">
        <v>19</v>
      </c>
    </row>
    <row r="4321" spans="1:6">
      <c r="A4321" t="s">
        <v>27</v>
      </c>
      <c r="B4321" t="s">
        <v>82</v>
      </c>
      <c r="C4321" t="s">
        <v>913</v>
      </c>
      <c r="D4321" t="s">
        <v>1273</v>
      </c>
      <c r="E4321" t="s">
        <v>1582</v>
      </c>
      <c r="F4321">
        <v>2290.92</v>
      </c>
    </row>
    <row r="4322" spans="1:6">
      <c r="A4322" t="s">
        <v>27</v>
      </c>
      <c r="B4322" t="s">
        <v>82</v>
      </c>
      <c r="C4322" t="s">
        <v>913</v>
      </c>
      <c r="D4322" t="s">
        <v>1273</v>
      </c>
      <c r="E4322" t="s">
        <v>1301</v>
      </c>
      <c r="F4322">
        <v>2026</v>
      </c>
    </row>
    <row r="4323" spans="1:6">
      <c r="A4323" t="s">
        <v>27</v>
      </c>
      <c r="B4323" t="s">
        <v>82</v>
      </c>
      <c r="C4323" t="s">
        <v>913</v>
      </c>
      <c r="D4323" t="s">
        <v>1273</v>
      </c>
      <c r="E4323" t="s">
        <v>1302</v>
      </c>
      <c r="F4323">
        <v>17246</v>
      </c>
    </row>
    <row r="4324" spans="1:6">
      <c r="A4324" t="s">
        <v>27</v>
      </c>
      <c r="B4324" t="s">
        <v>82</v>
      </c>
      <c r="C4324" t="s">
        <v>913</v>
      </c>
      <c r="D4324" t="s">
        <v>1273</v>
      </c>
      <c r="E4324" t="s">
        <v>1303</v>
      </c>
      <c r="F4324">
        <v>854768</v>
      </c>
    </row>
    <row r="4325" spans="1:6">
      <c r="A4325" t="s">
        <v>27</v>
      </c>
      <c r="B4325" t="s">
        <v>82</v>
      </c>
      <c r="C4325" t="s">
        <v>913</v>
      </c>
      <c r="D4325" t="s">
        <v>1273</v>
      </c>
      <c r="E4325" t="s">
        <v>1798</v>
      </c>
      <c r="F4325">
        <v>2013</v>
      </c>
    </row>
    <row r="4326" spans="1:6">
      <c r="A4326" t="s">
        <v>27</v>
      </c>
      <c r="B4326" t="s">
        <v>82</v>
      </c>
      <c r="C4326" t="s">
        <v>913</v>
      </c>
      <c r="D4326" t="s">
        <v>1273</v>
      </c>
      <c r="E4326" t="s">
        <v>1799</v>
      </c>
      <c r="F4326">
        <v>50</v>
      </c>
    </row>
    <row r="4327" spans="1:6">
      <c r="A4327" t="s">
        <v>27</v>
      </c>
      <c r="B4327" t="s">
        <v>82</v>
      </c>
      <c r="C4327" t="s">
        <v>913</v>
      </c>
      <c r="D4327" t="s">
        <v>1273</v>
      </c>
      <c r="E4327" t="s">
        <v>1602</v>
      </c>
      <c r="F4327">
        <v>2201.56</v>
      </c>
    </row>
    <row r="4328" spans="1:6">
      <c r="A4328" t="s">
        <v>27</v>
      </c>
      <c r="B4328" t="s">
        <v>82</v>
      </c>
      <c r="C4328" t="s">
        <v>913</v>
      </c>
      <c r="D4328" t="s">
        <v>1273</v>
      </c>
      <c r="E4328" t="s">
        <v>1392</v>
      </c>
      <c r="F4328" t="s">
        <v>1292</v>
      </c>
    </row>
    <row r="4329" spans="1:6">
      <c r="A4329" t="s">
        <v>27</v>
      </c>
      <c r="B4329" t="s">
        <v>82</v>
      </c>
      <c r="C4329" t="s">
        <v>913</v>
      </c>
      <c r="D4329" t="s">
        <v>1273</v>
      </c>
      <c r="E4329" t="s">
        <v>1393</v>
      </c>
      <c r="F4329">
        <v>53697</v>
      </c>
    </row>
    <row r="4330" spans="1:6">
      <c r="A4330" t="s">
        <v>27</v>
      </c>
      <c r="B4330" t="s">
        <v>82</v>
      </c>
      <c r="C4330" t="s">
        <v>913</v>
      </c>
      <c r="D4330" t="s">
        <v>1273</v>
      </c>
      <c r="E4330" t="s">
        <v>1394</v>
      </c>
      <c r="F4330">
        <v>2976774</v>
      </c>
    </row>
    <row r="4331" spans="1:6">
      <c r="A4331" t="s">
        <v>27</v>
      </c>
      <c r="B4331" t="s">
        <v>82</v>
      </c>
      <c r="C4331" t="s">
        <v>913</v>
      </c>
      <c r="D4331" t="s">
        <v>1273</v>
      </c>
      <c r="E4331" t="s">
        <v>1800</v>
      </c>
      <c r="F4331">
        <v>2014</v>
      </c>
    </row>
    <row r="4332" spans="1:6">
      <c r="A4332" t="s">
        <v>27</v>
      </c>
      <c r="B4332" t="s">
        <v>82</v>
      </c>
      <c r="C4332" t="s">
        <v>913</v>
      </c>
      <c r="D4332" t="s">
        <v>1273</v>
      </c>
      <c r="E4332" t="s">
        <v>1801</v>
      </c>
      <c r="F4332">
        <v>71</v>
      </c>
    </row>
    <row r="4333" spans="1:6">
      <c r="A4333" t="s">
        <v>27</v>
      </c>
      <c r="B4333" t="s">
        <v>82</v>
      </c>
      <c r="C4333" t="s">
        <v>913</v>
      </c>
      <c r="D4333" t="s">
        <v>1273</v>
      </c>
      <c r="E4333" t="s">
        <v>1802</v>
      </c>
      <c r="F4333">
        <v>2681.42</v>
      </c>
    </row>
    <row r="4334" spans="1:6">
      <c r="A4334" t="s">
        <v>27</v>
      </c>
      <c r="B4334" t="s">
        <v>82</v>
      </c>
      <c r="C4334" t="s">
        <v>913</v>
      </c>
      <c r="D4334" t="s">
        <v>1273</v>
      </c>
      <c r="E4334" t="s">
        <v>1803</v>
      </c>
      <c r="F4334">
        <v>2015</v>
      </c>
    </row>
    <row r="4335" spans="1:6">
      <c r="A4335" t="s">
        <v>27</v>
      </c>
      <c r="B4335" t="s">
        <v>82</v>
      </c>
      <c r="C4335" t="s">
        <v>913</v>
      </c>
      <c r="D4335" t="s">
        <v>1273</v>
      </c>
      <c r="E4335" t="s">
        <v>1804</v>
      </c>
      <c r="F4335">
        <v>79</v>
      </c>
    </row>
    <row r="4336" spans="1:6">
      <c r="A4336" t="s">
        <v>27</v>
      </c>
      <c r="B4336" t="s">
        <v>82</v>
      </c>
      <c r="C4336" t="s">
        <v>913</v>
      </c>
      <c r="D4336" t="s">
        <v>1273</v>
      </c>
      <c r="E4336" t="s">
        <v>1614</v>
      </c>
      <c r="F4336">
        <v>1153.74</v>
      </c>
    </row>
    <row r="4337" spans="1:6">
      <c r="A4337" t="s">
        <v>27</v>
      </c>
      <c r="B4337" t="s">
        <v>82</v>
      </c>
      <c r="C4337" t="s">
        <v>913</v>
      </c>
      <c r="D4337" t="s">
        <v>1273</v>
      </c>
      <c r="E4337" t="s">
        <v>1805</v>
      </c>
      <c r="F4337">
        <v>2016</v>
      </c>
    </row>
    <row r="4338" spans="1:6">
      <c r="A4338" t="s">
        <v>27</v>
      </c>
      <c r="B4338" t="s">
        <v>82</v>
      </c>
      <c r="C4338" t="s">
        <v>913</v>
      </c>
      <c r="D4338" t="s">
        <v>1273</v>
      </c>
      <c r="E4338" t="s">
        <v>1806</v>
      </c>
      <c r="F4338">
        <v>218</v>
      </c>
    </row>
    <row r="4339" spans="1:6">
      <c r="A4339" t="s">
        <v>27</v>
      </c>
      <c r="B4339" t="s">
        <v>82</v>
      </c>
      <c r="C4339" t="s">
        <v>913</v>
      </c>
      <c r="D4339" t="s">
        <v>1273</v>
      </c>
      <c r="E4339" t="s">
        <v>1807</v>
      </c>
      <c r="F4339">
        <v>13255.77</v>
      </c>
    </row>
    <row r="4340" spans="1:6">
      <c r="A4340" t="s">
        <v>27</v>
      </c>
      <c r="B4340" t="s">
        <v>82</v>
      </c>
      <c r="C4340" t="s">
        <v>913</v>
      </c>
      <c r="D4340" t="s">
        <v>1273</v>
      </c>
      <c r="E4340" t="s">
        <v>1808</v>
      </c>
      <c r="F4340">
        <v>2017</v>
      </c>
    </row>
    <row r="4341" spans="1:6">
      <c r="A4341" t="s">
        <v>27</v>
      </c>
      <c r="B4341" t="s">
        <v>82</v>
      </c>
      <c r="C4341" t="s">
        <v>913</v>
      </c>
      <c r="D4341" t="s">
        <v>1273</v>
      </c>
      <c r="E4341" t="s">
        <v>1809</v>
      </c>
      <c r="F4341">
        <v>549</v>
      </c>
    </row>
    <row r="4342" spans="1:6">
      <c r="A4342" t="s">
        <v>27</v>
      </c>
      <c r="B4342" t="s">
        <v>82</v>
      </c>
      <c r="C4342" t="s">
        <v>913</v>
      </c>
      <c r="D4342" t="s">
        <v>1273</v>
      </c>
      <c r="E4342" t="s">
        <v>1626</v>
      </c>
      <c r="F4342">
        <v>37921.82</v>
      </c>
    </row>
    <row r="4343" spans="1:6">
      <c r="A4343" t="s">
        <v>27</v>
      </c>
      <c r="B4343" t="s">
        <v>82</v>
      </c>
      <c r="C4343" t="s">
        <v>913</v>
      </c>
      <c r="D4343" t="s">
        <v>1273</v>
      </c>
      <c r="E4343" t="s">
        <v>1810</v>
      </c>
      <c r="F4343">
        <v>2018</v>
      </c>
    </row>
    <row r="4344" spans="1:6">
      <c r="A4344" t="s">
        <v>27</v>
      </c>
      <c r="B4344" t="s">
        <v>82</v>
      </c>
      <c r="C4344" t="s">
        <v>913</v>
      </c>
      <c r="D4344" t="s">
        <v>1273</v>
      </c>
      <c r="E4344" t="s">
        <v>1811</v>
      </c>
      <c r="F4344">
        <v>897</v>
      </c>
    </row>
    <row r="4345" spans="1:6">
      <c r="A4345" t="s">
        <v>27</v>
      </c>
      <c r="B4345" t="s">
        <v>82</v>
      </c>
      <c r="C4345" t="s">
        <v>913</v>
      </c>
      <c r="D4345" t="s">
        <v>1273</v>
      </c>
      <c r="E4345" t="s">
        <v>1812</v>
      </c>
      <c r="F4345">
        <v>101705.91</v>
      </c>
    </row>
    <row r="4346" spans="1:6">
      <c r="A4346" t="s">
        <v>27</v>
      </c>
      <c r="B4346" t="s">
        <v>82</v>
      </c>
      <c r="C4346" t="s">
        <v>913</v>
      </c>
      <c r="D4346" t="s">
        <v>1273</v>
      </c>
      <c r="E4346" t="s">
        <v>1813</v>
      </c>
      <c r="F4346">
        <v>2019</v>
      </c>
    </row>
    <row r="4347" spans="1:6">
      <c r="A4347" t="s">
        <v>27</v>
      </c>
      <c r="B4347" t="s">
        <v>82</v>
      </c>
      <c r="C4347" t="s">
        <v>913</v>
      </c>
      <c r="D4347" t="s">
        <v>1273</v>
      </c>
      <c r="E4347" t="s">
        <v>1814</v>
      </c>
      <c r="F4347">
        <v>1127</v>
      </c>
    </row>
    <row r="4348" spans="1:6">
      <c r="A4348" t="s">
        <v>27</v>
      </c>
      <c r="B4348" t="s">
        <v>82</v>
      </c>
      <c r="C4348" t="s">
        <v>913</v>
      </c>
      <c r="D4348" t="s">
        <v>1273</v>
      </c>
      <c r="E4348" t="s">
        <v>1638</v>
      </c>
      <c r="F4348">
        <v>130036.37</v>
      </c>
    </row>
    <row r="4349" spans="1:6">
      <c r="A4349" t="s">
        <v>27</v>
      </c>
      <c r="B4349" t="s">
        <v>82</v>
      </c>
      <c r="C4349" t="s">
        <v>913</v>
      </c>
      <c r="D4349" t="s">
        <v>1273</v>
      </c>
      <c r="E4349" t="s">
        <v>1815</v>
      </c>
      <c r="F4349">
        <v>2020</v>
      </c>
    </row>
    <row r="4350" spans="1:6">
      <c r="A4350" t="s">
        <v>27</v>
      </c>
      <c r="B4350" t="s">
        <v>82</v>
      </c>
      <c r="C4350" t="s">
        <v>913</v>
      </c>
      <c r="D4350" t="s">
        <v>1273</v>
      </c>
      <c r="E4350" t="s">
        <v>1816</v>
      </c>
      <c r="F4350">
        <v>896</v>
      </c>
    </row>
    <row r="4351" spans="1:6">
      <c r="A4351" t="s">
        <v>27</v>
      </c>
      <c r="B4351" t="s">
        <v>82</v>
      </c>
      <c r="C4351" t="s">
        <v>913</v>
      </c>
      <c r="D4351" t="s">
        <v>1273</v>
      </c>
      <c r="E4351" t="s">
        <v>1817</v>
      </c>
      <c r="F4351">
        <v>90594.3</v>
      </c>
    </row>
    <row r="4352" spans="1:6">
      <c r="A4352" t="s">
        <v>27</v>
      </c>
      <c r="B4352" t="s">
        <v>82</v>
      </c>
      <c r="C4352" t="s">
        <v>913</v>
      </c>
      <c r="D4352" t="s">
        <v>1273</v>
      </c>
      <c r="E4352" t="s">
        <v>1818</v>
      </c>
      <c r="F4352">
        <v>2021</v>
      </c>
    </row>
    <row r="4353" spans="1:6">
      <c r="A4353" t="s">
        <v>27</v>
      </c>
      <c r="B4353" t="s">
        <v>82</v>
      </c>
      <c r="C4353" t="s">
        <v>913</v>
      </c>
      <c r="D4353" t="s">
        <v>1273</v>
      </c>
      <c r="E4353" t="s">
        <v>1819</v>
      </c>
      <c r="F4353">
        <v>852</v>
      </c>
    </row>
    <row r="4354" spans="1:6">
      <c r="A4354" t="s">
        <v>27</v>
      </c>
      <c r="B4354" t="s">
        <v>82</v>
      </c>
      <c r="C4354" t="s">
        <v>913</v>
      </c>
      <c r="D4354" t="s">
        <v>1273</v>
      </c>
      <c r="E4354" t="s">
        <v>1650</v>
      </c>
      <c r="F4354">
        <v>111906.04</v>
      </c>
    </row>
    <row r="4355" spans="1:6">
      <c r="A4355" t="s">
        <v>27</v>
      </c>
      <c r="B4355" t="s">
        <v>82</v>
      </c>
      <c r="C4355" t="s">
        <v>913</v>
      </c>
      <c r="D4355" t="s">
        <v>1273</v>
      </c>
      <c r="E4355" t="s">
        <v>1820</v>
      </c>
      <c r="F4355">
        <v>2022</v>
      </c>
    </row>
    <row r="4356" spans="1:6">
      <c r="A4356" t="s">
        <v>27</v>
      </c>
      <c r="B4356" t="s">
        <v>82</v>
      </c>
      <c r="C4356" t="s">
        <v>913</v>
      </c>
      <c r="D4356" t="s">
        <v>1273</v>
      </c>
      <c r="E4356" t="s">
        <v>1821</v>
      </c>
      <c r="F4356">
        <v>1413</v>
      </c>
    </row>
    <row r="4357" spans="1:6">
      <c r="A4357" t="s">
        <v>27</v>
      </c>
      <c r="B4357" t="s">
        <v>82</v>
      </c>
      <c r="C4357" t="s">
        <v>913</v>
      </c>
      <c r="D4357" t="s">
        <v>1273</v>
      </c>
      <c r="E4357" t="s">
        <v>1822</v>
      </c>
      <c r="F4357">
        <v>146490.43</v>
      </c>
    </row>
    <row r="4358" spans="1:6">
      <c r="A4358" t="s">
        <v>27</v>
      </c>
      <c r="B4358" t="s">
        <v>82</v>
      </c>
      <c r="C4358" t="s">
        <v>913</v>
      </c>
      <c r="D4358" t="s">
        <v>1273</v>
      </c>
      <c r="E4358" t="s">
        <v>1823</v>
      </c>
      <c r="F4358">
        <v>2023</v>
      </c>
    </row>
    <row r="4359" spans="1:6">
      <c r="A4359" t="s">
        <v>27</v>
      </c>
      <c r="B4359" t="s">
        <v>82</v>
      </c>
      <c r="C4359" t="s">
        <v>913</v>
      </c>
      <c r="D4359" t="s">
        <v>1273</v>
      </c>
      <c r="E4359" t="s">
        <v>1824</v>
      </c>
      <c r="F4359">
        <v>4165</v>
      </c>
    </row>
    <row r="4360" spans="1:6">
      <c r="A4360" t="s">
        <v>27</v>
      </c>
      <c r="B4360" t="s">
        <v>82</v>
      </c>
      <c r="C4360" t="s">
        <v>913</v>
      </c>
      <c r="D4360" t="s">
        <v>1273</v>
      </c>
      <c r="E4360" t="s">
        <v>1662</v>
      </c>
      <c r="F4360">
        <v>231646.76</v>
      </c>
    </row>
    <row r="4361" spans="1:6">
      <c r="A4361" t="s">
        <v>27</v>
      </c>
      <c r="B4361" t="s">
        <v>82</v>
      </c>
      <c r="C4361" t="s">
        <v>913</v>
      </c>
      <c r="D4361" t="s">
        <v>1273</v>
      </c>
      <c r="E4361" t="s">
        <v>1825</v>
      </c>
      <c r="F4361">
        <v>2024</v>
      </c>
    </row>
    <row r="4362" spans="1:6">
      <c r="A4362" t="s">
        <v>27</v>
      </c>
      <c r="B4362" t="s">
        <v>82</v>
      </c>
      <c r="C4362" t="s">
        <v>913</v>
      </c>
      <c r="D4362" t="s">
        <v>1273</v>
      </c>
      <c r="E4362" t="s">
        <v>1826</v>
      </c>
      <c r="F4362">
        <v>13394</v>
      </c>
    </row>
    <row r="4363" spans="1:6">
      <c r="A4363" t="s">
        <v>27</v>
      </c>
      <c r="B4363" t="s">
        <v>82</v>
      </c>
      <c r="C4363" t="s">
        <v>913</v>
      </c>
      <c r="D4363" t="s">
        <v>1273</v>
      </c>
      <c r="E4363" t="s">
        <v>1827</v>
      </c>
      <c r="F4363">
        <v>1031735.49</v>
      </c>
    </row>
    <row r="4364" spans="1:6">
      <c r="A4364" t="s">
        <v>27</v>
      </c>
      <c r="B4364" t="s">
        <v>82</v>
      </c>
      <c r="C4364" t="s">
        <v>913</v>
      </c>
      <c r="D4364" t="s">
        <v>1273</v>
      </c>
      <c r="E4364" t="s">
        <v>1828</v>
      </c>
      <c r="F4364">
        <v>2025</v>
      </c>
    </row>
    <row r="4365" spans="1:6">
      <c r="A4365" t="s">
        <v>27</v>
      </c>
      <c r="B4365" t="s">
        <v>82</v>
      </c>
      <c r="C4365" t="s">
        <v>913</v>
      </c>
      <c r="D4365" t="s">
        <v>1273</v>
      </c>
      <c r="E4365" t="s">
        <v>1829</v>
      </c>
      <c r="F4365">
        <v>23508</v>
      </c>
    </row>
    <row r="4366" spans="1:6">
      <c r="A4366" t="s">
        <v>27</v>
      </c>
      <c r="B4366" t="s">
        <v>82</v>
      </c>
      <c r="C4366" t="s">
        <v>913</v>
      </c>
      <c r="D4366" t="s">
        <v>1273</v>
      </c>
      <c r="E4366" t="s">
        <v>1674</v>
      </c>
      <c r="F4366">
        <v>1318194.26</v>
      </c>
    </row>
    <row r="4367" spans="1:6">
      <c r="A4367" t="s">
        <v>27</v>
      </c>
      <c r="B4367" t="s">
        <v>82</v>
      </c>
      <c r="C4367" t="s">
        <v>913</v>
      </c>
      <c r="D4367" t="s">
        <v>1273</v>
      </c>
      <c r="E4367" t="s">
        <v>1830</v>
      </c>
      <c r="F4367">
        <v>2026</v>
      </c>
    </row>
    <row r="4368" spans="1:6">
      <c r="A4368" t="s">
        <v>27</v>
      </c>
      <c r="B4368" t="s">
        <v>82</v>
      </c>
      <c r="C4368" t="s">
        <v>913</v>
      </c>
      <c r="D4368" t="s">
        <v>1273</v>
      </c>
      <c r="E4368" t="s">
        <v>1831</v>
      </c>
      <c r="F4368">
        <v>30501</v>
      </c>
    </row>
    <row r="4369" spans="1:6">
      <c r="A4369" t="s">
        <v>27</v>
      </c>
      <c r="B4369" t="s">
        <v>82</v>
      </c>
      <c r="C4369" t="s">
        <v>913</v>
      </c>
      <c r="D4369" t="s">
        <v>1273</v>
      </c>
      <c r="E4369" t="s">
        <v>1832</v>
      </c>
      <c r="F4369">
        <v>1701435.22</v>
      </c>
    </row>
    <row r="4370" spans="1:6">
      <c r="A4370" t="s">
        <v>27</v>
      </c>
      <c r="B4370" t="s">
        <v>82</v>
      </c>
      <c r="C4370" t="s">
        <v>913</v>
      </c>
      <c r="D4370" t="s">
        <v>1273</v>
      </c>
      <c r="E4370" t="s">
        <v>1833</v>
      </c>
      <c r="F4370" t="s">
        <v>1787</v>
      </c>
    </row>
    <row r="4371" spans="1:6">
      <c r="A4371" t="s">
        <v>27</v>
      </c>
      <c r="B4371" t="s">
        <v>82</v>
      </c>
      <c r="C4371" t="s">
        <v>913</v>
      </c>
      <c r="D4371" t="s">
        <v>1273</v>
      </c>
      <c r="E4371" t="s">
        <v>1834</v>
      </c>
      <c r="F4371">
        <v>78124</v>
      </c>
    </row>
    <row r="4372" spans="1:6">
      <c r="A4372" t="s">
        <v>27</v>
      </c>
      <c r="B4372" t="s">
        <v>82</v>
      </c>
      <c r="C4372" t="s">
        <v>913</v>
      </c>
      <c r="D4372" t="s">
        <v>1273</v>
      </c>
      <c r="E4372" t="s">
        <v>1687</v>
      </c>
      <c r="F4372">
        <v>4941552.56</v>
      </c>
    </row>
    <row r="4373" spans="1:6">
      <c r="A4373" t="s">
        <v>13</v>
      </c>
      <c r="B4373" t="s">
        <v>87</v>
      </c>
      <c r="C4373" t="s">
        <v>1835</v>
      </c>
      <c r="D4373" t="s">
        <v>991</v>
      </c>
      <c r="E4373" t="s">
        <v>992</v>
      </c>
      <c r="F4373" t="s">
        <v>993</v>
      </c>
    </row>
    <row r="4374" spans="1:6">
      <c r="A4374" t="s">
        <v>13</v>
      </c>
      <c r="B4374" t="s">
        <v>87</v>
      </c>
      <c r="C4374" t="s">
        <v>1835</v>
      </c>
      <c r="D4374" t="s">
        <v>991</v>
      </c>
      <c r="E4374" t="s">
        <v>1093</v>
      </c>
      <c r="F4374" t="s">
        <v>1094</v>
      </c>
    </row>
    <row r="4375" spans="1:6">
      <c r="A4375" t="s">
        <v>13</v>
      </c>
      <c r="B4375" t="s">
        <v>87</v>
      </c>
      <c r="C4375" t="s">
        <v>1835</v>
      </c>
      <c r="D4375" t="s">
        <v>991</v>
      </c>
      <c r="E4375" t="s">
        <v>994</v>
      </c>
      <c r="F4375" t="s">
        <v>87</v>
      </c>
    </row>
    <row r="4376" spans="1:6">
      <c r="A4376" t="s">
        <v>13</v>
      </c>
      <c r="B4376" t="s">
        <v>87</v>
      </c>
      <c r="C4376" t="s">
        <v>1835</v>
      </c>
      <c r="D4376" t="s">
        <v>991</v>
      </c>
      <c r="E4376" t="s">
        <v>995</v>
      </c>
      <c r="F4376" t="s">
        <v>996</v>
      </c>
    </row>
    <row r="4377" spans="1:6">
      <c r="A4377" t="s">
        <v>13</v>
      </c>
      <c r="B4377" t="s">
        <v>87</v>
      </c>
      <c r="C4377" t="s">
        <v>1835</v>
      </c>
      <c r="D4377" t="s">
        <v>991</v>
      </c>
      <c r="E4377" t="s">
        <v>997</v>
      </c>
      <c r="F4377" t="s">
        <v>1836</v>
      </c>
    </row>
    <row r="4378" spans="1:6">
      <c r="A4378" t="s">
        <v>13</v>
      </c>
      <c r="B4378" t="s">
        <v>87</v>
      </c>
      <c r="C4378" t="s">
        <v>1835</v>
      </c>
      <c r="D4378" t="s">
        <v>991</v>
      </c>
      <c r="E4378" t="s">
        <v>999</v>
      </c>
      <c r="F4378" t="s">
        <v>1000</v>
      </c>
    </row>
    <row r="4379" spans="1:6">
      <c r="A4379" t="s">
        <v>13</v>
      </c>
      <c r="B4379" t="s">
        <v>87</v>
      </c>
      <c r="C4379" t="s">
        <v>1835</v>
      </c>
      <c r="D4379" t="s">
        <v>991</v>
      </c>
      <c r="E4379" t="s">
        <v>1001</v>
      </c>
      <c r="F4379" t="s">
        <v>10</v>
      </c>
    </row>
    <row r="4380" spans="1:6">
      <c r="A4380" t="s">
        <v>13</v>
      </c>
      <c r="B4380" t="s">
        <v>87</v>
      </c>
      <c r="C4380" t="s">
        <v>1835</v>
      </c>
      <c r="D4380" t="s">
        <v>991</v>
      </c>
      <c r="E4380" t="s">
        <v>1002</v>
      </c>
      <c r="F4380" t="s">
        <v>1003</v>
      </c>
    </row>
    <row r="4381" spans="1:6">
      <c r="A4381" t="s">
        <v>13</v>
      </c>
      <c r="B4381" t="s">
        <v>87</v>
      </c>
      <c r="C4381" t="s">
        <v>1835</v>
      </c>
      <c r="D4381" t="s">
        <v>991</v>
      </c>
      <c r="E4381" t="s">
        <v>1004</v>
      </c>
      <c r="F4381" t="s">
        <v>1005</v>
      </c>
    </row>
    <row r="4382" spans="1:6">
      <c r="A4382" t="s">
        <v>13</v>
      </c>
      <c r="B4382" t="s">
        <v>87</v>
      </c>
      <c r="C4382" t="s">
        <v>1835</v>
      </c>
      <c r="D4382" t="s">
        <v>991</v>
      </c>
      <c r="E4382" t="s">
        <v>1006</v>
      </c>
      <c r="F4382" t="s">
        <v>1007</v>
      </c>
    </row>
    <row r="4383" spans="1:6">
      <c r="A4383" t="s">
        <v>13</v>
      </c>
      <c r="B4383" t="s">
        <v>87</v>
      </c>
      <c r="C4383" t="s">
        <v>1835</v>
      </c>
      <c r="D4383" t="s">
        <v>991</v>
      </c>
      <c r="E4383" t="s">
        <v>1008</v>
      </c>
      <c r="F4383" t="s">
        <v>1009</v>
      </c>
    </row>
    <row r="4384" spans="1:6">
      <c r="A4384" t="s">
        <v>13</v>
      </c>
      <c r="B4384" t="s">
        <v>87</v>
      </c>
      <c r="C4384" t="s">
        <v>1835</v>
      </c>
      <c r="D4384" t="s">
        <v>991</v>
      </c>
      <c r="E4384" t="s">
        <v>1010</v>
      </c>
      <c r="F4384" t="s">
        <v>1011</v>
      </c>
    </row>
    <row r="4385" spans="1:6">
      <c r="A4385" t="s">
        <v>13</v>
      </c>
      <c r="B4385" t="s">
        <v>87</v>
      </c>
      <c r="C4385" t="s">
        <v>1835</v>
      </c>
      <c r="D4385" t="s">
        <v>991</v>
      </c>
      <c r="E4385" t="s">
        <v>1012</v>
      </c>
      <c r="F4385" t="s">
        <v>1013</v>
      </c>
    </row>
    <row r="4386" spans="1:6">
      <c r="A4386" t="s">
        <v>13</v>
      </c>
      <c r="B4386" t="s">
        <v>87</v>
      </c>
      <c r="C4386" t="s">
        <v>1835</v>
      </c>
      <c r="D4386" t="s">
        <v>991</v>
      </c>
      <c r="E4386" t="s">
        <v>1014</v>
      </c>
      <c r="F4386" t="s">
        <v>1015</v>
      </c>
    </row>
    <row r="4387" spans="1:6">
      <c r="A4387" t="s">
        <v>13</v>
      </c>
      <c r="B4387" t="s">
        <v>87</v>
      </c>
      <c r="C4387" t="s">
        <v>1835</v>
      </c>
      <c r="D4387" t="s">
        <v>991</v>
      </c>
      <c r="E4387" t="s">
        <v>1016</v>
      </c>
      <c r="F4387" t="s">
        <v>1017</v>
      </c>
    </row>
    <row r="4388" spans="1:6">
      <c r="A4388" t="s">
        <v>13</v>
      </c>
      <c r="B4388" t="s">
        <v>87</v>
      </c>
      <c r="C4388" t="s">
        <v>1835</v>
      </c>
      <c r="D4388" t="s">
        <v>991</v>
      </c>
      <c r="E4388" t="s">
        <v>1018</v>
      </c>
      <c r="F4388" t="s">
        <v>1019</v>
      </c>
    </row>
    <row r="4389" spans="1:6">
      <c r="A4389" t="s">
        <v>13</v>
      </c>
      <c r="B4389" t="s">
        <v>87</v>
      </c>
      <c r="C4389" t="s">
        <v>1835</v>
      </c>
      <c r="D4389" t="s">
        <v>991</v>
      </c>
      <c r="E4389" t="s">
        <v>1020</v>
      </c>
      <c r="F4389" t="s">
        <v>1021</v>
      </c>
    </row>
    <row r="4390" spans="1:6">
      <c r="A4390" t="s">
        <v>13</v>
      </c>
      <c r="B4390" t="s">
        <v>87</v>
      </c>
      <c r="C4390" t="s">
        <v>1835</v>
      </c>
      <c r="D4390" t="s">
        <v>991</v>
      </c>
      <c r="E4390" t="s">
        <v>1022</v>
      </c>
      <c r="F4390" t="s">
        <v>1023</v>
      </c>
    </row>
    <row r="4391" spans="1:6">
      <c r="A4391" t="s">
        <v>13</v>
      </c>
      <c r="B4391" t="s">
        <v>87</v>
      </c>
      <c r="C4391" t="s">
        <v>1835</v>
      </c>
      <c r="D4391" t="s">
        <v>991</v>
      </c>
      <c r="E4391" t="s">
        <v>1024</v>
      </c>
      <c r="F4391" t="s">
        <v>1025</v>
      </c>
    </row>
    <row r="4392" spans="1:6">
      <c r="A4392" t="s">
        <v>13</v>
      </c>
      <c r="B4392" t="s">
        <v>87</v>
      </c>
      <c r="C4392" t="s">
        <v>1835</v>
      </c>
      <c r="D4392" t="s">
        <v>991</v>
      </c>
      <c r="E4392" t="s">
        <v>1026</v>
      </c>
      <c r="F4392" t="s">
        <v>1027</v>
      </c>
    </row>
    <row r="4393" spans="1:6">
      <c r="A4393" t="s">
        <v>13</v>
      </c>
      <c r="B4393" t="s">
        <v>87</v>
      </c>
      <c r="C4393" t="s">
        <v>1835</v>
      </c>
      <c r="D4393" t="s">
        <v>991</v>
      </c>
      <c r="E4393" t="s">
        <v>1028</v>
      </c>
      <c r="F4393" t="s">
        <v>1029</v>
      </c>
    </row>
    <row r="4394" spans="1:6">
      <c r="A4394" t="s">
        <v>13</v>
      </c>
      <c r="B4394" t="s">
        <v>87</v>
      </c>
      <c r="C4394" t="s">
        <v>1835</v>
      </c>
      <c r="D4394" t="s">
        <v>991</v>
      </c>
      <c r="E4394" t="s">
        <v>1030</v>
      </c>
      <c r="F4394" t="s">
        <v>1031</v>
      </c>
    </row>
    <row r="4395" spans="1:6">
      <c r="A4395" t="s">
        <v>13</v>
      </c>
      <c r="B4395" t="s">
        <v>87</v>
      </c>
      <c r="C4395" t="s">
        <v>1835</v>
      </c>
      <c r="D4395" t="s">
        <v>991</v>
      </c>
      <c r="E4395" t="s">
        <v>1032</v>
      </c>
      <c r="F4395" t="s">
        <v>1033</v>
      </c>
    </row>
    <row r="4396" spans="1:6">
      <c r="A4396" t="s">
        <v>13</v>
      </c>
      <c r="B4396" t="s">
        <v>87</v>
      </c>
      <c r="C4396" t="s">
        <v>1835</v>
      </c>
      <c r="D4396" t="s">
        <v>991</v>
      </c>
      <c r="E4396" t="s">
        <v>1034</v>
      </c>
      <c r="F4396" t="s">
        <v>50</v>
      </c>
    </row>
    <row r="4397" spans="1:6">
      <c r="A4397" t="s">
        <v>13</v>
      </c>
      <c r="B4397" t="s">
        <v>87</v>
      </c>
      <c r="C4397" t="s">
        <v>1835</v>
      </c>
      <c r="D4397" t="s">
        <v>991</v>
      </c>
      <c r="E4397" t="s">
        <v>1035</v>
      </c>
      <c r="F4397">
        <v>1091685.037869048</v>
      </c>
    </row>
    <row r="4398" spans="1:6">
      <c r="A4398" t="s">
        <v>13</v>
      </c>
      <c r="B4398" t="s">
        <v>87</v>
      </c>
      <c r="C4398" t="s">
        <v>1835</v>
      </c>
      <c r="D4398" t="s">
        <v>991</v>
      </c>
      <c r="E4398" t="s">
        <v>1036</v>
      </c>
      <c r="F4398">
        <v>2025</v>
      </c>
    </row>
    <row r="4399" spans="1:6">
      <c r="A4399" t="s">
        <v>13</v>
      </c>
      <c r="B4399" t="s">
        <v>87</v>
      </c>
      <c r="C4399" t="s">
        <v>1835</v>
      </c>
      <c r="D4399" t="s">
        <v>991</v>
      </c>
      <c r="E4399" t="s">
        <v>1037</v>
      </c>
      <c r="F4399">
        <v>245197.5900000002</v>
      </c>
    </row>
    <row r="4400" spans="1:6">
      <c r="A4400" t="s">
        <v>13</v>
      </c>
      <c r="B4400" t="s">
        <v>87</v>
      </c>
      <c r="C4400" t="s">
        <v>1835</v>
      </c>
      <c r="D4400" t="s">
        <v>991</v>
      </c>
      <c r="E4400" t="s">
        <v>1038</v>
      </c>
      <c r="F4400">
        <v>2026</v>
      </c>
    </row>
    <row r="4401" spans="1:6">
      <c r="A4401" t="s">
        <v>13</v>
      </c>
      <c r="B4401" t="s">
        <v>87</v>
      </c>
      <c r="C4401" t="s">
        <v>1835</v>
      </c>
      <c r="D4401" t="s">
        <v>991</v>
      </c>
      <c r="E4401" t="s">
        <v>1039</v>
      </c>
      <c r="F4401">
        <v>54745.46</v>
      </c>
    </row>
    <row r="4402" spans="1:6">
      <c r="A4402" t="s">
        <v>13</v>
      </c>
      <c r="B4402" t="s">
        <v>87</v>
      </c>
      <c r="C4402" t="s">
        <v>1835</v>
      </c>
      <c r="D4402" t="s">
        <v>991</v>
      </c>
      <c r="E4402" t="s">
        <v>1040</v>
      </c>
      <c r="F4402">
        <v>4213.139999999999</v>
      </c>
    </row>
    <row r="4403" spans="1:6">
      <c r="A4403" t="s">
        <v>13</v>
      </c>
      <c r="B4403" t="s">
        <v>87</v>
      </c>
      <c r="C4403" t="s">
        <v>1835</v>
      </c>
      <c r="D4403" t="s">
        <v>991</v>
      </c>
      <c r="E4403" t="s">
        <v>1041</v>
      </c>
      <c r="F4403">
        <v>6335.460000000001</v>
      </c>
    </row>
    <row r="4404" spans="1:6">
      <c r="A4404" t="s">
        <v>13</v>
      </c>
      <c r="B4404" t="s">
        <v>87</v>
      </c>
      <c r="C4404" t="s">
        <v>1835</v>
      </c>
      <c r="D4404" t="s">
        <v>991</v>
      </c>
      <c r="E4404" t="s">
        <v>1042</v>
      </c>
      <c r="F4404">
        <v>25273.23000000001</v>
      </c>
    </row>
    <row r="4405" spans="1:6">
      <c r="A4405" t="s">
        <v>13</v>
      </c>
      <c r="B4405" t="s">
        <v>87</v>
      </c>
      <c r="C4405" t="s">
        <v>1835</v>
      </c>
      <c r="D4405" t="s">
        <v>991</v>
      </c>
      <c r="E4405" t="s">
        <v>1043</v>
      </c>
      <c r="F4405">
        <v>4747.02</v>
      </c>
    </row>
    <row r="4406" spans="1:6">
      <c r="A4406" t="s">
        <v>13</v>
      </c>
      <c r="B4406" t="s">
        <v>87</v>
      </c>
      <c r="C4406" t="s">
        <v>1835</v>
      </c>
      <c r="D4406" t="s">
        <v>991</v>
      </c>
      <c r="E4406" t="s">
        <v>1044</v>
      </c>
      <c r="F4406">
        <v>11020.09</v>
      </c>
    </row>
    <row r="4407" spans="1:6">
      <c r="A4407" t="s">
        <v>13</v>
      </c>
      <c r="B4407" t="s">
        <v>87</v>
      </c>
      <c r="C4407" t="s">
        <v>1835</v>
      </c>
      <c r="D4407" t="s">
        <v>991</v>
      </c>
      <c r="E4407" t="s">
        <v>1045</v>
      </c>
      <c r="F4407">
        <v>3156.52</v>
      </c>
    </row>
    <row r="4408" spans="1:6">
      <c r="A4408" t="s">
        <v>13</v>
      </c>
      <c r="B4408" t="s">
        <v>87</v>
      </c>
      <c r="C4408" t="s">
        <v>1835</v>
      </c>
      <c r="D4408" t="s">
        <v>991</v>
      </c>
      <c r="E4408" t="s">
        <v>1046</v>
      </c>
      <c r="F4408">
        <v>0</v>
      </c>
    </row>
    <row r="4409" spans="1:6">
      <c r="A4409" t="s">
        <v>13</v>
      </c>
      <c r="B4409" t="s">
        <v>87</v>
      </c>
      <c r="C4409" t="s">
        <v>1835</v>
      </c>
      <c r="D4409" t="s">
        <v>991</v>
      </c>
      <c r="E4409" t="s">
        <v>1047</v>
      </c>
      <c r="F4409">
        <v>0</v>
      </c>
    </row>
    <row r="4410" spans="1:6">
      <c r="A4410" t="s">
        <v>13</v>
      </c>
      <c r="B4410" t="s">
        <v>87</v>
      </c>
      <c r="C4410" t="s">
        <v>1835</v>
      </c>
      <c r="D4410" t="s">
        <v>991</v>
      </c>
      <c r="E4410" t="s">
        <v>1048</v>
      </c>
      <c r="F4410">
        <v>0</v>
      </c>
    </row>
    <row r="4411" spans="1:6">
      <c r="A4411" t="s">
        <v>13</v>
      </c>
      <c r="B4411" t="s">
        <v>87</v>
      </c>
      <c r="C4411" t="s">
        <v>1835</v>
      </c>
      <c r="D4411" t="s">
        <v>991</v>
      </c>
      <c r="E4411" t="s">
        <v>1049</v>
      </c>
      <c r="F4411">
        <v>0</v>
      </c>
    </row>
    <row r="4412" spans="1:6">
      <c r="A4412" t="s">
        <v>13</v>
      </c>
      <c r="B4412" t="s">
        <v>87</v>
      </c>
      <c r="C4412" t="s">
        <v>1835</v>
      </c>
      <c r="D4412" t="s">
        <v>991</v>
      </c>
      <c r="E4412" t="s">
        <v>1050</v>
      </c>
      <c r="F4412">
        <v>0</v>
      </c>
    </row>
    <row r="4413" spans="1:6">
      <c r="A4413" t="s">
        <v>13</v>
      </c>
      <c r="B4413" t="s">
        <v>87</v>
      </c>
      <c r="C4413" t="s">
        <v>1835</v>
      </c>
      <c r="D4413" t="s">
        <v>991</v>
      </c>
      <c r="E4413" t="s">
        <v>1051</v>
      </c>
      <c r="F4413">
        <v>0</v>
      </c>
    </row>
    <row r="4414" spans="1:6">
      <c r="A4414" t="s">
        <v>13</v>
      </c>
      <c r="B4414" t="s">
        <v>87</v>
      </c>
      <c r="C4414" t="s">
        <v>1835</v>
      </c>
      <c r="D4414" t="s">
        <v>991</v>
      </c>
      <c r="E4414" t="s">
        <v>1052</v>
      </c>
      <c r="F4414" t="s">
        <v>1009</v>
      </c>
    </row>
    <row r="4415" spans="1:6">
      <c r="A4415" t="s">
        <v>13</v>
      </c>
      <c r="B4415" t="s">
        <v>87</v>
      </c>
      <c r="C4415" t="s">
        <v>1835</v>
      </c>
      <c r="D4415" t="s">
        <v>991</v>
      </c>
      <c r="E4415" t="s">
        <v>1053</v>
      </c>
      <c r="F4415">
        <v>1391628.087869048</v>
      </c>
    </row>
    <row r="4416" spans="1:6">
      <c r="A4416" t="s">
        <v>13</v>
      </c>
      <c r="B4416" t="s">
        <v>87</v>
      </c>
      <c r="C4416" t="s">
        <v>1835</v>
      </c>
      <c r="D4416" t="s">
        <v>991</v>
      </c>
      <c r="E4416" t="s">
        <v>1054</v>
      </c>
      <c r="F4416" t="s">
        <v>1055</v>
      </c>
    </row>
    <row r="4417" spans="1:6">
      <c r="A4417" t="s">
        <v>13</v>
      </c>
      <c r="B4417" t="s">
        <v>87</v>
      </c>
      <c r="C4417" t="s">
        <v>1835</v>
      </c>
      <c r="D4417" t="s">
        <v>991</v>
      </c>
      <c r="E4417" t="s">
        <v>1056</v>
      </c>
      <c r="F4417" t="s">
        <v>1007</v>
      </c>
    </row>
    <row r="4418" spans="1:6">
      <c r="A4418" t="s">
        <v>13</v>
      </c>
      <c r="B4418" t="s">
        <v>87</v>
      </c>
      <c r="C4418" t="s">
        <v>1835</v>
      </c>
      <c r="D4418" t="s">
        <v>991</v>
      </c>
      <c r="E4418" t="s">
        <v>1057</v>
      </c>
      <c r="F4418" t="s">
        <v>1009</v>
      </c>
    </row>
    <row r="4419" spans="1:6">
      <c r="A4419" t="s">
        <v>13</v>
      </c>
      <c r="B4419" t="s">
        <v>87</v>
      </c>
      <c r="C4419" t="s">
        <v>1835</v>
      </c>
      <c r="D4419" t="s">
        <v>991</v>
      </c>
      <c r="E4419" t="s">
        <v>1058</v>
      </c>
      <c r="F4419" t="s">
        <v>1011</v>
      </c>
    </row>
    <row r="4420" spans="1:6">
      <c r="A4420" t="s">
        <v>13</v>
      </c>
      <c r="B4420" t="s">
        <v>87</v>
      </c>
      <c r="C4420" t="s">
        <v>1835</v>
      </c>
      <c r="D4420" t="s">
        <v>991</v>
      </c>
      <c r="E4420" t="s">
        <v>1059</v>
      </c>
      <c r="F4420" t="s">
        <v>1013</v>
      </c>
    </row>
    <row r="4421" spans="1:6">
      <c r="A4421" t="s">
        <v>13</v>
      </c>
      <c r="B4421" t="s">
        <v>87</v>
      </c>
      <c r="C4421" t="s">
        <v>1835</v>
      </c>
      <c r="D4421" t="s">
        <v>991</v>
      </c>
      <c r="E4421" t="s">
        <v>1060</v>
      </c>
      <c r="F4421" t="s">
        <v>1015</v>
      </c>
    </row>
    <row r="4422" spans="1:6">
      <c r="A4422" t="s">
        <v>13</v>
      </c>
      <c r="B4422" t="s">
        <v>87</v>
      </c>
      <c r="C4422" t="s">
        <v>1835</v>
      </c>
      <c r="D4422" t="s">
        <v>991</v>
      </c>
      <c r="E4422" t="s">
        <v>1061</v>
      </c>
      <c r="F4422" t="s">
        <v>1017</v>
      </c>
    </row>
    <row r="4423" spans="1:6">
      <c r="A4423" t="s">
        <v>13</v>
      </c>
      <c r="B4423" t="s">
        <v>87</v>
      </c>
      <c r="C4423" t="s">
        <v>1835</v>
      </c>
      <c r="D4423" t="s">
        <v>991</v>
      </c>
      <c r="E4423" t="s">
        <v>1062</v>
      </c>
      <c r="F4423" t="s">
        <v>1019</v>
      </c>
    </row>
    <row r="4424" spans="1:6">
      <c r="A4424" t="s">
        <v>13</v>
      </c>
      <c r="B4424" t="s">
        <v>87</v>
      </c>
      <c r="C4424" t="s">
        <v>1835</v>
      </c>
      <c r="D4424" t="s">
        <v>991</v>
      </c>
      <c r="E4424" t="s">
        <v>1063</v>
      </c>
      <c r="F4424" t="s">
        <v>1021</v>
      </c>
    </row>
    <row r="4425" spans="1:6">
      <c r="A4425" t="s">
        <v>13</v>
      </c>
      <c r="B4425" t="s">
        <v>87</v>
      </c>
      <c r="C4425" t="s">
        <v>1835</v>
      </c>
      <c r="D4425" t="s">
        <v>991</v>
      </c>
      <c r="E4425" t="s">
        <v>1064</v>
      </c>
      <c r="F4425" t="s">
        <v>1023</v>
      </c>
    </row>
    <row r="4426" spans="1:6">
      <c r="A4426" t="s">
        <v>13</v>
      </c>
      <c r="B4426" t="s">
        <v>87</v>
      </c>
      <c r="C4426" t="s">
        <v>1835</v>
      </c>
      <c r="D4426" t="s">
        <v>991</v>
      </c>
      <c r="E4426" t="s">
        <v>1065</v>
      </c>
      <c r="F4426" t="s">
        <v>1066</v>
      </c>
    </row>
    <row r="4427" spans="1:6">
      <c r="A4427" t="s">
        <v>13</v>
      </c>
      <c r="B4427" t="s">
        <v>87</v>
      </c>
      <c r="C4427" t="s">
        <v>1835</v>
      </c>
      <c r="D4427" t="s">
        <v>991</v>
      </c>
      <c r="E4427" t="s">
        <v>1067</v>
      </c>
      <c r="F4427" t="s">
        <v>1027</v>
      </c>
    </row>
    <row r="4428" spans="1:6">
      <c r="A4428" t="s">
        <v>13</v>
      </c>
      <c r="B4428" t="s">
        <v>87</v>
      </c>
      <c r="C4428" t="s">
        <v>1835</v>
      </c>
      <c r="D4428" t="s">
        <v>991</v>
      </c>
      <c r="E4428" t="s">
        <v>1068</v>
      </c>
      <c r="F4428" t="s">
        <v>1029</v>
      </c>
    </row>
    <row r="4429" spans="1:6">
      <c r="A4429" t="s">
        <v>13</v>
      </c>
      <c r="B4429" t="s">
        <v>87</v>
      </c>
      <c r="C4429" t="s">
        <v>1835</v>
      </c>
      <c r="D4429" t="s">
        <v>991</v>
      </c>
      <c r="E4429" t="s">
        <v>1069</v>
      </c>
      <c r="F4429" t="s">
        <v>1031</v>
      </c>
    </row>
    <row r="4430" spans="1:6">
      <c r="A4430" t="s">
        <v>13</v>
      </c>
      <c r="B4430" t="s">
        <v>87</v>
      </c>
      <c r="C4430" t="s">
        <v>1835</v>
      </c>
      <c r="D4430" t="s">
        <v>991</v>
      </c>
      <c r="E4430" t="s">
        <v>1070</v>
      </c>
      <c r="F4430" t="s">
        <v>1033</v>
      </c>
    </row>
    <row r="4431" spans="1:6">
      <c r="A4431" t="s">
        <v>13</v>
      </c>
      <c r="B4431" t="s">
        <v>87</v>
      </c>
      <c r="C4431" t="s">
        <v>1835</v>
      </c>
      <c r="D4431" t="s">
        <v>991</v>
      </c>
      <c r="E4431" t="s">
        <v>1071</v>
      </c>
      <c r="F4431" t="s">
        <v>50</v>
      </c>
    </row>
    <row r="4432" spans="1:6">
      <c r="A4432" t="s">
        <v>13</v>
      </c>
      <c r="B4432" t="s">
        <v>87</v>
      </c>
      <c r="C4432" t="s">
        <v>1835</v>
      </c>
      <c r="D4432" t="s">
        <v>991</v>
      </c>
      <c r="E4432" t="s">
        <v>1072</v>
      </c>
      <c r="F4432">
        <v>4536</v>
      </c>
    </row>
    <row r="4433" spans="1:6">
      <c r="A4433" t="s">
        <v>13</v>
      </c>
      <c r="B4433" t="s">
        <v>87</v>
      </c>
      <c r="C4433" t="s">
        <v>1835</v>
      </c>
      <c r="D4433" t="s">
        <v>991</v>
      </c>
      <c r="E4433" t="s">
        <v>1073</v>
      </c>
      <c r="F4433">
        <v>2025</v>
      </c>
    </row>
    <row r="4434" spans="1:6">
      <c r="A4434" t="s">
        <v>13</v>
      </c>
      <c r="B4434" t="s">
        <v>87</v>
      </c>
      <c r="C4434" t="s">
        <v>1835</v>
      </c>
      <c r="D4434" t="s">
        <v>991</v>
      </c>
      <c r="E4434" t="s">
        <v>1074</v>
      </c>
      <c r="F4434">
        <v>1241</v>
      </c>
    </row>
    <row r="4435" spans="1:6">
      <c r="A4435" t="s">
        <v>13</v>
      </c>
      <c r="B4435" t="s">
        <v>87</v>
      </c>
      <c r="C4435" t="s">
        <v>1835</v>
      </c>
      <c r="D4435" t="s">
        <v>991</v>
      </c>
      <c r="E4435" t="s">
        <v>1075</v>
      </c>
      <c r="F4435">
        <v>2026</v>
      </c>
    </row>
    <row r="4436" spans="1:6">
      <c r="A4436" t="s">
        <v>13</v>
      </c>
      <c r="B4436" t="s">
        <v>87</v>
      </c>
      <c r="C4436" t="s">
        <v>1835</v>
      </c>
      <c r="D4436" t="s">
        <v>991</v>
      </c>
      <c r="E4436" t="s">
        <v>1076</v>
      </c>
      <c r="F4436">
        <v>264</v>
      </c>
    </row>
    <row r="4437" spans="1:6">
      <c r="A4437" t="s">
        <v>13</v>
      </c>
      <c r="B4437" t="s">
        <v>87</v>
      </c>
      <c r="C4437" t="s">
        <v>1835</v>
      </c>
      <c r="D4437" t="s">
        <v>991</v>
      </c>
      <c r="E4437" t="s">
        <v>1077</v>
      </c>
      <c r="F4437">
        <v>66</v>
      </c>
    </row>
    <row r="4438" spans="1:6">
      <c r="A4438" t="s">
        <v>13</v>
      </c>
      <c r="B4438" t="s">
        <v>87</v>
      </c>
      <c r="C4438" t="s">
        <v>1835</v>
      </c>
      <c r="D4438" t="s">
        <v>991</v>
      </c>
      <c r="E4438" t="s">
        <v>1078</v>
      </c>
      <c r="F4438">
        <v>67</v>
      </c>
    </row>
    <row r="4439" spans="1:6">
      <c r="A4439" t="s">
        <v>13</v>
      </c>
      <c r="B4439" t="s">
        <v>87</v>
      </c>
      <c r="C4439" t="s">
        <v>1835</v>
      </c>
      <c r="D4439" t="s">
        <v>991</v>
      </c>
      <c r="E4439" t="s">
        <v>1079</v>
      </c>
      <c r="F4439">
        <v>32</v>
      </c>
    </row>
    <row r="4440" spans="1:6">
      <c r="A4440" t="s">
        <v>13</v>
      </c>
      <c r="B4440" t="s">
        <v>87</v>
      </c>
      <c r="C4440" t="s">
        <v>1835</v>
      </c>
      <c r="D4440" t="s">
        <v>991</v>
      </c>
      <c r="E4440" t="s">
        <v>1080</v>
      </c>
      <c r="F4440">
        <v>42</v>
      </c>
    </row>
    <row r="4441" spans="1:6">
      <c r="A4441" t="s">
        <v>13</v>
      </c>
      <c r="B4441" t="s">
        <v>87</v>
      </c>
      <c r="C4441" t="s">
        <v>1835</v>
      </c>
      <c r="D4441" t="s">
        <v>991</v>
      </c>
      <c r="E4441" t="s">
        <v>1081</v>
      </c>
      <c r="F4441">
        <v>30</v>
      </c>
    </row>
    <row r="4442" spans="1:6">
      <c r="A4442" t="s">
        <v>13</v>
      </c>
      <c r="B4442" t="s">
        <v>87</v>
      </c>
      <c r="C4442" t="s">
        <v>1835</v>
      </c>
      <c r="D4442" t="s">
        <v>991</v>
      </c>
      <c r="E4442" t="s">
        <v>1082</v>
      </c>
      <c r="F4442">
        <v>27</v>
      </c>
    </row>
    <row r="4443" spans="1:6">
      <c r="A4443" t="s">
        <v>13</v>
      </c>
      <c r="B4443" t="s">
        <v>87</v>
      </c>
      <c r="C4443" t="s">
        <v>1835</v>
      </c>
      <c r="D4443" t="s">
        <v>991</v>
      </c>
      <c r="E4443" t="s">
        <v>1083</v>
      </c>
      <c r="F4443">
        <v>0</v>
      </c>
    </row>
    <row r="4444" spans="1:6">
      <c r="A4444" t="s">
        <v>13</v>
      </c>
      <c r="B4444" t="s">
        <v>87</v>
      </c>
      <c r="C4444" t="s">
        <v>1835</v>
      </c>
      <c r="D4444" t="s">
        <v>991</v>
      </c>
      <c r="E4444" t="s">
        <v>1084</v>
      </c>
      <c r="F4444">
        <v>0</v>
      </c>
    </row>
    <row r="4445" spans="1:6">
      <c r="A4445" t="s">
        <v>13</v>
      </c>
      <c r="B4445" t="s">
        <v>87</v>
      </c>
      <c r="C4445" t="s">
        <v>1835</v>
      </c>
      <c r="D4445" t="s">
        <v>991</v>
      </c>
      <c r="E4445" t="s">
        <v>1085</v>
      </c>
      <c r="F4445">
        <v>0</v>
      </c>
    </row>
    <row r="4446" spans="1:6">
      <c r="A4446" t="s">
        <v>13</v>
      </c>
      <c r="B4446" t="s">
        <v>87</v>
      </c>
      <c r="C4446" t="s">
        <v>1835</v>
      </c>
      <c r="D4446" t="s">
        <v>991</v>
      </c>
      <c r="E4446" t="s">
        <v>1086</v>
      </c>
      <c r="F4446">
        <v>0</v>
      </c>
    </row>
    <row r="4447" spans="1:6">
      <c r="A4447" t="s">
        <v>13</v>
      </c>
      <c r="B4447" t="s">
        <v>87</v>
      </c>
      <c r="C4447" t="s">
        <v>1835</v>
      </c>
      <c r="D4447" t="s">
        <v>991</v>
      </c>
      <c r="E4447" t="s">
        <v>1087</v>
      </c>
      <c r="F4447">
        <v>0</v>
      </c>
    </row>
    <row r="4448" spans="1:6">
      <c r="A4448" t="s">
        <v>13</v>
      </c>
      <c r="B4448" t="s">
        <v>87</v>
      </c>
      <c r="C4448" t="s">
        <v>1835</v>
      </c>
      <c r="D4448" t="s">
        <v>991</v>
      </c>
      <c r="E4448" t="s">
        <v>1088</v>
      </c>
      <c r="F4448">
        <v>0</v>
      </c>
    </row>
    <row r="4449" spans="1:6">
      <c r="A4449" t="s">
        <v>13</v>
      </c>
      <c r="B4449" t="s">
        <v>87</v>
      </c>
      <c r="C4449" t="s">
        <v>1835</v>
      </c>
      <c r="D4449" t="s">
        <v>991</v>
      </c>
      <c r="E4449" t="s">
        <v>1089</v>
      </c>
      <c r="F4449" t="s">
        <v>1009</v>
      </c>
    </row>
    <row r="4450" spans="1:6">
      <c r="A4450" t="s">
        <v>13</v>
      </c>
      <c r="B4450" t="s">
        <v>87</v>
      </c>
      <c r="C4450" t="s">
        <v>1835</v>
      </c>
      <c r="D4450" t="s">
        <v>991</v>
      </c>
      <c r="E4450" t="s">
        <v>1090</v>
      </c>
      <c r="F4450">
        <v>6041</v>
      </c>
    </row>
    <row r="4451" spans="1:6">
      <c r="A4451" t="s">
        <v>13</v>
      </c>
      <c r="B4451" t="s">
        <v>87</v>
      </c>
      <c r="C4451" t="s">
        <v>1835</v>
      </c>
      <c r="D4451" t="s">
        <v>1091</v>
      </c>
      <c r="E4451" t="s">
        <v>992</v>
      </c>
      <c r="F4451" t="s">
        <v>1092</v>
      </c>
    </row>
    <row r="4452" spans="1:6">
      <c r="A4452" t="s">
        <v>13</v>
      </c>
      <c r="B4452" t="s">
        <v>87</v>
      </c>
      <c r="C4452" t="s">
        <v>1835</v>
      </c>
      <c r="D4452" t="s">
        <v>1091</v>
      </c>
      <c r="E4452" t="s">
        <v>1093</v>
      </c>
      <c r="F4452" t="s">
        <v>1094</v>
      </c>
    </row>
    <row r="4453" spans="1:6">
      <c r="A4453" t="s">
        <v>13</v>
      </c>
      <c r="B4453" t="s">
        <v>87</v>
      </c>
      <c r="C4453" t="s">
        <v>1835</v>
      </c>
      <c r="D4453" t="s">
        <v>1091</v>
      </c>
      <c r="E4453" t="s">
        <v>994</v>
      </c>
      <c r="F4453" t="s">
        <v>87</v>
      </c>
    </row>
    <row r="4454" spans="1:6">
      <c r="A4454" t="s">
        <v>13</v>
      </c>
      <c r="B4454" t="s">
        <v>87</v>
      </c>
      <c r="C4454" t="s">
        <v>1835</v>
      </c>
      <c r="D4454" t="s">
        <v>1091</v>
      </c>
      <c r="E4454" t="s">
        <v>995</v>
      </c>
      <c r="F4454" t="s">
        <v>996</v>
      </c>
    </row>
    <row r="4455" spans="1:6">
      <c r="A4455" t="s">
        <v>13</v>
      </c>
      <c r="B4455" t="s">
        <v>87</v>
      </c>
      <c r="C4455" t="s">
        <v>1835</v>
      </c>
      <c r="D4455" t="s">
        <v>1091</v>
      </c>
      <c r="E4455" t="s">
        <v>997</v>
      </c>
      <c r="F4455" t="s">
        <v>1836</v>
      </c>
    </row>
    <row r="4456" spans="1:6">
      <c r="A4456" t="s">
        <v>13</v>
      </c>
      <c r="B4456" t="s">
        <v>87</v>
      </c>
      <c r="C4456" t="s">
        <v>1835</v>
      </c>
      <c r="D4456" t="s">
        <v>1091</v>
      </c>
      <c r="E4456" t="s">
        <v>999</v>
      </c>
      <c r="F4456" t="s">
        <v>1000</v>
      </c>
    </row>
    <row r="4457" spans="1:6">
      <c r="A4457" t="s">
        <v>13</v>
      </c>
      <c r="B4457" t="s">
        <v>87</v>
      </c>
      <c r="C4457" t="s">
        <v>1835</v>
      </c>
      <c r="D4457" t="s">
        <v>1091</v>
      </c>
      <c r="E4457" t="s">
        <v>1001</v>
      </c>
      <c r="F4457" t="s">
        <v>10</v>
      </c>
    </row>
    <row r="4458" spans="1:6">
      <c r="A4458" t="s">
        <v>13</v>
      </c>
      <c r="B4458" t="s">
        <v>87</v>
      </c>
      <c r="C4458" t="s">
        <v>1835</v>
      </c>
      <c r="D4458" t="s">
        <v>1091</v>
      </c>
      <c r="E4458" t="s">
        <v>1002</v>
      </c>
      <c r="F4458" t="s">
        <v>1095</v>
      </c>
    </row>
    <row r="4459" spans="1:6">
      <c r="A4459" t="s">
        <v>13</v>
      </c>
      <c r="B4459" t="s">
        <v>87</v>
      </c>
      <c r="C4459" t="s">
        <v>1835</v>
      </c>
      <c r="D4459" t="s">
        <v>1091</v>
      </c>
      <c r="E4459" t="s">
        <v>1096</v>
      </c>
      <c r="F4459" t="s">
        <v>1005</v>
      </c>
    </row>
    <row r="4460" spans="1:6">
      <c r="A4460" t="s">
        <v>13</v>
      </c>
      <c r="B4460" t="s">
        <v>87</v>
      </c>
      <c r="C4460" t="s">
        <v>1835</v>
      </c>
      <c r="D4460" t="s">
        <v>1091</v>
      </c>
      <c r="E4460" t="s">
        <v>1006</v>
      </c>
      <c r="F4460" t="s">
        <v>1097</v>
      </c>
    </row>
    <row r="4461" spans="1:6">
      <c r="A4461" t="s">
        <v>13</v>
      </c>
      <c r="B4461" t="s">
        <v>87</v>
      </c>
      <c r="C4461" t="s">
        <v>1835</v>
      </c>
      <c r="D4461" t="s">
        <v>1091</v>
      </c>
      <c r="E4461" t="s">
        <v>1008</v>
      </c>
      <c r="F4461" t="s">
        <v>1098</v>
      </c>
    </row>
    <row r="4462" spans="1:6">
      <c r="A4462" t="s">
        <v>13</v>
      </c>
      <c r="B4462" t="s">
        <v>87</v>
      </c>
      <c r="C4462" t="s">
        <v>1835</v>
      </c>
      <c r="D4462" t="s">
        <v>1091</v>
      </c>
      <c r="E4462" t="s">
        <v>1035</v>
      </c>
      <c r="F4462" t="s">
        <v>1009</v>
      </c>
    </row>
    <row r="4463" spans="1:6">
      <c r="A4463" t="s">
        <v>13</v>
      </c>
      <c r="B4463" t="s">
        <v>87</v>
      </c>
      <c r="C4463" t="s">
        <v>1835</v>
      </c>
      <c r="D4463" t="s">
        <v>1091</v>
      </c>
      <c r="E4463" t="s">
        <v>1099</v>
      </c>
      <c r="F4463" t="s">
        <v>50</v>
      </c>
    </row>
    <row r="4464" spans="1:6">
      <c r="A4464" t="s">
        <v>13</v>
      </c>
      <c r="B4464" t="s">
        <v>87</v>
      </c>
      <c r="C4464" t="s">
        <v>1835</v>
      </c>
      <c r="D4464" t="s">
        <v>1091</v>
      </c>
      <c r="E4464" t="s">
        <v>1100</v>
      </c>
      <c r="F4464">
        <v>2025</v>
      </c>
    </row>
    <row r="4465" spans="1:6">
      <c r="A4465" t="s">
        <v>13</v>
      </c>
      <c r="B4465" t="s">
        <v>87</v>
      </c>
      <c r="C4465" t="s">
        <v>1835</v>
      </c>
      <c r="D4465" t="s">
        <v>1091</v>
      </c>
      <c r="E4465" t="s">
        <v>1101</v>
      </c>
      <c r="F4465">
        <v>2026</v>
      </c>
    </row>
    <row r="4466" spans="1:6">
      <c r="A4466" t="s">
        <v>13</v>
      </c>
      <c r="B4466" t="s">
        <v>87</v>
      </c>
      <c r="C4466" t="s">
        <v>1835</v>
      </c>
      <c r="D4466" t="s">
        <v>1091</v>
      </c>
      <c r="E4466" t="s">
        <v>1036</v>
      </c>
      <c r="F4466" t="s">
        <v>1102</v>
      </c>
    </row>
    <row r="4467" spans="1:6">
      <c r="A4467" t="s">
        <v>13</v>
      </c>
      <c r="B4467" t="s">
        <v>87</v>
      </c>
      <c r="C4467" t="s">
        <v>1835</v>
      </c>
      <c r="D4467" t="s">
        <v>1091</v>
      </c>
      <c r="E4467" t="s">
        <v>1037</v>
      </c>
      <c r="F4467">
        <v>1391628.087869048</v>
      </c>
    </row>
    <row r="4468" spans="1:6">
      <c r="A4468" t="s">
        <v>13</v>
      </c>
      <c r="B4468" t="s">
        <v>87</v>
      </c>
      <c r="C4468" t="s">
        <v>1835</v>
      </c>
      <c r="D4468" t="s">
        <v>1091</v>
      </c>
      <c r="E4468" t="s">
        <v>1103</v>
      </c>
      <c r="F4468">
        <v>1091685.037869048</v>
      </c>
    </row>
    <row r="4469" spans="1:6">
      <c r="A4469" t="s">
        <v>13</v>
      </c>
      <c r="B4469" t="s">
        <v>87</v>
      </c>
      <c r="C4469" t="s">
        <v>1835</v>
      </c>
      <c r="D4469" t="s">
        <v>1091</v>
      </c>
      <c r="E4469" t="s">
        <v>1104</v>
      </c>
      <c r="F4469">
        <v>245197.5900000002</v>
      </c>
    </row>
    <row r="4470" spans="1:6">
      <c r="A4470" t="s">
        <v>13</v>
      </c>
      <c r="B4470" t="s">
        <v>87</v>
      </c>
      <c r="C4470" t="s">
        <v>1835</v>
      </c>
      <c r="D4470" t="s">
        <v>1091</v>
      </c>
      <c r="E4470" t="s">
        <v>1105</v>
      </c>
      <c r="F4470">
        <v>54745.46</v>
      </c>
    </row>
    <row r="4471" spans="1:6">
      <c r="A4471" t="s">
        <v>13</v>
      </c>
      <c r="B4471" t="s">
        <v>87</v>
      </c>
      <c r="C4471" t="s">
        <v>1835</v>
      </c>
      <c r="D4471" t="s">
        <v>1091</v>
      </c>
      <c r="E4471" t="s">
        <v>1038</v>
      </c>
      <c r="F4471" t="s">
        <v>1106</v>
      </c>
    </row>
    <row r="4472" spans="1:6">
      <c r="A4472" t="s">
        <v>13</v>
      </c>
      <c r="B4472" t="s">
        <v>87</v>
      </c>
      <c r="C4472" t="s">
        <v>1835</v>
      </c>
      <c r="D4472" t="s">
        <v>1091</v>
      </c>
      <c r="E4472" t="s">
        <v>1039</v>
      </c>
      <c r="F4472">
        <v>1379635.797869048</v>
      </c>
    </row>
    <row r="4473" spans="1:6">
      <c r="A4473" t="s">
        <v>13</v>
      </c>
      <c r="B4473" t="s">
        <v>87</v>
      </c>
      <c r="C4473" t="s">
        <v>1835</v>
      </c>
      <c r="D4473" t="s">
        <v>1091</v>
      </c>
      <c r="E4473" t="s">
        <v>1040</v>
      </c>
      <c r="F4473">
        <v>1085507.947869048</v>
      </c>
    </row>
    <row r="4474" spans="1:6">
      <c r="A4474" t="s">
        <v>13</v>
      </c>
      <c r="B4474" t="s">
        <v>87</v>
      </c>
      <c r="C4474" t="s">
        <v>1835</v>
      </c>
      <c r="D4474" t="s">
        <v>1091</v>
      </c>
      <c r="E4474" t="s">
        <v>1041</v>
      </c>
      <c r="F4474">
        <v>244767.7100000003</v>
      </c>
    </row>
    <row r="4475" spans="1:6">
      <c r="A4475" t="s">
        <v>13</v>
      </c>
      <c r="B4475" t="s">
        <v>87</v>
      </c>
      <c r="C4475" t="s">
        <v>1835</v>
      </c>
      <c r="D4475" t="s">
        <v>1091</v>
      </c>
      <c r="E4475" t="s">
        <v>1042</v>
      </c>
      <c r="F4475">
        <v>49360.14000000005</v>
      </c>
    </row>
    <row r="4476" spans="1:6">
      <c r="A4476" t="s">
        <v>13</v>
      </c>
      <c r="B4476" t="s">
        <v>87</v>
      </c>
      <c r="C4476" t="s">
        <v>1835</v>
      </c>
      <c r="D4476" t="s">
        <v>1091</v>
      </c>
      <c r="E4476" t="s">
        <v>1052</v>
      </c>
      <c r="F4476" t="s">
        <v>1107</v>
      </c>
    </row>
    <row r="4477" spans="1:6">
      <c r="A4477" t="s">
        <v>13</v>
      </c>
      <c r="B4477" t="s">
        <v>87</v>
      </c>
      <c r="C4477" t="s">
        <v>1835</v>
      </c>
      <c r="D4477" t="s">
        <v>1091</v>
      </c>
      <c r="E4477" t="s">
        <v>1053</v>
      </c>
      <c r="F4477">
        <v>1328418.207869048</v>
      </c>
    </row>
    <row r="4478" spans="1:6">
      <c r="A4478" t="s">
        <v>13</v>
      </c>
      <c r="B4478" t="s">
        <v>87</v>
      </c>
      <c r="C4478" t="s">
        <v>1835</v>
      </c>
      <c r="D4478" t="s">
        <v>1091</v>
      </c>
      <c r="E4478" t="s">
        <v>1108</v>
      </c>
      <c r="F4478">
        <v>1034853.737869048</v>
      </c>
    </row>
    <row r="4479" spans="1:6">
      <c r="A4479" t="s">
        <v>13</v>
      </c>
      <c r="B4479" t="s">
        <v>87</v>
      </c>
      <c r="C4479" t="s">
        <v>1835</v>
      </c>
      <c r="D4479" t="s">
        <v>1091</v>
      </c>
      <c r="E4479" t="s">
        <v>1109</v>
      </c>
      <c r="F4479">
        <v>244204.3300000002</v>
      </c>
    </row>
    <row r="4480" spans="1:6">
      <c r="A4480" t="s">
        <v>13</v>
      </c>
      <c r="B4480" t="s">
        <v>87</v>
      </c>
      <c r="C4480" t="s">
        <v>1835</v>
      </c>
      <c r="D4480" t="s">
        <v>1091</v>
      </c>
      <c r="E4480" t="s">
        <v>1110</v>
      </c>
      <c r="F4480">
        <v>49360.14000000005</v>
      </c>
    </row>
    <row r="4481" spans="1:6">
      <c r="A4481" t="s">
        <v>13</v>
      </c>
      <c r="B4481" t="s">
        <v>87</v>
      </c>
      <c r="C4481" t="s">
        <v>1835</v>
      </c>
      <c r="D4481" t="s">
        <v>1091</v>
      </c>
      <c r="E4481" t="s">
        <v>1111</v>
      </c>
      <c r="F4481" t="s">
        <v>1307</v>
      </c>
    </row>
    <row r="4482" spans="1:6">
      <c r="A4482" t="s">
        <v>13</v>
      </c>
      <c r="B4482" t="s">
        <v>87</v>
      </c>
      <c r="C4482" t="s">
        <v>1835</v>
      </c>
      <c r="D4482" t="s">
        <v>1091</v>
      </c>
      <c r="E4482" t="s">
        <v>1113</v>
      </c>
      <c r="F4482">
        <v>0</v>
      </c>
    </row>
    <row r="4483" spans="1:6">
      <c r="A4483" t="s">
        <v>13</v>
      </c>
      <c r="B4483" t="s">
        <v>87</v>
      </c>
      <c r="C4483" t="s">
        <v>1835</v>
      </c>
      <c r="D4483" t="s">
        <v>1091</v>
      </c>
      <c r="E4483" t="s">
        <v>1114</v>
      </c>
      <c r="F4483">
        <v>0</v>
      </c>
    </row>
    <row r="4484" spans="1:6">
      <c r="A4484" t="s">
        <v>13</v>
      </c>
      <c r="B4484" t="s">
        <v>87</v>
      </c>
      <c r="C4484" t="s">
        <v>1835</v>
      </c>
      <c r="D4484" t="s">
        <v>1091</v>
      </c>
      <c r="E4484" t="s">
        <v>1115</v>
      </c>
      <c r="F4484">
        <v>0</v>
      </c>
    </row>
    <row r="4485" spans="1:6">
      <c r="A4485" t="s">
        <v>13</v>
      </c>
      <c r="B4485" t="s">
        <v>87</v>
      </c>
      <c r="C4485" t="s">
        <v>1835</v>
      </c>
      <c r="D4485" t="s">
        <v>1091</v>
      </c>
      <c r="E4485" t="s">
        <v>1116</v>
      </c>
      <c r="F4485">
        <v>0</v>
      </c>
    </row>
    <row r="4486" spans="1:6">
      <c r="A4486" t="s">
        <v>13</v>
      </c>
      <c r="B4486" t="s">
        <v>87</v>
      </c>
      <c r="C4486" t="s">
        <v>1835</v>
      </c>
      <c r="D4486" t="s">
        <v>1091</v>
      </c>
      <c r="E4486" t="s">
        <v>1054</v>
      </c>
      <c r="F4486" t="s">
        <v>1308</v>
      </c>
    </row>
    <row r="4487" spans="1:6">
      <c r="A4487" t="s">
        <v>13</v>
      </c>
      <c r="B4487" t="s">
        <v>87</v>
      </c>
      <c r="C4487" t="s">
        <v>1835</v>
      </c>
      <c r="D4487" t="s">
        <v>1091</v>
      </c>
      <c r="E4487" t="s">
        <v>1118</v>
      </c>
      <c r="F4487">
        <v>51217.59000000002</v>
      </c>
    </row>
    <row r="4488" spans="1:6">
      <c r="A4488" t="s">
        <v>13</v>
      </c>
      <c r="B4488" t="s">
        <v>87</v>
      </c>
      <c r="C4488" t="s">
        <v>1835</v>
      </c>
      <c r="D4488" t="s">
        <v>1091</v>
      </c>
      <c r="E4488" t="s">
        <v>1119</v>
      </c>
      <c r="F4488">
        <v>50654.21000000002</v>
      </c>
    </row>
    <row r="4489" spans="1:6">
      <c r="A4489" t="s">
        <v>13</v>
      </c>
      <c r="B4489" t="s">
        <v>87</v>
      </c>
      <c r="C4489" t="s">
        <v>1835</v>
      </c>
      <c r="D4489" t="s">
        <v>1091</v>
      </c>
      <c r="E4489" t="s">
        <v>1120</v>
      </c>
      <c r="F4489">
        <v>563.38</v>
      </c>
    </row>
    <row r="4490" spans="1:6">
      <c r="A4490" t="s">
        <v>13</v>
      </c>
      <c r="B4490" t="s">
        <v>87</v>
      </c>
      <c r="C4490" t="s">
        <v>1835</v>
      </c>
      <c r="D4490" t="s">
        <v>1091</v>
      </c>
      <c r="E4490" t="s">
        <v>1121</v>
      </c>
      <c r="F4490">
        <v>0</v>
      </c>
    </row>
    <row r="4491" spans="1:6">
      <c r="A4491" t="s">
        <v>13</v>
      </c>
      <c r="B4491" t="s">
        <v>87</v>
      </c>
      <c r="C4491" t="s">
        <v>1835</v>
      </c>
      <c r="D4491" t="s">
        <v>1091</v>
      </c>
      <c r="E4491" t="s">
        <v>1122</v>
      </c>
      <c r="F4491" t="s">
        <v>1123</v>
      </c>
    </row>
    <row r="4492" spans="1:6">
      <c r="A4492" t="s">
        <v>13</v>
      </c>
      <c r="B4492" t="s">
        <v>87</v>
      </c>
      <c r="C4492" t="s">
        <v>1835</v>
      </c>
      <c r="D4492" t="s">
        <v>1091</v>
      </c>
      <c r="E4492" t="s">
        <v>1124</v>
      </c>
      <c r="F4492">
        <v>0.991382546741807</v>
      </c>
    </row>
    <row r="4493" spans="1:6">
      <c r="A4493" t="s">
        <v>13</v>
      </c>
      <c r="B4493" t="s">
        <v>87</v>
      </c>
      <c r="C4493" t="s">
        <v>1835</v>
      </c>
      <c r="D4493" t="s">
        <v>1091</v>
      </c>
      <c r="E4493" t="s">
        <v>1126</v>
      </c>
      <c r="F4493">
        <v>0.9943416921678641</v>
      </c>
    </row>
    <row r="4494" spans="1:6">
      <c r="A4494" t="s">
        <v>13</v>
      </c>
      <c r="B4494" t="s">
        <v>87</v>
      </c>
      <c r="C4494" t="s">
        <v>1835</v>
      </c>
      <c r="D4494" t="s">
        <v>1091</v>
      </c>
      <c r="E4494" t="s">
        <v>1127</v>
      </c>
      <c r="F4494">
        <v>0.9982468016916481</v>
      </c>
    </row>
    <row r="4495" spans="1:6">
      <c r="A4495" t="s">
        <v>13</v>
      </c>
      <c r="B4495" t="s">
        <v>87</v>
      </c>
      <c r="C4495" t="s">
        <v>1835</v>
      </c>
      <c r="D4495" t="s">
        <v>1091</v>
      </c>
      <c r="E4495" t="s">
        <v>1128</v>
      </c>
      <c r="F4495">
        <v>0.9016298337798249</v>
      </c>
    </row>
    <row r="4496" spans="1:6">
      <c r="A4496" t="s">
        <v>13</v>
      </c>
      <c r="B4496" t="s">
        <v>87</v>
      </c>
      <c r="C4496" t="s">
        <v>1835</v>
      </c>
      <c r="D4496" t="s">
        <v>1091</v>
      </c>
      <c r="E4496" t="s">
        <v>1056</v>
      </c>
      <c r="F4496" t="s">
        <v>1130</v>
      </c>
    </row>
    <row r="4497" spans="1:6">
      <c r="A4497" t="s">
        <v>13</v>
      </c>
      <c r="B4497" t="s">
        <v>87</v>
      </c>
      <c r="C4497" t="s">
        <v>1835</v>
      </c>
      <c r="D4497" t="s">
        <v>1091</v>
      </c>
      <c r="E4497" t="s">
        <v>1057</v>
      </c>
      <c r="F4497">
        <v>11992.28999999998</v>
      </c>
    </row>
    <row r="4498" spans="1:6">
      <c r="A4498" t="s">
        <v>13</v>
      </c>
      <c r="B4498" t="s">
        <v>87</v>
      </c>
      <c r="C4498" t="s">
        <v>1835</v>
      </c>
      <c r="D4498" t="s">
        <v>1091</v>
      </c>
      <c r="E4498" t="s">
        <v>1058</v>
      </c>
      <c r="F4498">
        <v>6177.090000000084</v>
      </c>
    </row>
    <row r="4499" spans="1:6">
      <c r="A4499" t="s">
        <v>13</v>
      </c>
      <c r="B4499" t="s">
        <v>87</v>
      </c>
      <c r="C4499" t="s">
        <v>1835</v>
      </c>
      <c r="D4499" t="s">
        <v>1091</v>
      </c>
      <c r="E4499" t="s">
        <v>1059</v>
      </c>
      <c r="F4499">
        <v>429.8799999999464</v>
      </c>
    </row>
    <row r="4500" spans="1:6">
      <c r="A4500" t="s">
        <v>13</v>
      </c>
      <c r="B4500" t="s">
        <v>87</v>
      </c>
      <c r="C4500" t="s">
        <v>1835</v>
      </c>
      <c r="D4500" t="s">
        <v>1091</v>
      </c>
      <c r="E4500" t="s">
        <v>1060</v>
      </c>
      <c r="F4500">
        <v>5385.319999999949</v>
      </c>
    </row>
    <row r="4501" spans="1:6">
      <c r="A4501" t="s">
        <v>13</v>
      </c>
      <c r="B4501" t="s">
        <v>87</v>
      </c>
      <c r="C4501" t="s">
        <v>1835</v>
      </c>
      <c r="D4501" t="s">
        <v>1091</v>
      </c>
      <c r="E4501" t="s">
        <v>1071</v>
      </c>
      <c r="F4501" t="s">
        <v>1131</v>
      </c>
    </row>
    <row r="4502" spans="1:6">
      <c r="A4502" t="s">
        <v>13</v>
      </c>
      <c r="B4502" t="s">
        <v>87</v>
      </c>
      <c r="C4502" t="s">
        <v>1835</v>
      </c>
      <c r="D4502" t="s">
        <v>1091</v>
      </c>
      <c r="E4502" t="s">
        <v>1072</v>
      </c>
      <c r="F4502">
        <v>0.008617453258192968</v>
      </c>
    </row>
    <row r="4503" spans="1:6">
      <c r="A4503" t="s">
        <v>13</v>
      </c>
      <c r="B4503" t="s">
        <v>87</v>
      </c>
      <c r="C4503" t="s">
        <v>1835</v>
      </c>
      <c r="D4503" t="s">
        <v>1091</v>
      </c>
      <c r="E4503" t="s">
        <v>1133</v>
      </c>
      <c r="F4503">
        <v>0.005658307832135967</v>
      </c>
    </row>
    <row r="4504" spans="1:6">
      <c r="A4504" t="s">
        <v>13</v>
      </c>
      <c r="B4504" t="s">
        <v>87</v>
      </c>
      <c r="C4504" t="s">
        <v>1835</v>
      </c>
      <c r="D4504" t="s">
        <v>1091</v>
      </c>
      <c r="E4504" t="s">
        <v>1134</v>
      </c>
      <c r="F4504">
        <v>0.001753198308351832</v>
      </c>
    </row>
    <row r="4505" spans="1:6">
      <c r="A4505" t="s">
        <v>13</v>
      </c>
      <c r="B4505" t="s">
        <v>87</v>
      </c>
      <c r="C4505" t="s">
        <v>1835</v>
      </c>
      <c r="D4505" t="s">
        <v>1091</v>
      </c>
      <c r="E4505" t="s">
        <v>1135</v>
      </c>
      <c r="F4505">
        <v>0.09837016622017514</v>
      </c>
    </row>
    <row r="4506" spans="1:6">
      <c r="A4506" t="s">
        <v>13</v>
      </c>
      <c r="B4506" t="s">
        <v>87</v>
      </c>
      <c r="C4506" t="s">
        <v>1835</v>
      </c>
      <c r="D4506" t="s">
        <v>1091</v>
      </c>
      <c r="E4506" t="s">
        <v>1076</v>
      </c>
      <c r="F4506" t="s">
        <v>1137</v>
      </c>
    </row>
    <row r="4507" spans="1:6">
      <c r="A4507" t="s">
        <v>13</v>
      </c>
      <c r="B4507" t="s">
        <v>87</v>
      </c>
      <c r="C4507" t="s">
        <v>1835</v>
      </c>
      <c r="D4507" t="s">
        <v>1091</v>
      </c>
      <c r="E4507" t="s">
        <v>1077</v>
      </c>
      <c r="F4507">
        <v>0</v>
      </c>
    </row>
    <row r="4508" spans="1:6">
      <c r="A4508" t="s">
        <v>13</v>
      </c>
      <c r="B4508" t="s">
        <v>87</v>
      </c>
      <c r="C4508" t="s">
        <v>1835</v>
      </c>
      <c r="D4508" t="s">
        <v>1091</v>
      </c>
      <c r="E4508" t="s">
        <v>1078</v>
      </c>
      <c r="F4508">
        <v>0</v>
      </c>
    </row>
    <row r="4509" spans="1:6">
      <c r="A4509" t="s">
        <v>13</v>
      </c>
      <c r="B4509" t="s">
        <v>87</v>
      </c>
      <c r="C4509" t="s">
        <v>1835</v>
      </c>
      <c r="D4509" t="s">
        <v>1091</v>
      </c>
      <c r="E4509" t="s">
        <v>1079</v>
      </c>
      <c r="F4509">
        <v>0</v>
      </c>
    </row>
    <row r="4510" spans="1:6">
      <c r="A4510" t="s">
        <v>13</v>
      </c>
      <c r="B4510" t="s">
        <v>87</v>
      </c>
      <c r="C4510" t="s">
        <v>1835</v>
      </c>
      <c r="D4510" t="s">
        <v>1091</v>
      </c>
      <c r="E4510" t="s">
        <v>1090</v>
      </c>
      <c r="F4510" t="s">
        <v>1138</v>
      </c>
    </row>
    <row r="4511" spans="1:6">
      <c r="A4511" t="s">
        <v>13</v>
      </c>
      <c r="B4511" t="s">
        <v>87</v>
      </c>
      <c r="C4511" t="s">
        <v>1835</v>
      </c>
      <c r="D4511" t="s">
        <v>1091</v>
      </c>
      <c r="E4511" t="s">
        <v>1139</v>
      </c>
      <c r="F4511">
        <v>-0.005658307832135967</v>
      </c>
    </row>
    <row r="4512" spans="1:6">
      <c r="A4512" t="s">
        <v>13</v>
      </c>
      <c r="B4512" t="s">
        <v>87</v>
      </c>
      <c r="C4512" t="s">
        <v>1835</v>
      </c>
      <c r="D4512" t="s">
        <v>1091</v>
      </c>
      <c r="E4512" t="s">
        <v>1140</v>
      </c>
      <c r="F4512">
        <v>-0.001753198308351832</v>
      </c>
    </row>
    <row r="4513" spans="1:6">
      <c r="A4513" t="s">
        <v>13</v>
      </c>
      <c r="B4513" t="s">
        <v>87</v>
      </c>
      <c r="C4513" t="s">
        <v>1835</v>
      </c>
      <c r="D4513" t="s">
        <v>1091</v>
      </c>
      <c r="E4513" t="s">
        <v>1141</v>
      </c>
      <c r="F4513">
        <v>-0.04320305864008737</v>
      </c>
    </row>
    <row r="4514" spans="1:6">
      <c r="A4514" t="s">
        <v>13</v>
      </c>
      <c r="B4514" t="s">
        <v>87</v>
      </c>
      <c r="C4514" t="s">
        <v>1835</v>
      </c>
      <c r="D4514" t="s">
        <v>1091</v>
      </c>
      <c r="E4514" t="s">
        <v>1143</v>
      </c>
      <c r="F4514" t="s">
        <v>1144</v>
      </c>
    </row>
    <row r="4515" spans="1:6">
      <c r="A4515" t="s">
        <v>13</v>
      </c>
      <c r="B4515" t="s">
        <v>87</v>
      </c>
      <c r="C4515" t="s">
        <v>1835</v>
      </c>
      <c r="D4515" t="s">
        <v>1091</v>
      </c>
      <c r="E4515" t="s">
        <v>1145</v>
      </c>
      <c r="F4515" t="s">
        <v>1146</v>
      </c>
    </row>
    <row r="4516" spans="1:6">
      <c r="A4516" t="s">
        <v>13</v>
      </c>
      <c r="B4516" t="s">
        <v>87</v>
      </c>
      <c r="C4516" t="s">
        <v>1835</v>
      </c>
      <c r="D4516" t="s">
        <v>1091</v>
      </c>
      <c r="E4516" t="s">
        <v>1147</v>
      </c>
      <c r="F4516" t="s">
        <v>1148</v>
      </c>
    </row>
    <row r="4517" spans="1:6">
      <c r="A4517" t="s">
        <v>13</v>
      </c>
      <c r="B4517" t="s">
        <v>87</v>
      </c>
      <c r="C4517" t="s">
        <v>1835</v>
      </c>
      <c r="D4517" t="s">
        <v>1091</v>
      </c>
      <c r="E4517" t="s">
        <v>1149</v>
      </c>
      <c r="F4517" t="s">
        <v>1150</v>
      </c>
    </row>
    <row r="4518" spans="1:6">
      <c r="A4518" t="s">
        <v>13</v>
      </c>
      <c r="B4518" t="s">
        <v>87</v>
      </c>
      <c r="C4518" t="s">
        <v>1835</v>
      </c>
      <c r="D4518" t="s">
        <v>1091</v>
      </c>
      <c r="E4518" t="s">
        <v>1151</v>
      </c>
      <c r="F4518" t="s">
        <v>1009</v>
      </c>
    </row>
    <row r="4519" spans="1:6">
      <c r="A4519" t="s">
        <v>13</v>
      </c>
      <c r="B4519" t="s">
        <v>87</v>
      </c>
      <c r="C4519" t="s">
        <v>1835</v>
      </c>
      <c r="D4519" t="s">
        <v>1091</v>
      </c>
      <c r="E4519" t="s">
        <v>1152</v>
      </c>
      <c r="F4519" t="s">
        <v>1836</v>
      </c>
    </row>
    <row r="4520" spans="1:6">
      <c r="A4520" t="s">
        <v>13</v>
      </c>
      <c r="B4520" t="s">
        <v>87</v>
      </c>
      <c r="C4520" t="s">
        <v>1835</v>
      </c>
      <c r="D4520" t="s">
        <v>1091</v>
      </c>
      <c r="E4520" t="s">
        <v>1154</v>
      </c>
      <c r="F4520" t="s">
        <v>1837</v>
      </c>
    </row>
    <row r="4521" spans="1:6">
      <c r="A4521" t="s">
        <v>13</v>
      </c>
      <c r="B4521" t="s">
        <v>87</v>
      </c>
      <c r="C4521" t="s">
        <v>1835</v>
      </c>
      <c r="D4521" t="s">
        <v>1091</v>
      </c>
      <c r="E4521" t="s">
        <v>1156</v>
      </c>
      <c r="F4521" t="s">
        <v>1838</v>
      </c>
    </row>
    <row r="4522" spans="1:6">
      <c r="A4522" t="s">
        <v>13</v>
      </c>
      <c r="B4522" t="s">
        <v>87</v>
      </c>
      <c r="C4522" t="s">
        <v>1835</v>
      </c>
      <c r="D4522" t="s">
        <v>1091</v>
      </c>
      <c r="E4522" t="s">
        <v>1158</v>
      </c>
      <c r="F4522" t="s">
        <v>1839</v>
      </c>
    </row>
    <row r="4523" spans="1:6">
      <c r="A4523" t="s">
        <v>13</v>
      </c>
      <c r="B4523" t="s">
        <v>87</v>
      </c>
      <c r="C4523" t="s">
        <v>1835</v>
      </c>
      <c r="D4523" t="s">
        <v>1091</v>
      </c>
      <c r="E4523" t="s">
        <v>1160</v>
      </c>
      <c r="F4523" t="s">
        <v>1840</v>
      </c>
    </row>
    <row r="4524" spans="1:6">
      <c r="A4524" t="s">
        <v>13</v>
      </c>
      <c r="B4524" t="s">
        <v>87</v>
      </c>
      <c r="C4524" t="s">
        <v>1835</v>
      </c>
      <c r="D4524" t="s">
        <v>1091</v>
      </c>
      <c r="E4524" t="s">
        <v>1162</v>
      </c>
      <c r="F4524" t="s">
        <v>1841</v>
      </c>
    </row>
    <row r="4525" spans="1:6">
      <c r="A4525" t="s">
        <v>13</v>
      </c>
      <c r="B4525" t="s">
        <v>87</v>
      </c>
      <c r="C4525" t="s">
        <v>1835</v>
      </c>
      <c r="D4525" t="s">
        <v>1091</v>
      </c>
      <c r="E4525" t="s">
        <v>1164</v>
      </c>
      <c r="F4525" t="s">
        <v>1165</v>
      </c>
    </row>
    <row r="4526" spans="1:6">
      <c r="A4526" t="s">
        <v>13</v>
      </c>
      <c r="B4526" t="s">
        <v>87</v>
      </c>
      <c r="C4526" t="s">
        <v>1835</v>
      </c>
      <c r="D4526" t="s">
        <v>1091</v>
      </c>
      <c r="E4526" t="s">
        <v>1166</v>
      </c>
      <c r="F4526">
        <v>54745.46000000001</v>
      </c>
    </row>
    <row r="4527" spans="1:6">
      <c r="A4527" t="s">
        <v>13</v>
      </c>
      <c r="B4527" t="s">
        <v>87</v>
      </c>
      <c r="C4527" t="s">
        <v>1835</v>
      </c>
      <c r="D4527" t="s">
        <v>1091</v>
      </c>
      <c r="E4527" t="s">
        <v>1167</v>
      </c>
      <c r="F4527">
        <v>3156.52</v>
      </c>
    </row>
    <row r="4528" spans="1:6">
      <c r="A4528" t="s">
        <v>13</v>
      </c>
      <c r="B4528" t="s">
        <v>87</v>
      </c>
      <c r="C4528" t="s">
        <v>1835</v>
      </c>
      <c r="D4528" t="s">
        <v>1091</v>
      </c>
      <c r="E4528" t="s">
        <v>1168</v>
      </c>
      <c r="F4528">
        <v>11020.09</v>
      </c>
    </row>
    <row r="4529" spans="1:6">
      <c r="A4529" t="s">
        <v>13</v>
      </c>
      <c r="B4529" t="s">
        <v>87</v>
      </c>
      <c r="C4529" t="s">
        <v>1835</v>
      </c>
      <c r="D4529" t="s">
        <v>1091</v>
      </c>
      <c r="E4529" t="s">
        <v>1169</v>
      </c>
      <c r="F4529">
        <v>4747.02</v>
      </c>
    </row>
    <row r="4530" spans="1:6">
      <c r="A4530" t="s">
        <v>13</v>
      </c>
      <c r="B4530" t="s">
        <v>87</v>
      </c>
      <c r="C4530" t="s">
        <v>1835</v>
      </c>
      <c r="D4530" t="s">
        <v>1091</v>
      </c>
      <c r="E4530" t="s">
        <v>1170</v>
      </c>
      <c r="F4530">
        <v>25273.23000000001</v>
      </c>
    </row>
    <row r="4531" spans="1:6">
      <c r="A4531" t="s">
        <v>13</v>
      </c>
      <c r="B4531" t="s">
        <v>87</v>
      </c>
      <c r="C4531" t="s">
        <v>1835</v>
      </c>
      <c r="D4531" t="s">
        <v>1091</v>
      </c>
      <c r="E4531" t="s">
        <v>1171</v>
      </c>
      <c r="F4531">
        <v>6335.460000000001</v>
      </c>
    </row>
    <row r="4532" spans="1:6">
      <c r="A4532" t="s">
        <v>13</v>
      </c>
      <c r="B4532" t="s">
        <v>87</v>
      </c>
      <c r="C4532" t="s">
        <v>1835</v>
      </c>
      <c r="D4532" t="s">
        <v>1091</v>
      </c>
      <c r="E4532" t="s">
        <v>1172</v>
      </c>
      <c r="F4532">
        <v>4213.139999999999</v>
      </c>
    </row>
    <row r="4533" spans="1:6">
      <c r="A4533" t="s">
        <v>13</v>
      </c>
      <c r="B4533" t="s">
        <v>87</v>
      </c>
      <c r="C4533" t="s">
        <v>1835</v>
      </c>
      <c r="D4533" t="s">
        <v>1091</v>
      </c>
      <c r="E4533" t="s">
        <v>1173</v>
      </c>
      <c r="F4533" t="s">
        <v>1174</v>
      </c>
    </row>
    <row r="4534" spans="1:6">
      <c r="A4534" t="s">
        <v>13</v>
      </c>
      <c r="B4534" t="s">
        <v>87</v>
      </c>
      <c r="C4534" t="s">
        <v>1835</v>
      </c>
      <c r="D4534" t="s">
        <v>1091</v>
      </c>
      <c r="E4534" t="s">
        <v>1175</v>
      </c>
      <c r="F4534">
        <v>264</v>
      </c>
    </row>
    <row r="4535" spans="1:6">
      <c r="A4535" t="s">
        <v>13</v>
      </c>
      <c r="B4535" t="s">
        <v>87</v>
      </c>
      <c r="C4535" t="s">
        <v>1835</v>
      </c>
      <c r="D4535" t="s">
        <v>1091</v>
      </c>
      <c r="E4535" t="s">
        <v>1176</v>
      </c>
      <c r="F4535">
        <v>27</v>
      </c>
    </row>
    <row r="4536" spans="1:6">
      <c r="A4536" t="s">
        <v>13</v>
      </c>
      <c r="B4536" t="s">
        <v>87</v>
      </c>
      <c r="C4536" t="s">
        <v>1835</v>
      </c>
      <c r="D4536" t="s">
        <v>1091</v>
      </c>
      <c r="E4536" t="s">
        <v>1177</v>
      </c>
      <c r="F4536">
        <v>30</v>
      </c>
    </row>
    <row r="4537" spans="1:6">
      <c r="A4537" t="s">
        <v>13</v>
      </c>
      <c r="B4537" t="s">
        <v>87</v>
      </c>
      <c r="C4537" t="s">
        <v>1835</v>
      </c>
      <c r="D4537" t="s">
        <v>1091</v>
      </c>
      <c r="E4537" t="s">
        <v>1178</v>
      </c>
      <c r="F4537">
        <v>42</v>
      </c>
    </row>
    <row r="4538" spans="1:6">
      <c r="A4538" t="s">
        <v>13</v>
      </c>
      <c r="B4538" t="s">
        <v>87</v>
      </c>
      <c r="C4538" t="s">
        <v>1835</v>
      </c>
      <c r="D4538" t="s">
        <v>1091</v>
      </c>
      <c r="E4538" t="s">
        <v>1179</v>
      </c>
      <c r="F4538">
        <v>32</v>
      </c>
    </row>
    <row r="4539" spans="1:6">
      <c r="A4539" t="s">
        <v>13</v>
      </c>
      <c r="B4539" t="s">
        <v>87</v>
      </c>
      <c r="C4539" t="s">
        <v>1835</v>
      </c>
      <c r="D4539" t="s">
        <v>1091</v>
      </c>
      <c r="E4539" t="s">
        <v>1180</v>
      </c>
      <c r="F4539">
        <v>67</v>
      </c>
    </row>
    <row r="4540" spans="1:6">
      <c r="A4540" t="s">
        <v>13</v>
      </c>
      <c r="B4540" t="s">
        <v>87</v>
      </c>
      <c r="C4540" t="s">
        <v>1835</v>
      </c>
      <c r="D4540" t="s">
        <v>1091</v>
      </c>
      <c r="E4540" t="s">
        <v>1181</v>
      </c>
      <c r="F4540">
        <v>66</v>
      </c>
    </row>
    <row r="4541" spans="1:6">
      <c r="A4541" t="s">
        <v>13</v>
      </c>
      <c r="B4541" t="s">
        <v>87</v>
      </c>
      <c r="C4541" t="s">
        <v>1835</v>
      </c>
      <c r="D4541" t="s">
        <v>1091</v>
      </c>
      <c r="E4541" t="s">
        <v>1182</v>
      </c>
      <c r="F4541" t="s">
        <v>1183</v>
      </c>
    </row>
    <row r="4542" spans="1:6">
      <c r="A4542" t="s">
        <v>13</v>
      </c>
      <c r="B4542" t="s">
        <v>87</v>
      </c>
      <c r="C4542" t="s">
        <v>1835</v>
      </c>
      <c r="D4542" t="s">
        <v>1091</v>
      </c>
      <c r="E4542" t="s">
        <v>1184</v>
      </c>
      <c r="F4542">
        <v>49360.14000000001</v>
      </c>
    </row>
    <row r="4543" spans="1:6">
      <c r="A4543" t="s">
        <v>13</v>
      </c>
      <c r="B4543" t="s">
        <v>87</v>
      </c>
      <c r="C4543" t="s">
        <v>1835</v>
      </c>
      <c r="D4543" t="s">
        <v>1091</v>
      </c>
      <c r="E4543" t="s">
        <v>1185</v>
      </c>
      <c r="F4543">
        <v>0</v>
      </c>
    </row>
    <row r="4544" spans="1:6">
      <c r="A4544" t="s">
        <v>13</v>
      </c>
      <c r="B4544" t="s">
        <v>87</v>
      </c>
      <c r="C4544" t="s">
        <v>1835</v>
      </c>
      <c r="D4544" t="s">
        <v>1091</v>
      </c>
      <c r="E4544" t="s">
        <v>1186</v>
      </c>
      <c r="F4544">
        <v>11005.86</v>
      </c>
    </row>
    <row r="4545" spans="1:6">
      <c r="A4545" t="s">
        <v>13</v>
      </c>
      <c r="B4545" t="s">
        <v>87</v>
      </c>
      <c r="C4545" t="s">
        <v>1835</v>
      </c>
      <c r="D4545" t="s">
        <v>1091</v>
      </c>
      <c r="E4545" t="s">
        <v>1187</v>
      </c>
      <c r="F4545">
        <v>4747.02</v>
      </c>
    </row>
    <row r="4546" spans="1:6">
      <c r="A4546" t="s">
        <v>13</v>
      </c>
      <c r="B4546" t="s">
        <v>87</v>
      </c>
      <c r="C4546" t="s">
        <v>1835</v>
      </c>
      <c r="D4546" t="s">
        <v>1091</v>
      </c>
      <c r="E4546" t="s">
        <v>1188</v>
      </c>
      <c r="F4546">
        <v>25273.23000000001</v>
      </c>
    </row>
    <row r="4547" spans="1:6">
      <c r="A4547" t="s">
        <v>13</v>
      </c>
      <c r="B4547" t="s">
        <v>87</v>
      </c>
      <c r="C4547" t="s">
        <v>1835</v>
      </c>
      <c r="D4547" t="s">
        <v>1091</v>
      </c>
      <c r="E4547" t="s">
        <v>1189</v>
      </c>
      <c r="F4547">
        <v>4538.530000000001</v>
      </c>
    </row>
    <row r="4548" spans="1:6">
      <c r="A4548" t="s">
        <v>13</v>
      </c>
      <c r="B4548" t="s">
        <v>87</v>
      </c>
      <c r="C4548" t="s">
        <v>1835</v>
      </c>
      <c r="D4548" t="s">
        <v>1091</v>
      </c>
      <c r="E4548" t="s">
        <v>1190</v>
      </c>
      <c r="F4548">
        <v>3795.499999999999</v>
      </c>
    </row>
    <row r="4549" spans="1:6">
      <c r="A4549" t="s">
        <v>13</v>
      </c>
      <c r="B4549" t="s">
        <v>87</v>
      </c>
      <c r="C4549" t="s">
        <v>1835</v>
      </c>
      <c r="D4549" t="s">
        <v>1091</v>
      </c>
      <c r="E4549" t="s">
        <v>1191</v>
      </c>
      <c r="F4549" t="s">
        <v>1192</v>
      </c>
    </row>
    <row r="4550" spans="1:6">
      <c r="A4550" t="s">
        <v>13</v>
      </c>
      <c r="B4550" t="s">
        <v>87</v>
      </c>
      <c r="C4550" t="s">
        <v>1835</v>
      </c>
      <c r="D4550" t="s">
        <v>1091</v>
      </c>
      <c r="E4550" t="s">
        <v>1193</v>
      </c>
      <c r="F4550">
        <v>0</v>
      </c>
    </row>
    <row r="4551" spans="1:6">
      <c r="A4551" t="s">
        <v>13</v>
      </c>
      <c r="B4551" t="s">
        <v>87</v>
      </c>
      <c r="C4551" t="s">
        <v>1835</v>
      </c>
      <c r="D4551" t="s">
        <v>1091</v>
      </c>
      <c r="E4551" t="s">
        <v>1194</v>
      </c>
      <c r="F4551">
        <v>29</v>
      </c>
    </row>
    <row r="4552" spans="1:6">
      <c r="A4552" t="s">
        <v>13</v>
      </c>
      <c r="B4552" t="s">
        <v>87</v>
      </c>
      <c r="C4552" t="s">
        <v>1835</v>
      </c>
      <c r="D4552" t="s">
        <v>1091</v>
      </c>
      <c r="E4552" t="s">
        <v>1195</v>
      </c>
      <c r="F4552">
        <v>42</v>
      </c>
    </row>
    <row r="4553" spans="1:6">
      <c r="A4553" t="s">
        <v>13</v>
      </c>
      <c r="B4553" t="s">
        <v>87</v>
      </c>
      <c r="C4553" t="s">
        <v>1835</v>
      </c>
      <c r="D4553" t="s">
        <v>1091</v>
      </c>
      <c r="E4553" t="s">
        <v>1196</v>
      </c>
      <c r="F4553">
        <v>32</v>
      </c>
    </row>
    <row r="4554" spans="1:6">
      <c r="A4554" t="s">
        <v>13</v>
      </c>
      <c r="B4554" t="s">
        <v>87</v>
      </c>
      <c r="C4554" t="s">
        <v>1835</v>
      </c>
      <c r="D4554" t="s">
        <v>1091</v>
      </c>
      <c r="E4554" t="s">
        <v>1197</v>
      </c>
      <c r="F4554">
        <v>45</v>
      </c>
    </row>
    <row r="4555" spans="1:6">
      <c r="A4555" t="s">
        <v>13</v>
      </c>
      <c r="B4555" t="s">
        <v>87</v>
      </c>
      <c r="C4555" t="s">
        <v>1835</v>
      </c>
      <c r="D4555" t="s">
        <v>1091</v>
      </c>
      <c r="E4555" t="s">
        <v>1198</v>
      </c>
      <c r="F4555">
        <v>51</v>
      </c>
    </row>
    <row r="4556" spans="1:6">
      <c r="A4556" t="s">
        <v>13</v>
      </c>
      <c r="B4556" t="s">
        <v>87</v>
      </c>
      <c r="C4556" t="s">
        <v>1835</v>
      </c>
      <c r="D4556" t="s">
        <v>1091</v>
      </c>
      <c r="E4556" t="s">
        <v>1199</v>
      </c>
      <c r="F4556" t="s">
        <v>1200</v>
      </c>
    </row>
    <row r="4557" spans="1:6">
      <c r="A4557" t="s">
        <v>13</v>
      </c>
      <c r="B4557" t="s">
        <v>87</v>
      </c>
      <c r="C4557" t="s">
        <v>1835</v>
      </c>
      <c r="D4557" t="s">
        <v>1091</v>
      </c>
      <c r="E4557" t="s">
        <v>1201</v>
      </c>
      <c r="F4557" t="s">
        <v>1107</v>
      </c>
    </row>
    <row r="4558" spans="1:6">
      <c r="A4558" t="s">
        <v>13</v>
      </c>
      <c r="B4558" t="s">
        <v>87</v>
      </c>
      <c r="C4558" t="s">
        <v>1835</v>
      </c>
      <c r="D4558" t="s">
        <v>1091</v>
      </c>
      <c r="E4558" t="s">
        <v>1202</v>
      </c>
      <c r="F4558">
        <v>49360.14000000001</v>
      </c>
    </row>
    <row r="4559" spans="1:6">
      <c r="A4559" t="s">
        <v>13</v>
      </c>
      <c r="B4559" t="s">
        <v>87</v>
      </c>
      <c r="C4559" t="s">
        <v>1835</v>
      </c>
      <c r="D4559" t="s">
        <v>1091</v>
      </c>
      <c r="E4559" t="s">
        <v>1203</v>
      </c>
      <c r="F4559">
        <v>0</v>
      </c>
    </row>
    <row r="4560" spans="1:6">
      <c r="A4560" t="s">
        <v>13</v>
      </c>
      <c r="B4560" t="s">
        <v>87</v>
      </c>
      <c r="C4560" t="s">
        <v>1835</v>
      </c>
      <c r="D4560" t="s">
        <v>1091</v>
      </c>
      <c r="E4560" t="s">
        <v>1204</v>
      </c>
      <c r="F4560">
        <v>11005.86</v>
      </c>
    </row>
    <row r="4561" spans="1:6">
      <c r="A4561" t="s">
        <v>13</v>
      </c>
      <c r="B4561" t="s">
        <v>87</v>
      </c>
      <c r="C4561" t="s">
        <v>1835</v>
      </c>
      <c r="D4561" t="s">
        <v>1091</v>
      </c>
      <c r="E4561" t="s">
        <v>1205</v>
      </c>
      <c r="F4561">
        <v>4747.02</v>
      </c>
    </row>
    <row r="4562" spans="1:6">
      <c r="A4562" t="s">
        <v>13</v>
      </c>
      <c r="B4562" t="s">
        <v>87</v>
      </c>
      <c r="C4562" t="s">
        <v>1835</v>
      </c>
      <c r="D4562" t="s">
        <v>1091</v>
      </c>
      <c r="E4562" t="s">
        <v>1206</v>
      </c>
      <c r="F4562">
        <v>25273.23000000001</v>
      </c>
    </row>
    <row r="4563" spans="1:6">
      <c r="A4563" t="s">
        <v>13</v>
      </c>
      <c r="B4563" t="s">
        <v>87</v>
      </c>
      <c r="C4563" t="s">
        <v>1835</v>
      </c>
      <c r="D4563" t="s">
        <v>1091</v>
      </c>
      <c r="E4563" t="s">
        <v>1207</v>
      </c>
      <c r="F4563">
        <v>4538.530000000001</v>
      </c>
    </row>
    <row r="4564" spans="1:6">
      <c r="A4564" t="s">
        <v>13</v>
      </c>
      <c r="B4564" t="s">
        <v>87</v>
      </c>
      <c r="C4564" t="s">
        <v>1835</v>
      </c>
      <c r="D4564" t="s">
        <v>1091</v>
      </c>
      <c r="E4564" t="s">
        <v>1208</v>
      </c>
      <c r="F4564">
        <v>3795.499999999999</v>
      </c>
    </row>
    <row r="4565" spans="1:6">
      <c r="A4565" t="s">
        <v>13</v>
      </c>
      <c r="B4565" t="s">
        <v>87</v>
      </c>
      <c r="C4565" t="s">
        <v>1835</v>
      </c>
      <c r="D4565" t="s">
        <v>1091</v>
      </c>
      <c r="E4565" t="s">
        <v>1209</v>
      </c>
      <c r="F4565" t="s">
        <v>1307</v>
      </c>
    </row>
    <row r="4566" spans="1:6">
      <c r="A4566" t="s">
        <v>13</v>
      </c>
      <c r="B4566" t="s">
        <v>87</v>
      </c>
      <c r="C4566" t="s">
        <v>1835</v>
      </c>
      <c r="D4566" t="s">
        <v>1091</v>
      </c>
      <c r="E4566" t="s">
        <v>1210</v>
      </c>
      <c r="F4566">
        <v>0</v>
      </c>
    </row>
    <row r="4567" spans="1:6">
      <c r="A4567" t="s">
        <v>13</v>
      </c>
      <c r="B4567" t="s">
        <v>87</v>
      </c>
      <c r="C4567" t="s">
        <v>1835</v>
      </c>
      <c r="D4567" t="s">
        <v>1091</v>
      </c>
      <c r="E4567" t="s">
        <v>1211</v>
      </c>
      <c r="F4567">
        <v>0</v>
      </c>
    </row>
    <row r="4568" spans="1:6">
      <c r="A4568" t="s">
        <v>13</v>
      </c>
      <c r="B4568" t="s">
        <v>87</v>
      </c>
      <c r="C4568" t="s">
        <v>1835</v>
      </c>
      <c r="D4568" t="s">
        <v>1091</v>
      </c>
      <c r="E4568" t="s">
        <v>1212</v>
      </c>
      <c r="F4568">
        <v>0</v>
      </c>
    </row>
    <row r="4569" spans="1:6">
      <c r="A4569" t="s">
        <v>13</v>
      </c>
      <c r="B4569" t="s">
        <v>87</v>
      </c>
      <c r="C4569" t="s">
        <v>1835</v>
      </c>
      <c r="D4569" t="s">
        <v>1091</v>
      </c>
      <c r="E4569" t="s">
        <v>1213</v>
      </c>
      <c r="F4569">
        <v>0</v>
      </c>
    </row>
    <row r="4570" spans="1:6">
      <c r="A4570" t="s">
        <v>13</v>
      </c>
      <c r="B4570" t="s">
        <v>87</v>
      </c>
      <c r="C4570" t="s">
        <v>1835</v>
      </c>
      <c r="D4570" t="s">
        <v>1091</v>
      </c>
      <c r="E4570" t="s">
        <v>1214</v>
      </c>
      <c r="F4570">
        <v>0</v>
      </c>
    </row>
    <row r="4571" spans="1:6">
      <c r="A4571" t="s">
        <v>13</v>
      </c>
      <c r="B4571" t="s">
        <v>87</v>
      </c>
      <c r="C4571" t="s">
        <v>1835</v>
      </c>
      <c r="D4571" t="s">
        <v>1091</v>
      </c>
      <c r="E4571" t="s">
        <v>1215</v>
      </c>
      <c r="F4571">
        <v>0</v>
      </c>
    </row>
    <row r="4572" spans="1:6">
      <c r="A4572" t="s">
        <v>13</v>
      </c>
      <c r="B4572" t="s">
        <v>87</v>
      </c>
      <c r="C4572" t="s">
        <v>1835</v>
      </c>
      <c r="D4572" t="s">
        <v>1091</v>
      </c>
      <c r="E4572" t="s">
        <v>1216</v>
      </c>
      <c r="F4572">
        <v>0</v>
      </c>
    </row>
    <row r="4573" spans="1:6">
      <c r="A4573" t="s">
        <v>13</v>
      </c>
      <c r="B4573" t="s">
        <v>87</v>
      </c>
      <c r="C4573" t="s">
        <v>1835</v>
      </c>
      <c r="D4573" t="s">
        <v>1091</v>
      </c>
      <c r="E4573" t="s">
        <v>1217</v>
      </c>
      <c r="F4573" t="s">
        <v>1308</v>
      </c>
    </row>
    <row r="4574" spans="1:6">
      <c r="A4574" t="s">
        <v>13</v>
      </c>
      <c r="B4574" t="s">
        <v>87</v>
      </c>
      <c r="C4574" t="s">
        <v>1835</v>
      </c>
      <c r="D4574" t="s">
        <v>1091</v>
      </c>
      <c r="E4574" t="s">
        <v>1218</v>
      </c>
      <c r="F4574">
        <v>0</v>
      </c>
    </row>
    <row r="4575" spans="1:6">
      <c r="A4575" t="s">
        <v>13</v>
      </c>
      <c r="B4575" t="s">
        <v>87</v>
      </c>
      <c r="C4575" t="s">
        <v>1835</v>
      </c>
      <c r="D4575" t="s">
        <v>1091</v>
      </c>
      <c r="E4575" t="s">
        <v>1219</v>
      </c>
      <c r="F4575">
        <v>0</v>
      </c>
    </row>
    <row r="4576" spans="1:6">
      <c r="A4576" t="s">
        <v>13</v>
      </c>
      <c r="B4576" t="s">
        <v>87</v>
      </c>
      <c r="C4576" t="s">
        <v>1835</v>
      </c>
      <c r="D4576" t="s">
        <v>1091</v>
      </c>
      <c r="E4576" t="s">
        <v>1220</v>
      </c>
      <c r="F4576">
        <v>0</v>
      </c>
    </row>
    <row r="4577" spans="1:6">
      <c r="A4577" t="s">
        <v>13</v>
      </c>
      <c r="B4577" t="s">
        <v>87</v>
      </c>
      <c r="C4577" t="s">
        <v>1835</v>
      </c>
      <c r="D4577" t="s">
        <v>1091</v>
      </c>
      <c r="E4577" t="s">
        <v>1221</v>
      </c>
      <c r="F4577">
        <v>0</v>
      </c>
    </row>
    <row r="4578" spans="1:6">
      <c r="A4578" t="s">
        <v>13</v>
      </c>
      <c r="B4578" t="s">
        <v>87</v>
      </c>
      <c r="C4578" t="s">
        <v>1835</v>
      </c>
      <c r="D4578" t="s">
        <v>1091</v>
      </c>
      <c r="E4578" t="s">
        <v>1222</v>
      </c>
      <c r="F4578">
        <v>0</v>
      </c>
    </row>
    <row r="4579" spans="1:6">
      <c r="A4579" t="s">
        <v>13</v>
      </c>
      <c r="B4579" t="s">
        <v>87</v>
      </c>
      <c r="C4579" t="s">
        <v>1835</v>
      </c>
      <c r="D4579" t="s">
        <v>1091</v>
      </c>
      <c r="E4579" t="s">
        <v>1223</v>
      </c>
      <c r="F4579">
        <v>0</v>
      </c>
    </row>
    <row r="4580" spans="1:6">
      <c r="A4580" t="s">
        <v>13</v>
      </c>
      <c r="B4580" t="s">
        <v>87</v>
      </c>
      <c r="C4580" t="s">
        <v>1835</v>
      </c>
      <c r="D4580" t="s">
        <v>1091</v>
      </c>
      <c r="E4580" t="s">
        <v>1224</v>
      </c>
      <c r="F4580">
        <v>0</v>
      </c>
    </row>
    <row r="4581" spans="1:6">
      <c r="A4581" t="s">
        <v>13</v>
      </c>
      <c r="B4581" t="s">
        <v>87</v>
      </c>
      <c r="C4581" t="s">
        <v>1835</v>
      </c>
      <c r="D4581" t="s">
        <v>1091</v>
      </c>
      <c r="E4581" t="s">
        <v>1225</v>
      </c>
      <c r="F4581" t="s">
        <v>1226</v>
      </c>
    </row>
    <row r="4582" spans="1:6">
      <c r="A4582" t="s">
        <v>13</v>
      </c>
      <c r="B4582" t="s">
        <v>87</v>
      </c>
      <c r="C4582" t="s">
        <v>1835</v>
      </c>
      <c r="D4582" t="s">
        <v>1091</v>
      </c>
      <c r="E4582" t="s">
        <v>1227</v>
      </c>
      <c r="F4582">
        <v>0</v>
      </c>
    </row>
    <row r="4583" spans="1:6">
      <c r="A4583" t="s">
        <v>13</v>
      </c>
      <c r="B4583" t="s">
        <v>87</v>
      </c>
      <c r="C4583" t="s">
        <v>1835</v>
      </c>
      <c r="D4583" t="s">
        <v>1091</v>
      </c>
      <c r="E4583" t="s">
        <v>1228</v>
      </c>
      <c r="F4583">
        <v>0.9987087219795846</v>
      </c>
    </row>
    <row r="4584" spans="1:6">
      <c r="A4584" t="s">
        <v>13</v>
      </c>
      <c r="B4584" t="s">
        <v>87</v>
      </c>
      <c r="C4584" t="s">
        <v>1835</v>
      </c>
      <c r="D4584" t="s">
        <v>1091</v>
      </c>
      <c r="E4584" t="s">
        <v>1230</v>
      </c>
      <c r="F4584">
        <v>1</v>
      </c>
    </row>
    <row r="4585" spans="1:6">
      <c r="A4585" t="s">
        <v>13</v>
      </c>
      <c r="B4585" t="s">
        <v>87</v>
      </c>
      <c r="C4585" t="s">
        <v>1835</v>
      </c>
      <c r="D4585" t="s">
        <v>1091</v>
      </c>
      <c r="E4585" t="s">
        <v>1231</v>
      </c>
      <c r="F4585">
        <v>1</v>
      </c>
    </row>
    <row r="4586" spans="1:6">
      <c r="A4586" t="s">
        <v>13</v>
      </c>
      <c r="B4586" t="s">
        <v>87</v>
      </c>
      <c r="C4586" t="s">
        <v>1835</v>
      </c>
      <c r="D4586" t="s">
        <v>1091</v>
      </c>
      <c r="E4586" t="s">
        <v>1233</v>
      </c>
      <c r="F4586">
        <v>0.716369450679193</v>
      </c>
    </row>
    <row r="4587" spans="1:6">
      <c r="A4587" t="s">
        <v>13</v>
      </c>
      <c r="B4587" t="s">
        <v>87</v>
      </c>
      <c r="C4587" t="s">
        <v>1835</v>
      </c>
      <c r="D4587" t="s">
        <v>1091</v>
      </c>
      <c r="E4587" t="s">
        <v>1234</v>
      </c>
      <c r="F4587">
        <v>0.9008720336850898</v>
      </c>
    </row>
    <row r="4588" spans="1:6">
      <c r="A4588" t="s">
        <v>13</v>
      </c>
      <c r="B4588" t="s">
        <v>87</v>
      </c>
      <c r="C4588" t="s">
        <v>1835</v>
      </c>
      <c r="D4588" t="s">
        <v>1091</v>
      </c>
      <c r="E4588" t="s">
        <v>1235</v>
      </c>
      <c r="F4588" t="s">
        <v>1236</v>
      </c>
    </row>
    <row r="4589" spans="1:6">
      <c r="A4589" t="s">
        <v>13</v>
      </c>
      <c r="B4589" t="s">
        <v>87</v>
      </c>
      <c r="C4589" t="s">
        <v>1835</v>
      </c>
      <c r="D4589" t="s">
        <v>1091</v>
      </c>
      <c r="E4589" t="s">
        <v>1237</v>
      </c>
      <c r="F4589">
        <v>0</v>
      </c>
    </row>
    <row r="4590" spans="1:6">
      <c r="A4590" t="s">
        <v>13</v>
      </c>
      <c r="B4590" t="s">
        <v>87</v>
      </c>
      <c r="C4590" t="s">
        <v>1835</v>
      </c>
      <c r="D4590" t="s">
        <v>1091</v>
      </c>
      <c r="E4590" t="s">
        <v>1238</v>
      </c>
      <c r="F4590">
        <v>0.9666666666666667</v>
      </c>
    </row>
    <row r="4591" spans="1:6">
      <c r="A4591" t="s">
        <v>13</v>
      </c>
      <c r="B4591" t="s">
        <v>87</v>
      </c>
      <c r="C4591" t="s">
        <v>1835</v>
      </c>
      <c r="D4591" t="s">
        <v>1091</v>
      </c>
      <c r="E4591" t="s">
        <v>1240</v>
      </c>
      <c r="F4591">
        <v>1</v>
      </c>
    </row>
    <row r="4592" spans="1:6">
      <c r="A4592" t="s">
        <v>13</v>
      </c>
      <c r="B4592" t="s">
        <v>87</v>
      </c>
      <c r="C4592" t="s">
        <v>1835</v>
      </c>
      <c r="D4592" t="s">
        <v>1091</v>
      </c>
      <c r="E4592" t="s">
        <v>1241</v>
      </c>
      <c r="F4592">
        <v>1</v>
      </c>
    </row>
    <row r="4593" spans="1:6">
      <c r="A4593" t="s">
        <v>13</v>
      </c>
      <c r="B4593" t="s">
        <v>87</v>
      </c>
      <c r="C4593" t="s">
        <v>1835</v>
      </c>
      <c r="D4593" t="s">
        <v>1091</v>
      </c>
      <c r="E4593" t="s">
        <v>1243</v>
      </c>
      <c r="F4593">
        <v>0.6716417910447762</v>
      </c>
    </row>
    <row r="4594" spans="1:6">
      <c r="A4594" t="s">
        <v>13</v>
      </c>
      <c r="B4594" t="s">
        <v>87</v>
      </c>
      <c r="C4594" t="s">
        <v>1835</v>
      </c>
      <c r="D4594" t="s">
        <v>1091</v>
      </c>
      <c r="E4594" t="s">
        <v>1244</v>
      </c>
      <c r="F4594">
        <v>0.7727272727272727</v>
      </c>
    </row>
    <row r="4595" spans="1:6">
      <c r="A4595" t="s">
        <v>13</v>
      </c>
      <c r="B4595" t="s">
        <v>87</v>
      </c>
      <c r="C4595" t="s">
        <v>1835</v>
      </c>
      <c r="D4595" t="s">
        <v>1091</v>
      </c>
      <c r="E4595" t="s">
        <v>1245</v>
      </c>
      <c r="F4595" t="s">
        <v>1246</v>
      </c>
    </row>
    <row r="4596" spans="1:6">
      <c r="A4596" t="s">
        <v>13</v>
      </c>
      <c r="B4596" t="s">
        <v>87</v>
      </c>
      <c r="C4596" t="s">
        <v>1835</v>
      </c>
      <c r="D4596" t="s">
        <v>1091</v>
      </c>
      <c r="E4596" t="s">
        <v>1247</v>
      </c>
      <c r="F4596">
        <v>5385.32</v>
      </c>
    </row>
    <row r="4597" spans="1:6">
      <c r="A4597" t="s">
        <v>13</v>
      </c>
      <c r="B4597" t="s">
        <v>87</v>
      </c>
      <c r="C4597" t="s">
        <v>1835</v>
      </c>
      <c r="D4597" t="s">
        <v>1091</v>
      </c>
      <c r="E4597" t="s">
        <v>1248</v>
      </c>
      <c r="F4597">
        <v>3156.52</v>
      </c>
    </row>
    <row r="4598" spans="1:6">
      <c r="A4598" t="s">
        <v>13</v>
      </c>
      <c r="B4598" t="s">
        <v>87</v>
      </c>
      <c r="C4598" t="s">
        <v>1835</v>
      </c>
      <c r="D4598" t="s">
        <v>1091</v>
      </c>
      <c r="E4598" t="s">
        <v>1249</v>
      </c>
      <c r="F4598">
        <v>14.22999999999956</v>
      </c>
    </row>
    <row r="4599" spans="1:6">
      <c r="A4599" t="s">
        <v>13</v>
      </c>
      <c r="B4599" t="s">
        <v>87</v>
      </c>
      <c r="C4599" t="s">
        <v>1835</v>
      </c>
      <c r="D4599" t="s">
        <v>1091</v>
      </c>
      <c r="E4599" t="s">
        <v>1250</v>
      </c>
      <c r="F4599">
        <v>0</v>
      </c>
    </row>
    <row r="4600" spans="1:6">
      <c r="A4600" t="s">
        <v>13</v>
      </c>
      <c r="B4600" t="s">
        <v>87</v>
      </c>
      <c r="C4600" t="s">
        <v>1835</v>
      </c>
      <c r="D4600" t="s">
        <v>1091</v>
      </c>
      <c r="E4600" t="s">
        <v>1251</v>
      </c>
      <c r="F4600">
        <v>0</v>
      </c>
    </row>
    <row r="4601" spans="1:6">
      <c r="A4601" t="s">
        <v>13</v>
      </c>
      <c r="B4601" t="s">
        <v>87</v>
      </c>
      <c r="C4601" t="s">
        <v>1835</v>
      </c>
      <c r="D4601" t="s">
        <v>1091</v>
      </c>
      <c r="E4601" t="s">
        <v>1252</v>
      </c>
      <c r="F4601">
        <v>1796.93</v>
      </c>
    </row>
    <row r="4602" spans="1:6">
      <c r="A4602" t="s">
        <v>13</v>
      </c>
      <c r="B4602" t="s">
        <v>87</v>
      </c>
      <c r="C4602" t="s">
        <v>1835</v>
      </c>
      <c r="D4602" t="s">
        <v>1091</v>
      </c>
      <c r="E4602" t="s">
        <v>1253</v>
      </c>
      <c r="F4602">
        <v>417.6400000000008</v>
      </c>
    </row>
    <row r="4603" spans="1:6">
      <c r="A4603" t="s">
        <v>13</v>
      </c>
      <c r="B4603" t="s">
        <v>87</v>
      </c>
      <c r="C4603" t="s">
        <v>1835</v>
      </c>
      <c r="D4603" t="s">
        <v>1091</v>
      </c>
      <c r="E4603" t="s">
        <v>1254</v>
      </c>
      <c r="F4603" t="s">
        <v>1255</v>
      </c>
    </row>
    <row r="4604" spans="1:6">
      <c r="A4604" t="s">
        <v>13</v>
      </c>
      <c r="B4604" t="s">
        <v>87</v>
      </c>
      <c r="C4604" t="s">
        <v>1835</v>
      </c>
      <c r="D4604" t="s">
        <v>1091</v>
      </c>
      <c r="E4604" t="s">
        <v>1256</v>
      </c>
      <c r="F4604">
        <v>65</v>
      </c>
    </row>
    <row r="4605" spans="1:6">
      <c r="A4605" t="s">
        <v>13</v>
      </c>
      <c r="B4605" t="s">
        <v>87</v>
      </c>
      <c r="C4605" t="s">
        <v>1835</v>
      </c>
      <c r="D4605" t="s">
        <v>1091</v>
      </c>
      <c r="E4605" t="s">
        <v>1257</v>
      </c>
      <c r="F4605">
        <v>27</v>
      </c>
    </row>
    <row r="4606" spans="1:6">
      <c r="A4606" t="s">
        <v>13</v>
      </c>
      <c r="B4606" t="s">
        <v>87</v>
      </c>
      <c r="C4606" t="s">
        <v>1835</v>
      </c>
      <c r="D4606" t="s">
        <v>1091</v>
      </c>
      <c r="E4606" t="s">
        <v>1258</v>
      </c>
      <c r="F4606">
        <v>1</v>
      </c>
    </row>
    <row r="4607" spans="1:6">
      <c r="A4607" t="s">
        <v>13</v>
      </c>
      <c r="B4607" t="s">
        <v>87</v>
      </c>
      <c r="C4607" t="s">
        <v>1835</v>
      </c>
      <c r="D4607" t="s">
        <v>1091</v>
      </c>
      <c r="E4607" t="s">
        <v>1259</v>
      </c>
      <c r="F4607">
        <v>0</v>
      </c>
    </row>
    <row r="4608" spans="1:6">
      <c r="A4608" t="s">
        <v>13</v>
      </c>
      <c r="B4608" t="s">
        <v>87</v>
      </c>
      <c r="C4608" t="s">
        <v>1835</v>
      </c>
      <c r="D4608" t="s">
        <v>1091</v>
      </c>
      <c r="E4608" t="s">
        <v>1260</v>
      </c>
      <c r="F4608">
        <v>0</v>
      </c>
    </row>
    <row r="4609" spans="1:6">
      <c r="A4609" t="s">
        <v>13</v>
      </c>
      <c r="B4609" t="s">
        <v>87</v>
      </c>
      <c r="C4609" t="s">
        <v>1835</v>
      </c>
      <c r="D4609" t="s">
        <v>1091</v>
      </c>
      <c r="E4609" t="s">
        <v>1261</v>
      </c>
      <c r="F4609">
        <v>22</v>
      </c>
    </row>
    <row r="4610" spans="1:6">
      <c r="A4610" t="s">
        <v>13</v>
      </c>
      <c r="B4610" t="s">
        <v>87</v>
      </c>
      <c r="C4610" t="s">
        <v>1835</v>
      </c>
      <c r="D4610" t="s">
        <v>1091</v>
      </c>
      <c r="E4610" t="s">
        <v>1262</v>
      </c>
      <c r="F4610">
        <v>15</v>
      </c>
    </row>
    <row r="4611" spans="1:6">
      <c r="A4611" t="s">
        <v>13</v>
      </c>
      <c r="B4611" t="s">
        <v>87</v>
      </c>
      <c r="C4611" t="s">
        <v>1835</v>
      </c>
      <c r="D4611" t="s">
        <v>1091</v>
      </c>
      <c r="E4611" t="s">
        <v>1263</v>
      </c>
      <c r="F4611" t="s">
        <v>1131</v>
      </c>
    </row>
    <row r="4612" spans="1:6">
      <c r="A4612" t="s">
        <v>13</v>
      </c>
      <c r="B4612" t="s">
        <v>87</v>
      </c>
      <c r="C4612" t="s">
        <v>1835</v>
      </c>
      <c r="D4612" t="s">
        <v>1091</v>
      </c>
      <c r="E4612" t="s">
        <v>1264</v>
      </c>
      <c r="F4612">
        <v>0.09837016622017605</v>
      </c>
    </row>
    <row r="4613" spans="1:6">
      <c r="A4613" t="s">
        <v>13</v>
      </c>
      <c r="B4613" t="s">
        <v>87</v>
      </c>
      <c r="C4613" t="s">
        <v>1835</v>
      </c>
      <c r="D4613" t="s">
        <v>1091</v>
      </c>
      <c r="E4613" t="s">
        <v>1265</v>
      </c>
      <c r="F4613">
        <v>1</v>
      </c>
    </row>
    <row r="4614" spans="1:6">
      <c r="A4614" t="s">
        <v>13</v>
      </c>
      <c r="B4614" t="s">
        <v>87</v>
      </c>
      <c r="C4614" t="s">
        <v>1835</v>
      </c>
      <c r="D4614" t="s">
        <v>1091</v>
      </c>
      <c r="E4614" t="s">
        <v>1266</v>
      </c>
      <c r="F4614">
        <v>0.001291278020415402</v>
      </c>
    </row>
    <row r="4615" spans="1:6">
      <c r="A4615" t="s">
        <v>13</v>
      </c>
      <c r="B4615" t="s">
        <v>87</v>
      </c>
      <c r="C4615" t="s">
        <v>1835</v>
      </c>
      <c r="D4615" t="s">
        <v>1091</v>
      </c>
      <c r="E4615" t="s">
        <v>1268</v>
      </c>
      <c r="F4615">
        <v>0</v>
      </c>
    </row>
    <row r="4616" spans="1:6">
      <c r="A4616" t="s">
        <v>13</v>
      </c>
      <c r="B4616" t="s">
        <v>87</v>
      </c>
      <c r="C4616" t="s">
        <v>1835</v>
      </c>
      <c r="D4616" t="s">
        <v>1091</v>
      </c>
      <c r="E4616" t="s">
        <v>1269</v>
      </c>
      <c r="F4616">
        <v>0</v>
      </c>
    </row>
    <row r="4617" spans="1:6">
      <c r="A4617" t="s">
        <v>13</v>
      </c>
      <c r="B4617" t="s">
        <v>87</v>
      </c>
      <c r="C4617" t="s">
        <v>1835</v>
      </c>
      <c r="D4617" t="s">
        <v>1091</v>
      </c>
      <c r="E4617" t="s">
        <v>1271</v>
      </c>
      <c r="F4617">
        <v>0.283630549320807</v>
      </c>
    </row>
    <row r="4618" spans="1:6">
      <c r="A4618" t="s">
        <v>13</v>
      </c>
      <c r="B4618" t="s">
        <v>87</v>
      </c>
      <c r="C4618" t="s">
        <v>1835</v>
      </c>
      <c r="D4618" t="s">
        <v>1091</v>
      </c>
      <c r="E4618" t="s">
        <v>1272</v>
      </c>
      <c r="F4618">
        <v>0.09912796631491022</v>
      </c>
    </row>
    <row r="4619" spans="1:6">
      <c r="A4619" t="s">
        <v>13</v>
      </c>
      <c r="B4619" t="s">
        <v>87</v>
      </c>
      <c r="C4619" t="s">
        <v>1835</v>
      </c>
      <c r="D4619" t="s">
        <v>1273</v>
      </c>
      <c r="E4619" t="s">
        <v>1274</v>
      </c>
      <c r="F4619" t="s">
        <v>87</v>
      </c>
    </row>
    <row r="4620" spans="1:6">
      <c r="A4620" t="s">
        <v>13</v>
      </c>
      <c r="B4620" t="s">
        <v>87</v>
      </c>
      <c r="C4620" t="s">
        <v>1835</v>
      </c>
      <c r="D4620" t="s">
        <v>1273</v>
      </c>
      <c r="E4620" t="s">
        <v>1275</v>
      </c>
      <c r="F4620" t="s">
        <v>1836</v>
      </c>
    </row>
    <row r="4621" spans="1:6">
      <c r="A4621" t="s">
        <v>13</v>
      </c>
      <c r="B4621" t="s">
        <v>87</v>
      </c>
      <c r="C4621" t="s">
        <v>1835</v>
      </c>
      <c r="D4621" t="s">
        <v>1273</v>
      </c>
      <c r="E4621" t="s">
        <v>1276</v>
      </c>
      <c r="F4621" t="s">
        <v>1277</v>
      </c>
    </row>
    <row r="4622" spans="1:6">
      <c r="A4622" t="s">
        <v>13</v>
      </c>
      <c r="B4622" t="s">
        <v>87</v>
      </c>
      <c r="C4622" t="s">
        <v>1835</v>
      </c>
      <c r="D4622" t="s">
        <v>1273</v>
      </c>
      <c r="E4622" t="s">
        <v>1278</v>
      </c>
      <c r="F4622" t="s">
        <v>1836</v>
      </c>
    </row>
    <row r="4623" spans="1:6">
      <c r="A4623" t="s">
        <v>13</v>
      </c>
      <c r="B4623" t="s">
        <v>87</v>
      </c>
      <c r="C4623" t="s">
        <v>1835</v>
      </c>
      <c r="D4623" t="s">
        <v>1273</v>
      </c>
      <c r="E4623" t="s">
        <v>1279</v>
      </c>
      <c r="F4623" t="s">
        <v>1280</v>
      </c>
    </row>
    <row r="4624" spans="1:6">
      <c r="A4624" t="s">
        <v>13</v>
      </c>
      <c r="B4624" t="s">
        <v>87</v>
      </c>
      <c r="C4624" t="s">
        <v>1835</v>
      </c>
      <c r="D4624" t="s">
        <v>1273</v>
      </c>
      <c r="E4624" t="s">
        <v>1281</v>
      </c>
      <c r="F4624" t="s">
        <v>1282</v>
      </c>
    </row>
    <row r="4625" spans="1:6">
      <c r="A4625" t="s">
        <v>13</v>
      </c>
      <c r="B4625" t="s">
        <v>87</v>
      </c>
      <c r="C4625" t="s">
        <v>1835</v>
      </c>
      <c r="D4625" t="s">
        <v>1273</v>
      </c>
      <c r="E4625" t="s">
        <v>1283</v>
      </c>
      <c r="F4625" t="s">
        <v>1284</v>
      </c>
    </row>
    <row r="4626" spans="1:6">
      <c r="A4626" t="s">
        <v>13</v>
      </c>
      <c r="B4626" t="s">
        <v>87</v>
      </c>
      <c r="C4626" t="s">
        <v>1835</v>
      </c>
      <c r="D4626" t="s">
        <v>1273</v>
      </c>
      <c r="E4626" t="s">
        <v>1285</v>
      </c>
      <c r="F4626" t="s">
        <v>377</v>
      </c>
    </row>
    <row r="4627" spans="1:6">
      <c r="A4627" t="s">
        <v>13</v>
      </c>
      <c r="B4627" t="s">
        <v>87</v>
      </c>
      <c r="C4627" t="s">
        <v>1835</v>
      </c>
      <c r="D4627" t="s">
        <v>1273</v>
      </c>
      <c r="E4627" t="s">
        <v>1286</v>
      </c>
      <c r="F4627">
        <v>5</v>
      </c>
    </row>
    <row r="4628" spans="1:6">
      <c r="A4628" t="s">
        <v>13</v>
      </c>
      <c r="B4628" t="s">
        <v>87</v>
      </c>
      <c r="C4628" t="s">
        <v>1835</v>
      </c>
      <c r="D4628" t="s">
        <v>1273</v>
      </c>
      <c r="E4628" t="s">
        <v>1287</v>
      </c>
      <c r="F4628">
        <v>1.21</v>
      </c>
    </row>
    <row r="4629" spans="1:6">
      <c r="A4629" t="s">
        <v>13</v>
      </c>
      <c r="B4629" t="s">
        <v>87</v>
      </c>
      <c r="C4629" t="s">
        <v>1835</v>
      </c>
      <c r="D4629" t="s">
        <v>1273</v>
      </c>
      <c r="E4629" t="s">
        <v>1288</v>
      </c>
      <c r="F4629" t="s">
        <v>379</v>
      </c>
    </row>
    <row r="4630" spans="1:6">
      <c r="A4630" t="s">
        <v>13</v>
      </c>
      <c r="B4630" t="s">
        <v>87</v>
      </c>
      <c r="C4630" t="s">
        <v>1835</v>
      </c>
      <c r="D4630" t="s">
        <v>1273</v>
      </c>
      <c r="E4630" t="s">
        <v>1096</v>
      </c>
      <c r="F4630">
        <v>19</v>
      </c>
    </row>
    <row r="4631" spans="1:6">
      <c r="A4631" t="s">
        <v>13</v>
      </c>
      <c r="B4631" t="s">
        <v>87</v>
      </c>
      <c r="C4631" t="s">
        <v>1835</v>
      </c>
      <c r="D4631" t="s">
        <v>1273</v>
      </c>
      <c r="E4631" t="s">
        <v>1004</v>
      </c>
      <c r="F4631">
        <v>83.42</v>
      </c>
    </row>
    <row r="4632" spans="1:6">
      <c r="A4632" t="s">
        <v>13</v>
      </c>
      <c r="B4632" t="s">
        <v>87</v>
      </c>
      <c r="C4632" t="s">
        <v>1835</v>
      </c>
      <c r="D4632" t="s">
        <v>1273</v>
      </c>
      <c r="E4632" t="s">
        <v>1289</v>
      </c>
      <c r="F4632" t="s">
        <v>381</v>
      </c>
    </row>
    <row r="4633" spans="1:6">
      <c r="A4633" t="s">
        <v>13</v>
      </c>
      <c r="B4633" t="s">
        <v>87</v>
      </c>
      <c r="C4633" t="s">
        <v>1835</v>
      </c>
      <c r="D4633" t="s">
        <v>1273</v>
      </c>
      <c r="E4633" t="s">
        <v>1290</v>
      </c>
      <c r="F4633">
        <v>32</v>
      </c>
    </row>
    <row r="4634" spans="1:6">
      <c r="A4634" t="s">
        <v>13</v>
      </c>
      <c r="B4634" t="s">
        <v>87</v>
      </c>
      <c r="C4634" t="s">
        <v>1835</v>
      </c>
      <c r="D4634" t="s">
        <v>1273</v>
      </c>
      <c r="E4634" t="s">
        <v>1291</v>
      </c>
      <c r="F4634">
        <v>1265.6</v>
      </c>
    </row>
    <row r="4635" spans="1:6">
      <c r="A4635" t="s">
        <v>13</v>
      </c>
      <c r="B4635" t="s">
        <v>87</v>
      </c>
      <c r="C4635" t="s">
        <v>1835</v>
      </c>
      <c r="D4635" t="s">
        <v>1273</v>
      </c>
      <c r="E4635" t="s">
        <v>1008</v>
      </c>
      <c r="F4635" t="s">
        <v>383</v>
      </c>
    </row>
    <row r="4636" spans="1:6">
      <c r="A4636" t="s">
        <v>13</v>
      </c>
      <c r="B4636" t="s">
        <v>87</v>
      </c>
      <c r="C4636" t="s">
        <v>1835</v>
      </c>
      <c r="D4636" t="s">
        <v>1273</v>
      </c>
      <c r="E4636" t="s">
        <v>1010</v>
      </c>
      <c r="F4636">
        <v>14</v>
      </c>
    </row>
    <row r="4637" spans="1:6">
      <c r="A4637" t="s">
        <v>13</v>
      </c>
      <c r="B4637" t="s">
        <v>87</v>
      </c>
      <c r="C4637" t="s">
        <v>1835</v>
      </c>
      <c r="D4637" t="s">
        <v>1273</v>
      </c>
      <c r="E4637" t="s">
        <v>1012</v>
      </c>
      <c r="F4637">
        <v>3254</v>
      </c>
    </row>
    <row r="4638" spans="1:6">
      <c r="A4638" t="s">
        <v>13</v>
      </c>
      <c r="B4638" t="s">
        <v>87</v>
      </c>
      <c r="C4638" t="s">
        <v>1835</v>
      </c>
      <c r="D4638" t="s">
        <v>1273</v>
      </c>
      <c r="E4638" t="s">
        <v>1035</v>
      </c>
      <c r="F4638" t="s">
        <v>385</v>
      </c>
    </row>
    <row r="4639" spans="1:6">
      <c r="A4639" t="s">
        <v>13</v>
      </c>
      <c r="B4639" t="s">
        <v>87</v>
      </c>
      <c r="C4639" t="s">
        <v>1835</v>
      </c>
      <c r="D4639" t="s">
        <v>1273</v>
      </c>
      <c r="E4639" t="s">
        <v>1099</v>
      </c>
      <c r="F4639">
        <v>4</v>
      </c>
    </row>
    <row r="4640" spans="1:6">
      <c r="A4640" t="s">
        <v>13</v>
      </c>
      <c r="B4640" t="s">
        <v>87</v>
      </c>
      <c r="C4640" t="s">
        <v>1835</v>
      </c>
      <c r="D4640" t="s">
        <v>1273</v>
      </c>
      <c r="E4640" t="s">
        <v>1100</v>
      </c>
      <c r="F4640">
        <v>7388.06</v>
      </c>
    </row>
    <row r="4641" spans="1:6">
      <c r="A4641" t="s">
        <v>13</v>
      </c>
      <c r="B4641" t="s">
        <v>87</v>
      </c>
      <c r="C4641" t="s">
        <v>1835</v>
      </c>
      <c r="D4641" t="s">
        <v>1273</v>
      </c>
      <c r="E4641" t="s">
        <v>1037</v>
      </c>
      <c r="F4641" t="s">
        <v>1292</v>
      </c>
    </row>
    <row r="4642" spans="1:6">
      <c r="A4642" t="s">
        <v>13</v>
      </c>
      <c r="B4642" t="s">
        <v>87</v>
      </c>
      <c r="C4642" t="s">
        <v>1835</v>
      </c>
      <c r="D4642" t="s">
        <v>1273</v>
      </c>
      <c r="E4642" t="s">
        <v>1103</v>
      </c>
      <c r="F4642">
        <v>74</v>
      </c>
    </row>
    <row r="4643" spans="1:6">
      <c r="A4643" t="s">
        <v>13</v>
      </c>
      <c r="B4643" t="s">
        <v>87</v>
      </c>
      <c r="C4643" t="s">
        <v>1835</v>
      </c>
      <c r="D4643" t="s">
        <v>1273</v>
      </c>
      <c r="E4643" t="s">
        <v>1104</v>
      </c>
      <c r="F4643">
        <v>11992</v>
      </c>
    </row>
    <row r="4644" spans="1:6">
      <c r="A4644" t="s">
        <v>13</v>
      </c>
      <c r="B4644" t="s">
        <v>87</v>
      </c>
      <c r="C4644" t="s">
        <v>1835</v>
      </c>
      <c r="D4644" t="s">
        <v>1273</v>
      </c>
      <c r="E4644" t="s">
        <v>1052</v>
      </c>
      <c r="F4644" t="s">
        <v>1293</v>
      </c>
    </row>
    <row r="4645" spans="1:6">
      <c r="A4645" t="s">
        <v>13</v>
      </c>
      <c r="B4645" t="s">
        <v>87</v>
      </c>
      <c r="C4645" t="s">
        <v>1835</v>
      </c>
      <c r="D4645" t="s">
        <v>1273</v>
      </c>
      <c r="E4645" t="s">
        <v>1053</v>
      </c>
      <c r="F4645" t="s">
        <v>1294</v>
      </c>
    </row>
    <row r="4646" spans="1:6">
      <c r="A4646" t="s">
        <v>13</v>
      </c>
      <c r="B4646" t="s">
        <v>87</v>
      </c>
      <c r="C4646" t="s">
        <v>1835</v>
      </c>
      <c r="D4646" t="s">
        <v>1273</v>
      </c>
      <c r="E4646" t="s">
        <v>1108</v>
      </c>
      <c r="F4646" t="s">
        <v>1842</v>
      </c>
    </row>
    <row r="4647" spans="1:6">
      <c r="A4647" t="s">
        <v>13</v>
      </c>
      <c r="B4647" t="s">
        <v>87</v>
      </c>
      <c r="C4647" t="s">
        <v>1835</v>
      </c>
      <c r="D4647" t="s">
        <v>1273</v>
      </c>
      <c r="E4647" t="s">
        <v>1109</v>
      </c>
      <c r="F4647" t="s">
        <v>1842</v>
      </c>
    </row>
    <row r="4648" spans="1:6">
      <c r="A4648" t="s">
        <v>13</v>
      </c>
      <c r="B4648" t="s">
        <v>87</v>
      </c>
      <c r="C4648" t="s">
        <v>1835</v>
      </c>
      <c r="D4648" t="s">
        <v>1273</v>
      </c>
      <c r="E4648" t="s">
        <v>1113</v>
      </c>
      <c r="F4648">
        <v>2018</v>
      </c>
    </row>
    <row r="4649" spans="1:6">
      <c r="A4649" t="s">
        <v>13</v>
      </c>
      <c r="B4649" t="s">
        <v>87</v>
      </c>
      <c r="C4649" t="s">
        <v>1835</v>
      </c>
      <c r="D4649" t="s">
        <v>1273</v>
      </c>
      <c r="E4649" t="s">
        <v>1114</v>
      </c>
      <c r="F4649" t="s">
        <v>1842</v>
      </c>
    </row>
    <row r="4650" spans="1:6">
      <c r="A4650" t="s">
        <v>13</v>
      </c>
      <c r="B4650" t="s">
        <v>87</v>
      </c>
      <c r="C4650" t="s">
        <v>1835</v>
      </c>
      <c r="D4650" t="s">
        <v>1273</v>
      </c>
      <c r="E4650" t="s">
        <v>1115</v>
      </c>
      <c r="F4650" t="s">
        <v>1842</v>
      </c>
    </row>
    <row r="4651" spans="1:6">
      <c r="A4651" t="s">
        <v>13</v>
      </c>
      <c r="B4651" t="s">
        <v>87</v>
      </c>
      <c r="C4651" t="s">
        <v>1835</v>
      </c>
      <c r="D4651" t="s">
        <v>1273</v>
      </c>
      <c r="E4651" t="s">
        <v>1118</v>
      </c>
      <c r="F4651">
        <v>2019</v>
      </c>
    </row>
    <row r="4652" spans="1:6">
      <c r="A4652" t="s">
        <v>13</v>
      </c>
      <c r="B4652" t="s">
        <v>87</v>
      </c>
      <c r="C4652" t="s">
        <v>1835</v>
      </c>
      <c r="D4652" t="s">
        <v>1273</v>
      </c>
      <c r="E4652" t="s">
        <v>1119</v>
      </c>
      <c r="F4652">
        <v>1</v>
      </c>
    </row>
    <row r="4653" spans="1:6">
      <c r="A4653" t="s">
        <v>13</v>
      </c>
      <c r="B4653" t="s">
        <v>87</v>
      </c>
      <c r="C4653" t="s">
        <v>1835</v>
      </c>
      <c r="D4653" t="s">
        <v>1273</v>
      </c>
      <c r="E4653" t="s">
        <v>1120</v>
      </c>
      <c r="F4653">
        <v>2314.9</v>
      </c>
    </row>
    <row r="4654" spans="1:6">
      <c r="A4654" t="s">
        <v>13</v>
      </c>
      <c r="B4654" t="s">
        <v>87</v>
      </c>
      <c r="C4654" t="s">
        <v>1835</v>
      </c>
      <c r="D4654" t="s">
        <v>1273</v>
      </c>
      <c r="E4654" t="s">
        <v>1124</v>
      </c>
      <c r="F4654">
        <v>2020</v>
      </c>
    </row>
    <row r="4655" spans="1:6">
      <c r="A4655" t="s">
        <v>13</v>
      </c>
      <c r="B4655" t="s">
        <v>87</v>
      </c>
      <c r="C4655" t="s">
        <v>1835</v>
      </c>
      <c r="D4655" t="s">
        <v>1273</v>
      </c>
      <c r="E4655" t="s">
        <v>1126</v>
      </c>
      <c r="F4655">
        <v>0</v>
      </c>
    </row>
    <row r="4656" spans="1:6">
      <c r="A4656" t="s">
        <v>13</v>
      </c>
      <c r="B4656" t="s">
        <v>87</v>
      </c>
      <c r="C4656" t="s">
        <v>1835</v>
      </c>
      <c r="D4656" t="s">
        <v>1273</v>
      </c>
      <c r="E4656" t="s">
        <v>1127</v>
      </c>
      <c r="F4656">
        <v>0</v>
      </c>
    </row>
    <row r="4657" spans="1:6">
      <c r="A4657" t="s">
        <v>13</v>
      </c>
      <c r="B4657" t="s">
        <v>87</v>
      </c>
      <c r="C4657" t="s">
        <v>1835</v>
      </c>
      <c r="D4657" t="s">
        <v>1273</v>
      </c>
      <c r="E4657" t="s">
        <v>1057</v>
      </c>
      <c r="F4657">
        <v>2021</v>
      </c>
    </row>
    <row r="4658" spans="1:6">
      <c r="A4658" t="s">
        <v>13</v>
      </c>
      <c r="B4658" t="s">
        <v>87</v>
      </c>
      <c r="C4658" t="s">
        <v>1835</v>
      </c>
      <c r="D4658" t="s">
        <v>1273</v>
      </c>
      <c r="E4658" t="s">
        <v>1058</v>
      </c>
      <c r="F4658">
        <v>1</v>
      </c>
    </row>
    <row r="4659" spans="1:6">
      <c r="A4659" t="s">
        <v>13</v>
      </c>
      <c r="B4659" t="s">
        <v>87</v>
      </c>
      <c r="C4659" t="s">
        <v>1835</v>
      </c>
      <c r="D4659" t="s">
        <v>1273</v>
      </c>
      <c r="E4659" t="s">
        <v>1059</v>
      </c>
      <c r="F4659">
        <v>81.01000000000001</v>
      </c>
    </row>
    <row r="4660" spans="1:6">
      <c r="A4660" t="s">
        <v>13</v>
      </c>
      <c r="B4660" t="s">
        <v>87</v>
      </c>
      <c r="C4660" t="s">
        <v>1835</v>
      </c>
      <c r="D4660" t="s">
        <v>1273</v>
      </c>
      <c r="E4660" t="s">
        <v>1072</v>
      </c>
      <c r="F4660">
        <v>2022</v>
      </c>
    </row>
    <row r="4661" spans="1:6">
      <c r="A4661" t="s">
        <v>13</v>
      </c>
      <c r="B4661" t="s">
        <v>87</v>
      </c>
      <c r="C4661" t="s">
        <v>1835</v>
      </c>
      <c r="D4661" t="s">
        <v>1273</v>
      </c>
      <c r="E4661" t="s">
        <v>1133</v>
      </c>
      <c r="F4661">
        <v>0</v>
      </c>
    </row>
    <row r="4662" spans="1:6">
      <c r="A4662" t="s">
        <v>13</v>
      </c>
      <c r="B4662" t="s">
        <v>87</v>
      </c>
      <c r="C4662" t="s">
        <v>1835</v>
      </c>
      <c r="D4662" t="s">
        <v>1273</v>
      </c>
      <c r="E4662" t="s">
        <v>1134</v>
      </c>
      <c r="F4662">
        <v>0</v>
      </c>
    </row>
    <row r="4663" spans="1:6">
      <c r="A4663" t="s">
        <v>13</v>
      </c>
      <c r="B4663" t="s">
        <v>87</v>
      </c>
      <c r="C4663" t="s">
        <v>1835</v>
      </c>
      <c r="D4663" t="s">
        <v>1273</v>
      </c>
      <c r="E4663" t="s">
        <v>1074</v>
      </c>
      <c r="F4663">
        <v>2023</v>
      </c>
    </row>
    <row r="4664" spans="1:6">
      <c r="A4664" t="s">
        <v>13</v>
      </c>
      <c r="B4664" t="s">
        <v>87</v>
      </c>
      <c r="C4664" t="s">
        <v>1835</v>
      </c>
      <c r="D4664" t="s">
        <v>1273</v>
      </c>
      <c r="E4664" t="s">
        <v>1296</v>
      </c>
      <c r="F4664">
        <v>1</v>
      </c>
    </row>
    <row r="4665" spans="1:6">
      <c r="A4665" t="s">
        <v>13</v>
      </c>
      <c r="B4665" t="s">
        <v>87</v>
      </c>
      <c r="C4665" t="s">
        <v>1835</v>
      </c>
      <c r="D4665" t="s">
        <v>1273</v>
      </c>
      <c r="E4665" t="s">
        <v>1297</v>
      </c>
      <c r="F4665">
        <v>47.06</v>
      </c>
    </row>
    <row r="4666" spans="1:6">
      <c r="A4666" t="s">
        <v>13</v>
      </c>
      <c r="B4666" t="s">
        <v>87</v>
      </c>
      <c r="C4666" t="s">
        <v>1835</v>
      </c>
      <c r="D4666" t="s">
        <v>1273</v>
      </c>
      <c r="E4666" t="s">
        <v>1076</v>
      </c>
      <c r="F4666">
        <v>2024</v>
      </c>
    </row>
    <row r="4667" spans="1:6">
      <c r="A4667" t="s">
        <v>13</v>
      </c>
      <c r="B4667" t="s">
        <v>87</v>
      </c>
      <c r="C4667" t="s">
        <v>1835</v>
      </c>
      <c r="D4667" t="s">
        <v>1273</v>
      </c>
      <c r="E4667" t="s">
        <v>1077</v>
      </c>
      <c r="F4667">
        <v>3</v>
      </c>
    </row>
    <row r="4668" spans="1:6">
      <c r="A4668" t="s">
        <v>13</v>
      </c>
      <c r="B4668" t="s">
        <v>87</v>
      </c>
      <c r="C4668" t="s">
        <v>1835</v>
      </c>
      <c r="D4668" t="s">
        <v>1273</v>
      </c>
      <c r="E4668" t="s">
        <v>1078</v>
      </c>
      <c r="F4668">
        <v>3734.12</v>
      </c>
    </row>
    <row r="4669" spans="1:6">
      <c r="A4669" t="s">
        <v>13</v>
      </c>
      <c r="B4669" t="s">
        <v>87</v>
      </c>
      <c r="C4669" t="s">
        <v>1835</v>
      </c>
      <c r="D4669" t="s">
        <v>1273</v>
      </c>
      <c r="E4669" t="s">
        <v>1090</v>
      </c>
      <c r="F4669">
        <v>2025</v>
      </c>
    </row>
    <row r="4670" spans="1:6">
      <c r="A4670" t="s">
        <v>13</v>
      </c>
      <c r="B4670" t="s">
        <v>87</v>
      </c>
      <c r="C4670" t="s">
        <v>1835</v>
      </c>
      <c r="D4670" t="s">
        <v>1273</v>
      </c>
      <c r="E4670" t="s">
        <v>1139</v>
      </c>
      <c r="F4670">
        <v>3</v>
      </c>
    </row>
    <row r="4671" spans="1:6">
      <c r="A4671" t="s">
        <v>13</v>
      </c>
      <c r="B4671" t="s">
        <v>87</v>
      </c>
      <c r="C4671" t="s">
        <v>1835</v>
      </c>
      <c r="D4671" t="s">
        <v>1273</v>
      </c>
      <c r="E4671" t="s">
        <v>1140</v>
      </c>
      <c r="F4671">
        <v>429.88</v>
      </c>
    </row>
    <row r="4672" spans="1:6">
      <c r="A4672" t="s">
        <v>13</v>
      </c>
      <c r="B4672" t="s">
        <v>87</v>
      </c>
      <c r="C4672" t="s">
        <v>1835</v>
      </c>
      <c r="D4672" t="s">
        <v>1273</v>
      </c>
      <c r="E4672" t="s">
        <v>1298</v>
      </c>
      <c r="F4672">
        <v>2026</v>
      </c>
    </row>
    <row r="4673" spans="1:6">
      <c r="A4673" t="s">
        <v>13</v>
      </c>
      <c r="B4673" t="s">
        <v>87</v>
      </c>
      <c r="C4673" t="s">
        <v>1835</v>
      </c>
      <c r="D4673" t="s">
        <v>1273</v>
      </c>
      <c r="E4673" t="s">
        <v>1299</v>
      </c>
      <c r="F4673">
        <v>65</v>
      </c>
    </row>
    <row r="4674" spans="1:6">
      <c r="A4674" t="s">
        <v>13</v>
      </c>
      <c r="B4674" t="s">
        <v>87</v>
      </c>
      <c r="C4674" t="s">
        <v>1835</v>
      </c>
      <c r="D4674" t="s">
        <v>1273</v>
      </c>
      <c r="E4674" t="s">
        <v>1300</v>
      </c>
      <c r="F4674">
        <v>5385.32</v>
      </c>
    </row>
    <row r="4675" spans="1:6">
      <c r="A4675" t="s">
        <v>13</v>
      </c>
      <c r="B4675" t="s">
        <v>87</v>
      </c>
      <c r="C4675" t="s">
        <v>1835</v>
      </c>
      <c r="D4675" t="s">
        <v>1273</v>
      </c>
      <c r="E4675" t="s">
        <v>1301</v>
      </c>
      <c r="F4675" t="s">
        <v>1292</v>
      </c>
    </row>
    <row r="4676" spans="1:6">
      <c r="A4676" t="s">
        <v>13</v>
      </c>
      <c r="B4676" t="s">
        <v>87</v>
      </c>
      <c r="C4676" t="s">
        <v>1835</v>
      </c>
      <c r="D4676" t="s">
        <v>1273</v>
      </c>
      <c r="E4676" t="s">
        <v>1302</v>
      </c>
      <c r="F4676">
        <v>74</v>
      </c>
    </row>
    <row r="4677" spans="1:6">
      <c r="A4677" t="s">
        <v>13</v>
      </c>
      <c r="B4677" t="s">
        <v>87</v>
      </c>
      <c r="C4677" t="s">
        <v>1835</v>
      </c>
      <c r="D4677" t="s">
        <v>1273</v>
      </c>
      <c r="E4677" t="s">
        <v>1303</v>
      </c>
      <c r="F4677">
        <v>11992.29</v>
      </c>
    </row>
    <row r="4678" spans="1:6">
      <c r="A4678" t="s">
        <v>13</v>
      </c>
      <c r="B4678" t="s">
        <v>92</v>
      </c>
      <c r="C4678" t="s">
        <v>1843</v>
      </c>
      <c r="D4678" t="s">
        <v>1844</v>
      </c>
      <c r="E4678" t="s">
        <v>1093</v>
      </c>
      <c r="F4678" t="s">
        <v>1094</v>
      </c>
    </row>
    <row r="4679" spans="1:6">
      <c r="A4679" t="s">
        <v>13</v>
      </c>
      <c r="B4679" t="s">
        <v>92</v>
      </c>
      <c r="C4679" t="s">
        <v>1843</v>
      </c>
      <c r="D4679" t="s">
        <v>1844</v>
      </c>
      <c r="E4679" t="s">
        <v>994</v>
      </c>
      <c r="F4679" t="s">
        <v>92</v>
      </c>
    </row>
    <row r="4680" spans="1:6">
      <c r="A4680" t="s">
        <v>13</v>
      </c>
      <c r="B4680" t="s">
        <v>92</v>
      </c>
      <c r="C4680" t="s">
        <v>1843</v>
      </c>
      <c r="D4680" t="s">
        <v>1844</v>
      </c>
      <c r="E4680" t="s">
        <v>995</v>
      </c>
      <c r="F4680" t="s">
        <v>996</v>
      </c>
    </row>
    <row r="4681" spans="1:6">
      <c r="A4681" t="s">
        <v>13</v>
      </c>
      <c r="B4681" t="s">
        <v>92</v>
      </c>
      <c r="C4681" t="s">
        <v>1843</v>
      </c>
      <c r="D4681" t="s">
        <v>1844</v>
      </c>
      <c r="E4681" t="s">
        <v>997</v>
      </c>
      <c r="F4681" t="s">
        <v>1836</v>
      </c>
    </row>
    <row r="4682" spans="1:6">
      <c r="A4682" t="s">
        <v>13</v>
      </c>
      <c r="B4682" t="s">
        <v>92</v>
      </c>
      <c r="C4682" t="s">
        <v>1843</v>
      </c>
      <c r="D4682" t="s">
        <v>1844</v>
      </c>
      <c r="E4682" t="s">
        <v>999</v>
      </c>
      <c r="F4682" t="s">
        <v>1000</v>
      </c>
    </row>
    <row r="4683" spans="1:6">
      <c r="A4683" t="s">
        <v>13</v>
      </c>
      <c r="B4683" t="s">
        <v>92</v>
      </c>
      <c r="C4683" t="s">
        <v>1843</v>
      </c>
      <c r="D4683" t="s">
        <v>1844</v>
      </c>
      <c r="E4683" t="s">
        <v>1001</v>
      </c>
      <c r="F4683" t="s">
        <v>16</v>
      </c>
    </row>
    <row r="4684" spans="1:6">
      <c r="A4684" t="s">
        <v>13</v>
      </c>
      <c r="B4684" t="s">
        <v>92</v>
      </c>
      <c r="C4684" t="s">
        <v>1843</v>
      </c>
      <c r="D4684" t="s">
        <v>1844</v>
      </c>
      <c r="E4684" t="s">
        <v>1002</v>
      </c>
      <c r="F4684" t="s">
        <v>1845</v>
      </c>
    </row>
    <row r="4685" spans="1:6">
      <c r="A4685" t="s">
        <v>13</v>
      </c>
      <c r="B4685" t="s">
        <v>92</v>
      </c>
      <c r="C4685" t="s">
        <v>1843</v>
      </c>
      <c r="D4685" t="s">
        <v>1844</v>
      </c>
      <c r="E4685" t="s">
        <v>1006</v>
      </c>
      <c r="F4685" t="s">
        <v>1007</v>
      </c>
    </row>
    <row r="4686" spans="1:6">
      <c r="A4686" t="s">
        <v>13</v>
      </c>
      <c r="B4686" t="s">
        <v>92</v>
      </c>
      <c r="C4686" t="s">
        <v>1843</v>
      </c>
      <c r="D4686" t="s">
        <v>1844</v>
      </c>
      <c r="E4686" t="s">
        <v>1008</v>
      </c>
      <c r="F4686" t="s">
        <v>1009</v>
      </c>
    </row>
    <row r="4687" spans="1:6">
      <c r="A4687" t="s">
        <v>13</v>
      </c>
      <c r="B4687" t="s">
        <v>92</v>
      </c>
      <c r="C4687" t="s">
        <v>1843</v>
      </c>
      <c r="D4687" t="s">
        <v>1844</v>
      </c>
      <c r="E4687" t="s">
        <v>1010</v>
      </c>
      <c r="F4687" t="s">
        <v>1011</v>
      </c>
    </row>
    <row r="4688" spans="1:6">
      <c r="A4688" t="s">
        <v>13</v>
      </c>
      <c r="B4688" t="s">
        <v>92</v>
      </c>
      <c r="C4688" t="s">
        <v>1843</v>
      </c>
      <c r="D4688" t="s">
        <v>1844</v>
      </c>
      <c r="E4688" t="s">
        <v>1012</v>
      </c>
      <c r="F4688" t="s">
        <v>1013</v>
      </c>
    </row>
    <row r="4689" spans="1:6">
      <c r="A4689" t="s">
        <v>13</v>
      </c>
      <c r="B4689" t="s">
        <v>92</v>
      </c>
      <c r="C4689" t="s">
        <v>1843</v>
      </c>
      <c r="D4689" t="s">
        <v>1844</v>
      </c>
      <c r="E4689" t="s">
        <v>1014</v>
      </c>
      <c r="F4689" t="s">
        <v>1015</v>
      </c>
    </row>
    <row r="4690" spans="1:6">
      <c r="A4690" t="s">
        <v>13</v>
      </c>
      <c r="B4690" t="s">
        <v>92</v>
      </c>
      <c r="C4690" t="s">
        <v>1843</v>
      </c>
      <c r="D4690" t="s">
        <v>1844</v>
      </c>
      <c r="E4690" t="s">
        <v>1016</v>
      </c>
      <c r="F4690" t="s">
        <v>1017</v>
      </c>
    </row>
    <row r="4691" spans="1:6">
      <c r="A4691" t="s">
        <v>13</v>
      </c>
      <c r="B4691" t="s">
        <v>92</v>
      </c>
      <c r="C4691" t="s">
        <v>1843</v>
      </c>
      <c r="D4691" t="s">
        <v>1844</v>
      </c>
      <c r="E4691" t="s">
        <v>1018</v>
      </c>
      <c r="F4691" t="s">
        <v>1019</v>
      </c>
    </row>
    <row r="4692" spans="1:6">
      <c r="A4692" t="s">
        <v>13</v>
      </c>
      <c r="B4692" t="s">
        <v>92</v>
      </c>
      <c r="C4692" t="s">
        <v>1843</v>
      </c>
      <c r="D4692" t="s">
        <v>1844</v>
      </c>
      <c r="E4692" t="s">
        <v>1020</v>
      </c>
      <c r="F4692" t="s">
        <v>1021</v>
      </c>
    </row>
    <row r="4693" spans="1:6">
      <c r="A4693" t="s">
        <v>13</v>
      </c>
      <c r="B4693" t="s">
        <v>92</v>
      </c>
      <c r="C4693" t="s">
        <v>1843</v>
      </c>
      <c r="D4693" t="s">
        <v>1844</v>
      </c>
      <c r="E4693" t="s">
        <v>1022</v>
      </c>
      <c r="F4693" t="s">
        <v>1023</v>
      </c>
    </row>
    <row r="4694" spans="1:6">
      <c r="A4694" t="s">
        <v>13</v>
      </c>
      <c r="B4694" t="s">
        <v>92</v>
      </c>
      <c r="C4694" t="s">
        <v>1843</v>
      </c>
      <c r="D4694" t="s">
        <v>1844</v>
      </c>
      <c r="E4694" t="s">
        <v>1024</v>
      </c>
      <c r="F4694" t="s">
        <v>1025</v>
      </c>
    </row>
    <row r="4695" spans="1:6">
      <c r="A4695" t="s">
        <v>13</v>
      </c>
      <c r="B4695" t="s">
        <v>92</v>
      </c>
      <c r="C4695" t="s">
        <v>1843</v>
      </c>
      <c r="D4695" t="s">
        <v>1844</v>
      </c>
      <c r="E4695" t="s">
        <v>1026</v>
      </c>
      <c r="F4695" t="s">
        <v>1027</v>
      </c>
    </row>
    <row r="4696" spans="1:6">
      <c r="A4696" t="s">
        <v>13</v>
      </c>
      <c r="B4696" t="s">
        <v>92</v>
      </c>
      <c r="C4696" t="s">
        <v>1843</v>
      </c>
      <c r="D4696" t="s">
        <v>1844</v>
      </c>
      <c r="E4696" t="s">
        <v>1028</v>
      </c>
      <c r="F4696" t="s">
        <v>1029</v>
      </c>
    </row>
    <row r="4697" spans="1:6">
      <c r="A4697" t="s">
        <v>13</v>
      </c>
      <c r="B4697" t="s">
        <v>92</v>
      </c>
      <c r="C4697" t="s">
        <v>1843</v>
      </c>
      <c r="D4697" t="s">
        <v>1844</v>
      </c>
      <c r="E4697" t="s">
        <v>1030</v>
      </c>
      <c r="F4697" t="s">
        <v>1031</v>
      </c>
    </row>
    <row r="4698" spans="1:6">
      <c r="A4698" t="s">
        <v>13</v>
      </c>
      <c r="B4698" t="s">
        <v>92</v>
      </c>
      <c r="C4698" t="s">
        <v>1843</v>
      </c>
      <c r="D4698" t="s">
        <v>1844</v>
      </c>
      <c r="E4698" t="s">
        <v>1032</v>
      </c>
      <c r="F4698" t="s">
        <v>1033</v>
      </c>
    </row>
    <row r="4699" spans="1:6">
      <c r="A4699" t="s">
        <v>13</v>
      </c>
      <c r="B4699" t="s">
        <v>92</v>
      </c>
      <c r="C4699" t="s">
        <v>1843</v>
      </c>
      <c r="D4699" t="s">
        <v>1844</v>
      </c>
      <c r="E4699" t="s">
        <v>1034</v>
      </c>
      <c r="F4699" t="s">
        <v>93</v>
      </c>
    </row>
    <row r="4700" spans="1:6">
      <c r="A4700" t="s">
        <v>13</v>
      </c>
      <c r="B4700" t="s">
        <v>92</v>
      </c>
      <c r="C4700" t="s">
        <v>1843</v>
      </c>
      <c r="D4700" t="s">
        <v>1844</v>
      </c>
      <c r="E4700" t="s">
        <v>1035</v>
      </c>
      <c r="F4700">
        <v>1360.75</v>
      </c>
    </row>
    <row r="4701" spans="1:6">
      <c r="A4701" t="s">
        <v>13</v>
      </c>
      <c r="B4701" t="s">
        <v>92</v>
      </c>
      <c r="C4701" t="s">
        <v>1843</v>
      </c>
      <c r="D4701" t="s">
        <v>1844</v>
      </c>
      <c r="E4701" t="s">
        <v>1036</v>
      </c>
      <c r="F4701">
        <v>2024</v>
      </c>
    </row>
    <row r="4702" spans="1:6">
      <c r="A4702" t="s">
        <v>13</v>
      </c>
      <c r="B4702" t="s">
        <v>92</v>
      </c>
      <c r="C4702" t="s">
        <v>1843</v>
      </c>
      <c r="D4702" t="s">
        <v>1844</v>
      </c>
      <c r="E4702" t="s">
        <v>1037</v>
      </c>
      <c r="F4702">
        <v>707.71</v>
      </c>
    </row>
    <row r="4703" spans="1:6">
      <c r="A4703" t="s">
        <v>13</v>
      </c>
      <c r="B4703" t="s">
        <v>92</v>
      </c>
      <c r="C4703" t="s">
        <v>1843</v>
      </c>
      <c r="D4703" t="s">
        <v>1844</v>
      </c>
      <c r="E4703" t="s">
        <v>1038</v>
      </c>
      <c r="F4703">
        <v>2025</v>
      </c>
    </row>
    <row r="4704" spans="1:6">
      <c r="A4704" t="s">
        <v>13</v>
      </c>
      <c r="B4704" t="s">
        <v>92</v>
      </c>
      <c r="C4704" t="s">
        <v>1843</v>
      </c>
      <c r="D4704" t="s">
        <v>1844</v>
      </c>
      <c r="E4704" t="s">
        <v>1039</v>
      </c>
      <c r="F4704">
        <v>979562.14</v>
      </c>
    </row>
    <row r="4705" spans="1:6">
      <c r="A4705" t="s">
        <v>13</v>
      </c>
      <c r="B4705" t="s">
        <v>92</v>
      </c>
      <c r="C4705" t="s">
        <v>1843</v>
      </c>
      <c r="D4705" t="s">
        <v>1844</v>
      </c>
      <c r="E4705" t="s">
        <v>1040</v>
      </c>
      <c r="F4705">
        <v>252</v>
      </c>
    </row>
    <row r="4706" spans="1:6">
      <c r="A4706" t="s">
        <v>13</v>
      </c>
      <c r="B4706" t="s">
        <v>92</v>
      </c>
      <c r="C4706" t="s">
        <v>1843</v>
      </c>
      <c r="D4706" t="s">
        <v>1844</v>
      </c>
      <c r="E4706" t="s">
        <v>1041</v>
      </c>
      <c r="F4706">
        <v>0</v>
      </c>
    </row>
    <row r="4707" spans="1:6">
      <c r="A4707" t="s">
        <v>13</v>
      </c>
      <c r="B4707" t="s">
        <v>92</v>
      </c>
      <c r="C4707" t="s">
        <v>1843</v>
      </c>
      <c r="D4707" t="s">
        <v>1844</v>
      </c>
      <c r="E4707" t="s">
        <v>1042</v>
      </c>
      <c r="F4707">
        <v>0</v>
      </c>
    </row>
    <row r="4708" spans="1:6">
      <c r="A4708" t="s">
        <v>13</v>
      </c>
      <c r="B4708" t="s">
        <v>92</v>
      </c>
      <c r="C4708" t="s">
        <v>1843</v>
      </c>
      <c r="D4708" t="s">
        <v>1844</v>
      </c>
      <c r="E4708" t="s">
        <v>1043</v>
      </c>
      <c r="F4708">
        <v>702</v>
      </c>
    </row>
    <row r="4709" spans="1:6">
      <c r="A4709" t="s">
        <v>13</v>
      </c>
      <c r="B4709" t="s">
        <v>92</v>
      </c>
      <c r="C4709" t="s">
        <v>1843</v>
      </c>
      <c r="D4709" t="s">
        <v>1844</v>
      </c>
      <c r="E4709" t="s">
        <v>1044</v>
      </c>
      <c r="F4709">
        <v>0</v>
      </c>
    </row>
    <row r="4710" spans="1:6">
      <c r="A4710" t="s">
        <v>13</v>
      </c>
      <c r="B4710" t="s">
        <v>92</v>
      </c>
      <c r="C4710" t="s">
        <v>1843</v>
      </c>
      <c r="D4710" t="s">
        <v>1844</v>
      </c>
      <c r="E4710" t="s">
        <v>1045</v>
      </c>
      <c r="F4710">
        <v>32803.79</v>
      </c>
    </row>
    <row r="4711" spans="1:6">
      <c r="A4711" t="s">
        <v>13</v>
      </c>
      <c r="B4711" t="s">
        <v>92</v>
      </c>
      <c r="C4711" t="s">
        <v>1843</v>
      </c>
      <c r="D4711" t="s">
        <v>1844</v>
      </c>
      <c r="E4711" t="s">
        <v>1046</v>
      </c>
      <c r="F4711">
        <v>190425.4500000001</v>
      </c>
    </row>
    <row r="4712" spans="1:6">
      <c r="A4712" t="s">
        <v>13</v>
      </c>
      <c r="B4712" t="s">
        <v>92</v>
      </c>
      <c r="C4712" t="s">
        <v>1843</v>
      </c>
      <c r="D4712" t="s">
        <v>1844</v>
      </c>
      <c r="E4712" t="s">
        <v>1047</v>
      </c>
      <c r="F4712">
        <v>155425.36</v>
      </c>
    </row>
    <row r="4713" spans="1:6">
      <c r="A4713" t="s">
        <v>13</v>
      </c>
      <c r="B4713" t="s">
        <v>92</v>
      </c>
      <c r="C4713" t="s">
        <v>1843</v>
      </c>
      <c r="D4713" t="s">
        <v>1844</v>
      </c>
      <c r="E4713" t="s">
        <v>1048</v>
      </c>
      <c r="F4713">
        <v>166766.9000000001</v>
      </c>
    </row>
    <row r="4714" spans="1:6">
      <c r="A4714" t="s">
        <v>13</v>
      </c>
      <c r="B4714" t="s">
        <v>92</v>
      </c>
      <c r="C4714" t="s">
        <v>1843</v>
      </c>
      <c r="D4714" t="s">
        <v>1844</v>
      </c>
      <c r="E4714" t="s">
        <v>1049</v>
      </c>
      <c r="F4714">
        <v>144482.3800000001</v>
      </c>
    </row>
    <row r="4715" spans="1:6">
      <c r="A4715" t="s">
        <v>13</v>
      </c>
      <c r="B4715" t="s">
        <v>92</v>
      </c>
      <c r="C4715" t="s">
        <v>1843</v>
      </c>
      <c r="D4715" t="s">
        <v>1844</v>
      </c>
      <c r="E4715" t="s">
        <v>1050</v>
      </c>
      <c r="F4715">
        <v>109177.59</v>
      </c>
    </row>
    <row r="4716" spans="1:6">
      <c r="A4716" t="s">
        <v>13</v>
      </c>
      <c r="B4716" t="s">
        <v>92</v>
      </c>
      <c r="C4716" t="s">
        <v>1843</v>
      </c>
      <c r="D4716" t="s">
        <v>1844</v>
      </c>
      <c r="E4716" t="s">
        <v>1051</v>
      </c>
      <c r="F4716">
        <v>179526.6700000001</v>
      </c>
    </row>
    <row r="4717" spans="1:6">
      <c r="A4717" t="s">
        <v>13</v>
      </c>
      <c r="B4717" t="s">
        <v>92</v>
      </c>
      <c r="C4717" t="s">
        <v>1843</v>
      </c>
      <c r="D4717" t="s">
        <v>1844</v>
      </c>
      <c r="E4717" t="s">
        <v>1052</v>
      </c>
      <c r="F4717">
        <v>2026</v>
      </c>
    </row>
    <row r="4718" spans="1:6">
      <c r="A4718" t="s">
        <v>13</v>
      </c>
      <c r="B4718" t="s">
        <v>92</v>
      </c>
      <c r="C4718" t="s">
        <v>1843</v>
      </c>
      <c r="D4718" t="s">
        <v>1844</v>
      </c>
      <c r="E4718" t="s">
        <v>1053</v>
      </c>
      <c r="F4718">
        <v>860922.6800000001</v>
      </c>
    </row>
    <row r="4719" spans="1:6">
      <c r="A4719" t="s">
        <v>13</v>
      </c>
      <c r="B4719" t="s">
        <v>92</v>
      </c>
      <c r="C4719" t="s">
        <v>1843</v>
      </c>
      <c r="D4719" t="s">
        <v>1844</v>
      </c>
      <c r="E4719" t="s">
        <v>1108</v>
      </c>
      <c r="F4719">
        <v>130636.08</v>
      </c>
    </row>
    <row r="4720" spans="1:6">
      <c r="A4720" t="s">
        <v>13</v>
      </c>
      <c r="B4720" t="s">
        <v>92</v>
      </c>
      <c r="C4720" t="s">
        <v>1843</v>
      </c>
      <c r="D4720" t="s">
        <v>1844</v>
      </c>
      <c r="E4720" t="s">
        <v>1109</v>
      </c>
      <c r="F4720">
        <v>256641.26</v>
      </c>
    </row>
    <row r="4721" spans="1:6">
      <c r="A4721" t="s">
        <v>13</v>
      </c>
      <c r="B4721" t="s">
        <v>92</v>
      </c>
      <c r="C4721" t="s">
        <v>1843</v>
      </c>
      <c r="D4721" t="s">
        <v>1844</v>
      </c>
      <c r="E4721" t="s">
        <v>1110</v>
      </c>
      <c r="F4721">
        <v>111294.4299999999</v>
      </c>
    </row>
    <row r="4722" spans="1:6">
      <c r="A4722" t="s">
        <v>13</v>
      </c>
      <c r="B4722" t="s">
        <v>92</v>
      </c>
      <c r="C4722" t="s">
        <v>1843</v>
      </c>
      <c r="D4722" t="s">
        <v>1844</v>
      </c>
      <c r="E4722" t="s">
        <v>1521</v>
      </c>
      <c r="F4722">
        <v>112393.3500000001</v>
      </c>
    </row>
    <row r="4723" spans="1:6">
      <c r="A4723" t="s">
        <v>13</v>
      </c>
      <c r="B4723" t="s">
        <v>92</v>
      </c>
      <c r="C4723" t="s">
        <v>1843</v>
      </c>
      <c r="D4723" t="s">
        <v>1844</v>
      </c>
      <c r="E4723" t="s">
        <v>1522</v>
      </c>
      <c r="F4723">
        <v>162509.23</v>
      </c>
    </row>
    <row r="4724" spans="1:6">
      <c r="A4724" t="s">
        <v>13</v>
      </c>
      <c r="B4724" t="s">
        <v>92</v>
      </c>
      <c r="C4724" t="s">
        <v>1843</v>
      </c>
      <c r="D4724" t="s">
        <v>1844</v>
      </c>
      <c r="E4724" t="s">
        <v>1523</v>
      </c>
      <c r="F4724">
        <v>87448.33000000007</v>
      </c>
    </row>
    <row r="4725" spans="1:6">
      <c r="A4725" t="s">
        <v>13</v>
      </c>
      <c r="B4725" t="s">
        <v>92</v>
      </c>
      <c r="C4725" t="s">
        <v>1843</v>
      </c>
      <c r="D4725" t="s">
        <v>1844</v>
      </c>
      <c r="E4725" t="s">
        <v>1524</v>
      </c>
      <c r="F4725">
        <v>0</v>
      </c>
    </row>
    <row r="4726" spans="1:6">
      <c r="A4726" t="s">
        <v>13</v>
      </c>
      <c r="B4726" t="s">
        <v>92</v>
      </c>
      <c r="C4726" t="s">
        <v>1843</v>
      </c>
      <c r="D4726" t="s">
        <v>1844</v>
      </c>
      <c r="E4726" t="s">
        <v>1525</v>
      </c>
      <c r="F4726">
        <v>0</v>
      </c>
    </row>
    <row r="4727" spans="1:6">
      <c r="A4727" t="s">
        <v>13</v>
      </c>
      <c r="B4727" t="s">
        <v>92</v>
      </c>
      <c r="C4727" t="s">
        <v>1843</v>
      </c>
      <c r="D4727" t="s">
        <v>1844</v>
      </c>
      <c r="E4727" t="s">
        <v>1526</v>
      </c>
      <c r="F4727">
        <v>0</v>
      </c>
    </row>
    <row r="4728" spans="1:6">
      <c r="A4728" t="s">
        <v>13</v>
      </c>
      <c r="B4728" t="s">
        <v>92</v>
      </c>
      <c r="C4728" t="s">
        <v>1843</v>
      </c>
      <c r="D4728" t="s">
        <v>1844</v>
      </c>
      <c r="E4728" t="s">
        <v>1527</v>
      </c>
      <c r="F4728">
        <v>0</v>
      </c>
    </row>
    <row r="4729" spans="1:6">
      <c r="A4729" t="s">
        <v>13</v>
      </c>
      <c r="B4729" t="s">
        <v>92</v>
      </c>
      <c r="C4729" t="s">
        <v>1843</v>
      </c>
      <c r="D4729" t="s">
        <v>1844</v>
      </c>
      <c r="E4729" t="s">
        <v>1528</v>
      </c>
      <c r="F4729">
        <v>0</v>
      </c>
    </row>
    <row r="4730" spans="1:6">
      <c r="A4730" t="s">
        <v>13</v>
      </c>
      <c r="B4730" t="s">
        <v>92</v>
      </c>
      <c r="C4730" t="s">
        <v>1843</v>
      </c>
      <c r="D4730" t="s">
        <v>1844</v>
      </c>
      <c r="E4730" t="s">
        <v>1529</v>
      </c>
      <c r="F4730">
        <v>0</v>
      </c>
    </row>
    <row r="4731" spans="1:6">
      <c r="A4731" t="s">
        <v>13</v>
      </c>
      <c r="B4731" t="s">
        <v>92</v>
      </c>
      <c r="C4731" t="s">
        <v>1843</v>
      </c>
      <c r="D4731" t="s">
        <v>1844</v>
      </c>
      <c r="E4731" t="s">
        <v>1111</v>
      </c>
      <c r="F4731" t="s">
        <v>1009</v>
      </c>
    </row>
    <row r="4732" spans="1:6">
      <c r="A4732" t="s">
        <v>13</v>
      </c>
      <c r="B4732" t="s">
        <v>92</v>
      </c>
      <c r="C4732" t="s">
        <v>1843</v>
      </c>
      <c r="D4732" t="s">
        <v>1844</v>
      </c>
      <c r="E4732" t="s">
        <v>1113</v>
      </c>
      <c r="F4732">
        <v>1842553.28</v>
      </c>
    </row>
    <row r="4733" spans="1:6">
      <c r="A4733" t="s">
        <v>13</v>
      </c>
      <c r="B4733" t="s">
        <v>92</v>
      </c>
      <c r="C4733" t="s">
        <v>1843</v>
      </c>
      <c r="D4733" t="s">
        <v>1844</v>
      </c>
      <c r="E4733" t="s">
        <v>1122</v>
      </c>
      <c r="F4733" t="s">
        <v>1055</v>
      </c>
    </row>
    <row r="4734" spans="1:6">
      <c r="A4734" t="s">
        <v>13</v>
      </c>
      <c r="B4734" t="s">
        <v>92</v>
      </c>
      <c r="C4734" t="s">
        <v>1843</v>
      </c>
      <c r="D4734" t="s">
        <v>1844</v>
      </c>
      <c r="E4734" t="s">
        <v>1071</v>
      </c>
      <c r="F4734" t="s">
        <v>1007</v>
      </c>
    </row>
    <row r="4735" spans="1:6">
      <c r="A4735" t="s">
        <v>13</v>
      </c>
      <c r="B4735" t="s">
        <v>92</v>
      </c>
      <c r="C4735" t="s">
        <v>1843</v>
      </c>
      <c r="D4735" t="s">
        <v>1844</v>
      </c>
      <c r="E4735" t="s">
        <v>1072</v>
      </c>
      <c r="F4735" t="s">
        <v>1009</v>
      </c>
    </row>
    <row r="4736" spans="1:6">
      <c r="A4736" t="s">
        <v>13</v>
      </c>
      <c r="B4736" t="s">
        <v>92</v>
      </c>
      <c r="C4736" t="s">
        <v>1843</v>
      </c>
      <c r="D4736" t="s">
        <v>1844</v>
      </c>
      <c r="E4736" t="s">
        <v>1133</v>
      </c>
      <c r="F4736" t="s">
        <v>1011</v>
      </c>
    </row>
    <row r="4737" spans="1:6">
      <c r="A4737" t="s">
        <v>13</v>
      </c>
      <c r="B4737" t="s">
        <v>92</v>
      </c>
      <c r="C4737" t="s">
        <v>1843</v>
      </c>
      <c r="D4737" t="s">
        <v>1844</v>
      </c>
      <c r="E4737" t="s">
        <v>1134</v>
      </c>
      <c r="F4737" t="s">
        <v>1013</v>
      </c>
    </row>
    <row r="4738" spans="1:6">
      <c r="A4738" t="s">
        <v>13</v>
      </c>
      <c r="B4738" t="s">
        <v>92</v>
      </c>
      <c r="C4738" t="s">
        <v>1843</v>
      </c>
      <c r="D4738" t="s">
        <v>1844</v>
      </c>
      <c r="E4738" t="s">
        <v>1135</v>
      </c>
      <c r="F4738" t="s">
        <v>1015</v>
      </c>
    </row>
    <row r="4739" spans="1:6">
      <c r="A4739" t="s">
        <v>13</v>
      </c>
      <c r="B4739" t="s">
        <v>92</v>
      </c>
      <c r="C4739" t="s">
        <v>1843</v>
      </c>
      <c r="D4739" t="s">
        <v>1844</v>
      </c>
      <c r="E4739" t="s">
        <v>1414</v>
      </c>
      <c r="F4739" t="s">
        <v>1017</v>
      </c>
    </row>
    <row r="4740" spans="1:6">
      <c r="A4740" t="s">
        <v>13</v>
      </c>
      <c r="B4740" t="s">
        <v>92</v>
      </c>
      <c r="C4740" t="s">
        <v>1843</v>
      </c>
      <c r="D4740" t="s">
        <v>1844</v>
      </c>
      <c r="E4740" t="s">
        <v>1530</v>
      </c>
      <c r="F4740" t="s">
        <v>1019</v>
      </c>
    </row>
    <row r="4741" spans="1:6">
      <c r="A4741" t="s">
        <v>13</v>
      </c>
      <c r="B4741" t="s">
        <v>92</v>
      </c>
      <c r="C4741" t="s">
        <v>1843</v>
      </c>
      <c r="D4741" t="s">
        <v>1844</v>
      </c>
      <c r="E4741" t="s">
        <v>1531</v>
      </c>
      <c r="F4741" t="s">
        <v>1021</v>
      </c>
    </row>
    <row r="4742" spans="1:6">
      <c r="A4742" t="s">
        <v>13</v>
      </c>
      <c r="B4742" t="s">
        <v>92</v>
      </c>
      <c r="C4742" t="s">
        <v>1843</v>
      </c>
      <c r="D4742" t="s">
        <v>1844</v>
      </c>
      <c r="E4742" t="s">
        <v>1532</v>
      </c>
      <c r="F4742" t="s">
        <v>1023</v>
      </c>
    </row>
    <row r="4743" spans="1:6">
      <c r="A4743" t="s">
        <v>13</v>
      </c>
      <c r="B4743" t="s">
        <v>92</v>
      </c>
      <c r="C4743" t="s">
        <v>1843</v>
      </c>
      <c r="D4743" t="s">
        <v>1844</v>
      </c>
      <c r="E4743" t="s">
        <v>1533</v>
      </c>
      <c r="F4743" t="s">
        <v>1066</v>
      </c>
    </row>
    <row r="4744" spans="1:6">
      <c r="A4744" t="s">
        <v>13</v>
      </c>
      <c r="B4744" t="s">
        <v>92</v>
      </c>
      <c r="C4744" t="s">
        <v>1843</v>
      </c>
      <c r="D4744" t="s">
        <v>1844</v>
      </c>
      <c r="E4744" t="s">
        <v>1534</v>
      </c>
      <c r="F4744" t="s">
        <v>1027</v>
      </c>
    </row>
    <row r="4745" spans="1:6">
      <c r="A4745" t="s">
        <v>13</v>
      </c>
      <c r="B4745" t="s">
        <v>92</v>
      </c>
      <c r="C4745" t="s">
        <v>1843</v>
      </c>
      <c r="D4745" t="s">
        <v>1844</v>
      </c>
      <c r="E4745" t="s">
        <v>1535</v>
      </c>
      <c r="F4745" t="s">
        <v>1029</v>
      </c>
    </row>
    <row r="4746" spans="1:6">
      <c r="A4746" t="s">
        <v>13</v>
      </c>
      <c r="B4746" t="s">
        <v>92</v>
      </c>
      <c r="C4746" t="s">
        <v>1843</v>
      </c>
      <c r="D4746" t="s">
        <v>1844</v>
      </c>
      <c r="E4746" t="s">
        <v>1536</v>
      </c>
      <c r="F4746" t="s">
        <v>1031</v>
      </c>
    </row>
    <row r="4747" spans="1:6">
      <c r="A4747" t="s">
        <v>13</v>
      </c>
      <c r="B4747" t="s">
        <v>92</v>
      </c>
      <c r="C4747" t="s">
        <v>1843</v>
      </c>
      <c r="D4747" t="s">
        <v>1844</v>
      </c>
      <c r="E4747" t="s">
        <v>1537</v>
      </c>
      <c r="F4747" t="s">
        <v>1033</v>
      </c>
    </row>
    <row r="4748" spans="1:6">
      <c r="A4748" t="s">
        <v>13</v>
      </c>
      <c r="B4748" t="s">
        <v>92</v>
      </c>
      <c r="C4748" t="s">
        <v>1843</v>
      </c>
      <c r="D4748" t="s">
        <v>1844</v>
      </c>
      <c r="E4748" t="s">
        <v>1073</v>
      </c>
      <c r="F4748" t="s">
        <v>93</v>
      </c>
    </row>
    <row r="4749" spans="1:6">
      <c r="A4749" t="s">
        <v>13</v>
      </c>
      <c r="B4749" t="s">
        <v>92</v>
      </c>
      <c r="C4749" t="s">
        <v>1843</v>
      </c>
      <c r="D4749" t="s">
        <v>1844</v>
      </c>
      <c r="E4749" t="s">
        <v>1074</v>
      </c>
      <c r="F4749">
        <v>8</v>
      </c>
    </row>
    <row r="4750" spans="1:6">
      <c r="A4750" t="s">
        <v>13</v>
      </c>
      <c r="B4750" t="s">
        <v>92</v>
      </c>
      <c r="C4750" t="s">
        <v>1843</v>
      </c>
      <c r="D4750" t="s">
        <v>1844</v>
      </c>
      <c r="E4750" t="s">
        <v>1075</v>
      </c>
      <c r="F4750">
        <v>2024</v>
      </c>
    </row>
    <row r="4751" spans="1:6">
      <c r="A4751" t="s">
        <v>13</v>
      </c>
      <c r="B4751" t="s">
        <v>92</v>
      </c>
      <c r="C4751" t="s">
        <v>1843</v>
      </c>
      <c r="D4751" t="s">
        <v>1844</v>
      </c>
      <c r="E4751" t="s">
        <v>1076</v>
      </c>
      <c r="F4751">
        <v>3</v>
      </c>
    </row>
    <row r="4752" spans="1:6">
      <c r="A4752" t="s">
        <v>13</v>
      </c>
      <c r="B4752" t="s">
        <v>92</v>
      </c>
      <c r="C4752" t="s">
        <v>1843</v>
      </c>
      <c r="D4752" t="s">
        <v>1844</v>
      </c>
      <c r="E4752" t="s">
        <v>1089</v>
      </c>
      <c r="F4752">
        <v>2025</v>
      </c>
    </row>
    <row r="4753" spans="1:6">
      <c r="A4753" t="s">
        <v>13</v>
      </c>
      <c r="B4753" t="s">
        <v>92</v>
      </c>
      <c r="C4753" t="s">
        <v>1843</v>
      </c>
      <c r="D4753" t="s">
        <v>1844</v>
      </c>
      <c r="E4753" t="s">
        <v>1090</v>
      </c>
      <c r="F4753">
        <v>2759</v>
      </c>
    </row>
    <row r="4754" spans="1:6">
      <c r="A4754" t="s">
        <v>13</v>
      </c>
      <c r="B4754" t="s">
        <v>92</v>
      </c>
      <c r="C4754" t="s">
        <v>1843</v>
      </c>
      <c r="D4754" t="s">
        <v>1844</v>
      </c>
      <c r="E4754" t="s">
        <v>1139</v>
      </c>
      <c r="F4754">
        <v>1</v>
      </c>
    </row>
    <row r="4755" spans="1:6">
      <c r="A4755" t="s">
        <v>13</v>
      </c>
      <c r="B4755" t="s">
        <v>92</v>
      </c>
      <c r="C4755" t="s">
        <v>1843</v>
      </c>
      <c r="D4755" t="s">
        <v>1844</v>
      </c>
      <c r="E4755" t="s">
        <v>1140</v>
      </c>
      <c r="F4755">
        <v>0</v>
      </c>
    </row>
    <row r="4756" spans="1:6">
      <c r="A4756" t="s">
        <v>13</v>
      </c>
      <c r="B4756" t="s">
        <v>92</v>
      </c>
      <c r="C4756" t="s">
        <v>1843</v>
      </c>
      <c r="D4756" t="s">
        <v>1844</v>
      </c>
      <c r="E4756" t="s">
        <v>1141</v>
      </c>
      <c r="F4756">
        <v>0</v>
      </c>
    </row>
    <row r="4757" spans="1:6">
      <c r="A4757" t="s">
        <v>13</v>
      </c>
      <c r="B4757" t="s">
        <v>92</v>
      </c>
      <c r="C4757" t="s">
        <v>1843</v>
      </c>
      <c r="D4757" t="s">
        <v>1844</v>
      </c>
      <c r="E4757" t="s">
        <v>1423</v>
      </c>
      <c r="F4757">
        <v>2</v>
      </c>
    </row>
    <row r="4758" spans="1:6">
      <c r="A4758" t="s">
        <v>13</v>
      </c>
      <c r="B4758" t="s">
        <v>92</v>
      </c>
      <c r="C4758" t="s">
        <v>1843</v>
      </c>
      <c r="D4758" t="s">
        <v>1844</v>
      </c>
      <c r="E4758" t="s">
        <v>1538</v>
      </c>
      <c r="F4758">
        <v>0</v>
      </c>
    </row>
    <row r="4759" spans="1:6">
      <c r="A4759" t="s">
        <v>13</v>
      </c>
      <c r="B4759" t="s">
        <v>92</v>
      </c>
      <c r="C4759" t="s">
        <v>1843</v>
      </c>
      <c r="D4759" t="s">
        <v>1844</v>
      </c>
      <c r="E4759" t="s">
        <v>1539</v>
      </c>
      <c r="F4759">
        <v>59</v>
      </c>
    </row>
    <row r="4760" spans="1:6">
      <c r="A4760" t="s">
        <v>13</v>
      </c>
      <c r="B4760" t="s">
        <v>92</v>
      </c>
      <c r="C4760" t="s">
        <v>1843</v>
      </c>
      <c r="D4760" t="s">
        <v>1844</v>
      </c>
      <c r="E4760" t="s">
        <v>1540</v>
      </c>
      <c r="F4760">
        <v>382</v>
      </c>
    </row>
    <row r="4761" spans="1:6">
      <c r="A4761" t="s">
        <v>13</v>
      </c>
      <c r="B4761" t="s">
        <v>92</v>
      </c>
      <c r="C4761" t="s">
        <v>1843</v>
      </c>
      <c r="D4761" t="s">
        <v>1844</v>
      </c>
      <c r="E4761" t="s">
        <v>1541</v>
      </c>
      <c r="F4761">
        <v>658</v>
      </c>
    </row>
    <row r="4762" spans="1:6">
      <c r="A4762" t="s">
        <v>13</v>
      </c>
      <c r="B4762" t="s">
        <v>92</v>
      </c>
      <c r="C4762" t="s">
        <v>1843</v>
      </c>
      <c r="D4762" t="s">
        <v>1844</v>
      </c>
      <c r="E4762" t="s">
        <v>1542</v>
      </c>
      <c r="F4762">
        <v>474</v>
      </c>
    </row>
    <row r="4763" spans="1:6">
      <c r="A4763" t="s">
        <v>13</v>
      </c>
      <c r="B4763" t="s">
        <v>92</v>
      </c>
      <c r="C4763" t="s">
        <v>1843</v>
      </c>
      <c r="D4763" t="s">
        <v>1844</v>
      </c>
      <c r="E4763" t="s">
        <v>1543</v>
      </c>
      <c r="F4763">
        <v>433</v>
      </c>
    </row>
    <row r="4764" spans="1:6">
      <c r="A4764" t="s">
        <v>13</v>
      </c>
      <c r="B4764" t="s">
        <v>92</v>
      </c>
      <c r="C4764" t="s">
        <v>1843</v>
      </c>
      <c r="D4764" t="s">
        <v>1844</v>
      </c>
      <c r="E4764" t="s">
        <v>1544</v>
      </c>
      <c r="F4764">
        <v>403</v>
      </c>
    </row>
    <row r="4765" spans="1:6">
      <c r="A4765" t="s">
        <v>13</v>
      </c>
      <c r="B4765" t="s">
        <v>92</v>
      </c>
      <c r="C4765" t="s">
        <v>1843</v>
      </c>
      <c r="D4765" t="s">
        <v>1844</v>
      </c>
      <c r="E4765" t="s">
        <v>1545</v>
      </c>
      <c r="F4765">
        <v>347</v>
      </c>
    </row>
    <row r="4766" spans="1:6">
      <c r="A4766" t="s">
        <v>13</v>
      </c>
      <c r="B4766" t="s">
        <v>92</v>
      </c>
      <c r="C4766" t="s">
        <v>1843</v>
      </c>
      <c r="D4766" t="s">
        <v>1844</v>
      </c>
      <c r="E4766" t="s">
        <v>1546</v>
      </c>
      <c r="F4766">
        <v>2026</v>
      </c>
    </row>
    <row r="4767" spans="1:6">
      <c r="A4767" t="s">
        <v>13</v>
      </c>
      <c r="B4767" t="s">
        <v>92</v>
      </c>
      <c r="C4767" t="s">
        <v>1843</v>
      </c>
      <c r="D4767" t="s">
        <v>1844</v>
      </c>
      <c r="E4767" t="s">
        <v>1298</v>
      </c>
      <c r="F4767">
        <v>2182</v>
      </c>
    </row>
    <row r="4768" spans="1:6">
      <c r="A4768" t="s">
        <v>13</v>
      </c>
      <c r="B4768" t="s">
        <v>92</v>
      </c>
      <c r="C4768" t="s">
        <v>1843</v>
      </c>
      <c r="D4768" t="s">
        <v>1844</v>
      </c>
      <c r="E4768" t="s">
        <v>1299</v>
      </c>
      <c r="F4768">
        <v>394</v>
      </c>
    </row>
    <row r="4769" spans="1:6">
      <c r="A4769" t="s">
        <v>13</v>
      </c>
      <c r="B4769" t="s">
        <v>92</v>
      </c>
      <c r="C4769" t="s">
        <v>1843</v>
      </c>
      <c r="D4769" t="s">
        <v>1844</v>
      </c>
      <c r="E4769" t="s">
        <v>1300</v>
      </c>
      <c r="F4769">
        <v>400</v>
      </c>
    </row>
    <row r="4770" spans="1:6">
      <c r="A4770" t="s">
        <v>13</v>
      </c>
      <c r="B4770" t="s">
        <v>92</v>
      </c>
      <c r="C4770" t="s">
        <v>1843</v>
      </c>
      <c r="D4770" t="s">
        <v>1844</v>
      </c>
      <c r="E4770" t="s">
        <v>1426</v>
      </c>
      <c r="F4770">
        <v>372</v>
      </c>
    </row>
    <row r="4771" spans="1:6">
      <c r="A4771" t="s">
        <v>13</v>
      </c>
      <c r="B4771" t="s">
        <v>92</v>
      </c>
      <c r="C4771" t="s">
        <v>1843</v>
      </c>
      <c r="D4771" t="s">
        <v>1844</v>
      </c>
      <c r="E4771" t="s">
        <v>1400</v>
      </c>
      <c r="F4771">
        <v>359</v>
      </c>
    </row>
    <row r="4772" spans="1:6">
      <c r="A4772" t="s">
        <v>13</v>
      </c>
      <c r="B4772" t="s">
        <v>92</v>
      </c>
      <c r="C4772" t="s">
        <v>1843</v>
      </c>
      <c r="D4772" t="s">
        <v>1844</v>
      </c>
      <c r="E4772" t="s">
        <v>1846</v>
      </c>
      <c r="F4772">
        <v>361</v>
      </c>
    </row>
    <row r="4773" spans="1:6">
      <c r="A4773" t="s">
        <v>13</v>
      </c>
      <c r="B4773" t="s">
        <v>92</v>
      </c>
      <c r="C4773" t="s">
        <v>1843</v>
      </c>
      <c r="D4773" t="s">
        <v>1844</v>
      </c>
      <c r="E4773" t="s">
        <v>1847</v>
      </c>
      <c r="F4773">
        <v>296</v>
      </c>
    </row>
    <row r="4774" spans="1:6">
      <c r="A4774" t="s">
        <v>13</v>
      </c>
      <c r="B4774" t="s">
        <v>92</v>
      </c>
      <c r="C4774" t="s">
        <v>1843</v>
      </c>
      <c r="D4774" t="s">
        <v>1844</v>
      </c>
      <c r="E4774" t="s">
        <v>1848</v>
      </c>
      <c r="F4774">
        <v>0</v>
      </c>
    </row>
    <row r="4775" spans="1:6">
      <c r="A4775" t="s">
        <v>13</v>
      </c>
      <c r="B4775" t="s">
        <v>92</v>
      </c>
      <c r="C4775" t="s">
        <v>1843</v>
      </c>
      <c r="D4775" t="s">
        <v>1844</v>
      </c>
      <c r="E4775" t="s">
        <v>1796</v>
      </c>
      <c r="F4775">
        <v>0</v>
      </c>
    </row>
    <row r="4776" spans="1:6">
      <c r="A4776" t="s">
        <v>13</v>
      </c>
      <c r="B4776" t="s">
        <v>92</v>
      </c>
      <c r="C4776" t="s">
        <v>1843</v>
      </c>
      <c r="D4776" t="s">
        <v>1844</v>
      </c>
      <c r="E4776" t="s">
        <v>1797</v>
      </c>
      <c r="F4776">
        <v>0</v>
      </c>
    </row>
    <row r="4777" spans="1:6">
      <c r="A4777" t="s">
        <v>13</v>
      </c>
      <c r="B4777" t="s">
        <v>92</v>
      </c>
      <c r="C4777" t="s">
        <v>1843</v>
      </c>
      <c r="D4777" t="s">
        <v>1844</v>
      </c>
      <c r="E4777" t="s">
        <v>1582</v>
      </c>
      <c r="F4777">
        <v>0</v>
      </c>
    </row>
    <row r="4778" spans="1:6">
      <c r="A4778" t="s">
        <v>13</v>
      </c>
      <c r="B4778" t="s">
        <v>92</v>
      </c>
      <c r="C4778" t="s">
        <v>1843</v>
      </c>
      <c r="D4778" t="s">
        <v>1844</v>
      </c>
      <c r="E4778" t="s">
        <v>1584</v>
      </c>
      <c r="F4778">
        <v>0</v>
      </c>
    </row>
    <row r="4779" spans="1:6">
      <c r="A4779" t="s">
        <v>13</v>
      </c>
      <c r="B4779" t="s">
        <v>92</v>
      </c>
      <c r="C4779" t="s">
        <v>1843</v>
      </c>
      <c r="D4779" t="s">
        <v>1844</v>
      </c>
      <c r="E4779" t="s">
        <v>1586</v>
      </c>
      <c r="F4779">
        <v>0</v>
      </c>
    </row>
    <row r="4780" spans="1:6">
      <c r="A4780" t="s">
        <v>13</v>
      </c>
      <c r="B4780" t="s">
        <v>92</v>
      </c>
      <c r="C4780" t="s">
        <v>1843</v>
      </c>
      <c r="D4780" t="s">
        <v>1844</v>
      </c>
      <c r="E4780" t="s">
        <v>1143</v>
      </c>
      <c r="F4780" t="s">
        <v>1009</v>
      </c>
    </row>
    <row r="4781" spans="1:6">
      <c r="A4781" t="s">
        <v>13</v>
      </c>
      <c r="B4781" t="s">
        <v>92</v>
      </c>
      <c r="C4781" t="s">
        <v>1843</v>
      </c>
      <c r="D4781" t="s">
        <v>1844</v>
      </c>
      <c r="E4781" t="s">
        <v>1301</v>
      </c>
      <c r="F4781">
        <v>4952</v>
      </c>
    </row>
    <row r="4782" spans="1:6">
      <c r="A4782" t="s">
        <v>13</v>
      </c>
      <c r="B4782" t="s">
        <v>92</v>
      </c>
      <c r="C4782" t="s">
        <v>1843</v>
      </c>
      <c r="D4782" t="s">
        <v>1844</v>
      </c>
      <c r="E4782" t="s">
        <v>1555</v>
      </c>
      <c r="F4782" t="s">
        <v>1003</v>
      </c>
    </row>
    <row r="4783" spans="1:6">
      <c r="A4783" t="s">
        <v>13</v>
      </c>
      <c r="B4783" t="s">
        <v>92</v>
      </c>
      <c r="C4783" t="s">
        <v>1843</v>
      </c>
      <c r="D4783" t="s">
        <v>1844</v>
      </c>
      <c r="E4783" t="s">
        <v>1173</v>
      </c>
      <c r="F4783" t="s">
        <v>1007</v>
      </c>
    </row>
    <row r="4784" spans="1:6">
      <c r="A4784" t="s">
        <v>13</v>
      </c>
      <c r="B4784" t="s">
        <v>92</v>
      </c>
      <c r="C4784" t="s">
        <v>1843</v>
      </c>
      <c r="D4784" t="s">
        <v>1844</v>
      </c>
      <c r="E4784" t="s">
        <v>1175</v>
      </c>
      <c r="F4784" t="s">
        <v>1009</v>
      </c>
    </row>
    <row r="4785" spans="1:6">
      <c r="A4785" t="s">
        <v>13</v>
      </c>
      <c r="B4785" t="s">
        <v>92</v>
      </c>
      <c r="C4785" t="s">
        <v>1843</v>
      </c>
      <c r="D4785" t="s">
        <v>1844</v>
      </c>
      <c r="E4785" t="s">
        <v>1176</v>
      </c>
      <c r="F4785" t="s">
        <v>1011</v>
      </c>
    </row>
    <row r="4786" spans="1:6">
      <c r="A4786" t="s">
        <v>13</v>
      </c>
      <c r="B4786" t="s">
        <v>92</v>
      </c>
      <c r="C4786" t="s">
        <v>1843</v>
      </c>
      <c r="D4786" t="s">
        <v>1844</v>
      </c>
      <c r="E4786" t="s">
        <v>1177</v>
      </c>
      <c r="F4786" t="s">
        <v>1013</v>
      </c>
    </row>
    <row r="4787" spans="1:6">
      <c r="A4787" t="s">
        <v>13</v>
      </c>
      <c r="B4787" t="s">
        <v>92</v>
      </c>
      <c r="C4787" t="s">
        <v>1843</v>
      </c>
      <c r="D4787" t="s">
        <v>1844</v>
      </c>
      <c r="E4787" t="s">
        <v>1178</v>
      </c>
      <c r="F4787" t="s">
        <v>1015</v>
      </c>
    </row>
    <row r="4788" spans="1:6">
      <c r="A4788" t="s">
        <v>13</v>
      </c>
      <c r="B4788" t="s">
        <v>92</v>
      </c>
      <c r="C4788" t="s">
        <v>1843</v>
      </c>
      <c r="D4788" t="s">
        <v>1844</v>
      </c>
      <c r="E4788" t="s">
        <v>1179</v>
      </c>
      <c r="F4788" t="s">
        <v>1017</v>
      </c>
    </row>
    <row r="4789" spans="1:6">
      <c r="A4789" t="s">
        <v>13</v>
      </c>
      <c r="B4789" t="s">
        <v>92</v>
      </c>
      <c r="C4789" t="s">
        <v>1843</v>
      </c>
      <c r="D4789" t="s">
        <v>1844</v>
      </c>
      <c r="E4789" t="s">
        <v>1180</v>
      </c>
      <c r="F4789" t="s">
        <v>1019</v>
      </c>
    </row>
    <row r="4790" spans="1:6">
      <c r="A4790" t="s">
        <v>13</v>
      </c>
      <c r="B4790" t="s">
        <v>92</v>
      </c>
      <c r="C4790" t="s">
        <v>1843</v>
      </c>
      <c r="D4790" t="s">
        <v>1844</v>
      </c>
      <c r="E4790" t="s">
        <v>1181</v>
      </c>
      <c r="F4790" t="s">
        <v>1021</v>
      </c>
    </row>
    <row r="4791" spans="1:6">
      <c r="A4791" t="s">
        <v>13</v>
      </c>
      <c r="B4791" t="s">
        <v>92</v>
      </c>
      <c r="C4791" t="s">
        <v>1843</v>
      </c>
      <c r="D4791" t="s">
        <v>1844</v>
      </c>
      <c r="E4791" t="s">
        <v>1849</v>
      </c>
      <c r="F4791" t="s">
        <v>1023</v>
      </c>
    </row>
    <row r="4792" spans="1:6">
      <c r="A4792" t="s">
        <v>13</v>
      </c>
      <c r="B4792" t="s">
        <v>92</v>
      </c>
      <c r="C4792" t="s">
        <v>1843</v>
      </c>
      <c r="D4792" t="s">
        <v>1844</v>
      </c>
      <c r="E4792" t="s">
        <v>1810</v>
      </c>
      <c r="F4792" t="s">
        <v>1025</v>
      </c>
    </row>
    <row r="4793" spans="1:6">
      <c r="A4793" t="s">
        <v>13</v>
      </c>
      <c r="B4793" t="s">
        <v>92</v>
      </c>
      <c r="C4793" t="s">
        <v>1843</v>
      </c>
      <c r="D4793" t="s">
        <v>1844</v>
      </c>
      <c r="E4793" t="s">
        <v>1811</v>
      </c>
      <c r="F4793" t="s">
        <v>1027</v>
      </c>
    </row>
    <row r="4794" spans="1:6">
      <c r="A4794" t="s">
        <v>13</v>
      </c>
      <c r="B4794" t="s">
        <v>92</v>
      </c>
      <c r="C4794" t="s">
        <v>1843</v>
      </c>
      <c r="D4794" t="s">
        <v>1844</v>
      </c>
      <c r="E4794" t="s">
        <v>1812</v>
      </c>
      <c r="F4794" t="s">
        <v>1029</v>
      </c>
    </row>
    <row r="4795" spans="1:6">
      <c r="A4795" t="s">
        <v>13</v>
      </c>
      <c r="B4795" t="s">
        <v>92</v>
      </c>
      <c r="C4795" t="s">
        <v>1843</v>
      </c>
      <c r="D4795" t="s">
        <v>1844</v>
      </c>
      <c r="E4795" t="s">
        <v>1850</v>
      </c>
      <c r="F4795" t="s">
        <v>1031</v>
      </c>
    </row>
    <row r="4796" spans="1:6">
      <c r="A4796" t="s">
        <v>13</v>
      </c>
      <c r="B4796" t="s">
        <v>92</v>
      </c>
      <c r="C4796" t="s">
        <v>1843</v>
      </c>
      <c r="D4796" t="s">
        <v>1844</v>
      </c>
      <c r="E4796" t="s">
        <v>1851</v>
      </c>
      <c r="F4796" t="s">
        <v>1033</v>
      </c>
    </row>
    <row r="4797" spans="1:6">
      <c r="A4797" t="s">
        <v>13</v>
      </c>
      <c r="B4797" t="s">
        <v>92</v>
      </c>
      <c r="C4797" t="s">
        <v>1843</v>
      </c>
      <c r="D4797" t="s">
        <v>1844</v>
      </c>
      <c r="E4797" t="s">
        <v>1556</v>
      </c>
      <c r="F4797" t="s">
        <v>93</v>
      </c>
    </row>
    <row r="4798" spans="1:6">
      <c r="A4798" t="s">
        <v>13</v>
      </c>
      <c r="B4798" t="s">
        <v>92</v>
      </c>
      <c r="C4798" t="s">
        <v>1843</v>
      </c>
      <c r="D4798" t="s">
        <v>1844</v>
      </c>
      <c r="E4798" t="s">
        <v>1452</v>
      </c>
      <c r="F4798">
        <v>182.34</v>
      </c>
    </row>
    <row r="4799" spans="1:6">
      <c r="A4799" t="s">
        <v>13</v>
      </c>
      <c r="B4799" t="s">
        <v>92</v>
      </c>
      <c r="C4799" t="s">
        <v>1843</v>
      </c>
      <c r="D4799" t="s">
        <v>1844</v>
      </c>
      <c r="E4799" t="s">
        <v>1182</v>
      </c>
      <c r="F4799">
        <v>2024</v>
      </c>
    </row>
    <row r="4800" spans="1:6">
      <c r="A4800" t="s">
        <v>13</v>
      </c>
      <c r="B4800" t="s">
        <v>92</v>
      </c>
      <c r="C4800" t="s">
        <v>1843</v>
      </c>
      <c r="D4800" t="s">
        <v>1844</v>
      </c>
      <c r="E4800" t="s">
        <v>1184</v>
      </c>
      <c r="F4800">
        <v>94.83</v>
      </c>
    </row>
    <row r="4801" spans="1:6">
      <c r="A4801" t="s">
        <v>13</v>
      </c>
      <c r="B4801" t="s">
        <v>92</v>
      </c>
      <c r="C4801" t="s">
        <v>1843</v>
      </c>
      <c r="D4801" t="s">
        <v>1844</v>
      </c>
      <c r="E4801" t="s">
        <v>1191</v>
      </c>
      <c r="F4801">
        <v>2025</v>
      </c>
    </row>
    <row r="4802" spans="1:6">
      <c r="A4802" t="s">
        <v>13</v>
      </c>
      <c r="B4802" t="s">
        <v>92</v>
      </c>
      <c r="C4802" t="s">
        <v>1843</v>
      </c>
      <c r="D4802" t="s">
        <v>1844</v>
      </c>
      <c r="E4802" t="s">
        <v>1463</v>
      </c>
      <c r="F4802">
        <v>131123.79</v>
      </c>
    </row>
    <row r="4803" spans="1:6">
      <c r="A4803" t="s">
        <v>13</v>
      </c>
      <c r="B4803" t="s">
        <v>92</v>
      </c>
      <c r="C4803" t="s">
        <v>1843</v>
      </c>
      <c r="D4803" t="s">
        <v>1844</v>
      </c>
      <c r="E4803" t="s">
        <v>1193</v>
      </c>
      <c r="F4803">
        <v>33.77</v>
      </c>
    </row>
    <row r="4804" spans="1:6">
      <c r="A4804" t="s">
        <v>13</v>
      </c>
      <c r="B4804" t="s">
        <v>92</v>
      </c>
      <c r="C4804" t="s">
        <v>1843</v>
      </c>
      <c r="D4804" t="s">
        <v>1844</v>
      </c>
      <c r="E4804" t="s">
        <v>1194</v>
      </c>
      <c r="F4804">
        <v>0</v>
      </c>
    </row>
    <row r="4805" spans="1:6">
      <c r="A4805" t="s">
        <v>13</v>
      </c>
      <c r="B4805" t="s">
        <v>92</v>
      </c>
      <c r="C4805" t="s">
        <v>1843</v>
      </c>
      <c r="D4805" t="s">
        <v>1844</v>
      </c>
      <c r="E4805" t="s">
        <v>1195</v>
      </c>
      <c r="F4805">
        <v>0</v>
      </c>
    </row>
    <row r="4806" spans="1:6">
      <c r="A4806" t="s">
        <v>13</v>
      </c>
      <c r="B4806" t="s">
        <v>92</v>
      </c>
      <c r="C4806" t="s">
        <v>1843</v>
      </c>
      <c r="D4806" t="s">
        <v>1844</v>
      </c>
      <c r="E4806" t="s">
        <v>1196</v>
      </c>
      <c r="F4806">
        <v>94.06</v>
      </c>
    </row>
    <row r="4807" spans="1:6">
      <c r="A4807" t="s">
        <v>13</v>
      </c>
      <c r="B4807" t="s">
        <v>92</v>
      </c>
      <c r="C4807" t="s">
        <v>1843</v>
      </c>
      <c r="D4807" t="s">
        <v>1844</v>
      </c>
      <c r="E4807" t="s">
        <v>1197</v>
      </c>
      <c r="F4807">
        <v>0</v>
      </c>
    </row>
    <row r="4808" spans="1:6">
      <c r="A4808" t="s">
        <v>13</v>
      </c>
      <c r="B4808" t="s">
        <v>92</v>
      </c>
      <c r="C4808" t="s">
        <v>1843</v>
      </c>
      <c r="D4808" t="s">
        <v>1844</v>
      </c>
      <c r="E4808" t="s">
        <v>1198</v>
      </c>
      <c r="F4808">
        <v>4395.349999999998</v>
      </c>
    </row>
    <row r="4809" spans="1:6">
      <c r="A4809" t="s">
        <v>13</v>
      </c>
      <c r="B4809" t="s">
        <v>92</v>
      </c>
      <c r="C4809" t="s">
        <v>1843</v>
      </c>
      <c r="D4809" t="s">
        <v>1844</v>
      </c>
      <c r="E4809" t="s">
        <v>1852</v>
      </c>
      <c r="F4809">
        <v>25518.92999999999</v>
      </c>
    </row>
    <row r="4810" spans="1:6">
      <c r="A4810" t="s">
        <v>13</v>
      </c>
      <c r="B4810" t="s">
        <v>92</v>
      </c>
      <c r="C4810" t="s">
        <v>1843</v>
      </c>
      <c r="D4810" t="s">
        <v>1844</v>
      </c>
      <c r="E4810" t="s">
        <v>1818</v>
      </c>
      <c r="F4810">
        <v>20825.58000000002</v>
      </c>
    </row>
    <row r="4811" spans="1:6">
      <c r="A4811" t="s">
        <v>13</v>
      </c>
      <c r="B4811" t="s">
        <v>92</v>
      </c>
      <c r="C4811" t="s">
        <v>1843</v>
      </c>
      <c r="D4811" t="s">
        <v>1844</v>
      </c>
      <c r="E4811" t="s">
        <v>1819</v>
      </c>
      <c r="F4811">
        <v>22312.41000000002</v>
      </c>
    </row>
    <row r="4812" spans="1:6">
      <c r="A4812" t="s">
        <v>13</v>
      </c>
      <c r="B4812" t="s">
        <v>92</v>
      </c>
      <c r="C4812" t="s">
        <v>1843</v>
      </c>
      <c r="D4812" t="s">
        <v>1844</v>
      </c>
      <c r="E4812" t="s">
        <v>1650</v>
      </c>
      <c r="F4812">
        <v>19290.48</v>
      </c>
    </row>
    <row r="4813" spans="1:6">
      <c r="A4813" t="s">
        <v>13</v>
      </c>
      <c r="B4813" t="s">
        <v>92</v>
      </c>
      <c r="C4813" t="s">
        <v>1843</v>
      </c>
      <c r="D4813" t="s">
        <v>1844</v>
      </c>
      <c r="E4813" t="s">
        <v>1652</v>
      </c>
      <c r="F4813">
        <v>14616.89</v>
      </c>
    </row>
    <row r="4814" spans="1:6">
      <c r="A4814" t="s">
        <v>13</v>
      </c>
      <c r="B4814" t="s">
        <v>92</v>
      </c>
      <c r="C4814" t="s">
        <v>1843</v>
      </c>
      <c r="D4814" t="s">
        <v>1844</v>
      </c>
      <c r="E4814" t="s">
        <v>1653</v>
      </c>
      <c r="F4814">
        <v>24036.32</v>
      </c>
    </row>
    <row r="4815" spans="1:6">
      <c r="A4815" t="s">
        <v>13</v>
      </c>
      <c r="B4815" t="s">
        <v>92</v>
      </c>
      <c r="C4815" t="s">
        <v>1843</v>
      </c>
      <c r="D4815" t="s">
        <v>1844</v>
      </c>
      <c r="E4815" t="s">
        <v>1199</v>
      </c>
      <c r="F4815">
        <v>2026</v>
      </c>
    </row>
    <row r="4816" spans="1:6">
      <c r="A4816" t="s">
        <v>13</v>
      </c>
      <c r="B4816" t="s">
        <v>92</v>
      </c>
      <c r="C4816" t="s">
        <v>1843</v>
      </c>
      <c r="D4816" t="s">
        <v>1844</v>
      </c>
      <c r="E4816" t="s">
        <v>1467</v>
      </c>
      <c r="F4816">
        <v>115215.9</v>
      </c>
    </row>
    <row r="4817" spans="1:6">
      <c r="A4817" t="s">
        <v>13</v>
      </c>
      <c r="B4817" t="s">
        <v>92</v>
      </c>
      <c r="C4817" t="s">
        <v>1843</v>
      </c>
      <c r="D4817" t="s">
        <v>1844</v>
      </c>
      <c r="E4817" t="s">
        <v>1468</v>
      </c>
      <c r="F4817">
        <v>17490.96000000001</v>
      </c>
    </row>
    <row r="4818" spans="1:6">
      <c r="A4818" t="s">
        <v>13</v>
      </c>
      <c r="B4818" t="s">
        <v>92</v>
      </c>
      <c r="C4818" t="s">
        <v>1843</v>
      </c>
      <c r="D4818" t="s">
        <v>1844</v>
      </c>
      <c r="E4818" t="s">
        <v>1469</v>
      </c>
      <c r="F4818">
        <v>34347.66999999998</v>
      </c>
    </row>
    <row r="4819" spans="1:6">
      <c r="A4819" t="s">
        <v>13</v>
      </c>
      <c r="B4819" t="s">
        <v>92</v>
      </c>
      <c r="C4819" t="s">
        <v>1843</v>
      </c>
      <c r="D4819" t="s">
        <v>1844</v>
      </c>
      <c r="E4819" t="s">
        <v>1470</v>
      </c>
      <c r="F4819">
        <v>14893.28</v>
      </c>
    </row>
    <row r="4820" spans="1:6">
      <c r="A4820" t="s">
        <v>13</v>
      </c>
      <c r="B4820" t="s">
        <v>92</v>
      </c>
      <c r="C4820" t="s">
        <v>1843</v>
      </c>
      <c r="D4820" t="s">
        <v>1844</v>
      </c>
      <c r="E4820" t="s">
        <v>1472</v>
      </c>
      <c r="F4820">
        <v>15041.2</v>
      </c>
    </row>
    <row r="4821" spans="1:6">
      <c r="A4821" t="s">
        <v>13</v>
      </c>
      <c r="B4821" t="s">
        <v>92</v>
      </c>
      <c r="C4821" t="s">
        <v>1843</v>
      </c>
      <c r="D4821" t="s">
        <v>1844</v>
      </c>
      <c r="E4821" t="s">
        <v>1559</v>
      </c>
      <c r="F4821">
        <v>21743.05000000001</v>
      </c>
    </row>
    <row r="4822" spans="1:6">
      <c r="A4822" t="s">
        <v>13</v>
      </c>
      <c r="B4822" t="s">
        <v>92</v>
      </c>
      <c r="C4822" t="s">
        <v>1843</v>
      </c>
      <c r="D4822" t="s">
        <v>1844</v>
      </c>
      <c r="E4822" t="s">
        <v>1560</v>
      </c>
      <c r="F4822">
        <v>11699.74000000001</v>
      </c>
    </row>
    <row r="4823" spans="1:6">
      <c r="A4823" t="s">
        <v>13</v>
      </c>
      <c r="B4823" t="s">
        <v>92</v>
      </c>
      <c r="C4823" t="s">
        <v>1843</v>
      </c>
      <c r="D4823" t="s">
        <v>1844</v>
      </c>
      <c r="E4823" t="s">
        <v>1853</v>
      </c>
      <c r="F4823">
        <v>0</v>
      </c>
    </row>
    <row r="4824" spans="1:6">
      <c r="A4824" t="s">
        <v>13</v>
      </c>
      <c r="B4824" t="s">
        <v>92</v>
      </c>
      <c r="C4824" t="s">
        <v>1843</v>
      </c>
      <c r="D4824" t="s">
        <v>1844</v>
      </c>
      <c r="E4824" t="s">
        <v>1820</v>
      </c>
      <c r="F4824">
        <v>0</v>
      </c>
    </row>
    <row r="4825" spans="1:6">
      <c r="A4825" t="s">
        <v>13</v>
      </c>
      <c r="B4825" t="s">
        <v>92</v>
      </c>
      <c r="C4825" t="s">
        <v>1843</v>
      </c>
      <c r="D4825" t="s">
        <v>1844</v>
      </c>
      <c r="E4825" t="s">
        <v>1821</v>
      </c>
      <c r="F4825">
        <v>0</v>
      </c>
    </row>
    <row r="4826" spans="1:6">
      <c r="A4826" t="s">
        <v>13</v>
      </c>
      <c r="B4826" t="s">
        <v>92</v>
      </c>
      <c r="C4826" t="s">
        <v>1843</v>
      </c>
      <c r="D4826" t="s">
        <v>1844</v>
      </c>
      <c r="E4826" t="s">
        <v>1822</v>
      </c>
      <c r="F4826">
        <v>0</v>
      </c>
    </row>
    <row r="4827" spans="1:6">
      <c r="A4827" t="s">
        <v>13</v>
      </c>
      <c r="B4827" t="s">
        <v>92</v>
      </c>
      <c r="C4827" t="s">
        <v>1843</v>
      </c>
      <c r="D4827" t="s">
        <v>1844</v>
      </c>
      <c r="E4827" t="s">
        <v>1854</v>
      </c>
      <c r="F4827">
        <v>0</v>
      </c>
    </row>
    <row r="4828" spans="1:6">
      <c r="A4828" t="s">
        <v>13</v>
      </c>
      <c r="B4828" t="s">
        <v>92</v>
      </c>
      <c r="C4828" t="s">
        <v>1843</v>
      </c>
      <c r="D4828" t="s">
        <v>1844</v>
      </c>
      <c r="E4828" t="s">
        <v>1855</v>
      </c>
      <c r="F4828">
        <v>0</v>
      </c>
    </row>
    <row r="4829" spans="1:6">
      <c r="A4829" t="s">
        <v>13</v>
      </c>
      <c r="B4829" t="s">
        <v>92</v>
      </c>
      <c r="C4829" t="s">
        <v>1843</v>
      </c>
      <c r="D4829" t="s">
        <v>1844</v>
      </c>
      <c r="E4829" t="s">
        <v>1201</v>
      </c>
      <c r="F4829" t="s">
        <v>1009</v>
      </c>
    </row>
    <row r="4830" spans="1:6">
      <c r="A4830" t="s">
        <v>13</v>
      </c>
      <c r="B4830" t="s">
        <v>92</v>
      </c>
      <c r="C4830" t="s">
        <v>1843</v>
      </c>
      <c r="D4830" t="s">
        <v>1844</v>
      </c>
      <c r="E4830" t="s">
        <v>1202</v>
      </c>
      <c r="F4830">
        <v>246616.86</v>
      </c>
    </row>
    <row r="4831" spans="1:6">
      <c r="A4831" t="s">
        <v>13</v>
      </c>
      <c r="B4831" t="s">
        <v>92</v>
      </c>
      <c r="C4831" t="s">
        <v>1843</v>
      </c>
      <c r="D4831" t="s">
        <v>1856</v>
      </c>
      <c r="E4831" t="s">
        <v>1093</v>
      </c>
      <c r="F4831" t="s">
        <v>1094</v>
      </c>
    </row>
    <row r="4832" spans="1:6">
      <c r="A4832" t="s">
        <v>13</v>
      </c>
      <c r="B4832" t="s">
        <v>92</v>
      </c>
      <c r="C4832" t="s">
        <v>1843</v>
      </c>
      <c r="D4832" t="s">
        <v>1856</v>
      </c>
      <c r="E4832" t="s">
        <v>994</v>
      </c>
      <c r="F4832" t="s">
        <v>92</v>
      </c>
    </row>
    <row r="4833" spans="1:6">
      <c r="A4833" t="s">
        <v>13</v>
      </c>
      <c r="B4833" t="s">
        <v>92</v>
      </c>
      <c r="C4833" t="s">
        <v>1843</v>
      </c>
      <c r="D4833" t="s">
        <v>1856</v>
      </c>
      <c r="E4833" t="s">
        <v>995</v>
      </c>
      <c r="F4833" t="s">
        <v>996</v>
      </c>
    </row>
    <row r="4834" spans="1:6">
      <c r="A4834" t="s">
        <v>13</v>
      </c>
      <c r="B4834" t="s">
        <v>92</v>
      </c>
      <c r="C4834" t="s">
        <v>1843</v>
      </c>
      <c r="D4834" t="s">
        <v>1856</v>
      </c>
      <c r="E4834" t="s">
        <v>997</v>
      </c>
      <c r="F4834" t="s">
        <v>1836</v>
      </c>
    </row>
    <row r="4835" spans="1:6">
      <c r="A4835" t="s">
        <v>13</v>
      </c>
      <c r="B4835" t="s">
        <v>92</v>
      </c>
      <c r="C4835" t="s">
        <v>1843</v>
      </c>
      <c r="D4835" t="s">
        <v>1856</v>
      </c>
      <c r="E4835" t="s">
        <v>999</v>
      </c>
      <c r="F4835" t="s">
        <v>1000</v>
      </c>
    </row>
    <row r="4836" spans="1:6">
      <c r="A4836" t="s">
        <v>13</v>
      </c>
      <c r="B4836" t="s">
        <v>92</v>
      </c>
      <c r="C4836" t="s">
        <v>1843</v>
      </c>
      <c r="D4836" t="s">
        <v>1856</v>
      </c>
      <c r="E4836" t="s">
        <v>1001</v>
      </c>
      <c r="F4836" t="s">
        <v>16</v>
      </c>
    </row>
    <row r="4837" spans="1:6">
      <c r="A4837" t="s">
        <v>13</v>
      </c>
      <c r="B4837" t="s">
        <v>92</v>
      </c>
      <c r="C4837" t="s">
        <v>1843</v>
      </c>
      <c r="D4837" t="s">
        <v>1856</v>
      </c>
      <c r="E4837" t="s">
        <v>1002</v>
      </c>
      <c r="F4837" t="s">
        <v>1095</v>
      </c>
    </row>
    <row r="4838" spans="1:6">
      <c r="A4838" t="s">
        <v>13</v>
      </c>
      <c r="B4838" t="s">
        <v>92</v>
      </c>
      <c r="C4838" t="s">
        <v>1843</v>
      </c>
      <c r="D4838" t="s">
        <v>1856</v>
      </c>
      <c r="E4838" t="s">
        <v>1006</v>
      </c>
      <c r="F4838" t="s">
        <v>1097</v>
      </c>
    </row>
    <row r="4839" spans="1:6">
      <c r="A4839" t="s">
        <v>13</v>
      </c>
      <c r="B4839" t="s">
        <v>92</v>
      </c>
      <c r="C4839" t="s">
        <v>1843</v>
      </c>
      <c r="D4839" t="s">
        <v>1856</v>
      </c>
      <c r="E4839" t="s">
        <v>1008</v>
      </c>
      <c r="F4839" t="s">
        <v>1098</v>
      </c>
    </row>
    <row r="4840" spans="1:6">
      <c r="A4840" t="s">
        <v>13</v>
      </c>
      <c r="B4840" t="s">
        <v>92</v>
      </c>
      <c r="C4840" t="s">
        <v>1843</v>
      </c>
      <c r="D4840" t="s">
        <v>1856</v>
      </c>
      <c r="E4840" t="s">
        <v>1035</v>
      </c>
      <c r="F4840" t="s">
        <v>1009</v>
      </c>
    </row>
    <row r="4841" spans="1:6">
      <c r="A4841" t="s">
        <v>13</v>
      </c>
      <c r="B4841" t="s">
        <v>92</v>
      </c>
      <c r="C4841" t="s">
        <v>1843</v>
      </c>
      <c r="D4841" t="s">
        <v>1856</v>
      </c>
      <c r="E4841" t="s">
        <v>1099</v>
      </c>
      <c r="F4841" t="s">
        <v>93</v>
      </c>
    </row>
    <row r="4842" spans="1:6">
      <c r="A4842" t="s">
        <v>13</v>
      </c>
      <c r="B4842" t="s">
        <v>92</v>
      </c>
      <c r="C4842" t="s">
        <v>1843</v>
      </c>
      <c r="D4842" t="s">
        <v>1856</v>
      </c>
      <c r="E4842" t="s">
        <v>1100</v>
      </c>
      <c r="F4842">
        <v>2024</v>
      </c>
    </row>
    <row r="4843" spans="1:6">
      <c r="A4843" t="s">
        <v>13</v>
      </c>
      <c r="B4843" t="s">
        <v>92</v>
      </c>
      <c r="C4843" t="s">
        <v>1843</v>
      </c>
      <c r="D4843" t="s">
        <v>1856</v>
      </c>
      <c r="E4843" t="s">
        <v>1101</v>
      </c>
      <c r="F4843">
        <v>2025</v>
      </c>
    </row>
    <row r="4844" spans="1:6">
      <c r="A4844" t="s">
        <v>13</v>
      </c>
      <c r="B4844" t="s">
        <v>92</v>
      </c>
      <c r="C4844" t="s">
        <v>1843</v>
      </c>
      <c r="D4844" t="s">
        <v>1856</v>
      </c>
      <c r="E4844" t="s">
        <v>1512</v>
      </c>
      <c r="F4844">
        <v>2026</v>
      </c>
    </row>
    <row r="4845" spans="1:6">
      <c r="A4845" t="s">
        <v>13</v>
      </c>
      <c r="B4845" t="s">
        <v>92</v>
      </c>
      <c r="C4845" t="s">
        <v>1843</v>
      </c>
      <c r="D4845" t="s">
        <v>1856</v>
      </c>
      <c r="E4845" t="s">
        <v>1036</v>
      </c>
      <c r="F4845" t="s">
        <v>1102</v>
      </c>
    </row>
    <row r="4846" spans="1:6">
      <c r="A4846" t="s">
        <v>13</v>
      </c>
      <c r="B4846" t="s">
        <v>92</v>
      </c>
      <c r="C4846" t="s">
        <v>1843</v>
      </c>
      <c r="D4846" t="s">
        <v>1856</v>
      </c>
      <c r="E4846" t="s">
        <v>1037</v>
      </c>
      <c r="F4846">
        <v>1842553.28</v>
      </c>
    </row>
    <row r="4847" spans="1:6">
      <c r="A4847" t="s">
        <v>13</v>
      </c>
      <c r="B4847" t="s">
        <v>92</v>
      </c>
      <c r="C4847" t="s">
        <v>1843</v>
      </c>
      <c r="D4847" t="s">
        <v>1856</v>
      </c>
      <c r="E4847" t="s">
        <v>1103</v>
      </c>
      <c r="F4847">
        <v>1360.75</v>
      </c>
    </row>
    <row r="4848" spans="1:6">
      <c r="A4848" t="s">
        <v>13</v>
      </c>
      <c r="B4848" t="s">
        <v>92</v>
      </c>
      <c r="C4848" t="s">
        <v>1843</v>
      </c>
      <c r="D4848" t="s">
        <v>1856</v>
      </c>
      <c r="E4848" t="s">
        <v>1104</v>
      </c>
      <c r="F4848">
        <v>707.71</v>
      </c>
    </row>
    <row r="4849" spans="1:6">
      <c r="A4849" t="s">
        <v>13</v>
      </c>
      <c r="B4849" t="s">
        <v>92</v>
      </c>
      <c r="C4849" t="s">
        <v>1843</v>
      </c>
      <c r="D4849" t="s">
        <v>1856</v>
      </c>
      <c r="E4849" t="s">
        <v>1105</v>
      </c>
      <c r="F4849">
        <v>979562.14</v>
      </c>
    </row>
    <row r="4850" spans="1:6">
      <c r="A4850" t="s">
        <v>13</v>
      </c>
      <c r="B4850" t="s">
        <v>92</v>
      </c>
      <c r="C4850" t="s">
        <v>1843</v>
      </c>
      <c r="D4850" t="s">
        <v>1856</v>
      </c>
      <c r="E4850" t="s">
        <v>1346</v>
      </c>
      <c r="F4850">
        <v>860922.6800000001</v>
      </c>
    </row>
    <row r="4851" spans="1:6">
      <c r="A4851" t="s">
        <v>13</v>
      </c>
      <c r="B4851" t="s">
        <v>92</v>
      </c>
      <c r="C4851" t="s">
        <v>1843</v>
      </c>
      <c r="D4851" t="s">
        <v>1856</v>
      </c>
      <c r="E4851" t="s">
        <v>1038</v>
      </c>
      <c r="F4851" t="s">
        <v>1106</v>
      </c>
    </row>
    <row r="4852" spans="1:6">
      <c r="A4852" t="s">
        <v>13</v>
      </c>
      <c r="B4852" t="s">
        <v>92</v>
      </c>
      <c r="C4852" t="s">
        <v>1843</v>
      </c>
      <c r="D4852" t="s">
        <v>1856</v>
      </c>
      <c r="E4852" t="s">
        <v>1039</v>
      </c>
      <c r="F4852">
        <v>1660255.47</v>
      </c>
    </row>
    <row r="4853" spans="1:6">
      <c r="A4853" t="s">
        <v>13</v>
      </c>
      <c r="B4853" t="s">
        <v>92</v>
      </c>
      <c r="C4853" t="s">
        <v>1843</v>
      </c>
      <c r="D4853" t="s">
        <v>1856</v>
      </c>
      <c r="E4853" t="s">
        <v>1040</v>
      </c>
      <c r="F4853">
        <v>1360.75</v>
      </c>
    </row>
    <row r="4854" spans="1:6">
      <c r="A4854" t="s">
        <v>13</v>
      </c>
      <c r="B4854" t="s">
        <v>92</v>
      </c>
      <c r="C4854" t="s">
        <v>1843</v>
      </c>
      <c r="D4854" t="s">
        <v>1856</v>
      </c>
      <c r="E4854" t="s">
        <v>1041</v>
      </c>
      <c r="F4854">
        <v>707.71</v>
      </c>
    </row>
    <row r="4855" spans="1:6">
      <c r="A4855" t="s">
        <v>13</v>
      </c>
      <c r="B4855" t="s">
        <v>92</v>
      </c>
      <c r="C4855" t="s">
        <v>1843</v>
      </c>
      <c r="D4855" t="s">
        <v>1856</v>
      </c>
      <c r="E4855" t="s">
        <v>1042</v>
      </c>
      <c r="F4855">
        <v>979562.1399999998</v>
      </c>
    </row>
    <row r="4856" spans="1:6">
      <c r="A4856" t="s">
        <v>13</v>
      </c>
      <c r="B4856" t="s">
        <v>92</v>
      </c>
      <c r="C4856" t="s">
        <v>1843</v>
      </c>
      <c r="D4856" t="s">
        <v>1856</v>
      </c>
      <c r="E4856" t="s">
        <v>1043</v>
      </c>
      <c r="F4856">
        <v>678624.8700000002</v>
      </c>
    </row>
    <row r="4857" spans="1:6">
      <c r="A4857" t="s">
        <v>13</v>
      </c>
      <c r="B4857" t="s">
        <v>92</v>
      </c>
      <c r="C4857" t="s">
        <v>1843</v>
      </c>
      <c r="D4857" t="s">
        <v>1856</v>
      </c>
      <c r="E4857" t="s">
        <v>1052</v>
      </c>
      <c r="F4857" t="s">
        <v>1107</v>
      </c>
    </row>
    <row r="4858" spans="1:6">
      <c r="A4858" t="s">
        <v>13</v>
      </c>
      <c r="B4858" t="s">
        <v>92</v>
      </c>
      <c r="C4858" t="s">
        <v>1843</v>
      </c>
      <c r="D4858" t="s">
        <v>1856</v>
      </c>
      <c r="E4858" t="s">
        <v>1053</v>
      </c>
      <c r="F4858">
        <v>1350048.05</v>
      </c>
    </row>
    <row r="4859" spans="1:6">
      <c r="A4859" t="s">
        <v>13</v>
      </c>
      <c r="B4859" t="s">
        <v>92</v>
      </c>
      <c r="C4859" t="s">
        <v>1843</v>
      </c>
      <c r="D4859" t="s">
        <v>1856</v>
      </c>
      <c r="E4859" t="s">
        <v>1108</v>
      </c>
      <c r="F4859">
        <v>1100.43</v>
      </c>
    </row>
    <row r="4860" spans="1:6">
      <c r="A4860" t="s">
        <v>13</v>
      </c>
      <c r="B4860" t="s">
        <v>92</v>
      </c>
      <c r="C4860" t="s">
        <v>1843</v>
      </c>
      <c r="D4860" t="s">
        <v>1856</v>
      </c>
      <c r="E4860" t="s">
        <v>1109</v>
      </c>
      <c r="F4860">
        <v>707.71</v>
      </c>
    </row>
    <row r="4861" spans="1:6">
      <c r="A4861" t="s">
        <v>13</v>
      </c>
      <c r="B4861" t="s">
        <v>92</v>
      </c>
      <c r="C4861" t="s">
        <v>1843</v>
      </c>
      <c r="D4861" t="s">
        <v>1856</v>
      </c>
      <c r="E4861" t="s">
        <v>1110</v>
      </c>
      <c r="F4861">
        <v>916209.2199999997</v>
      </c>
    </row>
    <row r="4862" spans="1:6">
      <c r="A4862" t="s">
        <v>13</v>
      </c>
      <c r="B4862" t="s">
        <v>92</v>
      </c>
      <c r="C4862" t="s">
        <v>1843</v>
      </c>
      <c r="D4862" t="s">
        <v>1856</v>
      </c>
      <c r="E4862" t="s">
        <v>1521</v>
      </c>
      <c r="F4862">
        <v>432030.6900000002</v>
      </c>
    </row>
    <row r="4863" spans="1:6">
      <c r="A4863" t="s">
        <v>13</v>
      </c>
      <c r="B4863" t="s">
        <v>92</v>
      </c>
      <c r="C4863" t="s">
        <v>1843</v>
      </c>
      <c r="D4863" t="s">
        <v>1856</v>
      </c>
      <c r="E4863" t="s">
        <v>1111</v>
      </c>
      <c r="F4863" t="s">
        <v>1112</v>
      </c>
    </row>
    <row r="4864" spans="1:6">
      <c r="A4864" t="s">
        <v>13</v>
      </c>
      <c r="B4864" t="s">
        <v>92</v>
      </c>
      <c r="C4864" t="s">
        <v>1843</v>
      </c>
      <c r="D4864" t="s">
        <v>1856</v>
      </c>
      <c r="E4864" t="s">
        <v>1113</v>
      </c>
      <c r="F4864">
        <v>0</v>
      </c>
    </row>
    <row r="4865" spans="1:6">
      <c r="A4865" t="s">
        <v>13</v>
      </c>
      <c r="B4865" t="s">
        <v>92</v>
      </c>
      <c r="C4865" t="s">
        <v>1843</v>
      </c>
      <c r="D4865" t="s">
        <v>1856</v>
      </c>
      <c r="E4865" t="s">
        <v>1114</v>
      </c>
      <c r="F4865">
        <v>0</v>
      </c>
    </row>
    <row r="4866" spans="1:6">
      <c r="A4866" t="s">
        <v>13</v>
      </c>
      <c r="B4866" t="s">
        <v>92</v>
      </c>
      <c r="C4866" t="s">
        <v>1843</v>
      </c>
      <c r="D4866" t="s">
        <v>1856</v>
      </c>
      <c r="E4866" t="s">
        <v>1115</v>
      </c>
      <c r="F4866">
        <v>0</v>
      </c>
    </row>
    <row r="4867" spans="1:6">
      <c r="A4867" t="s">
        <v>13</v>
      </c>
      <c r="B4867" t="s">
        <v>92</v>
      </c>
      <c r="C4867" t="s">
        <v>1843</v>
      </c>
      <c r="D4867" t="s">
        <v>1856</v>
      </c>
      <c r="E4867" t="s">
        <v>1116</v>
      </c>
      <c r="F4867">
        <v>0</v>
      </c>
    </row>
    <row r="4868" spans="1:6">
      <c r="A4868" t="s">
        <v>13</v>
      </c>
      <c r="B4868" t="s">
        <v>92</v>
      </c>
      <c r="C4868" t="s">
        <v>1843</v>
      </c>
      <c r="D4868" t="s">
        <v>1856</v>
      </c>
      <c r="E4868" t="s">
        <v>1857</v>
      </c>
      <c r="F4868">
        <v>0</v>
      </c>
    </row>
    <row r="4869" spans="1:6">
      <c r="A4869" t="s">
        <v>13</v>
      </c>
      <c r="B4869" t="s">
        <v>92</v>
      </c>
      <c r="C4869" t="s">
        <v>1843</v>
      </c>
      <c r="D4869" t="s">
        <v>1856</v>
      </c>
      <c r="E4869" t="s">
        <v>1054</v>
      </c>
      <c r="F4869" t="s">
        <v>1117</v>
      </c>
    </row>
    <row r="4870" spans="1:6">
      <c r="A4870" t="s">
        <v>13</v>
      </c>
      <c r="B4870" t="s">
        <v>92</v>
      </c>
      <c r="C4870" t="s">
        <v>1843</v>
      </c>
      <c r="D4870" t="s">
        <v>1856</v>
      </c>
      <c r="E4870" t="s">
        <v>1118</v>
      </c>
      <c r="F4870">
        <v>310207.42</v>
      </c>
    </row>
    <row r="4871" spans="1:6">
      <c r="A4871" t="s">
        <v>13</v>
      </c>
      <c r="B4871" t="s">
        <v>92</v>
      </c>
      <c r="C4871" t="s">
        <v>1843</v>
      </c>
      <c r="D4871" t="s">
        <v>1856</v>
      </c>
      <c r="E4871" t="s">
        <v>1119</v>
      </c>
      <c r="F4871">
        <v>260.32</v>
      </c>
    </row>
    <row r="4872" spans="1:6">
      <c r="A4872" t="s">
        <v>13</v>
      </c>
      <c r="B4872" t="s">
        <v>92</v>
      </c>
      <c r="C4872" t="s">
        <v>1843</v>
      </c>
      <c r="D4872" t="s">
        <v>1856</v>
      </c>
      <c r="E4872" t="s">
        <v>1120</v>
      </c>
      <c r="F4872">
        <v>0</v>
      </c>
    </row>
    <row r="4873" spans="1:6">
      <c r="A4873" t="s">
        <v>13</v>
      </c>
      <c r="B4873" t="s">
        <v>92</v>
      </c>
      <c r="C4873" t="s">
        <v>1843</v>
      </c>
      <c r="D4873" t="s">
        <v>1856</v>
      </c>
      <c r="E4873" t="s">
        <v>1121</v>
      </c>
      <c r="F4873">
        <v>63352.92000000001</v>
      </c>
    </row>
    <row r="4874" spans="1:6">
      <c r="A4874" t="s">
        <v>13</v>
      </c>
      <c r="B4874" t="s">
        <v>92</v>
      </c>
      <c r="C4874" t="s">
        <v>1843</v>
      </c>
      <c r="D4874" t="s">
        <v>1856</v>
      </c>
      <c r="E4874" t="s">
        <v>1858</v>
      </c>
      <c r="F4874">
        <v>246594.18</v>
      </c>
    </row>
    <row r="4875" spans="1:6">
      <c r="A4875" t="s">
        <v>13</v>
      </c>
      <c r="B4875" t="s">
        <v>92</v>
      </c>
      <c r="C4875" t="s">
        <v>1843</v>
      </c>
      <c r="D4875" t="s">
        <v>1856</v>
      </c>
      <c r="E4875" t="s">
        <v>1122</v>
      </c>
      <c r="F4875" t="s">
        <v>1859</v>
      </c>
    </row>
    <row r="4876" spans="1:6">
      <c r="A4876" t="s">
        <v>13</v>
      </c>
      <c r="B4876" t="s">
        <v>92</v>
      </c>
      <c r="C4876" t="s">
        <v>1843</v>
      </c>
      <c r="D4876" t="s">
        <v>1856</v>
      </c>
      <c r="E4876" t="s">
        <v>1124</v>
      </c>
      <c r="F4876">
        <v>4900.26</v>
      </c>
    </row>
    <row r="4877" spans="1:6">
      <c r="A4877" t="s">
        <v>13</v>
      </c>
      <c r="B4877" t="s">
        <v>92</v>
      </c>
      <c r="C4877" t="s">
        <v>1843</v>
      </c>
      <c r="D4877" t="s">
        <v>1856</v>
      </c>
      <c r="E4877" t="s">
        <v>1126</v>
      </c>
      <c r="F4877">
        <v>260</v>
      </c>
    </row>
    <row r="4878" spans="1:6">
      <c r="A4878" t="s">
        <v>13</v>
      </c>
      <c r="B4878" t="s">
        <v>92</v>
      </c>
      <c r="C4878" t="s">
        <v>1843</v>
      </c>
      <c r="D4878" t="s">
        <v>1856</v>
      </c>
      <c r="E4878" t="s">
        <v>1127</v>
      </c>
      <c r="F4878">
        <v>0</v>
      </c>
    </row>
    <row r="4879" spans="1:6">
      <c r="A4879" t="s">
        <v>13</v>
      </c>
      <c r="B4879" t="s">
        <v>92</v>
      </c>
      <c r="C4879" t="s">
        <v>1843</v>
      </c>
      <c r="D4879" t="s">
        <v>1856</v>
      </c>
      <c r="E4879" t="s">
        <v>1128</v>
      </c>
      <c r="F4879">
        <v>4120.26</v>
      </c>
    </row>
    <row r="4880" spans="1:6">
      <c r="A4880" t="s">
        <v>13</v>
      </c>
      <c r="B4880" t="s">
        <v>92</v>
      </c>
      <c r="C4880" t="s">
        <v>1843</v>
      </c>
      <c r="D4880" t="s">
        <v>1856</v>
      </c>
      <c r="E4880" t="s">
        <v>1355</v>
      </c>
      <c r="F4880">
        <v>520</v>
      </c>
    </row>
    <row r="4881" spans="1:6">
      <c r="A4881" t="s">
        <v>13</v>
      </c>
      <c r="B4881" t="s">
        <v>92</v>
      </c>
      <c r="C4881" t="s">
        <v>1843</v>
      </c>
      <c r="D4881" t="s">
        <v>1856</v>
      </c>
      <c r="E4881" t="s">
        <v>1056</v>
      </c>
      <c r="F4881" t="s">
        <v>1860</v>
      </c>
    </row>
    <row r="4882" spans="1:6">
      <c r="A4882" t="s">
        <v>13</v>
      </c>
      <c r="B4882" t="s">
        <v>92</v>
      </c>
      <c r="C4882" t="s">
        <v>1843</v>
      </c>
      <c r="D4882" t="s">
        <v>1856</v>
      </c>
      <c r="E4882" t="s">
        <v>1057</v>
      </c>
      <c r="F4882">
        <v>196469.07</v>
      </c>
    </row>
    <row r="4883" spans="1:6">
      <c r="A4883" t="s">
        <v>13</v>
      </c>
      <c r="B4883" t="s">
        <v>92</v>
      </c>
      <c r="C4883" t="s">
        <v>1843</v>
      </c>
      <c r="D4883" t="s">
        <v>1856</v>
      </c>
      <c r="E4883" t="s">
        <v>1058</v>
      </c>
      <c r="F4883">
        <v>0</v>
      </c>
    </row>
    <row r="4884" spans="1:6">
      <c r="A4884" t="s">
        <v>13</v>
      </c>
      <c r="B4884" t="s">
        <v>92</v>
      </c>
      <c r="C4884" t="s">
        <v>1843</v>
      </c>
      <c r="D4884" t="s">
        <v>1856</v>
      </c>
      <c r="E4884" t="s">
        <v>1059</v>
      </c>
      <c r="F4884">
        <v>0</v>
      </c>
    </row>
    <row r="4885" spans="1:6">
      <c r="A4885" t="s">
        <v>13</v>
      </c>
      <c r="B4885" t="s">
        <v>92</v>
      </c>
      <c r="C4885" t="s">
        <v>1843</v>
      </c>
      <c r="D4885" t="s">
        <v>1856</v>
      </c>
      <c r="E4885" t="s">
        <v>1060</v>
      </c>
      <c r="F4885">
        <v>32684.46</v>
      </c>
    </row>
    <row r="4886" spans="1:6">
      <c r="A4886" t="s">
        <v>13</v>
      </c>
      <c r="B4886" t="s">
        <v>92</v>
      </c>
      <c r="C4886" t="s">
        <v>1843</v>
      </c>
      <c r="D4886" t="s">
        <v>1856</v>
      </c>
      <c r="E4886" t="s">
        <v>1061</v>
      </c>
      <c r="F4886">
        <v>163784.61</v>
      </c>
    </row>
    <row r="4887" spans="1:6">
      <c r="A4887" t="s">
        <v>13</v>
      </c>
      <c r="B4887" t="s">
        <v>92</v>
      </c>
      <c r="C4887" t="s">
        <v>1843</v>
      </c>
      <c r="D4887" t="s">
        <v>1856</v>
      </c>
      <c r="E4887" t="s">
        <v>1071</v>
      </c>
      <c r="F4887" t="s">
        <v>1861</v>
      </c>
    </row>
    <row r="4888" spans="1:6">
      <c r="A4888" t="s">
        <v>13</v>
      </c>
      <c r="B4888" t="s">
        <v>92</v>
      </c>
      <c r="C4888" t="s">
        <v>1843</v>
      </c>
      <c r="D4888" t="s">
        <v>1856</v>
      </c>
      <c r="E4888" t="s">
        <v>1072</v>
      </c>
      <c r="F4888">
        <v>35290.83</v>
      </c>
    </row>
    <row r="4889" spans="1:6">
      <c r="A4889" t="s">
        <v>13</v>
      </c>
      <c r="B4889" t="s">
        <v>92</v>
      </c>
      <c r="C4889" t="s">
        <v>1843</v>
      </c>
      <c r="D4889" t="s">
        <v>1856</v>
      </c>
      <c r="E4889" t="s">
        <v>1133</v>
      </c>
      <c r="F4889">
        <v>0</v>
      </c>
    </row>
    <row r="4890" spans="1:6">
      <c r="A4890" t="s">
        <v>13</v>
      </c>
      <c r="B4890" t="s">
        <v>92</v>
      </c>
      <c r="C4890" t="s">
        <v>1843</v>
      </c>
      <c r="D4890" t="s">
        <v>1856</v>
      </c>
      <c r="E4890" t="s">
        <v>1134</v>
      </c>
      <c r="F4890">
        <v>0</v>
      </c>
    </row>
    <row r="4891" spans="1:6">
      <c r="A4891" t="s">
        <v>13</v>
      </c>
      <c r="B4891" t="s">
        <v>92</v>
      </c>
      <c r="C4891" t="s">
        <v>1843</v>
      </c>
      <c r="D4891" t="s">
        <v>1856</v>
      </c>
      <c r="E4891" t="s">
        <v>1135</v>
      </c>
      <c r="F4891">
        <v>19326.21</v>
      </c>
    </row>
    <row r="4892" spans="1:6">
      <c r="A4892" t="s">
        <v>13</v>
      </c>
      <c r="B4892" t="s">
        <v>92</v>
      </c>
      <c r="C4892" t="s">
        <v>1843</v>
      </c>
      <c r="D4892" t="s">
        <v>1856</v>
      </c>
      <c r="E4892" t="s">
        <v>1414</v>
      </c>
      <c r="F4892">
        <v>15964.62000000001</v>
      </c>
    </row>
    <row r="4893" spans="1:6">
      <c r="A4893" t="s">
        <v>13</v>
      </c>
      <c r="B4893" t="s">
        <v>92</v>
      </c>
      <c r="C4893" t="s">
        <v>1843</v>
      </c>
      <c r="D4893" t="s">
        <v>1856</v>
      </c>
      <c r="E4893" t="s">
        <v>1073</v>
      </c>
      <c r="F4893" t="s">
        <v>1862</v>
      </c>
    </row>
    <row r="4894" spans="1:6">
      <c r="A4894" t="s">
        <v>13</v>
      </c>
      <c r="B4894" t="s">
        <v>92</v>
      </c>
      <c r="C4894" t="s">
        <v>1843</v>
      </c>
      <c r="D4894" t="s">
        <v>1856</v>
      </c>
      <c r="E4894" t="s">
        <v>1074</v>
      </c>
      <c r="F4894">
        <v>704.8</v>
      </c>
    </row>
    <row r="4895" spans="1:6">
      <c r="A4895" t="s">
        <v>13</v>
      </c>
      <c r="B4895" t="s">
        <v>92</v>
      </c>
      <c r="C4895" t="s">
        <v>1843</v>
      </c>
      <c r="D4895" t="s">
        <v>1856</v>
      </c>
      <c r="E4895" t="s">
        <v>1296</v>
      </c>
      <c r="F4895">
        <v>0</v>
      </c>
    </row>
    <row r="4896" spans="1:6">
      <c r="A4896" t="s">
        <v>13</v>
      </c>
      <c r="B4896" t="s">
        <v>92</v>
      </c>
      <c r="C4896" t="s">
        <v>1843</v>
      </c>
      <c r="D4896" t="s">
        <v>1856</v>
      </c>
      <c r="E4896" t="s">
        <v>1297</v>
      </c>
      <c r="F4896">
        <v>0</v>
      </c>
    </row>
    <row r="4897" spans="1:6">
      <c r="A4897" t="s">
        <v>13</v>
      </c>
      <c r="B4897" t="s">
        <v>92</v>
      </c>
      <c r="C4897" t="s">
        <v>1843</v>
      </c>
      <c r="D4897" t="s">
        <v>1856</v>
      </c>
      <c r="E4897" t="s">
        <v>1364</v>
      </c>
      <c r="F4897">
        <v>405.3</v>
      </c>
    </row>
    <row r="4898" spans="1:6">
      <c r="A4898" t="s">
        <v>13</v>
      </c>
      <c r="B4898" t="s">
        <v>92</v>
      </c>
      <c r="C4898" t="s">
        <v>1843</v>
      </c>
      <c r="D4898" t="s">
        <v>1856</v>
      </c>
      <c r="E4898" t="s">
        <v>1365</v>
      </c>
      <c r="F4898">
        <v>299.5</v>
      </c>
    </row>
    <row r="4899" spans="1:6">
      <c r="A4899" t="s">
        <v>13</v>
      </c>
      <c r="B4899" t="s">
        <v>92</v>
      </c>
      <c r="C4899" t="s">
        <v>1843</v>
      </c>
      <c r="D4899" t="s">
        <v>1856</v>
      </c>
      <c r="E4899" t="s">
        <v>1075</v>
      </c>
      <c r="F4899" t="s">
        <v>1863</v>
      </c>
    </row>
    <row r="4900" spans="1:6">
      <c r="A4900" t="s">
        <v>13</v>
      </c>
      <c r="B4900" t="s">
        <v>92</v>
      </c>
      <c r="C4900" t="s">
        <v>1843</v>
      </c>
      <c r="D4900" t="s">
        <v>1856</v>
      </c>
      <c r="E4900" t="s">
        <v>1076</v>
      </c>
      <c r="F4900">
        <v>2392.78</v>
      </c>
    </row>
    <row r="4901" spans="1:6">
      <c r="A4901" t="s">
        <v>13</v>
      </c>
      <c r="B4901" t="s">
        <v>92</v>
      </c>
      <c r="C4901" t="s">
        <v>1843</v>
      </c>
      <c r="D4901" t="s">
        <v>1856</v>
      </c>
      <c r="E4901" t="s">
        <v>1077</v>
      </c>
      <c r="F4901">
        <v>0.32</v>
      </c>
    </row>
    <row r="4902" spans="1:6">
      <c r="A4902" t="s">
        <v>13</v>
      </c>
      <c r="B4902" t="s">
        <v>92</v>
      </c>
      <c r="C4902" t="s">
        <v>1843</v>
      </c>
      <c r="D4902" t="s">
        <v>1856</v>
      </c>
      <c r="E4902" t="s">
        <v>1078</v>
      </c>
      <c r="F4902">
        <v>0</v>
      </c>
    </row>
    <row r="4903" spans="1:6">
      <c r="A4903" t="s">
        <v>13</v>
      </c>
      <c r="B4903" t="s">
        <v>92</v>
      </c>
      <c r="C4903" t="s">
        <v>1843</v>
      </c>
      <c r="D4903" t="s">
        <v>1856</v>
      </c>
      <c r="E4903" t="s">
        <v>1079</v>
      </c>
      <c r="F4903">
        <v>2368.5</v>
      </c>
    </row>
    <row r="4904" spans="1:6">
      <c r="A4904" t="s">
        <v>13</v>
      </c>
      <c r="B4904" t="s">
        <v>92</v>
      </c>
      <c r="C4904" t="s">
        <v>1843</v>
      </c>
      <c r="D4904" t="s">
        <v>1856</v>
      </c>
      <c r="E4904" t="s">
        <v>1080</v>
      </c>
      <c r="F4904">
        <v>23.95999999999999</v>
      </c>
    </row>
    <row r="4905" spans="1:6">
      <c r="A4905" t="s">
        <v>13</v>
      </c>
      <c r="B4905" t="s">
        <v>92</v>
      </c>
      <c r="C4905" t="s">
        <v>1843</v>
      </c>
      <c r="D4905" t="s">
        <v>1856</v>
      </c>
      <c r="E4905" t="s">
        <v>1089</v>
      </c>
      <c r="F4905" t="s">
        <v>1864</v>
      </c>
    </row>
    <row r="4906" spans="1:6">
      <c r="A4906" t="s">
        <v>13</v>
      </c>
      <c r="B4906" t="s">
        <v>92</v>
      </c>
      <c r="C4906" t="s">
        <v>1843</v>
      </c>
      <c r="D4906" t="s">
        <v>1856</v>
      </c>
      <c r="E4906" t="s">
        <v>1090</v>
      </c>
      <c r="F4906">
        <v>69308.94999999998</v>
      </c>
    </row>
    <row r="4907" spans="1:6">
      <c r="A4907" t="s">
        <v>13</v>
      </c>
      <c r="B4907" t="s">
        <v>92</v>
      </c>
      <c r="C4907" t="s">
        <v>1843</v>
      </c>
      <c r="D4907" t="s">
        <v>1856</v>
      </c>
      <c r="E4907" t="s">
        <v>1139</v>
      </c>
      <c r="F4907">
        <v>0</v>
      </c>
    </row>
    <row r="4908" spans="1:6">
      <c r="A4908" t="s">
        <v>13</v>
      </c>
      <c r="B4908" t="s">
        <v>92</v>
      </c>
      <c r="C4908" t="s">
        <v>1843</v>
      </c>
      <c r="D4908" t="s">
        <v>1856</v>
      </c>
      <c r="E4908" t="s">
        <v>1140</v>
      </c>
      <c r="F4908">
        <v>0</v>
      </c>
    </row>
    <row r="4909" spans="1:6">
      <c r="A4909" t="s">
        <v>13</v>
      </c>
      <c r="B4909" t="s">
        <v>92</v>
      </c>
      <c r="C4909" t="s">
        <v>1843</v>
      </c>
      <c r="D4909" t="s">
        <v>1856</v>
      </c>
      <c r="E4909" t="s">
        <v>1141</v>
      </c>
      <c r="F4909">
        <v>4448.19</v>
      </c>
    </row>
    <row r="4910" spans="1:6">
      <c r="A4910" t="s">
        <v>13</v>
      </c>
      <c r="B4910" t="s">
        <v>92</v>
      </c>
      <c r="C4910" t="s">
        <v>1843</v>
      </c>
      <c r="D4910" t="s">
        <v>1856</v>
      </c>
      <c r="E4910" t="s">
        <v>1423</v>
      </c>
      <c r="F4910">
        <v>64860.75999999999</v>
      </c>
    </row>
    <row r="4911" spans="1:6">
      <c r="A4911" t="s">
        <v>13</v>
      </c>
      <c r="B4911" t="s">
        <v>92</v>
      </c>
      <c r="C4911" t="s">
        <v>1843</v>
      </c>
      <c r="D4911" t="s">
        <v>1856</v>
      </c>
      <c r="E4911" t="s">
        <v>1546</v>
      </c>
      <c r="F4911" t="s">
        <v>1865</v>
      </c>
    </row>
    <row r="4912" spans="1:6">
      <c r="A4912" t="s">
        <v>13</v>
      </c>
      <c r="B4912" t="s">
        <v>92</v>
      </c>
      <c r="C4912" t="s">
        <v>1843</v>
      </c>
      <c r="D4912" t="s">
        <v>1856</v>
      </c>
      <c r="E4912" t="s">
        <v>1298</v>
      </c>
      <c r="F4912">
        <v>0</v>
      </c>
    </row>
    <row r="4913" spans="1:6">
      <c r="A4913" t="s">
        <v>13</v>
      </c>
      <c r="B4913" t="s">
        <v>92</v>
      </c>
      <c r="C4913" t="s">
        <v>1843</v>
      </c>
      <c r="D4913" t="s">
        <v>1856</v>
      </c>
      <c r="E4913" t="s">
        <v>1299</v>
      </c>
      <c r="F4913">
        <v>0</v>
      </c>
    </row>
    <row r="4914" spans="1:6">
      <c r="A4914" t="s">
        <v>13</v>
      </c>
      <c r="B4914" t="s">
        <v>92</v>
      </c>
      <c r="C4914" t="s">
        <v>1843</v>
      </c>
      <c r="D4914" t="s">
        <v>1856</v>
      </c>
      <c r="E4914" t="s">
        <v>1300</v>
      </c>
      <c r="F4914">
        <v>0</v>
      </c>
    </row>
    <row r="4915" spans="1:6">
      <c r="A4915" t="s">
        <v>13</v>
      </c>
      <c r="B4915" t="s">
        <v>92</v>
      </c>
      <c r="C4915" t="s">
        <v>1843</v>
      </c>
      <c r="D4915" t="s">
        <v>1856</v>
      </c>
      <c r="E4915" t="s">
        <v>1426</v>
      </c>
      <c r="F4915">
        <v>0</v>
      </c>
    </row>
    <row r="4916" spans="1:6">
      <c r="A4916" t="s">
        <v>13</v>
      </c>
      <c r="B4916" t="s">
        <v>92</v>
      </c>
      <c r="C4916" t="s">
        <v>1843</v>
      </c>
      <c r="D4916" t="s">
        <v>1856</v>
      </c>
      <c r="E4916" t="s">
        <v>1400</v>
      </c>
      <c r="F4916">
        <v>0</v>
      </c>
    </row>
    <row r="4917" spans="1:6">
      <c r="A4917" t="s">
        <v>13</v>
      </c>
      <c r="B4917" t="s">
        <v>92</v>
      </c>
      <c r="C4917" t="s">
        <v>1843</v>
      </c>
      <c r="D4917" t="s">
        <v>1856</v>
      </c>
      <c r="E4917" t="s">
        <v>1143</v>
      </c>
      <c r="F4917" t="s">
        <v>1866</v>
      </c>
    </row>
    <row r="4918" spans="1:6">
      <c r="A4918" t="s">
        <v>13</v>
      </c>
      <c r="B4918" t="s">
        <v>92</v>
      </c>
      <c r="C4918" t="s">
        <v>1843</v>
      </c>
      <c r="D4918" t="s">
        <v>1856</v>
      </c>
      <c r="E4918" t="s">
        <v>1301</v>
      </c>
      <c r="F4918">
        <v>1140.73</v>
      </c>
    </row>
    <row r="4919" spans="1:6">
      <c r="A4919" t="s">
        <v>13</v>
      </c>
      <c r="B4919" t="s">
        <v>92</v>
      </c>
      <c r="C4919" t="s">
        <v>1843</v>
      </c>
      <c r="D4919" t="s">
        <v>1856</v>
      </c>
      <c r="E4919" t="s">
        <v>1302</v>
      </c>
      <c r="F4919">
        <v>0</v>
      </c>
    </row>
    <row r="4920" spans="1:6">
      <c r="A4920" t="s">
        <v>13</v>
      </c>
      <c r="B4920" t="s">
        <v>92</v>
      </c>
      <c r="C4920" t="s">
        <v>1843</v>
      </c>
      <c r="D4920" t="s">
        <v>1856</v>
      </c>
      <c r="E4920" t="s">
        <v>1303</v>
      </c>
      <c r="F4920">
        <v>0</v>
      </c>
    </row>
    <row r="4921" spans="1:6">
      <c r="A4921" t="s">
        <v>13</v>
      </c>
      <c r="B4921" t="s">
        <v>92</v>
      </c>
      <c r="C4921" t="s">
        <v>1843</v>
      </c>
      <c r="D4921" t="s">
        <v>1856</v>
      </c>
      <c r="E4921" t="s">
        <v>1429</v>
      </c>
      <c r="F4921">
        <v>0</v>
      </c>
    </row>
    <row r="4922" spans="1:6">
      <c r="A4922" t="s">
        <v>13</v>
      </c>
      <c r="B4922" t="s">
        <v>92</v>
      </c>
      <c r="C4922" t="s">
        <v>1843</v>
      </c>
      <c r="D4922" t="s">
        <v>1856</v>
      </c>
      <c r="E4922" t="s">
        <v>1145</v>
      </c>
      <c r="F4922">
        <v>1140.73</v>
      </c>
    </row>
    <row r="4923" spans="1:6">
      <c r="A4923" t="s">
        <v>13</v>
      </c>
      <c r="B4923" t="s">
        <v>92</v>
      </c>
      <c r="C4923" t="s">
        <v>1843</v>
      </c>
      <c r="D4923" t="s">
        <v>1856</v>
      </c>
      <c r="E4923" t="s">
        <v>1554</v>
      </c>
      <c r="F4923" t="s">
        <v>1123</v>
      </c>
    </row>
    <row r="4924" spans="1:6">
      <c r="A4924" t="s">
        <v>13</v>
      </c>
      <c r="B4924" t="s">
        <v>92</v>
      </c>
      <c r="C4924" t="s">
        <v>1843</v>
      </c>
      <c r="D4924" t="s">
        <v>1856</v>
      </c>
      <c r="E4924" t="s">
        <v>1392</v>
      </c>
      <c r="F4924">
        <v>0.9010623942445778</v>
      </c>
    </row>
    <row r="4925" spans="1:6">
      <c r="A4925" t="s">
        <v>13</v>
      </c>
      <c r="B4925" t="s">
        <v>92</v>
      </c>
      <c r="C4925" t="s">
        <v>1843</v>
      </c>
      <c r="D4925" t="s">
        <v>1856</v>
      </c>
      <c r="E4925" t="s">
        <v>1393</v>
      </c>
      <c r="F4925">
        <v>1</v>
      </c>
    </row>
    <row r="4926" spans="1:6">
      <c r="A4926" t="s">
        <v>13</v>
      </c>
      <c r="B4926" t="s">
        <v>92</v>
      </c>
      <c r="C4926" t="s">
        <v>1843</v>
      </c>
      <c r="D4926" t="s">
        <v>1856</v>
      </c>
      <c r="E4926" t="s">
        <v>1394</v>
      </c>
      <c r="F4926">
        <v>1</v>
      </c>
    </row>
    <row r="4927" spans="1:6">
      <c r="A4927" t="s">
        <v>13</v>
      </c>
      <c r="B4927" t="s">
        <v>92</v>
      </c>
      <c r="C4927" t="s">
        <v>1843</v>
      </c>
      <c r="D4927" t="s">
        <v>1856</v>
      </c>
      <c r="E4927" t="s">
        <v>1432</v>
      </c>
      <c r="F4927">
        <v>0.9999999999999998</v>
      </c>
    </row>
    <row r="4928" spans="1:6">
      <c r="A4928" t="s">
        <v>13</v>
      </c>
      <c r="B4928" t="s">
        <v>92</v>
      </c>
      <c r="C4928" t="s">
        <v>1843</v>
      </c>
      <c r="D4928" t="s">
        <v>1856</v>
      </c>
      <c r="E4928" t="s">
        <v>1434</v>
      </c>
      <c r="F4928">
        <v>0.788252982253877</v>
      </c>
    </row>
    <row r="4929" spans="1:6">
      <c r="A4929" t="s">
        <v>13</v>
      </c>
      <c r="B4929" t="s">
        <v>92</v>
      </c>
      <c r="C4929" t="s">
        <v>1843</v>
      </c>
      <c r="D4929" t="s">
        <v>1856</v>
      </c>
      <c r="E4929" t="s">
        <v>1147</v>
      </c>
      <c r="F4929" t="s">
        <v>1130</v>
      </c>
    </row>
    <row r="4930" spans="1:6">
      <c r="A4930" t="s">
        <v>13</v>
      </c>
      <c r="B4930" t="s">
        <v>92</v>
      </c>
      <c r="C4930" t="s">
        <v>1843</v>
      </c>
      <c r="D4930" t="s">
        <v>1856</v>
      </c>
      <c r="E4930" t="s">
        <v>1149</v>
      </c>
      <c r="F4930">
        <v>182297.8099999998</v>
      </c>
    </row>
    <row r="4931" spans="1:6">
      <c r="A4931" t="s">
        <v>13</v>
      </c>
      <c r="B4931" t="s">
        <v>92</v>
      </c>
      <c r="C4931" t="s">
        <v>1843</v>
      </c>
      <c r="D4931" t="s">
        <v>1856</v>
      </c>
      <c r="E4931" t="s">
        <v>1437</v>
      </c>
      <c r="F4931">
        <v>0</v>
      </c>
    </row>
    <row r="4932" spans="1:6">
      <c r="A4932" t="s">
        <v>13</v>
      </c>
      <c r="B4932" t="s">
        <v>92</v>
      </c>
      <c r="C4932" t="s">
        <v>1843</v>
      </c>
      <c r="D4932" t="s">
        <v>1856</v>
      </c>
      <c r="E4932" t="s">
        <v>1438</v>
      </c>
      <c r="F4932">
        <v>0</v>
      </c>
    </row>
    <row r="4933" spans="1:6">
      <c r="A4933" t="s">
        <v>13</v>
      </c>
      <c r="B4933" t="s">
        <v>92</v>
      </c>
      <c r="C4933" t="s">
        <v>1843</v>
      </c>
      <c r="D4933" t="s">
        <v>1856</v>
      </c>
      <c r="E4933" t="s">
        <v>1439</v>
      </c>
      <c r="F4933">
        <v>0</v>
      </c>
    </row>
    <row r="4934" spans="1:6">
      <c r="A4934" t="s">
        <v>13</v>
      </c>
      <c r="B4934" t="s">
        <v>92</v>
      </c>
      <c r="C4934" t="s">
        <v>1843</v>
      </c>
      <c r="D4934" t="s">
        <v>1856</v>
      </c>
      <c r="E4934" t="s">
        <v>1441</v>
      </c>
      <c r="F4934">
        <v>182297.8099999998</v>
      </c>
    </row>
    <row r="4935" spans="1:6">
      <c r="A4935" t="s">
        <v>13</v>
      </c>
      <c r="B4935" t="s">
        <v>92</v>
      </c>
      <c r="C4935" t="s">
        <v>1843</v>
      </c>
      <c r="D4935" t="s">
        <v>1856</v>
      </c>
      <c r="E4935" t="s">
        <v>1555</v>
      </c>
      <c r="F4935" t="s">
        <v>1131</v>
      </c>
    </row>
    <row r="4936" spans="1:6">
      <c r="A4936" t="s">
        <v>13</v>
      </c>
      <c r="B4936" t="s">
        <v>92</v>
      </c>
      <c r="C4936" t="s">
        <v>1843</v>
      </c>
      <c r="D4936" t="s">
        <v>1856</v>
      </c>
      <c r="E4936" t="s">
        <v>1151</v>
      </c>
      <c r="F4936">
        <v>0.09893760575542207</v>
      </c>
    </row>
    <row r="4937" spans="1:6">
      <c r="A4937" t="s">
        <v>13</v>
      </c>
      <c r="B4937" t="s">
        <v>92</v>
      </c>
      <c r="C4937" t="s">
        <v>1843</v>
      </c>
      <c r="D4937" t="s">
        <v>1856</v>
      </c>
      <c r="E4937" t="s">
        <v>1152</v>
      </c>
      <c r="F4937">
        <v>0</v>
      </c>
    </row>
    <row r="4938" spans="1:6">
      <c r="A4938" t="s">
        <v>13</v>
      </c>
      <c r="B4938" t="s">
        <v>92</v>
      </c>
      <c r="C4938" t="s">
        <v>1843</v>
      </c>
      <c r="D4938" t="s">
        <v>1856</v>
      </c>
      <c r="E4938" t="s">
        <v>1154</v>
      </c>
      <c r="F4938">
        <v>0</v>
      </c>
    </row>
    <row r="4939" spans="1:6">
      <c r="A4939" t="s">
        <v>13</v>
      </c>
      <c r="B4939" t="s">
        <v>92</v>
      </c>
      <c r="C4939" t="s">
        <v>1843</v>
      </c>
      <c r="D4939" t="s">
        <v>1856</v>
      </c>
      <c r="E4939" t="s">
        <v>1156</v>
      </c>
      <c r="F4939">
        <v>0</v>
      </c>
    </row>
    <row r="4940" spans="1:6">
      <c r="A4940" t="s">
        <v>13</v>
      </c>
      <c r="B4940" t="s">
        <v>92</v>
      </c>
      <c r="C4940" t="s">
        <v>1843</v>
      </c>
      <c r="D4940" t="s">
        <v>1856</v>
      </c>
      <c r="E4940" t="s">
        <v>1158</v>
      </c>
      <c r="F4940">
        <v>0.211747017746123</v>
      </c>
    </row>
    <row r="4941" spans="1:6">
      <c r="A4941" t="s">
        <v>13</v>
      </c>
      <c r="B4941" t="s">
        <v>92</v>
      </c>
      <c r="C4941" t="s">
        <v>1843</v>
      </c>
      <c r="D4941" t="s">
        <v>1856</v>
      </c>
      <c r="E4941" t="s">
        <v>1175</v>
      </c>
      <c r="F4941" t="s">
        <v>1137</v>
      </c>
    </row>
    <row r="4942" spans="1:6">
      <c r="A4942" t="s">
        <v>13</v>
      </c>
      <c r="B4942" t="s">
        <v>92</v>
      </c>
      <c r="C4942" t="s">
        <v>1843</v>
      </c>
      <c r="D4942" t="s">
        <v>1856</v>
      </c>
      <c r="E4942" t="s">
        <v>1176</v>
      </c>
      <c r="F4942">
        <v>0</v>
      </c>
    </row>
    <row r="4943" spans="1:6">
      <c r="A4943" t="s">
        <v>13</v>
      </c>
      <c r="B4943" t="s">
        <v>92</v>
      </c>
      <c r="C4943" t="s">
        <v>1843</v>
      </c>
      <c r="D4943" t="s">
        <v>1856</v>
      </c>
      <c r="E4943" t="s">
        <v>1177</v>
      </c>
      <c r="F4943">
        <v>0</v>
      </c>
    </row>
    <row r="4944" spans="1:6">
      <c r="A4944" t="s">
        <v>13</v>
      </c>
      <c r="B4944" t="s">
        <v>92</v>
      </c>
      <c r="C4944" t="s">
        <v>1843</v>
      </c>
      <c r="D4944" t="s">
        <v>1856</v>
      </c>
      <c r="E4944" t="s">
        <v>1178</v>
      </c>
      <c r="F4944">
        <v>0</v>
      </c>
    </row>
    <row r="4945" spans="1:6">
      <c r="A4945" t="s">
        <v>13</v>
      </c>
      <c r="B4945" t="s">
        <v>92</v>
      </c>
      <c r="C4945" t="s">
        <v>1843</v>
      </c>
      <c r="D4945" t="s">
        <v>1856</v>
      </c>
      <c r="E4945" t="s">
        <v>1179</v>
      </c>
      <c r="F4945">
        <v>0</v>
      </c>
    </row>
    <row r="4946" spans="1:6">
      <c r="A4946" t="s">
        <v>13</v>
      </c>
      <c r="B4946" t="s">
        <v>92</v>
      </c>
      <c r="C4946" t="s">
        <v>1843</v>
      </c>
      <c r="D4946" t="s">
        <v>1856</v>
      </c>
      <c r="E4946" t="s">
        <v>1452</v>
      </c>
      <c r="F4946" t="s">
        <v>1138</v>
      </c>
    </row>
    <row r="4947" spans="1:6">
      <c r="A4947" t="s">
        <v>13</v>
      </c>
      <c r="B4947" t="s">
        <v>92</v>
      </c>
      <c r="C4947" t="s">
        <v>1843</v>
      </c>
      <c r="D4947" t="s">
        <v>1856</v>
      </c>
      <c r="E4947" t="s">
        <v>1454</v>
      </c>
      <c r="F4947">
        <v>0</v>
      </c>
    </row>
    <row r="4948" spans="1:6">
      <c r="A4948" t="s">
        <v>13</v>
      </c>
      <c r="B4948" t="s">
        <v>92</v>
      </c>
      <c r="C4948" t="s">
        <v>1843</v>
      </c>
      <c r="D4948" t="s">
        <v>1856</v>
      </c>
      <c r="E4948" t="s">
        <v>1455</v>
      </c>
      <c r="F4948">
        <v>0</v>
      </c>
    </row>
    <row r="4949" spans="1:6">
      <c r="A4949" t="s">
        <v>13</v>
      </c>
      <c r="B4949" t="s">
        <v>92</v>
      </c>
      <c r="C4949" t="s">
        <v>1843</v>
      </c>
      <c r="D4949" t="s">
        <v>1856</v>
      </c>
      <c r="E4949" t="s">
        <v>1456</v>
      </c>
      <c r="F4949">
        <v>0</v>
      </c>
    </row>
    <row r="4950" spans="1:6">
      <c r="A4950" t="s">
        <v>13</v>
      </c>
      <c r="B4950" t="s">
        <v>92</v>
      </c>
      <c r="C4950" t="s">
        <v>1843</v>
      </c>
      <c r="D4950" t="s">
        <v>1856</v>
      </c>
      <c r="E4950" t="s">
        <v>1458</v>
      </c>
      <c r="F4950">
        <v>-0.1584519124648409</v>
      </c>
    </row>
    <row r="4951" spans="1:6">
      <c r="A4951" t="s">
        <v>13</v>
      </c>
      <c r="B4951" t="s">
        <v>92</v>
      </c>
      <c r="C4951" t="s">
        <v>1843</v>
      </c>
      <c r="D4951" t="s">
        <v>1856</v>
      </c>
      <c r="E4951" t="s">
        <v>1191</v>
      </c>
      <c r="F4951" t="s">
        <v>1144</v>
      </c>
    </row>
    <row r="4952" spans="1:6">
      <c r="A4952" t="s">
        <v>13</v>
      </c>
      <c r="B4952" t="s">
        <v>92</v>
      </c>
      <c r="C4952" t="s">
        <v>1843</v>
      </c>
      <c r="D4952" t="s">
        <v>1856</v>
      </c>
      <c r="E4952" t="s">
        <v>1196</v>
      </c>
      <c r="F4952" t="s">
        <v>1146</v>
      </c>
    </row>
    <row r="4953" spans="1:6">
      <c r="A4953" t="s">
        <v>13</v>
      </c>
      <c r="B4953" t="s">
        <v>92</v>
      </c>
      <c r="C4953" t="s">
        <v>1843</v>
      </c>
      <c r="D4953" t="s">
        <v>1856</v>
      </c>
      <c r="E4953" t="s">
        <v>1201</v>
      </c>
      <c r="F4953" t="s">
        <v>1148</v>
      </c>
    </row>
    <row r="4954" spans="1:6">
      <c r="A4954" t="s">
        <v>13</v>
      </c>
      <c r="B4954" t="s">
        <v>92</v>
      </c>
      <c r="C4954" t="s">
        <v>1843</v>
      </c>
      <c r="D4954" t="s">
        <v>1856</v>
      </c>
      <c r="E4954" t="s">
        <v>1202</v>
      </c>
      <c r="F4954" t="s">
        <v>1150</v>
      </c>
    </row>
    <row r="4955" spans="1:6">
      <c r="A4955" t="s">
        <v>13</v>
      </c>
      <c r="B4955" t="s">
        <v>92</v>
      </c>
      <c r="C4955" t="s">
        <v>1843</v>
      </c>
      <c r="D4955" t="s">
        <v>1856</v>
      </c>
      <c r="E4955" t="s">
        <v>1210</v>
      </c>
      <c r="F4955" t="s">
        <v>1009</v>
      </c>
    </row>
    <row r="4956" spans="1:6">
      <c r="A4956" t="s">
        <v>13</v>
      </c>
      <c r="B4956" t="s">
        <v>92</v>
      </c>
      <c r="C4956" t="s">
        <v>1843</v>
      </c>
      <c r="D4956" t="s">
        <v>1856</v>
      </c>
      <c r="E4956" t="s">
        <v>1211</v>
      </c>
      <c r="F4956" t="s">
        <v>1836</v>
      </c>
    </row>
    <row r="4957" spans="1:6">
      <c r="A4957" t="s">
        <v>13</v>
      </c>
      <c r="B4957" t="s">
        <v>92</v>
      </c>
      <c r="C4957" t="s">
        <v>1843</v>
      </c>
      <c r="D4957" t="s">
        <v>1856</v>
      </c>
      <c r="E4957" t="s">
        <v>1212</v>
      </c>
      <c r="F4957" t="s">
        <v>1837</v>
      </c>
    </row>
    <row r="4958" spans="1:6">
      <c r="A4958" t="s">
        <v>13</v>
      </c>
      <c r="B4958" t="s">
        <v>92</v>
      </c>
      <c r="C4958" t="s">
        <v>1843</v>
      </c>
      <c r="D4958" t="s">
        <v>1856</v>
      </c>
      <c r="E4958" t="s">
        <v>1213</v>
      </c>
      <c r="F4958" t="s">
        <v>1838</v>
      </c>
    </row>
    <row r="4959" spans="1:6">
      <c r="A4959" t="s">
        <v>13</v>
      </c>
      <c r="B4959" t="s">
        <v>92</v>
      </c>
      <c r="C4959" t="s">
        <v>1843</v>
      </c>
      <c r="D4959" t="s">
        <v>1856</v>
      </c>
      <c r="E4959" t="s">
        <v>1214</v>
      </c>
      <c r="F4959" t="s">
        <v>1839</v>
      </c>
    </row>
    <row r="4960" spans="1:6">
      <c r="A4960" t="s">
        <v>13</v>
      </c>
      <c r="B4960" t="s">
        <v>92</v>
      </c>
      <c r="C4960" t="s">
        <v>1843</v>
      </c>
      <c r="D4960" t="s">
        <v>1856</v>
      </c>
      <c r="E4960" t="s">
        <v>1215</v>
      </c>
      <c r="F4960" t="s">
        <v>1840</v>
      </c>
    </row>
    <row r="4961" spans="1:6">
      <c r="A4961" t="s">
        <v>13</v>
      </c>
      <c r="B4961" t="s">
        <v>92</v>
      </c>
      <c r="C4961" t="s">
        <v>1843</v>
      </c>
      <c r="D4961" t="s">
        <v>1856</v>
      </c>
      <c r="E4961" t="s">
        <v>1216</v>
      </c>
      <c r="F4961" t="s">
        <v>1841</v>
      </c>
    </row>
    <row r="4962" spans="1:6">
      <c r="A4962" t="s">
        <v>13</v>
      </c>
      <c r="B4962" t="s">
        <v>92</v>
      </c>
      <c r="C4962" t="s">
        <v>1843</v>
      </c>
      <c r="D4962" t="s">
        <v>1856</v>
      </c>
      <c r="E4962" t="s">
        <v>1217</v>
      </c>
      <c r="F4962" t="s">
        <v>1867</v>
      </c>
    </row>
    <row r="4963" spans="1:6">
      <c r="A4963" t="s">
        <v>13</v>
      </c>
      <c r="B4963" t="s">
        <v>92</v>
      </c>
      <c r="C4963" t="s">
        <v>1843</v>
      </c>
      <c r="D4963" t="s">
        <v>1856</v>
      </c>
      <c r="E4963" t="s">
        <v>1218</v>
      </c>
      <c r="F4963">
        <v>860922.6800000002</v>
      </c>
    </row>
    <row r="4964" spans="1:6">
      <c r="A4964" t="s">
        <v>13</v>
      </c>
      <c r="B4964" t="s">
        <v>92</v>
      </c>
      <c r="C4964" t="s">
        <v>1843</v>
      </c>
      <c r="D4964" t="s">
        <v>1856</v>
      </c>
      <c r="E4964" t="s">
        <v>1219</v>
      </c>
      <c r="F4964">
        <v>87448.33000000007</v>
      </c>
    </row>
    <row r="4965" spans="1:6">
      <c r="A4965" t="s">
        <v>13</v>
      </c>
      <c r="B4965" t="s">
        <v>92</v>
      </c>
      <c r="C4965" t="s">
        <v>1843</v>
      </c>
      <c r="D4965" t="s">
        <v>1856</v>
      </c>
      <c r="E4965" t="s">
        <v>1220</v>
      </c>
      <c r="F4965">
        <v>162509.23</v>
      </c>
    </row>
    <row r="4966" spans="1:6">
      <c r="A4966" t="s">
        <v>13</v>
      </c>
      <c r="B4966" t="s">
        <v>92</v>
      </c>
      <c r="C4966" t="s">
        <v>1843</v>
      </c>
      <c r="D4966" t="s">
        <v>1856</v>
      </c>
      <c r="E4966" t="s">
        <v>1221</v>
      </c>
      <c r="F4966">
        <v>112393.3500000001</v>
      </c>
    </row>
    <row r="4967" spans="1:6">
      <c r="A4967" t="s">
        <v>13</v>
      </c>
      <c r="B4967" t="s">
        <v>92</v>
      </c>
      <c r="C4967" t="s">
        <v>1843</v>
      </c>
      <c r="D4967" t="s">
        <v>1856</v>
      </c>
      <c r="E4967" t="s">
        <v>1222</v>
      </c>
      <c r="F4967">
        <v>111294.4299999999</v>
      </c>
    </row>
    <row r="4968" spans="1:6">
      <c r="A4968" t="s">
        <v>13</v>
      </c>
      <c r="B4968" t="s">
        <v>92</v>
      </c>
      <c r="C4968" t="s">
        <v>1843</v>
      </c>
      <c r="D4968" t="s">
        <v>1856</v>
      </c>
      <c r="E4968" t="s">
        <v>1223</v>
      </c>
      <c r="F4968">
        <v>256641.26</v>
      </c>
    </row>
    <row r="4969" spans="1:6">
      <c r="A4969" t="s">
        <v>13</v>
      </c>
      <c r="B4969" t="s">
        <v>92</v>
      </c>
      <c r="C4969" t="s">
        <v>1843</v>
      </c>
      <c r="D4969" t="s">
        <v>1856</v>
      </c>
      <c r="E4969" t="s">
        <v>1224</v>
      </c>
      <c r="F4969">
        <v>130636.08</v>
      </c>
    </row>
    <row r="4970" spans="1:6">
      <c r="A4970" t="s">
        <v>13</v>
      </c>
      <c r="B4970" t="s">
        <v>92</v>
      </c>
      <c r="C4970" t="s">
        <v>1843</v>
      </c>
      <c r="D4970" t="s">
        <v>1856</v>
      </c>
      <c r="E4970" t="s">
        <v>1225</v>
      </c>
      <c r="F4970" t="s">
        <v>1174</v>
      </c>
    </row>
    <row r="4971" spans="1:6">
      <c r="A4971" t="s">
        <v>13</v>
      </c>
      <c r="B4971" t="s">
        <v>92</v>
      </c>
      <c r="C4971" t="s">
        <v>1843</v>
      </c>
      <c r="D4971" t="s">
        <v>1856</v>
      </c>
      <c r="E4971" t="s">
        <v>1480</v>
      </c>
      <c r="F4971">
        <v>2182</v>
      </c>
    </row>
    <row r="4972" spans="1:6">
      <c r="A4972" t="s">
        <v>13</v>
      </c>
      <c r="B4972" t="s">
        <v>92</v>
      </c>
      <c r="C4972" t="s">
        <v>1843</v>
      </c>
      <c r="D4972" t="s">
        <v>1856</v>
      </c>
      <c r="E4972" t="s">
        <v>1227</v>
      </c>
      <c r="F4972">
        <v>296</v>
      </c>
    </row>
    <row r="4973" spans="1:6">
      <c r="A4973" t="s">
        <v>13</v>
      </c>
      <c r="B4973" t="s">
        <v>92</v>
      </c>
      <c r="C4973" t="s">
        <v>1843</v>
      </c>
      <c r="D4973" t="s">
        <v>1856</v>
      </c>
      <c r="E4973" t="s">
        <v>1228</v>
      </c>
      <c r="F4973">
        <v>361</v>
      </c>
    </row>
    <row r="4974" spans="1:6">
      <c r="A4974" t="s">
        <v>13</v>
      </c>
      <c r="B4974" t="s">
        <v>92</v>
      </c>
      <c r="C4974" t="s">
        <v>1843</v>
      </c>
      <c r="D4974" t="s">
        <v>1856</v>
      </c>
      <c r="E4974" t="s">
        <v>1230</v>
      </c>
      <c r="F4974">
        <v>359</v>
      </c>
    </row>
    <row r="4975" spans="1:6">
      <c r="A4975" t="s">
        <v>13</v>
      </c>
      <c r="B4975" t="s">
        <v>92</v>
      </c>
      <c r="C4975" t="s">
        <v>1843</v>
      </c>
      <c r="D4975" t="s">
        <v>1856</v>
      </c>
      <c r="E4975" t="s">
        <v>1231</v>
      </c>
      <c r="F4975">
        <v>372</v>
      </c>
    </row>
    <row r="4976" spans="1:6">
      <c r="A4976" t="s">
        <v>13</v>
      </c>
      <c r="B4976" t="s">
        <v>92</v>
      </c>
      <c r="C4976" t="s">
        <v>1843</v>
      </c>
      <c r="D4976" t="s">
        <v>1856</v>
      </c>
      <c r="E4976" t="s">
        <v>1233</v>
      </c>
      <c r="F4976">
        <v>400</v>
      </c>
    </row>
    <row r="4977" spans="1:6">
      <c r="A4977" t="s">
        <v>13</v>
      </c>
      <c r="B4977" t="s">
        <v>92</v>
      </c>
      <c r="C4977" t="s">
        <v>1843</v>
      </c>
      <c r="D4977" t="s">
        <v>1856</v>
      </c>
      <c r="E4977" t="s">
        <v>1234</v>
      </c>
      <c r="F4977">
        <v>394</v>
      </c>
    </row>
    <row r="4978" spans="1:6">
      <c r="A4978" t="s">
        <v>13</v>
      </c>
      <c r="B4978" t="s">
        <v>92</v>
      </c>
      <c r="C4978" t="s">
        <v>1843</v>
      </c>
      <c r="D4978" t="s">
        <v>1856</v>
      </c>
      <c r="E4978" t="s">
        <v>1245</v>
      </c>
      <c r="F4978" t="s">
        <v>1868</v>
      </c>
    </row>
    <row r="4979" spans="1:6">
      <c r="A4979" t="s">
        <v>13</v>
      </c>
      <c r="B4979" t="s">
        <v>92</v>
      </c>
      <c r="C4979" t="s">
        <v>1843</v>
      </c>
      <c r="D4979" t="s">
        <v>1856</v>
      </c>
      <c r="E4979" t="s">
        <v>1247</v>
      </c>
      <c r="F4979">
        <v>678624.8699999999</v>
      </c>
    </row>
    <row r="4980" spans="1:6">
      <c r="A4980" t="s">
        <v>13</v>
      </c>
      <c r="B4980" t="s">
        <v>92</v>
      </c>
      <c r="C4980" t="s">
        <v>1843</v>
      </c>
      <c r="D4980" t="s">
        <v>1856</v>
      </c>
      <c r="E4980" t="s">
        <v>1248</v>
      </c>
      <c r="F4980">
        <v>27709.00999999999</v>
      </c>
    </row>
    <row r="4981" spans="1:6">
      <c r="A4981" t="s">
        <v>13</v>
      </c>
      <c r="B4981" t="s">
        <v>92</v>
      </c>
      <c r="C4981" t="s">
        <v>1843</v>
      </c>
      <c r="D4981" t="s">
        <v>1856</v>
      </c>
      <c r="E4981" t="s">
        <v>1249</v>
      </c>
      <c r="F4981">
        <v>65022.42</v>
      </c>
    </row>
    <row r="4982" spans="1:6">
      <c r="A4982" t="s">
        <v>13</v>
      </c>
      <c r="B4982" t="s">
        <v>92</v>
      </c>
      <c r="C4982" t="s">
        <v>1843</v>
      </c>
      <c r="D4982" t="s">
        <v>1856</v>
      </c>
      <c r="E4982" t="s">
        <v>1250</v>
      </c>
      <c r="F4982">
        <v>91027.96000000002</v>
      </c>
    </row>
    <row r="4983" spans="1:6">
      <c r="A4983" t="s">
        <v>13</v>
      </c>
      <c r="B4983" t="s">
        <v>92</v>
      </c>
      <c r="C4983" t="s">
        <v>1843</v>
      </c>
      <c r="D4983" t="s">
        <v>1856</v>
      </c>
      <c r="E4983" t="s">
        <v>1251</v>
      </c>
      <c r="F4983">
        <v>108525.6399999999</v>
      </c>
    </row>
    <row r="4984" spans="1:6">
      <c r="A4984" t="s">
        <v>13</v>
      </c>
      <c r="B4984" t="s">
        <v>92</v>
      </c>
      <c r="C4984" t="s">
        <v>1843</v>
      </c>
      <c r="D4984" t="s">
        <v>1856</v>
      </c>
      <c r="E4984" t="s">
        <v>1252</v>
      </c>
      <c r="F4984">
        <v>255703.76</v>
      </c>
    </row>
    <row r="4985" spans="1:6">
      <c r="A4985" t="s">
        <v>13</v>
      </c>
      <c r="B4985" t="s">
        <v>92</v>
      </c>
      <c r="C4985" t="s">
        <v>1843</v>
      </c>
      <c r="D4985" t="s">
        <v>1856</v>
      </c>
      <c r="E4985" t="s">
        <v>1253</v>
      </c>
      <c r="F4985">
        <v>130636.08</v>
      </c>
    </row>
    <row r="4986" spans="1:6">
      <c r="A4986" t="s">
        <v>13</v>
      </c>
      <c r="B4986" t="s">
        <v>92</v>
      </c>
      <c r="C4986" t="s">
        <v>1843</v>
      </c>
      <c r="D4986" t="s">
        <v>1856</v>
      </c>
      <c r="E4986" t="s">
        <v>1254</v>
      </c>
      <c r="F4986" t="s">
        <v>1192</v>
      </c>
    </row>
    <row r="4987" spans="1:6">
      <c r="A4987" t="s">
        <v>13</v>
      </c>
      <c r="B4987" t="s">
        <v>92</v>
      </c>
      <c r="C4987" t="s">
        <v>1843</v>
      </c>
      <c r="D4987" t="s">
        <v>1856</v>
      </c>
      <c r="E4987" t="s">
        <v>1257</v>
      </c>
      <c r="F4987">
        <v>38</v>
      </c>
    </row>
    <row r="4988" spans="1:6">
      <c r="A4988" t="s">
        <v>13</v>
      </c>
      <c r="B4988" t="s">
        <v>92</v>
      </c>
      <c r="C4988" t="s">
        <v>1843</v>
      </c>
      <c r="D4988" t="s">
        <v>1856</v>
      </c>
      <c r="E4988" t="s">
        <v>1258</v>
      </c>
      <c r="F4988">
        <v>69</v>
      </c>
    </row>
    <row r="4989" spans="1:6">
      <c r="A4989" t="s">
        <v>13</v>
      </c>
      <c r="B4989" t="s">
        <v>92</v>
      </c>
      <c r="C4989" t="s">
        <v>1843</v>
      </c>
      <c r="D4989" t="s">
        <v>1856</v>
      </c>
      <c r="E4989" t="s">
        <v>1259</v>
      </c>
      <c r="F4989">
        <v>223</v>
      </c>
    </row>
    <row r="4990" spans="1:6">
      <c r="A4990" t="s">
        <v>13</v>
      </c>
      <c r="B4990" t="s">
        <v>92</v>
      </c>
      <c r="C4990" t="s">
        <v>1843</v>
      </c>
      <c r="D4990" t="s">
        <v>1856</v>
      </c>
      <c r="E4990" t="s">
        <v>1260</v>
      </c>
      <c r="F4990">
        <v>367</v>
      </c>
    </row>
    <row r="4991" spans="1:6">
      <c r="A4991" t="s">
        <v>13</v>
      </c>
      <c r="B4991" t="s">
        <v>92</v>
      </c>
      <c r="C4991" t="s">
        <v>1843</v>
      </c>
      <c r="D4991" t="s">
        <v>1856</v>
      </c>
      <c r="E4991" t="s">
        <v>1261</v>
      </c>
      <c r="F4991">
        <v>399</v>
      </c>
    </row>
    <row r="4992" spans="1:6">
      <c r="A4992" t="s">
        <v>13</v>
      </c>
      <c r="B4992" t="s">
        <v>92</v>
      </c>
      <c r="C4992" t="s">
        <v>1843</v>
      </c>
      <c r="D4992" t="s">
        <v>1856</v>
      </c>
      <c r="E4992" t="s">
        <v>1262</v>
      </c>
      <c r="F4992">
        <v>394</v>
      </c>
    </row>
    <row r="4993" spans="1:6">
      <c r="A4993" t="s">
        <v>13</v>
      </c>
      <c r="B4993" t="s">
        <v>92</v>
      </c>
      <c r="C4993" t="s">
        <v>1843</v>
      </c>
      <c r="D4993" t="s">
        <v>1856</v>
      </c>
      <c r="E4993" t="s">
        <v>1263</v>
      </c>
      <c r="F4993" t="s">
        <v>1869</v>
      </c>
    </row>
    <row r="4994" spans="1:6">
      <c r="A4994" t="s">
        <v>13</v>
      </c>
      <c r="B4994" t="s">
        <v>92</v>
      </c>
      <c r="C4994" t="s">
        <v>1843</v>
      </c>
      <c r="D4994" t="s">
        <v>1856</v>
      </c>
      <c r="E4994" t="s">
        <v>1561</v>
      </c>
      <c r="F4994" t="s">
        <v>1107</v>
      </c>
    </row>
    <row r="4995" spans="1:6">
      <c r="A4995" t="s">
        <v>13</v>
      </c>
      <c r="B4995" t="s">
        <v>92</v>
      </c>
      <c r="C4995" t="s">
        <v>1843</v>
      </c>
      <c r="D4995" t="s">
        <v>1856</v>
      </c>
      <c r="E4995" t="s">
        <v>1562</v>
      </c>
      <c r="F4995">
        <v>432030.6899999999</v>
      </c>
    </row>
    <row r="4996" spans="1:6">
      <c r="A4996" t="s">
        <v>13</v>
      </c>
      <c r="B4996" t="s">
        <v>92</v>
      </c>
      <c r="C4996" t="s">
        <v>1843</v>
      </c>
      <c r="D4996" t="s">
        <v>1856</v>
      </c>
      <c r="E4996" t="s">
        <v>1563</v>
      </c>
      <c r="F4996">
        <v>12784.95</v>
      </c>
    </row>
    <row r="4997" spans="1:6">
      <c r="A4997" t="s">
        <v>13</v>
      </c>
      <c r="B4997" t="s">
        <v>92</v>
      </c>
      <c r="C4997" t="s">
        <v>1843</v>
      </c>
      <c r="D4997" t="s">
        <v>1856</v>
      </c>
      <c r="E4997" t="s">
        <v>1564</v>
      </c>
      <c r="F4997">
        <v>28482.28</v>
      </c>
    </row>
    <row r="4998" spans="1:6">
      <c r="A4998" t="s">
        <v>13</v>
      </c>
      <c r="B4998" t="s">
        <v>92</v>
      </c>
      <c r="C4998" t="s">
        <v>1843</v>
      </c>
      <c r="D4998" t="s">
        <v>1856</v>
      </c>
      <c r="E4998" t="s">
        <v>1565</v>
      </c>
      <c r="F4998">
        <v>78374.69000000002</v>
      </c>
    </row>
    <row r="4999" spans="1:6">
      <c r="A4999" t="s">
        <v>13</v>
      </c>
      <c r="B4999" t="s">
        <v>92</v>
      </c>
      <c r="C4999" t="s">
        <v>1843</v>
      </c>
      <c r="D4999" t="s">
        <v>1856</v>
      </c>
      <c r="E4999" t="s">
        <v>1566</v>
      </c>
      <c r="F4999">
        <v>93872.86999999992</v>
      </c>
    </row>
    <row r="5000" spans="1:6">
      <c r="A5000" t="s">
        <v>13</v>
      </c>
      <c r="B5000" t="s">
        <v>92</v>
      </c>
      <c r="C5000" t="s">
        <v>1843</v>
      </c>
      <c r="D5000" t="s">
        <v>1856</v>
      </c>
      <c r="E5000" t="s">
        <v>1488</v>
      </c>
      <c r="F5000">
        <v>99095.89999999998</v>
      </c>
    </row>
    <row r="5001" spans="1:6">
      <c r="A5001" t="s">
        <v>13</v>
      </c>
      <c r="B5001" t="s">
        <v>92</v>
      </c>
      <c r="C5001" t="s">
        <v>1843</v>
      </c>
      <c r="D5001" t="s">
        <v>1856</v>
      </c>
      <c r="E5001" t="s">
        <v>1567</v>
      </c>
      <c r="F5001">
        <v>119420</v>
      </c>
    </row>
    <row r="5002" spans="1:6">
      <c r="A5002" t="s">
        <v>13</v>
      </c>
      <c r="B5002" t="s">
        <v>92</v>
      </c>
      <c r="C5002" t="s">
        <v>1843</v>
      </c>
      <c r="D5002" t="s">
        <v>1856</v>
      </c>
      <c r="E5002" t="s">
        <v>1870</v>
      </c>
      <c r="F5002" t="s">
        <v>1112</v>
      </c>
    </row>
    <row r="5003" spans="1:6">
      <c r="A5003" t="s">
        <v>13</v>
      </c>
      <c r="B5003" t="s">
        <v>92</v>
      </c>
      <c r="C5003" t="s">
        <v>1843</v>
      </c>
      <c r="D5003" t="s">
        <v>1856</v>
      </c>
      <c r="E5003" t="s">
        <v>1737</v>
      </c>
      <c r="F5003">
        <v>0</v>
      </c>
    </row>
    <row r="5004" spans="1:6">
      <c r="A5004" t="s">
        <v>13</v>
      </c>
      <c r="B5004" t="s">
        <v>92</v>
      </c>
      <c r="C5004" t="s">
        <v>1843</v>
      </c>
      <c r="D5004" t="s">
        <v>1856</v>
      </c>
      <c r="E5004" t="s">
        <v>1738</v>
      </c>
      <c r="F5004">
        <v>0</v>
      </c>
    </row>
    <row r="5005" spans="1:6">
      <c r="A5005" t="s">
        <v>13</v>
      </c>
      <c r="B5005" t="s">
        <v>92</v>
      </c>
      <c r="C5005" t="s">
        <v>1843</v>
      </c>
      <c r="D5005" t="s">
        <v>1856</v>
      </c>
      <c r="E5005" t="s">
        <v>1739</v>
      </c>
      <c r="F5005">
        <v>0</v>
      </c>
    </row>
    <row r="5006" spans="1:6">
      <c r="A5006" t="s">
        <v>13</v>
      </c>
      <c r="B5006" t="s">
        <v>92</v>
      </c>
      <c r="C5006" t="s">
        <v>1843</v>
      </c>
      <c r="D5006" t="s">
        <v>1856</v>
      </c>
      <c r="E5006" t="s">
        <v>1740</v>
      </c>
      <c r="F5006">
        <v>0</v>
      </c>
    </row>
    <row r="5007" spans="1:6">
      <c r="A5007" t="s">
        <v>13</v>
      </c>
      <c r="B5007" t="s">
        <v>92</v>
      </c>
      <c r="C5007" t="s">
        <v>1843</v>
      </c>
      <c r="D5007" t="s">
        <v>1856</v>
      </c>
      <c r="E5007" t="s">
        <v>1741</v>
      </c>
      <c r="F5007">
        <v>0</v>
      </c>
    </row>
    <row r="5008" spans="1:6">
      <c r="A5008" t="s">
        <v>13</v>
      </c>
      <c r="B5008" t="s">
        <v>92</v>
      </c>
      <c r="C5008" t="s">
        <v>1843</v>
      </c>
      <c r="D5008" t="s">
        <v>1856</v>
      </c>
      <c r="E5008" t="s">
        <v>1490</v>
      </c>
      <c r="F5008">
        <v>0</v>
      </c>
    </row>
    <row r="5009" spans="1:6">
      <c r="A5009" t="s">
        <v>13</v>
      </c>
      <c r="B5009" t="s">
        <v>92</v>
      </c>
      <c r="C5009" t="s">
        <v>1843</v>
      </c>
      <c r="D5009" t="s">
        <v>1856</v>
      </c>
      <c r="E5009" t="s">
        <v>1871</v>
      </c>
      <c r="F5009">
        <v>0</v>
      </c>
    </row>
    <row r="5010" spans="1:6">
      <c r="A5010" t="s">
        <v>13</v>
      </c>
      <c r="B5010" t="s">
        <v>92</v>
      </c>
      <c r="C5010" t="s">
        <v>1843</v>
      </c>
      <c r="D5010" t="s">
        <v>1856</v>
      </c>
      <c r="E5010" t="s">
        <v>1872</v>
      </c>
      <c r="F5010" t="s">
        <v>1117</v>
      </c>
    </row>
    <row r="5011" spans="1:6">
      <c r="A5011" t="s">
        <v>13</v>
      </c>
      <c r="B5011" t="s">
        <v>92</v>
      </c>
      <c r="C5011" t="s">
        <v>1843</v>
      </c>
      <c r="D5011" t="s">
        <v>1856</v>
      </c>
      <c r="E5011" t="s">
        <v>1742</v>
      </c>
      <c r="F5011">
        <v>246594.18</v>
      </c>
    </row>
    <row r="5012" spans="1:6">
      <c r="A5012" t="s">
        <v>13</v>
      </c>
      <c r="B5012" t="s">
        <v>92</v>
      </c>
      <c r="C5012" t="s">
        <v>1843</v>
      </c>
      <c r="D5012" t="s">
        <v>1856</v>
      </c>
      <c r="E5012" t="s">
        <v>1743</v>
      </c>
      <c r="F5012">
        <v>14924.06</v>
      </c>
    </row>
    <row r="5013" spans="1:6">
      <c r="A5013" t="s">
        <v>13</v>
      </c>
      <c r="B5013" t="s">
        <v>92</v>
      </c>
      <c r="C5013" t="s">
        <v>1843</v>
      </c>
      <c r="D5013" t="s">
        <v>1856</v>
      </c>
      <c r="E5013" t="s">
        <v>1744</v>
      </c>
      <c r="F5013">
        <v>36540.14</v>
      </c>
    </row>
    <row r="5014" spans="1:6">
      <c r="A5014" t="s">
        <v>13</v>
      </c>
      <c r="B5014" t="s">
        <v>92</v>
      </c>
      <c r="C5014" t="s">
        <v>1843</v>
      </c>
      <c r="D5014" t="s">
        <v>1856</v>
      </c>
      <c r="E5014" t="s">
        <v>1873</v>
      </c>
      <c r="F5014">
        <v>12653.27</v>
      </c>
    </row>
    <row r="5015" spans="1:6">
      <c r="A5015" t="s">
        <v>13</v>
      </c>
      <c r="B5015" t="s">
        <v>92</v>
      </c>
      <c r="C5015" t="s">
        <v>1843</v>
      </c>
      <c r="D5015" t="s">
        <v>1856</v>
      </c>
      <c r="E5015" t="s">
        <v>1874</v>
      </c>
      <c r="F5015">
        <v>14652.77</v>
      </c>
    </row>
    <row r="5016" spans="1:6">
      <c r="A5016" t="s">
        <v>13</v>
      </c>
      <c r="B5016" t="s">
        <v>92</v>
      </c>
      <c r="C5016" t="s">
        <v>1843</v>
      </c>
      <c r="D5016" t="s">
        <v>1856</v>
      </c>
      <c r="E5016" t="s">
        <v>1492</v>
      </c>
      <c r="F5016">
        <v>156607.86</v>
      </c>
    </row>
    <row r="5017" spans="1:6">
      <c r="A5017" t="s">
        <v>13</v>
      </c>
      <c r="B5017" t="s">
        <v>92</v>
      </c>
      <c r="C5017" t="s">
        <v>1843</v>
      </c>
      <c r="D5017" t="s">
        <v>1856</v>
      </c>
      <c r="E5017" t="s">
        <v>1875</v>
      </c>
      <c r="F5017">
        <v>11216.08</v>
      </c>
    </row>
    <row r="5018" spans="1:6">
      <c r="A5018" t="s">
        <v>13</v>
      </c>
      <c r="B5018" t="s">
        <v>92</v>
      </c>
      <c r="C5018" t="s">
        <v>1843</v>
      </c>
      <c r="D5018" t="s">
        <v>1856</v>
      </c>
      <c r="E5018" t="s">
        <v>1876</v>
      </c>
      <c r="F5018" t="s">
        <v>1859</v>
      </c>
    </row>
    <row r="5019" spans="1:6">
      <c r="A5019" t="s">
        <v>13</v>
      </c>
      <c r="B5019" t="s">
        <v>92</v>
      </c>
      <c r="C5019" t="s">
        <v>1843</v>
      </c>
      <c r="D5019" t="s">
        <v>1856</v>
      </c>
      <c r="E5019" t="s">
        <v>1877</v>
      </c>
      <c r="F5019">
        <v>520</v>
      </c>
    </row>
    <row r="5020" spans="1:6">
      <c r="A5020" t="s">
        <v>13</v>
      </c>
      <c r="B5020" t="s">
        <v>92</v>
      </c>
      <c r="C5020" t="s">
        <v>1843</v>
      </c>
      <c r="D5020" t="s">
        <v>1856</v>
      </c>
      <c r="E5020" t="s">
        <v>1878</v>
      </c>
      <c r="F5020">
        <v>0</v>
      </c>
    </row>
    <row r="5021" spans="1:6">
      <c r="A5021" t="s">
        <v>13</v>
      </c>
      <c r="B5021" t="s">
        <v>92</v>
      </c>
      <c r="C5021" t="s">
        <v>1843</v>
      </c>
      <c r="D5021" t="s">
        <v>1856</v>
      </c>
      <c r="E5021" t="s">
        <v>1879</v>
      </c>
      <c r="F5021">
        <v>0</v>
      </c>
    </row>
    <row r="5022" spans="1:6">
      <c r="A5022" t="s">
        <v>13</v>
      </c>
      <c r="B5022" t="s">
        <v>92</v>
      </c>
      <c r="C5022" t="s">
        <v>1843</v>
      </c>
      <c r="D5022" t="s">
        <v>1856</v>
      </c>
      <c r="E5022" t="s">
        <v>1880</v>
      </c>
      <c r="F5022">
        <v>130</v>
      </c>
    </row>
    <row r="5023" spans="1:6">
      <c r="A5023" t="s">
        <v>13</v>
      </c>
      <c r="B5023" t="s">
        <v>92</v>
      </c>
      <c r="C5023" t="s">
        <v>1843</v>
      </c>
      <c r="D5023" t="s">
        <v>1856</v>
      </c>
      <c r="E5023" t="s">
        <v>1881</v>
      </c>
      <c r="F5023">
        <v>130</v>
      </c>
    </row>
    <row r="5024" spans="1:6">
      <c r="A5024" t="s">
        <v>13</v>
      </c>
      <c r="B5024" t="s">
        <v>92</v>
      </c>
      <c r="C5024" t="s">
        <v>1843</v>
      </c>
      <c r="D5024" t="s">
        <v>1856</v>
      </c>
      <c r="E5024" t="s">
        <v>1882</v>
      </c>
      <c r="F5024">
        <v>130</v>
      </c>
    </row>
    <row r="5025" spans="1:6">
      <c r="A5025" t="s">
        <v>13</v>
      </c>
      <c r="B5025" t="s">
        <v>92</v>
      </c>
      <c r="C5025" t="s">
        <v>1843</v>
      </c>
      <c r="D5025" t="s">
        <v>1856</v>
      </c>
      <c r="E5025" t="s">
        <v>1883</v>
      </c>
      <c r="F5025">
        <v>130</v>
      </c>
    </row>
    <row r="5026" spans="1:6">
      <c r="A5026" t="s">
        <v>13</v>
      </c>
      <c r="B5026" t="s">
        <v>92</v>
      </c>
      <c r="C5026" t="s">
        <v>1843</v>
      </c>
      <c r="D5026" t="s">
        <v>1856</v>
      </c>
      <c r="E5026" t="s">
        <v>1884</v>
      </c>
      <c r="F5026" t="s">
        <v>1860</v>
      </c>
    </row>
    <row r="5027" spans="1:6">
      <c r="A5027" t="s">
        <v>13</v>
      </c>
      <c r="B5027" t="s">
        <v>92</v>
      </c>
      <c r="C5027" t="s">
        <v>1843</v>
      </c>
      <c r="D5027" t="s">
        <v>1856</v>
      </c>
      <c r="E5027" t="s">
        <v>1885</v>
      </c>
      <c r="F5027">
        <v>163784.61</v>
      </c>
    </row>
    <row r="5028" spans="1:6">
      <c r="A5028" t="s">
        <v>13</v>
      </c>
      <c r="B5028" t="s">
        <v>92</v>
      </c>
      <c r="C5028" t="s">
        <v>1843</v>
      </c>
      <c r="D5028" t="s">
        <v>1856</v>
      </c>
      <c r="E5028" t="s">
        <v>1886</v>
      </c>
      <c r="F5028">
        <v>9917.289999999999</v>
      </c>
    </row>
    <row r="5029" spans="1:6">
      <c r="A5029" t="s">
        <v>13</v>
      </c>
      <c r="B5029" t="s">
        <v>92</v>
      </c>
      <c r="C5029" t="s">
        <v>1843</v>
      </c>
      <c r="D5029" t="s">
        <v>1856</v>
      </c>
      <c r="E5029" t="s">
        <v>1887</v>
      </c>
      <c r="F5029">
        <v>1891.83</v>
      </c>
    </row>
    <row r="5030" spans="1:6">
      <c r="A5030" t="s">
        <v>13</v>
      </c>
      <c r="B5030" t="s">
        <v>92</v>
      </c>
      <c r="C5030" t="s">
        <v>1843</v>
      </c>
      <c r="D5030" t="s">
        <v>1856</v>
      </c>
      <c r="E5030" t="s">
        <v>1888</v>
      </c>
      <c r="F5030">
        <v>262.62</v>
      </c>
    </row>
    <row r="5031" spans="1:6">
      <c r="A5031" t="s">
        <v>13</v>
      </c>
      <c r="B5031" t="s">
        <v>92</v>
      </c>
      <c r="C5031" t="s">
        <v>1843</v>
      </c>
      <c r="D5031" t="s">
        <v>1856</v>
      </c>
      <c r="E5031" t="s">
        <v>1889</v>
      </c>
      <c r="F5031">
        <v>245</v>
      </c>
    </row>
    <row r="5032" spans="1:6">
      <c r="A5032" t="s">
        <v>13</v>
      </c>
      <c r="B5032" t="s">
        <v>92</v>
      </c>
      <c r="C5032" t="s">
        <v>1843</v>
      </c>
      <c r="D5032" t="s">
        <v>1856</v>
      </c>
      <c r="E5032" t="s">
        <v>1745</v>
      </c>
      <c r="F5032">
        <v>148925.88</v>
      </c>
    </row>
    <row r="5033" spans="1:6">
      <c r="A5033" t="s">
        <v>13</v>
      </c>
      <c r="B5033" t="s">
        <v>92</v>
      </c>
      <c r="C5033" t="s">
        <v>1843</v>
      </c>
      <c r="D5033" t="s">
        <v>1856</v>
      </c>
      <c r="E5033" t="s">
        <v>1890</v>
      </c>
      <c r="F5033">
        <v>2541.99</v>
      </c>
    </row>
    <row r="5034" spans="1:6">
      <c r="A5034" t="s">
        <v>13</v>
      </c>
      <c r="B5034" t="s">
        <v>92</v>
      </c>
      <c r="C5034" t="s">
        <v>1843</v>
      </c>
      <c r="D5034" t="s">
        <v>1856</v>
      </c>
      <c r="E5034" t="s">
        <v>1891</v>
      </c>
      <c r="F5034" t="s">
        <v>1861</v>
      </c>
    </row>
    <row r="5035" spans="1:6">
      <c r="A5035" t="s">
        <v>13</v>
      </c>
      <c r="B5035" t="s">
        <v>92</v>
      </c>
      <c r="C5035" t="s">
        <v>1843</v>
      </c>
      <c r="D5035" t="s">
        <v>1856</v>
      </c>
      <c r="E5035" t="s">
        <v>1892</v>
      </c>
      <c r="F5035">
        <v>15964.62</v>
      </c>
    </row>
    <row r="5036" spans="1:6">
      <c r="A5036" t="s">
        <v>13</v>
      </c>
      <c r="B5036" t="s">
        <v>92</v>
      </c>
      <c r="C5036" t="s">
        <v>1843</v>
      </c>
      <c r="D5036" t="s">
        <v>1856</v>
      </c>
      <c r="E5036" t="s">
        <v>1893</v>
      </c>
      <c r="F5036">
        <v>758.97</v>
      </c>
    </row>
    <row r="5037" spans="1:6">
      <c r="A5037" t="s">
        <v>13</v>
      </c>
      <c r="B5037" t="s">
        <v>92</v>
      </c>
      <c r="C5037" t="s">
        <v>1843</v>
      </c>
      <c r="D5037" t="s">
        <v>1856</v>
      </c>
      <c r="E5037" t="s">
        <v>1894</v>
      </c>
      <c r="F5037">
        <v>1835.890000000001</v>
      </c>
    </row>
    <row r="5038" spans="1:6">
      <c r="A5038" t="s">
        <v>13</v>
      </c>
      <c r="B5038" t="s">
        <v>92</v>
      </c>
      <c r="C5038" t="s">
        <v>1843</v>
      </c>
      <c r="D5038" t="s">
        <v>1856</v>
      </c>
      <c r="E5038" t="s">
        <v>1895</v>
      </c>
      <c r="F5038">
        <v>668.25</v>
      </c>
    </row>
    <row r="5039" spans="1:6">
      <c r="A5039" t="s">
        <v>13</v>
      </c>
      <c r="B5039" t="s">
        <v>92</v>
      </c>
      <c r="C5039" t="s">
        <v>1843</v>
      </c>
      <c r="D5039" t="s">
        <v>1856</v>
      </c>
      <c r="E5039" t="s">
        <v>1896</v>
      </c>
      <c r="F5039">
        <v>1851.02</v>
      </c>
    </row>
    <row r="5040" spans="1:6">
      <c r="A5040" t="s">
        <v>13</v>
      </c>
      <c r="B5040" t="s">
        <v>92</v>
      </c>
      <c r="C5040" t="s">
        <v>1843</v>
      </c>
      <c r="D5040" t="s">
        <v>1856</v>
      </c>
      <c r="E5040" t="s">
        <v>1746</v>
      </c>
      <c r="F5040">
        <v>6169.219999999998</v>
      </c>
    </row>
    <row r="5041" spans="1:6">
      <c r="A5041" t="s">
        <v>13</v>
      </c>
      <c r="B5041" t="s">
        <v>92</v>
      </c>
      <c r="C5041" t="s">
        <v>1843</v>
      </c>
      <c r="D5041" t="s">
        <v>1856</v>
      </c>
      <c r="E5041" t="s">
        <v>1897</v>
      </c>
      <c r="F5041">
        <v>4681.27</v>
      </c>
    </row>
    <row r="5042" spans="1:6">
      <c r="A5042" t="s">
        <v>13</v>
      </c>
      <c r="B5042" t="s">
        <v>92</v>
      </c>
      <c r="C5042" t="s">
        <v>1843</v>
      </c>
      <c r="D5042" t="s">
        <v>1856</v>
      </c>
      <c r="E5042" t="s">
        <v>1898</v>
      </c>
      <c r="F5042" t="s">
        <v>1862</v>
      </c>
    </row>
    <row r="5043" spans="1:6">
      <c r="A5043" t="s">
        <v>13</v>
      </c>
      <c r="B5043" t="s">
        <v>92</v>
      </c>
      <c r="C5043" t="s">
        <v>1843</v>
      </c>
      <c r="D5043" t="s">
        <v>1856</v>
      </c>
      <c r="E5043" t="s">
        <v>1899</v>
      </c>
      <c r="F5043">
        <v>299.5</v>
      </c>
    </row>
    <row r="5044" spans="1:6">
      <c r="A5044" t="s">
        <v>13</v>
      </c>
      <c r="B5044" t="s">
        <v>92</v>
      </c>
      <c r="C5044" t="s">
        <v>1843</v>
      </c>
      <c r="D5044" t="s">
        <v>1856</v>
      </c>
      <c r="E5044" t="s">
        <v>1900</v>
      </c>
      <c r="F5044">
        <v>0</v>
      </c>
    </row>
    <row r="5045" spans="1:6">
      <c r="A5045" t="s">
        <v>13</v>
      </c>
      <c r="B5045" t="s">
        <v>92</v>
      </c>
      <c r="C5045" t="s">
        <v>1843</v>
      </c>
      <c r="D5045" t="s">
        <v>1856</v>
      </c>
      <c r="E5045" t="s">
        <v>1901</v>
      </c>
      <c r="F5045">
        <v>0</v>
      </c>
    </row>
    <row r="5046" spans="1:6">
      <c r="A5046" t="s">
        <v>13</v>
      </c>
      <c r="B5046" t="s">
        <v>92</v>
      </c>
      <c r="C5046" t="s">
        <v>1843</v>
      </c>
      <c r="D5046" t="s">
        <v>1856</v>
      </c>
      <c r="E5046" t="s">
        <v>1902</v>
      </c>
      <c r="F5046">
        <v>0</v>
      </c>
    </row>
    <row r="5047" spans="1:6">
      <c r="A5047" t="s">
        <v>13</v>
      </c>
      <c r="B5047" t="s">
        <v>92</v>
      </c>
      <c r="C5047" t="s">
        <v>1843</v>
      </c>
      <c r="D5047" t="s">
        <v>1856</v>
      </c>
      <c r="E5047" t="s">
        <v>1903</v>
      </c>
      <c r="F5047">
        <v>170.39</v>
      </c>
    </row>
    <row r="5048" spans="1:6">
      <c r="A5048" t="s">
        <v>13</v>
      </c>
      <c r="B5048" t="s">
        <v>92</v>
      </c>
      <c r="C5048" t="s">
        <v>1843</v>
      </c>
      <c r="D5048" t="s">
        <v>1856</v>
      </c>
      <c r="E5048" t="s">
        <v>1747</v>
      </c>
      <c r="F5048">
        <v>94.11</v>
      </c>
    </row>
    <row r="5049" spans="1:6">
      <c r="A5049" t="s">
        <v>13</v>
      </c>
      <c r="B5049" t="s">
        <v>92</v>
      </c>
      <c r="C5049" t="s">
        <v>1843</v>
      </c>
      <c r="D5049" t="s">
        <v>1856</v>
      </c>
      <c r="E5049" t="s">
        <v>1904</v>
      </c>
      <c r="F5049">
        <v>35</v>
      </c>
    </row>
    <row r="5050" spans="1:6">
      <c r="A5050" t="s">
        <v>13</v>
      </c>
      <c r="B5050" t="s">
        <v>92</v>
      </c>
      <c r="C5050" t="s">
        <v>1843</v>
      </c>
      <c r="D5050" t="s">
        <v>1856</v>
      </c>
      <c r="E5050" t="s">
        <v>1905</v>
      </c>
      <c r="F5050" t="s">
        <v>1863</v>
      </c>
    </row>
    <row r="5051" spans="1:6">
      <c r="A5051" t="s">
        <v>13</v>
      </c>
      <c r="B5051" t="s">
        <v>92</v>
      </c>
      <c r="C5051" t="s">
        <v>1843</v>
      </c>
      <c r="D5051" t="s">
        <v>1856</v>
      </c>
      <c r="E5051" t="s">
        <v>1906</v>
      </c>
      <c r="F5051">
        <v>23.96</v>
      </c>
    </row>
    <row r="5052" spans="1:6">
      <c r="A5052" t="s">
        <v>13</v>
      </c>
      <c r="B5052" t="s">
        <v>92</v>
      </c>
      <c r="C5052" t="s">
        <v>1843</v>
      </c>
      <c r="D5052" t="s">
        <v>1856</v>
      </c>
      <c r="E5052" t="s">
        <v>1907</v>
      </c>
      <c r="F5052">
        <v>0</v>
      </c>
    </row>
    <row r="5053" spans="1:6">
      <c r="A5053" t="s">
        <v>13</v>
      </c>
      <c r="B5053" t="s">
        <v>92</v>
      </c>
      <c r="C5053" t="s">
        <v>1843</v>
      </c>
      <c r="D5053" t="s">
        <v>1856</v>
      </c>
      <c r="E5053" t="s">
        <v>1908</v>
      </c>
      <c r="F5053">
        <v>0</v>
      </c>
    </row>
    <row r="5054" spans="1:6">
      <c r="A5054" t="s">
        <v>13</v>
      </c>
      <c r="B5054" t="s">
        <v>92</v>
      </c>
      <c r="C5054" t="s">
        <v>1843</v>
      </c>
      <c r="D5054" t="s">
        <v>1856</v>
      </c>
      <c r="E5054" t="s">
        <v>1909</v>
      </c>
      <c r="F5054">
        <v>4.57</v>
      </c>
    </row>
    <row r="5055" spans="1:6">
      <c r="A5055" t="s">
        <v>13</v>
      </c>
      <c r="B5055" t="s">
        <v>92</v>
      </c>
      <c r="C5055" t="s">
        <v>1843</v>
      </c>
      <c r="D5055" t="s">
        <v>1856</v>
      </c>
      <c r="E5055" t="s">
        <v>1910</v>
      </c>
      <c r="F5055">
        <v>6.940000000000001</v>
      </c>
    </row>
    <row r="5056" spans="1:6">
      <c r="A5056" t="s">
        <v>13</v>
      </c>
      <c r="B5056" t="s">
        <v>92</v>
      </c>
      <c r="C5056" t="s">
        <v>1843</v>
      </c>
      <c r="D5056" t="s">
        <v>1856</v>
      </c>
      <c r="E5056" t="s">
        <v>1911</v>
      </c>
      <c r="F5056">
        <v>5.570000000000001</v>
      </c>
    </row>
    <row r="5057" spans="1:6">
      <c r="A5057" t="s">
        <v>13</v>
      </c>
      <c r="B5057" t="s">
        <v>92</v>
      </c>
      <c r="C5057" t="s">
        <v>1843</v>
      </c>
      <c r="D5057" t="s">
        <v>1856</v>
      </c>
      <c r="E5057" t="s">
        <v>1912</v>
      </c>
      <c r="F5057">
        <v>6.879999999999999</v>
      </c>
    </row>
    <row r="5058" spans="1:6">
      <c r="A5058" t="s">
        <v>13</v>
      </c>
      <c r="B5058" t="s">
        <v>92</v>
      </c>
      <c r="C5058" t="s">
        <v>1843</v>
      </c>
      <c r="D5058" t="s">
        <v>1856</v>
      </c>
      <c r="E5058" t="s">
        <v>1913</v>
      </c>
      <c r="F5058" t="s">
        <v>1864</v>
      </c>
    </row>
    <row r="5059" spans="1:6">
      <c r="A5059" t="s">
        <v>13</v>
      </c>
      <c r="B5059" t="s">
        <v>92</v>
      </c>
      <c r="C5059" t="s">
        <v>1843</v>
      </c>
      <c r="D5059" t="s">
        <v>1856</v>
      </c>
      <c r="E5059" t="s">
        <v>1914</v>
      </c>
      <c r="F5059">
        <v>64860.76000000001</v>
      </c>
    </row>
    <row r="5060" spans="1:6">
      <c r="A5060" t="s">
        <v>13</v>
      </c>
      <c r="B5060" t="s">
        <v>92</v>
      </c>
      <c r="C5060" t="s">
        <v>1843</v>
      </c>
      <c r="D5060" t="s">
        <v>1856</v>
      </c>
      <c r="E5060" t="s">
        <v>1915</v>
      </c>
      <c r="F5060">
        <v>4141.57</v>
      </c>
    </row>
    <row r="5061" spans="1:6">
      <c r="A5061" t="s">
        <v>13</v>
      </c>
      <c r="B5061" t="s">
        <v>92</v>
      </c>
      <c r="C5061" t="s">
        <v>1843</v>
      </c>
      <c r="D5061" t="s">
        <v>1856</v>
      </c>
      <c r="E5061" t="s">
        <v>1916</v>
      </c>
      <c r="F5061">
        <v>31777.92</v>
      </c>
    </row>
    <row r="5062" spans="1:6">
      <c r="A5062" t="s">
        <v>13</v>
      </c>
      <c r="B5062" t="s">
        <v>92</v>
      </c>
      <c r="C5062" t="s">
        <v>1843</v>
      </c>
      <c r="D5062" t="s">
        <v>1856</v>
      </c>
      <c r="E5062" t="s">
        <v>1917</v>
      </c>
      <c r="F5062">
        <v>11587.83</v>
      </c>
    </row>
    <row r="5063" spans="1:6">
      <c r="A5063" t="s">
        <v>13</v>
      </c>
      <c r="B5063" t="s">
        <v>92</v>
      </c>
      <c r="C5063" t="s">
        <v>1843</v>
      </c>
      <c r="D5063" t="s">
        <v>1856</v>
      </c>
      <c r="E5063" t="s">
        <v>1918</v>
      </c>
      <c r="F5063">
        <v>12249.42</v>
      </c>
    </row>
    <row r="5064" spans="1:6">
      <c r="A5064" t="s">
        <v>13</v>
      </c>
      <c r="B5064" t="s">
        <v>92</v>
      </c>
      <c r="C5064" t="s">
        <v>1843</v>
      </c>
      <c r="D5064" t="s">
        <v>1856</v>
      </c>
      <c r="E5064" t="s">
        <v>1919</v>
      </c>
      <c r="F5064">
        <v>1283.08</v>
      </c>
    </row>
    <row r="5065" spans="1:6">
      <c r="A5065" t="s">
        <v>13</v>
      </c>
      <c r="B5065" t="s">
        <v>92</v>
      </c>
      <c r="C5065" t="s">
        <v>1843</v>
      </c>
      <c r="D5065" t="s">
        <v>1856</v>
      </c>
      <c r="E5065" t="s">
        <v>1920</v>
      </c>
      <c r="F5065">
        <v>3820.94</v>
      </c>
    </row>
    <row r="5066" spans="1:6">
      <c r="A5066" t="s">
        <v>13</v>
      </c>
      <c r="B5066" t="s">
        <v>92</v>
      </c>
      <c r="C5066" t="s">
        <v>1843</v>
      </c>
      <c r="D5066" t="s">
        <v>1856</v>
      </c>
      <c r="E5066" t="s">
        <v>1921</v>
      </c>
      <c r="F5066" t="s">
        <v>1865</v>
      </c>
    </row>
    <row r="5067" spans="1:6">
      <c r="A5067" t="s">
        <v>13</v>
      </c>
      <c r="B5067" t="s">
        <v>92</v>
      </c>
      <c r="C5067" t="s">
        <v>1843</v>
      </c>
      <c r="D5067" t="s">
        <v>1856</v>
      </c>
      <c r="E5067" t="s">
        <v>1922</v>
      </c>
      <c r="F5067">
        <v>0</v>
      </c>
    </row>
    <row r="5068" spans="1:6">
      <c r="A5068" t="s">
        <v>13</v>
      </c>
      <c r="B5068" t="s">
        <v>92</v>
      </c>
      <c r="C5068" t="s">
        <v>1843</v>
      </c>
      <c r="D5068" t="s">
        <v>1856</v>
      </c>
      <c r="E5068" t="s">
        <v>1923</v>
      </c>
      <c r="F5068">
        <v>0</v>
      </c>
    </row>
    <row r="5069" spans="1:6">
      <c r="A5069" t="s">
        <v>13</v>
      </c>
      <c r="B5069" t="s">
        <v>92</v>
      </c>
      <c r="C5069" t="s">
        <v>1843</v>
      </c>
      <c r="D5069" t="s">
        <v>1856</v>
      </c>
      <c r="E5069" t="s">
        <v>1924</v>
      </c>
      <c r="F5069">
        <v>0</v>
      </c>
    </row>
    <row r="5070" spans="1:6">
      <c r="A5070" t="s">
        <v>13</v>
      </c>
      <c r="B5070" t="s">
        <v>92</v>
      </c>
      <c r="C5070" t="s">
        <v>1843</v>
      </c>
      <c r="D5070" t="s">
        <v>1856</v>
      </c>
      <c r="E5070" t="s">
        <v>1925</v>
      </c>
      <c r="F5070">
        <v>0</v>
      </c>
    </row>
    <row r="5071" spans="1:6">
      <c r="A5071" t="s">
        <v>13</v>
      </c>
      <c r="B5071" t="s">
        <v>92</v>
      </c>
      <c r="C5071" t="s">
        <v>1843</v>
      </c>
      <c r="D5071" t="s">
        <v>1856</v>
      </c>
      <c r="E5071" t="s">
        <v>1926</v>
      </c>
      <c r="F5071">
        <v>0</v>
      </c>
    </row>
    <row r="5072" spans="1:6">
      <c r="A5072" t="s">
        <v>13</v>
      </c>
      <c r="B5072" t="s">
        <v>92</v>
      </c>
      <c r="C5072" t="s">
        <v>1843</v>
      </c>
      <c r="D5072" t="s">
        <v>1856</v>
      </c>
      <c r="E5072" t="s">
        <v>1927</v>
      </c>
      <c r="F5072">
        <v>0</v>
      </c>
    </row>
    <row r="5073" spans="1:6">
      <c r="A5073" t="s">
        <v>13</v>
      </c>
      <c r="B5073" t="s">
        <v>92</v>
      </c>
      <c r="C5073" t="s">
        <v>1843</v>
      </c>
      <c r="D5073" t="s">
        <v>1856</v>
      </c>
      <c r="E5073" t="s">
        <v>1928</v>
      </c>
      <c r="F5073">
        <v>0</v>
      </c>
    </row>
    <row r="5074" spans="1:6">
      <c r="A5074" t="s">
        <v>13</v>
      </c>
      <c r="B5074" t="s">
        <v>92</v>
      </c>
      <c r="C5074" t="s">
        <v>1843</v>
      </c>
      <c r="D5074" t="s">
        <v>1856</v>
      </c>
      <c r="E5074" t="s">
        <v>1929</v>
      </c>
      <c r="F5074" t="s">
        <v>1866</v>
      </c>
    </row>
    <row r="5075" spans="1:6">
      <c r="A5075" t="s">
        <v>13</v>
      </c>
      <c r="B5075" t="s">
        <v>92</v>
      </c>
      <c r="C5075" t="s">
        <v>1843</v>
      </c>
      <c r="D5075" t="s">
        <v>1856</v>
      </c>
      <c r="E5075" t="s">
        <v>1930</v>
      </c>
      <c r="F5075">
        <v>1140.73</v>
      </c>
    </row>
    <row r="5076" spans="1:6">
      <c r="A5076" t="s">
        <v>13</v>
      </c>
      <c r="B5076" t="s">
        <v>92</v>
      </c>
      <c r="C5076" t="s">
        <v>1843</v>
      </c>
      <c r="D5076" t="s">
        <v>1856</v>
      </c>
      <c r="E5076" t="s">
        <v>1931</v>
      </c>
      <c r="F5076">
        <v>106.23</v>
      </c>
    </row>
    <row r="5077" spans="1:6">
      <c r="A5077" t="s">
        <v>13</v>
      </c>
      <c r="B5077" t="s">
        <v>92</v>
      </c>
      <c r="C5077" t="s">
        <v>1843</v>
      </c>
      <c r="D5077" t="s">
        <v>1856</v>
      </c>
      <c r="E5077" t="s">
        <v>1932</v>
      </c>
      <c r="F5077">
        <v>1034.5</v>
      </c>
    </row>
    <row r="5078" spans="1:6">
      <c r="A5078" t="s">
        <v>13</v>
      </c>
      <c r="B5078" t="s">
        <v>92</v>
      </c>
      <c r="C5078" t="s">
        <v>1843</v>
      </c>
      <c r="D5078" t="s">
        <v>1856</v>
      </c>
      <c r="E5078" t="s">
        <v>1933</v>
      </c>
      <c r="F5078">
        <v>0</v>
      </c>
    </row>
    <row r="5079" spans="1:6">
      <c r="A5079" t="s">
        <v>13</v>
      </c>
      <c r="B5079" t="s">
        <v>92</v>
      </c>
      <c r="C5079" t="s">
        <v>1843</v>
      </c>
      <c r="D5079" t="s">
        <v>1856</v>
      </c>
      <c r="E5079" t="s">
        <v>1934</v>
      </c>
      <c r="F5079">
        <v>0</v>
      </c>
    </row>
    <row r="5080" spans="1:6">
      <c r="A5080" t="s">
        <v>13</v>
      </c>
      <c r="B5080" t="s">
        <v>92</v>
      </c>
      <c r="C5080" t="s">
        <v>1843</v>
      </c>
      <c r="D5080" t="s">
        <v>1856</v>
      </c>
      <c r="E5080" t="s">
        <v>1935</v>
      </c>
      <c r="F5080">
        <v>0</v>
      </c>
    </row>
    <row r="5081" spans="1:6">
      <c r="A5081" t="s">
        <v>13</v>
      </c>
      <c r="B5081" t="s">
        <v>92</v>
      </c>
      <c r="C5081" t="s">
        <v>1843</v>
      </c>
      <c r="D5081" t="s">
        <v>1856</v>
      </c>
      <c r="E5081" t="s">
        <v>1936</v>
      </c>
      <c r="F5081">
        <v>0</v>
      </c>
    </row>
    <row r="5082" spans="1:6">
      <c r="A5082" t="s">
        <v>13</v>
      </c>
      <c r="B5082" t="s">
        <v>92</v>
      </c>
      <c r="C5082" t="s">
        <v>1843</v>
      </c>
      <c r="D5082" t="s">
        <v>1856</v>
      </c>
      <c r="E5082" t="s">
        <v>1937</v>
      </c>
      <c r="F5082" t="s">
        <v>1226</v>
      </c>
    </row>
    <row r="5083" spans="1:6">
      <c r="A5083" t="s">
        <v>13</v>
      </c>
      <c r="B5083" t="s">
        <v>92</v>
      </c>
      <c r="C5083" t="s">
        <v>1843</v>
      </c>
      <c r="D5083" t="s">
        <v>1856</v>
      </c>
      <c r="E5083" t="s">
        <v>1938</v>
      </c>
      <c r="F5083">
        <v>0.3168615112489852</v>
      </c>
    </row>
    <row r="5084" spans="1:6">
      <c r="A5084" t="s">
        <v>13</v>
      </c>
      <c r="B5084" t="s">
        <v>92</v>
      </c>
      <c r="C5084" t="s">
        <v>1843</v>
      </c>
      <c r="D5084" t="s">
        <v>1856</v>
      </c>
      <c r="E5084" t="s">
        <v>1939</v>
      </c>
      <c r="F5084">
        <v>0.4001152426849848</v>
      </c>
    </row>
    <row r="5085" spans="1:6">
      <c r="A5085" t="s">
        <v>13</v>
      </c>
      <c r="B5085" t="s">
        <v>92</v>
      </c>
      <c r="C5085" t="s">
        <v>1843</v>
      </c>
      <c r="D5085" t="s">
        <v>1856</v>
      </c>
      <c r="E5085" t="s">
        <v>1940</v>
      </c>
      <c r="F5085">
        <v>0.8099052123635426</v>
      </c>
    </row>
    <row r="5086" spans="1:6">
      <c r="A5086" t="s">
        <v>13</v>
      </c>
      <c r="B5086" t="s">
        <v>92</v>
      </c>
      <c r="C5086" t="s">
        <v>1843</v>
      </c>
      <c r="D5086" t="s">
        <v>1856</v>
      </c>
      <c r="E5086" t="s">
        <v>1941</v>
      </c>
      <c r="F5086">
        <v>0.9751219355721576</v>
      </c>
    </row>
    <row r="5087" spans="1:6">
      <c r="A5087" t="s">
        <v>13</v>
      </c>
      <c r="B5087" t="s">
        <v>92</v>
      </c>
      <c r="C5087" t="s">
        <v>1843</v>
      </c>
      <c r="D5087" t="s">
        <v>1856</v>
      </c>
      <c r="E5087" t="s">
        <v>1942</v>
      </c>
      <c r="F5087">
        <v>0.9963470410019025</v>
      </c>
    </row>
    <row r="5088" spans="1:6">
      <c r="A5088" t="s">
        <v>13</v>
      </c>
      <c r="B5088" t="s">
        <v>92</v>
      </c>
      <c r="C5088" t="s">
        <v>1843</v>
      </c>
      <c r="D5088" t="s">
        <v>1856</v>
      </c>
      <c r="E5088" t="s">
        <v>1943</v>
      </c>
      <c r="F5088">
        <v>1</v>
      </c>
    </row>
    <row r="5089" spans="1:6">
      <c r="A5089" t="s">
        <v>13</v>
      </c>
      <c r="B5089" t="s">
        <v>92</v>
      </c>
      <c r="C5089" t="s">
        <v>1843</v>
      </c>
      <c r="D5089" t="s">
        <v>1856</v>
      </c>
      <c r="E5089" t="s">
        <v>1944</v>
      </c>
      <c r="F5089" t="s">
        <v>1236</v>
      </c>
    </row>
    <row r="5090" spans="1:6">
      <c r="A5090" t="s">
        <v>13</v>
      </c>
      <c r="B5090" t="s">
        <v>92</v>
      </c>
      <c r="C5090" t="s">
        <v>1843</v>
      </c>
      <c r="D5090" t="s">
        <v>1856</v>
      </c>
      <c r="E5090" t="s">
        <v>1945</v>
      </c>
      <c r="F5090">
        <v>0.1283783783783784</v>
      </c>
    </row>
    <row r="5091" spans="1:6">
      <c r="A5091" t="s">
        <v>13</v>
      </c>
      <c r="B5091" t="s">
        <v>92</v>
      </c>
      <c r="C5091" t="s">
        <v>1843</v>
      </c>
      <c r="D5091" t="s">
        <v>1856</v>
      </c>
      <c r="E5091" t="s">
        <v>1946</v>
      </c>
      <c r="F5091">
        <v>0.1911357340720222</v>
      </c>
    </row>
    <row r="5092" spans="1:6">
      <c r="A5092" t="s">
        <v>13</v>
      </c>
      <c r="B5092" t="s">
        <v>92</v>
      </c>
      <c r="C5092" t="s">
        <v>1843</v>
      </c>
      <c r="D5092" t="s">
        <v>1856</v>
      </c>
      <c r="E5092" t="s">
        <v>1947</v>
      </c>
      <c r="F5092">
        <v>0.6211699164345403</v>
      </c>
    </row>
    <row r="5093" spans="1:6">
      <c r="A5093" t="s">
        <v>13</v>
      </c>
      <c r="B5093" t="s">
        <v>92</v>
      </c>
      <c r="C5093" t="s">
        <v>1843</v>
      </c>
      <c r="D5093" t="s">
        <v>1856</v>
      </c>
      <c r="E5093" t="s">
        <v>1948</v>
      </c>
      <c r="F5093">
        <v>0.9865591397849462</v>
      </c>
    </row>
    <row r="5094" spans="1:6">
      <c r="A5094" t="s">
        <v>13</v>
      </c>
      <c r="B5094" t="s">
        <v>92</v>
      </c>
      <c r="C5094" t="s">
        <v>1843</v>
      </c>
      <c r="D5094" t="s">
        <v>1856</v>
      </c>
      <c r="E5094" t="s">
        <v>1949</v>
      </c>
      <c r="F5094">
        <v>0.9975000000000001</v>
      </c>
    </row>
    <row r="5095" spans="1:6">
      <c r="A5095" t="s">
        <v>13</v>
      </c>
      <c r="B5095" t="s">
        <v>92</v>
      </c>
      <c r="C5095" t="s">
        <v>1843</v>
      </c>
      <c r="D5095" t="s">
        <v>1856</v>
      </c>
      <c r="E5095" t="s">
        <v>1950</v>
      </c>
      <c r="F5095">
        <v>1</v>
      </c>
    </row>
    <row r="5096" spans="1:6">
      <c r="A5096" t="s">
        <v>13</v>
      </c>
      <c r="B5096" t="s">
        <v>92</v>
      </c>
      <c r="C5096" t="s">
        <v>1843</v>
      </c>
      <c r="D5096" t="s">
        <v>1856</v>
      </c>
      <c r="E5096" t="s">
        <v>1951</v>
      </c>
      <c r="F5096" t="s">
        <v>1952</v>
      </c>
    </row>
    <row r="5097" spans="1:6">
      <c r="A5097" t="s">
        <v>13</v>
      </c>
      <c r="B5097" t="s">
        <v>92</v>
      </c>
      <c r="C5097" t="s">
        <v>1843</v>
      </c>
      <c r="D5097" t="s">
        <v>1856</v>
      </c>
      <c r="E5097" t="s">
        <v>1953</v>
      </c>
      <c r="F5097">
        <v>182297.8100000003</v>
      </c>
    </row>
    <row r="5098" spans="1:6">
      <c r="A5098" t="s">
        <v>13</v>
      </c>
      <c r="B5098" t="s">
        <v>92</v>
      </c>
      <c r="C5098" t="s">
        <v>1843</v>
      </c>
      <c r="D5098" t="s">
        <v>1856</v>
      </c>
      <c r="E5098" t="s">
        <v>1954</v>
      </c>
      <c r="F5098">
        <v>59739.32000000008</v>
      </c>
    </row>
    <row r="5099" spans="1:6">
      <c r="A5099" t="s">
        <v>13</v>
      </c>
      <c r="B5099" t="s">
        <v>92</v>
      </c>
      <c r="C5099" t="s">
        <v>1843</v>
      </c>
      <c r="D5099" t="s">
        <v>1856</v>
      </c>
      <c r="E5099" t="s">
        <v>1955</v>
      </c>
      <c r="F5099">
        <v>97486.80999999998</v>
      </c>
    </row>
    <row r="5100" spans="1:6">
      <c r="A5100" t="s">
        <v>13</v>
      </c>
      <c r="B5100" t="s">
        <v>92</v>
      </c>
      <c r="C5100" t="s">
        <v>1843</v>
      </c>
      <c r="D5100" t="s">
        <v>1856</v>
      </c>
      <c r="E5100" t="s">
        <v>1956</v>
      </c>
      <c r="F5100">
        <v>21365.39000000004</v>
      </c>
    </row>
    <row r="5101" spans="1:6">
      <c r="A5101" t="s">
        <v>13</v>
      </c>
      <c r="B5101" t="s">
        <v>92</v>
      </c>
      <c r="C5101" t="s">
        <v>1843</v>
      </c>
      <c r="D5101" t="s">
        <v>1856</v>
      </c>
      <c r="E5101" t="s">
        <v>1957</v>
      </c>
      <c r="F5101">
        <v>2768.789999999994</v>
      </c>
    </row>
    <row r="5102" spans="1:6">
      <c r="A5102" t="s">
        <v>13</v>
      </c>
      <c r="B5102" t="s">
        <v>92</v>
      </c>
      <c r="C5102" t="s">
        <v>1843</v>
      </c>
      <c r="D5102" t="s">
        <v>1856</v>
      </c>
      <c r="E5102" t="s">
        <v>1958</v>
      </c>
      <c r="F5102">
        <v>937.5000000000873</v>
      </c>
    </row>
    <row r="5103" spans="1:6">
      <c r="A5103" t="s">
        <v>13</v>
      </c>
      <c r="B5103" t="s">
        <v>92</v>
      </c>
      <c r="C5103" t="s">
        <v>1843</v>
      </c>
      <c r="D5103" t="s">
        <v>1856</v>
      </c>
      <c r="E5103" t="s">
        <v>1959</v>
      </c>
      <c r="F5103">
        <v>0</v>
      </c>
    </row>
    <row r="5104" spans="1:6">
      <c r="A5104" t="s">
        <v>13</v>
      </c>
      <c r="B5104" t="s">
        <v>92</v>
      </c>
      <c r="C5104" t="s">
        <v>1843</v>
      </c>
      <c r="D5104" t="s">
        <v>1856</v>
      </c>
      <c r="E5104" t="s">
        <v>1960</v>
      </c>
      <c r="F5104" t="s">
        <v>1255</v>
      </c>
    </row>
    <row r="5105" spans="1:6">
      <c r="A5105" t="s">
        <v>13</v>
      </c>
      <c r="B5105" t="s">
        <v>92</v>
      </c>
      <c r="C5105" t="s">
        <v>1843</v>
      </c>
      <c r="D5105" t="s">
        <v>1856</v>
      </c>
      <c r="E5105" t="s">
        <v>1961</v>
      </c>
      <c r="F5105">
        <v>692</v>
      </c>
    </row>
    <row r="5106" spans="1:6">
      <c r="A5106" t="s">
        <v>13</v>
      </c>
      <c r="B5106" t="s">
        <v>92</v>
      </c>
      <c r="C5106" t="s">
        <v>1843</v>
      </c>
      <c r="D5106" t="s">
        <v>1856</v>
      </c>
      <c r="E5106" t="s">
        <v>1962</v>
      </c>
      <c r="F5106">
        <v>258</v>
      </c>
    </row>
    <row r="5107" spans="1:6">
      <c r="A5107" t="s">
        <v>13</v>
      </c>
      <c r="B5107" t="s">
        <v>92</v>
      </c>
      <c r="C5107" t="s">
        <v>1843</v>
      </c>
      <c r="D5107" t="s">
        <v>1856</v>
      </c>
      <c r="E5107" t="s">
        <v>1963</v>
      </c>
      <c r="F5107">
        <v>292</v>
      </c>
    </row>
    <row r="5108" spans="1:6">
      <c r="A5108" t="s">
        <v>13</v>
      </c>
      <c r="B5108" t="s">
        <v>92</v>
      </c>
      <c r="C5108" t="s">
        <v>1843</v>
      </c>
      <c r="D5108" t="s">
        <v>1856</v>
      </c>
      <c r="E5108" t="s">
        <v>1964</v>
      </c>
      <c r="F5108">
        <v>136</v>
      </c>
    </row>
    <row r="5109" spans="1:6">
      <c r="A5109" t="s">
        <v>13</v>
      </c>
      <c r="B5109" t="s">
        <v>92</v>
      </c>
      <c r="C5109" t="s">
        <v>1843</v>
      </c>
      <c r="D5109" t="s">
        <v>1856</v>
      </c>
      <c r="E5109" t="s">
        <v>1965</v>
      </c>
      <c r="F5109">
        <v>5</v>
      </c>
    </row>
    <row r="5110" spans="1:6">
      <c r="A5110" t="s">
        <v>13</v>
      </c>
      <c r="B5110" t="s">
        <v>92</v>
      </c>
      <c r="C5110" t="s">
        <v>1843</v>
      </c>
      <c r="D5110" t="s">
        <v>1856</v>
      </c>
      <c r="E5110" t="s">
        <v>1966</v>
      </c>
      <c r="F5110">
        <v>1</v>
      </c>
    </row>
    <row r="5111" spans="1:6">
      <c r="A5111" t="s">
        <v>13</v>
      </c>
      <c r="B5111" t="s">
        <v>92</v>
      </c>
      <c r="C5111" t="s">
        <v>1843</v>
      </c>
      <c r="D5111" t="s">
        <v>1856</v>
      </c>
      <c r="E5111" t="s">
        <v>1967</v>
      </c>
      <c r="F5111">
        <v>0</v>
      </c>
    </row>
    <row r="5112" spans="1:6">
      <c r="A5112" t="s">
        <v>13</v>
      </c>
      <c r="B5112" t="s">
        <v>92</v>
      </c>
      <c r="C5112" t="s">
        <v>1843</v>
      </c>
      <c r="D5112" t="s">
        <v>1856</v>
      </c>
      <c r="E5112" t="s">
        <v>1968</v>
      </c>
      <c r="F5112" t="s">
        <v>1131</v>
      </c>
    </row>
    <row r="5113" spans="1:6">
      <c r="A5113" t="s">
        <v>13</v>
      </c>
      <c r="B5113" t="s">
        <v>92</v>
      </c>
      <c r="C5113" t="s">
        <v>1843</v>
      </c>
      <c r="D5113" t="s">
        <v>1856</v>
      </c>
      <c r="E5113" t="s">
        <v>1969</v>
      </c>
      <c r="F5113">
        <v>0.2117470177461236</v>
      </c>
    </row>
    <row r="5114" spans="1:6">
      <c r="A5114" t="s">
        <v>13</v>
      </c>
      <c r="B5114" t="s">
        <v>92</v>
      </c>
      <c r="C5114" t="s">
        <v>1843</v>
      </c>
      <c r="D5114" t="s">
        <v>1856</v>
      </c>
      <c r="E5114" t="s">
        <v>1970</v>
      </c>
      <c r="F5114">
        <v>0.6831384887510148</v>
      </c>
    </row>
    <row r="5115" spans="1:6">
      <c r="A5115" t="s">
        <v>13</v>
      </c>
      <c r="B5115" t="s">
        <v>92</v>
      </c>
      <c r="C5115" t="s">
        <v>1843</v>
      </c>
      <c r="D5115" t="s">
        <v>1856</v>
      </c>
      <c r="E5115" t="s">
        <v>1971</v>
      </c>
      <c r="F5115">
        <v>0.5998847573150152</v>
      </c>
    </row>
    <row r="5116" spans="1:6">
      <c r="A5116" t="s">
        <v>13</v>
      </c>
      <c r="B5116" t="s">
        <v>92</v>
      </c>
      <c r="C5116" t="s">
        <v>1843</v>
      </c>
      <c r="D5116" t="s">
        <v>1856</v>
      </c>
      <c r="E5116" t="s">
        <v>1972</v>
      </c>
      <c r="F5116">
        <v>0.1900947876364574</v>
      </c>
    </row>
    <row r="5117" spans="1:6">
      <c r="A5117" t="s">
        <v>13</v>
      </c>
      <c r="B5117" t="s">
        <v>92</v>
      </c>
      <c r="C5117" t="s">
        <v>1843</v>
      </c>
      <c r="D5117" t="s">
        <v>1856</v>
      </c>
      <c r="E5117" t="s">
        <v>1973</v>
      </c>
      <c r="F5117">
        <v>0.0248780644278424</v>
      </c>
    </row>
    <row r="5118" spans="1:6">
      <c r="A5118" t="s">
        <v>13</v>
      </c>
      <c r="B5118" t="s">
        <v>92</v>
      </c>
      <c r="C5118" t="s">
        <v>1843</v>
      </c>
      <c r="D5118" t="s">
        <v>1856</v>
      </c>
      <c r="E5118" t="s">
        <v>1974</v>
      </c>
      <c r="F5118">
        <v>0.003652958998097528</v>
      </c>
    </row>
    <row r="5119" spans="1:6">
      <c r="A5119" t="s">
        <v>13</v>
      </c>
      <c r="B5119" t="s">
        <v>92</v>
      </c>
      <c r="C5119" t="s">
        <v>1843</v>
      </c>
      <c r="D5119" t="s">
        <v>1856</v>
      </c>
      <c r="E5119" t="s">
        <v>1975</v>
      </c>
      <c r="F5119">
        <v>0</v>
      </c>
    </row>
    <row r="5120" spans="1:6">
      <c r="A5120" t="s">
        <v>13</v>
      </c>
      <c r="B5120" t="s">
        <v>92</v>
      </c>
      <c r="C5120" t="s">
        <v>1843</v>
      </c>
      <c r="D5120" t="s">
        <v>1976</v>
      </c>
      <c r="E5120" t="s">
        <v>1274</v>
      </c>
      <c r="F5120" t="s">
        <v>92</v>
      </c>
    </row>
    <row r="5121" spans="1:6">
      <c r="A5121" t="s">
        <v>13</v>
      </c>
      <c r="B5121" t="s">
        <v>92</v>
      </c>
      <c r="C5121" t="s">
        <v>1843</v>
      </c>
      <c r="D5121" t="s">
        <v>1976</v>
      </c>
      <c r="E5121" t="s">
        <v>1275</v>
      </c>
      <c r="F5121" t="s">
        <v>1836</v>
      </c>
    </row>
    <row r="5122" spans="1:6">
      <c r="A5122" t="s">
        <v>13</v>
      </c>
      <c r="B5122" t="s">
        <v>92</v>
      </c>
      <c r="C5122" t="s">
        <v>1843</v>
      </c>
      <c r="D5122" t="s">
        <v>1976</v>
      </c>
      <c r="E5122" t="s">
        <v>1977</v>
      </c>
      <c r="F5122" t="s">
        <v>1978</v>
      </c>
    </row>
    <row r="5123" spans="1:6">
      <c r="A5123" t="s">
        <v>13</v>
      </c>
      <c r="B5123" t="s">
        <v>92</v>
      </c>
      <c r="C5123" t="s">
        <v>1843</v>
      </c>
      <c r="D5123" t="s">
        <v>1976</v>
      </c>
      <c r="E5123" t="s">
        <v>1979</v>
      </c>
      <c r="F5123" t="s">
        <v>1980</v>
      </c>
    </row>
    <row r="5124" spans="1:6">
      <c r="A5124" t="s">
        <v>13</v>
      </c>
      <c r="B5124" t="s">
        <v>92</v>
      </c>
      <c r="C5124" t="s">
        <v>1843</v>
      </c>
      <c r="D5124" t="s">
        <v>1976</v>
      </c>
      <c r="E5124" t="s">
        <v>1276</v>
      </c>
      <c r="F5124" t="s">
        <v>1277</v>
      </c>
    </row>
    <row r="5125" spans="1:6">
      <c r="A5125" t="s">
        <v>13</v>
      </c>
      <c r="B5125" t="s">
        <v>92</v>
      </c>
      <c r="C5125" t="s">
        <v>1843</v>
      </c>
      <c r="D5125" t="s">
        <v>1976</v>
      </c>
      <c r="E5125" t="s">
        <v>1279</v>
      </c>
      <c r="F5125" t="s">
        <v>1280</v>
      </c>
    </row>
    <row r="5126" spans="1:6">
      <c r="A5126" t="s">
        <v>13</v>
      </c>
      <c r="B5126" t="s">
        <v>92</v>
      </c>
      <c r="C5126" t="s">
        <v>1843</v>
      </c>
      <c r="D5126" t="s">
        <v>1976</v>
      </c>
      <c r="E5126" t="s">
        <v>1281</v>
      </c>
      <c r="F5126" t="s">
        <v>1981</v>
      </c>
    </row>
    <row r="5127" spans="1:6">
      <c r="A5127" t="s">
        <v>13</v>
      </c>
      <c r="B5127" t="s">
        <v>92</v>
      </c>
      <c r="C5127" t="s">
        <v>1843</v>
      </c>
      <c r="D5127" t="s">
        <v>1976</v>
      </c>
      <c r="E5127" t="s">
        <v>1283</v>
      </c>
      <c r="F5127" t="s">
        <v>1284</v>
      </c>
    </row>
    <row r="5128" spans="1:6">
      <c r="A5128" t="s">
        <v>13</v>
      </c>
      <c r="B5128" t="s">
        <v>92</v>
      </c>
      <c r="C5128" t="s">
        <v>1843</v>
      </c>
      <c r="D5128" t="s">
        <v>1976</v>
      </c>
      <c r="E5128" t="s">
        <v>1285</v>
      </c>
      <c r="F5128" t="s">
        <v>505</v>
      </c>
    </row>
    <row r="5129" spans="1:6">
      <c r="A5129" t="s">
        <v>13</v>
      </c>
      <c r="B5129" t="s">
        <v>92</v>
      </c>
      <c r="C5129" t="s">
        <v>1843</v>
      </c>
      <c r="D5129" t="s">
        <v>1976</v>
      </c>
      <c r="E5129" t="s">
        <v>1286</v>
      </c>
      <c r="F5129">
        <v>135</v>
      </c>
    </row>
    <row r="5130" spans="1:6">
      <c r="A5130" t="s">
        <v>13</v>
      </c>
      <c r="B5130" t="s">
        <v>92</v>
      </c>
      <c r="C5130" t="s">
        <v>1843</v>
      </c>
      <c r="D5130" t="s">
        <v>1976</v>
      </c>
      <c r="E5130" t="s">
        <v>1287</v>
      </c>
      <c r="F5130">
        <v>313.4800000000001</v>
      </c>
    </row>
    <row r="5131" spans="1:6">
      <c r="A5131" t="s">
        <v>13</v>
      </c>
      <c r="B5131" t="s">
        <v>92</v>
      </c>
      <c r="C5131" t="s">
        <v>1843</v>
      </c>
      <c r="D5131" t="s">
        <v>1976</v>
      </c>
      <c r="E5131" t="s">
        <v>1288</v>
      </c>
      <c r="F5131" t="s">
        <v>507</v>
      </c>
    </row>
    <row r="5132" spans="1:6">
      <c r="A5132" t="s">
        <v>13</v>
      </c>
      <c r="B5132" t="s">
        <v>92</v>
      </c>
      <c r="C5132" t="s">
        <v>1843</v>
      </c>
      <c r="D5132" t="s">
        <v>1976</v>
      </c>
      <c r="E5132" t="s">
        <v>1096</v>
      </c>
      <c r="F5132">
        <v>205</v>
      </c>
    </row>
    <row r="5133" spans="1:6">
      <c r="A5133" t="s">
        <v>13</v>
      </c>
      <c r="B5133" t="s">
        <v>92</v>
      </c>
      <c r="C5133" t="s">
        <v>1843</v>
      </c>
      <c r="D5133" t="s">
        <v>1976</v>
      </c>
      <c r="E5133" t="s">
        <v>1004</v>
      </c>
      <c r="F5133">
        <v>6945.040000000003</v>
      </c>
    </row>
    <row r="5134" spans="1:6">
      <c r="A5134" t="s">
        <v>13</v>
      </c>
      <c r="B5134" t="s">
        <v>92</v>
      </c>
      <c r="C5134" t="s">
        <v>1843</v>
      </c>
      <c r="D5134" t="s">
        <v>1976</v>
      </c>
      <c r="E5134" t="s">
        <v>1289</v>
      </c>
      <c r="F5134" t="s">
        <v>509</v>
      </c>
    </row>
    <row r="5135" spans="1:6">
      <c r="A5135" t="s">
        <v>13</v>
      </c>
      <c r="B5135" t="s">
        <v>92</v>
      </c>
      <c r="C5135" t="s">
        <v>1843</v>
      </c>
      <c r="D5135" t="s">
        <v>1976</v>
      </c>
      <c r="E5135" t="s">
        <v>1290</v>
      </c>
      <c r="F5135">
        <v>300</v>
      </c>
    </row>
    <row r="5136" spans="1:6">
      <c r="A5136" t="s">
        <v>13</v>
      </c>
      <c r="B5136" t="s">
        <v>92</v>
      </c>
      <c r="C5136" t="s">
        <v>1843</v>
      </c>
      <c r="D5136" t="s">
        <v>1976</v>
      </c>
      <c r="E5136" t="s">
        <v>1291</v>
      </c>
      <c r="F5136">
        <v>78102.59999999999</v>
      </c>
    </row>
    <row r="5137" spans="1:6">
      <c r="A5137" t="s">
        <v>13</v>
      </c>
      <c r="B5137" t="s">
        <v>92</v>
      </c>
      <c r="C5137" t="s">
        <v>1843</v>
      </c>
      <c r="D5137" t="s">
        <v>1976</v>
      </c>
      <c r="E5137" t="s">
        <v>1008</v>
      </c>
      <c r="F5137" t="s">
        <v>511</v>
      </c>
    </row>
    <row r="5138" spans="1:6">
      <c r="A5138" t="s">
        <v>13</v>
      </c>
      <c r="B5138" t="s">
        <v>92</v>
      </c>
      <c r="C5138" t="s">
        <v>1843</v>
      </c>
      <c r="D5138" t="s">
        <v>1976</v>
      </c>
      <c r="E5138" t="s">
        <v>1010</v>
      </c>
      <c r="F5138">
        <v>51</v>
      </c>
    </row>
    <row r="5139" spans="1:6">
      <c r="A5139" t="s">
        <v>13</v>
      </c>
      <c r="B5139" t="s">
        <v>92</v>
      </c>
      <c r="C5139" t="s">
        <v>1843</v>
      </c>
      <c r="D5139" t="s">
        <v>1976</v>
      </c>
      <c r="E5139" t="s">
        <v>1012</v>
      </c>
      <c r="F5139">
        <v>83888.11999999998</v>
      </c>
    </row>
    <row r="5140" spans="1:6">
      <c r="A5140" t="s">
        <v>13</v>
      </c>
      <c r="B5140" t="s">
        <v>92</v>
      </c>
      <c r="C5140" t="s">
        <v>1843</v>
      </c>
      <c r="D5140" t="s">
        <v>1976</v>
      </c>
      <c r="E5140" t="s">
        <v>1035</v>
      </c>
      <c r="F5140" t="s">
        <v>513</v>
      </c>
    </row>
    <row r="5141" spans="1:6">
      <c r="A5141" t="s">
        <v>13</v>
      </c>
      <c r="B5141" t="s">
        <v>92</v>
      </c>
      <c r="C5141" t="s">
        <v>1843</v>
      </c>
      <c r="D5141" t="s">
        <v>1976</v>
      </c>
      <c r="E5141" t="s">
        <v>1099</v>
      </c>
      <c r="F5141">
        <v>1</v>
      </c>
    </row>
    <row r="5142" spans="1:6">
      <c r="A5142" t="s">
        <v>13</v>
      </c>
      <c r="B5142" t="s">
        <v>92</v>
      </c>
      <c r="C5142" t="s">
        <v>1843</v>
      </c>
      <c r="D5142" t="s">
        <v>1976</v>
      </c>
      <c r="E5142" t="s">
        <v>1100</v>
      </c>
      <c r="F5142">
        <v>13048.57</v>
      </c>
    </row>
    <row r="5143" spans="1:6">
      <c r="A5143" t="s">
        <v>13</v>
      </c>
      <c r="B5143" t="s">
        <v>92</v>
      </c>
      <c r="C5143" t="s">
        <v>1843</v>
      </c>
      <c r="D5143" t="s">
        <v>1976</v>
      </c>
      <c r="E5143" t="s">
        <v>1037</v>
      </c>
      <c r="F5143" t="s">
        <v>1292</v>
      </c>
    </row>
    <row r="5144" spans="1:6">
      <c r="A5144" t="s">
        <v>13</v>
      </c>
      <c r="B5144" t="s">
        <v>92</v>
      </c>
      <c r="C5144" t="s">
        <v>1843</v>
      </c>
      <c r="D5144" t="s">
        <v>1976</v>
      </c>
      <c r="E5144" t="s">
        <v>1103</v>
      </c>
      <c r="F5144">
        <v>692</v>
      </c>
    </row>
    <row r="5145" spans="1:6">
      <c r="A5145" t="s">
        <v>13</v>
      </c>
      <c r="B5145" t="s">
        <v>92</v>
      </c>
      <c r="C5145" t="s">
        <v>1843</v>
      </c>
      <c r="D5145" t="s">
        <v>1976</v>
      </c>
      <c r="E5145" t="s">
        <v>1104</v>
      </c>
      <c r="F5145">
        <v>182297.81</v>
      </c>
    </row>
    <row r="5146" spans="1:6">
      <c r="A5146" t="s">
        <v>13</v>
      </c>
      <c r="B5146" t="s">
        <v>92</v>
      </c>
      <c r="C5146" t="s">
        <v>1843</v>
      </c>
      <c r="D5146" t="s">
        <v>1976</v>
      </c>
      <c r="E5146" t="s">
        <v>1052</v>
      </c>
      <c r="F5146" t="s">
        <v>1293</v>
      </c>
    </row>
    <row r="5147" spans="1:6">
      <c r="A5147" t="s">
        <v>13</v>
      </c>
      <c r="B5147" t="s">
        <v>92</v>
      </c>
      <c r="C5147" t="s">
        <v>1843</v>
      </c>
      <c r="D5147" t="s">
        <v>1976</v>
      </c>
      <c r="E5147" t="s">
        <v>1053</v>
      </c>
      <c r="F5147" t="s">
        <v>1294</v>
      </c>
    </row>
    <row r="5148" spans="1:6">
      <c r="A5148" t="s">
        <v>13</v>
      </c>
      <c r="B5148" t="s">
        <v>92</v>
      </c>
      <c r="C5148" t="s">
        <v>1843</v>
      </c>
      <c r="D5148" t="s">
        <v>1976</v>
      </c>
      <c r="E5148" t="s">
        <v>1108</v>
      </c>
      <c r="F5148">
        <v>0</v>
      </c>
    </row>
    <row r="5149" spans="1:6">
      <c r="A5149" t="s">
        <v>13</v>
      </c>
      <c r="B5149" t="s">
        <v>92</v>
      </c>
      <c r="C5149" t="s">
        <v>1843</v>
      </c>
      <c r="D5149" t="s">
        <v>1976</v>
      </c>
      <c r="E5149" t="s">
        <v>1109</v>
      </c>
      <c r="F5149">
        <v>0</v>
      </c>
    </row>
    <row r="5150" spans="1:6">
      <c r="A5150" t="s">
        <v>13</v>
      </c>
      <c r="B5150" t="s">
        <v>92</v>
      </c>
      <c r="C5150" t="s">
        <v>1843</v>
      </c>
      <c r="D5150" t="s">
        <v>1976</v>
      </c>
      <c r="E5150" t="s">
        <v>1113</v>
      </c>
      <c r="F5150">
        <v>2018</v>
      </c>
    </row>
    <row r="5151" spans="1:6">
      <c r="A5151" t="s">
        <v>13</v>
      </c>
      <c r="B5151" t="s">
        <v>92</v>
      </c>
      <c r="C5151" t="s">
        <v>1843</v>
      </c>
      <c r="D5151" t="s">
        <v>1976</v>
      </c>
      <c r="E5151" t="s">
        <v>1114</v>
      </c>
      <c r="F5151">
        <v>0</v>
      </c>
    </row>
    <row r="5152" spans="1:6">
      <c r="A5152" t="s">
        <v>13</v>
      </c>
      <c r="B5152" t="s">
        <v>92</v>
      </c>
      <c r="C5152" t="s">
        <v>1843</v>
      </c>
      <c r="D5152" t="s">
        <v>1976</v>
      </c>
      <c r="E5152" t="s">
        <v>1115</v>
      </c>
      <c r="F5152">
        <v>0</v>
      </c>
    </row>
    <row r="5153" spans="1:6">
      <c r="A5153" t="s">
        <v>13</v>
      </c>
      <c r="B5153" t="s">
        <v>92</v>
      </c>
      <c r="C5153" t="s">
        <v>1843</v>
      </c>
      <c r="D5153" t="s">
        <v>1976</v>
      </c>
      <c r="E5153" t="s">
        <v>1118</v>
      </c>
      <c r="F5153">
        <v>2019</v>
      </c>
    </row>
    <row r="5154" spans="1:6">
      <c r="A5154" t="s">
        <v>13</v>
      </c>
      <c r="B5154" t="s">
        <v>92</v>
      </c>
      <c r="C5154" t="s">
        <v>1843</v>
      </c>
      <c r="D5154" t="s">
        <v>1976</v>
      </c>
      <c r="E5154" t="s">
        <v>1119</v>
      </c>
      <c r="F5154">
        <v>0</v>
      </c>
    </row>
    <row r="5155" spans="1:6">
      <c r="A5155" t="s">
        <v>13</v>
      </c>
      <c r="B5155" t="s">
        <v>92</v>
      </c>
      <c r="C5155" t="s">
        <v>1843</v>
      </c>
      <c r="D5155" t="s">
        <v>1976</v>
      </c>
      <c r="E5155" t="s">
        <v>1120</v>
      </c>
      <c r="F5155">
        <v>0</v>
      </c>
    </row>
    <row r="5156" spans="1:6">
      <c r="A5156" t="s">
        <v>13</v>
      </c>
      <c r="B5156" t="s">
        <v>92</v>
      </c>
      <c r="C5156" t="s">
        <v>1843</v>
      </c>
      <c r="D5156" t="s">
        <v>1976</v>
      </c>
      <c r="E5156" t="s">
        <v>1124</v>
      </c>
      <c r="F5156">
        <v>2020</v>
      </c>
    </row>
    <row r="5157" spans="1:6">
      <c r="A5157" t="s">
        <v>13</v>
      </c>
      <c r="B5157" t="s">
        <v>92</v>
      </c>
      <c r="C5157" t="s">
        <v>1843</v>
      </c>
      <c r="D5157" t="s">
        <v>1976</v>
      </c>
      <c r="E5157" t="s">
        <v>1126</v>
      </c>
      <c r="F5157">
        <v>0</v>
      </c>
    </row>
    <row r="5158" spans="1:6">
      <c r="A5158" t="s">
        <v>13</v>
      </c>
      <c r="B5158" t="s">
        <v>92</v>
      </c>
      <c r="C5158" t="s">
        <v>1843</v>
      </c>
      <c r="D5158" t="s">
        <v>1976</v>
      </c>
      <c r="E5158" t="s">
        <v>1127</v>
      </c>
      <c r="F5158">
        <v>0</v>
      </c>
    </row>
    <row r="5159" spans="1:6">
      <c r="A5159" t="s">
        <v>13</v>
      </c>
      <c r="B5159" t="s">
        <v>92</v>
      </c>
      <c r="C5159" t="s">
        <v>1843</v>
      </c>
      <c r="D5159" t="s">
        <v>1976</v>
      </c>
      <c r="E5159" t="s">
        <v>1057</v>
      </c>
      <c r="F5159">
        <v>2021</v>
      </c>
    </row>
    <row r="5160" spans="1:6">
      <c r="A5160" t="s">
        <v>13</v>
      </c>
      <c r="B5160" t="s">
        <v>92</v>
      </c>
      <c r="C5160" t="s">
        <v>1843</v>
      </c>
      <c r="D5160" t="s">
        <v>1976</v>
      </c>
      <c r="E5160" t="s">
        <v>1058</v>
      </c>
      <c r="F5160">
        <v>0</v>
      </c>
    </row>
    <row r="5161" spans="1:6">
      <c r="A5161" t="s">
        <v>13</v>
      </c>
      <c r="B5161" t="s">
        <v>92</v>
      </c>
      <c r="C5161" t="s">
        <v>1843</v>
      </c>
      <c r="D5161" t="s">
        <v>1976</v>
      </c>
      <c r="E5161" t="s">
        <v>1059</v>
      </c>
      <c r="F5161">
        <v>0</v>
      </c>
    </row>
    <row r="5162" spans="1:6">
      <c r="A5162" t="s">
        <v>13</v>
      </c>
      <c r="B5162" t="s">
        <v>92</v>
      </c>
      <c r="C5162" t="s">
        <v>1843</v>
      </c>
      <c r="D5162" t="s">
        <v>1976</v>
      </c>
      <c r="E5162" t="s">
        <v>1072</v>
      </c>
      <c r="F5162">
        <v>2022</v>
      </c>
    </row>
    <row r="5163" spans="1:6">
      <c r="A5163" t="s">
        <v>13</v>
      </c>
      <c r="B5163" t="s">
        <v>92</v>
      </c>
      <c r="C5163" t="s">
        <v>1843</v>
      </c>
      <c r="D5163" t="s">
        <v>1976</v>
      </c>
      <c r="E5163" t="s">
        <v>1133</v>
      </c>
      <c r="F5163">
        <v>0</v>
      </c>
    </row>
    <row r="5164" spans="1:6">
      <c r="A5164" t="s">
        <v>13</v>
      </c>
      <c r="B5164" t="s">
        <v>92</v>
      </c>
      <c r="C5164" t="s">
        <v>1843</v>
      </c>
      <c r="D5164" t="s">
        <v>1976</v>
      </c>
      <c r="E5164" t="s">
        <v>1134</v>
      </c>
      <c r="F5164">
        <v>0</v>
      </c>
    </row>
    <row r="5165" spans="1:6">
      <c r="A5165" t="s">
        <v>13</v>
      </c>
      <c r="B5165" t="s">
        <v>92</v>
      </c>
      <c r="C5165" t="s">
        <v>1843</v>
      </c>
      <c r="D5165" t="s">
        <v>1976</v>
      </c>
      <c r="E5165" t="s">
        <v>1074</v>
      </c>
      <c r="F5165">
        <v>2023</v>
      </c>
    </row>
    <row r="5166" spans="1:6">
      <c r="A5166" t="s">
        <v>13</v>
      </c>
      <c r="B5166" t="s">
        <v>92</v>
      </c>
      <c r="C5166" t="s">
        <v>1843</v>
      </c>
      <c r="D5166" t="s">
        <v>1976</v>
      </c>
      <c r="E5166" t="s">
        <v>1296</v>
      </c>
      <c r="F5166">
        <v>0</v>
      </c>
    </row>
    <row r="5167" spans="1:6">
      <c r="A5167" t="s">
        <v>13</v>
      </c>
      <c r="B5167" t="s">
        <v>92</v>
      </c>
      <c r="C5167" t="s">
        <v>1843</v>
      </c>
      <c r="D5167" t="s">
        <v>1976</v>
      </c>
      <c r="E5167" t="s">
        <v>1297</v>
      </c>
      <c r="F5167">
        <v>0</v>
      </c>
    </row>
    <row r="5168" spans="1:6">
      <c r="A5168" t="s">
        <v>13</v>
      </c>
      <c r="B5168" t="s">
        <v>92</v>
      </c>
      <c r="C5168" t="s">
        <v>1843</v>
      </c>
      <c r="D5168" t="s">
        <v>1976</v>
      </c>
      <c r="E5168" t="s">
        <v>1076</v>
      </c>
      <c r="F5168">
        <v>2024</v>
      </c>
    </row>
    <row r="5169" spans="1:6">
      <c r="A5169" t="s">
        <v>13</v>
      </c>
      <c r="B5169" t="s">
        <v>92</v>
      </c>
      <c r="C5169" t="s">
        <v>1843</v>
      </c>
      <c r="D5169" t="s">
        <v>1976</v>
      </c>
      <c r="E5169" t="s">
        <v>1077</v>
      </c>
      <c r="F5169">
        <v>0</v>
      </c>
    </row>
    <row r="5170" spans="1:6">
      <c r="A5170" t="s">
        <v>13</v>
      </c>
      <c r="B5170" t="s">
        <v>92</v>
      </c>
      <c r="C5170" t="s">
        <v>1843</v>
      </c>
      <c r="D5170" t="s">
        <v>1976</v>
      </c>
      <c r="E5170" t="s">
        <v>1078</v>
      </c>
      <c r="F5170">
        <v>0</v>
      </c>
    </row>
    <row r="5171" spans="1:6">
      <c r="A5171" t="s">
        <v>13</v>
      </c>
      <c r="B5171" t="s">
        <v>92</v>
      </c>
      <c r="C5171" t="s">
        <v>1843</v>
      </c>
      <c r="D5171" t="s">
        <v>1976</v>
      </c>
      <c r="E5171" t="s">
        <v>1090</v>
      </c>
      <c r="F5171">
        <v>2025</v>
      </c>
    </row>
    <row r="5172" spans="1:6">
      <c r="A5172" t="s">
        <v>13</v>
      </c>
      <c r="B5172" t="s">
        <v>92</v>
      </c>
      <c r="C5172" t="s">
        <v>1843</v>
      </c>
      <c r="D5172" t="s">
        <v>1976</v>
      </c>
      <c r="E5172" t="s">
        <v>1139</v>
      </c>
      <c r="F5172">
        <v>0</v>
      </c>
    </row>
    <row r="5173" spans="1:6">
      <c r="A5173" t="s">
        <v>13</v>
      </c>
      <c r="B5173" t="s">
        <v>92</v>
      </c>
      <c r="C5173" t="s">
        <v>1843</v>
      </c>
      <c r="D5173" t="s">
        <v>1976</v>
      </c>
      <c r="E5173" t="s">
        <v>1140</v>
      </c>
      <c r="F5173">
        <v>0</v>
      </c>
    </row>
    <row r="5174" spans="1:6">
      <c r="A5174" t="s">
        <v>13</v>
      </c>
      <c r="B5174" t="s">
        <v>92</v>
      </c>
      <c r="C5174" t="s">
        <v>1843</v>
      </c>
      <c r="D5174" t="s">
        <v>1976</v>
      </c>
      <c r="E5174" t="s">
        <v>1298</v>
      </c>
      <c r="F5174">
        <v>2026</v>
      </c>
    </row>
    <row r="5175" spans="1:6">
      <c r="A5175" t="s">
        <v>13</v>
      </c>
      <c r="B5175" t="s">
        <v>92</v>
      </c>
      <c r="C5175" t="s">
        <v>1843</v>
      </c>
      <c r="D5175" t="s">
        <v>1976</v>
      </c>
      <c r="E5175" t="s">
        <v>1299</v>
      </c>
      <c r="F5175">
        <v>692</v>
      </c>
    </row>
    <row r="5176" spans="1:6">
      <c r="A5176" t="s">
        <v>13</v>
      </c>
      <c r="B5176" t="s">
        <v>92</v>
      </c>
      <c r="C5176" t="s">
        <v>1843</v>
      </c>
      <c r="D5176" t="s">
        <v>1976</v>
      </c>
      <c r="E5176" t="s">
        <v>1300</v>
      </c>
      <c r="F5176">
        <v>182297.8099999999</v>
      </c>
    </row>
    <row r="5177" spans="1:6">
      <c r="A5177" t="s">
        <v>13</v>
      </c>
      <c r="B5177" t="s">
        <v>92</v>
      </c>
      <c r="C5177" t="s">
        <v>1843</v>
      </c>
      <c r="D5177" t="s">
        <v>1976</v>
      </c>
      <c r="E5177" t="s">
        <v>1301</v>
      </c>
      <c r="F5177" t="s">
        <v>1292</v>
      </c>
    </row>
    <row r="5178" spans="1:6">
      <c r="A5178" t="s">
        <v>13</v>
      </c>
      <c r="B5178" t="s">
        <v>92</v>
      </c>
      <c r="C5178" t="s">
        <v>1843</v>
      </c>
      <c r="D5178" t="s">
        <v>1976</v>
      </c>
      <c r="E5178" t="s">
        <v>1302</v>
      </c>
      <c r="F5178">
        <v>692</v>
      </c>
    </row>
    <row r="5179" spans="1:6">
      <c r="A5179" t="s">
        <v>13</v>
      </c>
      <c r="B5179" t="s">
        <v>92</v>
      </c>
      <c r="C5179" t="s">
        <v>1843</v>
      </c>
      <c r="D5179" t="s">
        <v>1976</v>
      </c>
      <c r="E5179" t="s">
        <v>1303</v>
      </c>
      <c r="F5179">
        <v>182297.8099999999</v>
      </c>
    </row>
    <row r="5180" spans="1:6">
      <c r="A5180" t="s">
        <v>13</v>
      </c>
      <c r="B5180" t="s">
        <v>100</v>
      </c>
      <c r="C5180" t="s">
        <v>1843</v>
      </c>
      <c r="D5180" t="s">
        <v>1982</v>
      </c>
      <c r="E5180" t="s">
        <v>1093</v>
      </c>
      <c r="F5180" t="s">
        <v>1094</v>
      </c>
    </row>
    <row r="5181" spans="1:6">
      <c r="A5181" t="s">
        <v>13</v>
      </c>
      <c r="B5181" t="s">
        <v>100</v>
      </c>
      <c r="C5181" t="s">
        <v>1843</v>
      </c>
      <c r="D5181" t="s">
        <v>1982</v>
      </c>
      <c r="E5181" t="s">
        <v>994</v>
      </c>
      <c r="F5181" t="s">
        <v>100</v>
      </c>
    </row>
    <row r="5182" spans="1:6">
      <c r="A5182" t="s">
        <v>13</v>
      </c>
      <c r="B5182" t="s">
        <v>100</v>
      </c>
      <c r="C5182" t="s">
        <v>1843</v>
      </c>
      <c r="D5182" t="s">
        <v>1982</v>
      </c>
      <c r="E5182" t="s">
        <v>995</v>
      </c>
      <c r="F5182" t="s">
        <v>996</v>
      </c>
    </row>
    <row r="5183" spans="1:6">
      <c r="A5183" t="s">
        <v>13</v>
      </c>
      <c r="B5183" t="s">
        <v>100</v>
      </c>
      <c r="C5183" t="s">
        <v>1843</v>
      </c>
      <c r="D5183" t="s">
        <v>1982</v>
      </c>
      <c r="E5183" t="s">
        <v>997</v>
      </c>
      <c r="F5183" t="s">
        <v>1836</v>
      </c>
    </row>
    <row r="5184" spans="1:6">
      <c r="A5184" t="s">
        <v>13</v>
      </c>
      <c r="B5184" t="s">
        <v>100</v>
      </c>
      <c r="C5184" t="s">
        <v>1843</v>
      </c>
      <c r="D5184" t="s">
        <v>1982</v>
      </c>
      <c r="E5184" t="s">
        <v>999</v>
      </c>
      <c r="F5184" t="s">
        <v>1000</v>
      </c>
    </row>
    <row r="5185" spans="1:6">
      <c r="A5185" t="s">
        <v>13</v>
      </c>
      <c r="B5185" t="s">
        <v>100</v>
      </c>
      <c r="C5185" t="s">
        <v>1843</v>
      </c>
      <c r="D5185" t="s">
        <v>1982</v>
      </c>
      <c r="E5185" t="s">
        <v>1001</v>
      </c>
      <c r="F5185" t="s">
        <v>21</v>
      </c>
    </row>
    <row r="5186" spans="1:6">
      <c r="A5186" t="s">
        <v>13</v>
      </c>
      <c r="B5186" t="s">
        <v>100</v>
      </c>
      <c r="C5186" t="s">
        <v>1843</v>
      </c>
      <c r="D5186" t="s">
        <v>1982</v>
      </c>
      <c r="E5186" t="s">
        <v>1002</v>
      </c>
      <c r="F5186" t="s">
        <v>1845</v>
      </c>
    </row>
    <row r="5187" spans="1:6">
      <c r="A5187" t="s">
        <v>13</v>
      </c>
      <c r="B5187" t="s">
        <v>100</v>
      </c>
      <c r="C5187" t="s">
        <v>1843</v>
      </c>
      <c r="D5187" t="s">
        <v>1982</v>
      </c>
      <c r="E5187" t="s">
        <v>1006</v>
      </c>
      <c r="F5187" t="s">
        <v>1007</v>
      </c>
    </row>
    <row r="5188" spans="1:6">
      <c r="A5188" t="s">
        <v>13</v>
      </c>
      <c r="B5188" t="s">
        <v>100</v>
      </c>
      <c r="C5188" t="s">
        <v>1843</v>
      </c>
      <c r="D5188" t="s">
        <v>1982</v>
      </c>
      <c r="E5188" t="s">
        <v>1008</v>
      </c>
      <c r="F5188" t="s">
        <v>1009</v>
      </c>
    </row>
    <row r="5189" spans="1:6">
      <c r="A5189" t="s">
        <v>13</v>
      </c>
      <c r="B5189" t="s">
        <v>100</v>
      </c>
      <c r="C5189" t="s">
        <v>1843</v>
      </c>
      <c r="D5189" t="s">
        <v>1982</v>
      </c>
      <c r="E5189" t="s">
        <v>1010</v>
      </c>
      <c r="F5189" t="s">
        <v>1011</v>
      </c>
    </row>
    <row r="5190" spans="1:6">
      <c r="A5190" t="s">
        <v>13</v>
      </c>
      <c r="B5190" t="s">
        <v>100</v>
      </c>
      <c r="C5190" t="s">
        <v>1843</v>
      </c>
      <c r="D5190" t="s">
        <v>1982</v>
      </c>
      <c r="E5190" t="s">
        <v>1012</v>
      </c>
      <c r="F5190" t="s">
        <v>1013</v>
      </c>
    </row>
    <row r="5191" spans="1:6">
      <c r="A5191" t="s">
        <v>13</v>
      </c>
      <c r="B5191" t="s">
        <v>100</v>
      </c>
      <c r="C5191" t="s">
        <v>1843</v>
      </c>
      <c r="D5191" t="s">
        <v>1982</v>
      </c>
      <c r="E5191" t="s">
        <v>1014</v>
      </c>
      <c r="F5191" t="s">
        <v>1015</v>
      </c>
    </row>
    <row r="5192" spans="1:6">
      <c r="A5192" t="s">
        <v>13</v>
      </c>
      <c r="B5192" t="s">
        <v>100</v>
      </c>
      <c r="C5192" t="s">
        <v>1843</v>
      </c>
      <c r="D5192" t="s">
        <v>1982</v>
      </c>
      <c r="E5192" t="s">
        <v>1016</v>
      </c>
      <c r="F5192" t="s">
        <v>1017</v>
      </c>
    </row>
    <row r="5193" spans="1:6">
      <c r="A5193" t="s">
        <v>13</v>
      </c>
      <c r="B5193" t="s">
        <v>100</v>
      </c>
      <c r="C5193" t="s">
        <v>1843</v>
      </c>
      <c r="D5193" t="s">
        <v>1982</v>
      </c>
      <c r="E5193" t="s">
        <v>1018</v>
      </c>
      <c r="F5193" t="s">
        <v>1019</v>
      </c>
    </row>
    <row r="5194" spans="1:6">
      <c r="A5194" t="s">
        <v>13</v>
      </c>
      <c r="B5194" t="s">
        <v>100</v>
      </c>
      <c r="C5194" t="s">
        <v>1843</v>
      </c>
      <c r="D5194" t="s">
        <v>1982</v>
      </c>
      <c r="E5194" t="s">
        <v>1020</v>
      </c>
      <c r="F5194" t="s">
        <v>1021</v>
      </c>
    </row>
    <row r="5195" spans="1:6">
      <c r="A5195" t="s">
        <v>13</v>
      </c>
      <c r="B5195" t="s">
        <v>100</v>
      </c>
      <c r="C5195" t="s">
        <v>1843</v>
      </c>
      <c r="D5195" t="s">
        <v>1982</v>
      </c>
      <c r="E5195" t="s">
        <v>1022</v>
      </c>
      <c r="F5195" t="s">
        <v>1023</v>
      </c>
    </row>
    <row r="5196" spans="1:6">
      <c r="A5196" t="s">
        <v>13</v>
      </c>
      <c r="B5196" t="s">
        <v>100</v>
      </c>
      <c r="C5196" t="s">
        <v>1843</v>
      </c>
      <c r="D5196" t="s">
        <v>1982</v>
      </c>
      <c r="E5196" t="s">
        <v>1024</v>
      </c>
      <c r="F5196" t="s">
        <v>1025</v>
      </c>
    </row>
    <row r="5197" spans="1:6">
      <c r="A5197" t="s">
        <v>13</v>
      </c>
      <c r="B5197" t="s">
        <v>100</v>
      </c>
      <c r="C5197" t="s">
        <v>1843</v>
      </c>
      <c r="D5197" t="s">
        <v>1982</v>
      </c>
      <c r="E5197" t="s">
        <v>1026</v>
      </c>
      <c r="F5197" t="s">
        <v>1027</v>
      </c>
    </row>
    <row r="5198" spans="1:6">
      <c r="A5198" t="s">
        <v>13</v>
      </c>
      <c r="B5198" t="s">
        <v>100</v>
      </c>
      <c r="C5198" t="s">
        <v>1843</v>
      </c>
      <c r="D5198" t="s">
        <v>1982</v>
      </c>
      <c r="E5198" t="s">
        <v>1028</v>
      </c>
      <c r="F5198" t="s">
        <v>1029</v>
      </c>
    </row>
    <row r="5199" spans="1:6">
      <c r="A5199" t="s">
        <v>13</v>
      </c>
      <c r="B5199" t="s">
        <v>100</v>
      </c>
      <c r="C5199" t="s">
        <v>1843</v>
      </c>
      <c r="D5199" t="s">
        <v>1982</v>
      </c>
      <c r="E5199" t="s">
        <v>1030</v>
      </c>
      <c r="F5199" t="s">
        <v>1031</v>
      </c>
    </row>
    <row r="5200" spans="1:6">
      <c r="A5200" t="s">
        <v>13</v>
      </c>
      <c r="B5200" t="s">
        <v>100</v>
      </c>
      <c r="C5200" t="s">
        <v>1843</v>
      </c>
      <c r="D5200" t="s">
        <v>1982</v>
      </c>
      <c r="E5200" t="s">
        <v>1032</v>
      </c>
      <c r="F5200" t="s">
        <v>1033</v>
      </c>
    </row>
    <row r="5201" spans="1:6">
      <c r="A5201" t="s">
        <v>13</v>
      </c>
      <c r="B5201" t="s">
        <v>100</v>
      </c>
      <c r="C5201" t="s">
        <v>1843</v>
      </c>
      <c r="D5201" t="s">
        <v>1982</v>
      </c>
      <c r="E5201" t="s">
        <v>1034</v>
      </c>
      <c r="F5201" t="s">
        <v>93</v>
      </c>
    </row>
    <row r="5202" spans="1:6">
      <c r="A5202" t="s">
        <v>13</v>
      </c>
      <c r="B5202" t="s">
        <v>100</v>
      </c>
      <c r="C5202" t="s">
        <v>1843</v>
      </c>
      <c r="D5202" t="s">
        <v>1982</v>
      </c>
      <c r="E5202" t="s">
        <v>1035</v>
      </c>
      <c r="F5202">
        <v>0</v>
      </c>
    </row>
    <row r="5203" spans="1:6">
      <c r="A5203" t="s">
        <v>13</v>
      </c>
      <c r="B5203" t="s">
        <v>100</v>
      </c>
      <c r="C5203" t="s">
        <v>1843</v>
      </c>
      <c r="D5203" t="s">
        <v>1982</v>
      </c>
      <c r="E5203" t="s">
        <v>1036</v>
      </c>
      <c r="F5203">
        <v>2024</v>
      </c>
    </row>
    <row r="5204" spans="1:6">
      <c r="A5204" t="s">
        <v>13</v>
      </c>
      <c r="B5204" t="s">
        <v>100</v>
      </c>
      <c r="C5204" t="s">
        <v>1843</v>
      </c>
      <c r="D5204" t="s">
        <v>1982</v>
      </c>
      <c r="E5204" t="s">
        <v>1037</v>
      </c>
      <c r="F5204">
        <v>19392.95</v>
      </c>
    </row>
    <row r="5205" spans="1:6">
      <c r="A5205" t="s">
        <v>13</v>
      </c>
      <c r="B5205" t="s">
        <v>100</v>
      </c>
      <c r="C5205" t="s">
        <v>1843</v>
      </c>
      <c r="D5205" t="s">
        <v>1982</v>
      </c>
      <c r="E5205" t="s">
        <v>1038</v>
      </c>
      <c r="F5205">
        <v>2025</v>
      </c>
    </row>
    <row r="5206" spans="1:6">
      <c r="A5206" t="s">
        <v>13</v>
      </c>
      <c r="B5206" t="s">
        <v>100</v>
      </c>
      <c r="C5206" t="s">
        <v>1843</v>
      </c>
      <c r="D5206" t="s">
        <v>1982</v>
      </c>
      <c r="E5206" t="s">
        <v>1039</v>
      </c>
      <c r="F5206">
        <v>1208230.41</v>
      </c>
    </row>
    <row r="5207" spans="1:6">
      <c r="A5207" t="s">
        <v>13</v>
      </c>
      <c r="B5207" t="s">
        <v>100</v>
      </c>
      <c r="C5207" t="s">
        <v>1843</v>
      </c>
      <c r="D5207" t="s">
        <v>1982</v>
      </c>
      <c r="E5207" t="s">
        <v>1040</v>
      </c>
      <c r="F5207">
        <v>3743.34</v>
      </c>
    </row>
    <row r="5208" spans="1:6">
      <c r="A5208" t="s">
        <v>13</v>
      </c>
      <c r="B5208" t="s">
        <v>100</v>
      </c>
      <c r="C5208" t="s">
        <v>1843</v>
      </c>
      <c r="D5208" t="s">
        <v>1982</v>
      </c>
      <c r="E5208" t="s">
        <v>1041</v>
      </c>
      <c r="F5208">
        <v>4541.509999999999</v>
      </c>
    </row>
    <row r="5209" spans="1:6">
      <c r="A5209" t="s">
        <v>13</v>
      </c>
      <c r="B5209" t="s">
        <v>100</v>
      </c>
      <c r="C5209" t="s">
        <v>1843</v>
      </c>
      <c r="D5209" t="s">
        <v>1982</v>
      </c>
      <c r="E5209" t="s">
        <v>1042</v>
      </c>
      <c r="F5209">
        <v>2377.76</v>
      </c>
    </row>
    <row r="5210" spans="1:6">
      <c r="A5210" t="s">
        <v>13</v>
      </c>
      <c r="B5210" t="s">
        <v>100</v>
      </c>
      <c r="C5210" t="s">
        <v>1843</v>
      </c>
      <c r="D5210" t="s">
        <v>1982</v>
      </c>
      <c r="E5210" t="s">
        <v>1043</v>
      </c>
      <c r="F5210">
        <v>6704.540000000001</v>
      </c>
    </row>
    <row r="5211" spans="1:6">
      <c r="A5211" t="s">
        <v>13</v>
      </c>
      <c r="B5211" t="s">
        <v>100</v>
      </c>
      <c r="C5211" t="s">
        <v>1843</v>
      </c>
      <c r="D5211" t="s">
        <v>1982</v>
      </c>
      <c r="E5211" t="s">
        <v>1044</v>
      </c>
      <c r="F5211">
        <v>29427.64000000001</v>
      </c>
    </row>
    <row r="5212" spans="1:6">
      <c r="A5212" t="s">
        <v>13</v>
      </c>
      <c r="B5212" t="s">
        <v>100</v>
      </c>
      <c r="C5212" t="s">
        <v>1843</v>
      </c>
      <c r="D5212" t="s">
        <v>1982</v>
      </c>
      <c r="E5212" t="s">
        <v>1045</v>
      </c>
      <c r="F5212">
        <v>67626.20999999996</v>
      </c>
    </row>
    <row r="5213" spans="1:6">
      <c r="A5213" t="s">
        <v>13</v>
      </c>
      <c r="B5213" t="s">
        <v>100</v>
      </c>
      <c r="C5213" t="s">
        <v>1843</v>
      </c>
      <c r="D5213" t="s">
        <v>1982</v>
      </c>
      <c r="E5213" t="s">
        <v>1046</v>
      </c>
      <c r="F5213">
        <v>111116.9599999999</v>
      </c>
    </row>
    <row r="5214" spans="1:6">
      <c r="A5214" t="s">
        <v>13</v>
      </c>
      <c r="B5214" t="s">
        <v>100</v>
      </c>
      <c r="C5214" t="s">
        <v>1843</v>
      </c>
      <c r="D5214" t="s">
        <v>1982</v>
      </c>
      <c r="E5214" t="s">
        <v>1047</v>
      </c>
      <c r="F5214">
        <v>82554.53999999996</v>
      </c>
    </row>
    <row r="5215" spans="1:6">
      <c r="A5215" t="s">
        <v>13</v>
      </c>
      <c r="B5215" t="s">
        <v>100</v>
      </c>
      <c r="C5215" t="s">
        <v>1843</v>
      </c>
      <c r="D5215" t="s">
        <v>1982</v>
      </c>
      <c r="E5215" t="s">
        <v>1048</v>
      </c>
      <c r="F5215">
        <v>135459.2800000001</v>
      </c>
    </row>
    <row r="5216" spans="1:6">
      <c r="A5216" t="s">
        <v>13</v>
      </c>
      <c r="B5216" t="s">
        <v>100</v>
      </c>
      <c r="C5216" t="s">
        <v>1843</v>
      </c>
      <c r="D5216" t="s">
        <v>1982</v>
      </c>
      <c r="E5216" t="s">
        <v>1049</v>
      </c>
      <c r="F5216">
        <v>493628.15</v>
      </c>
    </row>
    <row r="5217" spans="1:6">
      <c r="A5217" t="s">
        <v>13</v>
      </c>
      <c r="B5217" t="s">
        <v>100</v>
      </c>
      <c r="C5217" t="s">
        <v>1843</v>
      </c>
      <c r="D5217" t="s">
        <v>1982</v>
      </c>
      <c r="E5217" t="s">
        <v>1050</v>
      </c>
      <c r="F5217">
        <v>210868.1000000001</v>
      </c>
    </row>
    <row r="5218" spans="1:6">
      <c r="A5218" t="s">
        <v>13</v>
      </c>
      <c r="B5218" t="s">
        <v>100</v>
      </c>
      <c r="C5218" t="s">
        <v>1843</v>
      </c>
      <c r="D5218" t="s">
        <v>1982</v>
      </c>
      <c r="E5218" t="s">
        <v>1051</v>
      </c>
      <c r="F5218">
        <v>60182.38</v>
      </c>
    </row>
    <row r="5219" spans="1:6">
      <c r="A5219" t="s">
        <v>13</v>
      </c>
      <c r="B5219" t="s">
        <v>100</v>
      </c>
      <c r="C5219" t="s">
        <v>1843</v>
      </c>
      <c r="D5219" t="s">
        <v>1982</v>
      </c>
      <c r="E5219" t="s">
        <v>1052</v>
      </c>
      <c r="F5219">
        <v>2026</v>
      </c>
    </row>
    <row r="5220" spans="1:6">
      <c r="A5220" t="s">
        <v>13</v>
      </c>
      <c r="B5220" t="s">
        <v>100</v>
      </c>
      <c r="C5220" t="s">
        <v>1843</v>
      </c>
      <c r="D5220" t="s">
        <v>1982</v>
      </c>
      <c r="E5220" t="s">
        <v>1053</v>
      </c>
      <c r="F5220">
        <v>695256.0099999999</v>
      </c>
    </row>
    <row r="5221" spans="1:6">
      <c r="A5221" t="s">
        <v>13</v>
      </c>
      <c r="B5221" t="s">
        <v>100</v>
      </c>
      <c r="C5221" t="s">
        <v>1843</v>
      </c>
      <c r="D5221" t="s">
        <v>1982</v>
      </c>
      <c r="E5221" t="s">
        <v>1108</v>
      </c>
      <c r="F5221">
        <v>112887.1400000001</v>
      </c>
    </row>
    <row r="5222" spans="1:6">
      <c r="A5222" t="s">
        <v>13</v>
      </c>
      <c r="B5222" t="s">
        <v>100</v>
      </c>
      <c r="C5222" t="s">
        <v>1843</v>
      </c>
      <c r="D5222" t="s">
        <v>1982</v>
      </c>
      <c r="E5222" t="s">
        <v>1109</v>
      </c>
      <c r="F5222">
        <v>68143.89999999999</v>
      </c>
    </row>
    <row r="5223" spans="1:6">
      <c r="A5223" t="s">
        <v>13</v>
      </c>
      <c r="B5223" t="s">
        <v>100</v>
      </c>
      <c r="C5223" t="s">
        <v>1843</v>
      </c>
      <c r="D5223" t="s">
        <v>1982</v>
      </c>
      <c r="E5223" t="s">
        <v>1110</v>
      </c>
      <c r="F5223">
        <v>247666.8200000001</v>
      </c>
    </row>
    <row r="5224" spans="1:6">
      <c r="A5224" t="s">
        <v>13</v>
      </c>
      <c r="B5224" t="s">
        <v>100</v>
      </c>
      <c r="C5224" t="s">
        <v>1843</v>
      </c>
      <c r="D5224" t="s">
        <v>1982</v>
      </c>
      <c r="E5224" t="s">
        <v>1521</v>
      </c>
      <c r="F5224">
        <v>57533.93000000002</v>
      </c>
    </row>
    <row r="5225" spans="1:6">
      <c r="A5225" t="s">
        <v>13</v>
      </c>
      <c r="B5225" t="s">
        <v>100</v>
      </c>
      <c r="C5225" t="s">
        <v>1843</v>
      </c>
      <c r="D5225" t="s">
        <v>1982</v>
      </c>
      <c r="E5225" t="s">
        <v>1522</v>
      </c>
      <c r="F5225">
        <v>144549.53</v>
      </c>
    </row>
    <row r="5226" spans="1:6">
      <c r="A5226" t="s">
        <v>13</v>
      </c>
      <c r="B5226" t="s">
        <v>100</v>
      </c>
      <c r="C5226" t="s">
        <v>1843</v>
      </c>
      <c r="D5226" t="s">
        <v>1982</v>
      </c>
      <c r="E5226" t="s">
        <v>1523</v>
      </c>
      <c r="F5226">
        <v>64474.69000000002</v>
      </c>
    </row>
    <row r="5227" spans="1:6">
      <c r="A5227" t="s">
        <v>13</v>
      </c>
      <c r="B5227" t="s">
        <v>100</v>
      </c>
      <c r="C5227" t="s">
        <v>1843</v>
      </c>
      <c r="D5227" t="s">
        <v>1982</v>
      </c>
      <c r="E5227" t="s">
        <v>1524</v>
      </c>
      <c r="F5227">
        <v>0</v>
      </c>
    </row>
    <row r="5228" spans="1:6">
      <c r="A5228" t="s">
        <v>13</v>
      </c>
      <c r="B5228" t="s">
        <v>100</v>
      </c>
      <c r="C5228" t="s">
        <v>1843</v>
      </c>
      <c r="D5228" t="s">
        <v>1982</v>
      </c>
      <c r="E5228" t="s">
        <v>1525</v>
      </c>
      <c r="F5228">
        <v>0</v>
      </c>
    </row>
    <row r="5229" spans="1:6">
      <c r="A5229" t="s">
        <v>13</v>
      </c>
      <c r="B5229" t="s">
        <v>100</v>
      </c>
      <c r="C5229" t="s">
        <v>1843</v>
      </c>
      <c r="D5229" t="s">
        <v>1982</v>
      </c>
      <c r="E5229" t="s">
        <v>1526</v>
      </c>
      <c r="F5229">
        <v>0</v>
      </c>
    </row>
    <row r="5230" spans="1:6">
      <c r="A5230" t="s">
        <v>13</v>
      </c>
      <c r="B5230" t="s">
        <v>100</v>
      </c>
      <c r="C5230" t="s">
        <v>1843</v>
      </c>
      <c r="D5230" t="s">
        <v>1982</v>
      </c>
      <c r="E5230" t="s">
        <v>1527</v>
      </c>
      <c r="F5230">
        <v>0</v>
      </c>
    </row>
    <row r="5231" spans="1:6">
      <c r="A5231" t="s">
        <v>13</v>
      </c>
      <c r="B5231" t="s">
        <v>100</v>
      </c>
      <c r="C5231" t="s">
        <v>1843</v>
      </c>
      <c r="D5231" t="s">
        <v>1982</v>
      </c>
      <c r="E5231" t="s">
        <v>1528</v>
      </c>
      <c r="F5231">
        <v>0</v>
      </c>
    </row>
    <row r="5232" spans="1:6">
      <c r="A5232" t="s">
        <v>13</v>
      </c>
      <c r="B5232" t="s">
        <v>100</v>
      </c>
      <c r="C5232" t="s">
        <v>1843</v>
      </c>
      <c r="D5232" t="s">
        <v>1982</v>
      </c>
      <c r="E5232" t="s">
        <v>1529</v>
      </c>
      <c r="F5232">
        <v>0</v>
      </c>
    </row>
    <row r="5233" spans="1:6">
      <c r="A5233" t="s">
        <v>13</v>
      </c>
      <c r="B5233" t="s">
        <v>100</v>
      </c>
      <c r="C5233" t="s">
        <v>1843</v>
      </c>
      <c r="D5233" t="s">
        <v>1982</v>
      </c>
      <c r="E5233" t="s">
        <v>1111</v>
      </c>
      <c r="F5233" t="s">
        <v>1009</v>
      </c>
    </row>
    <row r="5234" spans="1:6">
      <c r="A5234" t="s">
        <v>13</v>
      </c>
      <c r="B5234" t="s">
        <v>100</v>
      </c>
      <c r="C5234" t="s">
        <v>1843</v>
      </c>
      <c r="D5234" t="s">
        <v>1982</v>
      </c>
      <c r="E5234" t="s">
        <v>1113</v>
      </c>
      <c r="F5234">
        <v>1922879.37</v>
      </c>
    </row>
    <row r="5235" spans="1:6">
      <c r="A5235" t="s">
        <v>13</v>
      </c>
      <c r="B5235" t="s">
        <v>100</v>
      </c>
      <c r="C5235" t="s">
        <v>1843</v>
      </c>
      <c r="D5235" t="s">
        <v>1982</v>
      </c>
      <c r="E5235" t="s">
        <v>1122</v>
      </c>
      <c r="F5235" t="s">
        <v>1055</v>
      </c>
    </row>
    <row r="5236" spans="1:6">
      <c r="A5236" t="s">
        <v>13</v>
      </c>
      <c r="B5236" t="s">
        <v>100</v>
      </c>
      <c r="C5236" t="s">
        <v>1843</v>
      </c>
      <c r="D5236" t="s">
        <v>1982</v>
      </c>
      <c r="E5236" t="s">
        <v>1071</v>
      </c>
      <c r="F5236" t="s">
        <v>1007</v>
      </c>
    </row>
    <row r="5237" spans="1:6">
      <c r="A5237" t="s">
        <v>13</v>
      </c>
      <c r="B5237" t="s">
        <v>100</v>
      </c>
      <c r="C5237" t="s">
        <v>1843</v>
      </c>
      <c r="D5237" t="s">
        <v>1982</v>
      </c>
      <c r="E5237" t="s">
        <v>1072</v>
      </c>
      <c r="F5237" t="s">
        <v>1009</v>
      </c>
    </row>
    <row r="5238" spans="1:6">
      <c r="A5238" t="s">
        <v>13</v>
      </c>
      <c r="B5238" t="s">
        <v>100</v>
      </c>
      <c r="C5238" t="s">
        <v>1843</v>
      </c>
      <c r="D5238" t="s">
        <v>1982</v>
      </c>
      <c r="E5238" t="s">
        <v>1133</v>
      </c>
      <c r="F5238" t="s">
        <v>1011</v>
      </c>
    </row>
    <row r="5239" spans="1:6">
      <c r="A5239" t="s">
        <v>13</v>
      </c>
      <c r="B5239" t="s">
        <v>100</v>
      </c>
      <c r="C5239" t="s">
        <v>1843</v>
      </c>
      <c r="D5239" t="s">
        <v>1982</v>
      </c>
      <c r="E5239" t="s">
        <v>1134</v>
      </c>
      <c r="F5239" t="s">
        <v>1013</v>
      </c>
    </row>
    <row r="5240" spans="1:6">
      <c r="A5240" t="s">
        <v>13</v>
      </c>
      <c r="B5240" t="s">
        <v>100</v>
      </c>
      <c r="C5240" t="s">
        <v>1843</v>
      </c>
      <c r="D5240" t="s">
        <v>1982</v>
      </c>
      <c r="E5240" t="s">
        <v>1135</v>
      </c>
      <c r="F5240" t="s">
        <v>1015</v>
      </c>
    </row>
    <row r="5241" spans="1:6">
      <c r="A5241" t="s">
        <v>13</v>
      </c>
      <c r="B5241" t="s">
        <v>100</v>
      </c>
      <c r="C5241" t="s">
        <v>1843</v>
      </c>
      <c r="D5241" t="s">
        <v>1982</v>
      </c>
      <c r="E5241" t="s">
        <v>1414</v>
      </c>
      <c r="F5241" t="s">
        <v>1017</v>
      </c>
    </row>
    <row r="5242" spans="1:6">
      <c r="A5242" t="s">
        <v>13</v>
      </c>
      <c r="B5242" t="s">
        <v>100</v>
      </c>
      <c r="C5242" t="s">
        <v>1843</v>
      </c>
      <c r="D5242" t="s">
        <v>1982</v>
      </c>
      <c r="E5242" t="s">
        <v>1530</v>
      </c>
      <c r="F5242" t="s">
        <v>1019</v>
      </c>
    </row>
    <row r="5243" spans="1:6">
      <c r="A5243" t="s">
        <v>13</v>
      </c>
      <c r="B5243" t="s">
        <v>100</v>
      </c>
      <c r="C5243" t="s">
        <v>1843</v>
      </c>
      <c r="D5243" t="s">
        <v>1982</v>
      </c>
      <c r="E5243" t="s">
        <v>1531</v>
      </c>
      <c r="F5243" t="s">
        <v>1021</v>
      </c>
    </row>
    <row r="5244" spans="1:6">
      <c r="A5244" t="s">
        <v>13</v>
      </c>
      <c r="B5244" t="s">
        <v>100</v>
      </c>
      <c r="C5244" t="s">
        <v>1843</v>
      </c>
      <c r="D5244" t="s">
        <v>1982</v>
      </c>
      <c r="E5244" t="s">
        <v>1532</v>
      </c>
      <c r="F5244" t="s">
        <v>1023</v>
      </c>
    </row>
    <row r="5245" spans="1:6">
      <c r="A5245" t="s">
        <v>13</v>
      </c>
      <c r="B5245" t="s">
        <v>100</v>
      </c>
      <c r="C5245" t="s">
        <v>1843</v>
      </c>
      <c r="D5245" t="s">
        <v>1982</v>
      </c>
      <c r="E5245" t="s">
        <v>1533</v>
      </c>
      <c r="F5245" t="s">
        <v>1066</v>
      </c>
    </row>
    <row r="5246" spans="1:6">
      <c r="A5246" t="s">
        <v>13</v>
      </c>
      <c r="B5246" t="s">
        <v>100</v>
      </c>
      <c r="C5246" t="s">
        <v>1843</v>
      </c>
      <c r="D5246" t="s">
        <v>1982</v>
      </c>
      <c r="E5246" t="s">
        <v>1534</v>
      </c>
      <c r="F5246" t="s">
        <v>1027</v>
      </c>
    </row>
    <row r="5247" spans="1:6">
      <c r="A5247" t="s">
        <v>13</v>
      </c>
      <c r="B5247" t="s">
        <v>100</v>
      </c>
      <c r="C5247" t="s">
        <v>1843</v>
      </c>
      <c r="D5247" t="s">
        <v>1982</v>
      </c>
      <c r="E5247" t="s">
        <v>1535</v>
      </c>
      <c r="F5247" t="s">
        <v>1029</v>
      </c>
    </row>
    <row r="5248" spans="1:6">
      <c r="A5248" t="s">
        <v>13</v>
      </c>
      <c r="B5248" t="s">
        <v>100</v>
      </c>
      <c r="C5248" t="s">
        <v>1843</v>
      </c>
      <c r="D5248" t="s">
        <v>1982</v>
      </c>
      <c r="E5248" t="s">
        <v>1536</v>
      </c>
      <c r="F5248" t="s">
        <v>1031</v>
      </c>
    </row>
    <row r="5249" spans="1:6">
      <c r="A5249" t="s">
        <v>13</v>
      </c>
      <c r="B5249" t="s">
        <v>100</v>
      </c>
      <c r="C5249" t="s">
        <v>1843</v>
      </c>
      <c r="D5249" t="s">
        <v>1982</v>
      </c>
      <c r="E5249" t="s">
        <v>1537</v>
      </c>
      <c r="F5249" t="s">
        <v>1033</v>
      </c>
    </row>
    <row r="5250" spans="1:6">
      <c r="A5250" t="s">
        <v>13</v>
      </c>
      <c r="B5250" t="s">
        <v>100</v>
      </c>
      <c r="C5250" t="s">
        <v>1843</v>
      </c>
      <c r="D5250" t="s">
        <v>1982</v>
      </c>
      <c r="E5250" t="s">
        <v>1073</v>
      </c>
      <c r="F5250" t="s">
        <v>93</v>
      </c>
    </row>
    <row r="5251" spans="1:6">
      <c r="A5251" t="s">
        <v>13</v>
      </c>
      <c r="B5251" t="s">
        <v>100</v>
      </c>
      <c r="C5251" t="s">
        <v>1843</v>
      </c>
      <c r="D5251" t="s">
        <v>1982</v>
      </c>
      <c r="E5251" t="s">
        <v>1074</v>
      </c>
      <c r="F5251">
        <v>0</v>
      </c>
    </row>
    <row r="5252" spans="1:6">
      <c r="A5252" t="s">
        <v>13</v>
      </c>
      <c r="B5252" t="s">
        <v>100</v>
      </c>
      <c r="C5252" t="s">
        <v>1843</v>
      </c>
      <c r="D5252" t="s">
        <v>1982</v>
      </c>
      <c r="E5252" t="s">
        <v>1075</v>
      </c>
      <c r="F5252">
        <v>2024</v>
      </c>
    </row>
    <row r="5253" spans="1:6">
      <c r="A5253" t="s">
        <v>13</v>
      </c>
      <c r="B5253" t="s">
        <v>100</v>
      </c>
      <c r="C5253" t="s">
        <v>1843</v>
      </c>
      <c r="D5253" t="s">
        <v>1982</v>
      </c>
      <c r="E5253" t="s">
        <v>1076</v>
      </c>
      <c r="F5253">
        <v>10</v>
      </c>
    </row>
    <row r="5254" spans="1:6">
      <c r="A5254" t="s">
        <v>13</v>
      </c>
      <c r="B5254" t="s">
        <v>100</v>
      </c>
      <c r="C5254" t="s">
        <v>1843</v>
      </c>
      <c r="D5254" t="s">
        <v>1982</v>
      </c>
      <c r="E5254" t="s">
        <v>1089</v>
      </c>
      <c r="F5254">
        <v>2025</v>
      </c>
    </row>
    <row r="5255" spans="1:6">
      <c r="A5255" t="s">
        <v>13</v>
      </c>
      <c r="B5255" t="s">
        <v>100</v>
      </c>
      <c r="C5255" t="s">
        <v>1843</v>
      </c>
      <c r="D5255" t="s">
        <v>1982</v>
      </c>
      <c r="E5255" t="s">
        <v>1090</v>
      </c>
      <c r="F5255">
        <v>3011</v>
      </c>
    </row>
    <row r="5256" spans="1:6">
      <c r="A5256" t="s">
        <v>13</v>
      </c>
      <c r="B5256" t="s">
        <v>100</v>
      </c>
      <c r="C5256" t="s">
        <v>1843</v>
      </c>
      <c r="D5256" t="s">
        <v>1982</v>
      </c>
      <c r="E5256" t="s">
        <v>1139</v>
      </c>
      <c r="F5256">
        <v>5</v>
      </c>
    </row>
    <row r="5257" spans="1:6">
      <c r="A5257" t="s">
        <v>13</v>
      </c>
      <c r="B5257" t="s">
        <v>100</v>
      </c>
      <c r="C5257" t="s">
        <v>1843</v>
      </c>
      <c r="D5257" t="s">
        <v>1982</v>
      </c>
      <c r="E5257" t="s">
        <v>1140</v>
      </c>
      <c r="F5257">
        <v>3</v>
      </c>
    </row>
    <row r="5258" spans="1:6">
      <c r="A5258" t="s">
        <v>13</v>
      </c>
      <c r="B5258" t="s">
        <v>100</v>
      </c>
      <c r="C5258" t="s">
        <v>1843</v>
      </c>
      <c r="D5258" t="s">
        <v>1982</v>
      </c>
      <c r="E5258" t="s">
        <v>1141</v>
      </c>
      <c r="F5258">
        <v>2</v>
      </c>
    </row>
    <row r="5259" spans="1:6">
      <c r="A5259" t="s">
        <v>13</v>
      </c>
      <c r="B5259" t="s">
        <v>100</v>
      </c>
      <c r="C5259" t="s">
        <v>1843</v>
      </c>
      <c r="D5259" t="s">
        <v>1982</v>
      </c>
      <c r="E5259" t="s">
        <v>1423</v>
      </c>
      <c r="F5259">
        <v>90</v>
      </c>
    </row>
    <row r="5260" spans="1:6">
      <c r="A5260" t="s">
        <v>13</v>
      </c>
      <c r="B5260" t="s">
        <v>100</v>
      </c>
      <c r="C5260" t="s">
        <v>1843</v>
      </c>
      <c r="D5260" t="s">
        <v>1982</v>
      </c>
      <c r="E5260" t="s">
        <v>1538</v>
      </c>
      <c r="F5260">
        <v>203</v>
      </c>
    </row>
    <row r="5261" spans="1:6">
      <c r="A5261" t="s">
        <v>13</v>
      </c>
      <c r="B5261" t="s">
        <v>100</v>
      </c>
      <c r="C5261" t="s">
        <v>1843</v>
      </c>
      <c r="D5261" t="s">
        <v>1982</v>
      </c>
      <c r="E5261" t="s">
        <v>1539</v>
      </c>
      <c r="F5261">
        <v>249</v>
      </c>
    </row>
    <row r="5262" spans="1:6">
      <c r="A5262" t="s">
        <v>13</v>
      </c>
      <c r="B5262" t="s">
        <v>100</v>
      </c>
      <c r="C5262" t="s">
        <v>1843</v>
      </c>
      <c r="D5262" t="s">
        <v>1982</v>
      </c>
      <c r="E5262" t="s">
        <v>1540</v>
      </c>
      <c r="F5262">
        <v>438</v>
      </c>
    </row>
    <row r="5263" spans="1:6">
      <c r="A5263" t="s">
        <v>13</v>
      </c>
      <c r="B5263" t="s">
        <v>100</v>
      </c>
      <c r="C5263" t="s">
        <v>1843</v>
      </c>
      <c r="D5263" t="s">
        <v>1982</v>
      </c>
      <c r="E5263" t="s">
        <v>1541</v>
      </c>
      <c r="F5263">
        <v>449</v>
      </c>
    </row>
    <row r="5264" spans="1:6">
      <c r="A5264" t="s">
        <v>13</v>
      </c>
      <c r="B5264" t="s">
        <v>100</v>
      </c>
      <c r="C5264" t="s">
        <v>1843</v>
      </c>
      <c r="D5264" t="s">
        <v>1982</v>
      </c>
      <c r="E5264" t="s">
        <v>1542</v>
      </c>
      <c r="F5264">
        <v>492</v>
      </c>
    </row>
    <row r="5265" spans="1:6">
      <c r="A5265" t="s">
        <v>13</v>
      </c>
      <c r="B5265" t="s">
        <v>100</v>
      </c>
      <c r="C5265" t="s">
        <v>1843</v>
      </c>
      <c r="D5265" t="s">
        <v>1982</v>
      </c>
      <c r="E5265" t="s">
        <v>1543</v>
      </c>
      <c r="F5265">
        <v>640</v>
      </c>
    </row>
    <row r="5266" spans="1:6">
      <c r="A5266" t="s">
        <v>13</v>
      </c>
      <c r="B5266" t="s">
        <v>100</v>
      </c>
      <c r="C5266" t="s">
        <v>1843</v>
      </c>
      <c r="D5266" t="s">
        <v>1982</v>
      </c>
      <c r="E5266" t="s">
        <v>1544</v>
      </c>
      <c r="F5266">
        <v>246</v>
      </c>
    </row>
    <row r="5267" spans="1:6">
      <c r="A5267" t="s">
        <v>13</v>
      </c>
      <c r="B5267" t="s">
        <v>100</v>
      </c>
      <c r="C5267" t="s">
        <v>1843</v>
      </c>
      <c r="D5267" t="s">
        <v>1982</v>
      </c>
      <c r="E5267" t="s">
        <v>1545</v>
      </c>
      <c r="F5267">
        <v>194</v>
      </c>
    </row>
    <row r="5268" spans="1:6">
      <c r="A5268" t="s">
        <v>13</v>
      </c>
      <c r="B5268" t="s">
        <v>100</v>
      </c>
      <c r="C5268" t="s">
        <v>1843</v>
      </c>
      <c r="D5268" t="s">
        <v>1982</v>
      </c>
      <c r="E5268" t="s">
        <v>1546</v>
      </c>
      <c r="F5268">
        <v>2026</v>
      </c>
    </row>
    <row r="5269" spans="1:6">
      <c r="A5269" t="s">
        <v>13</v>
      </c>
      <c r="B5269" t="s">
        <v>100</v>
      </c>
      <c r="C5269" t="s">
        <v>1843</v>
      </c>
      <c r="D5269" t="s">
        <v>1982</v>
      </c>
      <c r="E5269" t="s">
        <v>1298</v>
      </c>
      <c r="F5269">
        <v>1122</v>
      </c>
    </row>
    <row r="5270" spans="1:6">
      <c r="A5270" t="s">
        <v>13</v>
      </c>
      <c r="B5270" t="s">
        <v>100</v>
      </c>
      <c r="C5270" t="s">
        <v>1843</v>
      </c>
      <c r="D5270" t="s">
        <v>1982</v>
      </c>
      <c r="E5270" t="s">
        <v>1299</v>
      </c>
      <c r="F5270">
        <v>266</v>
      </c>
    </row>
    <row r="5271" spans="1:6">
      <c r="A5271" t="s">
        <v>13</v>
      </c>
      <c r="B5271" t="s">
        <v>100</v>
      </c>
      <c r="C5271" t="s">
        <v>1843</v>
      </c>
      <c r="D5271" t="s">
        <v>1982</v>
      </c>
      <c r="E5271" t="s">
        <v>1300</v>
      </c>
      <c r="F5271">
        <v>166</v>
      </c>
    </row>
    <row r="5272" spans="1:6">
      <c r="A5272" t="s">
        <v>13</v>
      </c>
      <c r="B5272" t="s">
        <v>100</v>
      </c>
      <c r="C5272" t="s">
        <v>1843</v>
      </c>
      <c r="D5272" t="s">
        <v>1982</v>
      </c>
      <c r="E5272" t="s">
        <v>1426</v>
      </c>
      <c r="F5272">
        <v>233</v>
      </c>
    </row>
    <row r="5273" spans="1:6">
      <c r="A5273" t="s">
        <v>13</v>
      </c>
      <c r="B5273" t="s">
        <v>100</v>
      </c>
      <c r="C5273" t="s">
        <v>1843</v>
      </c>
      <c r="D5273" t="s">
        <v>1982</v>
      </c>
      <c r="E5273" t="s">
        <v>1400</v>
      </c>
      <c r="F5273">
        <v>148</v>
      </c>
    </row>
    <row r="5274" spans="1:6">
      <c r="A5274" t="s">
        <v>13</v>
      </c>
      <c r="B5274" t="s">
        <v>100</v>
      </c>
      <c r="C5274" t="s">
        <v>1843</v>
      </c>
      <c r="D5274" t="s">
        <v>1982</v>
      </c>
      <c r="E5274" t="s">
        <v>1846</v>
      </c>
      <c r="F5274">
        <v>129</v>
      </c>
    </row>
    <row r="5275" spans="1:6">
      <c r="A5275" t="s">
        <v>13</v>
      </c>
      <c r="B5275" t="s">
        <v>100</v>
      </c>
      <c r="C5275" t="s">
        <v>1843</v>
      </c>
      <c r="D5275" t="s">
        <v>1982</v>
      </c>
      <c r="E5275" t="s">
        <v>1847</v>
      </c>
      <c r="F5275">
        <v>180</v>
      </c>
    </row>
    <row r="5276" spans="1:6">
      <c r="A5276" t="s">
        <v>13</v>
      </c>
      <c r="B5276" t="s">
        <v>100</v>
      </c>
      <c r="C5276" t="s">
        <v>1843</v>
      </c>
      <c r="D5276" t="s">
        <v>1982</v>
      </c>
      <c r="E5276" t="s">
        <v>1848</v>
      </c>
      <c r="F5276">
        <v>0</v>
      </c>
    </row>
    <row r="5277" spans="1:6">
      <c r="A5277" t="s">
        <v>13</v>
      </c>
      <c r="B5277" t="s">
        <v>100</v>
      </c>
      <c r="C5277" t="s">
        <v>1843</v>
      </c>
      <c r="D5277" t="s">
        <v>1982</v>
      </c>
      <c r="E5277" t="s">
        <v>1796</v>
      </c>
      <c r="F5277">
        <v>0</v>
      </c>
    </row>
    <row r="5278" spans="1:6">
      <c r="A5278" t="s">
        <v>13</v>
      </c>
      <c r="B5278" t="s">
        <v>100</v>
      </c>
      <c r="C5278" t="s">
        <v>1843</v>
      </c>
      <c r="D5278" t="s">
        <v>1982</v>
      </c>
      <c r="E5278" t="s">
        <v>1797</v>
      </c>
      <c r="F5278">
        <v>0</v>
      </c>
    </row>
    <row r="5279" spans="1:6">
      <c r="A5279" t="s">
        <v>13</v>
      </c>
      <c r="B5279" t="s">
        <v>100</v>
      </c>
      <c r="C5279" t="s">
        <v>1843</v>
      </c>
      <c r="D5279" t="s">
        <v>1982</v>
      </c>
      <c r="E5279" t="s">
        <v>1582</v>
      </c>
      <c r="F5279">
        <v>0</v>
      </c>
    </row>
    <row r="5280" spans="1:6">
      <c r="A5280" t="s">
        <v>13</v>
      </c>
      <c r="B5280" t="s">
        <v>100</v>
      </c>
      <c r="C5280" t="s">
        <v>1843</v>
      </c>
      <c r="D5280" t="s">
        <v>1982</v>
      </c>
      <c r="E5280" t="s">
        <v>1584</v>
      </c>
      <c r="F5280">
        <v>0</v>
      </c>
    </row>
    <row r="5281" spans="1:6">
      <c r="A5281" t="s">
        <v>13</v>
      </c>
      <c r="B5281" t="s">
        <v>100</v>
      </c>
      <c r="C5281" t="s">
        <v>1843</v>
      </c>
      <c r="D5281" t="s">
        <v>1982</v>
      </c>
      <c r="E5281" t="s">
        <v>1586</v>
      </c>
      <c r="F5281">
        <v>0</v>
      </c>
    </row>
    <row r="5282" spans="1:6">
      <c r="A5282" t="s">
        <v>13</v>
      </c>
      <c r="B5282" t="s">
        <v>100</v>
      </c>
      <c r="C5282" t="s">
        <v>1843</v>
      </c>
      <c r="D5282" t="s">
        <v>1982</v>
      </c>
      <c r="E5282" t="s">
        <v>1143</v>
      </c>
      <c r="F5282" t="s">
        <v>1009</v>
      </c>
    </row>
    <row r="5283" spans="1:6">
      <c r="A5283" t="s">
        <v>13</v>
      </c>
      <c r="B5283" t="s">
        <v>100</v>
      </c>
      <c r="C5283" t="s">
        <v>1843</v>
      </c>
      <c r="D5283" t="s">
        <v>1982</v>
      </c>
      <c r="E5283" t="s">
        <v>1301</v>
      </c>
      <c r="F5283">
        <v>4143</v>
      </c>
    </row>
    <row r="5284" spans="1:6">
      <c r="A5284" t="s">
        <v>13</v>
      </c>
      <c r="B5284" t="s">
        <v>100</v>
      </c>
      <c r="C5284" t="s">
        <v>1843</v>
      </c>
      <c r="D5284" t="s">
        <v>1982</v>
      </c>
      <c r="E5284" t="s">
        <v>1555</v>
      </c>
      <c r="F5284" t="s">
        <v>1003</v>
      </c>
    </row>
    <row r="5285" spans="1:6">
      <c r="A5285" t="s">
        <v>13</v>
      </c>
      <c r="B5285" t="s">
        <v>100</v>
      </c>
      <c r="C5285" t="s">
        <v>1843</v>
      </c>
      <c r="D5285" t="s">
        <v>1982</v>
      </c>
      <c r="E5285" t="s">
        <v>1173</v>
      </c>
      <c r="F5285" t="s">
        <v>1007</v>
      </c>
    </row>
    <row r="5286" spans="1:6">
      <c r="A5286" t="s">
        <v>13</v>
      </c>
      <c r="B5286" t="s">
        <v>100</v>
      </c>
      <c r="C5286" t="s">
        <v>1843</v>
      </c>
      <c r="D5286" t="s">
        <v>1982</v>
      </c>
      <c r="E5286" t="s">
        <v>1175</v>
      </c>
      <c r="F5286" t="s">
        <v>1009</v>
      </c>
    </row>
    <row r="5287" spans="1:6">
      <c r="A5287" t="s">
        <v>13</v>
      </c>
      <c r="B5287" t="s">
        <v>100</v>
      </c>
      <c r="C5287" t="s">
        <v>1843</v>
      </c>
      <c r="D5287" t="s">
        <v>1982</v>
      </c>
      <c r="E5287" t="s">
        <v>1176</v>
      </c>
      <c r="F5287" t="s">
        <v>1011</v>
      </c>
    </row>
    <row r="5288" spans="1:6">
      <c r="A5288" t="s">
        <v>13</v>
      </c>
      <c r="B5288" t="s">
        <v>100</v>
      </c>
      <c r="C5288" t="s">
        <v>1843</v>
      </c>
      <c r="D5288" t="s">
        <v>1982</v>
      </c>
      <c r="E5288" t="s">
        <v>1177</v>
      </c>
      <c r="F5288" t="s">
        <v>1013</v>
      </c>
    </row>
    <row r="5289" spans="1:6">
      <c r="A5289" t="s">
        <v>13</v>
      </c>
      <c r="B5289" t="s">
        <v>100</v>
      </c>
      <c r="C5289" t="s">
        <v>1843</v>
      </c>
      <c r="D5289" t="s">
        <v>1982</v>
      </c>
      <c r="E5289" t="s">
        <v>1178</v>
      </c>
      <c r="F5289" t="s">
        <v>1015</v>
      </c>
    </row>
    <row r="5290" spans="1:6">
      <c r="A5290" t="s">
        <v>13</v>
      </c>
      <c r="B5290" t="s">
        <v>100</v>
      </c>
      <c r="C5290" t="s">
        <v>1843</v>
      </c>
      <c r="D5290" t="s">
        <v>1982</v>
      </c>
      <c r="E5290" t="s">
        <v>1179</v>
      </c>
      <c r="F5290" t="s">
        <v>1017</v>
      </c>
    </row>
    <row r="5291" spans="1:6">
      <c r="A5291" t="s">
        <v>13</v>
      </c>
      <c r="B5291" t="s">
        <v>100</v>
      </c>
      <c r="C5291" t="s">
        <v>1843</v>
      </c>
      <c r="D5291" t="s">
        <v>1982</v>
      </c>
      <c r="E5291" t="s">
        <v>1180</v>
      </c>
      <c r="F5291" t="s">
        <v>1019</v>
      </c>
    </row>
    <row r="5292" spans="1:6">
      <c r="A5292" t="s">
        <v>13</v>
      </c>
      <c r="B5292" t="s">
        <v>100</v>
      </c>
      <c r="C5292" t="s">
        <v>1843</v>
      </c>
      <c r="D5292" t="s">
        <v>1982</v>
      </c>
      <c r="E5292" t="s">
        <v>1181</v>
      </c>
      <c r="F5292" t="s">
        <v>1021</v>
      </c>
    </row>
    <row r="5293" spans="1:6">
      <c r="A5293" t="s">
        <v>13</v>
      </c>
      <c r="B5293" t="s">
        <v>100</v>
      </c>
      <c r="C5293" t="s">
        <v>1843</v>
      </c>
      <c r="D5293" t="s">
        <v>1982</v>
      </c>
      <c r="E5293" t="s">
        <v>1849</v>
      </c>
      <c r="F5293" t="s">
        <v>1023</v>
      </c>
    </row>
    <row r="5294" spans="1:6">
      <c r="A5294" t="s">
        <v>13</v>
      </c>
      <c r="B5294" t="s">
        <v>100</v>
      </c>
      <c r="C5294" t="s">
        <v>1843</v>
      </c>
      <c r="D5294" t="s">
        <v>1982</v>
      </c>
      <c r="E5294" t="s">
        <v>1810</v>
      </c>
      <c r="F5294" t="s">
        <v>1025</v>
      </c>
    </row>
    <row r="5295" spans="1:6">
      <c r="A5295" t="s">
        <v>13</v>
      </c>
      <c r="B5295" t="s">
        <v>100</v>
      </c>
      <c r="C5295" t="s">
        <v>1843</v>
      </c>
      <c r="D5295" t="s">
        <v>1982</v>
      </c>
      <c r="E5295" t="s">
        <v>1811</v>
      </c>
      <c r="F5295" t="s">
        <v>1027</v>
      </c>
    </row>
    <row r="5296" spans="1:6">
      <c r="A5296" t="s">
        <v>13</v>
      </c>
      <c r="B5296" t="s">
        <v>100</v>
      </c>
      <c r="C5296" t="s">
        <v>1843</v>
      </c>
      <c r="D5296" t="s">
        <v>1982</v>
      </c>
      <c r="E5296" t="s">
        <v>1812</v>
      </c>
      <c r="F5296" t="s">
        <v>1029</v>
      </c>
    </row>
    <row r="5297" spans="1:6">
      <c r="A5297" t="s">
        <v>13</v>
      </c>
      <c r="B5297" t="s">
        <v>100</v>
      </c>
      <c r="C5297" t="s">
        <v>1843</v>
      </c>
      <c r="D5297" t="s">
        <v>1982</v>
      </c>
      <c r="E5297" t="s">
        <v>1850</v>
      </c>
      <c r="F5297" t="s">
        <v>1031</v>
      </c>
    </row>
    <row r="5298" spans="1:6">
      <c r="A5298" t="s">
        <v>13</v>
      </c>
      <c r="B5298" t="s">
        <v>100</v>
      </c>
      <c r="C5298" t="s">
        <v>1843</v>
      </c>
      <c r="D5298" t="s">
        <v>1982</v>
      </c>
      <c r="E5298" t="s">
        <v>1851</v>
      </c>
      <c r="F5298" t="s">
        <v>1033</v>
      </c>
    </row>
    <row r="5299" spans="1:6">
      <c r="A5299" t="s">
        <v>13</v>
      </c>
      <c r="B5299" t="s">
        <v>100</v>
      </c>
      <c r="C5299" t="s">
        <v>1843</v>
      </c>
      <c r="D5299" t="s">
        <v>1982</v>
      </c>
      <c r="E5299" t="s">
        <v>1556</v>
      </c>
      <c r="F5299" t="s">
        <v>93</v>
      </c>
    </row>
    <row r="5300" spans="1:6">
      <c r="A5300" t="s">
        <v>13</v>
      </c>
      <c r="B5300" t="s">
        <v>100</v>
      </c>
      <c r="C5300" t="s">
        <v>1843</v>
      </c>
      <c r="D5300" t="s">
        <v>1982</v>
      </c>
      <c r="E5300" t="s">
        <v>1452</v>
      </c>
      <c r="F5300">
        <v>0</v>
      </c>
    </row>
    <row r="5301" spans="1:6">
      <c r="A5301" t="s">
        <v>13</v>
      </c>
      <c r="B5301" t="s">
        <v>100</v>
      </c>
      <c r="C5301" t="s">
        <v>1843</v>
      </c>
      <c r="D5301" t="s">
        <v>1982</v>
      </c>
      <c r="E5301" t="s">
        <v>1182</v>
      </c>
      <c r="F5301">
        <v>2024</v>
      </c>
    </row>
    <row r="5302" spans="1:6">
      <c r="A5302" t="s">
        <v>13</v>
      </c>
      <c r="B5302" t="s">
        <v>100</v>
      </c>
      <c r="C5302" t="s">
        <v>1843</v>
      </c>
      <c r="D5302" t="s">
        <v>1982</v>
      </c>
      <c r="E5302" t="s">
        <v>1184</v>
      </c>
      <c r="F5302">
        <v>1650.17</v>
      </c>
    </row>
    <row r="5303" spans="1:6">
      <c r="A5303" t="s">
        <v>13</v>
      </c>
      <c r="B5303" t="s">
        <v>100</v>
      </c>
      <c r="C5303" t="s">
        <v>1843</v>
      </c>
      <c r="D5303" t="s">
        <v>1982</v>
      </c>
      <c r="E5303" t="s">
        <v>1191</v>
      </c>
      <c r="F5303">
        <v>2025</v>
      </c>
    </row>
    <row r="5304" spans="1:6">
      <c r="A5304" t="s">
        <v>13</v>
      </c>
      <c r="B5304" t="s">
        <v>100</v>
      </c>
      <c r="C5304" t="s">
        <v>1843</v>
      </c>
      <c r="D5304" t="s">
        <v>1982</v>
      </c>
      <c r="E5304" t="s">
        <v>1463</v>
      </c>
      <c r="F5304">
        <v>103016.41</v>
      </c>
    </row>
    <row r="5305" spans="1:6">
      <c r="A5305" t="s">
        <v>13</v>
      </c>
      <c r="B5305" t="s">
        <v>100</v>
      </c>
      <c r="C5305" t="s">
        <v>1843</v>
      </c>
      <c r="D5305" t="s">
        <v>1982</v>
      </c>
      <c r="E5305" t="s">
        <v>1193</v>
      </c>
      <c r="F5305">
        <v>318.3200000000001</v>
      </c>
    </row>
    <row r="5306" spans="1:6">
      <c r="A5306" t="s">
        <v>13</v>
      </c>
      <c r="B5306" t="s">
        <v>100</v>
      </c>
      <c r="C5306" t="s">
        <v>1843</v>
      </c>
      <c r="D5306" t="s">
        <v>1982</v>
      </c>
      <c r="E5306" t="s">
        <v>1194</v>
      </c>
      <c r="F5306">
        <v>386.48</v>
      </c>
    </row>
    <row r="5307" spans="1:6">
      <c r="A5307" t="s">
        <v>13</v>
      </c>
      <c r="B5307" t="s">
        <v>100</v>
      </c>
      <c r="C5307" t="s">
        <v>1843</v>
      </c>
      <c r="D5307" t="s">
        <v>1982</v>
      </c>
      <c r="E5307" t="s">
        <v>1195</v>
      </c>
      <c r="F5307">
        <v>201.95</v>
      </c>
    </row>
    <row r="5308" spans="1:6">
      <c r="A5308" t="s">
        <v>13</v>
      </c>
      <c r="B5308" t="s">
        <v>100</v>
      </c>
      <c r="C5308" t="s">
        <v>1843</v>
      </c>
      <c r="D5308" t="s">
        <v>1982</v>
      </c>
      <c r="E5308" t="s">
        <v>1196</v>
      </c>
      <c r="F5308">
        <v>569.5799999999999</v>
      </c>
    </row>
    <row r="5309" spans="1:6">
      <c r="A5309" t="s">
        <v>13</v>
      </c>
      <c r="B5309" t="s">
        <v>100</v>
      </c>
      <c r="C5309" t="s">
        <v>1843</v>
      </c>
      <c r="D5309" t="s">
        <v>1982</v>
      </c>
      <c r="E5309" t="s">
        <v>1197</v>
      </c>
      <c r="F5309">
        <v>2504.84</v>
      </c>
    </row>
    <row r="5310" spans="1:6">
      <c r="A5310" t="s">
        <v>13</v>
      </c>
      <c r="B5310" t="s">
        <v>100</v>
      </c>
      <c r="C5310" t="s">
        <v>1843</v>
      </c>
      <c r="D5310" t="s">
        <v>1982</v>
      </c>
      <c r="E5310" t="s">
        <v>1198</v>
      </c>
      <c r="F5310">
        <v>5759.880000000006</v>
      </c>
    </row>
    <row r="5311" spans="1:6">
      <c r="A5311" t="s">
        <v>13</v>
      </c>
      <c r="B5311" t="s">
        <v>100</v>
      </c>
      <c r="C5311" t="s">
        <v>1843</v>
      </c>
      <c r="D5311" t="s">
        <v>1982</v>
      </c>
      <c r="E5311" t="s">
        <v>1852</v>
      </c>
      <c r="F5311">
        <v>9459.710000000012</v>
      </c>
    </row>
    <row r="5312" spans="1:6">
      <c r="A5312" t="s">
        <v>13</v>
      </c>
      <c r="B5312" t="s">
        <v>100</v>
      </c>
      <c r="C5312" t="s">
        <v>1843</v>
      </c>
      <c r="D5312" t="s">
        <v>1982</v>
      </c>
      <c r="E5312" t="s">
        <v>1818</v>
      </c>
      <c r="F5312">
        <v>7030.15000000001</v>
      </c>
    </row>
    <row r="5313" spans="1:6">
      <c r="A5313" t="s">
        <v>13</v>
      </c>
      <c r="B5313" t="s">
        <v>100</v>
      </c>
      <c r="C5313" t="s">
        <v>1843</v>
      </c>
      <c r="D5313" t="s">
        <v>1982</v>
      </c>
      <c r="E5313" t="s">
        <v>1819</v>
      </c>
      <c r="F5313">
        <v>11530.47000000001</v>
      </c>
    </row>
    <row r="5314" spans="1:6">
      <c r="A5314" t="s">
        <v>13</v>
      </c>
      <c r="B5314" t="s">
        <v>100</v>
      </c>
      <c r="C5314" t="s">
        <v>1843</v>
      </c>
      <c r="D5314" t="s">
        <v>1982</v>
      </c>
      <c r="E5314" t="s">
        <v>1650</v>
      </c>
      <c r="F5314">
        <v>42109.83000000005</v>
      </c>
    </row>
    <row r="5315" spans="1:6">
      <c r="A5315" t="s">
        <v>13</v>
      </c>
      <c r="B5315" t="s">
        <v>100</v>
      </c>
      <c r="C5315" t="s">
        <v>1843</v>
      </c>
      <c r="D5315" t="s">
        <v>1982</v>
      </c>
      <c r="E5315" t="s">
        <v>1652</v>
      </c>
      <c r="F5315">
        <v>17931.43999999999</v>
      </c>
    </row>
    <row r="5316" spans="1:6">
      <c r="A5316" t="s">
        <v>13</v>
      </c>
      <c r="B5316" t="s">
        <v>100</v>
      </c>
      <c r="C5316" t="s">
        <v>1843</v>
      </c>
      <c r="D5316" t="s">
        <v>1982</v>
      </c>
      <c r="E5316" t="s">
        <v>1653</v>
      </c>
      <c r="F5316">
        <v>5213.760000000003</v>
      </c>
    </row>
    <row r="5317" spans="1:6">
      <c r="A5317" t="s">
        <v>13</v>
      </c>
      <c r="B5317" t="s">
        <v>100</v>
      </c>
      <c r="C5317" t="s">
        <v>1843</v>
      </c>
      <c r="D5317" t="s">
        <v>1982</v>
      </c>
      <c r="E5317" t="s">
        <v>1199</v>
      </c>
      <c r="F5317">
        <v>2026</v>
      </c>
    </row>
    <row r="5318" spans="1:6">
      <c r="A5318" t="s">
        <v>13</v>
      </c>
      <c r="B5318" t="s">
        <v>100</v>
      </c>
      <c r="C5318" t="s">
        <v>1843</v>
      </c>
      <c r="D5318" t="s">
        <v>1982</v>
      </c>
      <c r="E5318" t="s">
        <v>1467</v>
      </c>
      <c r="F5318">
        <v>62430.94</v>
      </c>
    </row>
    <row r="5319" spans="1:6">
      <c r="A5319" t="s">
        <v>13</v>
      </c>
      <c r="B5319" t="s">
        <v>100</v>
      </c>
      <c r="C5319" t="s">
        <v>1843</v>
      </c>
      <c r="D5319" t="s">
        <v>1982</v>
      </c>
      <c r="E5319" t="s">
        <v>1468</v>
      </c>
      <c r="F5319">
        <v>9961.190000000008</v>
      </c>
    </row>
    <row r="5320" spans="1:6">
      <c r="A5320" t="s">
        <v>13</v>
      </c>
      <c r="B5320" t="s">
        <v>100</v>
      </c>
      <c r="C5320" t="s">
        <v>1843</v>
      </c>
      <c r="D5320" t="s">
        <v>1982</v>
      </c>
      <c r="E5320" t="s">
        <v>1469</v>
      </c>
      <c r="F5320">
        <v>6122.150000000002</v>
      </c>
    </row>
    <row r="5321" spans="1:6">
      <c r="A5321" t="s">
        <v>13</v>
      </c>
      <c r="B5321" t="s">
        <v>100</v>
      </c>
      <c r="C5321" t="s">
        <v>1843</v>
      </c>
      <c r="D5321" t="s">
        <v>1982</v>
      </c>
      <c r="E5321" t="s">
        <v>1470</v>
      </c>
      <c r="F5321">
        <v>22237.86999999999</v>
      </c>
    </row>
    <row r="5322" spans="1:6">
      <c r="A5322" t="s">
        <v>13</v>
      </c>
      <c r="B5322" t="s">
        <v>100</v>
      </c>
      <c r="C5322" t="s">
        <v>1843</v>
      </c>
      <c r="D5322" t="s">
        <v>1982</v>
      </c>
      <c r="E5322" t="s">
        <v>1472</v>
      </c>
      <c r="F5322">
        <v>5177.410000000003</v>
      </c>
    </row>
    <row r="5323" spans="1:6">
      <c r="A5323" t="s">
        <v>13</v>
      </c>
      <c r="B5323" t="s">
        <v>100</v>
      </c>
      <c r="C5323" t="s">
        <v>1843</v>
      </c>
      <c r="D5323" t="s">
        <v>1982</v>
      </c>
      <c r="E5323" t="s">
        <v>1559</v>
      </c>
      <c r="F5323">
        <v>13232.12</v>
      </c>
    </row>
    <row r="5324" spans="1:6">
      <c r="A5324" t="s">
        <v>13</v>
      </c>
      <c r="B5324" t="s">
        <v>100</v>
      </c>
      <c r="C5324" t="s">
        <v>1843</v>
      </c>
      <c r="D5324" t="s">
        <v>1982</v>
      </c>
      <c r="E5324" t="s">
        <v>1560</v>
      </c>
      <c r="F5324">
        <v>5700.199999999998</v>
      </c>
    </row>
    <row r="5325" spans="1:6">
      <c r="A5325" t="s">
        <v>13</v>
      </c>
      <c r="B5325" t="s">
        <v>100</v>
      </c>
      <c r="C5325" t="s">
        <v>1843</v>
      </c>
      <c r="D5325" t="s">
        <v>1982</v>
      </c>
      <c r="E5325" t="s">
        <v>1853</v>
      </c>
      <c r="F5325">
        <v>0</v>
      </c>
    </row>
    <row r="5326" spans="1:6">
      <c r="A5326" t="s">
        <v>13</v>
      </c>
      <c r="B5326" t="s">
        <v>100</v>
      </c>
      <c r="C5326" t="s">
        <v>1843</v>
      </c>
      <c r="D5326" t="s">
        <v>1982</v>
      </c>
      <c r="E5326" t="s">
        <v>1820</v>
      </c>
      <c r="F5326">
        <v>0</v>
      </c>
    </row>
    <row r="5327" spans="1:6">
      <c r="A5327" t="s">
        <v>13</v>
      </c>
      <c r="B5327" t="s">
        <v>100</v>
      </c>
      <c r="C5327" t="s">
        <v>1843</v>
      </c>
      <c r="D5327" t="s">
        <v>1982</v>
      </c>
      <c r="E5327" t="s">
        <v>1821</v>
      </c>
      <c r="F5327">
        <v>0</v>
      </c>
    </row>
    <row r="5328" spans="1:6">
      <c r="A5328" t="s">
        <v>13</v>
      </c>
      <c r="B5328" t="s">
        <v>100</v>
      </c>
      <c r="C5328" t="s">
        <v>1843</v>
      </c>
      <c r="D5328" t="s">
        <v>1982</v>
      </c>
      <c r="E5328" t="s">
        <v>1822</v>
      </c>
      <c r="F5328">
        <v>0</v>
      </c>
    </row>
    <row r="5329" spans="1:6">
      <c r="A5329" t="s">
        <v>13</v>
      </c>
      <c r="B5329" t="s">
        <v>100</v>
      </c>
      <c r="C5329" t="s">
        <v>1843</v>
      </c>
      <c r="D5329" t="s">
        <v>1982</v>
      </c>
      <c r="E5329" t="s">
        <v>1854</v>
      </c>
      <c r="F5329">
        <v>0</v>
      </c>
    </row>
    <row r="5330" spans="1:6">
      <c r="A5330" t="s">
        <v>13</v>
      </c>
      <c r="B5330" t="s">
        <v>100</v>
      </c>
      <c r="C5330" t="s">
        <v>1843</v>
      </c>
      <c r="D5330" t="s">
        <v>1982</v>
      </c>
      <c r="E5330" t="s">
        <v>1855</v>
      </c>
      <c r="F5330">
        <v>0</v>
      </c>
    </row>
    <row r="5331" spans="1:6">
      <c r="A5331" t="s">
        <v>13</v>
      </c>
      <c r="B5331" t="s">
        <v>100</v>
      </c>
      <c r="C5331" t="s">
        <v>1843</v>
      </c>
      <c r="D5331" t="s">
        <v>1982</v>
      </c>
      <c r="E5331" t="s">
        <v>1201</v>
      </c>
      <c r="F5331" t="s">
        <v>1009</v>
      </c>
    </row>
    <row r="5332" spans="1:6">
      <c r="A5332" t="s">
        <v>13</v>
      </c>
      <c r="B5332" t="s">
        <v>100</v>
      </c>
      <c r="C5332" t="s">
        <v>1843</v>
      </c>
      <c r="D5332" t="s">
        <v>1982</v>
      </c>
      <c r="E5332" t="s">
        <v>1202</v>
      </c>
      <c r="F5332">
        <v>167097.52</v>
      </c>
    </row>
    <row r="5333" spans="1:6">
      <c r="A5333" t="s">
        <v>13</v>
      </c>
      <c r="B5333" t="s">
        <v>100</v>
      </c>
      <c r="C5333" t="s">
        <v>1843</v>
      </c>
      <c r="D5333" t="s">
        <v>1983</v>
      </c>
      <c r="E5333" t="s">
        <v>1093</v>
      </c>
      <c r="F5333" t="s">
        <v>1094</v>
      </c>
    </row>
    <row r="5334" spans="1:6">
      <c r="A5334" t="s">
        <v>13</v>
      </c>
      <c r="B5334" t="s">
        <v>100</v>
      </c>
      <c r="C5334" t="s">
        <v>1843</v>
      </c>
      <c r="D5334" t="s">
        <v>1983</v>
      </c>
      <c r="E5334" t="s">
        <v>994</v>
      </c>
      <c r="F5334" t="s">
        <v>100</v>
      </c>
    </row>
    <row r="5335" spans="1:6">
      <c r="A5335" t="s">
        <v>13</v>
      </c>
      <c r="B5335" t="s">
        <v>100</v>
      </c>
      <c r="C5335" t="s">
        <v>1843</v>
      </c>
      <c r="D5335" t="s">
        <v>1983</v>
      </c>
      <c r="E5335" t="s">
        <v>995</v>
      </c>
      <c r="F5335" t="s">
        <v>996</v>
      </c>
    </row>
    <row r="5336" spans="1:6">
      <c r="A5336" t="s">
        <v>13</v>
      </c>
      <c r="B5336" t="s">
        <v>100</v>
      </c>
      <c r="C5336" t="s">
        <v>1843</v>
      </c>
      <c r="D5336" t="s">
        <v>1983</v>
      </c>
      <c r="E5336" t="s">
        <v>997</v>
      </c>
      <c r="F5336" t="s">
        <v>1836</v>
      </c>
    </row>
    <row r="5337" spans="1:6">
      <c r="A5337" t="s">
        <v>13</v>
      </c>
      <c r="B5337" t="s">
        <v>100</v>
      </c>
      <c r="C5337" t="s">
        <v>1843</v>
      </c>
      <c r="D5337" t="s">
        <v>1983</v>
      </c>
      <c r="E5337" t="s">
        <v>999</v>
      </c>
      <c r="F5337" t="s">
        <v>1000</v>
      </c>
    </row>
    <row r="5338" spans="1:6">
      <c r="A5338" t="s">
        <v>13</v>
      </c>
      <c r="B5338" t="s">
        <v>100</v>
      </c>
      <c r="C5338" t="s">
        <v>1843</v>
      </c>
      <c r="D5338" t="s">
        <v>1983</v>
      </c>
      <c r="E5338" t="s">
        <v>1001</v>
      </c>
      <c r="F5338" t="s">
        <v>21</v>
      </c>
    </row>
    <row r="5339" spans="1:6">
      <c r="A5339" t="s">
        <v>13</v>
      </c>
      <c r="B5339" t="s">
        <v>100</v>
      </c>
      <c r="C5339" t="s">
        <v>1843</v>
      </c>
      <c r="D5339" t="s">
        <v>1983</v>
      </c>
      <c r="E5339" t="s">
        <v>1002</v>
      </c>
      <c r="F5339" t="s">
        <v>1095</v>
      </c>
    </row>
    <row r="5340" spans="1:6">
      <c r="A5340" t="s">
        <v>13</v>
      </c>
      <c r="B5340" t="s">
        <v>100</v>
      </c>
      <c r="C5340" t="s">
        <v>1843</v>
      </c>
      <c r="D5340" t="s">
        <v>1983</v>
      </c>
      <c r="E5340" t="s">
        <v>1006</v>
      </c>
      <c r="F5340" t="s">
        <v>1097</v>
      </c>
    </row>
    <row r="5341" spans="1:6">
      <c r="A5341" t="s">
        <v>13</v>
      </c>
      <c r="B5341" t="s">
        <v>100</v>
      </c>
      <c r="C5341" t="s">
        <v>1843</v>
      </c>
      <c r="D5341" t="s">
        <v>1983</v>
      </c>
      <c r="E5341" t="s">
        <v>1008</v>
      </c>
      <c r="F5341" t="s">
        <v>1098</v>
      </c>
    </row>
    <row r="5342" spans="1:6">
      <c r="A5342" t="s">
        <v>13</v>
      </c>
      <c r="B5342" t="s">
        <v>100</v>
      </c>
      <c r="C5342" t="s">
        <v>1843</v>
      </c>
      <c r="D5342" t="s">
        <v>1983</v>
      </c>
      <c r="E5342" t="s">
        <v>1035</v>
      </c>
      <c r="F5342" t="s">
        <v>1009</v>
      </c>
    </row>
    <row r="5343" spans="1:6">
      <c r="A5343" t="s">
        <v>13</v>
      </c>
      <c r="B5343" t="s">
        <v>100</v>
      </c>
      <c r="C5343" t="s">
        <v>1843</v>
      </c>
      <c r="D5343" t="s">
        <v>1983</v>
      </c>
      <c r="E5343" t="s">
        <v>1099</v>
      </c>
      <c r="F5343" t="s">
        <v>93</v>
      </c>
    </row>
    <row r="5344" spans="1:6">
      <c r="A5344" t="s">
        <v>13</v>
      </c>
      <c r="B5344" t="s">
        <v>100</v>
      </c>
      <c r="C5344" t="s">
        <v>1843</v>
      </c>
      <c r="D5344" t="s">
        <v>1983</v>
      </c>
      <c r="E5344" t="s">
        <v>1100</v>
      </c>
      <c r="F5344">
        <v>2024</v>
      </c>
    </row>
    <row r="5345" spans="1:6">
      <c r="A5345" t="s">
        <v>13</v>
      </c>
      <c r="B5345" t="s">
        <v>100</v>
      </c>
      <c r="C5345" t="s">
        <v>1843</v>
      </c>
      <c r="D5345" t="s">
        <v>1983</v>
      </c>
      <c r="E5345" t="s">
        <v>1101</v>
      </c>
      <c r="F5345">
        <v>2025</v>
      </c>
    </row>
    <row r="5346" spans="1:6">
      <c r="A5346" t="s">
        <v>13</v>
      </c>
      <c r="B5346" t="s">
        <v>100</v>
      </c>
      <c r="C5346" t="s">
        <v>1843</v>
      </c>
      <c r="D5346" t="s">
        <v>1983</v>
      </c>
      <c r="E5346" t="s">
        <v>1512</v>
      </c>
      <c r="F5346">
        <v>2026</v>
      </c>
    </row>
    <row r="5347" spans="1:6">
      <c r="A5347" t="s">
        <v>13</v>
      </c>
      <c r="B5347" t="s">
        <v>100</v>
      </c>
      <c r="C5347" t="s">
        <v>1843</v>
      </c>
      <c r="D5347" t="s">
        <v>1983</v>
      </c>
      <c r="E5347" t="s">
        <v>1036</v>
      </c>
      <c r="F5347" t="s">
        <v>1102</v>
      </c>
    </row>
    <row r="5348" spans="1:6">
      <c r="A5348" t="s">
        <v>13</v>
      </c>
      <c r="B5348" t="s">
        <v>100</v>
      </c>
      <c r="C5348" t="s">
        <v>1843</v>
      </c>
      <c r="D5348" t="s">
        <v>1983</v>
      </c>
      <c r="E5348" t="s">
        <v>1037</v>
      </c>
      <c r="F5348">
        <v>1922879.37</v>
      </c>
    </row>
    <row r="5349" spans="1:6">
      <c r="A5349" t="s">
        <v>13</v>
      </c>
      <c r="B5349" t="s">
        <v>100</v>
      </c>
      <c r="C5349" t="s">
        <v>1843</v>
      </c>
      <c r="D5349" t="s">
        <v>1983</v>
      </c>
      <c r="E5349" t="s">
        <v>1103</v>
      </c>
      <c r="F5349">
        <v>0</v>
      </c>
    </row>
    <row r="5350" spans="1:6">
      <c r="A5350" t="s">
        <v>13</v>
      </c>
      <c r="B5350" t="s">
        <v>100</v>
      </c>
      <c r="C5350" t="s">
        <v>1843</v>
      </c>
      <c r="D5350" t="s">
        <v>1983</v>
      </c>
      <c r="E5350" t="s">
        <v>1104</v>
      </c>
      <c r="F5350">
        <v>19392.95</v>
      </c>
    </row>
    <row r="5351" spans="1:6">
      <c r="A5351" t="s">
        <v>13</v>
      </c>
      <c r="B5351" t="s">
        <v>100</v>
      </c>
      <c r="C5351" t="s">
        <v>1843</v>
      </c>
      <c r="D5351" t="s">
        <v>1983</v>
      </c>
      <c r="E5351" t="s">
        <v>1105</v>
      </c>
      <c r="F5351">
        <v>1208230.41</v>
      </c>
    </row>
    <row r="5352" spans="1:6">
      <c r="A5352" t="s">
        <v>13</v>
      </c>
      <c r="B5352" t="s">
        <v>100</v>
      </c>
      <c r="C5352" t="s">
        <v>1843</v>
      </c>
      <c r="D5352" t="s">
        <v>1983</v>
      </c>
      <c r="E5352" t="s">
        <v>1346</v>
      </c>
      <c r="F5352">
        <v>695256.0099999999</v>
      </c>
    </row>
    <row r="5353" spans="1:6">
      <c r="A5353" t="s">
        <v>13</v>
      </c>
      <c r="B5353" t="s">
        <v>100</v>
      </c>
      <c r="C5353" t="s">
        <v>1843</v>
      </c>
      <c r="D5353" t="s">
        <v>1983</v>
      </c>
      <c r="E5353" t="s">
        <v>1038</v>
      </c>
      <c r="F5353" t="s">
        <v>1106</v>
      </c>
    </row>
    <row r="5354" spans="1:6">
      <c r="A5354" t="s">
        <v>13</v>
      </c>
      <c r="B5354" t="s">
        <v>100</v>
      </c>
      <c r="C5354" t="s">
        <v>1843</v>
      </c>
      <c r="D5354" t="s">
        <v>1983</v>
      </c>
      <c r="E5354" t="s">
        <v>1039</v>
      </c>
      <c r="F5354">
        <v>1800631.31</v>
      </c>
    </row>
    <row r="5355" spans="1:6">
      <c r="A5355" t="s">
        <v>13</v>
      </c>
      <c r="B5355" t="s">
        <v>100</v>
      </c>
      <c r="C5355" t="s">
        <v>1843</v>
      </c>
      <c r="D5355" t="s">
        <v>1983</v>
      </c>
      <c r="E5355" t="s">
        <v>1040</v>
      </c>
      <c r="F5355">
        <v>0</v>
      </c>
    </row>
    <row r="5356" spans="1:6">
      <c r="A5356" t="s">
        <v>13</v>
      </c>
      <c r="B5356" t="s">
        <v>100</v>
      </c>
      <c r="C5356" t="s">
        <v>1843</v>
      </c>
      <c r="D5356" t="s">
        <v>1983</v>
      </c>
      <c r="E5356" t="s">
        <v>1041</v>
      </c>
      <c r="F5356">
        <v>19392.95</v>
      </c>
    </row>
    <row r="5357" spans="1:6">
      <c r="A5357" t="s">
        <v>13</v>
      </c>
      <c r="B5357" t="s">
        <v>100</v>
      </c>
      <c r="C5357" t="s">
        <v>1843</v>
      </c>
      <c r="D5357" t="s">
        <v>1983</v>
      </c>
      <c r="E5357" t="s">
        <v>1042</v>
      </c>
      <c r="F5357">
        <v>1208230.41</v>
      </c>
    </row>
    <row r="5358" spans="1:6">
      <c r="A5358" t="s">
        <v>13</v>
      </c>
      <c r="B5358" t="s">
        <v>100</v>
      </c>
      <c r="C5358" t="s">
        <v>1843</v>
      </c>
      <c r="D5358" t="s">
        <v>1983</v>
      </c>
      <c r="E5358" t="s">
        <v>1043</v>
      </c>
      <c r="F5358">
        <v>573007.95</v>
      </c>
    </row>
    <row r="5359" spans="1:6">
      <c r="A5359" t="s">
        <v>13</v>
      </c>
      <c r="B5359" t="s">
        <v>100</v>
      </c>
      <c r="C5359" t="s">
        <v>1843</v>
      </c>
      <c r="D5359" t="s">
        <v>1983</v>
      </c>
      <c r="E5359" t="s">
        <v>1052</v>
      </c>
      <c r="F5359" t="s">
        <v>1107</v>
      </c>
    </row>
    <row r="5360" spans="1:6">
      <c r="A5360" t="s">
        <v>13</v>
      </c>
      <c r="B5360" t="s">
        <v>100</v>
      </c>
      <c r="C5360" t="s">
        <v>1843</v>
      </c>
      <c r="D5360" t="s">
        <v>1983</v>
      </c>
      <c r="E5360" t="s">
        <v>1053</v>
      </c>
      <c r="F5360">
        <v>949352.78</v>
      </c>
    </row>
    <row r="5361" spans="1:6">
      <c r="A5361" t="s">
        <v>13</v>
      </c>
      <c r="B5361" t="s">
        <v>100</v>
      </c>
      <c r="C5361" t="s">
        <v>1843</v>
      </c>
      <c r="D5361" t="s">
        <v>1983</v>
      </c>
      <c r="E5361" t="s">
        <v>1108</v>
      </c>
      <c r="F5361">
        <v>0</v>
      </c>
    </row>
    <row r="5362" spans="1:6">
      <c r="A5362" t="s">
        <v>13</v>
      </c>
      <c r="B5362" t="s">
        <v>100</v>
      </c>
      <c r="C5362" t="s">
        <v>1843</v>
      </c>
      <c r="D5362" t="s">
        <v>1983</v>
      </c>
      <c r="E5362" t="s">
        <v>1109</v>
      </c>
      <c r="F5362">
        <v>18849.71</v>
      </c>
    </row>
    <row r="5363" spans="1:6">
      <c r="A5363" t="s">
        <v>13</v>
      </c>
      <c r="B5363" t="s">
        <v>100</v>
      </c>
      <c r="C5363" t="s">
        <v>1843</v>
      </c>
      <c r="D5363" t="s">
        <v>1983</v>
      </c>
      <c r="E5363" t="s">
        <v>1110</v>
      </c>
      <c r="F5363">
        <v>422096.93</v>
      </c>
    </row>
    <row r="5364" spans="1:6">
      <c r="A5364" t="s">
        <v>13</v>
      </c>
      <c r="B5364" t="s">
        <v>100</v>
      </c>
      <c r="C5364" t="s">
        <v>1843</v>
      </c>
      <c r="D5364" t="s">
        <v>1983</v>
      </c>
      <c r="E5364" t="s">
        <v>1521</v>
      </c>
      <c r="F5364">
        <v>508406.14</v>
      </c>
    </row>
    <row r="5365" spans="1:6">
      <c r="A5365" t="s">
        <v>13</v>
      </c>
      <c r="B5365" t="s">
        <v>100</v>
      </c>
      <c r="C5365" t="s">
        <v>1843</v>
      </c>
      <c r="D5365" t="s">
        <v>1983</v>
      </c>
      <c r="E5365" t="s">
        <v>1111</v>
      </c>
      <c r="F5365" t="s">
        <v>1112</v>
      </c>
    </row>
    <row r="5366" spans="1:6">
      <c r="A5366" t="s">
        <v>13</v>
      </c>
      <c r="B5366" t="s">
        <v>100</v>
      </c>
      <c r="C5366" t="s">
        <v>1843</v>
      </c>
      <c r="D5366" t="s">
        <v>1983</v>
      </c>
      <c r="E5366" t="s">
        <v>1113</v>
      </c>
      <c r="F5366">
        <v>0</v>
      </c>
    </row>
    <row r="5367" spans="1:6">
      <c r="A5367" t="s">
        <v>13</v>
      </c>
      <c r="B5367" t="s">
        <v>100</v>
      </c>
      <c r="C5367" t="s">
        <v>1843</v>
      </c>
      <c r="D5367" t="s">
        <v>1983</v>
      </c>
      <c r="E5367" t="s">
        <v>1114</v>
      </c>
      <c r="F5367">
        <v>0</v>
      </c>
    </row>
    <row r="5368" spans="1:6">
      <c r="A5368" t="s">
        <v>13</v>
      </c>
      <c r="B5368" t="s">
        <v>100</v>
      </c>
      <c r="C5368" t="s">
        <v>1843</v>
      </c>
      <c r="D5368" t="s">
        <v>1983</v>
      </c>
      <c r="E5368" t="s">
        <v>1115</v>
      </c>
      <c r="F5368">
        <v>0</v>
      </c>
    </row>
    <row r="5369" spans="1:6">
      <c r="A5369" t="s">
        <v>13</v>
      </c>
      <c r="B5369" t="s">
        <v>100</v>
      </c>
      <c r="C5369" t="s">
        <v>1843</v>
      </c>
      <c r="D5369" t="s">
        <v>1983</v>
      </c>
      <c r="E5369" t="s">
        <v>1116</v>
      </c>
      <c r="F5369">
        <v>0</v>
      </c>
    </row>
    <row r="5370" spans="1:6">
      <c r="A5370" t="s">
        <v>13</v>
      </c>
      <c r="B5370" t="s">
        <v>100</v>
      </c>
      <c r="C5370" t="s">
        <v>1843</v>
      </c>
      <c r="D5370" t="s">
        <v>1983</v>
      </c>
      <c r="E5370" t="s">
        <v>1857</v>
      </c>
      <c r="F5370">
        <v>0</v>
      </c>
    </row>
    <row r="5371" spans="1:6">
      <c r="A5371" t="s">
        <v>13</v>
      </c>
      <c r="B5371" t="s">
        <v>100</v>
      </c>
      <c r="C5371" t="s">
        <v>1843</v>
      </c>
      <c r="D5371" t="s">
        <v>1983</v>
      </c>
      <c r="E5371" t="s">
        <v>1054</v>
      </c>
      <c r="F5371" t="s">
        <v>1117</v>
      </c>
    </row>
    <row r="5372" spans="1:6">
      <c r="A5372" t="s">
        <v>13</v>
      </c>
      <c r="B5372" t="s">
        <v>100</v>
      </c>
      <c r="C5372" t="s">
        <v>1843</v>
      </c>
      <c r="D5372" t="s">
        <v>1983</v>
      </c>
      <c r="E5372" t="s">
        <v>1118</v>
      </c>
      <c r="F5372">
        <v>851278.5299999998</v>
      </c>
    </row>
    <row r="5373" spans="1:6">
      <c r="A5373" t="s">
        <v>13</v>
      </c>
      <c r="B5373" t="s">
        <v>100</v>
      </c>
      <c r="C5373" t="s">
        <v>1843</v>
      </c>
      <c r="D5373" t="s">
        <v>1983</v>
      </c>
      <c r="E5373" t="s">
        <v>1119</v>
      </c>
      <c r="F5373">
        <v>0</v>
      </c>
    </row>
    <row r="5374" spans="1:6">
      <c r="A5374" t="s">
        <v>13</v>
      </c>
      <c r="B5374" t="s">
        <v>100</v>
      </c>
      <c r="C5374" t="s">
        <v>1843</v>
      </c>
      <c r="D5374" t="s">
        <v>1983</v>
      </c>
      <c r="E5374" t="s">
        <v>1120</v>
      </c>
      <c r="F5374">
        <v>543.24</v>
      </c>
    </row>
    <row r="5375" spans="1:6">
      <c r="A5375" t="s">
        <v>13</v>
      </c>
      <c r="B5375" t="s">
        <v>100</v>
      </c>
      <c r="C5375" t="s">
        <v>1843</v>
      </c>
      <c r="D5375" t="s">
        <v>1983</v>
      </c>
      <c r="E5375" t="s">
        <v>1121</v>
      </c>
      <c r="F5375">
        <v>786133.4799999997</v>
      </c>
    </row>
    <row r="5376" spans="1:6">
      <c r="A5376" t="s">
        <v>13</v>
      </c>
      <c r="B5376" t="s">
        <v>100</v>
      </c>
      <c r="C5376" t="s">
        <v>1843</v>
      </c>
      <c r="D5376" t="s">
        <v>1983</v>
      </c>
      <c r="E5376" t="s">
        <v>1858</v>
      </c>
      <c r="F5376">
        <v>64601.81</v>
      </c>
    </row>
    <row r="5377" spans="1:6">
      <c r="A5377" t="s">
        <v>13</v>
      </c>
      <c r="B5377" t="s">
        <v>100</v>
      </c>
      <c r="C5377" t="s">
        <v>1843</v>
      </c>
      <c r="D5377" t="s">
        <v>1983</v>
      </c>
      <c r="E5377" t="s">
        <v>1122</v>
      </c>
      <c r="F5377" t="s">
        <v>1859</v>
      </c>
    </row>
    <row r="5378" spans="1:6">
      <c r="A5378" t="s">
        <v>13</v>
      </c>
      <c r="B5378" t="s">
        <v>100</v>
      </c>
      <c r="C5378" t="s">
        <v>1843</v>
      </c>
      <c r="D5378" t="s">
        <v>1983</v>
      </c>
      <c r="E5378" t="s">
        <v>1124</v>
      </c>
      <c r="F5378">
        <v>111617.2599999998</v>
      </c>
    </row>
    <row r="5379" spans="1:6">
      <c r="A5379" t="s">
        <v>13</v>
      </c>
      <c r="B5379" t="s">
        <v>100</v>
      </c>
      <c r="C5379" t="s">
        <v>1843</v>
      </c>
      <c r="D5379" t="s">
        <v>1983</v>
      </c>
      <c r="E5379" t="s">
        <v>1126</v>
      </c>
      <c r="F5379">
        <v>0</v>
      </c>
    </row>
    <row r="5380" spans="1:6">
      <c r="A5380" t="s">
        <v>13</v>
      </c>
      <c r="B5380" t="s">
        <v>100</v>
      </c>
      <c r="C5380" t="s">
        <v>1843</v>
      </c>
      <c r="D5380" t="s">
        <v>1983</v>
      </c>
      <c r="E5380" t="s">
        <v>1127</v>
      </c>
      <c r="F5380">
        <v>543.24</v>
      </c>
    </row>
    <row r="5381" spans="1:6">
      <c r="A5381" t="s">
        <v>13</v>
      </c>
      <c r="B5381" t="s">
        <v>100</v>
      </c>
      <c r="C5381" t="s">
        <v>1843</v>
      </c>
      <c r="D5381" t="s">
        <v>1983</v>
      </c>
      <c r="E5381" t="s">
        <v>1128</v>
      </c>
      <c r="F5381">
        <v>97915.4399999998</v>
      </c>
    </row>
    <row r="5382" spans="1:6">
      <c r="A5382" t="s">
        <v>13</v>
      </c>
      <c r="B5382" t="s">
        <v>100</v>
      </c>
      <c r="C5382" t="s">
        <v>1843</v>
      </c>
      <c r="D5382" t="s">
        <v>1983</v>
      </c>
      <c r="E5382" t="s">
        <v>1355</v>
      </c>
      <c r="F5382">
        <v>13158.57999999999</v>
      </c>
    </row>
    <row r="5383" spans="1:6">
      <c r="A5383" t="s">
        <v>13</v>
      </c>
      <c r="B5383" t="s">
        <v>100</v>
      </c>
      <c r="C5383" t="s">
        <v>1843</v>
      </c>
      <c r="D5383" t="s">
        <v>1983</v>
      </c>
      <c r="E5383" t="s">
        <v>1056</v>
      </c>
      <c r="F5383" t="s">
        <v>1860</v>
      </c>
    </row>
    <row r="5384" spans="1:6">
      <c r="A5384" t="s">
        <v>13</v>
      </c>
      <c r="B5384" t="s">
        <v>100</v>
      </c>
      <c r="C5384" t="s">
        <v>1843</v>
      </c>
      <c r="D5384" t="s">
        <v>1983</v>
      </c>
      <c r="E5384" t="s">
        <v>1057</v>
      </c>
      <c r="F5384">
        <v>625697.4999999998</v>
      </c>
    </row>
    <row r="5385" spans="1:6">
      <c r="A5385" t="s">
        <v>13</v>
      </c>
      <c r="B5385" t="s">
        <v>100</v>
      </c>
      <c r="C5385" t="s">
        <v>1843</v>
      </c>
      <c r="D5385" t="s">
        <v>1983</v>
      </c>
      <c r="E5385" t="s">
        <v>1058</v>
      </c>
      <c r="F5385">
        <v>0</v>
      </c>
    </row>
    <row r="5386" spans="1:6">
      <c r="A5386" t="s">
        <v>13</v>
      </c>
      <c r="B5386" t="s">
        <v>100</v>
      </c>
      <c r="C5386" t="s">
        <v>1843</v>
      </c>
      <c r="D5386" t="s">
        <v>1983</v>
      </c>
      <c r="E5386" t="s">
        <v>1059</v>
      </c>
      <c r="F5386">
        <v>0</v>
      </c>
    </row>
    <row r="5387" spans="1:6">
      <c r="A5387" t="s">
        <v>13</v>
      </c>
      <c r="B5387" t="s">
        <v>100</v>
      </c>
      <c r="C5387" t="s">
        <v>1843</v>
      </c>
      <c r="D5387" t="s">
        <v>1983</v>
      </c>
      <c r="E5387" t="s">
        <v>1060</v>
      </c>
      <c r="F5387">
        <v>605892.7999999998</v>
      </c>
    </row>
    <row r="5388" spans="1:6">
      <c r="A5388" t="s">
        <v>13</v>
      </c>
      <c r="B5388" t="s">
        <v>100</v>
      </c>
      <c r="C5388" t="s">
        <v>1843</v>
      </c>
      <c r="D5388" t="s">
        <v>1983</v>
      </c>
      <c r="E5388" t="s">
        <v>1061</v>
      </c>
      <c r="F5388">
        <v>19804.7</v>
      </c>
    </row>
    <row r="5389" spans="1:6">
      <c r="A5389" t="s">
        <v>13</v>
      </c>
      <c r="B5389" t="s">
        <v>100</v>
      </c>
      <c r="C5389" t="s">
        <v>1843</v>
      </c>
      <c r="D5389" t="s">
        <v>1983</v>
      </c>
      <c r="E5389" t="s">
        <v>1071</v>
      </c>
      <c r="F5389" t="s">
        <v>1861</v>
      </c>
    </row>
    <row r="5390" spans="1:6">
      <c r="A5390" t="s">
        <v>13</v>
      </c>
      <c r="B5390" t="s">
        <v>100</v>
      </c>
      <c r="C5390" t="s">
        <v>1843</v>
      </c>
      <c r="D5390" t="s">
        <v>1983</v>
      </c>
      <c r="E5390" t="s">
        <v>1072</v>
      </c>
      <c r="F5390">
        <v>65555.23999999998</v>
      </c>
    </row>
    <row r="5391" spans="1:6">
      <c r="A5391" t="s">
        <v>13</v>
      </c>
      <c r="B5391" t="s">
        <v>100</v>
      </c>
      <c r="C5391" t="s">
        <v>1843</v>
      </c>
      <c r="D5391" t="s">
        <v>1983</v>
      </c>
      <c r="E5391" t="s">
        <v>1133</v>
      </c>
      <c r="F5391">
        <v>0</v>
      </c>
    </row>
    <row r="5392" spans="1:6">
      <c r="A5392" t="s">
        <v>13</v>
      </c>
      <c r="B5392" t="s">
        <v>100</v>
      </c>
      <c r="C5392" t="s">
        <v>1843</v>
      </c>
      <c r="D5392" t="s">
        <v>1983</v>
      </c>
      <c r="E5392" t="s">
        <v>1134</v>
      </c>
      <c r="F5392">
        <v>0</v>
      </c>
    </row>
    <row r="5393" spans="1:6">
      <c r="A5393" t="s">
        <v>13</v>
      </c>
      <c r="B5393" t="s">
        <v>100</v>
      </c>
      <c r="C5393" t="s">
        <v>1843</v>
      </c>
      <c r="D5393" t="s">
        <v>1983</v>
      </c>
      <c r="E5393" t="s">
        <v>1135</v>
      </c>
      <c r="F5393">
        <v>40293.98999999998</v>
      </c>
    </row>
    <row r="5394" spans="1:6">
      <c r="A5394" t="s">
        <v>13</v>
      </c>
      <c r="B5394" t="s">
        <v>100</v>
      </c>
      <c r="C5394" t="s">
        <v>1843</v>
      </c>
      <c r="D5394" t="s">
        <v>1983</v>
      </c>
      <c r="E5394" t="s">
        <v>1414</v>
      </c>
      <c r="F5394">
        <v>25261.25</v>
      </c>
    </row>
    <row r="5395" spans="1:6">
      <c r="A5395" t="s">
        <v>13</v>
      </c>
      <c r="B5395" t="s">
        <v>100</v>
      </c>
      <c r="C5395" t="s">
        <v>1843</v>
      </c>
      <c r="D5395" t="s">
        <v>1983</v>
      </c>
      <c r="E5395" t="s">
        <v>1073</v>
      </c>
      <c r="F5395" t="s">
        <v>1862</v>
      </c>
    </row>
    <row r="5396" spans="1:6">
      <c r="A5396" t="s">
        <v>13</v>
      </c>
      <c r="B5396" t="s">
        <v>100</v>
      </c>
      <c r="C5396" t="s">
        <v>1843</v>
      </c>
      <c r="D5396" t="s">
        <v>1983</v>
      </c>
      <c r="E5396" t="s">
        <v>1074</v>
      </c>
      <c r="F5396">
        <v>1189.91</v>
      </c>
    </row>
    <row r="5397" spans="1:6">
      <c r="A5397" t="s">
        <v>13</v>
      </c>
      <c r="B5397" t="s">
        <v>100</v>
      </c>
      <c r="C5397" t="s">
        <v>1843</v>
      </c>
      <c r="D5397" t="s">
        <v>1983</v>
      </c>
      <c r="E5397" t="s">
        <v>1296</v>
      </c>
      <c r="F5397">
        <v>0</v>
      </c>
    </row>
    <row r="5398" spans="1:6">
      <c r="A5398" t="s">
        <v>13</v>
      </c>
      <c r="B5398" t="s">
        <v>100</v>
      </c>
      <c r="C5398" t="s">
        <v>1843</v>
      </c>
      <c r="D5398" t="s">
        <v>1983</v>
      </c>
      <c r="E5398" t="s">
        <v>1297</v>
      </c>
      <c r="F5398">
        <v>0</v>
      </c>
    </row>
    <row r="5399" spans="1:6">
      <c r="A5399" t="s">
        <v>13</v>
      </c>
      <c r="B5399" t="s">
        <v>100</v>
      </c>
      <c r="C5399" t="s">
        <v>1843</v>
      </c>
      <c r="D5399" t="s">
        <v>1983</v>
      </c>
      <c r="E5399" t="s">
        <v>1364</v>
      </c>
      <c r="F5399">
        <v>972.8</v>
      </c>
    </row>
    <row r="5400" spans="1:6">
      <c r="A5400" t="s">
        <v>13</v>
      </c>
      <c r="B5400" t="s">
        <v>100</v>
      </c>
      <c r="C5400" t="s">
        <v>1843</v>
      </c>
      <c r="D5400" t="s">
        <v>1983</v>
      </c>
      <c r="E5400" t="s">
        <v>1365</v>
      </c>
      <c r="F5400">
        <v>217.11</v>
      </c>
    </row>
    <row r="5401" spans="1:6">
      <c r="A5401" t="s">
        <v>13</v>
      </c>
      <c r="B5401" t="s">
        <v>100</v>
      </c>
      <c r="C5401" t="s">
        <v>1843</v>
      </c>
      <c r="D5401" t="s">
        <v>1983</v>
      </c>
      <c r="E5401" t="s">
        <v>1075</v>
      </c>
      <c r="F5401" t="s">
        <v>1863</v>
      </c>
    </row>
    <row r="5402" spans="1:6">
      <c r="A5402" t="s">
        <v>13</v>
      </c>
      <c r="B5402" t="s">
        <v>100</v>
      </c>
      <c r="C5402" t="s">
        <v>1843</v>
      </c>
      <c r="D5402" t="s">
        <v>1983</v>
      </c>
      <c r="E5402" t="s">
        <v>1076</v>
      </c>
      <c r="F5402">
        <v>8269.550000000001</v>
      </c>
    </row>
    <row r="5403" spans="1:6">
      <c r="A5403" t="s">
        <v>13</v>
      </c>
      <c r="B5403" t="s">
        <v>100</v>
      </c>
      <c r="C5403" t="s">
        <v>1843</v>
      </c>
      <c r="D5403" t="s">
        <v>1983</v>
      </c>
      <c r="E5403" t="s">
        <v>1077</v>
      </c>
      <c r="F5403">
        <v>0</v>
      </c>
    </row>
    <row r="5404" spans="1:6">
      <c r="A5404" t="s">
        <v>13</v>
      </c>
      <c r="B5404" t="s">
        <v>100</v>
      </c>
      <c r="C5404" t="s">
        <v>1843</v>
      </c>
      <c r="D5404" t="s">
        <v>1983</v>
      </c>
      <c r="E5404" t="s">
        <v>1078</v>
      </c>
      <c r="F5404">
        <v>0</v>
      </c>
    </row>
    <row r="5405" spans="1:6">
      <c r="A5405" t="s">
        <v>13</v>
      </c>
      <c r="B5405" t="s">
        <v>100</v>
      </c>
      <c r="C5405" t="s">
        <v>1843</v>
      </c>
      <c r="D5405" t="s">
        <v>1983</v>
      </c>
      <c r="E5405" t="s">
        <v>1079</v>
      </c>
      <c r="F5405">
        <v>7573.93</v>
      </c>
    </row>
    <row r="5406" spans="1:6">
      <c r="A5406" t="s">
        <v>13</v>
      </c>
      <c r="B5406" t="s">
        <v>100</v>
      </c>
      <c r="C5406" t="s">
        <v>1843</v>
      </c>
      <c r="D5406" t="s">
        <v>1983</v>
      </c>
      <c r="E5406" t="s">
        <v>1080</v>
      </c>
      <c r="F5406">
        <v>695.62</v>
      </c>
    </row>
    <row r="5407" spans="1:6">
      <c r="A5407" t="s">
        <v>13</v>
      </c>
      <c r="B5407" t="s">
        <v>100</v>
      </c>
      <c r="C5407" t="s">
        <v>1843</v>
      </c>
      <c r="D5407" t="s">
        <v>1983</v>
      </c>
      <c r="E5407" t="s">
        <v>1089</v>
      </c>
      <c r="F5407" t="s">
        <v>1864</v>
      </c>
    </row>
    <row r="5408" spans="1:6">
      <c r="A5408" t="s">
        <v>13</v>
      </c>
      <c r="B5408" t="s">
        <v>100</v>
      </c>
      <c r="C5408" t="s">
        <v>1843</v>
      </c>
      <c r="D5408" t="s">
        <v>1983</v>
      </c>
      <c r="E5408" t="s">
        <v>1090</v>
      </c>
      <c r="F5408">
        <v>36415.93000000001</v>
      </c>
    </row>
    <row r="5409" spans="1:6">
      <c r="A5409" t="s">
        <v>13</v>
      </c>
      <c r="B5409" t="s">
        <v>100</v>
      </c>
      <c r="C5409" t="s">
        <v>1843</v>
      </c>
      <c r="D5409" t="s">
        <v>1983</v>
      </c>
      <c r="E5409" t="s">
        <v>1139</v>
      </c>
      <c r="F5409">
        <v>0</v>
      </c>
    </row>
    <row r="5410" spans="1:6">
      <c r="A5410" t="s">
        <v>13</v>
      </c>
      <c r="B5410" t="s">
        <v>100</v>
      </c>
      <c r="C5410" t="s">
        <v>1843</v>
      </c>
      <c r="D5410" t="s">
        <v>1983</v>
      </c>
      <c r="E5410" t="s">
        <v>1140</v>
      </c>
      <c r="F5410">
        <v>0</v>
      </c>
    </row>
    <row r="5411" spans="1:6">
      <c r="A5411" t="s">
        <v>13</v>
      </c>
      <c r="B5411" t="s">
        <v>100</v>
      </c>
      <c r="C5411" t="s">
        <v>1843</v>
      </c>
      <c r="D5411" t="s">
        <v>1983</v>
      </c>
      <c r="E5411" t="s">
        <v>1141</v>
      </c>
      <c r="F5411">
        <v>33484.52</v>
      </c>
    </row>
    <row r="5412" spans="1:6">
      <c r="A5412" t="s">
        <v>13</v>
      </c>
      <c r="B5412" t="s">
        <v>100</v>
      </c>
      <c r="C5412" t="s">
        <v>1843</v>
      </c>
      <c r="D5412" t="s">
        <v>1983</v>
      </c>
      <c r="E5412" t="s">
        <v>1423</v>
      </c>
      <c r="F5412">
        <v>2931.41</v>
      </c>
    </row>
    <row r="5413" spans="1:6">
      <c r="A5413" t="s">
        <v>13</v>
      </c>
      <c r="B5413" t="s">
        <v>100</v>
      </c>
      <c r="C5413" t="s">
        <v>1843</v>
      </c>
      <c r="D5413" t="s">
        <v>1983</v>
      </c>
      <c r="E5413" t="s">
        <v>1546</v>
      </c>
      <c r="F5413" t="s">
        <v>1865</v>
      </c>
    </row>
    <row r="5414" spans="1:6">
      <c r="A5414" t="s">
        <v>13</v>
      </c>
      <c r="B5414" t="s">
        <v>100</v>
      </c>
      <c r="C5414" t="s">
        <v>1843</v>
      </c>
      <c r="D5414" t="s">
        <v>1983</v>
      </c>
      <c r="E5414" t="s">
        <v>1298</v>
      </c>
      <c r="F5414">
        <v>0</v>
      </c>
    </row>
    <row r="5415" spans="1:6">
      <c r="A5415" t="s">
        <v>13</v>
      </c>
      <c r="B5415" t="s">
        <v>100</v>
      </c>
      <c r="C5415" t="s">
        <v>1843</v>
      </c>
      <c r="D5415" t="s">
        <v>1983</v>
      </c>
      <c r="E5415" t="s">
        <v>1299</v>
      </c>
      <c r="F5415">
        <v>0</v>
      </c>
    </row>
    <row r="5416" spans="1:6">
      <c r="A5416" t="s">
        <v>13</v>
      </c>
      <c r="B5416" t="s">
        <v>100</v>
      </c>
      <c r="C5416" t="s">
        <v>1843</v>
      </c>
      <c r="D5416" t="s">
        <v>1983</v>
      </c>
      <c r="E5416" t="s">
        <v>1300</v>
      </c>
      <c r="F5416">
        <v>0</v>
      </c>
    </row>
    <row r="5417" spans="1:6">
      <c r="A5417" t="s">
        <v>13</v>
      </c>
      <c r="B5417" t="s">
        <v>100</v>
      </c>
      <c r="C5417" t="s">
        <v>1843</v>
      </c>
      <c r="D5417" t="s">
        <v>1983</v>
      </c>
      <c r="E5417" t="s">
        <v>1426</v>
      </c>
      <c r="F5417">
        <v>0</v>
      </c>
    </row>
    <row r="5418" spans="1:6">
      <c r="A5418" t="s">
        <v>13</v>
      </c>
      <c r="B5418" t="s">
        <v>100</v>
      </c>
      <c r="C5418" t="s">
        <v>1843</v>
      </c>
      <c r="D5418" t="s">
        <v>1983</v>
      </c>
      <c r="E5418" t="s">
        <v>1400</v>
      </c>
      <c r="F5418">
        <v>0</v>
      </c>
    </row>
    <row r="5419" spans="1:6">
      <c r="A5419" t="s">
        <v>13</v>
      </c>
      <c r="B5419" t="s">
        <v>100</v>
      </c>
      <c r="C5419" t="s">
        <v>1843</v>
      </c>
      <c r="D5419" t="s">
        <v>1983</v>
      </c>
      <c r="E5419" t="s">
        <v>1143</v>
      </c>
      <c r="F5419" t="s">
        <v>1866</v>
      </c>
    </row>
    <row r="5420" spans="1:6">
      <c r="A5420" t="s">
        <v>13</v>
      </c>
      <c r="B5420" t="s">
        <v>100</v>
      </c>
      <c r="C5420" t="s">
        <v>1843</v>
      </c>
      <c r="D5420" t="s">
        <v>1983</v>
      </c>
      <c r="E5420" t="s">
        <v>1301</v>
      </c>
      <c r="F5420">
        <v>2533.14</v>
      </c>
    </row>
    <row r="5421" spans="1:6">
      <c r="A5421" t="s">
        <v>13</v>
      </c>
      <c r="B5421" t="s">
        <v>100</v>
      </c>
      <c r="C5421" t="s">
        <v>1843</v>
      </c>
      <c r="D5421" t="s">
        <v>1983</v>
      </c>
      <c r="E5421" t="s">
        <v>1302</v>
      </c>
      <c r="F5421">
        <v>0</v>
      </c>
    </row>
    <row r="5422" spans="1:6">
      <c r="A5422" t="s">
        <v>13</v>
      </c>
      <c r="B5422" t="s">
        <v>100</v>
      </c>
      <c r="C5422" t="s">
        <v>1843</v>
      </c>
      <c r="D5422" t="s">
        <v>1983</v>
      </c>
      <c r="E5422" t="s">
        <v>1303</v>
      </c>
      <c r="F5422">
        <v>0</v>
      </c>
    </row>
    <row r="5423" spans="1:6">
      <c r="A5423" t="s">
        <v>13</v>
      </c>
      <c r="B5423" t="s">
        <v>100</v>
      </c>
      <c r="C5423" t="s">
        <v>1843</v>
      </c>
      <c r="D5423" t="s">
        <v>1983</v>
      </c>
      <c r="E5423" t="s">
        <v>1429</v>
      </c>
      <c r="F5423">
        <v>0</v>
      </c>
    </row>
    <row r="5424" spans="1:6">
      <c r="A5424" t="s">
        <v>13</v>
      </c>
      <c r="B5424" t="s">
        <v>100</v>
      </c>
      <c r="C5424" t="s">
        <v>1843</v>
      </c>
      <c r="D5424" t="s">
        <v>1983</v>
      </c>
      <c r="E5424" t="s">
        <v>1145</v>
      </c>
      <c r="F5424">
        <v>2533.14</v>
      </c>
    </row>
    <row r="5425" spans="1:6">
      <c r="A5425" t="s">
        <v>13</v>
      </c>
      <c r="B5425" t="s">
        <v>100</v>
      </c>
      <c r="C5425" t="s">
        <v>1843</v>
      </c>
      <c r="D5425" t="s">
        <v>1983</v>
      </c>
      <c r="E5425" t="s">
        <v>1554</v>
      </c>
      <c r="F5425" t="s">
        <v>1123</v>
      </c>
    </row>
    <row r="5426" spans="1:6">
      <c r="A5426" t="s">
        <v>13</v>
      </c>
      <c r="B5426" t="s">
        <v>100</v>
      </c>
      <c r="C5426" t="s">
        <v>1843</v>
      </c>
      <c r="D5426" t="s">
        <v>1983</v>
      </c>
      <c r="E5426" t="s">
        <v>1392</v>
      </c>
      <c r="F5426">
        <v>0.9364244778391894</v>
      </c>
    </row>
    <row r="5427" spans="1:6">
      <c r="A5427" t="s">
        <v>13</v>
      </c>
      <c r="B5427" t="s">
        <v>100</v>
      </c>
      <c r="C5427" t="s">
        <v>1843</v>
      </c>
      <c r="D5427" t="s">
        <v>1983</v>
      </c>
      <c r="E5427" t="s">
        <v>1393</v>
      </c>
      <c r="F5427">
        <v>0</v>
      </c>
    </row>
    <row r="5428" spans="1:6">
      <c r="A5428" t="s">
        <v>13</v>
      </c>
      <c r="B5428" t="s">
        <v>100</v>
      </c>
      <c r="C5428" t="s">
        <v>1843</v>
      </c>
      <c r="D5428" t="s">
        <v>1983</v>
      </c>
      <c r="E5428" t="s">
        <v>1394</v>
      </c>
      <c r="F5428">
        <v>1</v>
      </c>
    </row>
    <row r="5429" spans="1:6">
      <c r="A5429" t="s">
        <v>13</v>
      </c>
      <c r="B5429" t="s">
        <v>100</v>
      </c>
      <c r="C5429" t="s">
        <v>1843</v>
      </c>
      <c r="D5429" t="s">
        <v>1983</v>
      </c>
      <c r="E5429" t="s">
        <v>1432</v>
      </c>
      <c r="F5429">
        <v>0.9999999999999997</v>
      </c>
    </row>
    <row r="5430" spans="1:6">
      <c r="A5430" t="s">
        <v>13</v>
      </c>
      <c r="B5430" t="s">
        <v>100</v>
      </c>
      <c r="C5430" t="s">
        <v>1843</v>
      </c>
      <c r="D5430" t="s">
        <v>1983</v>
      </c>
      <c r="E5430" t="s">
        <v>1434</v>
      </c>
      <c r="F5430">
        <v>0.8241682801131055</v>
      </c>
    </row>
    <row r="5431" spans="1:6">
      <c r="A5431" t="s">
        <v>13</v>
      </c>
      <c r="B5431" t="s">
        <v>100</v>
      </c>
      <c r="C5431" t="s">
        <v>1843</v>
      </c>
      <c r="D5431" t="s">
        <v>1983</v>
      </c>
      <c r="E5431" t="s">
        <v>1147</v>
      </c>
      <c r="F5431" t="s">
        <v>1130</v>
      </c>
    </row>
    <row r="5432" spans="1:6">
      <c r="A5432" t="s">
        <v>13</v>
      </c>
      <c r="B5432" t="s">
        <v>100</v>
      </c>
      <c r="C5432" t="s">
        <v>1843</v>
      </c>
      <c r="D5432" t="s">
        <v>1983</v>
      </c>
      <c r="E5432" t="s">
        <v>1149</v>
      </c>
      <c r="F5432">
        <v>122248.0599999999</v>
      </c>
    </row>
    <row r="5433" spans="1:6">
      <c r="A5433" t="s">
        <v>13</v>
      </c>
      <c r="B5433" t="s">
        <v>100</v>
      </c>
      <c r="C5433" t="s">
        <v>1843</v>
      </c>
      <c r="D5433" t="s">
        <v>1983</v>
      </c>
      <c r="E5433" t="s">
        <v>1437</v>
      </c>
      <c r="F5433">
        <v>0</v>
      </c>
    </row>
    <row r="5434" spans="1:6">
      <c r="A5434" t="s">
        <v>13</v>
      </c>
      <c r="B5434" t="s">
        <v>100</v>
      </c>
      <c r="C5434" t="s">
        <v>1843</v>
      </c>
      <c r="D5434" t="s">
        <v>1983</v>
      </c>
      <c r="E5434" t="s">
        <v>1438</v>
      </c>
      <c r="F5434">
        <v>0</v>
      </c>
    </row>
    <row r="5435" spans="1:6">
      <c r="A5435" t="s">
        <v>13</v>
      </c>
      <c r="B5435" t="s">
        <v>100</v>
      </c>
      <c r="C5435" t="s">
        <v>1843</v>
      </c>
      <c r="D5435" t="s">
        <v>1983</v>
      </c>
      <c r="E5435" t="s">
        <v>1439</v>
      </c>
      <c r="F5435">
        <v>0</v>
      </c>
    </row>
    <row r="5436" spans="1:6">
      <c r="A5436" t="s">
        <v>13</v>
      </c>
      <c r="B5436" t="s">
        <v>100</v>
      </c>
      <c r="C5436" t="s">
        <v>1843</v>
      </c>
      <c r="D5436" t="s">
        <v>1983</v>
      </c>
      <c r="E5436" t="s">
        <v>1441</v>
      </c>
      <c r="F5436">
        <v>122248.0599999999</v>
      </c>
    </row>
    <row r="5437" spans="1:6">
      <c r="A5437" t="s">
        <v>13</v>
      </c>
      <c r="B5437" t="s">
        <v>100</v>
      </c>
      <c r="C5437" t="s">
        <v>1843</v>
      </c>
      <c r="D5437" t="s">
        <v>1983</v>
      </c>
      <c r="E5437" t="s">
        <v>1555</v>
      </c>
      <c r="F5437" t="s">
        <v>1131</v>
      </c>
    </row>
    <row r="5438" spans="1:6">
      <c r="A5438" t="s">
        <v>13</v>
      </c>
      <c r="B5438" t="s">
        <v>100</v>
      </c>
      <c r="C5438" t="s">
        <v>1843</v>
      </c>
      <c r="D5438" t="s">
        <v>1983</v>
      </c>
      <c r="E5438" t="s">
        <v>1151</v>
      </c>
      <c r="F5438">
        <v>0.06357552216081029</v>
      </c>
    </row>
    <row r="5439" spans="1:6">
      <c r="A5439" t="s">
        <v>13</v>
      </c>
      <c r="B5439" t="s">
        <v>100</v>
      </c>
      <c r="C5439" t="s">
        <v>1843</v>
      </c>
      <c r="D5439" t="s">
        <v>1983</v>
      </c>
      <c r="E5439" t="s">
        <v>1152</v>
      </c>
      <c r="F5439">
        <v>0</v>
      </c>
    </row>
    <row r="5440" spans="1:6">
      <c r="A5440" t="s">
        <v>13</v>
      </c>
      <c r="B5440" t="s">
        <v>100</v>
      </c>
      <c r="C5440" t="s">
        <v>1843</v>
      </c>
      <c r="D5440" t="s">
        <v>1983</v>
      </c>
      <c r="E5440" t="s">
        <v>1154</v>
      </c>
      <c r="F5440">
        <v>0</v>
      </c>
    </row>
    <row r="5441" spans="1:6">
      <c r="A5441" t="s">
        <v>13</v>
      </c>
      <c r="B5441" t="s">
        <v>100</v>
      </c>
      <c r="C5441" t="s">
        <v>1843</v>
      </c>
      <c r="D5441" t="s">
        <v>1983</v>
      </c>
      <c r="E5441" t="s">
        <v>1156</v>
      </c>
      <c r="F5441">
        <v>0</v>
      </c>
    </row>
    <row r="5442" spans="1:6">
      <c r="A5442" t="s">
        <v>13</v>
      </c>
      <c r="B5442" t="s">
        <v>100</v>
      </c>
      <c r="C5442" t="s">
        <v>1843</v>
      </c>
      <c r="D5442" t="s">
        <v>1983</v>
      </c>
      <c r="E5442" t="s">
        <v>1158</v>
      </c>
      <c r="F5442">
        <v>0.1758317198868946</v>
      </c>
    </row>
    <row r="5443" spans="1:6">
      <c r="A5443" t="s">
        <v>13</v>
      </c>
      <c r="B5443" t="s">
        <v>100</v>
      </c>
      <c r="C5443" t="s">
        <v>1843</v>
      </c>
      <c r="D5443" t="s">
        <v>1983</v>
      </c>
      <c r="E5443" t="s">
        <v>1175</v>
      </c>
      <c r="F5443" t="s">
        <v>1137</v>
      </c>
    </row>
    <row r="5444" spans="1:6">
      <c r="A5444" t="s">
        <v>13</v>
      </c>
      <c r="B5444" t="s">
        <v>100</v>
      </c>
      <c r="C5444" t="s">
        <v>1843</v>
      </c>
      <c r="D5444" t="s">
        <v>1983</v>
      </c>
      <c r="E5444" t="s">
        <v>1176</v>
      </c>
      <c r="F5444">
        <v>0</v>
      </c>
    </row>
    <row r="5445" spans="1:6">
      <c r="A5445" t="s">
        <v>13</v>
      </c>
      <c r="B5445" t="s">
        <v>100</v>
      </c>
      <c r="C5445" t="s">
        <v>1843</v>
      </c>
      <c r="D5445" t="s">
        <v>1983</v>
      </c>
      <c r="E5445" t="s">
        <v>1177</v>
      </c>
      <c r="F5445">
        <v>0</v>
      </c>
    </row>
    <row r="5446" spans="1:6">
      <c r="A5446" t="s">
        <v>13</v>
      </c>
      <c r="B5446" t="s">
        <v>100</v>
      </c>
      <c r="C5446" t="s">
        <v>1843</v>
      </c>
      <c r="D5446" t="s">
        <v>1983</v>
      </c>
      <c r="E5446" t="s">
        <v>1178</v>
      </c>
      <c r="F5446">
        <v>0</v>
      </c>
    </row>
    <row r="5447" spans="1:6">
      <c r="A5447" t="s">
        <v>13</v>
      </c>
      <c r="B5447" t="s">
        <v>100</v>
      </c>
      <c r="C5447" t="s">
        <v>1843</v>
      </c>
      <c r="D5447" t="s">
        <v>1983</v>
      </c>
      <c r="E5447" t="s">
        <v>1179</v>
      </c>
      <c r="F5447">
        <v>0</v>
      </c>
    </row>
    <row r="5448" spans="1:6">
      <c r="A5448" t="s">
        <v>13</v>
      </c>
      <c r="B5448" t="s">
        <v>100</v>
      </c>
      <c r="C5448" t="s">
        <v>1843</v>
      </c>
      <c r="D5448" t="s">
        <v>1983</v>
      </c>
      <c r="E5448" t="s">
        <v>1452</v>
      </c>
      <c r="F5448" t="s">
        <v>1138</v>
      </c>
    </row>
    <row r="5449" spans="1:6">
      <c r="A5449" t="s">
        <v>13</v>
      </c>
      <c r="B5449" t="s">
        <v>100</v>
      </c>
      <c r="C5449" t="s">
        <v>1843</v>
      </c>
      <c r="D5449" t="s">
        <v>1983</v>
      </c>
      <c r="E5449" t="s">
        <v>1454</v>
      </c>
      <c r="F5449">
        <v>0</v>
      </c>
    </row>
    <row r="5450" spans="1:6">
      <c r="A5450" t="s">
        <v>13</v>
      </c>
      <c r="B5450" t="s">
        <v>100</v>
      </c>
      <c r="C5450" t="s">
        <v>1843</v>
      </c>
      <c r="D5450" t="s">
        <v>1983</v>
      </c>
      <c r="E5450" t="s">
        <v>1455</v>
      </c>
      <c r="F5450">
        <v>0</v>
      </c>
    </row>
    <row r="5451" spans="1:6">
      <c r="A5451" t="s">
        <v>13</v>
      </c>
      <c r="B5451" t="s">
        <v>100</v>
      </c>
      <c r="C5451" t="s">
        <v>1843</v>
      </c>
      <c r="D5451" t="s">
        <v>1983</v>
      </c>
      <c r="E5451" t="s">
        <v>1456</v>
      </c>
      <c r="F5451">
        <v>0</v>
      </c>
    </row>
    <row r="5452" spans="1:6">
      <c r="A5452" t="s">
        <v>13</v>
      </c>
      <c r="B5452" t="s">
        <v>100</v>
      </c>
      <c r="C5452" t="s">
        <v>1843</v>
      </c>
      <c r="D5452" t="s">
        <v>1983</v>
      </c>
      <c r="E5452" t="s">
        <v>1458</v>
      </c>
      <c r="F5452">
        <v>-0.1127744715078118</v>
      </c>
    </row>
    <row r="5453" spans="1:6">
      <c r="A5453" t="s">
        <v>13</v>
      </c>
      <c r="B5453" t="s">
        <v>100</v>
      </c>
      <c r="C5453" t="s">
        <v>1843</v>
      </c>
      <c r="D5453" t="s">
        <v>1983</v>
      </c>
      <c r="E5453" t="s">
        <v>1191</v>
      </c>
      <c r="F5453" t="s">
        <v>1144</v>
      </c>
    </row>
    <row r="5454" spans="1:6">
      <c r="A5454" t="s">
        <v>13</v>
      </c>
      <c r="B5454" t="s">
        <v>100</v>
      </c>
      <c r="C5454" t="s">
        <v>1843</v>
      </c>
      <c r="D5454" t="s">
        <v>1983</v>
      </c>
      <c r="E5454" t="s">
        <v>1196</v>
      </c>
      <c r="F5454" t="s">
        <v>1146</v>
      </c>
    </row>
    <row r="5455" spans="1:6">
      <c r="A5455" t="s">
        <v>13</v>
      </c>
      <c r="B5455" t="s">
        <v>100</v>
      </c>
      <c r="C5455" t="s">
        <v>1843</v>
      </c>
      <c r="D5455" t="s">
        <v>1983</v>
      </c>
      <c r="E5455" t="s">
        <v>1201</v>
      </c>
      <c r="F5455" t="s">
        <v>1148</v>
      </c>
    </row>
    <row r="5456" spans="1:6">
      <c r="A5456" t="s">
        <v>13</v>
      </c>
      <c r="B5456" t="s">
        <v>100</v>
      </c>
      <c r="C5456" t="s">
        <v>1843</v>
      </c>
      <c r="D5456" t="s">
        <v>1983</v>
      </c>
      <c r="E5456" t="s">
        <v>1202</v>
      </c>
      <c r="F5456" t="s">
        <v>1150</v>
      </c>
    </row>
    <row r="5457" spans="1:6">
      <c r="A5457" t="s">
        <v>13</v>
      </c>
      <c r="B5457" t="s">
        <v>100</v>
      </c>
      <c r="C5457" t="s">
        <v>1843</v>
      </c>
      <c r="D5457" t="s">
        <v>1983</v>
      </c>
      <c r="E5457" t="s">
        <v>1210</v>
      </c>
      <c r="F5457" t="s">
        <v>1009</v>
      </c>
    </row>
    <row r="5458" spans="1:6">
      <c r="A5458" t="s">
        <v>13</v>
      </c>
      <c r="B5458" t="s">
        <v>100</v>
      </c>
      <c r="C5458" t="s">
        <v>1843</v>
      </c>
      <c r="D5458" t="s">
        <v>1983</v>
      </c>
      <c r="E5458" t="s">
        <v>1211</v>
      </c>
      <c r="F5458" t="s">
        <v>1836</v>
      </c>
    </row>
    <row r="5459" spans="1:6">
      <c r="A5459" t="s">
        <v>13</v>
      </c>
      <c r="B5459" t="s">
        <v>100</v>
      </c>
      <c r="C5459" t="s">
        <v>1843</v>
      </c>
      <c r="D5459" t="s">
        <v>1983</v>
      </c>
      <c r="E5459" t="s">
        <v>1212</v>
      </c>
      <c r="F5459" t="s">
        <v>1837</v>
      </c>
    </row>
    <row r="5460" spans="1:6">
      <c r="A5460" t="s">
        <v>13</v>
      </c>
      <c r="B5460" t="s">
        <v>100</v>
      </c>
      <c r="C5460" t="s">
        <v>1843</v>
      </c>
      <c r="D5460" t="s">
        <v>1983</v>
      </c>
      <c r="E5460" t="s">
        <v>1213</v>
      </c>
      <c r="F5460" t="s">
        <v>1838</v>
      </c>
    </row>
    <row r="5461" spans="1:6">
      <c r="A5461" t="s">
        <v>13</v>
      </c>
      <c r="B5461" t="s">
        <v>100</v>
      </c>
      <c r="C5461" t="s">
        <v>1843</v>
      </c>
      <c r="D5461" t="s">
        <v>1983</v>
      </c>
      <c r="E5461" t="s">
        <v>1214</v>
      </c>
      <c r="F5461" t="s">
        <v>1839</v>
      </c>
    </row>
    <row r="5462" spans="1:6">
      <c r="A5462" t="s">
        <v>13</v>
      </c>
      <c r="B5462" t="s">
        <v>100</v>
      </c>
      <c r="C5462" t="s">
        <v>1843</v>
      </c>
      <c r="D5462" t="s">
        <v>1983</v>
      </c>
      <c r="E5462" t="s">
        <v>1215</v>
      </c>
      <c r="F5462" t="s">
        <v>1840</v>
      </c>
    </row>
    <row r="5463" spans="1:6">
      <c r="A5463" t="s">
        <v>13</v>
      </c>
      <c r="B5463" t="s">
        <v>100</v>
      </c>
      <c r="C5463" t="s">
        <v>1843</v>
      </c>
      <c r="D5463" t="s">
        <v>1983</v>
      </c>
      <c r="E5463" t="s">
        <v>1216</v>
      </c>
      <c r="F5463" t="s">
        <v>1841</v>
      </c>
    </row>
    <row r="5464" spans="1:6">
      <c r="A5464" t="s">
        <v>13</v>
      </c>
      <c r="B5464" t="s">
        <v>100</v>
      </c>
      <c r="C5464" t="s">
        <v>1843</v>
      </c>
      <c r="D5464" t="s">
        <v>1983</v>
      </c>
      <c r="E5464" t="s">
        <v>1217</v>
      </c>
      <c r="F5464" t="s">
        <v>1867</v>
      </c>
    </row>
    <row r="5465" spans="1:6">
      <c r="A5465" t="s">
        <v>13</v>
      </c>
      <c r="B5465" t="s">
        <v>100</v>
      </c>
      <c r="C5465" t="s">
        <v>1843</v>
      </c>
      <c r="D5465" t="s">
        <v>1983</v>
      </c>
      <c r="E5465" t="s">
        <v>1218</v>
      </c>
      <c r="F5465">
        <v>695256.0100000001</v>
      </c>
    </row>
    <row r="5466" spans="1:6">
      <c r="A5466" t="s">
        <v>13</v>
      </c>
      <c r="B5466" t="s">
        <v>100</v>
      </c>
      <c r="C5466" t="s">
        <v>1843</v>
      </c>
      <c r="D5466" t="s">
        <v>1983</v>
      </c>
      <c r="E5466" t="s">
        <v>1219</v>
      </c>
      <c r="F5466">
        <v>64474.69000000002</v>
      </c>
    </row>
    <row r="5467" spans="1:6">
      <c r="A5467" t="s">
        <v>13</v>
      </c>
      <c r="B5467" t="s">
        <v>100</v>
      </c>
      <c r="C5467" t="s">
        <v>1843</v>
      </c>
      <c r="D5467" t="s">
        <v>1983</v>
      </c>
      <c r="E5467" t="s">
        <v>1220</v>
      </c>
      <c r="F5467">
        <v>144549.53</v>
      </c>
    </row>
    <row r="5468" spans="1:6">
      <c r="A5468" t="s">
        <v>13</v>
      </c>
      <c r="B5468" t="s">
        <v>100</v>
      </c>
      <c r="C5468" t="s">
        <v>1843</v>
      </c>
      <c r="D5468" t="s">
        <v>1983</v>
      </c>
      <c r="E5468" t="s">
        <v>1221</v>
      </c>
      <c r="F5468">
        <v>57533.93000000002</v>
      </c>
    </row>
    <row r="5469" spans="1:6">
      <c r="A5469" t="s">
        <v>13</v>
      </c>
      <c r="B5469" t="s">
        <v>100</v>
      </c>
      <c r="C5469" t="s">
        <v>1843</v>
      </c>
      <c r="D5469" t="s">
        <v>1983</v>
      </c>
      <c r="E5469" t="s">
        <v>1222</v>
      </c>
      <c r="F5469">
        <v>247666.8200000001</v>
      </c>
    </row>
    <row r="5470" spans="1:6">
      <c r="A5470" t="s">
        <v>13</v>
      </c>
      <c r="B5470" t="s">
        <v>100</v>
      </c>
      <c r="C5470" t="s">
        <v>1843</v>
      </c>
      <c r="D5470" t="s">
        <v>1983</v>
      </c>
      <c r="E5470" t="s">
        <v>1223</v>
      </c>
      <c r="F5470">
        <v>68143.89999999999</v>
      </c>
    </row>
    <row r="5471" spans="1:6">
      <c r="A5471" t="s">
        <v>13</v>
      </c>
      <c r="B5471" t="s">
        <v>100</v>
      </c>
      <c r="C5471" t="s">
        <v>1843</v>
      </c>
      <c r="D5471" t="s">
        <v>1983</v>
      </c>
      <c r="E5471" t="s">
        <v>1224</v>
      </c>
      <c r="F5471">
        <v>112887.1400000001</v>
      </c>
    </row>
    <row r="5472" spans="1:6">
      <c r="A5472" t="s">
        <v>13</v>
      </c>
      <c r="B5472" t="s">
        <v>100</v>
      </c>
      <c r="C5472" t="s">
        <v>1843</v>
      </c>
      <c r="D5472" t="s">
        <v>1983</v>
      </c>
      <c r="E5472" t="s">
        <v>1225</v>
      </c>
      <c r="F5472" t="s">
        <v>1174</v>
      </c>
    </row>
    <row r="5473" spans="1:6">
      <c r="A5473" t="s">
        <v>13</v>
      </c>
      <c r="B5473" t="s">
        <v>100</v>
      </c>
      <c r="C5473" t="s">
        <v>1843</v>
      </c>
      <c r="D5473" t="s">
        <v>1983</v>
      </c>
      <c r="E5473" t="s">
        <v>1480</v>
      </c>
      <c r="F5473">
        <v>1122</v>
      </c>
    </row>
    <row r="5474" spans="1:6">
      <c r="A5474" t="s">
        <v>13</v>
      </c>
      <c r="B5474" t="s">
        <v>100</v>
      </c>
      <c r="C5474" t="s">
        <v>1843</v>
      </c>
      <c r="D5474" t="s">
        <v>1983</v>
      </c>
      <c r="E5474" t="s">
        <v>1227</v>
      </c>
      <c r="F5474">
        <v>180</v>
      </c>
    </row>
    <row r="5475" spans="1:6">
      <c r="A5475" t="s">
        <v>13</v>
      </c>
      <c r="B5475" t="s">
        <v>100</v>
      </c>
      <c r="C5475" t="s">
        <v>1843</v>
      </c>
      <c r="D5475" t="s">
        <v>1983</v>
      </c>
      <c r="E5475" t="s">
        <v>1228</v>
      </c>
      <c r="F5475">
        <v>129</v>
      </c>
    </row>
    <row r="5476" spans="1:6">
      <c r="A5476" t="s">
        <v>13</v>
      </c>
      <c r="B5476" t="s">
        <v>100</v>
      </c>
      <c r="C5476" t="s">
        <v>1843</v>
      </c>
      <c r="D5476" t="s">
        <v>1983</v>
      </c>
      <c r="E5476" t="s">
        <v>1230</v>
      </c>
      <c r="F5476">
        <v>148</v>
      </c>
    </row>
    <row r="5477" spans="1:6">
      <c r="A5477" t="s">
        <v>13</v>
      </c>
      <c r="B5477" t="s">
        <v>100</v>
      </c>
      <c r="C5477" t="s">
        <v>1843</v>
      </c>
      <c r="D5477" t="s">
        <v>1983</v>
      </c>
      <c r="E5477" t="s">
        <v>1231</v>
      </c>
      <c r="F5477">
        <v>233</v>
      </c>
    </row>
    <row r="5478" spans="1:6">
      <c r="A5478" t="s">
        <v>13</v>
      </c>
      <c r="B5478" t="s">
        <v>100</v>
      </c>
      <c r="C5478" t="s">
        <v>1843</v>
      </c>
      <c r="D5478" t="s">
        <v>1983</v>
      </c>
      <c r="E5478" t="s">
        <v>1233</v>
      </c>
      <c r="F5478">
        <v>166</v>
      </c>
    </row>
    <row r="5479" spans="1:6">
      <c r="A5479" t="s">
        <v>13</v>
      </c>
      <c r="B5479" t="s">
        <v>100</v>
      </c>
      <c r="C5479" t="s">
        <v>1843</v>
      </c>
      <c r="D5479" t="s">
        <v>1983</v>
      </c>
      <c r="E5479" t="s">
        <v>1234</v>
      </c>
      <c r="F5479">
        <v>266</v>
      </c>
    </row>
    <row r="5480" spans="1:6">
      <c r="A5480" t="s">
        <v>13</v>
      </c>
      <c r="B5480" t="s">
        <v>100</v>
      </c>
      <c r="C5480" t="s">
        <v>1843</v>
      </c>
      <c r="D5480" t="s">
        <v>1983</v>
      </c>
      <c r="E5480" t="s">
        <v>1245</v>
      </c>
      <c r="F5480" t="s">
        <v>1868</v>
      </c>
    </row>
    <row r="5481" spans="1:6">
      <c r="A5481" t="s">
        <v>13</v>
      </c>
      <c r="B5481" t="s">
        <v>100</v>
      </c>
      <c r="C5481" t="s">
        <v>1843</v>
      </c>
      <c r="D5481" t="s">
        <v>1983</v>
      </c>
      <c r="E5481" t="s">
        <v>1247</v>
      </c>
      <c r="F5481">
        <v>573007.9500000001</v>
      </c>
    </row>
    <row r="5482" spans="1:6">
      <c r="A5482" t="s">
        <v>13</v>
      </c>
      <c r="B5482" t="s">
        <v>100</v>
      </c>
      <c r="C5482" t="s">
        <v>1843</v>
      </c>
      <c r="D5482" t="s">
        <v>1983</v>
      </c>
      <c r="E5482" t="s">
        <v>1248</v>
      </c>
      <c r="F5482">
        <v>13362.66</v>
      </c>
    </row>
    <row r="5483" spans="1:6">
      <c r="A5483" t="s">
        <v>13</v>
      </c>
      <c r="B5483" t="s">
        <v>100</v>
      </c>
      <c r="C5483" t="s">
        <v>1843</v>
      </c>
      <c r="D5483" t="s">
        <v>1983</v>
      </c>
      <c r="E5483" t="s">
        <v>1249</v>
      </c>
      <c r="F5483">
        <v>115584.41</v>
      </c>
    </row>
    <row r="5484" spans="1:6">
      <c r="A5484" t="s">
        <v>13</v>
      </c>
      <c r="B5484" t="s">
        <v>100</v>
      </c>
      <c r="C5484" t="s">
        <v>1843</v>
      </c>
      <c r="D5484" t="s">
        <v>1983</v>
      </c>
      <c r="E5484" t="s">
        <v>1250</v>
      </c>
      <c r="F5484">
        <v>39219.54000000001</v>
      </c>
    </row>
    <row r="5485" spans="1:6">
      <c r="A5485" t="s">
        <v>13</v>
      </c>
      <c r="B5485" t="s">
        <v>100</v>
      </c>
      <c r="C5485" t="s">
        <v>1843</v>
      </c>
      <c r="D5485" t="s">
        <v>1983</v>
      </c>
      <c r="E5485" t="s">
        <v>1251</v>
      </c>
      <c r="F5485">
        <v>230468.7800000001</v>
      </c>
    </row>
    <row r="5486" spans="1:6">
      <c r="A5486" t="s">
        <v>13</v>
      </c>
      <c r="B5486" t="s">
        <v>100</v>
      </c>
      <c r="C5486" t="s">
        <v>1843</v>
      </c>
      <c r="D5486" t="s">
        <v>1983</v>
      </c>
      <c r="E5486" t="s">
        <v>1252</v>
      </c>
      <c r="F5486">
        <v>68143.89999999999</v>
      </c>
    </row>
    <row r="5487" spans="1:6">
      <c r="A5487" t="s">
        <v>13</v>
      </c>
      <c r="B5487" t="s">
        <v>100</v>
      </c>
      <c r="C5487" t="s">
        <v>1843</v>
      </c>
      <c r="D5487" t="s">
        <v>1983</v>
      </c>
      <c r="E5487" t="s">
        <v>1253</v>
      </c>
      <c r="F5487">
        <v>106228.66</v>
      </c>
    </row>
    <row r="5488" spans="1:6">
      <c r="A5488" t="s">
        <v>13</v>
      </c>
      <c r="B5488" t="s">
        <v>100</v>
      </c>
      <c r="C5488" t="s">
        <v>1843</v>
      </c>
      <c r="D5488" t="s">
        <v>1983</v>
      </c>
      <c r="E5488" t="s">
        <v>1254</v>
      </c>
      <c r="F5488" t="s">
        <v>1192</v>
      </c>
    </row>
    <row r="5489" spans="1:6">
      <c r="A5489" t="s">
        <v>13</v>
      </c>
      <c r="B5489" t="s">
        <v>100</v>
      </c>
      <c r="C5489" t="s">
        <v>1843</v>
      </c>
      <c r="D5489" t="s">
        <v>1983</v>
      </c>
      <c r="E5489" t="s">
        <v>1257</v>
      </c>
      <c r="F5489">
        <v>12</v>
      </c>
    </row>
    <row r="5490" spans="1:6">
      <c r="A5490" t="s">
        <v>13</v>
      </c>
      <c r="B5490" t="s">
        <v>100</v>
      </c>
      <c r="C5490" t="s">
        <v>1843</v>
      </c>
      <c r="D5490" t="s">
        <v>1983</v>
      </c>
      <c r="E5490" t="s">
        <v>1258</v>
      </c>
      <c r="F5490">
        <v>24</v>
      </c>
    </row>
    <row r="5491" spans="1:6">
      <c r="A5491" t="s">
        <v>13</v>
      </c>
      <c r="B5491" t="s">
        <v>100</v>
      </c>
      <c r="C5491" t="s">
        <v>1843</v>
      </c>
      <c r="D5491" t="s">
        <v>1983</v>
      </c>
      <c r="E5491" t="s">
        <v>1259</v>
      </c>
      <c r="F5491">
        <v>45</v>
      </c>
    </row>
    <row r="5492" spans="1:6">
      <c r="A5492" t="s">
        <v>13</v>
      </c>
      <c r="B5492" t="s">
        <v>100</v>
      </c>
      <c r="C5492" t="s">
        <v>1843</v>
      </c>
      <c r="D5492" t="s">
        <v>1983</v>
      </c>
      <c r="E5492" t="s">
        <v>1260</v>
      </c>
      <c r="F5492">
        <v>150</v>
      </c>
    </row>
    <row r="5493" spans="1:6">
      <c r="A5493" t="s">
        <v>13</v>
      </c>
      <c r="B5493" t="s">
        <v>100</v>
      </c>
      <c r="C5493" t="s">
        <v>1843</v>
      </c>
      <c r="D5493" t="s">
        <v>1983</v>
      </c>
      <c r="E5493" t="s">
        <v>1261</v>
      </c>
      <c r="F5493">
        <v>166</v>
      </c>
    </row>
    <row r="5494" spans="1:6">
      <c r="A5494" t="s">
        <v>13</v>
      </c>
      <c r="B5494" t="s">
        <v>100</v>
      </c>
      <c r="C5494" t="s">
        <v>1843</v>
      </c>
      <c r="D5494" t="s">
        <v>1983</v>
      </c>
      <c r="E5494" t="s">
        <v>1262</v>
      </c>
      <c r="F5494">
        <v>264</v>
      </c>
    </row>
    <row r="5495" spans="1:6">
      <c r="A5495" t="s">
        <v>13</v>
      </c>
      <c r="B5495" t="s">
        <v>100</v>
      </c>
      <c r="C5495" t="s">
        <v>1843</v>
      </c>
      <c r="D5495" t="s">
        <v>1983</v>
      </c>
      <c r="E5495" t="s">
        <v>1263</v>
      </c>
      <c r="F5495" t="s">
        <v>1869</v>
      </c>
    </row>
    <row r="5496" spans="1:6">
      <c r="A5496" t="s">
        <v>13</v>
      </c>
      <c r="B5496" t="s">
        <v>100</v>
      </c>
      <c r="C5496" t="s">
        <v>1843</v>
      </c>
      <c r="D5496" t="s">
        <v>1983</v>
      </c>
      <c r="E5496" t="s">
        <v>1561</v>
      </c>
      <c r="F5496" t="s">
        <v>1107</v>
      </c>
    </row>
    <row r="5497" spans="1:6">
      <c r="A5497" t="s">
        <v>13</v>
      </c>
      <c r="B5497" t="s">
        <v>100</v>
      </c>
      <c r="C5497" t="s">
        <v>1843</v>
      </c>
      <c r="D5497" t="s">
        <v>1983</v>
      </c>
      <c r="E5497" t="s">
        <v>1562</v>
      </c>
      <c r="F5497">
        <v>508406.1400000001</v>
      </c>
    </row>
    <row r="5498" spans="1:6">
      <c r="A5498" t="s">
        <v>13</v>
      </c>
      <c r="B5498" t="s">
        <v>100</v>
      </c>
      <c r="C5498" t="s">
        <v>1843</v>
      </c>
      <c r="D5498" t="s">
        <v>1983</v>
      </c>
      <c r="E5498" t="s">
        <v>1563</v>
      </c>
      <c r="F5498">
        <v>10888.77</v>
      </c>
    </row>
    <row r="5499" spans="1:6">
      <c r="A5499" t="s">
        <v>13</v>
      </c>
      <c r="B5499" t="s">
        <v>100</v>
      </c>
      <c r="C5499" t="s">
        <v>1843</v>
      </c>
      <c r="D5499" t="s">
        <v>1983</v>
      </c>
      <c r="E5499" t="s">
        <v>1564</v>
      </c>
      <c r="F5499">
        <v>93327.59</v>
      </c>
    </row>
    <row r="5500" spans="1:6">
      <c r="A5500" t="s">
        <v>13</v>
      </c>
      <c r="B5500" t="s">
        <v>100</v>
      </c>
      <c r="C5500" t="s">
        <v>1843</v>
      </c>
      <c r="D5500" t="s">
        <v>1983</v>
      </c>
      <c r="E5500" t="s">
        <v>1565</v>
      </c>
      <c r="F5500">
        <v>34047.29000000001</v>
      </c>
    </row>
    <row r="5501" spans="1:6">
      <c r="A5501" t="s">
        <v>13</v>
      </c>
      <c r="B5501" t="s">
        <v>100</v>
      </c>
      <c r="C5501" t="s">
        <v>1843</v>
      </c>
      <c r="D5501" t="s">
        <v>1983</v>
      </c>
      <c r="E5501" t="s">
        <v>1566</v>
      </c>
      <c r="F5501">
        <v>220801.7900000001</v>
      </c>
    </row>
    <row r="5502" spans="1:6">
      <c r="A5502" t="s">
        <v>13</v>
      </c>
      <c r="B5502" t="s">
        <v>100</v>
      </c>
      <c r="C5502" t="s">
        <v>1843</v>
      </c>
      <c r="D5502" t="s">
        <v>1983</v>
      </c>
      <c r="E5502" t="s">
        <v>1488</v>
      </c>
      <c r="F5502">
        <v>56302.53999999999</v>
      </c>
    </row>
    <row r="5503" spans="1:6">
      <c r="A5503" t="s">
        <v>13</v>
      </c>
      <c r="B5503" t="s">
        <v>100</v>
      </c>
      <c r="C5503" t="s">
        <v>1843</v>
      </c>
      <c r="D5503" t="s">
        <v>1983</v>
      </c>
      <c r="E5503" t="s">
        <v>1567</v>
      </c>
      <c r="F5503">
        <v>93038.16000000002</v>
      </c>
    </row>
    <row r="5504" spans="1:6">
      <c r="A5504" t="s">
        <v>13</v>
      </c>
      <c r="B5504" t="s">
        <v>100</v>
      </c>
      <c r="C5504" t="s">
        <v>1843</v>
      </c>
      <c r="D5504" t="s">
        <v>1983</v>
      </c>
      <c r="E5504" t="s">
        <v>1870</v>
      </c>
      <c r="F5504" t="s">
        <v>1112</v>
      </c>
    </row>
    <row r="5505" spans="1:6">
      <c r="A5505" t="s">
        <v>13</v>
      </c>
      <c r="B5505" t="s">
        <v>100</v>
      </c>
      <c r="C5505" t="s">
        <v>1843</v>
      </c>
      <c r="D5505" t="s">
        <v>1983</v>
      </c>
      <c r="E5505" t="s">
        <v>1737</v>
      </c>
      <c r="F5505">
        <v>0</v>
      </c>
    </row>
    <row r="5506" spans="1:6">
      <c r="A5506" t="s">
        <v>13</v>
      </c>
      <c r="B5506" t="s">
        <v>100</v>
      </c>
      <c r="C5506" t="s">
        <v>1843</v>
      </c>
      <c r="D5506" t="s">
        <v>1983</v>
      </c>
      <c r="E5506" t="s">
        <v>1738</v>
      </c>
      <c r="F5506">
        <v>0</v>
      </c>
    </row>
    <row r="5507" spans="1:6">
      <c r="A5507" t="s">
        <v>13</v>
      </c>
      <c r="B5507" t="s">
        <v>100</v>
      </c>
      <c r="C5507" t="s">
        <v>1843</v>
      </c>
      <c r="D5507" t="s">
        <v>1983</v>
      </c>
      <c r="E5507" t="s">
        <v>1739</v>
      </c>
      <c r="F5507">
        <v>0</v>
      </c>
    </row>
    <row r="5508" spans="1:6">
      <c r="A5508" t="s">
        <v>13</v>
      </c>
      <c r="B5508" t="s">
        <v>100</v>
      </c>
      <c r="C5508" t="s">
        <v>1843</v>
      </c>
      <c r="D5508" t="s">
        <v>1983</v>
      </c>
      <c r="E5508" t="s">
        <v>1740</v>
      </c>
      <c r="F5508">
        <v>0</v>
      </c>
    </row>
    <row r="5509" spans="1:6">
      <c r="A5509" t="s">
        <v>13</v>
      </c>
      <c r="B5509" t="s">
        <v>100</v>
      </c>
      <c r="C5509" t="s">
        <v>1843</v>
      </c>
      <c r="D5509" t="s">
        <v>1983</v>
      </c>
      <c r="E5509" t="s">
        <v>1741</v>
      </c>
      <c r="F5509">
        <v>0</v>
      </c>
    </row>
    <row r="5510" spans="1:6">
      <c r="A5510" t="s">
        <v>13</v>
      </c>
      <c r="B5510" t="s">
        <v>100</v>
      </c>
      <c r="C5510" t="s">
        <v>1843</v>
      </c>
      <c r="D5510" t="s">
        <v>1983</v>
      </c>
      <c r="E5510" t="s">
        <v>1490</v>
      </c>
      <c r="F5510">
        <v>0</v>
      </c>
    </row>
    <row r="5511" spans="1:6">
      <c r="A5511" t="s">
        <v>13</v>
      </c>
      <c r="B5511" t="s">
        <v>100</v>
      </c>
      <c r="C5511" t="s">
        <v>1843</v>
      </c>
      <c r="D5511" t="s">
        <v>1983</v>
      </c>
      <c r="E5511" t="s">
        <v>1871</v>
      </c>
      <c r="F5511">
        <v>0</v>
      </c>
    </row>
    <row r="5512" spans="1:6">
      <c r="A5512" t="s">
        <v>13</v>
      </c>
      <c r="B5512" t="s">
        <v>100</v>
      </c>
      <c r="C5512" t="s">
        <v>1843</v>
      </c>
      <c r="D5512" t="s">
        <v>1983</v>
      </c>
      <c r="E5512" t="s">
        <v>1872</v>
      </c>
      <c r="F5512" t="s">
        <v>1117</v>
      </c>
    </row>
    <row r="5513" spans="1:6">
      <c r="A5513" t="s">
        <v>13</v>
      </c>
      <c r="B5513" t="s">
        <v>100</v>
      </c>
      <c r="C5513" t="s">
        <v>1843</v>
      </c>
      <c r="D5513" t="s">
        <v>1983</v>
      </c>
      <c r="E5513" t="s">
        <v>1742</v>
      </c>
      <c r="F5513">
        <v>64601.81</v>
      </c>
    </row>
    <row r="5514" spans="1:6">
      <c r="A5514" t="s">
        <v>13</v>
      </c>
      <c r="B5514" t="s">
        <v>100</v>
      </c>
      <c r="C5514" t="s">
        <v>1843</v>
      </c>
      <c r="D5514" t="s">
        <v>1983</v>
      </c>
      <c r="E5514" t="s">
        <v>1743</v>
      </c>
      <c r="F5514">
        <v>2473.89</v>
      </c>
    </row>
    <row r="5515" spans="1:6">
      <c r="A5515" t="s">
        <v>13</v>
      </c>
      <c r="B5515" t="s">
        <v>100</v>
      </c>
      <c r="C5515" t="s">
        <v>1843</v>
      </c>
      <c r="D5515" t="s">
        <v>1983</v>
      </c>
      <c r="E5515" t="s">
        <v>1744</v>
      </c>
      <c r="F5515">
        <v>22256.82</v>
      </c>
    </row>
    <row r="5516" spans="1:6">
      <c r="A5516" t="s">
        <v>13</v>
      </c>
      <c r="B5516" t="s">
        <v>100</v>
      </c>
      <c r="C5516" t="s">
        <v>1843</v>
      </c>
      <c r="D5516" t="s">
        <v>1983</v>
      </c>
      <c r="E5516" t="s">
        <v>1873</v>
      </c>
      <c r="F5516">
        <v>5172.250000000001</v>
      </c>
    </row>
    <row r="5517" spans="1:6">
      <c r="A5517" t="s">
        <v>13</v>
      </c>
      <c r="B5517" t="s">
        <v>100</v>
      </c>
      <c r="C5517" t="s">
        <v>1843</v>
      </c>
      <c r="D5517" t="s">
        <v>1983</v>
      </c>
      <c r="E5517" t="s">
        <v>1874</v>
      </c>
      <c r="F5517">
        <v>9666.990000000002</v>
      </c>
    </row>
    <row r="5518" spans="1:6">
      <c r="A5518" t="s">
        <v>13</v>
      </c>
      <c r="B5518" t="s">
        <v>100</v>
      </c>
      <c r="C5518" t="s">
        <v>1843</v>
      </c>
      <c r="D5518" t="s">
        <v>1983</v>
      </c>
      <c r="E5518" t="s">
        <v>1492</v>
      </c>
      <c r="F5518">
        <v>11841.36</v>
      </c>
    </row>
    <row r="5519" spans="1:6">
      <c r="A5519" t="s">
        <v>13</v>
      </c>
      <c r="B5519" t="s">
        <v>100</v>
      </c>
      <c r="C5519" t="s">
        <v>1843</v>
      </c>
      <c r="D5519" t="s">
        <v>1983</v>
      </c>
      <c r="E5519" t="s">
        <v>1875</v>
      </c>
      <c r="F5519">
        <v>13190.5</v>
      </c>
    </row>
    <row r="5520" spans="1:6">
      <c r="A5520" t="s">
        <v>13</v>
      </c>
      <c r="B5520" t="s">
        <v>100</v>
      </c>
      <c r="C5520" t="s">
        <v>1843</v>
      </c>
      <c r="D5520" t="s">
        <v>1983</v>
      </c>
      <c r="E5520" t="s">
        <v>1876</v>
      </c>
      <c r="F5520" t="s">
        <v>1859</v>
      </c>
    </row>
    <row r="5521" spans="1:6">
      <c r="A5521" t="s">
        <v>13</v>
      </c>
      <c r="B5521" t="s">
        <v>100</v>
      </c>
      <c r="C5521" t="s">
        <v>1843</v>
      </c>
      <c r="D5521" t="s">
        <v>1983</v>
      </c>
      <c r="E5521" t="s">
        <v>1877</v>
      </c>
      <c r="F5521">
        <v>13158.58000000001</v>
      </c>
    </row>
    <row r="5522" spans="1:6">
      <c r="A5522" t="s">
        <v>13</v>
      </c>
      <c r="B5522" t="s">
        <v>100</v>
      </c>
      <c r="C5522" t="s">
        <v>1843</v>
      </c>
      <c r="D5522" t="s">
        <v>1983</v>
      </c>
      <c r="E5522" t="s">
        <v>1878</v>
      </c>
      <c r="F5522">
        <v>0</v>
      </c>
    </row>
    <row r="5523" spans="1:6">
      <c r="A5523" t="s">
        <v>13</v>
      </c>
      <c r="B5523" t="s">
        <v>100</v>
      </c>
      <c r="C5523" t="s">
        <v>1843</v>
      </c>
      <c r="D5523" t="s">
        <v>1983</v>
      </c>
      <c r="E5523" t="s">
        <v>1879</v>
      </c>
      <c r="F5523">
        <v>0</v>
      </c>
    </row>
    <row r="5524" spans="1:6">
      <c r="A5524" t="s">
        <v>13</v>
      </c>
      <c r="B5524" t="s">
        <v>100</v>
      </c>
      <c r="C5524" t="s">
        <v>1843</v>
      </c>
      <c r="D5524" t="s">
        <v>1983</v>
      </c>
      <c r="E5524" t="s">
        <v>1880</v>
      </c>
      <c r="F5524">
        <v>0</v>
      </c>
    </row>
    <row r="5525" spans="1:6">
      <c r="A5525" t="s">
        <v>13</v>
      </c>
      <c r="B5525" t="s">
        <v>100</v>
      </c>
      <c r="C5525" t="s">
        <v>1843</v>
      </c>
      <c r="D5525" t="s">
        <v>1983</v>
      </c>
      <c r="E5525" t="s">
        <v>1881</v>
      </c>
      <c r="F5525">
        <v>3481.54</v>
      </c>
    </row>
    <row r="5526" spans="1:6">
      <c r="A5526" t="s">
        <v>13</v>
      </c>
      <c r="B5526" t="s">
        <v>100</v>
      </c>
      <c r="C5526" t="s">
        <v>1843</v>
      </c>
      <c r="D5526" t="s">
        <v>1983</v>
      </c>
      <c r="E5526" t="s">
        <v>1882</v>
      </c>
      <c r="F5526">
        <v>3558.460000000001</v>
      </c>
    </row>
    <row r="5527" spans="1:6">
      <c r="A5527" t="s">
        <v>13</v>
      </c>
      <c r="B5527" t="s">
        <v>100</v>
      </c>
      <c r="C5527" t="s">
        <v>1843</v>
      </c>
      <c r="D5527" t="s">
        <v>1983</v>
      </c>
      <c r="E5527" t="s">
        <v>1883</v>
      </c>
      <c r="F5527">
        <v>6118.580000000003</v>
      </c>
    </row>
    <row r="5528" spans="1:6">
      <c r="A5528" t="s">
        <v>13</v>
      </c>
      <c r="B5528" t="s">
        <v>100</v>
      </c>
      <c r="C5528" t="s">
        <v>1843</v>
      </c>
      <c r="D5528" t="s">
        <v>1983</v>
      </c>
      <c r="E5528" t="s">
        <v>1884</v>
      </c>
      <c r="F5528" t="s">
        <v>1860</v>
      </c>
    </row>
    <row r="5529" spans="1:6">
      <c r="A5529" t="s">
        <v>13</v>
      </c>
      <c r="B5529" t="s">
        <v>100</v>
      </c>
      <c r="C5529" t="s">
        <v>1843</v>
      </c>
      <c r="D5529" t="s">
        <v>1983</v>
      </c>
      <c r="E5529" t="s">
        <v>1885</v>
      </c>
      <c r="F5529">
        <v>19804.7</v>
      </c>
    </row>
    <row r="5530" spans="1:6">
      <c r="A5530" t="s">
        <v>13</v>
      </c>
      <c r="B5530" t="s">
        <v>100</v>
      </c>
      <c r="C5530" t="s">
        <v>1843</v>
      </c>
      <c r="D5530" t="s">
        <v>1983</v>
      </c>
      <c r="E5530" t="s">
        <v>1886</v>
      </c>
      <c r="F5530">
        <v>0</v>
      </c>
    </row>
    <row r="5531" spans="1:6">
      <c r="A5531" t="s">
        <v>13</v>
      </c>
      <c r="B5531" t="s">
        <v>100</v>
      </c>
      <c r="C5531" t="s">
        <v>1843</v>
      </c>
      <c r="D5531" t="s">
        <v>1983</v>
      </c>
      <c r="E5531" t="s">
        <v>1887</v>
      </c>
      <c r="F5531">
        <v>19801.95</v>
      </c>
    </row>
    <row r="5532" spans="1:6">
      <c r="A5532" t="s">
        <v>13</v>
      </c>
      <c r="B5532" t="s">
        <v>100</v>
      </c>
      <c r="C5532" t="s">
        <v>1843</v>
      </c>
      <c r="D5532" t="s">
        <v>1983</v>
      </c>
      <c r="E5532" t="s">
        <v>1888</v>
      </c>
      <c r="F5532">
        <v>0</v>
      </c>
    </row>
    <row r="5533" spans="1:6">
      <c r="A5533" t="s">
        <v>13</v>
      </c>
      <c r="B5533" t="s">
        <v>100</v>
      </c>
      <c r="C5533" t="s">
        <v>1843</v>
      </c>
      <c r="D5533" t="s">
        <v>1983</v>
      </c>
      <c r="E5533" t="s">
        <v>1889</v>
      </c>
      <c r="F5533">
        <v>0</v>
      </c>
    </row>
    <row r="5534" spans="1:6">
      <c r="A5534" t="s">
        <v>13</v>
      </c>
      <c r="B5534" t="s">
        <v>100</v>
      </c>
      <c r="C5534" t="s">
        <v>1843</v>
      </c>
      <c r="D5534" t="s">
        <v>1983</v>
      </c>
      <c r="E5534" t="s">
        <v>1745</v>
      </c>
      <c r="F5534">
        <v>2.75</v>
      </c>
    </row>
    <row r="5535" spans="1:6">
      <c r="A5535" t="s">
        <v>13</v>
      </c>
      <c r="B5535" t="s">
        <v>100</v>
      </c>
      <c r="C5535" t="s">
        <v>1843</v>
      </c>
      <c r="D5535" t="s">
        <v>1983</v>
      </c>
      <c r="E5535" t="s">
        <v>1890</v>
      </c>
      <c r="F5535">
        <v>0</v>
      </c>
    </row>
    <row r="5536" spans="1:6">
      <c r="A5536" t="s">
        <v>13</v>
      </c>
      <c r="B5536" t="s">
        <v>100</v>
      </c>
      <c r="C5536" t="s">
        <v>1843</v>
      </c>
      <c r="D5536" t="s">
        <v>1983</v>
      </c>
      <c r="E5536" t="s">
        <v>1891</v>
      </c>
      <c r="F5536" t="s">
        <v>1861</v>
      </c>
    </row>
    <row r="5537" spans="1:6">
      <c r="A5537" t="s">
        <v>13</v>
      </c>
      <c r="B5537" t="s">
        <v>100</v>
      </c>
      <c r="C5537" t="s">
        <v>1843</v>
      </c>
      <c r="D5537" t="s">
        <v>1983</v>
      </c>
      <c r="E5537" t="s">
        <v>1892</v>
      </c>
      <c r="F5537">
        <v>25261.25</v>
      </c>
    </row>
    <row r="5538" spans="1:6">
      <c r="A5538" t="s">
        <v>13</v>
      </c>
      <c r="B5538" t="s">
        <v>100</v>
      </c>
      <c r="C5538" t="s">
        <v>1843</v>
      </c>
      <c r="D5538" t="s">
        <v>1983</v>
      </c>
      <c r="E5538" t="s">
        <v>1893</v>
      </c>
      <c r="F5538">
        <v>733.95</v>
      </c>
    </row>
    <row r="5539" spans="1:6">
      <c r="A5539" t="s">
        <v>13</v>
      </c>
      <c r="B5539" t="s">
        <v>100</v>
      </c>
      <c r="C5539" t="s">
        <v>1843</v>
      </c>
      <c r="D5539" t="s">
        <v>1983</v>
      </c>
      <c r="E5539" t="s">
        <v>1894</v>
      </c>
      <c r="F5539">
        <v>2454.87</v>
      </c>
    </row>
    <row r="5540" spans="1:6">
      <c r="A5540" t="s">
        <v>13</v>
      </c>
      <c r="B5540" t="s">
        <v>100</v>
      </c>
      <c r="C5540" t="s">
        <v>1843</v>
      </c>
      <c r="D5540" t="s">
        <v>1983</v>
      </c>
      <c r="E5540" t="s">
        <v>1895</v>
      </c>
      <c r="F5540">
        <v>3595.1</v>
      </c>
    </row>
    <row r="5541" spans="1:6">
      <c r="A5541" t="s">
        <v>13</v>
      </c>
      <c r="B5541" t="s">
        <v>100</v>
      </c>
      <c r="C5541" t="s">
        <v>1843</v>
      </c>
      <c r="D5541" t="s">
        <v>1983</v>
      </c>
      <c r="E5541" t="s">
        <v>1896</v>
      </c>
      <c r="F5541">
        <v>3889.640000000001</v>
      </c>
    </row>
    <row r="5542" spans="1:6">
      <c r="A5542" t="s">
        <v>13</v>
      </c>
      <c r="B5542" t="s">
        <v>100</v>
      </c>
      <c r="C5542" t="s">
        <v>1843</v>
      </c>
      <c r="D5542" t="s">
        <v>1983</v>
      </c>
      <c r="E5542" t="s">
        <v>1746</v>
      </c>
      <c r="F5542">
        <v>7801.700000000002</v>
      </c>
    </row>
    <row r="5543" spans="1:6">
      <c r="A5543" t="s">
        <v>13</v>
      </c>
      <c r="B5543" t="s">
        <v>100</v>
      </c>
      <c r="C5543" t="s">
        <v>1843</v>
      </c>
      <c r="D5543" t="s">
        <v>1983</v>
      </c>
      <c r="E5543" t="s">
        <v>1897</v>
      </c>
      <c r="F5543">
        <v>6785.989999999999</v>
      </c>
    </row>
    <row r="5544" spans="1:6">
      <c r="A5544" t="s">
        <v>13</v>
      </c>
      <c r="B5544" t="s">
        <v>100</v>
      </c>
      <c r="C5544" t="s">
        <v>1843</v>
      </c>
      <c r="D5544" t="s">
        <v>1983</v>
      </c>
      <c r="E5544" t="s">
        <v>1898</v>
      </c>
      <c r="F5544" t="s">
        <v>1862</v>
      </c>
    </row>
    <row r="5545" spans="1:6">
      <c r="A5545" t="s">
        <v>13</v>
      </c>
      <c r="B5545" t="s">
        <v>100</v>
      </c>
      <c r="C5545" t="s">
        <v>1843</v>
      </c>
      <c r="D5545" t="s">
        <v>1983</v>
      </c>
      <c r="E5545" t="s">
        <v>1899</v>
      </c>
      <c r="F5545">
        <v>217.11</v>
      </c>
    </row>
    <row r="5546" spans="1:6">
      <c r="A5546" t="s">
        <v>13</v>
      </c>
      <c r="B5546" t="s">
        <v>100</v>
      </c>
      <c r="C5546" t="s">
        <v>1843</v>
      </c>
      <c r="D5546" t="s">
        <v>1983</v>
      </c>
      <c r="E5546" t="s">
        <v>1900</v>
      </c>
      <c r="F5546">
        <v>0</v>
      </c>
    </row>
    <row r="5547" spans="1:6">
      <c r="A5547" t="s">
        <v>13</v>
      </c>
      <c r="B5547" t="s">
        <v>100</v>
      </c>
      <c r="C5547" t="s">
        <v>1843</v>
      </c>
      <c r="D5547" t="s">
        <v>1983</v>
      </c>
      <c r="E5547" t="s">
        <v>1901</v>
      </c>
      <c r="F5547">
        <v>0</v>
      </c>
    </row>
    <row r="5548" spans="1:6">
      <c r="A5548" t="s">
        <v>13</v>
      </c>
      <c r="B5548" t="s">
        <v>100</v>
      </c>
      <c r="C5548" t="s">
        <v>1843</v>
      </c>
      <c r="D5548" t="s">
        <v>1983</v>
      </c>
      <c r="E5548" t="s">
        <v>1902</v>
      </c>
      <c r="F5548">
        <v>5.3</v>
      </c>
    </row>
    <row r="5549" spans="1:6">
      <c r="A5549" t="s">
        <v>13</v>
      </c>
      <c r="B5549" t="s">
        <v>100</v>
      </c>
      <c r="C5549" t="s">
        <v>1843</v>
      </c>
      <c r="D5549" t="s">
        <v>1983</v>
      </c>
      <c r="E5549" t="s">
        <v>1903</v>
      </c>
      <c r="F5549">
        <v>99.63</v>
      </c>
    </row>
    <row r="5550" spans="1:6">
      <c r="A5550" t="s">
        <v>13</v>
      </c>
      <c r="B5550" t="s">
        <v>100</v>
      </c>
      <c r="C5550" t="s">
        <v>1843</v>
      </c>
      <c r="D5550" t="s">
        <v>1983</v>
      </c>
      <c r="E5550" t="s">
        <v>1747</v>
      </c>
      <c r="F5550">
        <v>3.79</v>
      </c>
    </row>
    <row r="5551" spans="1:6">
      <c r="A5551" t="s">
        <v>13</v>
      </c>
      <c r="B5551" t="s">
        <v>100</v>
      </c>
      <c r="C5551" t="s">
        <v>1843</v>
      </c>
      <c r="D5551" t="s">
        <v>1983</v>
      </c>
      <c r="E5551" t="s">
        <v>1904</v>
      </c>
      <c r="F5551">
        <v>108.39</v>
      </c>
    </row>
    <row r="5552" spans="1:6">
      <c r="A5552" t="s">
        <v>13</v>
      </c>
      <c r="B5552" t="s">
        <v>100</v>
      </c>
      <c r="C5552" t="s">
        <v>1843</v>
      </c>
      <c r="D5552" t="s">
        <v>1983</v>
      </c>
      <c r="E5552" t="s">
        <v>1905</v>
      </c>
      <c r="F5552" t="s">
        <v>1863</v>
      </c>
    </row>
    <row r="5553" spans="1:6">
      <c r="A5553" t="s">
        <v>13</v>
      </c>
      <c r="B5553" t="s">
        <v>100</v>
      </c>
      <c r="C5553" t="s">
        <v>1843</v>
      </c>
      <c r="D5553" t="s">
        <v>1983</v>
      </c>
      <c r="E5553" t="s">
        <v>1906</v>
      </c>
      <c r="F5553">
        <v>695.62</v>
      </c>
    </row>
    <row r="5554" spans="1:6">
      <c r="A5554" t="s">
        <v>13</v>
      </c>
      <c r="B5554" t="s">
        <v>100</v>
      </c>
      <c r="C5554" t="s">
        <v>1843</v>
      </c>
      <c r="D5554" t="s">
        <v>1983</v>
      </c>
      <c r="E5554" t="s">
        <v>1907</v>
      </c>
      <c r="F5554">
        <v>0</v>
      </c>
    </row>
    <row r="5555" spans="1:6">
      <c r="A5555" t="s">
        <v>13</v>
      </c>
      <c r="B5555" t="s">
        <v>100</v>
      </c>
      <c r="C5555" t="s">
        <v>1843</v>
      </c>
      <c r="D5555" t="s">
        <v>1983</v>
      </c>
      <c r="E5555" t="s">
        <v>1908</v>
      </c>
      <c r="F5555">
        <v>0</v>
      </c>
    </row>
    <row r="5556" spans="1:6">
      <c r="A5556" t="s">
        <v>13</v>
      </c>
      <c r="B5556" t="s">
        <v>100</v>
      </c>
      <c r="C5556" t="s">
        <v>1843</v>
      </c>
      <c r="D5556" t="s">
        <v>1983</v>
      </c>
      <c r="E5556" t="s">
        <v>1909</v>
      </c>
      <c r="F5556">
        <v>695.62</v>
      </c>
    </row>
    <row r="5557" spans="1:6">
      <c r="A5557" t="s">
        <v>13</v>
      </c>
      <c r="B5557" t="s">
        <v>100</v>
      </c>
      <c r="C5557" t="s">
        <v>1843</v>
      </c>
      <c r="D5557" t="s">
        <v>1983</v>
      </c>
      <c r="E5557" t="s">
        <v>1910</v>
      </c>
      <c r="F5557">
        <v>0</v>
      </c>
    </row>
    <row r="5558" spans="1:6">
      <c r="A5558" t="s">
        <v>13</v>
      </c>
      <c r="B5558" t="s">
        <v>100</v>
      </c>
      <c r="C5558" t="s">
        <v>1843</v>
      </c>
      <c r="D5558" t="s">
        <v>1983</v>
      </c>
      <c r="E5558" t="s">
        <v>1911</v>
      </c>
      <c r="F5558">
        <v>0</v>
      </c>
    </row>
    <row r="5559" spans="1:6">
      <c r="A5559" t="s">
        <v>13</v>
      </c>
      <c r="B5559" t="s">
        <v>100</v>
      </c>
      <c r="C5559" t="s">
        <v>1843</v>
      </c>
      <c r="D5559" t="s">
        <v>1983</v>
      </c>
      <c r="E5559" t="s">
        <v>1912</v>
      </c>
      <c r="F5559">
        <v>0</v>
      </c>
    </row>
    <row r="5560" spans="1:6">
      <c r="A5560" t="s">
        <v>13</v>
      </c>
      <c r="B5560" t="s">
        <v>100</v>
      </c>
      <c r="C5560" t="s">
        <v>1843</v>
      </c>
      <c r="D5560" t="s">
        <v>1983</v>
      </c>
      <c r="E5560" t="s">
        <v>1913</v>
      </c>
      <c r="F5560" t="s">
        <v>1864</v>
      </c>
    </row>
    <row r="5561" spans="1:6">
      <c r="A5561" t="s">
        <v>13</v>
      </c>
      <c r="B5561" t="s">
        <v>100</v>
      </c>
      <c r="C5561" t="s">
        <v>1843</v>
      </c>
      <c r="D5561" t="s">
        <v>1983</v>
      </c>
      <c r="E5561" t="s">
        <v>1914</v>
      </c>
      <c r="F5561">
        <v>2931.41</v>
      </c>
    </row>
    <row r="5562" spans="1:6">
      <c r="A5562" t="s">
        <v>13</v>
      </c>
      <c r="B5562" t="s">
        <v>100</v>
      </c>
      <c r="C5562" t="s">
        <v>1843</v>
      </c>
      <c r="D5562" t="s">
        <v>1983</v>
      </c>
      <c r="E5562" t="s">
        <v>1915</v>
      </c>
      <c r="F5562">
        <v>57.73</v>
      </c>
    </row>
    <row r="5563" spans="1:6">
      <c r="A5563" t="s">
        <v>13</v>
      </c>
      <c r="B5563" t="s">
        <v>100</v>
      </c>
      <c r="C5563" t="s">
        <v>1843</v>
      </c>
      <c r="D5563" t="s">
        <v>1983</v>
      </c>
      <c r="E5563" t="s">
        <v>1916</v>
      </c>
      <c r="F5563">
        <v>0</v>
      </c>
    </row>
    <row r="5564" spans="1:6">
      <c r="A5564" t="s">
        <v>13</v>
      </c>
      <c r="B5564" t="s">
        <v>100</v>
      </c>
      <c r="C5564" t="s">
        <v>1843</v>
      </c>
      <c r="D5564" t="s">
        <v>1983</v>
      </c>
      <c r="E5564" t="s">
        <v>1917</v>
      </c>
      <c r="F5564">
        <v>25.3</v>
      </c>
    </row>
    <row r="5565" spans="1:6">
      <c r="A5565" t="s">
        <v>13</v>
      </c>
      <c r="B5565" t="s">
        <v>100</v>
      </c>
      <c r="C5565" t="s">
        <v>1843</v>
      </c>
      <c r="D5565" t="s">
        <v>1983</v>
      </c>
      <c r="E5565" t="s">
        <v>1918</v>
      </c>
      <c r="F5565">
        <v>2196.18</v>
      </c>
    </row>
    <row r="5566" spans="1:6">
      <c r="A5566" t="s">
        <v>13</v>
      </c>
      <c r="B5566" t="s">
        <v>100</v>
      </c>
      <c r="C5566" t="s">
        <v>1843</v>
      </c>
      <c r="D5566" t="s">
        <v>1983</v>
      </c>
      <c r="E5566" t="s">
        <v>1919</v>
      </c>
      <c r="F5566">
        <v>474.66</v>
      </c>
    </row>
    <row r="5567" spans="1:6">
      <c r="A5567" t="s">
        <v>13</v>
      </c>
      <c r="B5567" t="s">
        <v>100</v>
      </c>
      <c r="C5567" t="s">
        <v>1843</v>
      </c>
      <c r="D5567" t="s">
        <v>1983</v>
      </c>
      <c r="E5567" t="s">
        <v>1920</v>
      </c>
      <c r="F5567">
        <v>177.54</v>
      </c>
    </row>
    <row r="5568" spans="1:6">
      <c r="A5568" t="s">
        <v>13</v>
      </c>
      <c r="B5568" t="s">
        <v>100</v>
      </c>
      <c r="C5568" t="s">
        <v>1843</v>
      </c>
      <c r="D5568" t="s">
        <v>1983</v>
      </c>
      <c r="E5568" t="s">
        <v>1921</v>
      </c>
      <c r="F5568" t="s">
        <v>1865</v>
      </c>
    </row>
    <row r="5569" spans="1:6">
      <c r="A5569" t="s">
        <v>13</v>
      </c>
      <c r="B5569" t="s">
        <v>100</v>
      </c>
      <c r="C5569" t="s">
        <v>1843</v>
      </c>
      <c r="D5569" t="s">
        <v>1983</v>
      </c>
      <c r="E5569" t="s">
        <v>1922</v>
      </c>
      <c r="F5569">
        <v>0</v>
      </c>
    </row>
    <row r="5570" spans="1:6">
      <c r="A5570" t="s">
        <v>13</v>
      </c>
      <c r="B5570" t="s">
        <v>100</v>
      </c>
      <c r="C5570" t="s">
        <v>1843</v>
      </c>
      <c r="D5570" t="s">
        <v>1983</v>
      </c>
      <c r="E5570" t="s">
        <v>1923</v>
      </c>
      <c r="F5570">
        <v>0</v>
      </c>
    </row>
    <row r="5571" spans="1:6">
      <c r="A5571" t="s">
        <v>13</v>
      </c>
      <c r="B5571" t="s">
        <v>100</v>
      </c>
      <c r="C5571" t="s">
        <v>1843</v>
      </c>
      <c r="D5571" t="s">
        <v>1983</v>
      </c>
      <c r="E5571" t="s">
        <v>1924</v>
      </c>
      <c r="F5571">
        <v>0</v>
      </c>
    </row>
    <row r="5572" spans="1:6">
      <c r="A5572" t="s">
        <v>13</v>
      </c>
      <c r="B5572" t="s">
        <v>100</v>
      </c>
      <c r="C5572" t="s">
        <v>1843</v>
      </c>
      <c r="D5572" t="s">
        <v>1983</v>
      </c>
      <c r="E5572" t="s">
        <v>1925</v>
      </c>
      <c r="F5572">
        <v>0</v>
      </c>
    </row>
    <row r="5573" spans="1:6">
      <c r="A5573" t="s">
        <v>13</v>
      </c>
      <c r="B5573" t="s">
        <v>100</v>
      </c>
      <c r="C5573" t="s">
        <v>1843</v>
      </c>
      <c r="D5573" t="s">
        <v>1983</v>
      </c>
      <c r="E5573" t="s">
        <v>1926</v>
      </c>
      <c r="F5573">
        <v>0</v>
      </c>
    </row>
    <row r="5574" spans="1:6">
      <c r="A5574" t="s">
        <v>13</v>
      </c>
      <c r="B5574" t="s">
        <v>100</v>
      </c>
      <c r="C5574" t="s">
        <v>1843</v>
      </c>
      <c r="D5574" t="s">
        <v>1983</v>
      </c>
      <c r="E5574" t="s">
        <v>1927</v>
      </c>
      <c r="F5574">
        <v>0</v>
      </c>
    </row>
    <row r="5575" spans="1:6">
      <c r="A5575" t="s">
        <v>13</v>
      </c>
      <c r="B5575" t="s">
        <v>100</v>
      </c>
      <c r="C5575" t="s">
        <v>1843</v>
      </c>
      <c r="D5575" t="s">
        <v>1983</v>
      </c>
      <c r="E5575" t="s">
        <v>1928</v>
      </c>
      <c r="F5575">
        <v>0</v>
      </c>
    </row>
    <row r="5576" spans="1:6">
      <c r="A5576" t="s">
        <v>13</v>
      </c>
      <c r="B5576" t="s">
        <v>100</v>
      </c>
      <c r="C5576" t="s">
        <v>1843</v>
      </c>
      <c r="D5576" t="s">
        <v>1983</v>
      </c>
      <c r="E5576" t="s">
        <v>1929</v>
      </c>
      <c r="F5576" t="s">
        <v>1866</v>
      </c>
    </row>
    <row r="5577" spans="1:6">
      <c r="A5577" t="s">
        <v>13</v>
      </c>
      <c r="B5577" t="s">
        <v>100</v>
      </c>
      <c r="C5577" t="s">
        <v>1843</v>
      </c>
      <c r="D5577" t="s">
        <v>1983</v>
      </c>
      <c r="E5577" t="s">
        <v>1930</v>
      </c>
      <c r="F5577">
        <v>2533.14</v>
      </c>
    </row>
    <row r="5578" spans="1:6">
      <c r="A5578" t="s">
        <v>13</v>
      </c>
      <c r="B5578" t="s">
        <v>100</v>
      </c>
      <c r="C5578" t="s">
        <v>1843</v>
      </c>
      <c r="D5578" t="s">
        <v>1983</v>
      </c>
      <c r="E5578" t="s">
        <v>1931</v>
      </c>
      <c r="F5578">
        <v>1682.21</v>
      </c>
    </row>
    <row r="5579" spans="1:6">
      <c r="A5579" t="s">
        <v>13</v>
      </c>
      <c r="B5579" t="s">
        <v>100</v>
      </c>
      <c r="C5579" t="s">
        <v>1843</v>
      </c>
      <c r="D5579" t="s">
        <v>1983</v>
      </c>
      <c r="E5579" t="s">
        <v>1932</v>
      </c>
      <c r="F5579">
        <v>0</v>
      </c>
    </row>
    <row r="5580" spans="1:6">
      <c r="A5580" t="s">
        <v>13</v>
      </c>
      <c r="B5580" t="s">
        <v>100</v>
      </c>
      <c r="C5580" t="s">
        <v>1843</v>
      </c>
      <c r="D5580" t="s">
        <v>1983</v>
      </c>
      <c r="E5580" t="s">
        <v>1933</v>
      </c>
      <c r="F5580">
        <v>850.9300000000001</v>
      </c>
    </row>
    <row r="5581" spans="1:6">
      <c r="A5581" t="s">
        <v>13</v>
      </c>
      <c r="B5581" t="s">
        <v>100</v>
      </c>
      <c r="C5581" t="s">
        <v>1843</v>
      </c>
      <c r="D5581" t="s">
        <v>1983</v>
      </c>
      <c r="E5581" t="s">
        <v>1934</v>
      </c>
      <c r="F5581">
        <v>0</v>
      </c>
    </row>
    <row r="5582" spans="1:6">
      <c r="A5582" t="s">
        <v>13</v>
      </c>
      <c r="B5582" t="s">
        <v>100</v>
      </c>
      <c r="C5582" t="s">
        <v>1843</v>
      </c>
      <c r="D5582" t="s">
        <v>1983</v>
      </c>
      <c r="E5582" t="s">
        <v>1935</v>
      </c>
      <c r="F5582">
        <v>0</v>
      </c>
    </row>
    <row r="5583" spans="1:6">
      <c r="A5583" t="s">
        <v>13</v>
      </c>
      <c r="B5583" t="s">
        <v>100</v>
      </c>
      <c r="C5583" t="s">
        <v>1843</v>
      </c>
      <c r="D5583" t="s">
        <v>1983</v>
      </c>
      <c r="E5583" t="s">
        <v>1936</v>
      </c>
      <c r="F5583">
        <v>0</v>
      </c>
    </row>
    <row r="5584" spans="1:6">
      <c r="A5584" t="s">
        <v>13</v>
      </c>
      <c r="B5584" t="s">
        <v>100</v>
      </c>
      <c r="C5584" t="s">
        <v>1843</v>
      </c>
      <c r="D5584" t="s">
        <v>1983</v>
      </c>
      <c r="E5584" t="s">
        <v>1937</v>
      </c>
      <c r="F5584" t="s">
        <v>1226</v>
      </c>
    </row>
    <row r="5585" spans="1:6">
      <c r="A5585" t="s">
        <v>13</v>
      </c>
      <c r="B5585" t="s">
        <v>100</v>
      </c>
      <c r="C5585" t="s">
        <v>1843</v>
      </c>
      <c r="D5585" t="s">
        <v>1983</v>
      </c>
      <c r="E5585" t="s">
        <v>1938</v>
      </c>
      <c r="F5585">
        <v>0.2072543505056015</v>
      </c>
    </row>
    <row r="5586" spans="1:6">
      <c r="A5586" t="s">
        <v>13</v>
      </c>
      <c r="B5586" t="s">
        <v>100</v>
      </c>
      <c r="C5586" t="s">
        <v>1843</v>
      </c>
      <c r="D5586" t="s">
        <v>1983</v>
      </c>
      <c r="E5586" t="s">
        <v>1939</v>
      </c>
      <c r="F5586">
        <v>0.7996180271219144</v>
      </c>
    </row>
    <row r="5587" spans="1:6">
      <c r="A5587" t="s">
        <v>13</v>
      </c>
      <c r="B5587" t="s">
        <v>100</v>
      </c>
      <c r="C5587" t="s">
        <v>1843</v>
      </c>
      <c r="D5587" t="s">
        <v>1983</v>
      </c>
      <c r="E5587" t="s">
        <v>1940</v>
      </c>
      <c r="F5587">
        <v>0.6816767079877908</v>
      </c>
    </row>
    <row r="5588" spans="1:6">
      <c r="A5588" t="s">
        <v>13</v>
      </c>
      <c r="B5588" t="s">
        <v>100</v>
      </c>
      <c r="C5588" t="s">
        <v>1843</v>
      </c>
      <c r="D5588" t="s">
        <v>1983</v>
      </c>
      <c r="E5588" t="s">
        <v>1941</v>
      </c>
      <c r="F5588">
        <v>0.930559773812253</v>
      </c>
    </row>
    <row r="5589" spans="1:6">
      <c r="A5589" t="s">
        <v>13</v>
      </c>
      <c r="B5589" t="s">
        <v>100</v>
      </c>
      <c r="C5589" t="s">
        <v>1843</v>
      </c>
      <c r="D5589" t="s">
        <v>1983</v>
      </c>
      <c r="E5589" t="s">
        <v>1942</v>
      </c>
      <c r="F5589">
        <v>1</v>
      </c>
    </row>
    <row r="5590" spans="1:6">
      <c r="A5590" t="s">
        <v>13</v>
      </c>
      <c r="B5590" t="s">
        <v>100</v>
      </c>
      <c r="C5590" t="s">
        <v>1843</v>
      </c>
      <c r="D5590" t="s">
        <v>1983</v>
      </c>
      <c r="E5590" t="s">
        <v>1943</v>
      </c>
      <c r="F5590">
        <v>0.9410164877948007</v>
      </c>
    </row>
    <row r="5591" spans="1:6">
      <c r="A5591" t="s">
        <v>13</v>
      </c>
      <c r="B5591" t="s">
        <v>100</v>
      </c>
      <c r="C5591" t="s">
        <v>1843</v>
      </c>
      <c r="D5591" t="s">
        <v>1983</v>
      </c>
      <c r="E5591" t="s">
        <v>1944</v>
      </c>
      <c r="F5591" t="s">
        <v>1236</v>
      </c>
    </row>
    <row r="5592" spans="1:6">
      <c r="A5592" t="s">
        <v>13</v>
      </c>
      <c r="B5592" t="s">
        <v>100</v>
      </c>
      <c r="C5592" t="s">
        <v>1843</v>
      </c>
      <c r="D5592" t="s">
        <v>1983</v>
      </c>
      <c r="E5592" t="s">
        <v>1945</v>
      </c>
      <c r="F5592">
        <v>0.06666666666666667</v>
      </c>
    </row>
    <row r="5593" spans="1:6">
      <c r="A5593" t="s">
        <v>13</v>
      </c>
      <c r="B5593" t="s">
        <v>100</v>
      </c>
      <c r="C5593" t="s">
        <v>1843</v>
      </c>
      <c r="D5593" t="s">
        <v>1983</v>
      </c>
      <c r="E5593" t="s">
        <v>1946</v>
      </c>
      <c r="F5593">
        <v>0.186046511627907</v>
      </c>
    </row>
    <row r="5594" spans="1:6">
      <c r="A5594" t="s">
        <v>13</v>
      </c>
      <c r="B5594" t="s">
        <v>100</v>
      </c>
      <c r="C5594" t="s">
        <v>1843</v>
      </c>
      <c r="D5594" t="s">
        <v>1983</v>
      </c>
      <c r="E5594" t="s">
        <v>1947</v>
      </c>
      <c r="F5594">
        <v>0.3040540540540541</v>
      </c>
    </row>
    <row r="5595" spans="1:6">
      <c r="A5595" t="s">
        <v>13</v>
      </c>
      <c r="B5595" t="s">
        <v>100</v>
      </c>
      <c r="C5595" t="s">
        <v>1843</v>
      </c>
      <c r="D5595" t="s">
        <v>1983</v>
      </c>
      <c r="E5595" t="s">
        <v>1948</v>
      </c>
      <c r="F5595">
        <v>0.6437768240343348</v>
      </c>
    </row>
    <row r="5596" spans="1:6">
      <c r="A5596" t="s">
        <v>13</v>
      </c>
      <c r="B5596" t="s">
        <v>100</v>
      </c>
      <c r="C5596" t="s">
        <v>1843</v>
      </c>
      <c r="D5596" t="s">
        <v>1983</v>
      </c>
      <c r="E5596" t="s">
        <v>1949</v>
      </c>
      <c r="F5596">
        <v>1</v>
      </c>
    </row>
    <row r="5597" spans="1:6">
      <c r="A5597" t="s">
        <v>13</v>
      </c>
      <c r="B5597" t="s">
        <v>100</v>
      </c>
      <c r="C5597" t="s">
        <v>1843</v>
      </c>
      <c r="D5597" t="s">
        <v>1983</v>
      </c>
      <c r="E5597" t="s">
        <v>1950</v>
      </c>
      <c r="F5597">
        <v>0.9924812030075187</v>
      </c>
    </row>
    <row r="5598" spans="1:6">
      <c r="A5598" t="s">
        <v>13</v>
      </c>
      <c r="B5598" t="s">
        <v>100</v>
      </c>
      <c r="C5598" t="s">
        <v>1843</v>
      </c>
      <c r="D5598" t="s">
        <v>1983</v>
      </c>
      <c r="E5598" t="s">
        <v>1951</v>
      </c>
      <c r="F5598" t="s">
        <v>1952</v>
      </c>
    </row>
    <row r="5599" spans="1:6">
      <c r="A5599" t="s">
        <v>13</v>
      </c>
      <c r="B5599" t="s">
        <v>100</v>
      </c>
      <c r="C5599" t="s">
        <v>1843</v>
      </c>
      <c r="D5599" t="s">
        <v>1983</v>
      </c>
      <c r="E5599" t="s">
        <v>1953</v>
      </c>
      <c r="F5599">
        <v>122248.0600000001</v>
      </c>
    </row>
    <row r="5600" spans="1:6">
      <c r="A5600" t="s">
        <v>13</v>
      </c>
      <c r="B5600" t="s">
        <v>100</v>
      </c>
      <c r="C5600" t="s">
        <v>1843</v>
      </c>
      <c r="D5600" t="s">
        <v>1983</v>
      </c>
      <c r="E5600" t="s">
        <v>1954</v>
      </c>
      <c r="F5600">
        <v>51112.03000000001</v>
      </c>
    </row>
    <row r="5601" spans="1:6">
      <c r="A5601" t="s">
        <v>13</v>
      </c>
      <c r="B5601" t="s">
        <v>100</v>
      </c>
      <c r="C5601" t="s">
        <v>1843</v>
      </c>
      <c r="D5601" t="s">
        <v>1983</v>
      </c>
      <c r="E5601" t="s">
        <v>1955</v>
      </c>
      <c r="F5601">
        <v>28965.12000000002</v>
      </c>
    </row>
    <row r="5602" spans="1:6">
      <c r="A5602" t="s">
        <v>13</v>
      </c>
      <c r="B5602" t="s">
        <v>100</v>
      </c>
      <c r="C5602" t="s">
        <v>1843</v>
      </c>
      <c r="D5602" t="s">
        <v>1983</v>
      </c>
      <c r="E5602" t="s">
        <v>1956</v>
      </c>
      <c r="F5602">
        <v>18314.39000000001</v>
      </c>
    </row>
    <row r="5603" spans="1:6">
      <c r="A5603" t="s">
        <v>13</v>
      </c>
      <c r="B5603" t="s">
        <v>100</v>
      </c>
      <c r="C5603" t="s">
        <v>1843</v>
      </c>
      <c r="D5603" t="s">
        <v>1983</v>
      </c>
      <c r="E5603" t="s">
        <v>1957</v>
      </c>
      <c r="F5603">
        <v>17198.04000000004</v>
      </c>
    </row>
    <row r="5604" spans="1:6">
      <c r="A5604" t="s">
        <v>13</v>
      </c>
      <c r="B5604" t="s">
        <v>100</v>
      </c>
      <c r="C5604" t="s">
        <v>1843</v>
      </c>
      <c r="D5604" t="s">
        <v>1983</v>
      </c>
      <c r="E5604" t="s">
        <v>1958</v>
      </c>
      <c r="F5604">
        <v>0</v>
      </c>
    </row>
    <row r="5605" spans="1:6">
      <c r="A5605" t="s">
        <v>13</v>
      </c>
      <c r="B5605" t="s">
        <v>100</v>
      </c>
      <c r="C5605" t="s">
        <v>1843</v>
      </c>
      <c r="D5605" t="s">
        <v>1983</v>
      </c>
      <c r="E5605" t="s">
        <v>1959</v>
      </c>
      <c r="F5605">
        <v>6658.48000000004</v>
      </c>
    </row>
    <row r="5606" spans="1:6">
      <c r="A5606" t="s">
        <v>13</v>
      </c>
      <c r="B5606" t="s">
        <v>100</v>
      </c>
      <c r="C5606" t="s">
        <v>1843</v>
      </c>
      <c r="D5606" t="s">
        <v>1983</v>
      </c>
      <c r="E5606" t="s">
        <v>1960</v>
      </c>
      <c r="F5606" t="s">
        <v>1255</v>
      </c>
    </row>
    <row r="5607" spans="1:6">
      <c r="A5607" t="s">
        <v>13</v>
      </c>
      <c r="B5607" t="s">
        <v>100</v>
      </c>
      <c r="C5607" t="s">
        <v>1843</v>
      </c>
      <c r="D5607" t="s">
        <v>1983</v>
      </c>
      <c r="E5607" t="s">
        <v>1961</v>
      </c>
      <c r="F5607">
        <v>461</v>
      </c>
    </row>
    <row r="5608" spans="1:6">
      <c r="A5608" t="s">
        <v>13</v>
      </c>
      <c r="B5608" t="s">
        <v>100</v>
      </c>
      <c r="C5608" t="s">
        <v>1843</v>
      </c>
      <c r="D5608" t="s">
        <v>1983</v>
      </c>
      <c r="E5608" t="s">
        <v>1962</v>
      </c>
      <c r="F5608">
        <v>168</v>
      </c>
    </row>
    <row r="5609" spans="1:6">
      <c r="A5609" t="s">
        <v>13</v>
      </c>
      <c r="B5609" t="s">
        <v>100</v>
      </c>
      <c r="C5609" t="s">
        <v>1843</v>
      </c>
      <c r="D5609" t="s">
        <v>1983</v>
      </c>
      <c r="E5609" t="s">
        <v>1963</v>
      </c>
      <c r="F5609">
        <v>105</v>
      </c>
    </row>
    <row r="5610" spans="1:6">
      <c r="A5610" t="s">
        <v>13</v>
      </c>
      <c r="B5610" t="s">
        <v>100</v>
      </c>
      <c r="C5610" t="s">
        <v>1843</v>
      </c>
      <c r="D5610" t="s">
        <v>1983</v>
      </c>
      <c r="E5610" t="s">
        <v>1964</v>
      </c>
      <c r="F5610">
        <v>103</v>
      </c>
    </row>
    <row r="5611" spans="1:6">
      <c r="A5611" t="s">
        <v>13</v>
      </c>
      <c r="B5611" t="s">
        <v>100</v>
      </c>
      <c r="C5611" t="s">
        <v>1843</v>
      </c>
      <c r="D5611" t="s">
        <v>1983</v>
      </c>
      <c r="E5611" t="s">
        <v>1965</v>
      </c>
      <c r="F5611">
        <v>83</v>
      </c>
    </row>
    <row r="5612" spans="1:6">
      <c r="A5612" t="s">
        <v>13</v>
      </c>
      <c r="B5612" t="s">
        <v>100</v>
      </c>
      <c r="C5612" t="s">
        <v>1843</v>
      </c>
      <c r="D5612" t="s">
        <v>1983</v>
      </c>
      <c r="E5612" t="s">
        <v>1966</v>
      </c>
      <c r="F5612">
        <v>0</v>
      </c>
    </row>
    <row r="5613" spans="1:6">
      <c r="A5613" t="s">
        <v>13</v>
      </c>
      <c r="B5613" t="s">
        <v>100</v>
      </c>
      <c r="C5613" t="s">
        <v>1843</v>
      </c>
      <c r="D5613" t="s">
        <v>1983</v>
      </c>
      <c r="E5613" t="s">
        <v>1967</v>
      </c>
      <c r="F5613">
        <v>2</v>
      </c>
    </row>
    <row r="5614" spans="1:6">
      <c r="A5614" t="s">
        <v>13</v>
      </c>
      <c r="B5614" t="s">
        <v>100</v>
      </c>
      <c r="C5614" t="s">
        <v>1843</v>
      </c>
      <c r="D5614" t="s">
        <v>1983</v>
      </c>
      <c r="E5614" t="s">
        <v>1968</v>
      </c>
      <c r="F5614" t="s">
        <v>1131</v>
      </c>
    </row>
    <row r="5615" spans="1:6">
      <c r="A5615" t="s">
        <v>13</v>
      </c>
      <c r="B5615" t="s">
        <v>100</v>
      </c>
      <c r="C5615" t="s">
        <v>1843</v>
      </c>
      <c r="D5615" t="s">
        <v>1983</v>
      </c>
      <c r="E5615" t="s">
        <v>1969</v>
      </c>
      <c r="F5615">
        <v>0.1758317198868947</v>
      </c>
    </row>
    <row r="5616" spans="1:6">
      <c r="A5616" t="s">
        <v>13</v>
      </c>
      <c r="B5616" t="s">
        <v>100</v>
      </c>
      <c r="C5616" t="s">
        <v>1843</v>
      </c>
      <c r="D5616" t="s">
        <v>1983</v>
      </c>
      <c r="E5616" t="s">
        <v>1970</v>
      </c>
      <c r="F5616">
        <v>0.7927456494943985</v>
      </c>
    </row>
    <row r="5617" spans="1:6">
      <c r="A5617" t="s">
        <v>13</v>
      </c>
      <c r="B5617" t="s">
        <v>100</v>
      </c>
      <c r="C5617" t="s">
        <v>1843</v>
      </c>
      <c r="D5617" t="s">
        <v>1983</v>
      </c>
      <c r="E5617" t="s">
        <v>1971</v>
      </c>
      <c r="F5617">
        <v>0.2003819728780856</v>
      </c>
    </row>
    <row r="5618" spans="1:6">
      <c r="A5618" t="s">
        <v>13</v>
      </c>
      <c r="B5618" t="s">
        <v>100</v>
      </c>
      <c r="C5618" t="s">
        <v>1843</v>
      </c>
      <c r="D5618" t="s">
        <v>1983</v>
      </c>
      <c r="E5618" t="s">
        <v>1972</v>
      </c>
      <c r="F5618">
        <v>0.3183232920122093</v>
      </c>
    </row>
    <row r="5619" spans="1:6">
      <c r="A5619" t="s">
        <v>13</v>
      </c>
      <c r="B5619" t="s">
        <v>100</v>
      </c>
      <c r="C5619" t="s">
        <v>1843</v>
      </c>
      <c r="D5619" t="s">
        <v>1983</v>
      </c>
      <c r="E5619" t="s">
        <v>1973</v>
      </c>
      <c r="F5619">
        <v>0.06944022618774703</v>
      </c>
    </row>
    <row r="5620" spans="1:6">
      <c r="A5620" t="s">
        <v>13</v>
      </c>
      <c r="B5620" t="s">
        <v>100</v>
      </c>
      <c r="C5620" t="s">
        <v>1843</v>
      </c>
      <c r="D5620" t="s">
        <v>1983</v>
      </c>
      <c r="E5620" t="s">
        <v>1974</v>
      </c>
      <c r="F5620">
        <v>0</v>
      </c>
    </row>
    <row r="5621" spans="1:6">
      <c r="A5621" t="s">
        <v>13</v>
      </c>
      <c r="B5621" t="s">
        <v>100</v>
      </c>
      <c r="C5621" t="s">
        <v>1843</v>
      </c>
      <c r="D5621" t="s">
        <v>1983</v>
      </c>
      <c r="E5621" t="s">
        <v>1975</v>
      </c>
      <c r="F5621">
        <v>0.05898351220519925</v>
      </c>
    </row>
    <row r="5622" spans="1:6">
      <c r="A5622" t="s">
        <v>13</v>
      </c>
      <c r="B5622" t="s">
        <v>100</v>
      </c>
      <c r="C5622" t="s">
        <v>1843</v>
      </c>
      <c r="D5622" t="s">
        <v>1984</v>
      </c>
      <c r="E5622" t="s">
        <v>1274</v>
      </c>
      <c r="F5622" t="s">
        <v>100</v>
      </c>
    </row>
    <row r="5623" spans="1:6">
      <c r="A5623" t="s">
        <v>13</v>
      </c>
      <c r="B5623" t="s">
        <v>100</v>
      </c>
      <c r="C5623" t="s">
        <v>1843</v>
      </c>
      <c r="D5623" t="s">
        <v>1984</v>
      </c>
      <c r="E5623" t="s">
        <v>1275</v>
      </c>
      <c r="F5623" t="s">
        <v>1836</v>
      </c>
    </row>
    <row r="5624" spans="1:6">
      <c r="A5624" t="s">
        <v>13</v>
      </c>
      <c r="B5624" t="s">
        <v>100</v>
      </c>
      <c r="C5624" t="s">
        <v>1843</v>
      </c>
      <c r="D5624" t="s">
        <v>1984</v>
      </c>
      <c r="E5624" t="s">
        <v>1977</v>
      </c>
      <c r="F5624" t="s">
        <v>1978</v>
      </c>
    </row>
    <row r="5625" spans="1:6">
      <c r="A5625" t="s">
        <v>13</v>
      </c>
      <c r="B5625" t="s">
        <v>100</v>
      </c>
      <c r="C5625" t="s">
        <v>1843</v>
      </c>
      <c r="D5625" t="s">
        <v>1984</v>
      </c>
      <c r="E5625" t="s">
        <v>1979</v>
      </c>
      <c r="F5625" t="s">
        <v>1980</v>
      </c>
    </row>
    <row r="5626" spans="1:6">
      <c r="A5626" t="s">
        <v>13</v>
      </c>
      <c r="B5626" t="s">
        <v>100</v>
      </c>
      <c r="C5626" t="s">
        <v>1843</v>
      </c>
      <c r="D5626" t="s">
        <v>1984</v>
      </c>
      <c r="E5626" t="s">
        <v>1276</v>
      </c>
      <c r="F5626" t="s">
        <v>1277</v>
      </c>
    </row>
    <row r="5627" spans="1:6">
      <c r="A5627" t="s">
        <v>13</v>
      </c>
      <c r="B5627" t="s">
        <v>100</v>
      </c>
      <c r="C5627" t="s">
        <v>1843</v>
      </c>
      <c r="D5627" t="s">
        <v>1984</v>
      </c>
      <c r="E5627" t="s">
        <v>1279</v>
      </c>
      <c r="F5627" t="s">
        <v>1280</v>
      </c>
    </row>
    <row r="5628" spans="1:6">
      <c r="A5628" t="s">
        <v>13</v>
      </c>
      <c r="B5628" t="s">
        <v>100</v>
      </c>
      <c r="C5628" t="s">
        <v>1843</v>
      </c>
      <c r="D5628" t="s">
        <v>1984</v>
      </c>
      <c r="E5628" t="s">
        <v>1281</v>
      </c>
      <c r="F5628" t="s">
        <v>1981</v>
      </c>
    </row>
    <row r="5629" spans="1:6">
      <c r="A5629" t="s">
        <v>13</v>
      </c>
      <c r="B5629" t="s">
        <v>100</v>
      </c>
      <c r="C5629" t="s">
        <v>1843</v>
      </c>
      <c r="D5629" t="s">
        <v>1984</v>
      </c>
      <c r="E5629" t="s">
        <v>1283</v>
      </c>
      <c r="F5629" t="s">
        <v>1284</v>
      </c>
    </row>
    <row r="5630" spans="1:6">
      <c r="A5630" t="s">
        <v>13</v>
      </c>
      <c r="B5630" t="s">
        <v>100</v>
      </c>
      <c r="C5630" t="s">
        <v>1843</v>
      </c>
      <c r="D5630" t="s">
        <v>1984</v>
      </c>
      <c r="E5630" t="s">
        <v>1285</v>
      </c>
      <c r="F5630" t="s">
        <v>525</v>
      </c>
    </row>
    <row r="5631" spans="1:6">
      <c r="A5631" t="s">
        <v>13</v>
      </c>
      <c r="B5631" t="s">
        <v>100</v>
      </c>
      <c r="C5631" t="s">
        <v>1843</v>
      </c>
      <c r="D5631" t="s">
        <v>1984</v>
      </c>
      <c r="E5631" t="s">
        <v>1286</v>
      </c>
      <c r="F5631">
        <v>215</v>
      </c>
    </row>
    <row r="5632" spans="1:6">
      <c r="A5632" t="s">
        <v>13</v>
      </c>
      <c r="B5632" t="s">
        <v>100</v>
      </c>
      <c r="C5632" t="s">
        <v>1843</v>
      </c>
      <c r="D5632" t="s">
        <v>1984</v>
      </c>
      <c r="E5632" t="s">
        <v>1287</v>
      </c>
      <c r="F5632">
        <v>900.8400000000005</v>
      </c>
    </row>
    <row r="5633" spans="1:6">
      <c r="A5633" t="s">
        <v>13</v>
      </c>
      <c r="B5633" t="s">
        <v>100</v>
      </c>
      <c r="C5633" t="s">
        <v>1843</v>
      </c>
      <c r="D5633" t="s">
        <v>1984</v>
      </c>
      <c r="E5633" t="s">
        <v>1288</v>
      </c>
      <c r="F5633" t="s">
        <v>527</v>
      </c>
    </row>
    <row r="5634" spans="1:6">
      <c r="A5634" t="s">
        <v>13</v>
      </c>
      <c r="B5634" t="s">
        <v>100</v>
      </c>
      <c r="C5634" t="s">
        <v>1843</v>
      </c>
      <c r="D5634" t="s">
        <v>1984</v>
      </c>
      <c r="E5634" t="s">
        <v>1096</v>
      </c>
      <c r="F5634">
        <v>118</v>
      </c>
    </row>
    <row r="5635" spans="1:6">
      <c r="A5635" t="s">
        <v>13</v>
      </c>
      <c r="B5635" t="s">
        <v>100</v>
      </c>
      <c r="C5635" t="s">
        <v>1843</v>
      </c>
      <c r="D5635" t="s">
        <v>1984</v>
      </c>
      <c r="E5635" t="s">
        <v>1004</v>
      </c>
      <c r="F5635">
        <v>4661.589999999999</v>
      </c>
    </row>
    <row r="5636" spans="1:6">
      <c r="A5636" t="s">
        <v>13</v>
      </c>
      <c r="B5636" t="s">
        <v>100</v>
      </c>
      <c r="C5636" t="s">
        <v>1843</v>
      </c>
      <c r="D5636" t="s">
        <v>1984</v>
      </c>
      <c r="E5636" t="s">
        <v>1289</v>
      </c>
      <c r="F5636" t="s">
        <v>529</v>
      </c>
    </row>
    <row r="5637" spans="1:6">
      <c r="A5637" t="s">
        <v>13</v>
      </c>
      <c r="B5637" t="s">
        <v>100</v>
      </c>
      <c r="C5637" t="s">
        <v>1843</v>
      </c>
      <c r="D5637" t="s">
        <v>1984</v>
      </c>
      <c r="E5637" t="s">
        <v>1290</v>
      </c>
      <c r="F5637">
        <v>108</v>
      </c>
    </row>
    <row r="5638" spans="1:6">
      <c r="A5638" t="s">
        <v>13</v>
      </c>
      <c r="B5638" t="s">
        <v>100</v>
      </c>
      <c r="C5638" t="s">
        <v>1843</v>
      </c>
      <c r="D5638" t="s">
        <v>1984</v>
      </c>
      <c r="E5638" t="s">
        <v>1291</v>
      </c>
      <c r="F5638">
        <v>46587.51</v>
      </c>
    </row>
    <row r="5639" spans="1:6">
      <c r="A5639" t="s">
        <v>13</v>
      </c>
      <c r="B5639" t="s">
        <v>100</v>
      </c>
      <c r="C5639" t="s">
        <v>1843</v>
      </c>
      <c r="D5639" t="s">
        <v>1984</v>
      </c>
      <c r="E5639" t="s">
        <v>1008</v>
      </c>
      <c r="F5639" t="s">
        <v>531</v>
      </c>
    </row>
    <row r="5640" spans="1:6">
      <c r="A5640" t="s">
        <v>13</v>
      </c>
      <c r="B5640" t="s">
        <v>100</v>
      </c>
      <c r="C5640" t="s">
        <v>1843</v>
      </c>
      <c r="D5640" t="s">
        <v>1984</v>
      </c>
      <c r="E5640" t="s">
        <v>1010</v>
      </c>
      <c r="F5640">
        <v>20</v>
      </c>
    </row>
    <row r="5641" spans="1:6">
      <c r="A5641" t="s">
        <v>13</v>
      </c>
      <c r="B5641" t="s">
        <v>100</v>
      </c>
      <c r="C5641" t="s">
        <v>1843</v>
      </c>
      <c r="D5641" t="s">
        <v>1984</v>
      </c>
      <c r="E5641" t="s">
        <v>1012</v>
      </c>
      <c r="F5641">
        <v>70098.11999999998</v>
      </c>
    </row>
    <row r="5642" spans="1:6">
      <c r="A5642" t="s">
        <v>13</v>
      </c>
      <c r="B5642" t="s">
        <v>100</v>
      </c>
      <c r="C5642" t="s">
        <v>1843</v>
      </c>
      <c r="D5642" t="s">
        <v>1984</v>
      </c>
      <c r="E5642" t="s">
        <v>1035</v>
      </c>
      <c r="F5642" t="s">
        <v>533</v>
      </c>
    </row>
    <row r="5643" spans="1:6">
      <c r="A5643" t="s">
        <v>13</v>
      </c>
      <c r="B5643" t="s">
        <v>100</v>
      </c>
      <c r="C5643" t="s">
        <v>1843</v>
      </c>
      <c r="D5643" t="s">
        <v>1984</v>
      </c>
      <c r="E5643" t="s">
        <v>1099</v>
      </c>
      <c r="F5643">
        <v>0</v>
      </c>
    </row>
    <row r="5644" spans="1:6">
      <c r="A5644" t="s">
        <v>13</v>
      </c>
      <c r="B5644" t="s">
        <v>100</v>
      </c>
      <c r="C5644" t="s">
        <v>1843</v>
      </c>
      <c r="D5644" t="s">
        <v>1984</v>
      </c>
      <c r="E5644" t="s">
        <v>1100</v>
      </c>
      <c r="F5644">
        <v>0</v>
      </c>
    </row>
    <row r="5645" spans="1:6">
      <c r="A5645" t="s">
        <v>13</v>
      </c>
      <c r="B5645" t="s">
        <v>100</v>
      </c>
      <c r="C5645" t="s">
        <v>1843</v>
      </c>
      <c r="D5645" t="s">
        <v>1984</v>
      </c>
      <c r="E5645" t="s">
        <v>1037</v>
      </c>
      <c r="F5645" t="s">
        <v>1292</v>
      </c>
    </row>
    <row r="5646" spans="1:6">
      <c r="A5646" t="s">
        <v>13</v>
      </c>
      <c r="B5646" t="s">
        <v>100</v>
      </c>
      <c r="C5646" t="s">
        <v>1843</v>
      </c>
      <c r="D5646" t="s">
        <v>1984</v>
      </c>
      <c r="E5646" t="s">
        <v>1103</v>
      </c>
      <c r="F5646">
        <v>461</v>
      </c>
    </row>
    <row r="5647" spans="1:6">
      <c r="A5647" t="s">
        <v>13</v>
      </c>
      <c r="B5647" t="s">
        <v>100</v>
      </c>
      <c r="C5647" t="s">
        <v>1843</v>
      </c>
      <c r="D5647" t="s">
        <v>1984</v>
      </c>
      <c r="E5647" t="s">
        <v>1104</v>
      </c>
      <c r="F5647">
        <v>122248.06</v>
      </c>
    </row>
    <row r="5648" spans="1:6">
      <c r="A5648" t="s">
        <v>13</v>
      </c>
      <c r="B5648" t="s">
        <v>100</v>
      </c>
      <c r="C5648" t="s">
        <v>1843</v>
      </c>
      <c r="D5648" t="s">
        <v>1984</v>
      </c>
      <c r="E5648" t="s">
        <v>1052</v>
      </c>
      <c r="F5648" t="s">
        <v>1293</v>
      </c>
    </row>
    <row r="5649" spans="1:6">
      <c r="A5649" t="s">
        <v>13</v>
      </c>
      <c r="B5649" t="s">
        <v>100</v>
      </c>
      <c r="C5649" t="s">
        <v>1843</v>
      </c>
      <c r="D5649" t="s">
        <v>1984</v>
      </c>
      <c r="E5649" t="s">
        <v>1053</v>
      </c>
      <c r="F5649" t="s">
        <v>1294</v>
      </c>
    </row>
    <row r="5650" spans="1:6">
      <c r="A5650" t="s">
        <v>13</v>
      </c>
      <c r="B5650" t="s">
        <v>100</v>
      </c>
      <c r="C5650" t="s">
        <v>1843</v>
      </c>
      <c r="D5650" t="s">
        <v>1984</v>
      </c>
      <c r="E5650" t="s">
        <v>1108</v>
      </c>
      <c r="F5650">
        <v>0</v>
      </c>
    </row>
    <row r="5651" spans="1:6">
      <c r="A5651" t="s">
        <v>13</v>
      </c>
      <c r="B5651" t="s">
        <v>100</v>
      </c>
      <c r="C5651" t="s">
        <v>1843</v>
      </c>
      <c r="D5651" t="s">
        <v>1984</v>
      </c>
      <c r="E5651" t="s">
        <v>1109</v>
      </c>
      <c r="F5651">
        <v>0</v>
      </c>
    </row>
    <row r="5652" spans="1:6">
      <c r="A5652" t="s">
        <v>13</v>
      </c>
      <c r="B5652" t="s">
        <v>100</v>
      </c>
      <c r="C5652" t="s">
        <v>1843</v>
      </c>
      <c r="D5652" t="s">
        <v>1984</v>
      </c>
      <c r="E5652" t="s">
        <v>1113</v>
      </c>
      <c r="F5652">
        <v>2018</v>
      </c>
    </row>
    <row r="5653" spans="1:6">
      <c r="A5653" t="s">
        <v>13</v>
      </c>
      <c r="B5653" t="s">
        <v>100</v>
      </c>
      <c r="C5653" t="s">
        <v>1843</v>
      </c>
      <c r="D5653" t="s">
        <v>1984</v>
      </c>
      <c r="E5653" t="s">
        <v>1114</v>
      </c>
      <c r="F5653">
        <v>0</v>
      </c>
    </row>
    <row r="5654" spans="1:6">
      <c r="A5654" t="s">
        <v>13</v>
      </c>
      <c r="B5654" t="s">
        <v>100</v>
      </c>
      <c r="C5654" t="s">
        <v>1843</v>
      </c>
      <c r="D5654" t="s">
        <v>1984</v>
      </c>
      <c r="E5654" t="s">
        <v>1115</v>
      </c>
      <c r="F5654">
        <v>0</v>
      </c>
    </row>
    <row r="5655" spans="1:6">
      <c r="A5655" t="s">
        <v>13</v>
      </c>
      <c r="B5655" t="s">
        <v>100</v>
      </c>
      <c r="C5655" t="s">
        <v>1843</v>
      </c>
      <c r="D5655" t="s">
        <v>1984</v>
      </c>
      <c r="E5655" t="s">
        <v>1118</v>
      </c>
      <c r="F5655">
        <v>2019</v>
      </c>
    </row>
    <row r="5656" spans="1:6">
      <c r="A5656" t="s">
        <v>13</v>
      </c>
      <c r="B5656" t="s">
        <v>100</v>
      </c>
      <c r="C5656" t="s">
        <v>1843</v>
      </c>
      <c r="D5656" t="s">
        <v>1984</v>
      </c>
      <c r="E5656" t="s">
        <v>1119</v>
      </c>
      <c r="F5656">
        <v>0</v>
      </c>
    </row>
    <row r="5657" spans="1:6">
      <c r="A5657" t="s">
        <v>13</v>
      </c>
      <c r="B5657" t="s">
        <v>100</v>
      </c>
      <c r="C5657" t="s">
        <v>1843</v>
      </c>
      <c r="D5657" t="s">
        <v>1984</v>
      </c>
      <c r="E5657" t="s">
        <v>1120</v>
      </c>
      <c r="F5657">
        <v>0</v>
      </c>
    </row>
    <row r="5658" spans="1:6">
      <c r="A5658" t="s">
        <v>13</v>
      </c>
      <c r="B5658" t="s">
        <v>100</v>
      </c>
      <c r="C5658" t="s">
        <v>1843</v>
      </c>
      <c r="D5658" t="s">
        <v>1984</v>
      </c>
      <c r="E5658" t="s">
        <v>1124</v>
      </c>
      <c r="F5658">
        <v>2020</v>
      </c>
    </row>
    <row r="5659" spans="1:6">
      <c r="A5659" t="s">
        <v>13</v>
      </c>
      <c r="B5659" t="s">
        <v>100</v>
      </c>
      <c r="C5659" t="s">
        <v>1843</v>
      </c>
      <c r="D5659" t="s">
        <v>1984</v>
      </c>
      <c r="E5659" t="s">
        <v>1126</v>
      </c>
      <c r="F5659">
        <v>0</v>
      </c>
    </row>
    <row r="5660" spans="1:6">
      <c r="A5660" t="s">
        <v>13</v>
      </c>
      <c r="B5660" t="s">
        <v>100</v>
      </c>
      <c r="C5660" t="s">
        <v>1843</v>
      </c>
      <c r="D5660" t="s">
        <v>1984</v>
      </c>
      <c r="E5660" t="s">
        <v>1127</v>
      </c>
      <c r="F5660">
        <v>0</v>
      </c>
    </row>
    <row r="5661" spans="1:6">
      <c r="A5661" t="s">
        <v>13</v>
      </c>
      <c r="B5661" t="s">
        <v>100</v>
      </c>
      <c r="C5661" t="s">
        <v>1843</v>
      </c>
      <c r="D5661" t="s">
        <v>1984</v>
      </c>
      <c r="E5661" t="s">
        <v>1057</v>
      </c>
      <c r="F5661">
        <v>2021</v>
      </c>
    </row>
    <row r="5662" spans="1:6">
      <c r="A5662" t="s">
        <v>13</v>
      </c>
      <c r="B5662" t="s">
        <v>100</v>
      </c>
      <c r="C5662" t="s">
        <v>1843</v>
      </c>
      <c r="D5662" t="s">
        <v>1984</v>
      </c>
      <c r="E5662" t="s">
        <v>1058</v>
      </c>
      <c r="F5662">
        <v>0</v>
      </c>
    </row>
    <row r="5663" spans="1:6">
      <c r="A5663" t="s">
        <v>13</v>
      </c>
      <c r="B5663" t="s">
        <v>100</v>
      </c>
      <c r="C5663" t="s">
        <v>1843</v>
      </c>
      <c r="D5663" t="s">
        <v>1984</v>
      </c>
      <c r="E5663" t="s">
        <v>1059</v>
      </c>
      <c r="F5663">
        <v>0</v>
      </c>
    </row>
    <row r="5664" spans="1:6">
      <c r="A5664" t="s">
        <v>13</v>
      </c>
      <c r="B5664" t="s">
        <v>100</v>
      </c>
      <c r="C5664" t="s">
        <v>1843</v>
      </c>
      <c r="D5664" t="s">
        <v>1984</v>
      </c>
      <c r="E5664" t="s">
        <v>1072</v>
      </c>
      <c r="F5664">
        <v>2022</v>
      </c>
    </row>
    <row r="5665" spans="1:6">
      <c r="A5665" t="s">
        <v>13</v>
      </c>
      <c r="B5665" t="s">
        <v>100</v>
      </c>
      <c r="C5665" t="s">
        <v>1843</v>
      </c>
      <c r="D5665" t="s">
        <v>1984</v>
      </c>
      <c r="E5665" t="s">
        <v>1133</v>
      </c>
      <c r="F5665">
        <v>0</v>
      </c>
    </row>
    <row r="5666" spans="1:6">
      <c r="A5666" t="s">
        <v>13</v>
      </c>
      <c r="B5666" t="s">
        <v>100</v>
      </c>
      <c r="C5666" t="s">
        <v>1843</v>
      </c>
      <c r="D5666" t="s">
        <v>1984</v>
      </c>
      <c r="E5666" t="s">
        <v>1134</v>
      </c>
      <c r="F5666">
        <v>0</v>
      </c>
    </row>
    <row r="5667" spans="1:6">
      <c r="A5667" t="s">
        <v>13</v>
      </c>
      <c r="B5667" t="s">
        <v>100</v>
      </c>
      <c r="C5667" t="s">
        <v>1843</v>
      </c>
      <c r="D5667" t="s">
        <v>1984</v>
      </c>
      <c r="E5667" t="s">
        <v>1074</v>
      </c>
      <c r="F5667">
        <v>2023</v>
      </c>
    </row>
    <row r="5668" spans="1:6">
      <c r="A5668" t="s">
        <v>13</v>
      </c>
      <c r="B5668" t="s">
        <v>100</v>
      </c>
      <c r="C5668" t="s">
        <v>1843</v>
      </c>
      <c r="D5668" t="s">
        <v>1984</v>
      </c>
      <c r="E5668" t="s">
        <v>1296</v>
      </c>
      <c r="F5668">
        <v>0</v>
      </c>
    </row>
    <row r="5669" spans="1:6">
      <c r="A5669" t="s">
        <v>13</v>
      </c>
      <c r="B5669" t="s">
        <v>100</v>
      </c>
      <c r="C5669" t="s">
        <v>1843</v>
      </c>
      <c r="D5669" t="s">
        <v>1984</v>
      </c>
      <c r="E5669" t="s">
        <v>1297</v>
      </c>
      <c r="F5669">
        <v>0</v>
      </c>
    </row>
    <row r="5670" spans="1:6">
      <c r="A5670" t="s">
        <v>13</v>
      </c>
      <c r="B5670" t="s">
        <v>100</v>
      </c>
      <c r="C5670" t="s">
        <v>1843</v>
      </c>
      <c r="D5670" t="s">
        <v>1984</v>
      </c>
      <c r="E5670" t="s">
        <v>1076</v>
      </c>
      <c r="F5670">
        <v>2024</v>
      </c>
    </row>
    <row r="5671" spans="1:6">
      <c r="A5671" t="s">
        <v>13</v>
      </c>
      <c r="B5671" t="s">
        <v>100</v>
      </c>
      <c r="C5671" t="s">
        <v>1843</v>
      </c>
      <c r="D5671" t="s">
        <v>1984</v>
      </c>
      <c r="E5671" t="s">
        <v>1077</v>
      </c>
      <c r="F5671">
        <v>0</v>
      </c>
    </row>
    <row r="5672" spans="1:6">
      <c r="A5672" t="s">
        <v>13</v>
      </c>
      <c r="B5672" t="s">
        <v>100</v>
      </c>
      <c r="C5672" t="s">
        <v>1843</v>
      </c>
      <c r="D5672" t="s">
        <v>1984</v>
      </c>
      <c r="E5672" t="s">
        <v>1078</v>
      </c>
      <c r="F5672">
        <v>0</v>
      </c>
    </row>
    <row r="5673" spans="1:6">
      <c r="A5673" t="s">
        <v>13</v>
      </c>
      <c r="B5673" t="s">
        <v>100</v>
      </c>
      <c r="C5673" t="s">
        <v>1843</v>
      </c>
      <c r="D5673" t="s">
        <v>1984</v>
      </c>
      <c r="E5673" t="s">
        <v>1090</v>
      </c>
      <c r="F5673">
        <v>2025</v>
      </c>
    </row>
    <row r="5674" spans="1:6">
      <c r="A5674" t="s">
        <v>13</v>
      </c>
      <c r="B5674" t="s">
        <v>100</v>
      </c>
      <c r="C5674" t="s">
        <v>1843</v>
      </c>
      <c r="D5674" t="s">
        <v>1984</v>
      </c>
      <c r="E5674" t="s">
        <v>1139</v>
      </c>
      <c r="F5674">
        <v>0</v>
      </c>
    </row>
    <row r="5675" spans="1:6">
      <c r="A5675" t="s">
        <v>13</v>
      </c>
      <c r="B5675" t="s">
        <v>100</v>
      </c>
      <c r="C5675" t="s">
        <v>1843</v>
      </c>
      <c r="D5675" t="s">
        <v>1984</v>
      </c>
      <c r="E5675" t="s">
        <v>1140</v>
      </c>
      <c r="F5675">
        <v>0</v>
      </c>
    </row>
    <row r="5676" spans="1:6">
      <c r="A5676" t="s">
        <v>13</v>
      </c>
      <c r="B5676" t="s">
        <v>100</v>
      </c>
      <c r="C5676" t="s">
        <v>1843</v>
      </c>
      <c r="D5676" t="s">
        <v>1984</v>
      </c>
      <c r="E5676" t="s">
        <v>1298</v>
      </c>
      <c r="F5676">
        <v>2026</v>
      </c>
    </row>
    <row r="5677" spans="1:6">
      <c r="A5677" t="s">
        <v>13</v>
      </c>
      <c r="B5677" t="s">
        <v>100</v>
      </c>
      <c r="C5677" t="s">
        <v>1843</v>
      </c>
      <c r="D5677" t="s">
        <v>1984</v>
      </c>
      <c r="E5677" t="s">
        <v>1299</v>
      </c>
      <c r="F5677">
        <v>461</v>
      </c>
    </row>
    <row r="5678" spans="1:6">
      <c r="A5678" t="s">
        <v>13</v>
      </c>
      <c r="B5678" t="s">
        <v>100</v>
      </c>
      <c r="C5678" t="s">
        <v>1843</v>
      </c>
      <c r="D5678" t="s">
        <v>1984</v>
      </c>
      <c r="E5678" t="s">
        <v>1300</v>
      </c>
      <c r="F5678">
        <v>122248.06</v>
      </c>
    </row>
    <row r="5679" spans="1:6">
      <c r="A5679" t="s">
        <v>13</v>
      </c>
      <c r="B5679" t="s">
        <v>100</v>
      </c>
      <c r="C5679" t="s">
        <v>1843</v>
      </c>
      <c r="D5679" t="s">
        <v>1984</v>
      </c>
      <c r="E5679" t="s">
        <v>1301</v>
      </c>
      <c r="F5679" t="s">
        <v>1292</v>
      </c>
    </row>
    <row r="5680" spans="1:6">
      <c r="A5680" t="s">
        <v>13</v>
      </c>
      <c r="B5680" t="s">
        <v>100</v>
      </c>
      <c r="C5680" t="s">
        <v>1843</v>
      </c>
      <c r="D5680" t="s">
        <v>1984</v>
      </c>
      <c r="E5680" t="s">
        <v>1302</v>
      </c>
      <c r="F5680">
        <v>461</v>
      </c>
    </row>
    <row r="5681" spans="1:6">
      <c r="A5681" t="s">
        <v>13</v>
      </c>
      <c r="B5681" t="s">
        <v>100</v>
      </c>
      <c r="C5681" t="s">
        <v>1843</v>
      </c>
      <c r="D5681" t="s">
        <v>1984</v>
      </c>
      <c r="E5681" t="s">
        <v>1303</v>
      </c>
      <c r="F5681">
        <v>122248.06</v>
      </c>
    </row>
    <row r="5682" spans="1:6">
      <c r="A5682" t="s">
        <v>13</v>
      </c>
      <c r="B5682" t="s">
        <v>106</v>
      </c>
      <c r="C5682" t="s">
        <v>1843</v>
      </c>
      <c r="D5682" t="s">
        <v>1985</v>
      </c>
      <c r="E5682" t="s">
        <v>1093</v>
      </c>
      <c r="F5682" t="s">
        <v>1094</v>
      </c>
    </row>
    <row r="5683" spans="1:6">
      <c r="A5683" t="s">
        <v>13</v>
      </c>
      <c r="B5683" t="s">
        <v>106</v>
      </c>
      <c r="C5683" t="s">
        <v>1843</v>
      </c>
      <c r="D5683" t="s">
        <v>1985</v>
      </c>
      <c r="E5683" t="s">
        <v>994</v>
      </c>
      <c r="F5683" t="s">
        <v>106</v>
      </c>
    </row>
    <row r="5684" spans="1:6">
      <c r="A5684" t="s">
        <v>13</v>
      </c>
      <c r="B5684" t="s">
        <v>106</v>
      </c>
      <c r="C5684" t="s">
        <v>1843</v>
      </c>
      <c r="D5684" t="s">
        <v>1985</v>
      </c>
      <c r="E5684" t="s">
        <v>995</v>
      </c>
      <c r="F5684" t="s">
        <v>996</v>
      </c>
    </row>
    <row r="5685" spans="1:6">
      <c r="A5685" t="s">
        <v>13</v>
      </c>
      <c r="B5685" t="s">
        <v>106</v>
      </c>
      <c r="C5685" t="s">
        <v>1843</v>
      </c>
      <c r="D5685" t="s">
        <v>1985</v>
      </c>
      <c r="E5685" t="s">
        <v>997</v>
      </c>
      <c r="F5685" t="s">
        <v>1836</v>
      </c>
    </row>
    <row r="5686" spans="1:6">
      <c r="A5686" t="s">
        <v>13</v>
      </c>
      <c r="B5686" t="s">
        <v>106</v>
      </c>
      <c r="C5686" t="s">
        <v>1843</v>
      </c>
      <c r="D5686" t="s">
        <v>1985</v>
      </c>
      <c r="E5686" t="s">
        <v>999</v>
      </c>
      <c r="F5686" t="s">
        <v>1000</v>
      </c>
    </row>
    <row r="5687" spans="1:6">
      <c r="A5687" t="s">
        <v>13</v>
      </c>
      <c r="B5687" t="s">
        <v>106</v>
      </c>
      <c r="C5687" t="s">
        <v>1843</v>
      </c>
      <c r="D5687" t="s">
        <v>1985</v>
      </c>
      <c r="E5687" t="s">
        <v>1001</v>
      </c>
      <c r="F5687" t="s">
        <v>23</v>
      </c>
    </row>
    <row r="5688" spans="1:6">
      <c r="A5688" t="s">
        <v>13</v>
      </c>
      <c r="B5688" t="s">
        <v>106</v>
      </c>
      <c r="C5688" t="s">
        <v>1843</v>
      </c>
      <c r="D5688" t="s">
        <v>1985</v>
      </c>
      <c r="E5688" t="s">
        <v>1002</v>
      </c>
      <c r="F5688" t="s">
        <v>1845</v>
      </c>
    </row>
    <row r="5689" spans="1:6">
      <c r="A5689" t="s">
        <v>13</v>
      </c>
      <c r="B5689" t="s">
        <v>106</v>
      </c>
      <c r="C5689" t="s">
        <v>1843</v>
      </c>
      <c r="D5689" t="s">
        <v>1985</v>
      </c>
      <c r="E5689" t="s">
        <v>1006</v>
      </c>
      <c r="F5689" t="s">
        <v>1007</v>
      </c>
    </row>
    <row r="5690" spans="1:6">
      <c r="A5690" t="s">
        <v>13</v>
      </c>
      <c r="B5690" t="s">
        <v>106</v>
      </c>
      <c r="C5690" t="s">
        <v>1843</v>
      </c>
      <c r="D5690" t="s">
        <v>1985</v>
      </c>
      <c r="E5690" t="s">
        <v>1008</v>
      </c>
      <c r="F5690" t="s">
        <v>1009</v>
      </c>
    </row>
    <row r="5691" spans="1:6">
      <c r="A5691" t="s">
        <v>13</v>
      </c>
      <c r="B5691" t="s">
        <v>106</v>
      </c>
      <c r="C5691" t="s">
        <v>1843</v>
      </c>
      <c r="D5691" t="s">
        <v>1985</v>
      </c>
      <c r="E5691" t="s">
        <v>1010</v>
      </c>
      <c r="F5691" t="s">
        <v>1011</v>
      </c>
    </row>
    <row r="5692" spans="1:6">
      <c r="A5692" t="s">
        <v>13</v>
      </c>
      <c r="B5692" t="s">
        <v>106</v>
      </c>
      <c r="C5692" t="s">
        <v>1843</v>
      </c>
      <c r="D5692" t="s">
        <v>1985</v>
      </c>
      <c r="E5692" t="s">
        <v>1012</v>
      </c>
      <c r="F5692" t="s">
        <v>1013</v>
      </c>
    </row>
    <row r="5693" spans="1:6">
      <c r="A5693" t="s">
        <v>13</v>
      </c>
      <c r="B5693" t="s">
        <v>106</v>
      </c>
      <c r="C5693" t="s">
        <v>1843</v>
      </c>
      <c r="D5693" t="s">
        <v>1985</v>
      </c>
      <c r="E5693" t="s">
        <v>1014</v>
      </c>
      <c r="F5693" t="s">
        <v>1015</v>
      </c>
    </row>
    <row r="5694" spans="1:6">
      <c r="A5694" t="s">
        <v>13</v>
      </c>
      <c r="B5694" t="s">
        <v>106</v>
      </c>
      <c r="C5694" t="s">
        <v>1843</v>
      </c>
      <c r="D5694" t="s">
        <v>1985</v>
      </c>
      <c r="E5694" t="s">
        <v>1016</v>
      </c>
      <c r="F5694" t="s">
        <v>1017</v>
      </c>
    </row>
    <row r="5695" spans="1:6">
      <c r="A5695" t="s">
        <v>13</v>
      </c>
      <c r="B5695" t="s">
        <v>106</v>
      </c>
      <c r="C5695" t="s">
        <v>1843</v>
      </c>
      <c r="D5695" t="s">
        <v>1985</v>
      </c>
      <c r="E5695" t="s">
        <v>1018</v>
      </c>
      <c r="F5695" t="s">
        <v>1019</v>
      </c>
    </row>
    <row r="5696" spans="1:6">
      <c r="A5696" t="s">
        <v>13</v>
      </c>
      <c r="B5696" t="s">
        <v>106</v>
      </c>
      <c r="C5696" t="s">
        <v>1843</v>
      </c>
      <c r="D5696" t="s">
        <v>1985</v>
      </c>
      <c r="E5696" t="s">
        <v>1020</v>
      </c>
      <c r="F5696" t="s">
        <v>1021</v>
      </c>
    </row>
    <row r="5697" spans="1:6">
      <c r="A5697" t="s">
        <v>13</v>
      </c>
      <c r="B5697" t="s">
        <v>106</v>
      </c>
      <c r="C5697" t="s">
        <v>1843</v>
      </c>
      <c r="D5697" t="s">
        <v>1985</v>
      </c>
      <c r="E5697" t="s">
        <v>1022</v>
      </c>
      <c r="F5697" t="s">
        <v>1023</v>
      </c>
    </row>
    <row r="5698" spans="1:6">
      <c r="A5698" t="s">
        <v>13</v>
      </c>
      <c r="B5698" t="s">
        <v>106</v>
      </c>
      <c r="C5698" t="s">
        <v>1843</v>
      </c>
      <c r="D5698" t="s">
        <v>1985</v>
      </c>
      <c r="E5698" t="s">
        <v>1024</v>
      </c>
      <c r="F5698" t="s">
        <v>1025</v>
      </c>
    </row>
    <row r="5699" spans="1:6">
      <c r="A5699" t="s">
        <v>13</v>
      </c>
      <c r="B5699" t="s">
        <v>106</v>
      </c>
      <c r="C5699" t="s">
        <v>1843</v>
      </c>
      <c r="D5699" t="s">
        <v>1985</v>
      </c>
      <c r="E5699" t="s">
        <v>1026</v>
      </c>
      <c r="F5699" t="s">
        <v>1027</v>
      </c>
    </row>
    <row r="5700" spans="1:6">
      <c r="A5700" t="s">
        <v>13</v>
      </c>
      <c r="B5700" t="s">
        <v>106</v>
      </c>
      <c r="C5700" t="s">
        <v>1843</v>
      </c>
      <c r="D5700" t="s">
        <v>1985</v>
      </c>
      <c r="E5700" t="s">
        <v>1028</v>
      </c>
      <c r="F5700" t="s">
        <v>1029</v>
      </c>
    </row>
    <row r="5701" spans="1:6">
      <c r="A5701" t="s">
        <v>13</v>
      </c>
      <c r="B5701" t="s">
        <v>106</v>
      </c>
      <c r="C5701" t="s">
        <v>1843</v>
      </c>
      <c r="D5701" t="s">
        <v>1985</v>
      </c>
      <c r="E5701" t="s">
        <v>1030</v>
      </c>
      <c r="F5701" t="s">
        <v>1031</v>
      </c>
    </row>
    <row r="5702" spans="1:6">
      <c r="A5702" t="s">
        <v>13</v>
      </c>
      <c r="B5702" t="s">
        <v>106</v>
      </c>
      <c r="C5702" t="s">
        <v>1843</v>
      </c>
      <c r="D5702" t="s">
        <v>1985</v>
      </c>
      <c r="E5702" t="s">
        <v>1032</v>
      </c>
      <c r="F5702" t="s">
        <v>1033</v>
      </c>
    </row>
    <row r="5703" spans="1:6">
      <c r="A5703" t="s">
        <v>13</v>
      </c>
      <c r="B5703" t="s">
        <v>106</v>
      </c>
      <c r="C5703" t="s">
        <v>1843</v>
      </c>
      <c r="D5703" t="s">
        <v>1985</v>
      </c>
      <c r="E5703" t="s">
        <v>1034</v>
      </c>
      <c r="F5703" t="s">
        <v>93</v>
      </c>
    </row>
    <row r="5704" spans="1:6">
      <c r="A5704" t="s">
        <v>13</v>
      </c>
      <c r="B5704" t="s">
        <v>106</v>
      </c>
      <c r="C5704" t="s">
        <v>1843</v>
      </c>
      <c r="D5704" t="s">
        <v>1985</v>
      </c>
      <c r="E5704" t="s">
        <v>1035</v>
      </c>
      <c r="F5704">
        <v>0</v>
      </c>
    </row>
    <row r="5705" spans="1:6">
      <c r="A5705" t="s">
        <v>13</v>
      </c>
      <c r="B5705" t="s">
        <v>106</v>
      </c>
      <c r="C5705" t="s">
        <v>1843</v>
      </c>
      <c r="D5705" t="s">
        <v>1985</v>
      </c>
      <c r="E5705" t="s">
        <v>1036</v>
      </c>
      <c r="F5705">
        <v>2024</v>
      </c>
    </row>
    <row r="5706" spans="1:6">
      <c r="A5706" t="s">
        <v>13</v>
      </c>
      <c r="B5706" t="s">
        <v>106</v>
      </c>
      <c r="C5706" t="s">
        <v>1843</v>
      </c>
      <c r="D5706" t="s">
        <v>1985</v>
      </c>
      <c r="E5706" t="s">
        <v>1037</v>
      </c>
      <c r="F5706">
        <v>0</v>
      </c>
    </row>
    <row r="5707" spans="1:6">
      <c r="A5707" t="s">
        <v>13</v>
      </c>
      <c r="B5707" t="s">
        <v>106</v>
      </c>
      <c r="C5707" t="s">
        <v>1843</v>
      </c>
      <c r="D5707" t="s">
        <v>1985</v>
      </c>
      <c r="E5707" t="s">
        <v>1038</v>
      </c>
      <c r="F5707">
        <v>2025</v>
      </c>
    </row>
    <row r="5708" spans="1:6">
      <c r="A5708" t="s">
        <v>13</v>
      </c>
      <c r="B5708" t="s">
        <v>106</v>
      </c>
      <c r="C5708" t="s">
        <v>1843</v>
      </c>
      <c r="D5708" t="s">
        <v>1985</v>
      </c>
      <c r="E5708" t="s">
        <v>1039</v>
      </c>
      <c r="F5708">
        <v>1598170.86</v>
      </c>
    </row>
    <row r="5709" spans="1:6">
      <c r="A5709" t="s">
        <v>13</v>
      </c>
      <c r="B5709" t="s">
        <v>106</v>
      </c>
      <c r="C5709" t="s">
        <v>1843</v>
      </c>
      <c r="D5709" t="s">
        <v>1985</v>
      </c>
      <c r="E5709" t="s">
        <v>1040</v>
      </c>
      <c r="F5709">
        <v>13.65</v>
      </c>
    </row>
    <row r="5710" spans="1:6">
      <c r="A5710" t="s">
        <v>13</v>
      </c>
      <c r="B5710" t="s">
        <v>106</v>
      </c>
      <c r="C5710" t="s">
        <v>1843</v>
      </c>
      <c r="D5710" t="s">
        <v>1985</v>
      </c>
      <c r="E5710" t="s">
        <v>1041</v>
      </c>
      <c r="F5710">
        <v>18</v>
      </c>
    </row>
    <row r="5711" spans="1:6">
      <c r="A5711" t="s">
        <v>13</v>
      </c>
      <c r="B5711" t="s">
        <v>106</v>
      </c>
      <c r="C5711" t="s">
        <v>1843</v>
      </c>
      <c r="D5711" t="s">
        <v>1985</v>
      </c>
      <c r="E5711" t="s">
        <v>1042</v>
      </c>
      <c r="F5711">
        <v>112.32</v>
      </c>
    </row>
    <row r="5712" spans="1:6">
      <c r="A5712" t="s">
        <v>13</v>
      </c>
      <c r="B5712" t="s">
        <v>106</v>
      </c>
      <c r="C5712" t="s">
        <v>1843</v>
      </c>
      <c r="D5712" t="s">
        <v>1985</v>
      </c>
      <c r="E5712" t="s">
        <v>1043</v>
      </c>
      <c r="F5712">
        <v>8180.63</v>
      </c>
    </row>
    <row r="5713" spans="1:6">
      <c r="A5713" t="s">
        <v>13</v>
      </c>
      <c r="B5713" t="s">
        <v>106</v>
      </c>
      <c r="C5713" t="s">
        <v>1843</v>
      </c>
      <c r="D5713" t="s">
        <v>1985</v>
      </c>
      <c r="E5713" t="s">
        <v>1044</v>
      </c>
      <c r="F5713">
        <v>7848.559999999999</v>
      </c>
    </row>
    <row r="5714" spans="1:6">
      <c r="A5714" t="s">
        <v>13</v>
      </c>
      <c r="B5714" t="s">
        <v>106</v>
      </c>
      <c r="C5714" t="s">
        <v>1843</v>
      </c>
      <c r="D5714" t="s">
        <v>1985</v>
      </c>
      <c r="E5714" t="s">
        <v>1045</v>
      </c>
      <c r="F5714">
        <v>13339.66</v>
      </c>
    </row>
    <row r="5715" spans="1:6">
      <c r="A5715" t="s">
        <v>13</v>
      </c>
      <c r="B5715" t="s">
        <v>106</v>
      </c>
      <c r="C5715" t="s">
        <v>1843</v>
      </c>
      <c r="D5715" t="s">
        <v>1985</v>
      </c>
      <c r="E5715" t="s">
        <v>1046</v>
      </c>
      <c r="F5715">
        <v>156911.8000000001</v>
      </c>
    </row>
    <row r="5716" spans="1:6">
      <c r="A5716" t="s">
        <v>13</v>
      </c>
      <c r="B5716" t="s">
        <v>106</v>
      </c>
      <c r="C5716" t="s">
        <v>1843</v>
      </c>
      <c r="D5716" t="s">
        <v>1985</v>
      </c>
      <c r="E5716" t="s">
        <v>1047</v>
      </c>
      <c r="F5716">
        <v>270237.9699999998</v>
      </c>
    </row>
    <row r="5717" spans="1:6">
      <c r="A5717" t="s">
        <v>13</v>
      </c>
      <c r="B5717" t="s">
        <v>106</v>
      </c>
      <c r="C5717" t="s">
        <v>1843</v>
      </c>
      <c r="D5717" t="s">
        <v>1985</v>
      </c>
      <c r="E5717" t="s">
        <v>1048</v>
      </c>
      <c r="F5717">
        <v>264732.9099999999</v>
      </c>
    </row>
    <row r="5718" spans="1:6">
      <c r="A5718" t="s">
        <v>13</v>
      </c>
      <c r="B5718" t="s">
        <v>106</v>
      </c>
      <c r="C5718" t="s">
        <v>1843</v>
      </c>
      <c r="D5718" t="s">
        <v>1985</v>
      </c>
      <c r="E5718" t="s">
        <v>1049</v>
      </c>
      <c r="F5718">
        <v>334030.9599999997</v>
      </c>
    </row>
    <row r="5719" spans="1:6">
      <c r="A5719" t="s">
        <v>13</v>
      </c>
      <c r="B5719" t="s">
        <v>106</v>
      </c>
      <c r="C5719" t="s">
        <v>1843</v>
      </c>
      <c r="D5719" t="s">
        <v>1985</v>
      </c>
      <c r="E5719" t="s">
        <v>1050</v>
      </c>
      <c r="F5719">
        <v>252805.7700000001</v>
      </c>
    </row>
    <row r="5720" spans="1:6">
      <c r="A5720" t="s">
        <v>13</v>
      </c>
      <c r="B5720" t="s">
        <v>106</v>
      </c>
      <c r="C5720" t="s">
        <v>1843</v>
      </c>
      <c r="D5720" t="s">
        <v>1985</v>
      </c>
      <c r="E5720" t="s">
        <v>1051</v>
      </c>
      <c r="F5720">
        <v>289938.6299999998</v>
      </c>
    </row>
    <row r="5721" spans="1:6">
      <c r="A5721" t="s">
        <v>13</v>
      </c>
      <c r="B5721" t="s">
        <v>106</v>
      </c>
      <c r="C5721" t="s">
        <v>1843</v>
      </c>
      <c r="D5721" t="s">
        <v>1985</v>
      </c>
      <c r="E5721" t="s">
        <v>1052</v>
      </c>
      <c r="F5721">
        <v>2026</v>
      </c>
    </row>
    <row r="5722" spans="1:6">
      <c r="A5722" t="s">
        <v>13</v>
      </c>
      <c r="B5722" t="s">
        <v>106</v>
      </c>
      <c r="C5722" t="s">
        <v>1843</v>
      </c>
      <c r="D5722" t="s">
        <v>1985</v>
      </c>
      <c r="E5722" t="s">
        <v>1053</v>
      </c>
      <c r="F5722">
        <v>1887916.95</v>
      </c>
    </row>
    <row r="5723" spans="1:6">
      <c r="A5723" t="s">
        <v>13</v>
      </c>
      <c r="B5723" t="s">
        <v>106</v>
      </c>
      <c r="C5723" t="s">
        <v>1843</v>
      </c>
      <c r="D5723" t="s">
        <v>1985</v>
      </c>
      <c r="E5723" t="s">
        <v>1108</v>
      </c>
      <c r="F5723">
        <v>248370.93</v>
      </c>
    </row>
    <row r="5724" spans="1:6">
      <c r="A5724" t="s">
        <v>13</v>
      </c>
      <c r="B5724" t="s">
        <v>106</v>
      </c>
      <c r="C5724" t="s">
        <v>1843</v>
      </c>
      <c r="D5724" t="s">
        <v>1985</v>
      </c>
      <c r="E5724" t="s">
        <v>1109</v>
      </c>
      <c r="F5724">
        <v>119781.77</v>
      </c>
    </row>
    <row r="5725" spans="1:6">
      <c r="A5725" t="s">
        <v>13</v>
      </c>
      <c r="B5725" t="s">
        <v>106</v>
      </c>
      <c r="C5725" t="s">
        <v>1843</v>
      </c>
      <c r="D5725" t="s">
        <v>1985</v>
      </c>
      <c r="E5725" t="s">
        <v>1110</v>
      </c>
      <c r="F5725">
        <v>720809.2200000002</v>
      </c>
    </row>
    <row r="5726" spans="1:6">
      <c r="A5726" t="s">
        <v>13</v>
      </c>
      <c r="B5726" t="s">
        <v>106</v>
      </c>
      <c r="C5726" t="s">
        <v>1843</v>
      </c>
      <c r="D5726" t="s">
        <v>1985</v>
      </c>
      <c r="E5726" t="s">
        <v>1521</v>
      </c>
      <c r="F5726">
        <v>384234.17</v>
      </c>
    </row>
    <row r="5727" spans="1:6">
      <c r="A5727" t="s">
        <v>13</v>
      </c>
      <c r="B5727" t="s">
        <v>106</v>
      </c>
      <c r="C5727" t="s">
        <v>1843</v>
      </c>
      <c r="D5727" t="s">
        <v>1985</v>
      </c>
      <c r="E5727" t="s">
        <v>1522</v>
      </c>
      <c r="F5727">
        <v>137125.2699999999</v>
      </c>
    </row>
    <row r="5728" spans="1:6">
      <c r="A5728" t="s">
        <v>13</v>
      </c>
      <c r="B5728" t="s">
        <v>106</v>
      </c>
      <c r="C5728" t="s">
        <v>1843</v>
      </c>
      <c r="D5728" t="s">
        <v>1985</v>
      </c>
      <c r="E5728" t="s">
        <v>1523</v>
      </c>
      <c r="F5728">
        <v>277595.5899999997</v>
      </c>
    </row>
    <row r="5729" spans="1:6">
      <c r="A5729" t="s">
        <v>13</v>
      </c>
      <c r="B5729" t="s">
        <v>106</v>
      </c>
      <c r="C5729" t="s">
        <v>1843</v>
      </c>
      <c r="D5729" t="s">
        <v>1985</v>
      </c>
      <c r="E5729" t="s">
        <v>1524</v>
      </c>
      <c r="F5729">
        <v>0</v>
      </c>
    </row>
    <row r="5730" spans="1:6">
      <c r="A5730" t="s">
        <v>13</v>
      </c>
      <c r="B5730" t="s">
        <v>106</v>
      </c>
      <c r="C5730" t="s">
        <v>1843</v>
      </c>
      <c r="D5730" t="s">
        <v>1985</v>
      </c>
      <c r="E5730" t="s">
        <v>1525</v>
      </c>
      <c r="F5730">
        <v>0</v>
      </c>
    </row>
    <row r="5731" spans="1:6">
      <c r="A5731" t="s">
        <v>13</v>
      </c>
      <c r="B5731" t="s">
        <v>106</v>
      </c>
      <c r="C5731" t="s">
        <v>1843</v>
      </c>
      <c r="D5731" t="s">
        <v>1985</v>
      </c>
      <c r="E5731" t="s">
        <v>1526</v>
      </c>
      <c r="F5731">
        <v>0</v>
      </c>
    </row>
    <row r="5732" spans="1:6">
      <c r="A5732" t="s">
        <v>13</v>
      </c>
      <c r="B5732" t="s">
        <v>106</v>
      </c>
      <c r="C5732" t="s">
        <v>1843</v>
      </c>
      <c r="D5732" t="s">
        <v>1985</v>
      </c>
      <c r="E5732" t="s">
        <v>1527</v>
      </c>
      <c r="F5732">
        <v>0</v>
      </c>
    </row>
    <row r="5733" spans="1:6">
      <c r="A5733" t="s">
        <v>13</v>
      </c>
      <c r="B5733" t="s">
        <v>106</v>
      </c>
      <c r="C5733" t="s">
        <v>1843</v>
      </c>
      <c r="D5733" t="s">
        <v>1985</v>
      </c>
      <c r="E5733" t="s">
        <v>1528</v>
      </c>
      <c r="F5733">
        <v>0</v>
      </c>
    </row>
    <row r="5734" spans="1:6">
      <c r="A5734" t="s">
        <v>13</v>
      </c>
      <c r="B5734" t="s">
        <v>106</v>
      </c>
      <c r="C5734" t="s">
        <v>1843</v>
      </c>
      <c r="D5734" t="s">
        <v>1985</v>
      </c>
      <c r="E5734" t="s">
        <v>1529</v>
      </c>
      <c r="F5734">
        <v>0</v>
      </c>
    </row>
    <row r="5735" spans="1:6">
      <c r="A5735" t="s">
        <v>13</v>
      </c>
      <c r="B5735" t="s">
        <v>106</v>
      </c>
      <c r="C5735" t="s">
        <v>1843</v>
      </c>
      <c r="D5735" t="s">
        <v>1985</v>
      </c>
      <c r="E5735" t="s">
        <v>1111</v>
      </c>
      <c r="F5735" t="s">
        <v>1009</v>
      </c>
    </row>
    <row r="5736" spans="1:6">
      <c r="A5736" t="s">
        <v>13</v>
      </c>
      <c r="B5736" t="s">
        <v>106</v>
      </c>
      <c r="C5736" t="s">
        <v>1843</v>
      </c>
      <c r="D5736" t="s">
        <v>1985</v>
      </c>
      <c r="E5736" t="s">
        <v>1113</v>
      </c>
      <c r="F5736">
        <v>3486087.81</v>
      </c>
    </row>
    <row r="5737" spans="1:6">
      <c r="A5737" t="s">
        <v>13</v>
      </c>
      <c r="B5737" t="s">
        <v>106</v>
      </c>
      <c r="C5737" t="s">
        <v>1843</v>
      </c>
      <c r="D5737" t="s">
        <v>1985</v>
      </c>
      <c r="E5737" t="s">
        <v>1122</v>
      </c>
      <c r="F5737" t="s">
        <v>1055</v>
      </c>
    </row>
    <row r="5738" spans="1:6">
      <c r="A5738" t="s">
        <v>13</v>
      </c>
      <c r="B5738" t="s">
        <v>106</v>
      </c>
      <c r="C5738" t="s">
        <v>1843</v>
      </c>
      <c r="D5738" t="s">
        <v>1985</v>
      </c>
      <c r="E5738" t="s">
        <v>1071</v>
      </c>
      <c r="F5738" t="s">
        <v>1007</v>
      </c>
    </row>
    <row r="5739" spans="1:6">
      <c r="A5739" t="s">
        <v>13</v>
      </c>
      <c r="B5739" t="s">
        <v>106</v>
      </c>
      <c r="C5739" t="s">
        <v>1843</v>
      </c>
      <c r="D5739" t="s">
        <v>1985</v>
      </c>
      <c r="E5739" t="s">
        <v>1072</v>
      </c>
      <c r="F5739" t="s">
        <v>1009</v>
      </c>
    </row>
    <row r="5740" spans="1:6">
      <c r="A5740" t="s">
        <v>13</v>
      </c>
      <c r="B5740" t="s">
        <v>106</v>
      </c>
      <c r="C5740" t="s">
        <v>1843</v>
      </c>
      <c r="D5740" t="s">
        <v>1985</v>
      </c>
      <c r="E5740" t="s">
        <v>1133</v>
      </c>
      <c r="F5740" t="s">
        <v>1011</v>
      </c>
    </row>
    <row r="5741" spans="1:6">
      <c r="A5741" t="s">
        <v>13</v>
      </c>
      <c r="B5741" t="s">
        <v>106</v>
      </c>
      <c r="C5741" t="s">
        <v>1843</v>
      </c>
      <c r="D5741" t="s">
        <v>1985</v>
      </c>
      <c r="E5741" t="s">
        <v>1134</v>
      </c>
      <c r="F5741" t="s">
        <v>1013</v>
      </c>
    </row>
    <row r="5742" spans="1:6">
      <c r="A5742" t="s">
        <v>13</v>
      </c>
      <c r="B5742" t="s">
        <v>106</v>
      </c>
      <c r="C5742" t="s">
        <v>1843</v>
      </c>
      <c r="D5742" t="s">
        <v>1985</v>
      </c>
      <c r="E5742" t="s">
        <v>1135</v>
      </c>
      <c r="F5742" t="s">
        <v>1015</v>
      </c>
    </row>
    <row r="5743" spans="1:6">
      <c r="A5743" t="s">
        <v>13</v>
      </c>
      <c r="B5743" t="s">
        <v>106</v>
      </c>
      <c r="C5743" t="s">
        <v>1843</v>
      </c>
      <c r="D5743" t="s">
        <v>1985</v>
      </c>
      <c r="E5743" t="s">
        <v>1414</v>
      </c>
      <c r="F5743" t="s">
        <v>1017</v>
      </c>
    </row>
    <row r="5744" spans="1:6">
      <c r="A5744" t="s">
        <v>13</v>
      </c>
      <c r="B5744" t="s">
        <v>106</v>
      </c>
      <c r="C5744" t="s">
        <v>1843</v>
      </c>
      <c r="D5744" t="s">
        <v>1985</v>
      </c>
      <c r="E5744" t="s">
        <v>1530</v>
      </c>
      <c r="F5744" t="s">
        <v>1019</v>
      </c>
    </row>
    <row r="5745" spans="1:6">
      <c r="A5745" t="s">
        <v>13</v>
      </c>
      <c r="B5745" t="s">
        <v>106</v>
      </c>
      <c r="C5745" t="s">
        <v>1843</v>
      </c>
      <c r="D5745" t="s">
        <v>1985</v>
      </c>
      <c r="E5745" t="s">
        <v>1531</v>
      </c>
      <c r="F5745" t="s">
        <v>1021</v>
      </c>
    </row>
    <row r="5746" spans="1:6">
      <c r="A5746" t="s">
        <v>13</v>
      </c>
      <c r="B5746" t="s">
        <v>106</v>
      </c>
      <c r="C5746" t="s">
        <v>1843</v>
      </c>
      <c r="D5746" t="s">
        <v>1985</v>
      </c>
      <c r="E5746" t="s">
        <v>1532</v>
      </c>
      <c r="F5746" t="s">
        <v>1023</v>
      </c>
    </row>
    <row r="5747" spans="1:6">
      <c r="A5747" t="s">
        <v>13</v>
      </c>
      <c r="B5747" t="s">
        <v>106</v>
      </c>
      <c r="C5747" t="s">
        <v>1843</v>
      </c>
      <c r="D5747" t="s">
        <v>1985</v>
      </c>
      <c r="E5747" t="s">
        <v>1533</v>
      </c>
      <c r="F5747" t="s">
        <v>1066</v>
      </c>
    </row>
    <row r="5748" spans="1:6">
      <c r="A5748" t="s">
        <v>13</v>
      </c>
      <c r="B5748" t="s">
        <v>106</v>
      </c>
      <c r="C5748" t="s">
        <v>1843</v>
      </c>
      <c r="D5748" t="s">
        <v>1985</v>
      </c>
      <c r="E5748" t="s">
        <v>1534</v>
      </c>
      <c r="F5748" t="s">
        <v>1027</v>
      </c>
    </row>
    <row r="5749" spans="1:6">
      <c r="A5749" t="s">
        <v>13</v>
      </c>
      <c r="B5749" t="s">
        <v>106</v>
      </c>
      <c r="C5749" t="s">
        <v>1843</v>
      </c>
      <c r="D5749" t="s">
        <v>1985</v>
      </c>
      <c r="E5749" t="s">
        <v>1535</v>
      </c>
      <c r="F5749" t="s">
        <v>1029</v>
      </c>
    </row>
    <row r="5750" spans="1:6">
      <c r="A5750" t="s">
        <v>13</v>
      </c>
      <c r="B5750" t="s">
        <v>106</v>
      </c>
      <c r="C5750" t="s">
        <v>1843</v>
      </c>
      <c r="D5750" t="s">
        <v>1985</v>
      </c>
      <c r="E5750" t="s">
        <v>1536</v>
      </c>
      <c r="F5750" t="s">
        <v>1031</v>
      </c>
    </row>
    <row r="5751" spans="1:6">
      <c r="A5751" t="s">
        <v>13</v>
      </c>
      <c r="B5751" t="s">
        <v>106</v>
      </c>
      <c r="C5751" t="s">
        <v>1843</v>
      </c>
      <c r="D5751" t="s">
        <v>1985</v>
      </c>
      <c r="E5751" t="s">
        <v>1537</v>
      </c>
      <c r="F5751" t="s">
        <v>1033</v>
      </c>
    </row>
    <row r="5752" spans="1:6">
      <c r="A5752" t="s">
        <v>13</v>
      </c>
      <c r="B5752" t="s">
        <v>106</v>
      </c>
      <c r="C5752" t="s">
        <v>1843</v>
      </c>
      <c r="D5752" t="s">
        <v>1985</v>
      </c>
      <c r="E5752" t="s">
        <v>1073</v>
      </c>
      <c r="F5752" t="s">
        <v>93</v>
      </c>
    </row>
    <row r="5753" spans="1:6">
      <c r="A5753" t="s">
        <v>13</v>
      </c>
      <c r="B5753" t="s">
        <v>106</v>
      </c>
      <c r="C5753" t="s">
        <v>1843</v>
      </c>
      <c r="D5753" t="s">
        <v>1985</v>
      </c>
      <c r="E5753" t="s">
        <v>1074</v>
      </c>
      <c r="F5753">
        <v>0</v>
      </c>
    </row>
    <row r="5754" spans="1:6">
      <c r="A5754" t="s">
        <v>13</v>
      </c>
      <c r="B5754" t="s">
        <v>106</v>
      </c>
      <c r="C5754" t="s">
        <v>1843</v>
      </c>
      <c r="D5754" t="s">
        <v>1985</v>
      </c>
      <c r="E5754" t="s">
        <v>1075</v>
      </c>
      <c r="F5754">
        <v>2024</v>
      </c>
    </row>
    <row r="5755" spans="1:6">
      <c r="A5755" t="s">
        <v>13</v>
      </c>
      <c r="B5755" t="s">
        <v>106</v>
      </c>
      <c r="C5755" t="s">
        <v>1843</v>
      </c>
      <c r="D5755" t="s">
        <v>1985</v>
      </c>
      <c r="E5755" t="s">
        <v>1076</v>
      </c>
      <c r="F5755">
        <v>0</v>
      </c>
    </row>
    <row r="5756" spans="1:6">
      <c r="A5756" t="s">
        <v>13</v>
      </c>
      <c r="B5756" t="s">
        <v>106</v>
      </c>
      <c r="C5756" t="s">
        <v>1843</v>
      </c>
      <c r="D5756" t="s">
        <v>1985</v>
      </c>
      <c r="E5756" t="s">
        <v>1089</v>
      </c>
      <c r="F5756">
        <v>2025</v>
      </c>
    </row>
    <row r="5757" spans="1:6">
      <c r="A5757" t="s">
        <v>13</v>
      </c>
      <c r="B5757" t="s">
        <v>106</v>
      </c>
      <c r="C5757" t="s">
        <v>1843</v>
      </c>
      <c r="D5757" t="s">
        <v>1985</v>
      </c>
      <c r="E5757" t="s">
        <v>1090</v>
      </c>
      <c r="F5757">
        <v>4038</v>
      </c>
    </row>
    <row r="5758" spans="1:6">
      <c r="A5758" t="s">
        <v>13</v>
      </c>
      <c r="B5758" t="s">
        <v>106</v>
      </c>
      <c r="C5758" t="s">
        <v>1843</v>
      </c>
      <c r="D5758" t="s">
        <v>1985</v>
      </c>
      <c r="E5758" t="s">
        <v>1139</v>
      </c>
      <c r="F5758">
        <v>2</v>
      </c>
    </row>
    <row r="5759" spans="1:6">
      <c r="A5759" t="s">
        <v>13</v>
      </c>
      <c r="B5759" t="s">
        <v>106</v>
      </c>
      <c r="C5759" t="s">
        <v>1843</v>
      </c>
      <c r="D5759" t="s">
        <v>1985</v>
      </c>
      <c r="E5759" t="s">
        <v>1140</v>
      </c>
      <c r="F5759">
        <v>1</v>
      </c>
    </row>
    <row r="5760" spans="1:6">
      <c r="A5760" t="s">
        <v>13</v>
      </c>
      <c r="B5760" t="s">
        <v>106</v>
      </c>
      <c r="C5760" t="s">
        <v>1843</v>
      </c>
      <c r="D5760" t="s">
        <v>1985</v>
      </c>
      <c r="E5760" t="s">
        <v>1141</v>
      </c>
      <c r="F5760">
        <v>6</v>
      </c>
    </row>
    <row r="5761" spans="1:6">
      <c r="A5761" t="s">
        <v>13</v>
      </c>
      <c r="B5761" t="s">
        <v>106</v>
      </c>
      <c r="C5761" t="s">
        <v>1843</v>
      </c>
      <c r="D5761" t="s">
        <v>1985</v>
      </c>
      <c r="E5761" t="s">
        <v>1423</v>
      </c>
      <c r="F5761">
        <v>66</v>
      </c>
    </row>
    <row r="5762" spans="1:6">
      <c r="A5762" t="s">
        <v>13</v>
      </c>
      <c r="B5762" t="s">
        <v>106</v>
      </c>
      <c r="C5762" t="s">
        <v>1843</v>
      </c>
      <c r="D5762" t="s">
        <v>1985</v>
      </c>
      <c r="E5762" t="s">
        <v>1538</v>
      </c>
      <c r="F5762">
        <v>76</v>
      </c>
    </row>
    <row r="5763" spans="1:6">
      <c r="A5763" t="s">
        <v>13</v>
      </c>
      <c r="B5763" t="s">
        <v>106</v>
      </c>
      <c r="C5763" t="s">
        <v>1843</v>
      </c>
      <c r="D5763" t="s">
        <v>1985</v>
      </c>
      <c r="E5763" t="s">
        <v>1539</v>
      </c>
      <c r="F5763">
        <v>62</v>
      </c>
    </row>
    <row r="5764" spans="1:6">
      <c r="A5764" t="s">
        <v>13</v>
      </c>
      <c r="B5764" t="s">
        <v>106</v>
      </c>
      <c r="C5764" t="s">
        <v>1843</v>
      </c>
      <c r="D5764" t="s">
        <v>1985</v>
      </c>
      <c r="E5764" t="s">
        <v>1540</v>
      </c>
      <c r="F5764">
        <v>472</v>
      </c>
    </row>
    <row r="5765" spans="1:6">
      <c r="A5765" t="s">
        <v>13</v>
      </c>
      <c r="B5765" t="s">
        <v>106</v>
      </c>
      <c r="C5765" t="s">
        <v>1843</v>
      </c>
      <c r="D5765" t="s">
        <v>1985</v>
      </c>
      <c r="E5765" t="s">
        <v>1541</v>
      </c>
      <c r="F5765">
        <v>655</v>
      </c>
    </row>
    <row r="5766" spans="1:6">
      <c r="A5766" t="s">
        <v>13</v>
      </c>
      <c r="B5766" t="s">
        <v>106</v>
      </c>
      <c r="C5766" t="s">
        <v>1843</v>
      </c>
      <c r="D5766" t="s">
        <v>1985</v>
      </c>
      <c r="E5766" t="s">
        <v>1542</v>
      </c>
      <c r="F5766">
        <v>796</v>
      </c>
    </row>
    <row r="5767" spans="1:6">
      <c r="A5767" t="s">
        <v>13</v>
      </c>
      <c r="B5767" t="s">
        <v>106</v>
      </c>
      <c r="C5767" t="s">
        <v>1843</v>
      </c>
      <c r="D5767" t="s">
        <v>1985</v>
      </c>
      <c r="E5767" t="s">
        <v>1543</v>
      </c>
      <c r="F5767">
        <v>730</v>
      </c>
    </row>
    <row r="5768" spans="1:6">
      <c r="A5768" t="s">
        <v>13</v>
      </c>
      <c r="B5768" t="s">
        <v>106</v>
      </c>
      <c r="C5768" t="s">
        <v>1843</v>
      </c>
      <c r="D5768" t="s">
        <v>1985</v>
      </c>
      <c r="E5768" t="s">
        <v>1544</v>
      </c>
      <c r="F5768">
        <v>567</v>
      </c>
    </row>
    <row r="5769" spans="1:6">
      <c r="A5769" t="s">
        <v>13</v>
      </c>
      <c r="B5769" t="s">
        <v>106</v>
      </c>
      <c r="C5769" t="s">
        <v>1843</v>
      </c>
      <c r="D5769" t="s">
        <v>1985</v>
      </c>
      <c r="E5769" t="s">
        <v>1545</v>
      </c>
      <c r="F5769">
        <v>605</v>
      </c>
    </row>
    <row r="5770" spans="1:6">
      <c r="A5770" t="s">
        <v>13</v>
      </c>
      <c r="B5770" t="s">
        <v>106</v>
      </c>
      <c r="C5770" t="s">
        <v>1843</v>
      </c>
      <c r="D5770" t="s">
        <v>1985</v>
      </c>
      <c r="E5770" t="s">
        <v>1546</v>
      </c>
      <c r="F5770">
        <v>2026</v>
      </c>
    </row>
    <row r="5771" spans="1:6">
      <c r="A5771" t="s">
        <v>13</v>
      </c>
      <c r="B5771" t="s">
        <v>106</v>
      </c>
      <c r="C5771" t="s">
        <v>1843</v>
      </c>
      <c r="D5771" t="s">
        <v>1985</v>
      </c>
      <c r="E5771" t="s">
        <v>1298</v>
      </c>
      <c r="F5771">
        <v>3501</v>
      </c>
    </row>
    <row r="5772" spans="1:6">
      <c r="A5772" t="s">
        <v>13</v>
      </c>
      <c r="B5772" t="s">
        <v>106</v>
      </c>
      <c r="C5772" t="s">
        <v>1843</v>
      </c>
      <c r="D5772" t="s">
        <v>1985</v>
      </c>
      <c r="E5772" t="s">
        <v>1299</v>
      </c>
      <c r="F5772">
        <v>544</v>
      </c>
    </row>
    <row r="5773" spans="1:6">
      <c r="A5773" t="s">
        <v>13</v>
      </c>
      <c r="B5773" t="s">
        <v>106</v>
      </c>
      <c r="C5773" t="s">
        <v>1843</v>
      </c>
      <c r="D5773" t="s">
        <v>1985</v>
      </c>
      <c r="E5773" t="s">
        <v>1300</v>
      </c>
      <c r="F5773">
        <v>546</v>
      </c>
    </row>
    <row r="5774" spans="1:6">
      <c r="A5774" t="s">
        <v>13</v>
      </c>
      <c r="B5774" t="s">
        <v>106</v>
      </c>
      <c r="C5774" t="s">
        <v>1843</v>
      </c>
      <c r="D5774" t="s">
        <v>1985</v>
      </c>
      <c r="E5774" t="s">
        <v>1426</v>
      </c>
      <c r="F5774">
        <v>657</v>
      </c>
    </row>
    <row r="5775" spans="1:6">
      <c r="A5775" t="s">
        <v>13</v>
      </c>
      <c r="B5775" t="s">
        <v>106</v>
      </c>
      <c r="C5775" t="s">
        <v>1843</v>
      </c>
      <c r="D5775" t="s">
        <v>1985</v>
      </c>
      <c r="E5775" t="s">
        <v>1400</v>
      </c>
      <c r="F5775">
        <v>601</v>
      </c>
    </row>
    <row r="5776" spans="1:6">
      <c r="A5776" t="s">
        <v>13</v>
      </c>
      <c r="B5776" t="s">
        <v>106</v>
      </c>
      <c r="C5776" t="s">
        <v>1843</v>
      </c>
      <c r="D5776" t="s">
        <v>1985</v>
      </c>
      <c r="E5776" t="s">
        <v>1846</v>
      </c>
      <c r="F5776">
        <v>518</v>
      </c>
    </row>
    <row r="5777" spans="1:6">
      <c r="A5777" t="s">
        <v>13</v>
      </c>
      <c r="B5777" t="s">
        <v>106</v>
      </c>
      <c r="C5777" t="s">
        <v>1843</v>
      </c>
      <c r="D5777" t="s">
        <v>1985</v>
      </c>
      <c r="E5777" t="s">
        <v>1847</v>
      </c>
      <c r="F5777">
        <v>635</v>
      </c>
    </row>
    <row r="5778" spans="1:6">
      <c r="A5778" t="s">
        <v>13</v>
      </c>
      <c r="B5778" t="s">
        <v>106</v>
      </c>
      <c r="C5778" t="s">
        <v>1843</v>
      </c>
      <c r="D5778" t="s">
        <v>1985</v>
      </c>
      <c r="E5778" t="s">
        <v>1848</v>
      </c>
      <c r="F5778">
        <v>0</v>
      </c>
    </row>
    <row r="5779" spans="1:6">
      <c r="A5779" t="s">
        <v>13</v>
      </c>
      <c r="B5779" t="s">
        <v>106</v>
      </c>
      <c r="C5779" t="s">
        <v>1843</v>
      </c>
      <c r="D5779" t="s">
        <v>1985</v>
      </c>
      <c r="E5779" t="s">
        <v>1796</v>
      </c>
      <c r="F5779">
        <v>0</v>
      </c>
    </row>
    <row r="5780" spans="1:6">
      <c r="A5780" t="s">
        <v>13</v>
      </c>
      <c r="B5780" t="s">
        <v>106</v>
      </c>
      <c r="C5780" t="s">
        <v>1843</v>
      </c>
      <c r="D5780" t="s">
        <v>1985</v>
      </c>
      <c r="E5780" t="s">
        <v>1797</v>
      </c>
      <c r="F5780">
        <v>0</v>
      </c>
    </row>
    <row r="5781" spans="1:6">
      <c r="A5781" t="s">
        <v>13</v>
      </c>
      <c r="B5781" t="s">
        <v>106</v>
      </c>
      <c r="C5781" t="s">
        <v>1843</v>
      </c>
      <c r="D5781" t="s">
        <v>1985</v>
      </c>
      <c r="E5781" t="s">
        <v>1582</v>
      </c>
      <c r="F5781">
        <v>0</v>
      </c>
    </row>
    <row r="5782" spans="1:6">
      <c r="A5782" t="s">
        <v>13</v>
      </c>
      <c r="B5782" t="s">
        <v>106</v>
      </c>
      <c r="C5782" t="s">
        <v>1843</v>
      </c>
      <c r="D5782" t="s">
        <v>1985</v>
      </c>
      <c r="E5782" t="s">
        <v>1584</v>
      </c>
      <c r="F5782">
        <v>0</v>
      </c>
    </row>
    <row r="5783" spans="1:6">
      <c r="A5783" t="s">
        <v>13</v>
      </c>
      <c r="B5783" t="s">
        <v>106</v>
      </c>
      <c r="C5783" t="s">
        <v>1843</v>
      </c>
      <c r="D5783" t="s">
        <v>1985</v>
      </c>
      <c r="E5783" t="s">
        <v>1586</v>
      </c>
      <c r="F5783">
        <v>0</v>
      </c>
    </row>
    <row r="5784" spans="1:6">
      <c r="A5784" t="s">
        <v>13</v>
      </c>
      <c r="B5784" t="s">
        <v>106</v>
      </c>
      <c r="C5784" t="s">
        <v>1843</v>
      </c>
      <c r="D5784" t="s">
        <v>1985</v>
      </c>
      <c r="E5784" t="s">
        <v>1143</v>
      </c>
      <c r="F5784" t="s">
        <v>1009</v>
      </c>
    </row>
    <row r="5785" spans="1:6">
      <c r="A5785" t="s">
        <v>13</v>
      </c>
      <c r="B5785" t="s">
        <v>106</v>
      </c>
      <c r="C5785" t="s">
        <v>1843</v>
      </c>
      <c r="D5785" t="s">
        <v>1985</v>
      </c>
      <c r="E5785" t="s">
        <v>1301</v>
      </c>
      <c r="F5785">
        <v>7539</v>
      </c>
    </row>
    <row r="5786" spans="1:6">
      <c r="A5786" t="s">
        <v>13</v>
      </c>
      <c r="B5786" t="s">
        <v>106</v>
      </c>
      <c r="C5786" t="s">
        <v>1843</v>
      </c>
      <c r="D5786" t="s">
        <v>1985</v>
      </c>
      <c r="E5786" t="s">
        <v>1555</v>
      </c>
      <c r="F5786" t="s">
        <v>1003</v>
      </c>
    </row>
    <row r="5787" spans="1:6">
      <c r="A5787" t="s">
        <v>13</v>
      </c>
      <c r="B5787" t="s">
        <v>106</v>
      </c>
      <c r="C5787" t="s">
        <v>1843</v>
      </c>
      <c r="D5787" t="s">
        <v>1985</v>
      </c>
      <c r="E5787" t="s">
        <v>1173</v>
      </c>
      <c r="F5787" t="s">
        <v>1007</v>
      </c>
    </row>
    <row r="5788" spans="1:6">
      <c r="A5788" t="s">
        <v>13</v>
      </c>
      <c r="B5788" t="s">
        <v>106</v>
      </c>
      <c r="C5788" t="s">
        <v>1843</v>
      </c>
      <c r="D5788" t="s">
        <v>1985</v>
      </c>
      <c r="E5788" t="s">
        <v>1175</v>
      </c>
      <c r="F5788" t="s">
        <v>1009</v>
      </c>
    </row>
    <row r="5789" spans="1:6">
      <c r="A5789" t="s">
        <v>13</v>
      </c>
      <c r="B5789" t="s">
        <v>106</v>
      </c>
      <c r="C5789" t="s">
        <v>1843</v>
      </c>
      <c r="D5789" t="s">
        <v>1985</v>
      </c>
      <c r="E5789" t="s">
        <v>1176</v>
      </c>
      <c r="F5789" t="s">
        <v>1011</v>
      </c>
    </row>
    <row r="5790" spans="1:6">
      <c r="A5790" t="s">
        <v>13</v>
      </c>
      <c r="B5790" t="s">
        <v>106</v>
      </c>
      <c r="C5790" t="s">
        <v>1843</v>
      </c>
      <c r="D5790" t="s">
        <v>1985</v>
      </c>
      <c r="E5790" t="s">
        <v>1177</v>
      </c>
      <c r="F5790" t="s">
        <v>1013</v>
      </c>
    </row>
    <row r="5791" spans="1:6">
      <c r="A5791" t="s">
        <v>13</v>
      </c>
      <c r="B5791" t="s">
        <v>106</v>
      </c>
      <c r="C5791" t="s">
        <v>1843</v>
      </c>
      <c r="D5791" t="s">
        <v>1985</v>
      </c>
      <c r="E5791" t="s">
        <v>1178</v>
      </c>
      <c r="F5791" t="s">
        <v>1015</v>
      </c>
    </row>
    <row r="5792" spans="1:6">
      <c r="A5792" t="s">
        <v>13</v>
      </c>
      <c r="B5792" t="s">
        <v>106</v>
      </c>
      <c r="C5792" t="s">
        <v>1843</v>
      </c>
      <c r="D5792" t="s">
        <v>1985</v>
      </c>
      <c r="E5792" t="s">
        <v>1179</v>
      </c>
      <c r="F5792" t="s">
        <v>1017</v>
      </c>
    </row>
    <row r="5793" spans="1:6">
      <c r="A5793" t="s">
        <v>13</v>
      </c>
      <c r="B5793" t="s">
        <v>106</v>
      </c>
      <c r="C5793" t="s">
        <v>1843</v>
      </c>
      <c r="D5793" t="s">
        <v>1985</v>
      </c>
      <c r="E5793" t="s">
        <v>1180</v>
      </c>
      <c r="F5793" t="s">
        <v>1019</v>
      </c>
    </row>
    <row r="5794" spans="1:6">
      <c r="A5794" t="s">
        <v>13</v>
      </c>
      <c r="B5794" t="s">
        <v>106</v>
      </c>
      <c r="C5794" t="s">
        <v>1843</v>
      </c>
      <c r="D5794" t="s">
        <v>1985</v>
      </c>
      <c r="E5794" t="s">
        <v>1181</v>
      </c>
      <c r="F5794" t="s">
        <v>1021</v>
      </c>
    </row>
    <row r="5795" spans="1:6">
      <c r="A5795" t="s">
        <v>13</v>
      </c>
      <c r="B5795" t="s">
        <v>106</v>
      </c>
      <c r="C5795" t="s">
        <v>1843</v>
      </c>
      <c r="D5795" t="s">
        <v>1985</v>
      </c>
      <c r="E5795" t="s">
        <v>1849</v>
      </c>
      <c r="F5795" t="s">
        <v>1023</v>
      </c>
    </row>
    <row r="5796" spans="1:6">
      <c r="A5796" t="s">
        <v>13</v>
      </c>
      <c r="B5796" t="s">
        <v>106</v>
      </c>
      <c r="C5796" t="s">
        <v>1843</v>
      </c>
      <c r="D5796" t="s">
        <v>1985</v>
      </c>
      <c r="E5796" t="s">
        <v>1810</v>
      </c>
      <c r="F5796" t="s">
        <v>1025</v>
      </c>
    </row>
    <row r="5797" spans="1:6">
      <c r="A5797" t="s">
        <v>13</v>
      </c>
      <c r="B5797" t="s">
        <v>106</v>
      </c>
      <c r="C5797" t="s">
        <v>1843</v>
      </c>
      <c r="D5797" t="s">
        <v>1985</v>
      </c>
      <c r="E5797" t="s">
        <v>1811</v>
      </c>
      <c r="F5797" t="s">
        <v>1027</v>
      </c>
    </row>
    <row r="5798" spans="1:6">
      <c r="A5798" t="s">
        <v>13</v>
      </c>
      <c r="B5798" t="s">
        <v>106</v>
      </c>
      <c r="C5798" t="s">
        <v>1843</v>
      </c>
      <c r="D5798" t="s">
        <v>1985</v>
      </c>
      <c r="E5798" t="s">
        <v>1812</v>
      </c>
      <c r="F5798" t="s">
        <v>1029</v>
      </c>
    </row>
    <row r="5799" spans="1:6">
      <c r="A5799" t="s">
        <v>13</v>
      </c>
      <c r="B5799" t="s">
        <v>106</v>
      </c>
      <c r="C5799" t="s">
        <v>1843</v>
      </c>
      <c r="D5799" t="s">
        <v>1985</v>
      </c>
      <c r="E5799" t="s">
        <v>1850</v>
      </c>
      <c r="F5799" t="s">
        <v>1031</v>
      </c>
    </row>
    <row r="5800" spans="1:6">
      <c r="A5800" t="s">
        <v>13</v>
      </c>
      <c r="B5800" t="s">
        <v>106</v>
      </c>
      <c r="C5800" t="s">
        <v>1843</v>
      </c>
      <c r="D5800" t="s">
        <v>1985</v>
      </c>
      <c r="E5800" t="s">
        <v>1851</v>
      </c>
      <c r="F5800" t="s">
        <v>1033</v>
      </c>
    </row>
    <row r="5801" spans="1:6">
      <c r="A5801" t="s">
        <v>13</v>
      </c>
      <c r="B5801" t="s">
        <v>106</v>
      </c>
      <c r="C5801" t="s">
        <v>1843</v>
      </c>
      <c r="D5801" t="s">
        <v>1985</v>
      </c>
      <c r="E5801" t="s">
        <v>1556</v>
      </c>
      <c r="F5801" t="s">
        <v>93</v>
      </c>
    </row>
    <row r="5802" spans="1:6">
      <c r="A5802" t="s">
        <v>13</v>
      </c>
      <c r="B5802" t="s">
        <v>106</v>
      </c>
      <c r="C5802" t="s">
        <v>1843</v>
      </c>
      <c r="D5802" t="s">
        <v>1985</v>
      </c>
      <c r="E5802" t="s">
        <v>1452</v>
      </c>
      <c r="F5802">
        <v>0</v>
      </c>
    </row>
    <row r="5803" spans="1:6">
      <c r="A5803" t="s">
        <v>13</v>
      </c>
      <c r="B5803" t="s">
        <v>106</v>
      </c>
      <c r="C5803" t="s">
        <v>1843</v>
      </c>
      <c r="D5803" t="s">
        <v>1985</v>
      </c>
      <c r="E5803" t="s">
        <v>1182</v>
      </c>
      <c r="F5803">
        <v>2024</v>
      </c>
    </row>
    <row r="5804" spans="1:6">
      <c r="A5804" t="s">
        <v>13</v>
      </c>
      <c r="B5804" t="s">
        <v>106</v>
      </c>
      <c r="C5804" t="s">
        <v>1843</v>
      </c>
      <c r="D5804" t="s">
        <v>1985</v>
      </c>
      <c r="E5804" t="s">
        <v>1184</v>
      </c>
      <c r="F5804">
        <v>0</v>
      </c>
    </row>
    <row r="5805" spans="1:6">
      <c r="A5805" t="s">
        <v>13</v>
      </c>
      <c r="B5805" t="s">
        <v>106</v>
      </c>
      <c r="C5805" t="s">
        <v>1843</v>
      </c>
      <c r="D5805" t="s">
        <v>1985</v>
      </c>
      <c r="E5805" t="s">
        <v>1191</v>
      </c>
      <c r="F5805">
        <v>2025</v>
      </c>
    </row>
    <row r="5806" spans="1:6">
      <c r="A5806" t="s">
        <v>13</v>
      </c>
      <c r="B5806" t="s">
        <v>106</v>
      </c>
      <c r="C5806" t="s">
        <v>1843</v>
      </c>
      <c r="D5806" t="s">
        <v>1985</v>
      </c>
      <c r="E5806" t="s">
        <v>1463</v>
      </c>
      <c r="F5806">
        <v>146055.56</v>
      </c>
    </row>
    <row r="5807" spans="1:6">
      <c r="A5807" t="s">
        <v>13</v>
      </c>
      <c r="B5807" t="s">
        <v>106</v>
      </c>
      <c r="C5807" t="s">
        <v>1843</v>
      </c>
      <c r="D5807" t="s">
        <v>1985</v>
      </c>
      <c r="E5807" t="s">
        <v>1193</v>
      </c>
      <c r="F5807">
        <v>1.22</v>
      </c>
    </row>
    <row r="5808" spans="1:6">
      <c r="A5808" t="s">
        <v>13</v>
      </c>
      <c r="B5808" t="s">
        <v>106</v>
      </c>
      <c r="C5808" t="s">
        <v>1843</v>
      </c>
      <c r="D5808" t="s">
        <v>1985</v>
      </c>
      <c r="E5808" t="s">
        <v>1194</v>
      </c>
      <c r="F5808">
        <v>1.61</v>
      </c>
    </row>
    <row r="5809" spans="1:6">
      <c r="A5809" t="s">
        <v>13</v>
      </c>
      <c r="B5809" t="s">
        <v>106</v>
      </c>
      <c r="C5809" t="s">
        <v>1843</v>
      </c>
      <c r="D5809" t="s">
        <v>1985</v>
      </c>
      <c r="E5809" t="s">
        <v>1195</v>
      </c>
      <c r="F5809">
        <v>10.05</v>
      </c>
    </row>
    <row r="5810" spans="1:6">
      <c r="A5810" t="s">
        <v>13</v>
      </c>
      <c r="B5810" t="s">
        <v>106</v>
      </c>
      <c r="C5810" t="s">
        <v>1843</v>
      </c>
      <c r="D5810" t="s">
        <v>1985</v>
      </c>
      <c r="E5810" t="s">
        <v>1196</v>
      </c>
      <c r="F5810">
        <v>740.3799999999998</v>
      </c>
    </row>
    <row r="5811" spans="1:6">
      <c r="A5811" t="s">
        <v>13</v>
      </c>
      <c r="B5811" t="s">
        <v>106</v>
      </c>
      <c r="C5811" t="s">
        <v>1843</v>
      </c>
      <c r="D5811" t="s">
        <v>1985</v>
      </c>
      <c r="E5811" t="s">
        <v>1197</v>
      </c>
      <c r="F5811">
        <v>710.0399999999998</v>
      </c>
    </row>
    <row r="5812" spans="1:6">
      <c r="A5812" t="s">
        <v>13</v>
      </c>
      <c r="B5812" t="s">
        <v>106</v>
      </c>
      <c r="C5812" t="s">
        <v>1843</v>
      </c>
      <c r="D5812" t="s">
        <v>1985</v>
      </c>
      <c r="E5812" t="s">
        <v>1198</v>
      </c>
      <c r="F5812">
        <v>1208.01</v>
      </c>
    </row>
    <row r="5813" spans="1:6">
      <c r="A5813" t="s">
        <v>13</v>
      </c>
      <c r="B5813" t="s">
        <v>106</v>
      </c>
      <c r="C5813" t="s">
        <v>1843</v>
      </c>
      <c r="D5813" t="s">
        <v>1985</v>
      </c>
      <c r="E5813" t="s">
        <v>1852</v>
      </c>
      <c r="F5813">
        <v>14199.65000000003</v>
      </c>
    </row>
    <row r="5814" spans="1:6">
      <c r="A5814" t="s">
        <v>13</v>
      </c>
      <c r="B5814" t="s">
        <v>106</v>
      </c>
      <c r="C5814" t="s">
        <v>1843</v>
      </c>
      <c r="D5814" t="s">
        <v>1985</v>
      </c>
      <c r="E5814" t="s">
        <v>1818</v>
      </c>
      <c r="F5814">
        <v>24462.71000000004</v>
      </c>
    </row>
    <row r="5815" spans="1:6">
      <c r="A5815" t="s">
        <v>13</v>
      </c>
      <c r="B5815" t="s">
        <v>106</v>
      </c>
      <c r="C5815" t="s">
        <v>1843</v>
      </c>
      <c r="D5815" t="s">
        <v>1985</v>
      </c>
      <c r="E5815" t="s">
        <v>1819</v>
      </c>
      <c r="F5815">
        <v>24029.72000000003</v>
      </c>
    </row>
    <row r="5816" spans="1:6">
      <c r="A5816" t="s">
        <v>13</v>
      </c>
      <c r="B5816" t="s">
        <v>106</v>
      </c>
      <c r="C5816" t="s">
        <v>1843</v>
      </c>
      <c r="D5816" t="s">
        <v>1985</v>
      </c>
      <c r="E5816" t="s">
        <v>1650</v>
      </c>
      <c r="F5816">
        <v>30431.65000000001</v>
      </c>
    </row>
    <row r="5817" spans="1:6">
      <c r="A5817" t="s">
        <v>13</v>
      </c>
      <c r="B5817" t="s">
        <v>106</v>
      </c>
      <c r="C5817" t="s">
        <v>1843</v>
      </c>
      <c r="D5817" t="s">
        <v>1985</v>
      </c>
      <c r="E5817" t="s">
        <v>1652</v>
      </c>
      <c r="F5817">
        <v>23144.49999999998</v>
      </c>
    </row>
    <row r="5818" spans="1:6">
      <c r="A5818" t="s">
        <v>13</v>
      </c>
      <c r="B5818" t="s">
        <v>106</v>
      </c>
      <c r="C5818" t="s">
        <v>1843</v>
      </c>
      <c r="D5818" t="s">
        <v>1985</v>
      </c>
      <c r="E5818" t="s">
        <v>1653</v>
      </c>
      <c r="F5818">
        <v>27116.02000000001</v>
      </c>
    </row>
    <row r="5819" spans="1:6">
      <c r="A5819" t="s">
        <v>13</v>
      </c>
      <c r="B5819" t="s">
        <v>106</v>
      </c>
      <c r="C5819" t="s">
        <v>1843</v>
      </c>
      <c r="D5819" t="s">
        <v>1985</v>
      </c>
      <c r="E5819" t="s">
        <v>1199</v>
      </c>
      <c r="F5819">
        <v>2026</v>
      </c>
    </row>
    <row r="5820" spans="1:6">
      <c r="A5820" t="s">
        <v>13</v>
      </c>
      <c r="B5820" t="s">
        <v>106</v>
      </c>
      <c r="C5820" t="s">
        <v>1843</v>
      </c>
      <c r="D5820" t="s">
        <v>1985</v>
      </c>
      <c r="E5820" t="s">
        <v>1467</v>
      </c>
      <c r="F5820">
        <v>173497.69</v>
      </c>
    </row>
    <row r="5821" spans="1:6">
      <c r="A5821" t="s">
        <v>13</v>
      </c>
      <c r="B5821" t="s">
        <v>106</v>
      </c>
      <c r="C5821" t="s">
        <v>1843</v>
      </c>
      <c r="D5821" t="s">
        <v>1985</v>
      </c>
      <c r="E5821" t="s">
        <v>1468</v>
      </c>
      <c r="F5821">
        <v>23425.00999999999</v>
      </c>
    </row>
    <row r="5822" spans="1:6">
      <c r="A5822" t="s">
        <v>13</v>
      </c>
      <c r="B5822" t="s">
        <v>106</v>
      </c>
      <c r="C5822" t="s">
        <v>1843</v>
      </c>
      <c r="D5822" t="s">
        <v>1985</v>
      </c>
      <c r="E5822" t="s">
        <v>1469</v>
      </c>
      <c r="F5822">
        <v>11130.62000000001</v>
      </c>
    </row>
    <row r="5823" spans="1:6">
      <c r="A5823" t="s">
        <v>13</v>
      </c>
      <c r="B5823" t="s">
        <v>106</v>
      </c>
      <c r="C5823" t="s">
        <v>1843</v>
      </c>
      <c r="D5823" t="s">
        <v>1985</v>
      </c>
      <c r="E5823" t="s">
        <v>1470</v>
      </c>
      <c r="F5823">
        <v>65945.04999999999</v>
      </c>
    </row>
    <row r="5824" spans="1:6">
      <c r="A5824" t="s">
        <v>13</v>
      </c>
      <c r="B5824" t="s">
        <v>106</v>
      </c>
      <c r="C5824" t="s">
        <v>1843</v>
      </c>
      <c r="D5824" t="s">
        <v>1985</v>
      </c>
      <c r="E5824" t="s">
        <v>1472</v>
      </c>
      <c r="F5824">
        <v>35463.15000000002</v>
      </c>
    </row>
    <row r="5825" spans="1:6">
      <c r="A5825" t="s">
        <v>13</v>
      </c>
      <c r="B5825" t="s">
        <v>106</v>
      </c>
      <c r="C5825" t="s">
        <v>1843</v>
      </c>
      <c r="D5825" t="s">
        <v>1985</v>
      </c>
      <c r="E5825" t="s">
        <v>1559</v>
      </c>
      <c r="F5825">
        <v>12511.45000000002</v>
      </c>
    </row>
    <row r="5826" spans="1:6">
      <c r="A5826" t="s">
        <v>13</v>
      </c>
      <c r="B5826" t="s">
        <v>106</v>
      </c>
      <c r="C5826" t="s">
        <v>1843</v>
      </c>
      <c r="D5826" t="s">
        <v>1985</v>
      </c>
      <c r="E5826" t="s">
        <v>1560</v>
      </c>
      <c r="F5826">
        <v>25022.41</v>
      </c>
    </row>
    <row r="5827" spans="1:6">
      <c r="A5827" t="s">
        <v>13</v>
      </c>
      <c r="B5827" t="s">
        <v>106</v>
      </c>
      <c r="C5827" t="s">
        <v>1843</v>
      </c>
      <c r="D5827" t="s">
        <v>1985</v>
      </c>
      <c r="E5827" t="s">
        <v>1853</v>
      </c>
      <c r="F5827">
        <v>0</v>
      </c>
    </row>
    <row r="5828" spans="1:6">
      <c r="A5828" t="s">
        <v>13</v>
      </c>
      <c r="B5828" t="s">
        <v>106</v>
      </c>
      <c r="C5828" t="s">
        <v>1843</v>
      </c>
      <c r="D5828" t="s">
        <v>1985</v>
      </c>
      <c r="E5828" t="s">
        <v>1820</v>
      </c>
      <c r="F5828">
        <v>0</v>
      </c>
    </row>
    <row r="5829" spans="1:6">
      <c r="A5829" t="s">
        <v>13</v>
      </c>
      <c r="B5829" t="s">
        <v>106</v>
      </c>
      <c r="C5829" t="s">
        <v>1843</v>
      </c>
      <c r="D5829" t="s">
        <v>1985</v>
      </c>
      <c r="E5829" t="s">
        <v>1821</v>
      </c>
      <c r="F5829">
        <v>0</v>
      </c>
    </row>
    <row r="5830" spans="1:6">
      <c r="A5830" t="s">
        <v>13</v>
      </c>
      <c r="B5830" t="s">
        <v>106</v>
      </c>
      <c r="C5830" t="s">
        <v>1843</v>
      </c>
      <c r="D5830" t="s">
        <v>1985</v>
      </c>
      <c r="E5830" t="s">
        <v>1822</v>
      </c>
      <c r="F5830">
        <v>0</v>
      </c>
    </row>
    <row r="5831" spans="1:6">
      <c r="A5831" t="s">
        <v>13</v>
      </c>
      <c r="B5831" t="s">
        <v>106</v>
      </c>
      <c r="C5831" t="s">
        <v>1843</v>
      </c>
      <c r="D5831" t="s">
        <v>1985</v>
      </c>
      <c r="E5831" t="s">
        <v>1854</v>
      </c>
      <c r="F5831">
        <v>0</v>
      </c>
    </row>
    <row r="5832" spans="1:6">
      <c r="A5832" t="s">
        <v>13</v>
      </c>
      <c r="B5832" t="s">
        <v>106</v>
      </c>
      <c r="C5832" t="s">
        <v>1843</v>
      </c>
      <c r="D5832" t="s">
        <v>1985</v>
      </c>
      <c r="E5832" t="s">
        <v>1855</v>
      </c>
      <c r="F5832">
        <v>0</v>
      </c>
    </row>
    <row r="5833" spans="1:6">
      <c r="A5833" t="s">
        <v>13</v>
      </c>
      <c r="B5833" t="s">
        <v>106</v>
      </c>
      <c r="C5833" t="s">
        <v>1843</v>
      </c>
      <c r="D5833" t="s">
        <v>1985</v>
      </c>
      <c r="E5833" t="s">
        <v>1201</v>
      </c>
      <c r="F5833" t="s">
        <v>1009</v>
      </c>
    </row>
    <row r="5834" spans="1:6">
      <c r="A5834" t="s">
        <v>13</v>
      </c>
      <c r="B5834" t="s">
        <v>106</v>
      </c>
      <c r="C5834" t="s">
        <v>1843</v>
      </c>
      <c r="D5834" t="s">
        <v>1985</v>
      </c>
      <c r="E5834" t="s">
        <v>1202</v>
      </c>
      <c r="F5834">
        <v>319553.25</v>
      </c>
    </row>
    <row r="5835" spans="1:6">
      <c r="A5835" t="s">
        <v>13</v>
      </c>
      <c r="B5835" t="s">
        <v>106</v>
      </c>
      <c r="C5835" t="s">
        <v>1843</v>
      </c>
      <c r="D5835" t="s">
        <v>1986</v>
      </c>
      <c r="E5835" t="s">
        <v>1093</v>
      </c>
      <c r="F5835" t="s">
        <v>1094</v>
      </c>
    </row>
    <row r="5836" spans="1:6">
      <c r="A5836" t="s">
        <v>13</v>
      </c>
      <c r="B5836" t="s">
        <v>106</v>
      </c>
      <c r="C5836" t="s">
        <v>1843</v>
      </c>
      <c r="D5836" t="s">
        <v>1986</v>
      </c>
      <c r="E5836" t="s">
        <v>994</v>
      </c>
      <c r="F5836" t="s">
        <v>106</v>
      </c>
    </row>
    <row r="5837" spans="1:6">
      <c r="A5837" t="s">
        <v>13</v>
      </c>
      <c r="B5837" t="s">
        <v>106</v>
      </c>
      <c r="C5837" t="s">
        <v>1843</v>
      </c>
      <c r="D5837" t="s">
        <v>1986</v>
      </c>
      <c r="E5837" t="s">
        <v>995</v>
      </c>
      <c r="F5837" t="s">
        <v>996</v>
      </c>
    </row>
    <row r="5838" spans="1:6">
      <c r="A5838" t="s">
        <v>13</v>
      </c>
      <c r="B5838" t="s">
        <v>106</v>
      </c>
      <c r="C5838" t="s">
        <v>1843</v>
      </c>
      <c r="D5838" t="s">
        <v>1986</v>
      </c>
      <c r="E5838" t="s">
        <v>997</v>
      </c>
      <c r="F5838" t="s">
        <v>1836</v>
      </c>
    </row>
    <row r="5839" spans="1:6">
      <c r="A5839" t="s">
        <v>13</v>
      </c>
      <c r="B5839" t="s">
        <v>106</v>
      </c>
      <c r="C5839" t="s">
        <v>1843</v>
      </c>
      <c r="D5839" t="s">
        <v>1986</v>
      </c>
      <c r="E5839" t="s">
        <v>999</v>
      </c>
      <c r="F5839" t="s">
        <v>1000</v>
      </c>
    </row>
    <row r="5840" spans="1:6">
      <c r="A5840" t="s">
        <v>13</v>
      </c>
      <c r="B5840" t="s">
        <v>106</v>
      </c>
      <c r="C5840" t="s">
        <v>1843</v>
      </c>
      <c r="D5840" t="s">
        <v>1986</v>
      </c>
      <c r="E5840" t="s">
        <v>1001</v>
      </c>
      <c r="F5840" t="s">
        <v>23</v>
      </c>
    </row>
    <row r="5841" spans="1:6">
      <c r="A5841" t="s">
        <v>13</v>
      </c>
      <c r="B5841" t="s">
        <v>106</v>
      </c>
      <c r="C5841" t="s">
        <v>1843</v>
      </c>
      <c r="D5841" t="s">
        <v>1986</v>
      </c>
      <c r="E5841" t="s">
        <v>1002</v>
      </c>
      <c r="F5841" t="s">
        <v>1095</v>
      </c>
    </row>
    <row r="5842" spans="1:6">
      <c r="A5842" t="s">
        <v>13</v>
      </c>
      <c r="B5842" t="s">
        <v>106</v>
      </c>
      <c r="C5842" t="s">
        <v>1843</v>
      </c>
      <c r="D5842" t="s">
        <v>1986</v>
      </c>
      <c r="E5842" t="s">
        <v>1006</v>
      </c>
      <c r="F5842" t="s">
        <v>1097</v>
      </c>
    </row>
    <row r="5843" spans="1:6">
      <c r="A5843" t="s">
        <v>13</v>
      </c>
      <c r="B5843" t="s">
        <v>106</v>
      </c>
      <c r="C5843" t="s">
        <v>1843</v>
      </c>
      <c r="D5843" t="s">
        <v>1986</v>
      </c>
      <c r="E5843" t="s">
        <v>1008</v>
      </c>
      <c r="F5843" t="s">
        <v>1098</v>
      </c>
    </row>
    <row r="5844" spans="1:6">
      <c r="A5844" t="s">
        <v>13</v>
      </c>
      <c r="B5844" t="s">
        <v>106</v>
      </c>
      <c r="C5844" t="s">
        <v>1843</v>
      </c>
      <c r="D5844" t="s">
        <v>1986</v>
      </c>
      <c r="E5844" t="s">
        <v>1035</v>
      </c>
      <c r="F5844" t="s">
        <v>1009</v>
      </c>
    </row>
    <row r="5845" spans="1:6">
      <c r="A5845" t="s">
        <v>13</v>
      </c>
      <c r="B5845" t="s">
        <v>106</v>
      </c>
      <c r="C5845" t="s">
        <v>1843</v>
      </c>
      <c r="D5845" t="s">
        <v>1986</v>
      </c>
      <c r="E5845" t="s">
        <v>1099</v>
      </c>
      <c r="F5845" t="s">
        <v>93</v>
      </c>
    </row>
    <row r="5846" spans="1:6">
      <c r="A5846" t="s">
        <v>13</v>
      </c>
      <c r="B5846" t="s">
        <v>106</v>
      </c>
      <c r="C5846" t="s">
        <v>1843</v>
      </c>
      <c r="D5846" t="s">
        <v>1986</v>
      </c>
      <c r="E5846" t="s">
        <v>1100</v>
      </c>
      <c r="F5846">
        <v>2024</v>
      </c>
    </row>
    <row r="5847" spans="1:6">
      <c r="A5847" t="s">
        <v>13</v>
      </c>
      <c r="B5847" t="s">
        <v>106</v>
      </c>
      <c r="C5847" t="s">
        <v>1843</v>
      </c>
      <c r="D5847" t="s">
        <v>1986</v>
      </c>
      <c r="E5847" t="s">
        <v>1101</v>
      </c>
      <c r="F5847">
        <v>2025</v>
      </c>
    </row>
    <row r="5848" spans="1:6">
      <c r="A5848" t="s">
        <v>13</v>
      </c>
      <c r="B5848" t="s">
        <v>106</v>
      </c>
      <c r="C5848" t="s">
        <v>1843</v>
      </c>
      <c r="D5848" t="s">
        <v>1986</v>
      </c>
      <c r="E5848" t="s">
        <v>1512</v>
      </c>
      <c r="F5848">
        <v>2026</v>
      </c>
    </row>
    <row r="5849" spans="1:6">
      <c r="A5849" t="s">
        <v>13</v>
      </c>
      <c r="B5849" t="s">
        <v>106</v>
      </c>
      <c r="C5849" t="s">
        <v>1843</v>
      </c>
      <c r="D5849" t="s">
        <v>1986</v>
      </c>
      <c r="E5849" t="s">
        <v>1036</v>
      </c>
      <c r="F5849" t="s">
        <v>1102</v>
      </c>
    </row>
    <row r="5850" spans="1:6">
      <c r="A5850" t="s">
        <v>13</v>
      </c>
      <c r="B5850" t="s">
        <v>106</v>
      </c>
      <c r="C5850" t="s">
        <v>1843</v>
      </c>
      <c r="D5850" t="s">
        <v>1986</v>
      </c>
      <c r="E5850" t="s">
        <v>1037</v>
      </c>
      <c r="F5850">
        <v>3486087.81</v>
      </c>
    </row>
    <row r="5851" spans="1:6">
      <c r="A5851" t="s">
        <v>13</v>
      </c>
      <c r="B5851" t="s">
        <v>106</v>
      </c>
      <c r="C5851" t="s">
        <v>1843</v>
      </c>
      <c r="D5851" t="s">
        <v>1986</v>
      </c>
      <c r="E5851" t="s">
        <v>1103</v>
      </c>
      <c r="F5851">
        <v>0</v>
      </c>
    </row>
    <row r="5852" spans="1:6">
      <c r="A5852" t="s">
        <v>13</v>
      </c>
      <c r="B5852" t="s">
        <v>106</v>
      </c>
      <c r="C5852" t="s">
        <v>1843</v>
      </c>
      <c r="D5852" t="s">
        <v>1986</v>
      </c>
      <c r="E5852" t="s">
        <v>1104</v>
      </c>
      <c r="F5852">
        <v>0</v>
      </c>
    </row>
    <row r="5853" spans="1:6">
      <c r="A5853" t="s">
        <v>13</v>
      </c>
      <c r="B5853" t="s">
        <v>106</v>
      </c>
      <c r="C5853" t="s">
        <v>1843</v>
      </c>
      <c r="D5853" t="s">
        <v>1986</v>
      </c>
      <c r="E5853" t="s">
        <v>1105</v>
      </c>
      <c r="F5853">
        <v>1598170.86</v>
      </c>
    </row>
    <row r="5854" spans="1:6">
      <c r="A5854" t="s">
        <v>13</v>
      </c>
      <c r="B5854" t="s">
        <v>106</v>
      </c>
      <c r="C5854" t="s">
        <v>1843</v>
      </c>
      <c r="D5854" t="s">
        <v>1986</v>
      </c>
      <c r="E5854" t="s">
        <v>1346</v>
      </c>
      <c r="F5854">
        <v>1887916.95</v>
      </c>
    </row>
    <row r="5855" spans="1:6">
      <c r="A5855" t="s">
        <v>13</v>
      </c>
      <c r="B5855" t="s">
        <v>106</v>
      </c>
      <c r="C5855" t="s">
        <v>1843</v>
      </c>
      <c r="D5855" t="s">
        <v>1986</v>
      </c>
      <c r="E5855" t="s">
        <v>1038</v>
      </c>
      <c r="F5855" t="s">
        <v>1106</v>
      </c>
    </row>
    <row r="5856" spans="1:6">
      <c r="A5856" t="s">
        <v>13</v>
      </c>
      <c r="B5856" t="s">
        <v>106</v>
      </c>
      <c r="C5856" t="s">
        <v>1843</v>
      </c>
      <c r="D5856" t="s">
        <v>1986</v>
      </c>
      <c r="E5856" t="s">
        <v>1039</v>
      </c>
      <c r="F5856">
        <v>3329443.749999999</v>
      </c>
    </row>
    <row r="5857" spans="1:6">
      <c r="A5857" t="s">
        <v>13</v>
      </c>
      <c r="B5857" t="s">
        <v>106</v>
      </c>
      <c r="C5857" t="s">
        <v>1843</v>
      </c>
      <c r="D5857" t="s">
        <v>1986</v>
      </c>
      <c r="E5857" t="s">
        <v>1040</v>
      </c>
      <c r="F5857">
        <v>0</v>
      </c>
    </row>
    <row r="5858" spans="1:6">
      <c r="A5858" t="s">
        <v>13</v>
      </c>
      <c r="B5858" t="s">
        <v>106</v>
      </c>
      <c r="C5858" t="s">
        <v>1843</v>
      </c>
      <c r="D5858" t="s">
        <v>1986</v>
      </c>
      <c r="E5858" t="s">
        <v>1041</v>
      </c>
      <c r="F5858">
        <v>0</v>
      </c>
    </row>
    <row r="5859" spans="1:6">
      <c r="A5859" t="s">
        <v>13</v>
      </c>
      <c r="B5859" t="s">
        <v>106</v>
      </c>
      <c r="C5859" t="s">
        <v>1843</v>
      </c>
      <c r="D5859" t="s">
        <v>1986</v>
      </c>
      <c r="E5859" t="s">
        <v>1042</v>
      </c>
      <c r="F5859">
        <v>1598170.86</v>
      </c>
    </row>
    <row r="5860" spans="1:6">
      <c r="A5860" t="s">
        <v>13</v>
      </c>
      <c r="B5860" t="s">
        <v>106</v>
      </c>
      <c r="C5860" t="s">
        <v>1843</v>
      </c>
      <c r="D5860" t="s">
        <v>1986</v>
      </c>
      <c r="E5860" t="s">
        <v>1043</v>
      </c>
      <c r="F5860">
        <v>1731272.889999999</v>
      </c>
    </row>
    <row r="5861" spans="1:6">
      <c r="A5861" t="s">
        <v>13</v>
      </c>
      <c r="B5861" t="s">
        <v>106</v>
      </c>
      <c r="C5861" t="s">
        <v>1843</v>
      </c>
      <c r="D5861" t="s">
        <v>1986</v>
      </c>
      <c r="E5861" t="s">
        <v>1052</v>
      </c>
      <c r="F5861" t="s">
        <v>1107</v>
      </c>
    </row>
    <row r="5862" spans="1:6">
      <c r="A5862" t="s">
        <v>13</v>
      </c>
      <c r="B5862" t="s">
        <v>106</v>
      </c>
      <c r="C5862" t="s">
        <v>1843</v>
      </c>
      <c r="D5862" t="s">
        <v>1986</v>
      </c>
      <c r="E5862" t="s">
        <v>1053</v>
      </c>
      <c r="F5862">
        <v>2719820.259999999</v>
      </c>
    </row>
    <row r="5863" spans="1:6">
      <c r="A5863" t="s">
        <v>13</v>
      </c>
      <c r="B5863" t="s">
        <v>106</v>
      </c>
      <c r="C5863" t="s">
        <v>1843</v>
      </c>
      <c r="D5863" t="s">
        <v>1986</v>
      </c>
      <c r="E5863" t="s">
        <v>1108</v>
      </c>
      <c r="F5863">
        <v>0</v>
      </c>
    </row>
    <row r="5864" spans="1:6">
      <c r="A5864" t="s">
        <v>13</v>
      </c>
      <c r="B5864" t="s">
        <v>106</v>
      </c>
      <c r="C5864" t="s">
        <v>1843</v>
      </c>
      <c r="D5864" t="s">
        <v>1986</v>
      </c>
      <c r="E5864" t="s">
        <v>1109</v>
      </c>
      <c r="F5864">
        <v>0</v>
      </c>
    </row>
    <row r="5865" spans="1:6">
      <c r="A5865" t="s">
        <v>13</v>
      </c>
      <c r="B5865" t="s">
        <v>106</v>
      </c>
      <c r="C5865" t="s">
        <v>1843</v>
      </c>
      <c r="D5865" t="s">
        <v>1986</v>
      </c>
      <c r="E5865" t="s">
        <v>1110</v>
      </c>
      <c r="F5865">
        <v>1480274.83</v>
      </c>
    </row>
    <row r="5866" spans="1:6">
      <c r="A5866" t="s">
        <v>13</v>
      </c>
      <c r="B5866" t="s">
        <v>106</v>
      </c>
      <c r="C5866" t="s">
        <v>1843</v>
      </c>
      <c r="D5866" t="s">
        <v>1986</v>
      </c>
      <c r="E5866" t="s">
        <v>1521</v>
      </c>
      <c r="F5866">
        <v>1239545.429999999</v>
      </c>
    </row>
    <row r="5867" spans="1:6">
      <c r="A5867" t="s">
        <v>13</v>
      </c>
      <c r="B5867" t="s">
        <v>106</v>
      </c>
      <c r="C5867" t="s">
        <v>1843</v>
      </c>
      <c r="D5867" t="s">
        <v>1986</v>
      </c>
      <c r="E5867" t="s">
        <v>1111</v>
      </c>
      <c r="F5867" t="s">
        <v>1112</v>
      </c>
    </row>
    <row r="5868" spans="1:6">
      <c r="A5868" t="s">
        <v>13</v>
      </c>
      <c r="B5868" t="s">
        <v>106</v>
      </c>
      <c r="C5868" t="s">
        <v>1843</v>
      </c>
      <c r="D5868" t="s">
        <v>1986</v>
      </c>
      <c r="E5868" t="s">
        <v>1113</v>
      </c>
      <c r="F5868">
        <v>0</v>
      </c>
    </row>
    <row r="5869" spans="1:6">
      <c r="A5869" t="s">
        <v>13</v>
      </c>
      <c r="B5869" t="s">
        <v>106</v>
      </c>
      <c r="C5869" t="s">
        <v>1843</v>
      </c>
      <c r="D5869" t="s">
        <v>1986</v>
      </c>
      <c r="E5869" t="s">
        <v>1114</v>
      </c>
      <c r="F5869">
        <v>0</v>
      </c>
    </row>
    <row r="5870" spans="1:6">
      <c r="A5870" t="s">
        <v>13</v>
      </c>
      <c r="B5870" t="s">
        <v>106</v>
      </c>
      <c r="C5870" t="s">
        <v>1843</v>
      </c>
      <c r="D5870" t="s">
        <v>1986</v>
      </c>
      <c r="E5870" t="s">
        <v>1115</v>
      </c>
      <c r="F5870">
        <v>0</v>
      </c>
    </row>
    <row r="5871" spans="1:6">
      <c r="A5871" t="s">
        <v>13</v>
      </c>
      <c r="B5871" t="s">
        <v>106</v>
      </c>
      <c r="C5871" t="s">
        <v>1843</v>
      </c>
      <c r="D5871" t="s">
        <v>1986</v>
      </c>
      <c r="E5871" t="s">
        <v>1116</v>
      </c>
      <c r="F5871">
        <v>0</v>
      </c>
    </row>
    <row r="5872" spans="1:6">
      <c r="A5872" t="s">
        <v>13</v>
      </c>
      <c r="B5872" t="s">
        <v>106</v>
      </c>
      <c r="C5872" t="s">
        <v>1843</v>
      </c>
      <c r="D5872" t="s">
        <v>1986</v>
      </c>
      <c r="E5872" t="s">
        <v>1857</v>
      </c>
      <c r="F5872">
        <v>0</v>
      </c>
    </row>
    <row r="5873" spans="1:6">
      <c r="A5873" t="s">
        <v>13</v>
      </c>
      <c r="B5873" t="s">
        <v>106</v>
      </c>
      <c r="C5873" t="s">
        <v>1843</v>
      </c>
      <c r="D5873" t="s">
        <v>1986</v>
      </c>
      <c r="E5873" t="s">
        <v>1054</v>
      </c>
      <c r="F5873" t="s">
        <v>1117</v>
      </c>
    </row>
    <row r="5874" spans="1:6">
      <c r="A5874" t="s">
        <v>13</v>
      </c>
      <c r="B5874" t="s">
        <v>106</v>
      </c>
      <c r="C5874" t="s">
        <v>1843</v>
      </c>
      <c r="D5874" t="s">
        <v>1986</v>
      </c>
      <c r="E5874" t="s">
        <v>1118</v>
      </c>
      <c r="F5874">
        <v>609623.4900000001</v>
      </c>
    </row>
    <row r="5875" spans="1:6">
      <c r="A5875" t="s">
        <v>13</v>
      </c>
      <c r="B5875" t="s">
        <v>106</v>
      </c>
      <c r="C5875" t="s">
        <v>1843</v>
      </c>
      <c r="D5875" t="s">
        <v>1986</v>
      </c>
      <c r="E5875" t="s">
        <v>1119</v>
      </c>
      <c r="F5875">
        <v>0</v>
      </c>
    </row>
    <row r="5876" spans="1:6">
      <c r="A5876" t="s">
        <v>13</v>
      </c>
      <c r="B5876" t="s">
        <v>106</v>
      </c>
      <c r="C5876" t="s">
        <v>1843</v>
      </c>
      <c r="D5876" t="s">
        <v>1986</v>
      </c>
      <c r="E5876" t="s">
        <v>1120</v>
      </c>
      <c r="F5876">
        <v>0</v>
      </c>
    </row>
    <row r="5877" spans="1:6">
      <c r="A5877" t="s">
        <v>13</v>
      </c>
      <c r="B5877" t="s">
        <v>106</v>
      </c>
      <c r="C5877" t="s">
        <v>1843</v>
      </c>
      <c r="D5877" t="s">
        <v>1986</v>
      </c>
      <c r="E5877" t="s">
        <v>1121</v>
      </c>
      <c r="F5877">
        <v>117896.0300000001</v>
      </c>
    </row>
    <row r="5878" spans="1:6">
      <c r="A5878" t="s">
        <v>13</v>
      </c>
      <c r="B5878" t="s">
        <v>106</v>
      </c>
      <c r="C5878" t="s">
        <v>1843</v>
      </c>
      <c r="D5878" t="s">
        <v>1986</v>
      </c>
      <c r="E5878" t="s">
        <v>1858</v>
      </c>
      <c r="F5878">
        <v>491727.46</v>
      </c>
    </row>
    <row r="5879" spans="1:6">
      <c r="A5879" t="s">
        <v>13</v>
      </c>
      <c r="B5879" t="s">
        <v>106</v>
      </c>
      <c r="C5879" t="s">
        <v>1843</v>
      </c>
      <c r="D5879" t="s">
        <v>1986</v>
      </c>
      <c r="E5879" t="s">
        <v>1122</v>
      </c>
      <c r="F5879" t="s">
        <v>1859</v>
      </c>
    </row>
    <row r="5880" spans="1:6">
      <c r="A5880" t="s">
        <v>13</v>
      </c>
      <c r="B5880" t="s">
        <v>106</v>
      </c>
      <c r="C5880" t="s">
        <v>1843</v>
      </c>
      <c r="D5880" t="s">
        <v>1986</v>
      </c>
      <c r="E5880" t="s">
        <v>1124</v>
      </c>
      <c r="F5880">
        <v>53141.43000000003</v>
      </c>
    </row>
    <row r="5881" spans="1:6">
      <c r="A5881" t="s">
        <v>13</v>
      </c>
      <c r="B5881" t="s">
        <v>106</v>
      </c>
      <c r="C5881" t="s">
        <v>1843</v>
      </c>
      <c r="D5881" t="s">
        <v>1986</v>
      </c>
      <c r="E5881" t="s">
        <v>1126</v>
      </c>
      <c r="F5881">
        <v>0</v>
      </c>
    </row>
    <row r="5882" spans="1:6">
      <c r="A5882" t="s">
        <v>13</v>
      </c>
      <c r="B5882" t="s">
        <v>106</v>
      </c>
      <c r="C5882" t="s">
        <v>1843</v>
      </c>
      <c r="D5882" t="s">
        <v>1986</v>
      </c>
      <c r="E5882" t="s">
        <v>1127</v>
      </c>
      <c r="F5882">
        <v>0</v>
      </c>
    </row>
    <row r="5883" spans="1:6">
      <c r="A5883" t="s">
        <v>13</v>
      </c>
      <c r="B5883" t="s">
        <v>106</v>
      </c>
      <c r="C5883" t="s">
        <v>1843</v>
      </c>
      <c r="D5883" t="s">
        <v>1986</v>
      </c>
      <c r="E5883" t="s">
        <v>1128</v>
      </c>
      <c r="F5883">
        <v>44804.97000000003</v>
      </c>
    </row>
    <row r="5884" spans="1:6">
      <c r="A5884" t="s">
        <v>13</v>
      </c>
      <c r="B5884" t="s">
        <v>106</v>
      </c>
      <c r="C5884" t="s">
        <v>1843</v>
      </c>
      <c r="D5884" t="s">
        <v>1986</v>
      </c>
      <c r="E5884" t="s">
        <v>1355</v>
      </c>
      <c r="F5884">
        <v>8336.459999999997</v>
      </c>
    </row>
    <row r="5885" spans="1:6">
      <c r="A5885" t="s">
        <v>13</v>
      </c>
      <c r="B5885" t="s">
        <v>106</v>
      </c>
      <c r="C5885" t="s">
        <v>1843</v>
      </c>
      <c r="D5885" t="s">
        <v>1986</v>
      </c>
      <c r="E5885" t="s">
        <v>1056</v>
      </c>
      <c r="F5885" t="s">
        <v>1860</v>
      </c>
    </row>
    <row r="5886" spans="1:6">
      <c r="A5886" t="s">
        <v>13</v>
      </c>
      <c r="B5886" t="s">
        <v>106</v>
      </c>
      <c r="C5886" t="s">
        <v>1843</v>
      </c>
      <c r="D5886" t="s">
        <v>1986</v>
      </c>
      <c r="E5886" t="s">
        <v>1057</v>
      </c>
      <c r="F5886">
        <v>2659.69</v>
      </c>
    </row>
    <row r="5887" spans="1:6">
      <c r="A5887" t="s">
        <v>13</v>
      </c>
      <c r="B5887" t="s">
        <v>106</v>
      </c>
      <c r="C5887" t="s">
        <v>1843</v>
      </c>
      <c r="D5887" t="s">
        <v>1986</v>
      </c>
      <c r="E5887" t="s">
        <v>1058</v>
      </c>
      <c r="F5887">
        <v>0</v>
      </c>
    </row>
    <row r="5888" spans="1:6">
      <c r="A5888" t="s">
        <v>13</v>
      </c>
      <c r="B5888" t="s">
        <v>106</v>
      </c>
      <c r="C5888" t="s">
        <v>1843</v>
      </c>
      <c r="D5888" t="s">
        <v>1986</v>
      </c>
      <c r="E5888" t="s">
        <v>1059</v>
      </c>
      <c r="F5888">
        <v>0</v>
      </c>
    </row>
    <row r="5889" spans="1:6">
      <c r="A5889" t="s">
        <v>13</v>
      </c>
      <c r="B5889" t="s">
        <v>106</v>
      </c>
      <c r="C5889" t="s">
        <v>1843</v>
      </c>
      <c r="D5889" t="s">
        <v>1986</v>
      </c>
      <c r="E5889" t="s">
        <v>1060</v>
      </c>
      <c r="F5889">
        <v>65</v>
      </c>
    </row>
    <row r="5890" spans="1:6">
      <c r="A5890" t="s">
        <v>13</v>
      </c>
      <c r="B5890" t="s">
        <v>106</v>
      </c>
      <c r="C5890" t="s">
        <v>1843</v>
      </c>
      <c r="D5890" t="s">
        <v>1986</v>
      </c>
      <c r="E5890" t="s">
        <v>1061</v>
      </c>
      <c r="F5890">
        <v>2594.69</v>
      </c>
    </row>
    <row r="5891" spans="1:6">
      <c r="A5891" t="s">
        <v>13</v>
      </c>
      <c r="B5891" t="s">
        <v>106</v>
      </c>
      <c r="C5891" t="s">
        <v>1843</v>
      </c>
      <c r="D5891" t="s">
        <v>1986</v>
      </c>
      <c r="E5891" t="s">
        <v>1071</v>
      </c>
      <c r="F5891" t="s">
        <v>1861</v>
      </c>
    </row>
    <row r="5892" spans="1:6">
      <c r="A5892" t="s">
        <v>13</v>
      </c>
      <c r="B5892" t="s">
        <v>106</v>
      </c>
      <c r="C5892" t="s">
        <v>1843</v>
      </c>
      <c r="D5892" t="s">
        <v>1986</v>
      </c>
      <c r="E5892" t="s">
        <v>1072</v>
      </c>
      <c r="F5892">
        <v>124834.91</v>
      </c>
    </row>
    <row r="5893" spans="1:6">
      <c r="A5893" t="s">
        <v>13</v>
      </c>
      <c r="B5893" t="s">
        <v>106</v>
      </c>
      <c r="C5893" t="s">
        <v>1843</v>
      </c>
      <c r="D5893" t="s">
        <v>1986</v>
      </c>
      <c r="E5893" t="s">
        <v>1133</v>
      </c>
      <c r="F5893">
        <v>0</v>
      </c>
    </row>
    <row r="5894" spans="1:6">
      <c r="A5894" t="s">
        <v>13</v>
      </c>
      <c r="B5894" t="s">
        <v>106</v>
      </c>
      <c r="C5894" t="s">
        <v>1843</v>
      </c>
      <c r="D5894" t="s">
        <v>1986</v>
      </c>
      <c r="E5894" t="s">
        <v>1134</v>
      </c>
      <c r="F5894">
        <v>0</v>
      </c>
    </row>
    <row r="5895" spans="1:6">
      <c r="A5895" t="s">
        <v>13</v>
      </c>
      <c r="B5895" t="s">
        <v>106</v>
      </c>
      <c r="C5895" t="s">
        <v>1843</v>
      </c>
      <c r="D5895" t="s">
        <v>1986</v>
      </c>
      <c r="E5895" t="s">
        <v>1135</v>
      </c>
      <c r="F5895">
        <v>71294.83000000005</v>
      </c>
    </row>
    <row r="5896" spans="1:6">
      <c r="A5896" t="s">
        <v>13</v>
      </c>
      <c r="B5896" t="s">
        <v>106</v>
      </c>
      <c r="C5896" t="s">
        <v>1843</v>
      </c>
      <c r="D5896" t="s">
        <v>1986</v>
      </c>
      <c r="E5896" t="s">
        <v>1414</v>
      </c>
      <c r="F5896">
        <v>53540.07999999999</v>
      </c>
    </row>
    <row r="5897" spans="1:6">
      <c r="A5897" t="s">
        <v>13</v>
      </c>
      <c r="B5897" t="s">
        <v>106</v>
      </c>
      <c r="C5897" t="s">
        <v>1843</v>
      </c>
      <c r="D5897" t="s">
        <v>1986</v>
      </c>
      <c r="E5897" t="s">
        <v>1073</v>
      </c>
      <c r="F5897" t="s">
        <v>1862</v>
      </c>
    </row>
    <row r="5898" spans="1:6">
      <c r="A5898" t="s">
        <v>13</v>
      </c>
      <c r="B5898" t="s">
        <v>106</v>
      </c>
      <c r="C5898" t="s">
        <v>1843</v>
      </c>
      <c r="D5898" t="s">
        <v>1986</v>
      </c>
      <c r="E5898" t="s">
        <v>1074</v>
      </c>
      <c r="F5898">
        <v>25.31999999999999</v>
      </c>
    </row>
    <row r="5899" spans="1:6">
      <c r="A5899" t="s">
        <v>13</v>
      </c>
      <c r="B5899" t="s">
        <v>106</v>
      </c>
      <c r="C5899" t="s">
        <v>1843</v>
      </c>
      <c r="D5899" t="s">
        <v>1986</v>
      </c>
      <c r="E5899" t="s">
        <v>1296</v>
      </c>
      <c r="F5899">
        <v>0</v>
      </c>
    </row>
    <row r="5900" spans="1:6">
      <c r="A5900" t="s">
        <v>13</v>
      </c>
      <c r="B5900" t="s">
        <v>106</v>
      </c>
      <c r="C5900" t="s">
        <v>1843</v>
      </c>
      <c r="D5900" t="s">
        <v>1986</v>
      </c>
      <c r="E5900" t="s">
        <v>1297</v>
      </c>
      <c r="F5900">
        <v>0</v>
      </c>
    </row>
    <row r="5901" spans="1:6">
      <c r="A5901" t="s">
        <v>13</v>
      </c>
      <c r="B5901" t="s">
        <v>106</v>
      </c>
      <c r="C5901" t="s">
        <v>1843</v>
      </c>
      <c r="D5901" t="s">
        <v>1986</v>
      </c>
      <c r="E5901" t="s">
        <v>1364</v>
      </c>
      <c r="F5901">
        <v>25.31999999999999</v>
      </c>
    </row>
    <row r="5902" spans="1:6">
      <c r="A5902" t="s">
        <v>13</v>
      </c>
      <c r="B5902" t="s">
        <v>106</v>
      </c>
      <c r="C5902" t="s">
        <v>1843</v>
      </c>
      <c r="D5902" t="s">
        <v>1986</v>
      </c>
      <c r="E5902" t="s">
        <v>1365</v>
      </c>
      <c r="F5902">
        <v>0</v>
      </c>
    </row>
    <row r="5903" spans="1:6">
      <c r="A5903" t="s">
        <v>13</v>
      </c>
      <c r="B5903" t="s">
        <v>106</v>
      </c>
      <c r="C5903" t="s">
        <v>1843</v>
      </c>
      <c r="D5903" t="s">
        <v>1986</v>
      </c>
      <c r="E5903" t="s">
        <v>1075</v>
      </c>
      <c r="F5903" t="s">
        <v>1863</v>
      </c>
    </row>
    <row r="5904" spans="1:6">
      <c r="A5904" t="s">
        <v>13</v>
      </c>
      <c r="B5904" t="s">
        <v>106</v>
      </c>
      <c r="C5904" t="s">
        <v>1843</v>
      </c>
      <c r="D5904" t="s">
        <v>1986</v>
      </c>
      <c r="E5904" t="s">
        <v>1076</v>
      </c>
      <c r="F5904">
        <v>672.7</v>
      </c>
    </row>
    <row r="5905" spans="1:6">
      <c r="A5905" t="s">
        <v>13</v>
      </c>
      <c r="B5905" t="s">
        <v>106</v>
      </c>
      <c r="C5905" t="s">
        <v>1843</v>
      </c>
      <c r="D5905" t="s">
        <v>1986</v>
      </c>
      <c r="E5905" t="s">
        <v>1077</v>
      </c>
      <c r="F5905">
        <v>0</v>
      </c>
    </row>
    <row r="5906" spans="1:6">
      <c r="A5906" t="s">
        <v>13</v>
      </c>
      <c r="B5906" t="s">
        <v>106</v>
      </c>
      <c r="C5906" t="s">
        <v>1843</v>
      </c>
      <c r="D5906" t="s">
        <v>1986</v>
      </c>
      <c r="E5906" t="s">
        <v>1078</v>
      </c>
      <c r="F5906">
        <v>0</v>
      </c>
    </row>
    <row r="5907" spans="1:6">
      <c r="A5907" t="s">
        <v>13</v>
      </c>
      <c r="B5907" t="s">
        <v>106</v>
      </c>
      <c r="C5907" t="s">
        <v>1843</v>
      </c>
      <c r="D5907" t="s">
        <v>1986</v>
      </c>
      <c r="E5907" t="s">
        <v>1079</v>
      </c>
      <c r="F5907">
        <v>671.12</v>
      </c>
    </row>
    <row r="5908" spans="1:6">
      <c r="A5908" t="s">
        <v>13</v>
      </c>
      <c r="B5908" t="s">
        <v>106</v>
      </c>
      <c r="C5908" t="s">
        <v>1843</v>
      </c>
      <c r="D5908" t="s">
        <v>1986</v>
      </c>
      <c r="E5908" t="s">
        <v>1080</v>
      </c>
      <c r="F5908">
        <v>1.58</v>
      </c>
    </row>
    <row r="5909" spans="1:6">
      <c r="A5909" t="s">
        <v>13</v>
      </c>
      <c r="B5909" t="s">
        <v>106</v>
      </c>
      <c r="C5909" t="s">
        <v>1843</v>
      </c>
      <c r="D5909" t="s">
        <v>1986</v>
      </c>
      <c r="E5909" t="s">
        <v>1089</v>
      </c>
      <c r="F5909" t="s">
        <v>1864</v>
      </c>
    </row>
    <row r="5910" spans="1:6">
      <c r="A5910" t="s">
        <v>13</v>
      </c>
      <c r="B5910" t="s">
        <v>106</v>
      </c>
      <c r="C5910" t="s">
        <v>1843</v>
      </c>
      <c r="D5910" t="s">
        <v>1986</v>
      </c>
      <c r="E5910" t="s">
        <v>1090</v>
      </c>
      <c r="F5910">
        <v>423379.08</v>
      </c>
    </row>
    <row r="5911" spans="1:6">
      <c r="A5911" t="s">
        <v>13</v>
      </c>
      <c r="B5911" t="s">
        <v>106</v>
      </c>
      <c r="C5911" t="s">
        <v>1843</v>
      </c>
      <c r="D5911" t="s">
        <v>1986</v>
      </c>
      <c r="E5911" t="s">
        <v>1139</v>
      </c>
      <c r="F5911">
        <v>0</v>
      </c>
    </row>
    <row r="5912" spans="1:6">
      <c r="A5912" t="s">
        <v>13</v>
      </c>
      <c r="B5912" t="s">
        <v>106</v>
      </c>
      <c r="C5912" t="s">
        <v>1843</v>
      </c>
      <c r="D5912" t="s">
        <v>1986</v>
      </c>
      <c r="E5912" t="s">
        <v>1140</v>
      </c>
      <c r="F5912">
        <v>0</v>
      </c>
    </row>
    <row r="5913" spans="1:6">
      <c r="A5913" t="s">
        <v>13</v>
      </c>
      <c r="B5913" t="s">
        <v>106</v>
      </c>
      <c r="C5913" t="s">
        <v>1843</v>
      </c>
      <c r="D5913" t="s">
        <v>1986</v>
      </c>
      <c r="E5913" t="s">
        <v>1141</v>
      </c>
      <c r="F5913">
        <v>984.8200000000001</v>
      </c>
    </row>
    <row r="5914" spans="1:6">
      <c r="A5914" t="s">
        <v>13</v>
      </c>
      <c r="B5914" t="s">
        <v>106</v>
      </c>
      <c r="C5914" t="s">
        <v>1843</v>
      </c>
      <c r="D5914" t="s">
        <v>1986</v>
      </c>
      <c r="E5914" t="s">
        <v>1423</v>
      </c>
      <c r="F5914">
        <v>422394.26</v>
      </c>
    </row>
    <row r="5915" spans="1:6">
      <c r="A5915" t="s">
        <v>13</v>
      </c>
      <c r="B5915" t="s">
        <v>106</v>
      </c>
      <c r="C5915" t="s">
        <v>1843</v>
      </c>
      <c r="D5915" t="s">
        <v>1986</v>
      </c>
      <c r="E5915" t="s">
        <v>1546</v>
      </c>
      <c r="F5915" t="s">
        <v>1865</v>
      </c>
    </row>
    <row r="5916" spans="1:6">
      <c r="A5916" t="s">
        <v>13</v>
      </c>
      <c r="B5916" t="s">
        <v>106</v>
      </c>
      <c r="C5916" t="s">
        <v>1843</v>
      </c>
      <c r="D5916" t="s">
        <v>1986</v>
      </c>
      <c r="E5916" t="s">
        <v>1298</v>
      </c>
      <c r="F5916">
        <v>790.5799999999999</v>
      </c>
    </row>
    <row r="5917" spans="1:6">
      <c r="A5917" t="s">
        <v>13</v>
      </c>
      <c r="B5917" t="s">
        <v>106</v>
      </c>
      <c r="C5917" t="s">
        <v>1843</v>
      </c>
      <c r="D5917" t="s">
        <v>1986</v>
      </c>
      <c r="E5917" t="s">
        <v>1299</v>
      </c>
      <c r="F5917">
        <v>0</v>
      </c>
    </row>
    <row r="5918" spans="1:6">
      <c r="A5918" t="s">
        <v>13</v>
      </c>
      <c r="B5918" t="s">
        <v>106</v>
      </c>
      <c r="C5918" t="s">
        <v>1843</v>
      </c>
      <c r="D5918" t="s">
        <v>1986</v>
      </c>
      <c r="E5918" t="s">
        <v>1300</v>
      </c>
      <c r="F5918">
        <v>0</v>
      </c>
    </row>
    <row r="5919" spans="1:6">
      <c r="A5919" t="s">
        <v>13</v>
      </c>
      <c r="B5919" t="s">
        <v>106</v>
      </c>
      <c r="C5919" t="s">
        <v>1843</v>
      </c>
      <c r="D5919" t="s">
        <v>1986</v>
      </c>
      <c r="E5919" t="s">
        <v>1426</v>
      </c>
      <c r="F5919">
        <v>49.96999999999999</v>
      </c>
    </row>
    <row r="5920" spans="1:6">
      <c r="A5920" t="s">
        <v>13</v>
      </c>
      <c r="B5920" t="s">
        <v>106</v>
      </c>
      <c r="C5920" t="s">
        <v>1843</v>
      </c>
      <c r="D5920" t="s">
        <v>1986</v>
      </c>
      <c r="E5920" t="s">
        <v>1400</v>
      </c>
      <c r="F5920">
        <v>740.6099999999999</v>
      </c>
    </row>
    <row r="5921" spans="1:6">
      <c r="A5921" t="s">
        <v>13</v>
      </c>
      <c r="B5921" t="s">
        <v>106</v>
      </c>
      <c r="C5921" t="s">
        <v>1843</v>
      </c>
      <c r="D5921" t="s">
        <v>1986</v>
      </c>
      <c r="E5921" t="s">
        <v>1143</v>
      </c>
      <c r="F5921" t="s">
        <v>1866</v>
      </c>
    </row>
    <row r="5922" spans="1:6">
      <c r="A5922" t="s">
        <v>13</v>
      </c>
      <c r="B5922" t="s">
        <v>106</v>
      </c>
      <c r="C5922" t="s">
        <v>1843</v>
      </c>
      <c r="D5922" t="s">
        <v>1986</v>
      </c>
      <c r="E5922" t="s">
        <v>1301</v>
      </c>
      <c r="F5922">
        <v>4119.78</v>
      </c>
    </row>
    <row r="5923" spans="1:6">
      <c r="A5923" t="s">
        <v>13</v>
      </c>
      <c r="B5923" t="s">
        <v>106</v>
      </c>
      <c r="C5923" t="s">
        <v>1843</v>
      </c>
      <c r="D5923" t="s">
        <v>1986</v>
      </c>
      <c r="E5923" t="s">
        <v>1302</v>
      </c>
      <c r="F5923">
        <v>0</v>
      </c>
    </row>
    <row r="5924" spans="1:6">
      <c r="A5924" t="s">
        <v>13</v>
      </c>
      <c r="B5924" t="s">
        <v>106</v>
      </c>
      <c r="C5924" t="s">
        <v>1843</v>
      </c>
      <c r="D5924" t="s">
        <v>1986</v>
      </c>
      <c r="E5924" t="s">
        <v>1303</v>
      </c>
      <c r="F5924">
        <v>0</v>
      </c>
    </row>
    <row r="5925" spans="1:6">
      <c r="A5925" t="s">
        <v>13</v>
      </c>
      <c r="B5925" t="s">
        <v>106</v>
      </c>
      <c r="C5925" t="s">
        <v>1843</v>
      </c>
      <c r="D5925" t="s">
        <v>1986</v>
      </c>
      <c r="E5925" t="s">
        <v>1429</v>
      </c>
      <c r="F5925">
        <v>0</v>
      </c>
    </row>
    <row r="5926" spans="1:6">
      <c r="A5926" t="s">
        <v>13</v>
      </c>
      <c r="B5926" t="s">
        <v>106</v>
      </c>
      <c r="C5926" t="s">
        <v>1843</v>
      </c>
      <c r="D5926" t="s">
        <v>1986</v>
      </c>
      <c r="E5926" t="s">
        <v>1145</v>
      </c>
      <c r="F5926">
        <v>4119.78</v>
      </c>
    </row>
    <row r="5927" spans="1:6">
      <c r="A5927" t="s">
        <v>13</v>
      </c>
      <c r="B5927" t="s">
        <v>106</v>
      </c>
      <c r="C5927" t="s">
        <v>1843</v>
      </c>
      <c r="D5927" t="s">
        <v>1986</v>
      </c>
      <c r="E5927" t="s">
        <v>1554</v>
      </c>
      <c r="F5927" t="s">
        <v>1123</v>
      </c>
    </row>
    <row r="5928" spans="1:6">
      <c r="A5928" t="s">
        <v>13</v>
      </c>
      <c r="B5928" t="s">
        <v>106</v>
      </c>
      <c r="C5928" t="s">
        <v>1843</v>
      </c>
      <c r="D5928" t="s">
        <v>1986</v>
      </c>
      <c r="E5928" t="s">
        <v>1392</v>
      </c>
      <c r="F5928">
        <v>0.9550659453985466</v>
      </c>
    </row>
    <row r="5929" spans="1:6">
      <c r="A5929" t="s">
        <v>13</v>
      </c>
      <c r="B5929" t="s">
        <v>106</v>
      </c>
      <c r="C5929" t="s">
        <v>1843</v>
      </c>
      <c r="D5929" t="s">
        <v>1986</v>
      </c>
      <c r="E5929" t="s">
        <v>1393</v>
      </c>
      <c r="F5929">
        <v>0</v>
      </c>
    </row>
    <row r="5930" spans="1:6">
      <c r="A5930" t="s">
        <v>13</v>
      </c>
      <c r="B5930" t="s">
        <v>106</v>
      </c>
      <c r="C5930" t="s">
        <v>1843</v>
      </c>
      <c r="D5930" t="s">
        <v>1986</v>
      </c>
      <c r="E5930" t="s">
        <v>1394</v>
      </c>
      <c r="F5930">
        <v>0</v>
      </c>
    </row>
    <row r="5931" spans="1:6">
      <c r="A5931" t="s">
        <v>13</v>
      </c>
      <c r="B5931" t="s">
        <v>106</v>
      </c>
      <c r="C5931" t="s">
        <v>1843</v>
      </c>
      <c r="D5931" t="s">
        <v>1986</v>
      </c>
      <c r="E5931" t="s">
        <v>1432</v>
      </c>
      <c r="F5931">
        <v>1</v>
      </c>
    </row>
    <row r="5932" spans="1:6">
      <c r="A5932" t="s">
        <v>13</v>
      </c>
      <c r="B5932" t="s">
        <v>106</v>
      </c>
      <c r="C5932" t="s">
        <v>1843</v>
      </c>
      <c r="D5932" t="s">
        <v>1986</v>
      </c>
      <c r="E5932" t="s">
        <v>1434</v>
      </c>
      <c r="F5932">
        <v>0.9170280980845048</v>
      </c>
    </row>
    <row r="5933" spans="1:6">
      <c r="A5933" t="s">
        <v>13</v>
      </c>
      <c r="B5933" t="s">
        <v>106</v>
      </c>
      <c r="C5933" t="s">
        <v>1843</v>
      </c>
      <c r="D5933" t="s">
        <v>1986</v>
      </c>
      <c r="E5933" t="s">
        <v>1147</v>
      </c>
      <c r="F5933" t="s">
        <v>1130</v>
      </c>
    </row>
    <row r="5934" spans="1:6">
      <c r="A5934" t="s">
        <v>13</v>
      </c>
      <c r="B5934" t="s">
        <v>106</v>
      </c>
      <c r="C5934" t="s">
        <v>1843</v>
      </c>
      <c r="D5934" t="s">
        <v>1986</v>
      </c>
      <c r="E5934" t="s">
        <v>1149</v>
      </c>
      <c r="F5934">
        <v>156644.0600000008</v>
      </c>
    </row>
    <row r="5935" spans="1:6">
      <c r="A5935" t="s">
        <v>13</v>
      </c>
      <c r="B5935" t="s">
        <v>106</v>
      </c>
      <c r="C5935" t="s">
        <v>1843</v>
      </c>
      <c r="D5935" t="s">
        <v>1986</v>
      </c>
      <c r="E5935" t="s">
        <v>1437</v>
      </c>
      <c r="F5935">
        <v>0</v>
      </c>
    </row>
    <row r="5936" spans="1:6">
      <c r="A5936" t="s">
        <v>13</v>
      </c>
      <c r="B5936" t="s">
        <v>106</v>
      </c>
      <c r="C5936" t="s">
        <v>1843</v>
      </c>
      <c r="D5936" t="s">
        <v>1986</v>
      </c>
      <c r="E5936" t="s">
        <v>1438</v>
      </c>
      <c r="F5936">
        <v>0</v>
      </c>
    </row>
    <row r="5937" spans="1:6">
      <c r="A5937" t="s">
        <v>13</v>
      </c>
      <c r="B5937" t="s">
        <v>106</v>
      </c>
      <c r="C5937" t="s">
        <v>1843</v>
      </c>
      <c r="D5937" t="s">
        <v>1986</v>
      </c>
      <c r="E5937" t="s">
        <v>1439</v>
      </c>
      <c r="F5937">
        <v>0</v>
      </c>
    </row>
    <row r="5938" spans="1:6">
      <c r="A5938" t="s">
        <v>13</v>
      </c>
      <c r="B5938" t="s">
        <v>106</v>
      </c>
      <c r="C5938" t="s">
        <v>1843</v>
      </c>
      <c r="D5938" t="s">
        <v>1986</v>
      </c>
      <c r="E5938" t="s">
        <v>1441</v>
      </c>
      <c r="F5938">
        <v>156644.0600000008</v>
      </c>
    </row>
    <row r="5939" spans="1:6">
      <c r="A5939" t="s">
        <v>13</v>
      </c>
      <c r="B5939" t="s">
        <v>106</v>
      </c>
      <c r="C5939" t="s">
        <v>1843</v>
      </c>
      <c r="D5939" t="s">
        <v>1986</v>
      </c>
      <c r="E5939" t="s">
        <v>1555</v>
      </c>
      <c r="F5939" t="s">
        <v>1131</v>
      </c>
    </row>
    <row r="5940" spans="1:6">
      <c r="A5940" t="s">
        <v>13</v>
      </c>
      <c r="B5940" t="s">
        <v>106</v>
      </c>
      <c r="C5940" t="s">
        <v>1843</v>
      </c>
      <c r="D5940" t="s">
        <v>1986</v>
      </c>
      <c r="E5940" t="s">
        <v>1151</v>
      </c>
      <c r="F5940">
        <v>0.0449340546014533</v>
      </c>
    </row>
    <row r="5941" spans="1:6">
      <c r="A5941" t="s">
        <v>13</v>
      </c>
      <c r="B5941" t="s">
        <v>106</v>
      </c>
      <c r="C5941" t="s">
        <v>1843</v>
      </c>
      <c r="D5941" t="s">
        <v>1986</v>
      </c>
      <c r="E5941" t="s">
        <v>1152</v>
      </c>
      <c r="F5941">
        <v>0</v>
      </c>
    </row>
    <row r="5942" spans="1:6">
      <c r="A5942" t="s">
        <v>13</v>
      </c>
      <c r="B5942" t="s">
        <v>106</v>
      </c>
      <c r="C5942" t="s">
        <v>1843</v>
      </c>
      <c r="D5942" t="s">
        <v>1986</v>
      </c>
      <c r="E5942" t="s">
        <v>1154</v>
      </c>
      <c r="F5942">
        <v>0</v>
      </c>
    </row>
    <row r="5943" spans="1:6">
      <c r="A5943" t="s">
        <v>13</v>
      </c>
      <c r="B5943" t="s">
        <v>106</v>
      </c>
      <c r="C5943" t="s">
        <v>1843</v>
      </c>
      <c r="D5943" t="s">
        <v>1986</v>
      </c>
      <c r="E5943" t="s">
        <v>1156</v>
      </c>
      <c r="F5943">
        <v>0</v>
      </c>
    </row>
    <row r="5944" spans="1:6">
      <c r="A5944" t="s">
        <v>13</v>
      </c>
      <c r="B5944" t="s">
        <v>106</v>
      </c>
      <c r="C5944" t="s">
        <v>1843</v>
      </c>
      <c r="D5944" t="s">
        <v>1986</v>
      </c>
      <c r="E5944" t="s">
        <v>1158</v>
      </c>
      <c r="F5944">
        <v>0.08297190191549515</v>
      </c>
    </row>
    <row r="5945" spans="1:6">
      <c r="A5945" t="s">
        <v>13</v>
      </c>
      <c r="B5945" t="s">
        <v>106</v>
      </c>
      <c r="C5945" t="s">
        <v>1843</v>
      </c>
      <c r="D5945" t="s">
        <v>1986</v>
      </c>
      <c r="E5945" t="s">
        <v>1175</v>
      </c>
      <c r="F5945" t="s">
        <v>1137</v>
      </c>
    </row>
    <row r="5946" spans="1:6">
      <c r="A5946" t="s">
        <v>13</v>
      </c>
      <c r="B5946" t="s">
        <v>106</v>
      </c>
      <c r="C5946" t="s">
        <v>1843</v>
      </c>
      <c r="D5946" t="s">
        <v>1986</v>
      </c>
      <c r="E5946" t="s">
        <v>1176</v>
      </c>
      <c r="F5946">
        <v>0</v>
      </c>
    </row>
    <row r="5947" spans="1:6">
      <c r="A5947" t="s">
        <v>13</v>
      </c>
      <c r="B5947" t="s">
        <v>106</v>
      </c>
      <c r="C5947" t="s">
        <v>1843</v>
      </c>
      <c r="D5947" t="s">
        <v>1986</v>
      </c>
      <c r="E5947" t="s">
        <v>1177</v>
      </c>
      <c r="F5947">
        <v>0</v>
      </c>
    </row>
    <row r="5948" spans="1:6">
      <c r="A5948" t="s">
        <v>13</v>
      </c>
      <c r="B5948" t="s">
        <v>106</v>
      </c>
      <c r="C5948" t="s">
        <v>1843</v>
      </c>
      <c r="D5948" t="s">
        <v>1986</v>
      </c>
      <c r="E5948" t="s">
        <v>1178</v>
      </c>
      <c r="F5948">
        <v>0</v>
      </c>
    </row>
    <row r="5949" spans="1:6">
      <c r="A5949" t="s">
        <v>13</v>
      </c>
      <c r="B5949" t="s">
        <v>106</v>
      </c>
      <c r="C5949" t="s">
        <v>1843</v>
      </c>
      <c r="D5949" t="s">
        <v>1986</v>
      </c>
      <c r="E5949" t="s">
        <v>1179</v>
      </c>
      <c r="F5949">
        <v>0</v>
      </c>
    </row>
    <row r="5950" spans="1:6">
      <c r="A5950" t="s">
        <v>13</v>
      </c>
      <c r="B5950" t="s">
        <v>106</v>
      </c>
      <c r="C5950" t="s">
        <v>1843</v>
      </c>
      <c r="D5950" t="s">
        <v>1986</v>
      </c>
      <c r="E5950" t="s">
        <v>1452</v>
      </c>
      <c r="F5950" t="s">
        <v>1138</v>
      </c>
    </row>
    <row r="5951" spans="1:6">
      <c r="A5951" t="s">
        <v>13</v>
      </c>
      <c r="B5951" t="s">
        <v>106</v>
      </c>
      <c r="C5951" t="s">
        <v>1843</v>
      </c>
      <c r="D5951" t="s">
        <v>1986</v>
      </c>
      <c r="E5951" t="s">
        <v>1454</v>
      </c>
      <c r="F5951">
        <v>0</v>
      </c>
    </row>
    <row r="5952" spans="1:6">
      <c r="A5952" t="s">
        <v>13</v>
      </c>
      <c r="B5952" t="s">
        <v>106</v>
      </c>
      <c r="C5952" t="s">
        <v>1843</v>
      </c>
      <c r="D5952" t="s">
        <v>1986</v>
      </c>
      <c r="E5952" t="s">
        <v>1455</v>
      </c>
      <c r="F5952">
        <v>0</v>
      </c>
    </row>
    <row r="5953" spans="1:6">
      <c r="A5953" t="s">
        <v>13</v>
      </c>
      <c r="B5953" t="s">
        <v>106</v>
      </c>
      <c r="C5953" t="s">
        <v>1843</v>
      </c>
      <c r="D5953" t="s">
        <v>1986</v>
      </c>
      <c r="E5953" t="s">
        <v>1456</v>
      </c>
      <c r="F5953">
        <v>0</v>
      </c>
    </row>
    <row r="5954" spans="1:6">
      <c r="A5954" t="s">
        <v>13</v>
      </c>
      <c r="B5954" t="s">
        <v>106</v>
      </c>
      <c r="C5954" t="s">
        <v>1843</v>
      </c>
      <c r="D5954" t="s">
        <v>1986</v>
      </c>
      <c r="E5954" t="s">
        <v>1458</v>
      </c>
      <c r="F5954">
        <v>-0.007925287658111331</v>
      </c>
    </row>
    <row r="5955" spans="1:6">
      <c r="A5955" t="s">
        <v>13</v>
      </c>
      <c r="B5955" t="s">
        <v>106</v>
      </c>
      <c r="C5955" t="s">
        <v>1843</v>
      </c>
      <c r="D5955" t="s">
        <v>1986</v>
      </c>
      <c r="E5955" t="s">
        <v>1191</v>
      </c>
      <c r="F5955" t="s">
        <v>1144</v>
      </c>
    </row>
    <row r="5956" spans="1:6">
      <c r="A5956" t="s">
        <v>13</v>
      </c>
      <c r="B5956" t="s">
        <v>106</v>
      </c>
      <c r="C5956" t="s">
        <v>1843</v>
      </c>
      <c r="D5956" t="s">
        <v>1986</v>
      </c>
      <c r="E5956" t="s">
        <v>1196</v>
      </c>
      <c r="F5956" t="s">
        <v>1146</v>
      </c>
    </row>
    <row r="5957" spans="1:6">
      <c r="A5957" t="s">
        <v>13</v>
      </c>
      <c r="B5957" t="s">
        <v>106</v>
      </c>
      <c r="C5957" t="s">
        <v>1843</v>
      </c>
      <c r="D5957" t="s">
        <v>1986</v>
      </c>
      <c r="E5957" t="s">
        <v>1201</v>
      </c>
      <c r="F5957" t="s">
        <v>1148</v>
      </c>
    </row>
    <row r="5958" spans="1:6">
      <c r="A5958" t="s">
        <v>13</v>
      </c>
      <c r="B5958" t="s">
        <v>106</v>
      </c>
      <c r="C5958" t="s">
        <v>1843</v>
      </c>
      <c r="D5958" t="s">
        <v>1986</v>
      </c>
      <c r="E5958" t="s">
        <v>1202</v>
      </c>
      <c r="F5958" t="s">
        <v>1150</v>
      </c>
    </row>
    <row r="5959" spans="1:6">
      <c r="A5959" t="s">
        <v>13</v>
      </c>
      <c r="B5959" t="s">
        <v>106</v>
      </c>
      <c r="C5959" t="s">
        <v>1843</v>
      </c>
      <c r="D5959" t="s">
        <v>1986</v>
      </c>
      <c r="E5959" t="s">
        <v>1210</v>
      </c>
      <c r="F5959" t="s">
        <v>1009</v>
      </c>
    </row>
    <row r="5960" spans="1:6">
      <c r="A5960" t="s">
        <v>13</v>
      </c>
      <c r="B5960" t="s">
        <v>106</v>
      </c>
      <c r="C5960" t="s">
        <v>1843</v>
      </c>
      <c r="D5960" t="s">
        <v>1986</v>
      </c>
      <c r="E5960" t="s">
        <v>1211</v>
      </c>
      <c r="F5960" t="s">
        <v>1836</v>
      </c>
    </row>
    <row r="5961" spans="1:6">
      <c r="A5961" t="s">
        <v>13</v>
      </c>
      <c r="B5961" t="s">
        <v>106</v>
      </c>
      <c r="C5961" t="s">
        <v>1843</v>
      </c>
      <c r="D5961" t="s">
        <v>1986</v>
      </c>
      <c r="E5961" t="s">
        <v>1212</v>
      </c>
      <c r="F5961" t="s">
        <v>1837</v>
      </c>
    </row>
    <row r="5962" spans="1:6">
      <c r="A5962" t="s">
        <v>13</v>
      </c>
      <c r="B5962" t="s">
        <v>106</v>
      </c>
      <c r="C5962" t="s">
        <v>1843</v>
      </c>
      <c r="D5962" t="s">
        <v>1986</v>
      </c>
      <c r="E5962" t="s">
        <v>1213</v>
      </c>
      <c r="F5962" t="s">
        <v>1838</v>
      </c>
    </row>
    <row r="5963" spans="1:6">
      <c r="A5963" t="s">
        <v>13</v>
      </c>
      <c r="B5963" t="s">
        <v>106</v>
      </c>
      <c r="C5963" t="s">
        <v>1843</v>
      </c>
      <c r="D5963" t="s">
        <v>1986</v>
      </c>
      <c r="E5963" t="s">
        <v>1214</v>
      </c>
      <c r="F5963" t="s">
        <v>1839</v>
      </c>
    </row>
    <row r="5964" spans="1:6">
      <c r="A5964" t="s">
        <v>13</v>
      </c>
      <c r="B5964" t="s">
        <v>106</v>
      </c>
      <c r="C5964" t="s">
        <v>1843</v>
      </c>
      <c r="D5964" t="s">
        <v>1986</v>
      </c>
      <c r="E5964" t="s">
        <v>1215</v>
      </c>
      <c r="F5964" t="s">
        <v>1840</v>
      </c>
    </row>
    <row r="5965" spans="1:6">
      <c r="A5965" t="s">
        <v>13</v>
      </c>
      <c r="B5965" t="s">
        <v>106</v>
      </c>
      <c r="C5965" t="s">
        <v>1843</v>
      </c>
      <c r="D5965" t="s">
        <v>1986</v>
      </c>
      <c r="E5965" t="s">
        <v>1216</v>
      </c>
      <c r="F5965" t="s">
        <v>1841</v>
      </c>
    </row>
    <row r="5966" spans="1:6">
      <c r="A5966" t="s">
        <v>13</v>
      </c>
      <c r="B5966" t="s">
        <v>106</v>
      </c>
      <c r="C5966" t="s">
        <v>1843</v>
      </c>
      <c r="D5966" t="s">
        <v>1986</v>
      </c>
      <c r="E5966" t="s">
        <v>1217</v>
      </c>
      <c r="F5966" t="s">
        <v>1867</v>
      </c>
    </row>
    <row r="5967" spans="1:6">
      <c r="A5967" t="s">
        <v>13</v>
      </c>
      <c r="B5967" t="s">
        <v>106</v>
      </c>
      <c r="C5967" t="s">
        <v>1843</v>
      </c>
      <c r="D5967" t="s">
        <v>1986</v>
      </c>
      <c r="E5967" t="s">
        <v>1218</v>
      </c>
      <c r="F5967">
        <v>1887916.95</v>
      </c>
    </row>
    <row r="5968" spans="1:6">
      <c r="A5968" t="s">
        <v>13</v>
      </c>
      <c r="B5968" t="s">
        <v>106</v>
      </c>
      <c r="C5968" t="s">
        <v>1843</v>
      </c>
      <c r="D5968" t="s">
        <v>1986</v>
      </c>
      <c r="E5968" t="s">
        <v>1219</v>
      </c>
      <c r="F5968">
        <v>277595.5899999997</v>
      </c>
    </row>
    <row r="5969" spans="1:6">
      <c r="A5969" t="s">
        <v>13</v>
      </c>
      <c r="B5969" t="s">
        <v>106</v>
      </c>
      <c r="C5969" t="s">
        <v>1843</v>
      </c>
      <c r="D5969" t="s">
        <v>1986</v>
      </c>
      <c r="E5969" t="s">
        <v>1220</v>
      </c>
      <c r="F5969">
        <v>137125.2699999999</v>
      </c>
    </row>
    <row r="5970" spans="1:6">
      <c r="A5970" t="s">
        <v>13</v>
      </c>
      <c r="B5970" t="s">
        <v>106</v>
      </c>
      <c r="C5970" t="s">
        <v>1843</v>
      </c>
      <c r="D5970" t="s">
        <v>1986</v>
      </c>
      <c r="E5970" t="s">
        <v>1221</v>
      </c>
      <c r="F5970">
        <v>384234.17</v>
      </c>
    </row>
    <row r="5971" spans="1:6">
      <c r="A5971" t="s">
        <v>13</v>
      </c>
      <c r="B5971" t="s">
        <v>106</v>
      </c>
      <c r="C5971" t="s">
        <v>1843</v>
      </c>
      <c r="D5971" t="s">
        <v>1986</v>
      </c>
      <c r="E5971" t="s">
        <v>1222</v>
      </c>
      <c r="F5971">
        <v>720809.2200000002</v>
      </c>
    </row>
    <row r="5972" spans="1:6">
      <c r="A5972" t="s">
        <v>13</v>
      </c>
      <c r="B5972" t="s">
        <v>106</v>
      </c>
      <c r="C5972" t="s">
        <v>1843</v>
      </c>
      <c r="D5972" t="s">
        <v>1986</v>
      </c>
      <c r="E5972" t="s">
        <v>1223</v>
      </c>
      <c r="F5972">
        <v>119781.77</v>
      </c>
    </row>
    <row r="5973" spans="1:6">
      <c r="A5973" t="s">
        <v>13</v>
      </c>
      <c r="B5973" t="s">
        <v>106</v>
      </c>
      <c r="C5973" t="s">
        <v>1843</v>
      </c>
      <c r="D5973" t="s">
        <v>1986</v>
      </c>
      <c r="E5973" t="s">
        <v>1224</v>
      </c>
      <c r="F5973">
        <v>248370.93</v>
      </c>
    </row>
    <row r="5974" spans="1:6">
      <c r="A5974" t="s">
        <v>13</v>
      </c>
      <c r="B5974" t="s">
        <v>106</v>
      </c>
      <c r="C5974" t="s">
        <v>1843</v>
      </c>
      <c r="D5974" t="s">
        <v>1986</v>
      </c>
      <c r="E5974" t="s">
        <v>1225</v>
      </c>
      <c r="F5974" t="s">
        <v>1174</v>
      </c>
    </row>
    <row r="5975" spans="1:6">
      <c r="A5975" t="s">
        <v>13</v>
      </c>
      <c r="B5975" t="s">
        <v>106</v>
      </c>
      <c r="C5975" t="s">
        <v>1843</v>
      </c>
      <c r="D5975" t="s">
        <v>1986</v>
      </c>
      <c r="E5975" t="s">
        <v>1480</v>
      </c>
      <c r="F5975">
        <v>3501</v>
      </c>
    </row>
    <row r="5976" spans="1:6">
      <c r="A5976" t="s">
        <v>13</v>
      </c>
      <c r="B5976" t="s">
        <v>106</v>
      </c>
      <c r="C5976" t="s">
        <v>1843</v>
      </c>
      <c r="D5976" t="s">
        <v>1986</v>
      </c>
      <c r="E5976" t="s">
        <v>1227</v>
      </c>
      <c r="F5976">
        <v>635</v>
      </c>
    </row>
    <row r="5977" spans="1:6">
      <c r="A5977" t="s">
        <v>13</v>
      </c>
      <c r="B5977" t="s">
        <v>106</v>
      </c>
      <c r="C5977" t="s">
        <v>1843</v>
      </c>
      <c r="D5977" t="s">
        <v>1986</v>
      </c>
      <c r="E5977" t="s">
        <v>1228</v>
      </c>
      <c r="F5977">
        <v>518</v>
      </c>
    </row>
    <row r="5978" spans="1:6">
      <c r="A5978" t="s">
        <v>13</v>
      </c>
      <c r="B5978" t="s">
        <v>106</v>
      </c>
      <c r="C5978" t="s">
        <v>1843</v>
      </c>
      <c r="D5978" t="s">
        <v>1986</v>
      </c>
      <c r="E5978" t="s">
        <v>1230</v>
      </c>
      <c r="F5978">
        <v>601</v>
      </c>
    </row>
    <row r="5979" spans="1:6">
      <c r="A5979" t="s">
        <v>13</v>
      </c>
      <c r="B5979" t="s">
        <v>106</v>
      </c>
      <c r="C5979" t="s">
        <v>1843</v>
      </c>
      <c r="D5979" t="s">
        <v>1986</v>
      </c>
      <c r="E5979" t="s">
        <v>1231</v>
      </c>
      <c r="F5979">
        <v>657</v>
      </c>
    </row>
    <row r="5980" spans="1:6">
      <c r="A5980" t="s">
        <v>13</v>
      </c>
      <c r="B5980" t="s">
        <v>106</v>
      </c>
      <c r="C5980" t="s">
        <v>1843</v>
      </c>
      <c r="D5980" t="s">
        <v>1986</v>
      </c>
      <c r="E5980" t="s">
        <v>1233</v>
      </c>
      <c r="F5980">
        <v>546</v>
      </c>
    </row>
    <row r="5981" spans="1:6">
      <c r="A5981" t="s">
        <v>13</v>
      </c>
      <c r="B5981" t="s">
        <v>106</v>
      </c>
      <c r="C5981" t="s">
        <v>1843</v>
      </c>
      <c r="D5981" t="s">
        <v>1986</v>
      </c>
      <c r="E5981" t="s">
        <v>1234</v>
      </c>
      <c r="F5981">
        <v>544</v>
      </c>
    </row>
    <row r="5982" spans="1:6">
      <c r="A5982" t="s">
        <v>13</v>
      </c>
      <c r="B5982" t="s">
        <v>106</v>
      </c>
      <c r="C5982" t="s">
        <v>1843</v>
      </c>
      <c r="D5982" t="s">
        <v>1986</v>
      </c>
      <c r="E5982" t="s">
        <v>1245</v>
      </c>
      <c r="F5982" t="s">
        <v>1868</v>
      </c>
    </row>
    <row r="5983" spans="1:6">
      <c r="A5983" t="s">
        <v>13</v>
      </c>
      <c r="B5983" t="s">
        <v>106</v>
      </c>
      <c r="C5983" t="s">
        <v>1843</v>
      </c>
      <c r="D5983" t="s">
        <v>1986</v>
      </c>
      <c r="E5983" t="s">
        <v>1247</v>
      </c>
      <c r="F5983">
        <v>1731272.89</v>
      </c>
    </row>
    <row r="5984" spans="1:6">
      <c r="A5984" t="s">
        <v>13</v>
      </c>
      <c r="B5984" t="s">
        <v>106</v>
      </c>
      <c r="C5984" t="s">
        <v>1843</v>
      </c>
      <c r="D5984" t="s">
        <v>1986</v>
      </c>
      <c r="E5984" t="s">
        <v>1248</v>
      </c>
      <c r="F5984">
        <v>133713.79</v>
      </c>
    </row>
    <row r="5985" spans="1:6">
      <c r="A5985" t="s">
        <v>13</v>
      </c>
      <c r="B5985" t="s">
        <v>106</v>
      </c>
      <c r="C5985" t="s">
        <v>1843</v>
      </c>
      <c r="D5985" t="s">
        <v>1986</v>
      </c>
      <c r="E5985" t="s">
        <v>1249</v>
      </c>
      <c r="F5985">
        <v>130874.1399999999</v>
      </c>
    </row>
    <row r="5986" spans="1:6">
      <c r="A5986" t="s">
        <v>13</v>
      </c>
      <c r="B5986" t="s">
        <v>106</v>
      </c>
      <c r="C5986" t="s">
        <v>1843</v>
      </c>
      <c r="D5986" t="s">
        <v>1986</v>
      </c>
      <c r="E5986" t="s">
        <v>1250</v>
      </c>
      <c r="F5986">
        <v>379639.7700000003</v>
      </c>
    </row>
    <row r="5987" spans="1:6">
      <c r="A5987" t="s">
        <v>13</v>
      </c>
      <c r="B5987" t="s">
        <v>106</v>
      </c>
      <c r="C5987" t="s">
        <v>1843</v>
      </c>
      <c r="D5987" t="s">
        <v>1986</v>
      </c>
      <c r="E5987" t="s">
        <v>1251</v>
      </c>
      <c r="F5987">
        <v>718892.4900000002</v>
      </c>
    </row>
    <row r="5988" spans="1:6">
      <c r="A5988" t="s">
        <v>13</v>
      </c>
      <c r="B5988" t="s">
        <v>106</v>
      </c>
      <c r="C5988" t="s">
        <v>1843</v>
      </c>
      <c r="D5988" t="s">
        <v>1986</v>
      </c>
      <c r="E5988" t="s">
        <v>1252</v>
      </c>
      <c r="F5988">
        <v>119781.77</v>
      </c>
    </row>
    <row r="5989" spans="1:6">
      <c r="A5989" t="s">
        <v>13</v>
      </c>
      <c r="B5989" t="s">
        <v>106</v>
      </c>
      <c r="C5989" t="s">
        <v>1843</v>
      </c>
      <c r="D5989" t="s">
        <v>1986</v>
      </c>
      <c r="E5989" t="s">
        <v>1253</v>
      </c>
      <c r="F5989">
        <v>248370.9299999999</v>
      </c>
    </row>
    <row r="5990" spans="1:6">
      <c r="A5990" t="s">
        <v>13</v>
      </c>
      <c r="B5990" t="s">
        <v>106</v>
      </c>
      <c r="C5990" t="s">
        <v>1843</v>
      </c>
      <c r="D5990" t="s">
        <v>1986</v>
      </c>
      <c r="E5990" t="s">
        <v>1254</v>
      </c>
      <c r="F5990" t="s">
        <v>1192</v>
      </c>
    </row>
    <row r="5991" spans="1:6">
      <c r="A5991" t="s">
        <v>13</v>
      </c>
      <c r="B5991" t="s">
        <v>106</v>
      </c>
      <c r="C5991" t="s">
        <v>1843</v>
      </c>
      <c r="D5991" t="s">
        <v>1986</v>
      </c>
      <c r="E5991" t="s">
        <v>1257</v>
      </c>
      <c r="F5991">
        <v>268</v>
      </c>
    </row>
    <row r="5992" spans="1:6">
      <c r="A5992" t="s">
        <v>13</v>
      </c>
      <c r="B5992" t="s">
        <v>106</v>
      </c>
      <c r="C5992" t="s">
        <v>1843</v>
      </c>
      <c r="D5992" t="s">
        <v>1986</v>
      </c>
      <c r="E5992" t="s">
        <v>1258</v>
      </c>
      <c r="F5992">
        <v>463</v>
      </c>
    </row>
    <row r="5993" spans="1:6">
      <c r="A5993" t="s">
        <v>13</v>
      </c>
      <c r="B5993" t="s">
        <v>106</v>
      </c>
      <c r="C5993" t="s">
        <v>1843</v>
      </c>
      <c r="D5993" t="s">
        <v>1986</v>
      </c>
      <c r="E5993" t="s">
        <v>1259</v>
      </c>
      <c r="F5993">
        <v>559</v>
      </c>
    </row>
    <row r="5994" spans="1:6">
      <c r="A5994" t="s">
        <v>13</v>
      </c>
      <c r="B5994" t="s">
        <v>106</v>
      </c>
      <c r="C5994" t="s">
        <v>1843</v>
      </c>
      <c r="D5994" t="s">
        <v>1986</v>
      </c>
      <c r="E5994" t="s">
        <v>1260</v>
      </c>
      <c r="F5994">
        <v>634</v>
      </c>
    </row>
    <row r="5995" spans="1:6">
      <c r="A5995" t="s">
        <v>13</v>
      </c>
      <c r="B5995" t="s">
        <v>106</v>
      </c>
      <c r="C5995" t="s">
        <v>1843</v>
      </c>
      <c r="D5995" t="s">
        <v>1986</v>
      </c>
      <c r="E5995" t="s">
        <v>1261</v>
      </c>
      <c r="F5995">
        <v>546</v>
      </c>
    </row>
    <row r="5996" spans="1:6">
      <c r="A5996" t="s">
        <v>13</v>
      </c>
      <c r="B5996" t="s">
        <v>106</v>
      </c>
      <c r="C5996" t="s">
        <v>1843</v>
      </c>
      <c r="D5996" t="s">
        <v>1986</v>
      </c>
      <c r="E5996" t="s">
        <v>1262</v>
      </c>
      <c r="F5996">
        <v>544</v>
      </c>
    </row>
    <row r="5997" spans="1:6">
      <c r="A5997" t="s">
        <v>13</v>
      </c>
      <c r="B5997" t="s">
        <v>106</v>
      </c>
      <c r="C5997" t="s">
        <v>1843</v>
      </c>
      <c r="D5997" t="s">
        <v>1986</v>
      </c>
      <c r="E5997" t="s">
        <v>1263</v>
      </c>
      <c r="F5997" t="s">
        <v>1869</v>
      </c>
    </row>
    <row r="5998" spans="1:6">
      <c r="A5998" t="s">
        <v>13</v>
      </c>
      <c r="B5998" t="s">
        <v>106</v>
      </c>
      <c r="C5998" t="s">
        <v>1843</v>
      </c>
      <c r="D5998" t="s">
        <v>1986</v>
      </c>
      <c r="E5998" t="s">
        <v>1561</v>
      </c>
      <c r="F5998" t="s">
        <v>1107</v>
      </c>
    </row>
    <row r="5999" spans="1:6">
      <c r="A5999" t="s">
        <v>13</v>
      </c>
      <c r="B5999" t="s">
        <v>106</v>
      </c>
      <c r="C5999" t="s">
        <v>1843</v>
      </c>
      <c r="D5999" t="s">
        <v>1986</v>
      </c>
      <c r="E5999" t="s">
        <v>1562</v>
      </c>
      <c r="F5999">
        <v>1239545.43</v>
      </c>
    </row>
    <row r="6000" spans="1:6">
      <c r="A6000" t="s">
        <v>13</v>
      </c>
      <c r="B6000" t="s">
        <v>106</v>
      </c>
      <c r="C6000" t="s">
        <v>1843</v>
      </c>
      <c r="D6000" t="s">
        <v>1986</v>
      </c>
      <c r="E6000" t="s">
        <v>1563</v>
      </c>
      <c r="F6000">
        <v>124033.42</v>
      </c>
    </row>
    <row r="6001" spans="1:6">
      <c r="A6001" t="s">
        <v>13</v>
      </c>
      <c r="B6001" t="s">
        <v>106</v>
      </c>
      <c r="C6001" t="s">
        <v>1843</v>
      </c>
      <c r="D6001" t="s">
        <v>1986</v>
      </c>
      <c r="E6001" t="s">
        <v>1564</v>
      </c>
      <c r="F6001">
        <v>125498.9999999999</v>
      </c>
    </row>
    <row r="6002" spans="1:6">
      <c r="A6002" t="s">
        <v>13</v>
      </c>
      <c r="B6002" t="s">
        <v>106</v>
      </c>
      <c r="C6002" t="s">
        <v>1843</v>
      </c>
      <c r="D6002" t="s">
        <v>1986</v>
      </c>
      <c r="E6002" t="s">
        <v>1565</v>
      </c>
      <c r="F6002">
        <v>367142.1100000003</v>
      </c>
    </row>
    <row r="6003" spans="1:6">
      <c r="A6003" t="s">
        <v>13</v>
      </c>
      <c r="B6003" t="s">
        <v>106</v>
      </c>
      <c r="C6003" t="s">
        <v>1843</v>
      </c>
      <c r="D6003" t="s">
        <v>1986</v>
      </c>
      <c r="E6003" t="s">
        <v>1566</v>
      </c>
      <c r="F6003">
        <v>294604.2400000002</v>
      </c>
    </row>
    <row r="6004" spans="1:6">
      <c r="A6004" t="s">
        <v>13</v>
      </c>
      <c r="B6004" t="s">
        <v>106</v>
      </c>
      <c r="C6004" t="s">
        <v>1843</v>
      </c>
      <c r="D6004" t="s">
        <v>1986</v>
      </c>
      <c r="E6004" t="s">
        <v>1488</v>
      </c>
      <c r="F6004">
        <v>97350.67999999998</v>
      </c>
    </row>
    <row r="6005" spans="1:6">
      <c r="A6005" t="s">
        <v>13</v>
      </c>
      <c r="B6005" t="s">
        <v>106</v>
      </c>
      <c r="C6005" t="s">
        <v>1843</v>
      </c>
      <c r="D6005" t="s">
        <v>1986</v>
      </c>
      <c r="E6005" t="s">
        <v>1567</v>
      </c>
      <c r="F6005">
        <v>230915.98</v>
      </c>
    </row>
    <row r="6006" spans="1:6">
      <c r="A6006" t="s">
        <v>13</v>
      </c>
      <c r="B6006" t="s">
        <v>106</v>
      </c>
      <c r="C6006" t="s">
        <v>1843</v>
      </c>
      <c r="D6006" t="s">
        <v>1986</v>
      </c>
      <c r="E6006" t="s">
        <v>1870</v>
      </c>
      <c r="F6006" t="s">
        <v>1112</v>
      </c>
    </row>
    <row r="6007" spans="1:6">
      <c r="A6007" t="s">
        <v>13</v>
      </c>
      <c r="B6007" t="s">
        <v>106</v>
      </c>
      <c r="C6007" t="s">
        <v>1843</v>
      </c>
      <c r="D6007" t="s">
        <v>1986</v>
      </c>
      <c r="E6007" t="s">
        <v>1737</v>
      </c>
      <c r="F6007">
        <v>0</v>
      </c>
    </row>
    <row r="6008" spans="1:6">
      <c r="A6008" t="s">
        <v>13</v>
      </c>
      <c r="B6008" t="s">
        <v>106</v>
      </c>
      <c r="C6008" t="s">
        <v>1843</v>
      </c>
      <c r="D6008" t="s">
        <v>1986</v>
      </c>
      <c r="E6008" t="s">
        <v>1738</v>
      </c>
      <c r="F6008">
        <v>0</v>
      </c>
    </row>
    <row r="6009" spans="1:6">
      <c r="A6009" t="s">
        <v>13</v>
      </c>
      <c r="B6009" t="s">
        <v>106</v>
      </c>
      <c r="C6009" t="s">
        <v>1843</v>
      </c>
      <c r="D6009" t="s">
        <v>1986</v>
      </c>
      <c r="E6009" t="s">
        <v>1739</v>
      </c>
      <c r="F6009">
        <v>0</v>
      </c>
    </row>
    <row r="6010" spans="1:6">
      <c r="A6010" t="s">
        <v>13</v>
      </c>
      <c r="B6010" t="s">
        <v>106</v>
      </c>
      <c r="C6010" t="s">
        <v>1843</v>
      </c>
      <c r="D6010" t="s">
        <v>1986</v>
      </c>
      <c r="E6010" t="s">
        <v>1740</v>
      </c>
      <c r="F6010">
        <v>0</v>
      </c>
    </row>
    <row r="6011" spans="1:6">
      <c r="A6011" t="s">
        <v>13</v>
      </c>
      <c r="B6011" t="s">
        <v>106</v>
      </c>
      <c r="C6011" t="s">
        <v>1843</v>
      </c>
      <c r="D6011" t="s">
        <v>1986</v>
      </c>
      <c r="E6011" t="s">
        <v>1741</v>
      </c>
      <c r="F6011">
        <v>0</v>
      </c>
    </row>
    <row r="6012" spans="1:6">
      <c r="A6012" t="s">
        <v>13</v>
      </c>
      <c r="B6012" t="s">
        <v>106</v>
      </c>
      <c r="C6012" t="s">
        <v>1843</v>
      </c>
      <c r="D6012" t="s">
        <v>1986</v>
      </c>
      <c r="E6012" t="s">
        <v>1490</v>
      </c>
      <c r="F6012">
        <v>0</v>
      </c>
    </row>
    <row r="6013" spans="1:6">
      <c r="A6013" t="s">
        <v>13</v>
      </c>
      <c r="B6013" t="s">
        <v>106</v>
      </c>
      <c r="C6013" t="s">
        <v>1843</v>
      </c>
      <c r="D6013" t="s">
        <v>1986</v>
      </c>
      <c r="E6013" t="s">
        <v>1871</v>
      </c>
      <c r="F6013">
        <v>0</v>
      </c>
    </row>
    <row r="6014" spans="1:6">
      <c r="A6014" t="s">
        <v>13</v>
      </c>
      <c r="B6014" t="s">
        <v>106</v>
      </c>
      <c r="C6014" t="s">
        <v>1843</v>
      </c>
      <c r="D6014" t="s">
        <v>1986</v>
      </c>
      <c r="E6014" t="s">
        <v>1872</v>
      </c>
      <c r="F6014" t="s">
        <v>1117</v>
      </c>
    </row>
    <row r="6015" spans="1:6">
      <c r="A6015" t="s">
        <v>13</v>
      </c>
      <c r="B6015" t="s">
        <v>106</v>
      </c>
      <c r="C6015" t="s">
        <v>1843</v>
      </c>
      <c r="D6015" t="s">
        <v>1986</v>
      </c>
      <c r="E6015" t="s">
        <v>1742</v>
      </c>
      <c r="F6015">
        <v>491727.46</v>
      </c>
    </row>
    <row r="6016" spans="1:6">
      <c r="A6016" t="s">
        <v>13</v>
      </c>
      <c r="B6016" t="s">
        <v>106</v>
      </c>
      <c r="C6016" t="s">
        <v>1843</v>
      </c>
      <c r="D6016" t="s">
        <v>1986</v>
      </c>
      <c r="E6016" t="s">
        <v>1743</v>
      </c>
      <c r="F6016">
        <v>9680.370000000001</v>
      </c>
    </row>
    <row r="6017" spans="1:6">
      <c r="A6017" t="s">
        <v>13</v>
      </c>
      <c r="B6017" t="s">
        <v>106</v>
      </c>
      <c r="C6017" t="s">
        <v>1843</v>
      </c>
      <c r="D6017" t="s">
        <v>1986</v>
      </c>
      <c r="E6017" t="s">
        <v>1744</v>
      </c>
      <c r="F6017">
        <v>5375.139999999999</v>
      </c>
    </row>
    <row r="6018" spans="1:6">
      <c r="A6018" t="s">
        <v>13</v>
      </c>
      <c r="B6018" t="s">
        <v>106</v>
      </c>
      <c r="C6018" t="s">
        <v>1843</v>
      </c>
      <c r="D6018" t="s">
        <v>1986</v>
      </c>
      <c r="E6018" t="s">
        <v>1873</v>
      </c>
      <c r="F6018">
        <v>12497.66</v>
      </c>
    </row>
    <row r="6019" spans="1:6">
      <c r="A6019" t="s">
        <v>13</v>
      </c>
      <c r="B6019" t="s">
        <v>106</v>
      </c>
      <c r="C6019" t="s">
        <v>1843</v>
      </c>
      <c r="D6019" t="s">
        <v>1986</v>
      </c>
      <c r="E6019" t="s">
        <v>1874</v>
      </c>
      <c r="F6019">
        <v>424288.25</v>
      </c>
    </row>
    <row r="6020" spans="1:6">
      <c r="A6020" t="s">
        <v>13</v>
      </c>
      <c r="B6020" t="s">
        <v>106</v>
      </c>
      <c r="C6020" t="s">
        <v>1843</v>
      </c>
      <c r="D6020" t="s">
        <v>1986</v>
      </c>
      <c r="E6020" t="s">
        <v>1492</v>
      </c>
      <c r="F6020">
        <v>22431.09</v>
      </c>
    </row>
    <row r="6021" spans="1:6">
      <c r="A6021" t="s">
        <v>13</v>
      </c>
      <c r="B6021" t="s">
        <v>106</v>
      </c>
      <c r="C6021" t="s">
        <v>1843</v>
      </c>
      <c r="D6021" t="s">
        <v>1986</v>
      </c>
      <c r="E6021" t="s">
        <v>1875</v>
      </c>
      <c r="F6021">
        <v>17454.95</v>
      </c>
    </row>
    <row r="6022" spans="1:6">
      <c r="A6022" t="s">
        <v>13</v>
      </c>
      <c r="B6022" t="s">
        <v>106</v>
      </c>
      <c r="C6022" t="s">
        <v>1843</v>
      </c>
      <c r="D6022" t="s">
        <v>1986</v>
      </c>
      <c r="E6022" t="s">
        <v>1876</v>
      </c>
      <c r="F6022" t="s">
        <v>1859</v>
      </c>
    </row>
    <row r="6023" spans="1:6">
      <c r="A6023" t="s">
        <v>13</v>
      </c>
      <c r="B6023" t="s">
        <v>106</v>
      </c>
      <c r="C6023" t="s">
        <v>1843</v>
      </c>
      <c r="D6023" t="s">
        <v>1986</v>
      </c>
      <c r="E6023" t="s">
        <v>1877</v>
      </c>
      <c r="F6023">
        <v>8336.460000000001</v>
      </c>
    </row>
    <row r="6024" spans="1:6">
      <c r="A6024" t="s">
        <v>13</v>
      </c>
      <c r="B6024" t="s">
        <v>106</v>
      </c>
      <c r="C6024" t="s">
        <v>1843</v>
      </c>
      <c r="D6024" t="s">
        <v>1986</v>
      </c>
      <c r="E6024" t="s">
        <v>1878</v>
      </c>
      <c r="F6024">
        <v>0</v>
      </c>
    </row>
    <row r="6025" spans="1:6">
      <c r="A6025" t="s">
        <v>13</v>
      </c>
      <c r="B6025" t="s">
        <v>106</v>
      </c>
      <c r="C6025" t="s">
        <v>1843</v>
      </c>
      <c r="D6025" t="s">
        <v>1986</v>
      </c>
      <c r="E6025" t="s">
        <v>1879</v>
      </c>
      <c r="F6025">
        <v>0</v>
      </c>
    </row>
    <row r="6026" spans="1:6">
      <c r="A6026" t="s">
        <v>13</v>
      </c>
      <c r="B6026" t="s">
        <v>106</v>
      </c>
      <c r="C6026" t="s">
        <v>1843</v>
      </c>
      <c r="D6026" t="s">
        <v>1986</v>
      </c>
      <c r="E6026" t="s">
        <v>1880</v>
      </c>
      <c r="F6026">
        <v>77.13000000000001</v>
      </c>
    </row>
    <row r="6027" spans="1:6">
      <c r="A6027" t="s">
        <v>13</v>
      </c>
      <c r="B6027" t="s">
        <v>106</v>
      </c>
      <c r="C6027" t="s">
        <v>1843</v>
      </c>
      <c r="D6027" t="s">
        <v>1986</v>
      </c>
      <c r="E6027" t="s">
        <v>1881</v>
      </c>
      <c r="F6027">
        <v>2044.05</v>
      </c>
    </row>
    <row r="6028" spans="1:6">
      <c r="A6028" t="s">
        <v>13</v>
      </c>
      <c r="B6028" t="s">
        <v>106</v>
      </c>
      <c r="C6028" t="s">
        <v>1843</v>
      </c>
      <c r="D6028" t="s">
        <v>1986</v>
      </c>
      <c r="E6028" t="s">
        <v>1882</v>
      </c>
      <c r="F6028">
        <v>2944.360000000001</v>
      </c>
    </row>
    <row r="6029" spans="1:6">
      <c r="A6029" t="s">
        <v>13</v>
      </c>
      <c r="B6029" t="s">
        <v>106</v>
      </c>
      <c r="C6029" t="s">
        <v>1843</v>
      </c>
      <c r="D6029" t="s">
        <v>1986</v>
      </c>
      <c r="E6029" t="s">
        <v>1883</v>
      </c>
      <c r="F6029">
        <v>3270.920000000001</v>
      </c>
    </row>
    <row r="6030" spans="1:6">
      <c r="A6030" t="s">
        <v>13</v>
      </c>
      <c r="B6030" t="s">
        <v>106</v>
      </c>
      <c r="C6030" t="s">
        <v>1843</v>
      </c>
      <c r="D6030" t="s">
        <v>1986</v>
      </c>
      <c r="E6030" t="s">
        <v>1884</v>
      </c>
      <c r="F6030" t="s">
        <v>1860</v>
      </c>
    </row>
    <row r="6031" spans="1:6">
      <c r="A6031" t="s">
        <v>13</v>
      </c>
      <c r="B6031" t="s">
        <v>106</v>
      </c>
      <c r="C6031" t="s">
        <v>1843</v>
      </c>
      <c r="D6031" t="s">
        <v>1986</v>
      </c>
      <c r="E6031" t="s">
        <v>1885</v>
      </c>
      <c r="F6031">
        <v>2594.69</v>
      </c>
    </row>
    <row r="6032" spans="1:6">
      <c r="A6032" t="s">
        <v>13</v>
      </c>
      <c r="B6032" t="s">
        <v>106</v>
      </c>
      <c r="C6032" t="s">
        <v>1843</v>
      </c>
      <c r="D6032" t="s">
        <v>1986</v>
      </c>
      <c r="E6032" t="s">
        <v>1886</v>
      </c>
      <c r="F6032">
        <v>0</v>
      </c>
    </row>
    <row r="6033" spans="1:6">
      <c r="A6033" t="s">
        <v>13</v>
      </c>
      <c r="B6033" t="s">
        <v>106</v>
      </c>
      <c r="C6033" t="s">
        <v>1843</v>
      </c>
      <c r="D6033" t="s">
        <v>1986</v>
      </c>
      <c r="E6033" t="s">
        <v>1887</v>
      </c>
      <c r="F6033">
        <v>0</v>
      </c>
    </row>
    <row r="6034" spans="1:6">
      <c r="A6034" t="s">
        <v>13</v>
      </c>
      <c r="B6034" t="s">
        <v>106</v>
      </c>
      <c r="C6034" t="s">
        <v>1843</v>
      </c>
      <c r="D6034" t="s">
        <v>1986</v>
      </c>
      <c r="E6034" t="s">
        <v>1888</v>
      </c>
      <c r="F6034">
        <v>0</v>
      </c>
    </row>
    <row r="6035" spans="1:6">
      <c r="A6035" t="s">
        <v>13</v>
      </c>
      <c r="B6035" t="s">
        <v>106</v>
      </c>
      <c r="C6035" t="s">
        <v>1843</v>
      </c>
      <c r="D6035" t="s">
        <v>1986</v>
      </c>
      <c r="E6035" t="s">
        <v>1889</v>
      </c>
      <c r="F6035">
        <v>0</v>
      </c>
    </row>
    <row r="6036" spans="1:6">
      <c r="A6036" t="s">
        <v>13</v>
      </c>
      <c r="B6036" t="s">
        <v>106</v>
      </c>
      <c r="C6036" t="s">
        <v>1843</v>
      </c>
      <c r="D6036" t="s">
        <v>1986</v>
      </c>
      <c r="E6036" t="s">
        <v>1745</v>
      </c>
      <c r="F6036">
        <v>0</v>
      </c>
    </row>
    <row r="6037" spans="1:6">
      <c r="A6037" t="s">
        <v>13</v>
      </c>
      <c r="B6037" t="s">
        <v>106</v>
      </c>
      <c r="C6037" t="s">
        <v>1843</v>
      </c>
      <c r="D6037" t="s">
        <v>1986</v>
      </c>
      <c r="E6037" t="s">
        <v>1890</v>
      </c>
      <c r="F6037">
        <v>2594.69</v>
      </c>
    </row>
    <row r="6038" spans="1:6">
      <c r="A6038" t="s">
        <v>13</v>
      </c>
      <c r="B6038" t="s">
        <v>106</v>
      </c>
      <c r="C6038" t="s">
        <v>1843</v>
      </c>
      <c r="D6038" t="s">
        <v>1986</v>
      </c>
      <c r="E6038" t="s">
        <v>1891</v>
      </c>
      <c r="F6038" t="s">
        <v>1861</v>
      </c>
    </row>
    <row r="6039" spans="1:6">
      <c r="A6039" t="s">
        <v>13</v>
      </c>
      <c r="B6039" t="s">
        <v>106</v>
      </c>
      <c r="C6039" t="s">
        <v>1843</v>
      </c>
      <c r="D6039" t="s">
        <v>1986</v>
      </c>
      <c r="E6039" t="s">
        <v>1892</v>
      </c>
      <c r="F6039">
        <v>53540.07999999999</v>
      </c>
    </row>
    <row r="6040" spans="1:6">
      <c r="A6040" t="s">
        <v>13</v>
      </c>
      <c r="B6040" t="s">
        <v>106</v>
      </c>
      <c r="C6040" t="s">
        <v>1843</v>
      </c>
      <c r="D6040" t="s">
        <v>1986</v>
      </c>
      <c r="E6040" t="s">
        <v>1893</v>
      </c>
      <c r="F6040">
        <v>5559.100000000001</v>
      </c>
    </row>
    <row r="6041" spans="1:6">
      <c r="A6041" t="s">
        <v>13</v>
      </c>
      <c r="B6041" t="s">
        <v>106</v>
      </c>
      <c r="C6041" t="s">
        <v>1843</v>
      </c>
      <c r="D6041" t="s">
        <v>1986</v>
      </c>
      <c r="E6041" t="s">
        <v>1894</v>
      </c>
      <c r="F6041">
        <v>5368.889999999999</v>
      </c>
    </row>
    <row r="6042" spans="1:6">
      <c r="A6042" t="s">
        <v>13</v>
      </c>
      <c r="B6042" t="s">
        <v>106</v>
      </c>
      <c r="C6042" t="s">
        <v>1843</v>
      </c>
      <c r="D6042" t="s">
        <v>1986</v>
      </c>
      <c r="E6042" t="s">
        <v>1895</v>
      </c>
      <c r="F6042">
        <v>12177.93</v>
      </c>
    </row>
    <row r="6043" spans="1:6">
      <c r="A6043" t="s">
        <v>13</v>
      </c>
      <c r="B6043" t="s">
        <v>106</v>
      </c>
      <c r="C6043" t="s">
        <v>1843</v>
      </c>
      <c r="D6043" t="s">
        <v>1986</v>
      </c>
      <c r="E6043" t="s">
        <v>1896</v>
      </c>
      <c r="F6043">
        <v>14408.59999999999</v>
      </c>
    </row>
    <row r="6044" spans="1:6">
      <c r="A6044" t="s">
        <v>13</v>
      </c>
      <c r="B6044" t="s">
        <v>106</v>
      </c>
      <c r="C6044" t="s">
        <v>1843</v>
      </c>
      <c r="D6044" t="s">
        <v>1986</v>
      </c>
      <c r="E6044" t="s">
        <v>1746</v>
      </c>
      <c r="F6044">
        <v>9204.959999999995</v>
      </c>
    </row>
    <row r="6045" spans="1:6">
      <c r="A6045" t="s">
        <v>13</v>
      </c>
      <c r="B6045" t="s">
        <v>106</v>
      </c>
      <c r="C6045" t="s">
        <v>1843</v>
      </c>
      <c r="D6045" t="s">
        <v>1986</v>
      </c>
      <c r="E6045" t="s">
        <v>1897</v>
      </c>
      <c r="F6045">
        <v>6820.599999999998</v>
      </c>
    </row>
    <row r="6046" spans="1:6">
      <c r="A6046" t="s">
        <v>13</v>
      </c>
      <c r="B6046" t="s">
        <v>106</v>
      </c>
      <c r="C6046" t="s">
        <v>1843</v>
      </c>
      <c r="D6046" t="s">
        <v>1986</v>
      </c>
      <c r="E6046" t="s">
        <v>1898</v>
      </c>
      <c r="F6046" t="s">
        <v>1862</v>
      </c>
    </row>
    <row r="6047" spans="1:6">
      <c r="A6047" t="s">
        <v>13</v>
      </c>
      <c r="B6047" t="s">
        <v>106</v>
      </c>
      <c r="C6047" t="s">
        <v>1843</v>
      </c>
      <c r="D6047" t="s">
        <v>1986</v>
      </c>
      <c r="E6047" t="s">
        <v>1899</v>
      </c>
      <c r="F6047">
        <v>0</v>
      </c>
    </row>
    <row r="6048" spans="1:6">
      <c r="A6048" t="s">
        <v>13</v>
      </c>
      <c r="B6048" t="s">
        <v>106</v>
      </c>
      <c r="C6048" t="s">
        <v>1843</v>
      </c>
      <c r="D6048" t="s">
        <v>1986</v>
      </c>
      <c r="E6048" t="s">
        <v>1900</v>
      </c>
      <c r="F6048">
        <v>0</v>
      </c>
    </row>
    <row r="6049" spans="1:6">
      <c r="A6049" t="s">
        <v>13</v>
      </c>
      <c r="B6049" t="s">
        <v>106</v>
      </c>
      <c r="C6049" t="s">
        <v>1843</v>
      </c>
      <c r="D6049" t="s">
        <v>1986</v>
      </c>
      <c r="E6049" t="s">
        <v>1901</v>
      </c>
      <c r="F6049">
        <v>0</v>
      </c>
    </row>
    <row r="6050" spans="1:6">
      <c r="A6050" t="s">
        <v>13</v>
      </c>
      <c r="B6050" t="s">
        <v>106</v>
      </c>
      <c r="C6050" t="s">
        <v>1843</v>
      </c>
      <c r="D6050" t="s">
        <v>1986</v>
      </c>
      <c r="E6050" t="s">
        <v>1902</v>
      </c>
      <c r="F6050">
        <v>0</v>
      </c>
    </row>
    <row r="6051" spans="1:6">
      <c r="A6051" t="s">
        <v>13</v>
      </c>
      <c r="B6051" t="s">
        <v>106</v>
      </c>
      <c r="C6051" t="s">
        <v>1843</v>
      </c>
      <c r="D6051" t="s">
        <v>1986</v>
      </c>
      <c r="E6051" t="s">
        <v>1903</v>
      </c>
      <c r="F6051">
        <v>0</v>
      </c>
    </row>
    <row r="6052" spans="1:6">
      <c r="A6052" t="s">
        <v>13</v>
      </c>
      <c r="B6052" t="s">
        <v>106</v>
      </c>
      <c r="C6052" t="s">
        <v>1843</v>
      </c>
      <c r="D6052" t="s">
        <v>1986</v>
      </c>
      <c r="E6052" t="s">
        <v>1747</v>
      </c>
      <c r="F6052">
        <v>0</v>
      </c>
    </row>
    <row r="6053" spans="1:6">
      <c r="A6053" t="s">
        <v>13</v>
      </c>
      <c r="B6053" t="s">
        <v>106</v>
      </c>
      <c r="C6053" t="s">
        <v>1843</v>
      </c>
      <c r="D6053" t="s">
        <v>1986</v>
      </c>
      <c r="E6053" t="s">
        <v>1904</v>
      </c>
      <c r="F6053">
        <v>0</v>
      </c>
    </row>
    <row r="6054" spans="1:6">
      <c r="A6054" t="s">
        <v>13</v>
      </c>
      <c r="B6054" t="s">
        <v>106</v>
      </c>
      <c r="C6054" t="s">
        <v>1843</v>
      </c>
      <c r="D6054" t="s">
        <v>1986</v>
      </c>
      <c r="E6054" t="s">
        <v>1905</v>
      </c>
      <c r="F6054" t="s">
        <v>1863</v>
      </c>
    </row>
    <row r="6055" spans="1:6">
      <c r="A6055" t="s">
        <v>13</v>
      </c>
      <c r="B6055" t="s">
        <v>106</v>
      </c>
      <c r="C6055" t="s">
        <v>1843</v>
      </c>
      <c r="D6055" t="s">
        <v>1986</v>
      </c>
      <c r="E6055" t="s">
        <v>1906</v>
      </c>
      <c r="F6055">
        <v>1.58</v>
      </c>
    </row>
    <row r="6056" spans="1:6">
      <c r="A6056" t="s">
        <v>13</v>
      </c>
      <c r="B6056" t="s">
        <v>106</v>
      </c>
      <c r="C6056" t="s">
        <v>1843</v>
      </c>
      <c r="D6056" t="s">
        <v>1986</v>
      </c>
      <c r="E6056" t="s">
        <v>1907</v>
      </c>
      <c r="F6056">
        <v>0</v>
      </c>
    </row>
    <row r="6057" spans="1:6">
      <c r="A6057" t="s">
        <v>13</v>
      </c>
      <c r="B6057" t="s">
        <v>106</v>
      </c>
      <c r="C6057" t="s">
        <v>1843</v>
      </c>
      <c r="D6057" t="s">
        <v>1986</v>
      </c>
      <c r="E6057" t="s">
        <v>1908</v>
      </c>
      <c r="F6057">
        <v>1.58</v>
      </c>
    </row>
    <row r="6058" spans="1:6">
      <c r="A6058" t="s">
        <v>13</v>
      </c>
      <c r="B6058" t="s">
        <v>106</v>
      </c>
      <c r="C6058" t="s">
        <v>1843</v>
      </c>
      <c r="D6058" t="s">
        <v>1986</v>
      </c>
      <c r="E6058" t="s">
        <v>1909</v>
      </c>
      <c r="F6058">
        <v>0</v>
      </c>
    </row>
    <row r="6059" spans="1:6">
      <c r="A6059" t="s">
        <v>13</v>
      </c>
      <c r="B6059" t="s">
        <v>106</v>
      </c>
      <c r="C6059" t="s">
        <v>1843</v>
      </c>
      <c r="D6059" t="s">
        <v>1986</v>
      </c>
      <c r="E6059" t="s">
        <v>1910</v>
      </c>
      <c r="F6059">
        <v>0</v>
      </c>
    </row>
    <row r="6060" spans="1:6">
      <c r="A6060" t="s">
        <v>13</v>
      </c>
      <c r="B6060" t="s">
        <v>106</v>
      </c>
      <c r="C6060" t="s">
        <v>1843</v>
      </c>
      <c r="D6060" t="s">
        <v>1986</v>
      </c>
      <c r="E6060" t="s">
        <v>1911</v>
      </c>
      <c r="F6060">
        <v>0</v>
      </c>
    </row>
    <row r="6061" spans="1:6">
      <c r="A6061" t="s">
        <v>13</v>
      </c>
      <c r="B6061" t="s">
        <v>106</v>
      </c>
      <c r="C6061" t="s">
        <v>1843</v>
      </c>
      <c r="D6061" t="s">
        <v>1986</v>
      </c>
      <c r="E6061" t="s">
        <v>1912</v>
      </c>
      <c r="F6061">
        <v>0</v>
      </c>
    </row>
    <row r="6062" spans="1:6">
      <c r="A6062" t="s">
        <v>13</v>
      </c>
      <c r="B6062" t="s">
        <v>106</v>
      </c>
      <c r="C6062" t="s">
        <v>1843</v>
      </c>
      <c r="D6062" t="s">
        <v>1986</v>
      </c>
      <c r="E6062" t="s">
        <v>1913</v>
      </c>
      <c r="F6062" t="s">
        <v>1864</v>
      </c>
    </row>
    <row r="6063" spans="1:6">
      <c r="A6063" t="s">
        <v>13</v>
      </c>
      <c r="B6063" t="s">
        <v>106</v>
      </c>
      <c r="C6063" t="s">
        <v>1843</v>
      </c>
      <c r="D6063" t="s">
        <v>1986</v>
      </c>
      <c r="E6063" t="s">
        <v>1914</v>
      </c>
      <c r="F6063">
        <v>422394.26</v>
      </c>
    </row>
    <row r="6064" spans="1:6">
      <c r="A6064" t="s">
        <v>13</v>
      </c>
      <c r="B6064" t="s">
        <v>106</v>
      </c>
      <c r="C6064" t="s">
        <v>1843</v>
      </c>
      <c r="D6064" t="s">
        <v>1986</v>
      </c>
      <c r="E6064" t="s">
        <v>1915</v>
      </c>
      <c r="F6064">
        <v>0</v>
      </c>
    </row>
    <row r="6065" spans="1:6">
      <c r="A6065" t="s">
        <v>13</v>
      </c>
      <c r="B6065" t="s">
        <v>106</v>
      </c>
      <c r="C6065" t="s">
        <v>1843</v>
      </c>
      <c r="D6065" t="s">
        <v>1986</v>
      </c>
      <c r="E6065" t="s">
        <v>1916</v>
      </c>
      <c r="F6065">
        <v>0</v>
      </c>
    </row>
    <row r="6066" spans="1:6">
      <c r="A6066" t="s">
        <v>13</v>
      </c>
      <c r="B6066" t="s">
        <v>106</v>
      </c>
      <c r="C6066" t="s">
        <v>1843</v>
      </c>
      <c r="D6066" t="s">
        <v>1986</v>
      </c>
      <c r="E6066" t="s">
        <v>1917</v>
      </c>
      <c r="F6066">
        <v>109.36</v>
      </c>
    </row>
    <row r="6067" spans="1:6">
      <c r="A6067" t="s">
        <v>13</v>
      </c>
      <c r="B6067" t="s">
        <v>106</v>
      </c>
      <c r="C6067" t="s">
        <v>1843</v>
      </c>
      <c r="D6067" t="s">
        <v>1986</v>
      </c>
      <c r="E6067" t="s">
        <v>1918</v>
      </c>
      <c r="F6067">
        <v>407645.85</v>
      </c>
    </row>
    <row r="6068" spans="1:6">
      <c r="A6068" t="s">
        <v>13</v>
      </c>
      <c r="B6068" t="s">
        <v>106</v>
      </c>
      <c r="C6068" t="s">
        <v>1843</v>
      </c>
      <c r="D6068" t="s">
        <v>1986</v>
      </c>
      <c r="E6068" t="s">
        <v>1919</v>
      </c>
      <c r="F6068">
        <v>10000</v>
      </c>
    </row>
    <row r="6069" spans="1:6">
      <c r="A6069" t="s">
        <v>13</v>
      </c>
      <c r="B6069" t="s">
        <v>106</v>
      </c>
      <c r="C6069" t="s">
        <v>1843</v>
      </c>
      <c r="D6069" t="s">
        <v>1986</v>
      </c>
      <c r="E6069" t="s">
        <v>1920</v>
      </c>
      <c r="F6069">
        <v>4639.05</v>
      </c>
    </row>
    <row r="6070" spans="1:6">
      <c r="A6070" t="s">
        <v>13</v>
      </c>
      <c r="B6070" t="s">
        <v>106</v>
      </c>
      <c r="C6070" t="s">
        <v>1843</v>
      </c>
      <c r="D6070" t="s">
        <v>1986</v>
      </c>
      <c r="E6070" t="s">
        <v>1921</v>
      </c>
      <c r="F6070" t="s">
        <v>1865</v>
      </c>
    </row>
    <row r="6071" spans="1:6">
      <c r="A6071" t="s">
        <v>13</v>
      </c>
      <c r="B6071" t="s">
        <v>106</v>
      </c>
      <c r="C6071" t="s">
        <v>1843</v>
      </c>
      <c r="D6071" t="s">
        <v>1986</v>
      </c>
      <c r="E6071" t="s">
        <v>1922</v>
      </c>
      <c r="F6071">
        <v>740.61</v>
      </c>
    </row>
    <row r="6072" spans="1:6">
      <c r="A6072" t="s">
        <v>13</v>
      </c>
      <c r="B6072" t="s">
        <v>106</v>
      </c>
      <c r="C6072" t="s">
        <v>1843</v>
      </c>
      <c r="D6072" t="s">
        <v>1986</v>
      </c>
      <c r="E6072" t="s">
        <v>1923</v>
      </c>
      <c r="F6072">
        <v>1.49</v>
      </c>
    </row>
    <row r="6073" spans="1:6">
      <c r="A6073" t="s">
        <v>13</v>
      </c>
      <c r="B6073" t="s">
        <v>106</v>
      </c>
      <c r="C6073" t="s">
        <v>1843</v>
      </c>
      <c r="D6073" t="s">
        <v>1986</v>
      </c>
      <c r="E6073" t="s">
        <v>1924</v>
      </c>
      <c r="F6073">
        <v>4.67</v>
      </c>
    </row>
    <row r="6074" spans="1:6">
      <c r="A6074" t="s">
        <v>13</v>
      </c>
      <c r="B6074" t="s">
        <v>106</v>
      </c>
      <c r="C6074" t="s">
        <v>1843</v>
      </c>
      <c r="D6074" t="s">
        <v>1986</v>
      </c>
      <c r="E6074" t="s">
        <v>1925</v>
      </c>
      <c r="F6074">
        <v>133.24</v>
      </c>
    </row>
    <row r="6075" spans="1:6">
      <c r="A6075" t="s">
        <v>13</v>
      </c>
      <c r="B6075" t="s">
        <v>106</v>
      </c>
      <c r="C6075" t="s">
        <v>1843</v>
      </c>
      <c r="D6075" t="s">
        <v>1986</v>
      </c>
      <c r="E6075" t="s">
        <v>1926</v>
      </c>
      <c r="F6075">
        <v>189.75</v>
      </c>
    </row>
    <row r="6076" spans="1:6">
      <c r="A6076" t="s">
        <v>13</v>
      </c>
      <c r="B6076" t="s">
        <v>106</v>
      </c>
      <c r="C6076" t="s">
        <v>1843</v>
      </c>
      <c r="D6076" t="s">
        <v>1986</v>
      </c>
      <c r="E6076" t="s">
        <v>1927</v>
      </c>
      <c r="F6076">
        <v>281.77</v>
      </c>
    </row>
    <row r="6077" spans="1:6">
      <c r="A6077" t="s">
        <v>13</v>
      </c>
      <c r="B6077" t="s">
        <v>106</v>
      </c>
      <c r="C6077" t="s">
        <v>1843</v>
      </c>
      <c r="D6077" t="s">
        <v>1986</v>
      </c>
      <c r="E6077" t="s">
        <v>1928</v>
      </c>
      <c r="F6077">
        <v>129.69</v>
      </c>
    </row>
    <row r="6078" spans="1:6">
      <c r="A6078" t="s">
        <v>13</v>
      </c>
      <c r="B6078" t="s">
        <v>106</v>
      </c>
      <c r="C6078" t="s">
        <v>1843</v>
      </c>
      <c r="D6078" t="s">
        <v>1986</v>
      </c>
      <c r="E6078" t="s">
        <v>1929</v>
      </c>
      <c r="F6078" t="s">
        <v>1866</v>
      </c>
    </row>
    <row r="6079" spans="1:6">
      <c r="A6079" t="s">
        <v>13</v>
      </c>
      <c r="B6079" t="s">
        <v>106</v>
      </c>
      <c r="C6079" t="s">
        <v>1843</v>
      </c>
      <c r="D6079" t="s">
        <v>1986</v>
      </c>
      <c r="E6079" t="s">
        <v>1930</v>
      </c>
      <c r="F6079">
        <v>4119.78</v>
      </c>
    </row>
    <row r="6080" spans="1:6">
      <c r="A6080" t="s">
        <v>13</v>
      </c>
      <c r="B6080" t="s">
        <v>106</v>
      </c>
      <c r="C6080" t="s">
        <v>1843</v>
      </c>
      <c r="D6080" t="s">
        <v>1986</v>
      </c>
      <c r="E6080" t="s">
        <v>1931</v>
      </c>
      <c r="F6080">
        <v>4119.78</v>
      </c>
    </row>
    <row r="6081" spans="1:6">
      <c r="A6081" t="s">
        <v>13</v>
      </c>
      <c r="B6081" t="s">
        <v>106</v>
      </c>
      <c r="C6081" t="s">
        <v>1843</v>
      </c>
      <c r="D6081" t="s">
        <v>1986</v>
      </c>
      <c r="E6081" t="s">
        <v>1932</v>
      </c>
      <c r="F6081">
        <v>0</v>
      </c>
    </row>
    <row r="6082" spans="1:6">
      <c r="A6082" t="s">
        <v>13</v>
      </c>
      <c r="B6082" t="s">
        <v>106</v>
      </c>
      <c r="C6082" t="s">
        <v>1843</v>
      </c>
      <c r="D6082" t="s">
        <v>1986</v>
      </c>
      <c r="E6082" t="s">
        <v>1933</v>
      </c>
      <c r="F6082">
        <v>0</v>
      </c>
    </row>
    <row r="6083" spans="1:6">
      <c r="A6083" t="s">
        <v>13</v>
      </c>
      <c r="B6083" t="s">
        <v>106</v>
      </c>
      <c r="C6083" t="s">
        <v>1843</v>
      </c>
      <c r="D6083" t="s">
        <v>1986</v>
      </c>
      <c r="E6083" t="s">
        <v>1934</v>
      </c>
      <c r="F6083">
        <v>0</v>
      </c>
    </row>
    <row r="6084" spans="1:6">
      <c r="A6084" t="s">
        <v>13</v>
      </c>
      <c r="B6084" t="s">
        <v>106</v>
      </c>
      <c r="C6084" t="s">
        <v>1843</v>
      </c>
      <c r="D6084" t="s">
        <v>1986</v>
      </c>
      <c r="E6084" t="s">
        <v>1935</v>
      </c>
      <c r="F6084">
        <v>0</v>
      </c>
    </row>
    <row r="6085" spans="1:6">
      <c r="A6085" t="s">
        <v>13</v>
      </c>
      <c r="B6085" t="s">
        <v>106</v>
      </c>
      <c r="C6085" t="s">
        <v>1843</v>
      </c>
      <c r="D6085" t="s">
        <v>1986</v>
      </c>
      <c r="E6085" t="s">
        <v>1936</v>
      </c>
      <c r="F6085">
        <v>0</v>
      </c>
    </row>
    <row r="6086" spans="1:6">
      <c r="A6086" t="s">
        <v>13</v>
      </c>
      <c r="B6086" t="s">
        <v>106</v>
      </c>
      <c r="C6086" t="s">
        <v>1843</v>
      </c>
      <c r="D6086" t="s">
        <v>1986</v>
      </c>
      <c r="E6086" t="s">
        <v>1937</v>
      </c>
      <c r="F6086" t="s">
        <v>1226</v>
      </c>
    </row>
    <row r="6087" spans="1:6">
      <c r="A6087" t="s">
        <v>13</v>
      </c>
      <c r="B6087" t="s">
        <v>106</v>
      </c>
      <c r="C6087" t="s">
        <v>1843</v>
      </c>
      <c r="D6087" t="s">
        <v>1986</v>
      </c>
      <c r="E6087" t="s">
        <v>1938</v>
      </c>
      <c r="F6087">
        <v>0.4816855700049131</v>
      </c>
    </row>
    <row r="6088" spans="1:6">
      <c r="A6088" t="s">
        <v>13</v>
      </c>
      <c r="B6088" t="s">
        <v>106</v>
      </c>
      <c r="C6088" t="s">
        <v>1843</v>
      </c>
      <c r="D6088" t="s">
        <v>1986</v>
      </c>
      <c r="E6088" t="s">
        <v>1939</v>
      </c>
      <c r="F6088">
        <v>0.9544129976918185</v>
      </c>
    </row>
    <row r="6089" spans="1:6">
      <c r="A6089" t="s">
        <v>13</v>
      </c>
      <c r="B6089" t="s">
        <v>106</v>
      </c>
      <c r="C6089" t="s">
        <v>1843</v>
      </c>
      <c r="D6089" t="s">
        <v>1986</v>
      </c>
      <c r="E6089" t="s">
        <v>1940</v>
      </c>
      <c r="F6089">
        <v>0.9880427084348073</v>
      </c>
    </row>
    <row r="6090" spans="1:6">
      <c r="A6090" t="s">
        <v>13</v>
      </c>
      <c r="B6090" t="s">
        <v>106</v>
      </c>
      <c r="C6090" t="s">
        <v>1843</v>
      </c>
      <c r="D6090" t="s">
        <v>1986</v>
      </c>
      <c r="E6090" t="s">
        <v>1941</v>
      </c>
      <c r="F6090">
        <v>0.9973408636476654</v>
      </c>
    </row>
    <row r="6091" spans="1:6">
      <c r="A6091" t="s">
        <v>13</v>
      </c>
      <c r="B6091" t="s">
        <v>106</v>
      </c>
      <c r="C6091" t="s">
        <v>1843</v>
      </c>
      <c r="D6091" t="s">
        <v>1986</v>
      </c>
      <c r="E6091" t="s">
        <v>1942</v>
      </c>
      <c r="F6091">
        <v>0.9999999999999999</v>
      </c>
    </row>
    <row r="6092" spans="1:6">
      <c r="A6092" t="s">
        <v>13</v>
      </c>
      <c r="B6092" t="s">
        <v>106</v>
      </c>
      <c r="C6092" t="s">
        <v>1843</v>
      </c>
      <c r="D6092" t="s">
        <v>1986</v>
      </c>
      <c r="E6092" t="s">
        <v>1943</v>
      </c>
      <c r="F6092">
        <v>0.9999999999999999</v>
      </c>
    </row>
    <row r="6093" spans="1:6">
      <c r="A6093" t="s">
        <v>13</v>
      </c>
      <c r="B6093" t="s">
        <v>106</v>
      </c>
      <c r="C6093" t="s">
        <v>1843</v>
      </c>
      <c r="D6093" t="s">
        <v>1986</v>
      </c>
      <c r="E6093" t="s">
        <v>1944</v>
      </c>
      <c r="F6093" t="s">
        <v>1236</v>
      </c>
    </row>
    <row r="6094" spans="1:6">
      <c r="A6094" t="s">
        <v>13</v>
      </c>
      <c r="B6094" t="s">
        <v>106</v>
      </c>
      <c r="C6094" t="s">
        <v>1843</v>
      </c>
      <c r="D6094" t="s">
        <v>1986</v>
      </c>
      <c r="E6094" t="s">
        <v>1945</v>
      </c>
      <c r="F6094">
        <v>0.4220472440944882</v>
      </c>
    </row>
    <row r="6095" spans="1:6">
      <c r="A6095" t="s">
        <v>13</v>
      </c>
      <c r="B6095" t="s">
        <v>106</v>
      </c>
      <c r="C6095" t="s">
        <v>1843</v>
      </c>
      <c r="D6095" t="s">
        <v>1986</v>
      </c>
      <c r="E6095" t="s">
        <v>1946</v>
      </c>
      <c r="F6095">
        <v>0.8938223938223938</v>
      </c>
    </row>
    <row r="6096" spans="1:6">
      <c r="A6096" t="s">
        <v>13</v>
      </c>
      <c r="B6096" t="s">
        <v>106</v>
      </c>
      <c r="C6096" t="s">
        <v>1843</v>
      </c>
      <c r="D6096" t="s">
        <v>1986</v>
      </c>
      <c r="E6096" t="s">
        <v>1947</v>
      </c>
      <c r="F6096">
        <v>0.930116472545757</v>
      </c>
    </row>
    <row r="6097" spans="1:6">
      <c r="A6097" t="s">
        <v>13</v>
      </c>
      <c r="B6097" t="s">
        <v>106</v>
      </c>
      <c r="C6097" t="s">
        <v>1843</v>
      </c>
      <c r="D6097" t="s">
        <v>1986</v>
      </c>
      <c r="E6097" t="s">
        <v>1948</v>
      </c>
      <c r="F6097">
        <v>0.9649923896499238</v>
      </c>
    </row>
    <row r="6098" spans="1:6">
      <c r="A6098" t="s">
        <v>13</v>
      </c>
      <c r="B6098" t="s">
        <v>106</v>
      </c>
      <c r="C6098" t="s">
        <v>1843</v>
      </c>
      <c r="D6098" t="s">
        <v>1986</v>
      </c>
      <c r="E6098" t="s">
        <v>1949</v>
      </c>
      <c r="F6098">
        <v>1</v>
      </c>
    </row>
    <row r="6099" spans="1:6">
      <c r="A6099" t="s">
        <v>13</v>
      </c>
      <c r="B6099" t="s">
        <v>106</v>
      </c>
      <c r="C6099" t="s">
        <v>1843</v>
      </c>
      <c r="D6099" t="s">
        <v>1986</v>
      </c>
      <c r="E6099" t="s">
        <v>1950</v>
      </c>
      <c r="F6099">
        <v>1</v>
      </c>
    </row>
    <row r="6100" spans="1:6">
      <c r="A6100" t="s">
        <v>13</v>
      </c>
      <c r="B6100" t="s">
        <v>106</v>
      </c>
      <c r="C6100" t="s">
        <v>1843</v>
      </c>
      <c r="D6100" t="s">
        <v>1986</v>
      </c>
      <c r="E6100" t="s">
        <v>1951</v>
      </c>
      <c r="F6100" t="s">
        <v>1952</v>
      </c>
    </row>
    <row r="6101" spans="1:6">
      <c r="A6101" t="s">
        <v>13</v>
      </c>
      <c r="B6101" t="s">
        <v>106</v>
      </c>
      <c r="C6101" t="s">
        <v>1843</v>
      </c>
      <c r="D6101" t="s">
        <v>1986</v>
      </c>
      <c r="E6101" t="s">
        <v>1953</v>
      </c>
      <c r="F6101">
        <v>156644.0599999996</v>
      </c>
    </row>
    <row r="6102" spans="1:6">
      <c r="A6102" t="s">
        <v>13</v>
      </c>
      <c r="B6102" t="s">
        <v>106</v>
      </c>
      <c r="C6102" t="s">
        <v>1843</v>
      </c>
      <c r="D6102" t="s">
        <v>1986</v>
      </c>
      <c r="E6102" t="s">
        <v>1954</v>
      </c>
      <c r="F6102">
        <v>143881.7999999997</v>
      </c>
    </row>
    <row r="6103" spans="1:6">
      <c r="A6103" t="s">
        <v>13</v>
      </c>
      <c r="B6103" t="s">
        <v>106</v>
      </c>
      <c r="C6103" t="s">
        <v>1843</v>
      </c>
      <c r="D6103" t="s">
        <v>1986</v>
      </c>
      <c r="E6103" t="s">
        <v>1955</v>
      </c>
      <c r="F6103">
        <v>6251.130000000005</v>
      </c>
    </row>
    <row r="6104" spans="1:6">
      <c r="A6104" t="s">
        <v>13</v>
      </c>
      <c r="B6104" t="s">
        <v>106</v>
      </c>
      <c r="C6104" t="s">
        <v>1843</v>
      </c>
      <c r="D6104" t="s">
        <v>1986</v>
      </c>
      <c r="E6104" t="s">
        <v>1956</v>
      </c>
      <c r="F6104">
        <v>4594.39999999979</v>
      </c>
    </row>
    <row r="6105" spans="1:6">
      <c r="A6105" t="s">
        <v>13</v>
      </c>
      <c r="B6105" t="s">
        <v>106</v>
      </c>
      <c r="C6105" t="s">
        <v>1843</v>
      </c>
      <c r="D6105" t="s">
        <v>1986</v>
      </c>
      <c r="E6105" t="s">
        <v>1957</v>
      </c>
      <c r="F6105">
        <v>1916.729999999981</v>
      </c>
    </row>
    <row r="6106" spans="1:6">
      <c r="A6106" t="s">
        <v>13</v>
      </c>
      <c r="B6106" t="s">
        <v>106</v>
      </c>
      <c r="C6106" t="s">
        <v>1843</v>
      </c>
      <c r="D6106" t="s">
        <v>1986</v>
      </c>
      <c r="E6106" t="s">
        <v>1958</v>
      </c>
      <c r="F6106">
        <v>0</v>
      </c>
    </row>
    <row r="6107" spans="1:6">
      <c r="A6107" t="s">
        <v>13</v>
      </c>
      <c r="B6107" t="s">
        <v>106</v>
      </c>
      <c r="C6107" t="s">
        <v>1843</v>
      </c>
      <c r="D6107" t="s">
        <v>1986</v>
      </c>
      <c r="E6107" t="s">
        <v>1959</v>
      </c>
      <c r="F6107">
        <v>0</v>
      </c>
    </row>
    <row r="6108" spans="1:6">
      <c r="A6108" t="s">
        <v>13</v>
      </c>
      <c r="B6108" t="s">
        <v>106</v>
      </c>
      <c r="C6108" t="s">
        <v>1843</v>
      </c>
      <c r="D6108" t="s">
        <v>1986</v>
      </c>
      <c r="E6108" t="s">
        <v>1960</v>
      </c>
      <c r="F6108" t="s">
        <v>1255</v>
      </c>
    </row>
    <row r="6109" spans="1:6">
      <c r="A6109" t="s">
        <v>13</v>
      </c>
      <c r="B6109" t="s">
        <v>106</v>
      </c>
      <c r="C6109" t="s">
        <v>1843</v>
      </c>
      <c r="D6109" t="s">
        <v>1986</v>
      </c>
      <c r="E6109" t="s">
        <v>1961</v>
      </c>
      <c r="F6109">
        <v>487</v>
      </c>
    </row>
    <row r="6110" spans="1:6">
      <c r="A6110" t="s">
        <v>13</v>
      </c>
      <c r="B6110" t="s">
        <v>106</v>
      </c>
      <c r="C6110" t="s">
        <v>1843</v>
      </c>
      <c r="D6110" t="s">
        <v>1986</v>
      </c>
      <c r="E6110" t="s">
        <v>1962</v>
      </c>
      <c r="F6110">
        <v>367</v>
      </c>
    </row>
    <row r="6111" spans="1:6">
      <c r="A6111" t="s">
        <v>13</v>
      </c>
      <c r="B6111" t="s">
        <v>106</v>
      </c>
      <c r="C6111" t="s">
        <v>1843</v>
      </c>
      <c r="D6111" t="s">
        <v>1986</v>
      </c>
      <c r="E6111" t="s">
        <v>1963</v>
      </c>
      <c r="F6111">
        <v>55</v>
      </c>
    </row>
    <row r="6112" spans="1:6">
      <c r="A6112" t="s">
        <v>13</v>
      </c>
      <c r="B6112" t="s">
        <v>106</v>
      </c>
      <c r="C6112" t="s">
        <v>1843</v>
      </c>
      <c r="D6112" t="s">
        <v>1986</v>
      </c>
      <c r="E6112" t="s">
        <v>1964</v>
      </c>
      <c r="F6112">
        <v>42</v>
      </c>
    </row>
    <row r="6113" spans="1:6">
      <c r="A6113" t="s">
        <v>13</v>
      </c>
      <c r="B6113" t="s">
        <v>106</v>
      </c>
      <c r="C6113" t="s">
        <v>1843</v>
      </c>
      <c r="D6113" t="s">
        <v>1986</v>
      </c>
      <c r="E6113" t="s">
        <v>1965</v>
      </c>
      <c r="F6113">
        <v>23</v>
      </c>
    </row>
    <row r="6114" spans="1:6">
      <c r="A6114" t="s">
        <v>13</v>
      </c>
      <c r="B6114" t="s">
        <v>106</v>
      </c>
      <c r="C6114" t="s">
        <v>1843</v>
      </c>
      <c r="D6114" t="s">
        <v>1986</v>
      </c>
      <c r="E6114" t="s">
        <v>1966</v>
      </c>
      <c r="F6114">
        <v>0</v>
      </c>
    </row>
    <row r="6115" spans="1:6">
      <c r="A6115" t="s">
        <v>13</v>
      </c>
      <c r="B6115" t="s">
        <v>106</v>
      </c>
      <c r="C6115" t="s">
        <v>1843</v>
      </c>
      <c r="D6115" t="s">
        <v>1986</v>
      </c>
      <c r="E6115" t="s">
        <v>1967</v>
      </c>
      <c r="F6115">
        <v>0</v>
      </c>
    </row>
    <row r="6116" spans="1:6">
      <c r="A6116" t="s">
        <v>13</v>
      </c>
      <c r="B6116" t="s">
        <v>106</v>
      </c>
      <c r="C6116" t="s">
        <v>1843</v>
      </c>
      <c r="D6116" t="s">
        <v>1986</v>
      </c>
      <c r="E6116" t="s">
        <v>1968</v>
      </c>
      <c r="F6116" t="s">
        <v>1131</v>
      </c>
    </row>
    <row r="6117" spans="1:6">
      <c r="A6117" t="s">
        <v>13</v>
      </c>
      <c r="B6117" t="s">
        <v>106</v>
      </c>
      <c r="C6117" t="s">
        <v>1843</v>
      </c>
      <c r="D6117" t="s">
        <v>1986</v>
      </c>
      <c r="E6117" t="s">
        <v>1969</v>
      </c>
      <c r="F6117">
        <v>0.08297190191549453</v>
      </c>
    </row>
    <row r="6118" spans="1:6">
      <c r="A6118" t="s">
        <v>13</v>
      </c>
      <c r="B6118" t="s">
        <v>106</v>
      </c>
      <c r="C6118" t="s">
        <v>1843</v>
      </c>
      <c r="D6118" t="s">
        <v>1986</v>
      </c>
      <c r="E6118" t="s">
        <v>1970</v>
      </c>
      <c r="F6118">
        <v>0.5183144299950868</v>
      </c>
    </row>
    <row r="6119" spans="1:6">
      <c r="A6119" t="s">
        <v>13</v>
      </c>
      <c r="B6119" t="s">
        <v>106</v>
      </c>
      <c r="C6119" t="s">
        <v>1843</v>
      </c>
      <c r="D6119" t="s">
        <v>1986</v>
      </c>
      <c r="E6119" t="s">
        <v>1971</v>
      </c>
      <c r="F6119">
        <v>0.04558700230818148</v>
      </c>
    </row>
    <row r="6120" spans="1:6">
      <c r="A6120" t="s">
        <v>13</v>
      </c>
      <c r="B6120" t="s">
        <v>106</v>
      </c>
      <c r="C6120" t="s">
        <v>1843</v>
      </c>
      <c r="D6120" t="s">
        <v>1986</v>
      </c>
      <c r="E6120" t="s">
        <v>1972</v>
      </c>
      <c r="F6120">
        <v>0.01195729156519263</v>
      </c>
    </row>
    <row r="6121" spans="1:6">
      <c r="A6121" t="s">
        <v>13</v>
      </c>
      <c r="B6121" t="s">
        <v>106</v>
      </c>
      <c r="C6121" t="s">
        <v>1843</v>
      </c>
      <c r="D6121" t="s">
        <v>1986</v>
      </c>
      <c r="E6121" t="s">
        <v>1973</v>
      </c>
      <c r="F6121">
        <v>0.002659136352334645</v>
      </c>
    </row>
    <row r="6122" spans="1:6">
      <c r="A6122" t="s">
        <v>13</v>
      </c>
      <c r="B6122" t="s">
        <v>106</v>
      </c>
      <c r="C6122" t="s">
        <v>1843</v>
      </c>
      <c r="D6122" t="s">
        <v>1986</v>
      </c>
      <c r="E6122" t="s">
        <v>1974</v>
      </c>
      <c r="F6122">
        <v>0</v>
      </c>
    </row>
    <row r="6123" spans="1:6">
      <c r="A6123" t="s">
        <v>13</v>
      </c>
      <c r="B6123" t="s">
        <v>106</v>
      </c>
      <c r="C6123" t="s">
        <v>1843</v>
      </c>
      <c r="D6123" t="s">
        <v>1986</v>
      </c>
      <c r="E6123" t="s">
        <v>1975</v>
      </c>
      <c r="F6123">
        <v>0</v>
      </c>
    </row>
    <row r="6124" spans="1:6">
      <c r="A6124" t="s">
        <v>13</v>
      </c>
      <c r="B6124" t="s">
        <v>106</v>
      </c>
      <c r="C6124" t="s">
        <v>1843</v>
      </c>
      <c r="D6124" t="s">
        <v>1987</v>
      </c>
      <c r="E6124" t="s">
        <v>1274</v>
      </c>
      <c r="F6124" t="s">
        <v>106</v>
      </c>
    </row>
    <row r="6125" spans="1:6">
      <c r="A6125" t="s">
        <v>13</v>
      </c>
      <c r="B6125" t="s">
        <v>106</v>
      </c>
      <c r="C6125" t="s">
        <v>1843</v>
      </c>
      <c r="D6125" t="s">
        <v>1987</v>
      </c>
      <c r="E6125" t="s">
        <v>1275</v>
      </c>
      <c r="F6125" t="s">
        <v>1836</v>
      </c>
    </row>
    <row r="6126" spans="1:6">
      <c r="A6126" t="s">
        <v>13</v>
      </c>
      <c r="B6126" t="s">
        <v>106</v>
      </c>
      <c r="C6126" t="s">
        <v>1843</v>
      </c>
      <c r="D6126" t="s">
        <v>1987</v>
      </c>
      <c r="E6126" t="s">
        <v>1977</v>
      </c>
      <c r="F6126" t="s">
        <v>1978</v>
      </c>
    </row>
    <row r="6127" spans="1:6">
      <c r="A6127" t="s">
        <v>13</v>
      </c>
      <c r="B6127" t="s">
        <v>106</v>
      </c>
      <c r="C6127" t="s">
        <v>1843</v>
      </c>
      <c r="D6127" t="s">
        <v>1987</v>
      </c>
      <c r="E6127" t="s">
        <v>1979</v>
      </c>
      <c r="F6127" t="s">
        <v>1980</v>
      </c>
    </row>
    <row r="6128" spans="1:6">
      <c r="A6128" t="s">
        <v>13</v>
      </c>
      <c r="B6128" t="s">
        <v>106</v>
      </c>
      <c r="C6128" t="s">
        <v>1843</v>
      </c>
      <c r="D6128" t="s">
        <v>1987</v>
      </c>
      <c r="E6128" t="s">
        <v>1276</v>
      </c>
      <c r="F6128" t="s">
        <v>1277</v>
      </c>
    </row>
    <row r="6129" spans="1:6">
      <c r="A6129" t="s">
        <v>13</v>
      </c>
      <c r="B6129" t="s">
        <v>106</v>
      </c>
      <c r="C6129" t="s">
        <v>1843</v>
      </c>
      <c r="D6129" t="s">
        <v>1987</v>
      </c>
      <c r="E6129" t="s">
        <v>1279</v>
      </c>
      <c r="F6129" t="s">
        <v>1280</v>
      </c>
    </row>
    <row r="6130" spans="1:6">
      <c r="A6130" t="s">
        <v>13</v>
      </c>
      <c r="B6130" t="s">
        <v>106</v>
      </c>
      <c r="C6130" t="s">
        <v>1843</v>
      </c>
      <c r="D6130" t="s">
        <v>1987</v>
      </c>
      <c r="E6130" t="s">
        <v>1281</v>
      </c>
      <c r="F6130" t="s">
        <v>1981</v>
      </c>
    </row>
    <row r="6131" spans="1:6">
      <c r="A6131" t="s">
        <v>13</v>
      </c>
      <c r="B6131" t="s">
        <v>106</v>
      </c>
      <c r="C6131" t="s">
        <v>1843</v>
      </c>
      <c r="D6131" t="s">
        <v>1987</v>
      </c>
      <c r="E6131" t="s">
        <v>1283</v>
      </c>
      <c r="F6131" t="s">
        <v>1284</v>
      </c>
    </row>
    <row r="6132" spans="1:6">
      <c r="A6132" t="s">
        <v>13</v>
      </c>
      <c r="B6132" t="s">
        <v>106</v>
      </c>
      <c r="C6132" t="s">
        <v>1843</v>
      </c>
      <c r="D6132" t="s">
        <v>1987</v>
      </c>
      <c r="E6132" t="s">
        <v>1285</v>
      </c>
      <c r="F6132" t="s">
        <v>545</v>
      </c>
    </row>
    <row r="6133" spans="1:6">
      <c r="A6133" t="s">
        <v>13</v>
      </c>
      <c r="B6133" t="s">
        <v>106</v>
      </c>
      <c r="C6133" t="s">
        <v>1843</v>
      </c>
      <c r="D6133" t="s">
        <v>1987</v>
      </c>
      <c r="E6133" t="s">
        <v>1286</v>
      </c>
      <c r="F6133">
        <v>161</v>
      </c>
    </row>
    <row r="6134" spans="1:6">
      <c r="A6134" t="s">
        <v>13</v>
      </c>
      <c r="B6134" t="s">
        <v>106</v>
      </c>
      <c r="C6134" t="s">
        <v>1843</v>
      </c>
      <c r="D6134" t="s">
        <v>1987</v>
      </c>
      <c r="E6134" t="s">
        <v>1287</v>
      </c>
      <c r="F6134">
        <v>263.22</v>
      </c>
    </row>
    <row r="6135" spans="1:6">
      <c r="A6135" t="s">
        <v>13</v>
      </c>
      <c r="B6135" t="s">
        <v>106</v>
      </c>
      <c r="C6135" t="s">
        <v>1843</v>
      </c>
      <c r="D6135" t="s">
        <v>1987</v>
      </c>
      <c r="E6135" t="s">
        <v>1288</v>
      </c>
      <c r="F6135" t="s">
        <v>547</v>
      </c>
    </row>
    <row r="6136" spans="1:6">
      <c r="A6136" t="s">
        <v>13</v>
      </c>
      <c r="B6136" t="s">
        <v>106</v>
      </c>
      <c r="C6136" t="s">
        <v>1843</v>
      </c>
      <c r="D6136" t="s">
        <v>1987</v>
      </c>
      <c r="E6136" t="s">
        <v>1096</v>
      </c>
      <c r="F6136">
        <v>119</v>
      </c>
    </row>
    <row r="6137" spans="1:6">
      <c r="A6137" t="s">
        <v>13</v>
      </c>
      <c r="B6137" t="s">
        <v>106</v>
      </c>
      <c r="C6137" t="s">
        <v>1843</v>
      </c>
      <c r="D6137" t="s">
        <v>1987</v>
      </c>
      <c r="E6137" t="s">
        <v>1004</v>
      </c>
      <c r="F6137">
        <v>6340.86</v>
      </c>
    </row>
    <row r="6138" spans="1:6">
      <c r="A6138" t="s">
        <v>13</v>
      </c>
      <c r="B6138" t="s">
        <v>106</v>
      </c>
      <c r="C6138" t="s">
        <v>1843</v>
      </c>
      <c r="D6138" t="s">
        <v>1987</v>
      </c>
      <c r="E6138" t="s">
        <v>1289</v>
      </c>
      <c r="F6138" t="s">
        <v>549</v>
      </c>
    </row>
    <row r="6139" spans="1:6">
      <c r="A6139" t="s">
        <v>13</v>
      </c>
      <c r="B6139" t="s">
        <v>106</v>
      </c>
      <c r="C6139" t="s">
        <v>1843</v>
      </c>
      <c r="D6139" t="s">
        <v>1987</v>
      </c>
      <c r="E6139" t="s">
        <v>1290</v>
      </c>
      <c r="F6139">
        <v>175</v>
      </c>
    </row>
    <row r="6140" spans="1:6">
      <c r="A6140" t="s">
        <v>13</v>
      </c>
      <c r="B6140" t="s">
        <v>106</v>
      </c>
      <c r="C6140" t="s">
        <v>1843</v>
      </c>
      <c r="D6140" t="s">
        <v>1987</v>
      </c>
      <c r="E6140" t="s">
        <v>1291</v>
      </c>
      <c r="F6140">
        <v>65226.56999999998</v>
      </c>
    </row>
    <row r="6141" spans="1:6">
      <c r="A6141" t="s">
        <v>13</v>
      </c>
      <c r="B6141" t="s">
        <v>106</v>
      </c>
      <c r="C6141" t="s">
        <v>1843</v>
      </c>
      <c r="D6141" t="s">
        <v>1987</v>
      </c>
      <c r="E6141" t="s">
        <v>1008</v>
      </c>
      <c r="F6141" t="s">
        <v>551</v>
      </c>
    </row>
    <row r="6142" spans="1:6">
      <c r="A6142" t="s">
        <v>13</v>
      </c>
      <c r="B6142" t="s">
        <v>106</v>
      </c>
      <c r="C6142" t="s">
        <v>1843</v>
      </c>
      <c r="D6142" t="s">
        <v>1987</v>
      </c>
      <c r="E6142" t="s">
        <v>1010</v>
      </c>
      <c r="F6142">
        <v>32</v>
      </c>
    </row>
    <row r="6143" spans="1:6">
      <c r="A6143" t="s">
        <v>13</v>
      </c>
      <c r="B6143" t="s">
        <v>106</v>
      </c>
      <c r="C6143" t="s">
        <v>1843</v>
      </c>
      <c r="D6143" t="s">
        <v>1987</v>
      </c>
      <c r="E6143" t="s">
        <v>1012</v>
      </c>
      <c r="F6143">
        <v>84813.40999999996</v>
      </c>
    </row>
    <row r="6144" spans="1:6">
      <c r="A6144" t="s">
        <v>13</v>
      </c>
      <c r="B6144" t="s">
        <v>106</v>
      </c>
      <c r="C6144" t="s">
        <v>1843</v>
      </c>
      <c r="D6144" t="s">
        <v>1987</v>
      </c>
      <c r="E6144" t="s">
        <v>1035</v>
      </c>
      <c r="F6144" t="s">
        <v>553</v>
      </c>
    </row>
    <row r="6145" spans="1:6">
      <c r="A6145" t="s">
        <v>13</v>
      </c>
      <c r="B6145" t="s">
        <v>106</v>
      </c>
      <c r="C6145" t="s">
        <v>1843</v>
      </c>
      <c r="D6145" t="s">
        <v>1987</v>
      </c>
      <c r="E6145" t="s">
        <v>1099</v>
      </c>
      <c r="F6145">
        <v>0</v>
      </c>
    </row>
    <row r="6146" spans="1:6">
      <c r="A6146" t="s">
        <v>13</v>
      </c>
      <c r="B6146" t="s">
        <v>106</v>
      </c>
      <c r="C6146" t="s">
        <v>1843</v>
      </c>
      <c r="D6146" t="s">
        <v>1987</v>
      </c>
      <c r="E6146" t="s">
        <v>1100</v>
      </c>
      <c r="F6146">
        <v>0</v>
      </c>
    </row>
    <row r="6147" spans="1:6">
      <c r="A6147" t="s">
        <v>13</v>
      </c>
      <c r="B6147" t="s">
        <v>106</v>
      </c>
      <c r="C6147" t="s">
        <v>1843</v>
      </c>
      <c r="D6147" t="s">
        <v>1987</v>
      </c>
      <c r="E6147" t="s">
        <v>1037</v>
      </c>
      <c r="F6147" t="s">
        <v>1292</v>
      </c>
    </row>
    <row r="6148" spans="1:6">
      <c r="A6148" t="s">
        <v>13</v>
      </c>
      <c r="B6148" t="s">
        <v>106</v>
      </c>
      <c r="C6148" t="s">
        <v>1843</v>
      </c>
      <c r="D6148" t="s">
        <v>1987</v>
      </c>
      <c r="E6148" t="s">
        <v>1103</v>
      </c>
      <c r="F6148">
        <v>487</v>
      </c>
    </row>
    <row r="6149" spans="1:6">
      <c r="A6149" t="s">
        <v>13</v>
      </c>
      <c r="B6149" t="s">
        <v>106</v>
      </c>
      <c r="C6149" t="s">
        <v>1843</v>
      </c>
      <c r="D6149" t="s">
        <v>1987</v>
      </c>
      <c r="E6149" t="s">
        <v>1104</v>
      </c>
      <c r="F6149">
        <v>156644.0599999999</v>
      </c>
    </row>
    <row r="6150" spans="1:6">
      <c r="A6150" t="s">
        <v>13</v>
      </c>
      <c r="B6150" t="s">
        <v>106</v>
      </c>
      <c r="C6150" t="s">
        <v>1843</v>
      </c>
      <c r="D6150" t="s">
        <v>1987</v>
      </c>
      <c r="E6150" t="s">
        <v>1052</v>
      </c>
      <c r="F6150" t="s">
        <v>1293</v>
      </c>
    </row>
    <row r="6151" spans="1:6">
      <c r="A6151" t="s">
        <v>13</v>
      </c>
      <c r="B6151" t="s">
        <v>106</v>
      </c>
      <c r="C6151" t="s">
        <v>1843</v>
      </c>
      <c r="D6151" t="s">
        <v>1987</v>
      </c>
      <c r="E6151" t="s">
        <v>1053</v>
      </c>
      <c r="F6151" t="s">
        <v>1294</v>
      </c>
    </row>
    <row r="6152" spans="1:6">
      <c r="A6152" t="s">
        <v>13</v>
      </c>
      <c r="B6152" t="s">
        <v>106</v>
      </c>
      <c r="C6152" t="s">
        <v>1843</v>
      </c>
      <c r="D6152" t="s">
        <v>1987</v>
      </c>
      <c r="E6152" t="s">
        <v>1108</v>
      </c>
      <c r="F6152">
        <v>0</v>
      </c>
    </row>
    <row r="6153" spans="1:6">
      <c r="A6153" t="s">
        <v>13</v>
      </c>
      <c r="B6153" t="s">
        <v>106</v>
      </c>
      <c r="C6153" t="s">
        <v>1843</v>
      </c>
      <c r="D6153" t="s">
        <v>1987</v>
      </c>
      <c r="E6153" t="s">
        <v>1109</v>
      </c>
      <c r="F6153">
        <v>0</v>
      </c>
    </row>
    <row r="6154" spans="1:6">
      <c r="A6154" t="s">
        <v>13</v>
      </c>
      <c r="B6154" t="s">
        <v>106</v>
      </c>
      <c r="C6154" t="s">
        <v>1843</v>
      </c>
      <c r="D6154" t="s">
        <v>1987</v>
      </c>
      <c r="E6154" t="s">
        <v>1113</v>
      </c>
      <c r="F6154">
        <v>2018</v>
      </c>
    </row>
    <row r="6155" spans="1:6">
      <c r="A6155" t="s">
        <v>13</v>
      </c>
      <c r="B6155" t="s">
        <v>106</v>
      </c>
      <c r="C6155" t="s">
        <v>1843</v>
      </c>
      <c r="D6155" t="s">
        <v>1987</v>
      </c>
      <c r="E6155" t="s">
        <v>1114</v>
      </c>
      <c r="F6155">
        <v>0</v>
      </c>
    </row>
    <row r="6156" spans="1:6">
      <c r="A6156" t="s">
        <v>13</v>
      </c>
      <c r="B6156" t="s">
        <v>106</v>
      </c>
      <c r="C6156" t="s">
        <v>1843</v>
      </c>
      <c r="D6156" t="s">
        <v>1987</v>
      </c>
      <c r="E6156" t="s">
        <v>1115</v>
      </c>
      <c r="F6156">
        <v>0</v>
      </c>
    </row>
    <row r="6157" spans="1:6">
      <c r="A6157" t="s">
        <v>13</v>
      </c>
      <c r="B6157" t="s">
        <v>106</v>
      </c>
      <c r="C6157" t="s">
        <v>1843</v>
      </c>
      <c r="D6157" t="s">
        <v>1987</v>
      </c>
      <c r="E6157" t="s">
        <v>1118</v>
      </c>
      <c r="F6157">
        <v>2019</v>
      </c>
    </row>
    <row r="6158" spans="1:6">
      <c r="A6158" t="s">
        <v>13</v>
      </c>
      <c r="B6158" t="s">
        <v>106</v>
      </c>
      <c r="C6158" t="s">
        <v>1843</v>
      </c>
      <c r="D6158" t="s">
        <v>1987</v>
      </c>
      <c r="E6158" t="s">
        <v>1119</v>
      </c>
      <c r="F6158">
        <v>0</v>
      </c>
    </row>
    <row r="6159" spans="1:6">
      <c r="A6159" t="s">
        <v>13</v>
      </c>
      <c r="B6159" t="s">
        <v>106</v>
      </c>
      <c r="C6159" t="s">
        <v>1843</v>
      </c>
      <c r="D6159" t="s">
        <v>1987</v>
      </c>
      <c r="E6159" t="s">
        <v>1120</v>
      </c>
      <c r="F6159">
        <v>0</v>
      </c>
    </row>
    <row r="6160" spans="1:6">
      <c r="A6160" t="s">
        <v>13</v>
      </c>
      <c r="B6160" t="s">
        <v>106</v>
      </c>
      <c r="C6160" t="s">
        <v>1843</v>
      </c>
      <c r="D6160" t="s">
        <v>1987</v>
      </c>
      <c r="E6160" t="s">
        <v>1124</v>
      </c>
      <c r="F6160">
        <v>2020</v>
      </c>
    </row>
    <row r="6161" spans="1:6">
      <c r="A6161" t="s">
        <v>13</v>
      </c>
      <c r="B6161" t="s">
        <v>106</v>
      </c>
      <c r="C6161" t="s">
        <v>1843</v>
      </c>
      <c r="D6161" t="s">
        <v>1987</v>
      </c>
      <c r="E6161" t="s">
        <v>1126</v>
      </c>
      <c r="F6161">
        <v>0</v>
      </c>
    </row>
    <row r="6162" spans="1:6">
      <c r="A6162" t="s">
        <v>13</v>
      </c>
      <c r="B6162" t="s">
        <v>106</v>
      </c>
      <c r="C6162" t="s">
        <v>1843</v>
      </c>
      <c r="D6162" t="s">
        <v>1987</v>
      </c>
      <c r="E6162" t="s">
        <v>1127</v>
      </c>
      <c r="F6162">
        <v>0</v>
      </c>
    </row>
    <row r="6163" spans="1:6">
      <c r="A6163" t="s">
        <v>13</v>
      </c>
      <c r="B6163" t="s">
        <v>106</v>
      </c>
      <c r="C6163" t="s">
        <v>1843</v>
      </c>
      <c r="D6163" t="s">
        <v>1987</v>
      </c>
      <c r="E6163" t="s">
        <v>1057</v>
      </c>
      <c r="F6163">
        <v>2021</v>
      </c>
    </row>
    <row r="6164" spans="1:6">
      <c r="A6164" t="s">
        <v>13</v>
      </c>
      <c r="B6164" t="s">
        <v>106</v>
      </c>
      <c r="C6164" t="s">
        <v>1843</v>
      </c>
      <c r="D6164" t="s">
        <v>1987</v>
      </c>
      <c r="E6164" t="s">
        <v>1058</v>
      </c>
      <c r="F6164">
        <v>0</v>
      </c>
    </row>
    <row r="6165" spans="1:6">
      <c r="A6165" t="s">
        <v>13</v>
      </c>
      <c r="B6165" t="s">
        <v>106</v>
      </c>
      <c r="C6165" t="s">
        <v>1843</v>
      </c>
      <c r="D6165" t="s">
        <v>1987</v>
      </c>
      <c r="E6165" t="s">
        <v>1059</v>
      </c>
      <c r="F6165">
        <v>0</v>
      </c>
    </row>
    <row r="6166" spans="1:6">
      <c r="A6166" t="s">
        <v>13</v>
      </c>
      <c r="B6166" t="s">
        <v>106</v>
      </c>
      <c r="C6166" t="s">
        <v>1843</v>
      </c>
      <c r="D6166" t="s">
        <v>1987</v>
      </c>
      <c r="E6166" t="s">
        <v>1072</v>
      </c>
      <c r="F6166">
        <v>2022</v>
      </c>
    </row>
    <row r="6167" spans="1:6">
      <c r="A6167" t="s">
        <v>13</v>
      </c>
      <c r="B6167" t="s">
        <v>106</v>
      </c>
      <c r="C6167" t="s">
        <v>1843</v>
      </c>
      <c r="D6167" t="s">
        <v>1987</v>
      </c>
      <c r="E6167" t="s">
        <v>1133</v>
      </c>
      <c r="F6167">
        <v>0</v>
      </c>
    </row>
    <row r="6168" spans="1:6">
      <c r="A6168" t="s">
        <v>13</v>
      </c>
      <c r="B6168" t="s">
        <v>106</v>
      </c>
      <c r="C6168" t="s">
        <v>1843</v>
      </c>
      <c r="D6168" t="s">
        <v>1987</v>
      </c>
      <c r="E6168" t="s">
        <v>1134</v>
      </c>
      <c r="F6168">
        <v>0</v>
      </c>
    </row>
    <row r="6169" spans="1:6">
      <c r="A6169" t="s">
        <v>13</v>
      </c>
      <c r="B6169" t="s">
        <v>106</v>
      </c>
      <c r="C6169" t="s">
        <v>1843</v>
      </c>
      <c r="D6169" t="s">
        <v>1987</v>
      </c>
      <c r="E6169" t="s">
        <v>1074</v>
      </c>
      <c r="F6169">
        <v>2023</v>
      </c>
    </row>
    <row r="6170" spans="1:6">
      <c r="A6170" t="s">
        <v>13</v>
      </c>
      <c r="B6170" t="s">
        <v>106</v>
      </c>
      <c r="C6170" t="s">
        <v>1843</v>
      </c>
      <c r="D6170" t="s">
        <v>1987</v>
      </c>
      <c r="E6170" t="s">
        <v>1296</v>
      </c>
      <c r="F6170">
        <v>0</v>
      </c>
    </row>
    <row r="6171" spans="1:6">
      <c r="A6171" t="s">
        <v>13</v>
      </c>
      <c r="B6171" t="s">
        <v>106</v>
      </c>
      <c r="C6171" t="s">
        <v>1843</v>
      </c>
      <c r="D6171" t="s">
        <v>1987</v>
      </c>
      <c r="E6171" t="s">
        <v>1297</v>
      </c>
      <c r="F6171">
        <v>0</v>
      </c>
    </row>
    <row r="6172" spans="1:6">
      <c r="A6172" t="s">
        <v>13</v>
      </c>
      <c r="B6172" t="s">
        <v>106</v>
      </c>
      <c r="C6172" t="s">
        <v>1843</v>
      </c>
      <c r="D6172" t="s">
        <v>1987</v>
      </c>
      <c r="E6172" t="s">
        <v>1076</v>
      </c>
      <c r="F6172">
        <v>2024</v>
      </c>
    </row>
    <row r="6173" spans="1:6">
      <c r="A6173" t="s">
        <v>13</v>
      </c>
      <c r="B6173" t="s">
        <v>106</v>
      </c>
      <c r="C6173" t="s">
        <v>1843</v>
      </c>
      <c r="D6173" t="s">
        <v>1987</v>
      </c>
      <c r="E6173" t="s">
        <v>1077</v>
      </c>
      <c r="F6173">
        <v>0</v>
      </c>
    </row>
    <row r="6174" spans="1:6">
      <c r="A6174" t="s">
        <v>13</v>
      </c>
      <c r="B6174" t="s">
        <v>106</v>
      </c>
      <c r="C6174" t="s">
        <v>1843</v>
      </c>
      <c r="D6174" t="s">
        <v>1987</v>
      </c>
      <c r="E6174" t="s">
        <v>1078</v>
      </c>
      <c r="F6174">
        <v>0</v>
      </c>
    </row>
    <row r="6175" spans="1:6">
      <c r="A6175" t="s">
        <v>13</v>
      </c>
      <c r="B6175" t="s">
        <v>106</v>
      </c>
      <c r="C6175" t="s">
        <v>1843</v>
      </c>
      <c r="D6175" t="s">
        <v>1987</v>
      </c>
      <c r="E6175" t="s">
        <v>1090</v>
      </c>
      <c r="F6175">
        <v>2025</v>
      </c>
    </row>
    <row r="6176" spans="1:6">
      <c r="A6176" t="s">
        <v>13</v>
      </c>
      <c r="B6176" t="s">
        <v>106</v>
      </c>
      <c r="C6176" t="s">
        <v>1843</v>
      </c>
      <c r="D6176" t="s">
        <v>1987</v>
      </c>
      <c r="E6176" t="s">
        <v>1139</v>
      </c>
      <c r="F6176">
        <v>0</v>
      </c>
    </row>
    <row r="6177" spans="1:6">
      <c r="A6177" t="s">
        <v>13</v>
      </c>
      <c r="B6177" t="s">
        <v>106</v>
      </c>
      <c r="C6177" t="s">
        <v>1843</v>
      </c>
      <c r="D6177" t="s">
        <v>1987</v>
      </c>
      <c r="E6177" t="s">
        <v>1140</v>
      </c>
      <c r="F6177">
        <v>0</v>
      </c>
    </row>
    <row r="6178" spans="1:6">
      <c r="A6178" t="s">
        <v>13</v>
      </c>
      <c r="B6178" t="s">
        <v>106</v>
      </c>
      <c r="C6178" t="s">
        <v>1843</v>
      </c>
      <c r="D6178" t="s">
        <v>1987</v>
      </c>
      <c r="E6178" t="s">
        <v>1298</v>
      </c>
      <c r="F6178">
        <v>2026</v>
      </c>
    </row>
    <row r="6179" spans="1:6">
      <c r="A6179" t="s">
        <v>13</v>
      </c>
      <c r="B6179" t="s">
        <v>106</v>
      </c>
      <c r="C6179" t="s">
        <v>1843</v>
      </c>
      <c r="D6179" t="s">
        <v>1987</v>
      </c>
      <c r="E6179" t="s">
        <v>1299</v>
      </c>
      <c r="F6179">
        <v>487</v>
      </c>
    </row>
    <row r="6180" spans="1:6">
      <c r="A6180" t="s">
        <v>13</v>
      </c>
      <c r="B6180" t="s">
        <v>106</v>
      </c>
      <c r="C6180" t="s">
        <v>1843</v>
      </c>
      <c r="D6180" t="s">
        <v>1987</v>
      </c>
      <c r="E6180" t="s">
        <v>1300</v>
      </c>
      <c r="F6180">
        <v>156644.0600000001</v>
      </c>
    </row>
    <row r="6181" spans="1:6">
      <c r="A6181" t="s">
        <v>13</v>
      </c>
      <c r="B6181" t="s">
        <v>106</v>
      </c>
      <c r="C6181" t="s">
        <v>1843</v>
      </c>
      <c r="D6181" t="s">
        <v>1987</v>
      </c>
      <c r="E6181" t="s">
        <v>1301</v>
      </c>
      <c r="F6181" t="s">
        <v>1292</v>
      </c>
    </row>
    <row r="6182" spans="1:6">
      <c r="A6182" t="s">
        <v>13</v>
      </c>
      <c r="B6182" t="s">
        <v>106</v>
      </c>
      <c r="C6182" t="s">
        <v>1843</v>
      </c>
      <c r="D6182" t="s">
        <v>1987</v>
      </c>
      <c r="E6182" t="s">
        <v>1302</v>
      </c>
      <c r="F6182">
        <v>487</v>
      </c>
    </row>
    <row r="6183" spans="1:6">
      <c r="A6183" t="s">
        <v>13</v>
      </c>
      <c r="B6183" t="s">
        <v>106</v>
      </c>
      <c r="C6183" t="s">
        <v>1843</v>
      </c>
      <c r="D6183" t="s">
        <v>1987</v>
      </c>
      <c r="E6183" t="s">
        <v>1303</v>
      </c>
      <c r="F6183">
        <v>156644.0600000001</v>
      </c>
    </row>
    <row r="6184" spans="1:6">
      <c r="A6184" t="s">
        <v>27</v>
      </c>
      <c r="B6184" t="s">
        <v>92</v>
      </c>
      <c r="C6184" t="s">
        <v>1988</v>
      </c>
      <c r="D6184" t="s">
        <v>1844</v>
      </c>
      <c r="E6184" t="s">
        <v>1093</v>
      </c>
      <c r="F6184" t="s">
        <v>1094</v>
      </c>
    </row>
    <row r="6185" spans="1:6">
      <c r="A6185" t="s">
        <v>27</v>
      </c>
      <c r="B6185" t="s">
        <v>92</v>
      </c>
      <c r="C6185" t="s">
        <v>1988</v>
      </c>
      <c r="D6185" t="s">
        <v>1844</v>
      </c>
      <c r="E6185" t="s">
        <v>994</v>
      </c>
      <c r="F6185" t="s">
        <v>92</v>
      </c>
    </row>
    <row r="6186" spans="1:6">
      <c r="A6186" t="s">
        <v>27</v>
      </c>
      <c r="B6186" t="s">
        <v>92</v>
      </c>
      <c r="C6186" t="s">
        <v>1988</v>
      </c>
      <c r="D6186" t="s">
        <v>1844</v>
      </c>
      <c r="E6186" t="s">
        <v>995</v>
      </c>
      <c r="F6186" t="s">
        <v>996</v>
      </c>
    </row>
    <row r="6187" spans="1:6">
      <c r="A6187" t="s">
        <v>27</v>
      </c>
      <c r="B6187" t="s">
        <v>92</v>
      </c>
      <c r="C6187" t="s">
        <v>1988</v>
      </c>
      <c r="D6187" t="s">
        <v>1844</v>
      </c>
      <c r="E6187" t="s">
        <v>997</v>
      </c>
      <c r="F6187" t="s">
        <v>1989</v>
      </c>
    </row>
    <row r="6188" spans="1:6">
      <c r="A6188" t="s">
        <v>27</v>
      </c>
      <c r="B6188" t="s">
        <v>92</v>
      </c>
      <c r="C6188" t="s">
        <v>1988</v>
      </c>
      <c r="D6188" t="s">
        <v>1844</v>
      </c>
      <c r="E6188" t="s">
        <v>999</v>
      </c>
      <c r="F6188" t="s">
        <v>1000</v>
      </c>
    </row>
    <row r="6189" spans="1:6">
      <c r="A6189" t="s">
        <v>27</v>
      </c>
      <c r="B6189" t="s">
        <v>92</v>
      </c>
      <c r="C6189" t="s">
        <v>1988</v>
      </c>
      <c r="D6189" t="s">
        <v>1844</v>
      </c>
      <c r="E6189" t="s">
        <v>1001</v>
      </c>
      <c r="F6189" t="s">
        <v>16</v>
      </c>
    </row>
    <row r="6190" spans="1:6">
      <c r="A6190" t="s">
        <v>27</v>
      </c>
      <c r="B6190" t="s">
        <v>92</v>
      </c>
      <c r="C6190" t="s">
        <v>1988</v>
      </c>
      <c r="D6190" t="s">
        <v>1844</v>
      </c>
      <c r="E6190" t="s">
        <v>1002</v>
      </c>
      <c r="F6190" t="s">
        <v>1845</v>
      </c>
    </row>
    <row r="6191" spans="1:6">
      <c r="A6191" t="s">
        <v>27</v>
      </c>
      <c r="B6191" t="s">
        <v>92</v>
      </c>
      <c r="C6191" t="s">
        <v>1988</v>
      </c>
      <c r="D6191" t="s">
        <v>1844</v>
      </c>
      <c r="E6191" t="s">
        <v>1006</v>
      </c>
      <c r="F6191" t="s">
        <v>1007</v>
      </c>
    </row>
    <row r="6192" spans="1:6">
      <c r="A6192" t="s">
        <v>27</v>
      </c>
      <c r="B6192" t="s">
        <v>92</v>
      </c>
      <c r="C6192" t="s">
        <v>1988</v>
      </c>
      <c r="D6192" t="s">
        <v>1844</v>
      </c>
      <c r="E6192" t="s">
        <v>1008</v>
      </c>
      <c r="F6192" t="s">
        <v>1009</v>
      </c>
    </row>
    <row r="6193" spans="1:6">
      <c r="A6193" t="s">
        <v>27</v>
      </c>
      <c r="B6193" t="s">
        <v>92</v>
      </c>
      <c r="C6193" t="s">
        <v>1988</v>
      </c>
      <c r="D6193" t="s">
        <v>1844</v>
      </c>
      <c r="E6193" t="s">
        <v>1010</v>
      </c>
      <c r="F6193" t="s">
        <v>1011</v>
      </c>
    </row>
    <row r="6194" spans="1:6">
      <c r="A6194" t="s">
        <v>27</v>
      </c>
      <c r="B6194" t="s">
        <v>92</v>
      </c>
      <c r="C6194" t="s">
        <v>1988</v>
      </c>
      <c r="D6194" t="s">
        <v>1844</v>
      </c>
      <c r="E6194" t="s">
        <v>1012</v>
      </c>
      <c r="F6194" t="s">
        <v>1013</v>
      </c>
    </row>
    <row r="6195" spans="1:6">
      <c r="A6195" t="s">
        <v>27</v>
      </c>
      <c r="B6195" t="s">
        <v>92</v>
      </c>
      <c r="C6195" t="s">
        <v>1988</v>
      </c>
      <c r="D6195" t="s">
        <v>1844</v>
      </c>
      <c r="E6195" t="s">
        <v>1014</v>
      </c>
      <c r="F6195" t="s">
        <v>1015</v>
      </c>
    </row>
    <row r="6196" spans="1:6">
      <c r="A6196" t="s">
        <v>27</v>
      </c>
      <c r="B6196" t="s">
        <v>92</v>
      </c>
      <c r="C6196" t="s">
        <v>1988</v>
      </c>
      <c r="D6196" t="s">
        <v>1844</v>
      </c>
      <c r="E6196" t="s">
        <v>1016</v>
      </c>
      <c r="F6196" t="s">
        <v>1017</v>
      </c>
    </row>
    <row r="6197" spans="1:6">
      <c r="A6197" t="s">
        <v>27</v>
      </c>
      <c r="B6197" t="s">
        <v>92</v>
      </c>
      <c r="C6197" t="s">
        <v>1988</v>
      </c>
      <c r="D6197" t="s">
        <v>1844</v>
      </c>
      <c r="E6197" t="s">
        <v>1018</v>
      </c>
      <c r="F6197" t="s">
        <v>1019</v>
      </c>
    </row>
    <row r="6198" spans="1:6">
      <c r="A6198" t="s">
        <v>27</v>
      </c>
      <c r="B6198" t="s">
        <v>92</v>
      </c>
      <c r="C6198" t="s">
        <v>1988</v>
      </c>
      <c r="D6198" t="s">
        <v>1844</v>
      </c>
      <c r="E6198" t="s">
        <v>1020</v>
      </c>
      <c r="F6198" t="s">
        <v>1021</v>
      </c>
    </row>
    <row r="6199" spans="1:6">
      <c r="A6199" t="s">
        <v>27</v>
      </c>
      <c r="B6199" t="s">
        <v>92</v>
      </c>
      <c r="C6199" t="s">
        <v>1988</v>
      </c>
      <c r="D6199" t="s">
        <v>1844</v>
      </c>
      <c r="E6199" t="s">
        <v>1022</v>
      </c>
      <c r="F6199" t="s">
        <v>1023</v>
      </c>
    </row>
    <row r="6200" spans="1:6">
      <c r="A6200" t="s">
        <v>27</v>
      </c>
      <c r="B6200" t="s">
        <v>92</v>
      </c>
      <c r="C6200" t="s">
        <v>1988</v>
      </c>
      <c r="D6200" t="s">
        <v>1844</v>
      </c>
      <c r="E6200" t="s">
        <v>1024</v>
      </c>
      <c r="F6200" t="s">
        <v>1025</v>
      </c>
    </row>
    <row r="6201" spans="1:6">
      <c r="A6201" t="s">
        <v>27</v>
      </c>
      <c r="B6201" t="s">
        <v>92</v>
      </c>
      <c r="C6201" t="s">
        <v>1988</v>
      </c>
      <c r="D6201" t="s">
        <v>1844</v>
      </c>
      <c r="E6201" t="s">
        <v>1026</v>
      </c>
      <c r="F6201" t="s">
        <v>1027</v>
      </c>
    </row>
    <row r="6202" spans="1:6">
      <c r="A6202" t="s">
        <v>27</v>
      </c>
      <c r="B6202" t="s">
        <v>92</v>
      </c>
      <c r="C6202" t="s">
        <v>1988</v>
      </c>
      <c r="D6202" t="s">
        <v>1844</v>
      </c>
      <c r="E6202" t="s">
        <v>1028</v>
      </c>
      <c r="F6202" t="s">
        <v>1029</v>
      </c>
    </row>
    <row r="6203" spans="1:6">
      <c r="A6203" t="s">
        <v>27</v>
      </c>
      <c r="B6203" t="s">
        <v>92</v>
      </c>
      <c r="C6203" t="s">
        <v>1988</v>
      </c>
      <c r="D6203" t="s">
        <v>1844</v>
      </c>
      <c r="E6203" t="s">
        <v>1030</v>
      </c>
      <c r="F6203" t="s">
        <v>1031</v>
      </c>
    </row>
    <row r="6204" spans="1:6">
      <c r="A6204" t="s">
        <v>27</v>
      </c>
      <c r="B6204" t="s">
        <v>92</v>
      </c>
      <c r="C6204" t="s">
        <v>1988</v>
      </c>
      <c r="D6204" t="s">
        <v>1844</v>
      </c>
      <c r="E6204" t="s">
        <v>1032</v>
      </c>
      <c r="F6204" t="s">
        <v>1033</v>
      </c>
    </row>
    <row r="6205" spans="1:6">
      <c r="A6205" t="s">
        <v>27</v>
      </c>
      <c r="B6205" t="s">
        <v>92</v>
      </c>
      <c r="C6205" t="s">
        <v>1988</v>
      </c>
      <c r="D6205" t="s">
        <v>1844</v>
      </c>
      <c r="E6205" t="s">
        <v>1034</v>
      </c>
      <c r="F6205" t="s">
        <v>93</v>
      </c>
    </row>
    <row r="6206" spans="1:6">
      <c r="A6206" t="s">
        <v>27</v>
      </c>
      <c r="B6206" t="s">
        <v>92</v>
      </c>
      <c r="C6206" t="s">
        <v>1988</v>
      </c>
      <c r="D6206" t="s">
        <v>1844</v>
      </c>
      <c r="E6206" t="s">
        <v>1035</v>
      </c>
      <c r="F6206">
        <v>1360.75</v>
      </c>
    </row>
    <row r="6207" spans="1:6">
      <c r="A6207" t="s">
        <v>27</v>
      </c>
      <c r="B6207" t="s">
        <v>92</v>
      </c>
      <c r="C6207" t="s">
        <v>1988</v>
      </c>
      <c r="D6207" t="s">
        <v>1844</v>
      </c>
      <c r="E6207" t="s">
        <v>1036</v>
      </c>
      <c r="F6207">
        <v>2024</v>
      </c>
    </row>
    <row r="6208" spans="1:6">
      <c r="A6208" t="s">
        <v>27</v>
      </c>
      <c r="B6208" t="s">
        <v>92</v>
      </c>
      <c r="C6208" t="s">
        <v>1988</v>
      </c>
      <c r="D6208" t="s">
        <v>1844</v>
      </c>
      <c r="E6208" t="s">
        <v>1037</v>
      </c>
      <c r="F6208">
        <v>707.71</v>
      </c>
    </row>
    <row r="6209" spans="1:6">
      <c r="A6209" t="s">
        <v>27</v>
      </c>
      <c r="B6209" t="s">
        <v>92</v>
      </c>
      <c r="C6209" t="s">
        <v>1988</v>
      </c>
      <c r="D6209" t="s">
        <v>1844</v>
      </c>
      <c r="E6209" t="s">
        <v>1038</v>
      </c>
      <c r="F6209">
        <v>2025</v>
      </c>
    </row>
    <row r="6210" spans="1:6">
      <c r="A6210" t="s">
        <v>27</v>
      </c>
      <c r="B6210" t="s">
        <v>92</v>
      </c>
      <c r="C6210" t="s">
        <v>1988</v>
      </c>
      <c r="D6210" t="s">
        <v>1844</v>
      </c>
      <c r="E6210" t="s">
        <v>1039</v>
      </c>
      <c r="F6210">
        <v>979562.14</v>
      </c>
    </row>
    <row r="6211" spans="1:6">
      <c r="A6211" t="s">
        <v>27</v>
      </c>
      <c r="B6211" t="s">
        <v>92</v>
      </c>
      <c r="C6211" t="s">
        <v>1988</v>
      </c>
      <c r="D6211" t="s">
        <v>1844</v>
      </c>
      <c r="E6211" t="s">
        <v>1040</v>
      </c>
      <c r="F6211">
        <v>252</v>
      </c>
    </row>
    <row r="6212" spans="1:6">
      <c r="A6212" t="s">
        <v>27</v>
      </c>
      <c r="B6212" t="s">
        <v>92</v>
      </c>
      <c r="C6212" t="s">
        <v>1988</v>
      </c>
      <c r="D6212" t="s">
        <v>1844</v>
      </c>
      <c r="E6212" t="s">
        <v>1041</v>
      </c>
      <c r="F6212">
        <v>0</v>
      </c>
    </row>
    <row r="6213" spans="1:6">
      <c r="A6213" t="s">
        <v>27</v>
      </c>
      <c r="B6213" t="s">
        <v>92</v>
      </c>
      <c r="C6213" t="s">
        <v>1988</v>
      </c>
      <c r="D6213" t="s">
        <v>1844</v>
      </c>
      <c r="E6213" t="s">
        <v>1042</v>
      </c>
      <c r="F6213">
        <v>0</v>
      </c>
    </row>
    <row r="6214" spans="1:6">
      <c r="A6214" t="s">
        <v>27</v>
      </c>
      <c r="B6214" t="s">
        <v>92</v>
      </c>
      <c r="C6214" t="s">
        <v>1988</v>
      </c>
      <c r="D6214" t="s">
        <v>1844</v>
      </c>
      <c r="E6214" t="s">
        <v>1043</v>
      </c>
      <c r="F6214">
        <v>702</v>
      </c>
    </row>
    <row r="6215" spans="1:6">
      <c r="A6215" t="s">
        <v>27</v>
      </c>
      <c r="B6215" t="s">
        <v>92</v>
      </c>
      <c r="C6215" t="s">
        <v>1988</v>
      </c>
      <c r="D6215" t="s">
        <v>1844</v>
      </c>
      <c r="E6215" t="s">
        <v>1044</v>
      </c>
      <c r="F6215">
        <v>0</v>
      </c>
    </row>
    <row r="6216" spans="1:6">
      <c r="A6216" t="s">
        <v>27</v>
      </c>
      <c r="B6216" t="s">
        <v>92</v>
      </c>
      <c r="C6216" t="s">
        <v>1988</v>
      </c>
      <c r="D6216" t="s">
        <v>1844</v>
      </c>
      <c r="E6216" t="s">
        <v>1045</v>
      </c>
      <c r="F6216">
        <v>32803.79</v>
      </c>
    </row>
    <row r="6217" spans="1:6">
      <c r="A6217" t="s">
        <v>27</v>
      </c>
      <c r="B6217" t="s">
        <v>92</v>
      </c>
      <c r="C6217" t="s">
        <v>1988</v>
      </c>
      <c r="D6217" t="s">
        <v>1844</v>
      </c>
      <c r="E6217" t="s">
        <v>1046</v>
      </c>
      <c r="F6217">
        <v>190425.4500000001</v>
      </c>
    </row>
    <row r="6218" spans="1:6">
      <c r="A6218" t="s">
        <v>27</v>
      </c>
      <c r="B6218" t="s">
        <v>92</v>
      </c>
      <c r="C6218" t="s">
        <v>1988</v>
      </c>
      <c r="D6218" t="s">
        <v>1844</v>
      </c>
      <c r="E6218" t="s">
        <v>1047</v>
      </c>
      <c r="F6218">
        <v>155425.36</v>
      </c>
    </row>
    <row r="6219" spans="1:6">
      <c r="A6219" t="s">
        <v>27</v>
      </c>
      <c r="B6219" t="s">
        <v>92</v>
      </c>
      <c r="C6219" t="s">
        <v>1988</v>
      </c>
      <c r="D6219" t="s">
        <v>1844</v>
      </c>
      <c r="E6219" t="s">
        <v>1048</v>
      </c>
      <c r="F6219">
        <v>166766.9000000001</v>
      </c>
    </row>
    <row r="6220" spans="1:6">
      <c r="A6220" t="s">
        <v>27</v>
      </c>
      <c r="B6220" t="s">
        <v>92</v>
      </c>
      <c r="C6220" t="s">
        <v>1988</v>
      </c>
      <c r="D6220" t="s">
        <v>1844</v>
      </c>
      <c r="E6220" t="s">
        <v>1049</v>
      </c>
      <c r="F6220">
        <v>144482.3800000001</v>
      </c>
    </row>
    <row r="6221" spans="1:6">
      <c r="A6221" t="s">
        <v>27</v>
      </c>
      <c r="B6221" t="s">
        <v>92</v>
      </c>
      <c r="C6221" t="s">
        <v>1988</v>
      </c>
      <c r="D6221" t="s">
        <v>1844</v>
      </c>
      <c r="E6221" t="s">
        <v>1050</v>
      </c>
      <c r="F6221">
        <v>109177.59</v>
      </c>
    </row>
    <row r="6222" spans="1:6">
      <c r="A6222" t="s">
        <v>27</v>
      </c>
      <c r="B6222" t="s">
        <v>92</v>
      </c>
      <c r="C6222" t="s">
        <v>1988</v>
      </c>
      <c r="D6222" t="s">
        <v>1844</v>
      </c>
      <c r="E6222" t="s">
        <v>1051</v>
      </c>
      <c r="F6222">
        <v>179526.6700000001</v>
      </c>
    </row>
    <row r="6223" spans="1:6">
      <c r="A6223" t="s">
        <v>27</v>
      </c>
      <c r="B6223" t="s">
        <v>92</v>
      </c>
      <c r="C6223" t="s">
        <v>1988</v>
      </c>
      <c r="D6223" t="s">
        <v>1844</v>
      </c>
      <c r="E6223" t="s">
        <v>1052</v>
      </c>
      <c r="F6223">
        <v>2026</v>
      </c>
    </row>
    <row r="6224" spans="1:6">
      <c r="A6224" t="s">
        <v>27</v>
      </c>
      <c r="B6224" t="s">
        <v>92</v>
      </c>
      <c r="C6224" t="s">
        <v>1988</v>
      </c>
      <c r="D6224" t="s">
        <v>1844</v>
      </c>
      <c r="E6224" t="s">
        <v>1053</v>
      </c>
      <c r="F6224">
        <v>1079874.72</v>
      </c>
    </row>
    <row r="6225" spans="1:6">
      <c r="A6225" t="s">
        <v>27</v>
      </c>
      <c r="B6225" t="s">
        <v>92</v>
      </c>
      <c r="C6225" t="s">
        <v>1988</v>
      </c>
      <c r="D6225" t="s">
        <v>1844</v>
      </c>
      <c r="E6225" t="s">
        <v>1108</v>
      </c>
      <c r="F6225">
        <v>130636.08</v>
      </c>
    </row>
    <row r="6226" spans="1:6">
      <c r="A6226" t="s">
        <v>27</v>
      </c>
      <c r="B6226" t="s">
        <v>92</v>
      </c>
      <c r="C6226" t="s">
        <v>1988</v>
      </c>
      <c r="D6226" t="s">
        <v>1844</v>
      </c>
      <c r="E6226" t="s">
        <v>1109</v>
      </c>
      <c r="F6226">
        <v>256641.26</v>
      </c>
    </row>
    <row r="6227" spans="1:6">
      <c r="A6227" t="s">
        <v>27</v>
      </c>
      <c r="B6227" t="s">
        <v>92</v>
      </c>
      <c r="C6227" t="s">
        <v>1988</v>
      </c>
      <c r="D6227" t="s">
        <v>1844</v>
      </c>
      <c r="E6227" t="s">
        <v>1110</v>
      </c>
      <c r="F6227">
        <v>111637.6299999999</v>
      </c>
    </row>
    <row r="6228" spans="1:6">
      <c r="A6228" t="s">
        <v>27</v>
      </c>
      <c r="B6228" t="s">
        <v>92</v>
      </c>
      <c r="C6228" t="s">
        <v>1988</v>
      </c>
      <c r="D6228" t="s">
        <v>1844</v>
      </c>
      <c r="E6228" t="s">
        <v>1521</v>
      </c>
      <c r="F6228">
        <v>112393.3500000001</v>
      </c>
    </row>
    <row r="6229" spans="1:6">
      <c r="A6229" t="s">
        <v>27</v>
      </c>
      <c r="B6229" t="s">
        <v>92</v>
      </c>
      <c r="C6229" t="s">
        <v>1988</v>
      </c>
      <c r="D6229" t="s">
        <v>1844</v>
      </c>
      <c r="E6229" t="s">
        <v>1522</v>
      </c>
      <c r="F6229">
        <v>169276.62</v>
      </c>
    </row>
    <row r="6230" spans="1:6">
      <c r="A6230" t="s">
        <v>27</v>
      </c>
      <c r="B6230" t="s">
        <v>92</v>
      </c>
      <c r="C6230" t="s">
        <v>1988</v>
      </c>
      <c r="D6230" t="s">
        <v>1844</v>
      </c>
      <c r="E6230" t="s">
        <v>1523</v>
      </c>
      <c r="F6230">
        <v>89121.87000000007</v>
      </c>
    </row>
    <row r="6231" spans="1:6">
      <c r="A6231" t="s">
        <v>27</v>
      </c>
      <c r="B6231" t="s">
        <v>92</v>
      </c>
      <c r="C6231" t="s">
        <v>1988</v>
      </c>
      <c r="D6231" t="s">
        <v>1844</v>
      </c>
      <c r="E6231" t="s">
        <v>1524</v>
      </c>
      <c r="F6231">
        <v>74452.37999999999</v>
      </c>
    </row>
    <row r="6232" spans="1:6">
      <c r="A6232" t="s">
        <v>27</v>
      </c>
      <c r="B6232" t="s">
        <v>92</v>
      </c>
      <c r="C6232" t="s">
        <v>1988</v>
      </c>
      <c r="D6232" t="s">
        <v>1844</v>
      </c>
      <c r="E6232" t="s">
        <v>1525</v>
      </c>
      <c r="F6232">
        <v>80425.65000000029</v>
      </c>
    </row>
    <row r="6233" spans="1:6">
      <c r="A6233" t="s">
        <v>27</v>
      </c>
      <c r="B6233" t="s">
        <v>92</v>
      </c>
      <c r="C6233" t="s">
        <v>1988</v>
      </c>
      <c r="D6233" t="s">
        <v>1844</v>
      </c>
      <c r="E6233" t="s">
        <v>1526</v>
      </c>
      <c r="F6233">
        <v>55289.88000000001</v>
      </c>
    </row>
    <row r="6234" spans="1:6">
      <c r="A6234" t="s">
        <v>27</v>
      </c>
      <c r="B6234" t="s">
        <v>92</v>
      </c>
      <c r="C6234" t="s">
        <v>1988</v>
      </c>
      <c r="D6234" t="s">
        <v>1844</v>
      </c>
      <c r="E6234" t="s">
        <v>1527</v>
      </c>
      <c r="F6234">
        <v>0</v>
      </c>
    </row>
    <row r="6235" spans="1:6">
      <c r="A6235" t="s">
        <v>27</v>
      </c>
      <c r="B6235" t="s">
        <v>92</v>
      </c>
      <c r="C6235" t="s">
        <v>1988</v>
      </c>
      <c r="D6235" t="s">
        <v>1844</v>
      </c>
      <c r="E6235" t="s">
        <v>1528</v>
      </c>
      <c r="F6235">
        <v>0</v>
      </c>
    </row>
    <row r="6236" spans="1:6">
      <c r="A6236" t="s">
        <v>27</v>
      </c>
      <c r="B6236" t="s">
        <v>92</v>
      </c>
      <c r="C6236" t="s">
        <v>1988</v>
      </c>
      <c r="D6236" t="s">
        <v>1844</v>
      </c>
      <c r="E6236" t="s">
        <v>1529</v>
      </c>
      <c r="F6236">
        <v>0</v>
      </c>
    </row>
    <row r="6237" spans="1:6">
      <c r="A6237" t="s">
        <v>27</v>
      </c>
      <c r="B6237" t="s">
        <v>92</v>
      </c>
      <c r="C6237" t="s">
        <v>1988</v>
      </c>
      <c r="D6237" t="s">
        <v>1844</v>
      </c>
      <c r="E6237" t="s">
        <v>1111</v>
      </c>
      <c r="F6237" t="s">
        <v>1009</v>
      </c>
    </row>
    <row r="6238" spans="1:6">
      <c r="A6238" t="s">
        <v>27</v>
      </c>
      <c r="B6238" t="s">
        <v>92</v>
      </c>
      <c r="C6238" t="s">
        <v>1988</v>
      </c>
      <c r="D6238" t="s">
        <v>1844</v>
      </c>
      <c r="E6238" t="s">
        <v>1113</v>
      </c>
      <c r="F6238">
        <v>2061505.32</v>
      </c>
    </row>
    <row r="6239" spans="1:6">
      <c r="A6239" t="s">
        <v>27</v>
      </c>
      <c r="B6239" t="s">
        <v>92</v>
      </c>
      <c r="C6239" t="s">
        <v>1988</v>
      </c>
      <c r="D6239" t="s">
        <v>1844</v>
      </c>
      <c r="E6239" t="s">
        <v>1122</v>
      </c>
      <c r="F6239" t="s">
        <v>1055</v>
      </c>
    </row>
    <row r="6240" spans="1:6">
      <c r="A6240" t="s">
        <v>27</v>
      </c>
      <c r="B6240" t="s">
        <v>92</v>
      </c>
      <c r="C6240" t="s">
        <v>1988</v>
      </c>
      <c r="D6240" t="s">
        <v>1844</v>
      </c>
      <c r="E6240" t="s">
        <v>1071</v>
      </c>
      <c r="F6240" t="s">
        <v>1007</v>
      </c>
    </row>
    <row r="6241" spans="1:6">
      <c r="A6241" t="s">
        <v>27</v>
      </c>
      <c r="B6241" t="s">
        <v>92</v>
      </c>
      <c r="C6241" t="s">
        <v>1988</v>
      </c>
      <c r="D6241" t="s">
        <v>1844</v>
      </c>
      <c r="E6241" t="s">
        <v>1072</v>
      </c>
      <c r="F6241" t="s">
        <v>1009</v>
      </c>
    </row>
    <row r="6242" spans="1:6">
      <c r="A6242" t="s">
        <v>27</v>
      </c>
      <c r="B6242" t="s">
        <v>92</v>
      </c>
      <c r="C6242" t="s">
        <v>1988</v>
      </c>
      <c r="D6242" t="s">
        <v>1844</v>
      </c>
      <c r="E6242" t="s">
        <v>1133</v>
      </c>
      <c r="F6242" t="s">
        <v>1011</v>
      </c>
    </row>
    <row r="6243" spans="1:6">
      <c r="A6243" t="s">
        <v>27</v>
      </c>
      <c r="B6243" t="s">
        <v>92</v>
      </c>
      <c r="C6243" t="s">
        <v>1988</v>
      </c>
      <c r="D6243" t="s">
        <v>1844</v>
      </c>
      <c r="E6243" t="s">
        <v>1134</v>
      </c>
      <c r="F6243" t="s">
        <v>1013</v>
      </c>
    </row>
    <row r="6244" spans="1:6">
      <c r="A6244" t="s">
        <v>27</v>
      </c>
      <c r="B6244" t="s">
        <v>92</v>
      </c>
      <c r="C6244" t="s">
        <v>1988</v>
      </c>
      <c r="D6244" t="s">
        <v>1844</v>
      </c>
      <c r="E6244" t="s">
        <v>1135</v>
      </c>
      <c r="F6244" t="s">
        <v>1015</v>
      </c>
    </row>
    <row r="6245" spans="1:6">
      <c r="A6245" t="s">
        <v>27</v>
      </c>
      <c r="B6245" t="s">
        <v>92</v>
      </c>
      <c r="C6245" t="s">
        <v>1988</v>
      </c>
      <c r="D6245" t="s">
        <v>1844</v>
      </c>
      <c r="E6245" t="s">
        <v>1414</v>
      </c>
      <c r="F6245" t="s">
        <v>1017</v>
      </c>
    </row>
    <row r="6246" spans="1:6">
      <c r="A6246" t="s">
        <v>27</v>
      </c>
      <c r="B6246" t="s">
        <v>92</v>
      </c>
      <c r="C6246" t="s">
        <v>1988</v>
      </c>
      <c r="D6246" t="s">
        <v>1844</v>
      </c>
      <c r="E6246" t="s">
        <v>1530</v>
      </c>
      <c r="F6246" t="s">
        <v>1019</v>
      </c>
    </row>
    <row r="6247" spans="1:6">
      <c r="A6247" t="s">
        <v>27</v>
      </c>
      <c r="B6247" t="s">
        <v>92</v>
      </c>
      <c r="C6247" t="s">
        <v>1988</v>
      </c>
      <c r="D6247" t="s">
        <v>1844</v>
      </c>
      <c r="E6247" t="s">
        <v>1531</v>
      </c>
      <c r="F6247" t="s">
        <v>1021</v>
      </c>
    </row>
    <row r="6248" spans="1:6">
      <c r="A6248" t="s">
        <v>27</v>
      </c>
      <c r="B6248" t="s">
        <v>92</v>
      </c>
      <c r="C6248" t="s">
        <v>1988</v>
      </c>
      <c r="D6248" t="s">
        <v>1844</v>
      </c>
      <c r="E6248" t="s">
        <v>1532</v>
      </c>
      <c r="F6248" t="s">
        <v>1023</v>
      </c>
    </row>
    <row r="6249" spans="1:6">
      <c r="A6249" t="s">
        <v>27</v>
      </c>
      <c r="B6249" t="s">
        <v>92</v>
      </c>
      <c r="C6249" t="s">
        <v>1988</v>
      </c>
      <c r="D6249" t="s">
        <v>1844</v>
      </c>
      <c r="E6249" t="s">
        <v>1533</v>
      </c>
      <c r="F6249" t="s">
        <v>1066</v>
      </c>
    </row>
    <row r="6250" spans="1:6">
      <c r="A6250" t="s">
        <v>27</v>
      </c>
      <c r="B6250" t="s">
        <v>92</v>
      </c>
      <c r="C6250" t="s">
        <v>1988</v>
      </c>
      <c r="D6250" t="s">
        <v>1844</v>
      </c>
      <c r="E6250" t="s">
        <v>1534</v>
      </c>
      <c r="F6250" t="s">
        <v>1027</v>
      </c>
    </row>
    <row r="6251" spans="1:6">
      <c r="A6251" t="s">
        <v>27</v>
      </c>
      <c r="B6251" t="s">
        <v>92</v>
      </c>
      <c r="C6251" t="s">
        <v>1988</v>
      </c>
      <c r="D6251" t="s">
        <v>1844</v>
      </c>
      <c r="E6251" t="s">
        <v>1535</v>
      </c>
      <c r="F6251" t="s">
        <v>1029</v>
      </c>
    </row>
    <row r="6252" spans="1:6">
      <c r="A6252" t="s">
        <v>27</v>
      </c>
      <c r="B6252" t="s">
        <v>92</v>
      </c>
      <c r="C6252" t="s">
        <v>1988</v>
      </c>
      <c r="D6252" t="s">
        <v>1844</v>
      </c>
      <c r="E6252" t="s">
        <v>1536</v>
      </c>
      <c r="F6252" t="s">
        <v>1031</v>
      </c>
    </row>
    <row r="6253" spans="1:6">
      <c r="A6253" t="s">
        <v>27</v>
      </c>
      <c r="B6253" t="s">
        <v>92</v>
      </c>
      <c r="C6253" t="s">
        <v>1988</v>
      </c>
      <c r="D6253" t="s">
        <v>1844</v>
      </c>
      <c r="E6253" t="s">
        <v>1537</v>
      </c>
      <c r="F6253" t="s">
        <v>1033</v>
      </c>
    </row>
    <row r="6254" spans="1:6">
      <c r="A6254" t="s">
        <v>27</v>
      </c>
      <c r="B6254" t="s">
        <v>92</v>
      </c>
      <c r="C6254" t="s">
        <v>1988</v>
      </c>
      <c r="D6254" t="s">
        <v>1844</v>
      </c>
      <c r="E6254" t="s">
        <v>1073</v>
      </c>
      <c r="F6254" t="s">
        <v>93</v>
      </c>
    </row>
    <row r="6255" spans="1:6">
      <c r="A6255" t="s">
        <v>27</v>
      </c>
      <c r="B6255" t="s">
        <v>92</v>
      </c>
      <c r="C6255" t="s">
        <v>1988</v>
      </c>
      <c r="D6255" t="s">
        <v>1844</v>
      </c>
      <c r="E6255" t="s">
        <v>1074</v>
      </c>
      <c r="F6255">
        <v>8</v>
      </c>
    </row>
    <row r="6256" spans="1:6">
      <c r="A6256" t="s">
        <v>27</v>
      </c>
      <c r="B6256" t="s">
        <v>92</v>
      </c>
      <c r="C6256" t="s">
        <v>1988</v>
      </c>
      <c r="D6256" t="s">
        <v>1844</v>
      </c>
      <c r="E6256" t="s">
        <v>1075</v>
      </c>
      <c r="F6256">
        <v>2024</v>
      </c>
    </row>
    <row r="6257" spans="1:6">
      <c r="A6257" t="s">
        <v>27</v>
      </c>
      <c r="B6257" t="s">
        <v>92</v>
      </c>
      <c r="C6257" t="s">
        <v>1988</v>
      </c>
      <c r="D6257" t="s">
        <v>1844</v>
      </c>
      <c r="E6257" t="s">
        <v>1076</v>
      </c>
      <c r="F6257">
        <v>3</v>
      </c>
    </row>
    <row r="6258" spans="1:6">
      <c r="A6258" t="s">
        <v>27</v>
      </c>
      <c r="B6258" t="s">
        <v>92</v>
      </c>
      <c r="C6258" t="s">
        <v>1988</v>
      </c>
      <c r="D6258" t="s">
        <v>1844</v>
      </c>
      <c r="E6258" t="s">
        <v>1089</v>
      </c>
      <c r="F6258">
        <v>2025</v>
      </c>
    </row>
    <row r="6259" spans="1:6">
      <c r="A6259" t="s">
        <v>27</v>
      </c>
      <c r="B6259" t="s">
        <v>92</v>
      </c>
      <c r="C6259" t="s">
        <v>1988</v>
      </c>
      <c r="D6259" t="s">
        <v>1844</v>
      </c>
      <c r="E6259" t="s">
        <v>1090</v>
      </c>
      <c r="F6259">
        <v>2759</v>
      </c>
    </row>
    <row r="6260" spans="1:6">
      <c r="A6260" t="s">
        <v>27</v>
      </c>
      <c r="B6260" t="s">
        <v>92</v>
      </c>
      <c r="C6260" t="s">
        <v>1988</v>
      </c>
      <c r="D6260" t="s">
        <v>1844</v>
      </c>
      <c r="E6260" t="s">
        <v>1139</v>
      </c>
      <c r="F6260">
        <v>1</v>
      </c>
    </row>
    <row r="6261" spans="1:6">
      <c r="A6261" t="s">
        <v>27</v>
      </c>
      <c r="B6261" t="s">
        <v>92</v>
      </c>
      <c r="C6261" t="s">
        <v>1988</v>
      </c>
      <c r="D6261" t="s">
        <v>1844</v>
      </c>
      <c r="E6261" t="s">
        <v>1140</v>
      </c>
      <c r="F6261">
        <v>0</v>
      </c>
    </row>
    <row r="6262" spans="1:6">
      <c r="A6262" t="s">
        <v>27</v>
      </c>
      <c r="B6262" t="s">
        <v>92</v>
      </c>
      <c r="C6262" t="s">
        <v>1988</v>
      </c>
      <c r="D6262" t="s">
        <v>1844</v>
      </c>
      <c r="E6262" t="s">
        <v>1141</v>
      </c>
      <c r="F6262">
        <v>0</v>
      </c>
    </row>
    <row r="6263" spans="1:6">
      <c r="A6263" t="s">
        <v>27</v>
      </c>
      <c r="B6263" t="s">
        <v>92</v>
      </c>
      <c r="C6263" t="s">
        <v>1988</v>
      </c>
      <c r="D6263" t="s">
        <v>1844</v>
      </c>
      <c r="E6263" t="s">
        <v>1423</v>
      </c>
      <c r="F6263">
        <v>2</v>
      </c>
    </row>
    <row r="6264" spans="1:6">
      <c r="A6264" t="s">
        <v>27</v>
      </c>
      <c r="B6264" t="s">
        <v>92</v>
      </c>
      <c r="C6264" t="s">
        <v>1988</v>
      </c>
      <c r="D6264" t="s">
        <v>1844</v>
      </c>
      <c r="E6264" t="s">
        <v>1538</v>
      </c>
      <c r="F6264">
        <v>0</v>
      </c>
    </row>
    <row r="6265" spans="1:6">
      <c r="A6265" t="s">
        <v>27</v>
      </c>
      <c r="B6265" t="s">
        <v>92</v>
      </c>
      <c r="C6265" t="s">
        <v>1988</v>
      </c>
      <c r="D6265" t="s">
        <v>1844</v>
      </c>
      <c r="E6265" t="s">
        <v>1539</v>
      </c>
      <c r="F6265">
        <v>59</v>
      </c>
    </row>
    <row r="6266" spans="1:6">
      <c r="A6266" t="s">
        <v>27</v>
      </c>
      <c r="B6266" t="s">
        <v>92</v>
      </c>
      <c r="C6266" t="s">
        <v>1988</v>
      </c>
      <c r="D6266" t="s">
        <v>1844</v>
      </c>
      <c r="E6266" t="s">
        <v>1540</v>
      </c>
      <c r="F6266">
        <v>382</v>
      </c>
    </row>
    <row r="6267" spans="1:6">
      <c r="A6267" t="s">
        <v>27</v>
      </c>
      <c r="B6267" t="s">
        <v>92</v>
      </c>
      <c r="C6267" t="s">
        <v>1988</v>
      </c>
      <c r="D6267" t="s">
        <v>1844</v>
      </c>
      <c r="E6267" t="s">
        <v>1541</v>
      </c>
      <c r="F6267">
        <v>658</v>
      </c>
    </row>
    <row r="6268" spans="1:6">
      <c r="A6268" t="s">
        <v>27</v>
      </c>
      <c r="B6268" t="s">
        <v>92</v>
      </c>
      <c r="C6268" t="s">
        <v>1988</v>
      </c>
      <c r="D6268" t="s">
        <v>1844</v>
      </c>
      <c r="E6268" t="s">
        <v>1542</v>
      </c>
      <c r="F6268">
        <v>474</v>
      </c>
    </row>
    <row r="6269" spans="1:6">
      <c r="A6269" t="s">
        <v>27</v>
      </c>
      <c r="B6269" t="s">
        <v>92</v>
      </c>
      <c r="C6269" t="s">
        <v>1988</v>
      </c>
      <c r="D6269" t="s">
        <v>1844</v>
      </c>
      <c r="E6269" t="s">
        <v>1543</v>
      </c>
      <c r="F6269">
        <v>433</v>
      </c>
    </row>
    <row r="6270" spans="1:6">
      <c r="A6270" t="s">
        <v>27</v>
      </c>
      <c r="B6270" t="s">
        <v>92</v>
      </c>
      <c r="C6270" t="s">
        <v>1988</v>
      </c>
      <c r="D6270" t="s">
        <v>1844</v>
      </c>
      <c r="E6270" t="s">
        <v>1544</v>
      </c>
      <c r="F6270">
        <v>403</v>
      </c>
    </row>
    <row r="6271" spans="1:6">
      <c r="A6271" t="s">
        <v>27</v>
      </c>
      <c r="B6271" t="s">
        <v>92</v>
      </c>
      <c r="C6271" t="s">
        <v>1988</v>
      </c>
      <c r="D6271" t="s">
        <v>1844</v>
      </c>
      <c r="E6271" t="s">
        <v>1545</v>
      </c>
      <c r="F6271">
        <v>347</v>
      </c>
    </row>
    <row r="6272" spans="1:6">
      <c r="A6272" t="s">
        <v>27</v>
      </c>
      <c r="B6272" t="s">
        <v>92</v>
      </c>
      <c r="C6272" t="s">
        <v>1988</v>
      </c>
      <c r="D6272" t="s">
        <v>1844</v>
      </c>
      <c r="E6272" t="s">
        <v>1546</v>
      </c>
      <c r="F6272">
        <v>2026</v>
      </c>
    </row>
    <row r="6273" spans="1:6">
      <c r="A6273" t="s">
        <v>27</v>
      </c>
      <c r="B6273" t="s">
        <v>92</v>
      </c>
      <c r="C6273" t="s">
        <v>1988</v>
      </c>
      <c r="D6273" t="s">
        <v>1844</v>
      </c>
      <c r="E6273" t="s">
        <v>1298</v>
      </c>
      <c r="F6273">
        <v>3876</v>
      </c>
    </row>
    <row r="6274" spans="1:6">
      <c r="A6274" t="s">
        <v>27</v>
      </c>
      <c r="B6274" t="s">
        <v>92</v>
      </c>
      <c r="C6274" t="s">
        <v>1988</v>
      </c>
      <c r="D6274" t="s">
        <v>1844</v>
      </c>
      <c r="E6274" t="s">
        <v>1299</v>
      </c>
      <c r="F6274">
        <v>394</v>
      </c>
    </row>
    <row r="6275" spans="1:6">
      <c r="A6275" t="s">
        <v>27</v>
      </c>
      <c r="B6275" t="s">
        <v>92</v>
      </c>
      <c r="C6275" t="s">
        <v>1988</v>
      </c>
      <c r="D6275" t="s">
        <v>1844</v>
      </c>
      <c r="E6275" t="s">
        <v>1300</v>
      </c>
      <c r="F6275">
        <v>400</v>
      </c>
    </row>
    <row r="6276" spans="1:6">
      <c r="A6276" t="s">
        <v>27</v>
      </c>
      <c r="B6276" t="s">
        <v>92</v>
      </c>
      <c r="C6276" t="s">
        <v>1988</v>
      </c>
      <c r="D6276" t="s">
        <v>1844</v>
      </c>
      <c r="E6276" t="s">
        <v>1426</v>
      </c>
      <c r="F6276">
        <v>372</v>
      </c>
    </row>
    <row r="6277" spans="1:6">
      <c r="A6277" t="s">
        <v>27</v>
      </c>
      <c r="B6277" t="s">
        <v>92</v>
      </c>
      <c r="C6277" t="s">
        <v>1988</v>
      </c>
      <c r="D6277" t="s">
        <v>1844</v>
      </c>
      <c r="E6277" t="s">
        <v>1400</v>
      </c>
      <c r="F6277">
        <v>359</v>
      </c>
    </row>
    <row r="6278" spans="1:6">
      <c r="A6278" t="s">
        <v>27</v>
      </c>
      <c r="B6278" t="s">
        <v>92</v>
      </c>
      <c r="C6278" t="s">
        <v>1988</v>
      </c>
      <c r="D6278" t="s">
        <v>1844</v>
      </c>
      <c r="E6278" t="s">
        <v>1846</v>
      </c>
      <c r="F6278">
        <v>361</v>
      </c>
    </row>
    <row r="6279" spans="1:6">
      <c r="A6279" t="s">
        <v>27</v>
      </c>
      <c r="B6279" t="s">
        <v>92</v>
      </c>
      <c r="C6279" t="s">
        <v>1988</v>
      </c>
      <c r="D6279" t="s">
        <v>1844</v>
      </c>
      <c r="E6279" t="s">
        <v>1847</v>
      </c>
      <c r="F6279">
        <v>296</v>
      </c>
    </row>
    <row r="6280" spans="1:6">
      <c r="A6280" t="s">
        <v>27</v>
      </c>
      <c r="B6280" t="s">
        <v>92</v>
      </c>
      <c r="C6280" t="s">
        <v>1988</v>
      </c>
      <c r="D6280" t="s">
        <v>1844</v>
      </c>
      <c r="E6280" t="s">
        <v>1848</v>
      </c>
      <c r="F6280">
        <v>313</v>
      </c>
    </row>
    <row r="6281" spans="1:6">
      <c r="A6281" t="s">
        <v>27</v>
      </c>
      <c r="B6281" t="s">
        <v>92</v>
      </c>
      <c r="C6281" t="s">
        <v>1988</v>
      </c>
      <c r="D6281" t="s">
        <v>1844</v>
      </c>
      <c r="E6281" t="s">
        <v>1796</v>
      </c>
      <c r="F6281">
        <v>1111</v>
      </c>
    </row>
    <row r="6282" spans="1:6">
      <c r="A6282" t="s">
        <v>27</v>
      </c>
      <c r="B6282" t="s">
        <v>92</v>
      </c>
      <c r="C6282" t="s">
        <v>1988</v>
      </c>
      <c r="D6282" t="s">
        <v>1844</v>
      </c>
      <c r="E6282" t="s">
        <v>1797</v>
      </c>
      <c r="F6282">
        <v>270</v>
      </c>
    </row>
    <row r="6283" spans="1:6">
      <c r="A6283" t="s">
        <v>27</v>
      </c>
      <c r="B6283" t="s">
        <v>92</v>
      </c>
      <c r="C6283" t="s">
        <v>1988</v>
      </c>
      <c r="D6283" t="s">
        <v>1844</v>
      </c>
      <c r="E6283" t="s">
        <v>1582</v>
      </c>
      <c r="F6283">
        <v>0</v>
      </c>
    </row>
    <row r="6284" spans="1:6">
      <c r="A6284" t="s">
        <v>27</v>
      </c>
      <c r="B6284" t="s">
        <v>92</v>
      </c>
      <c r="C6284" t="s">
        <v>1988</v>
      </c>
      <c r="D6284" t="s">
        <v>1844</v>
      </c>
      <c r="E6284" t="s">
        <v>1584</v>
      </c>
      <c r="F6284">
        <v>0</v>
      </c>
    </row>
    <row r="6285" spans="1:6">
      <c r="A6285" t="s">
        <v>27</v>
      </c>
      <c r="B6285" t="s">
        <v>92</v>
      </c>
      <c r="C6285" t="s">
        <v>1988</v>
      </c>
      <c r="D6285" t="s">
        <v>1844</v>
      </c>
      <c r="E6285" t="s">
        <v>1586</v>
      </c>
      <c r="F6285">
        <v>0</v>
      </c>
    </row>
    <row r="6286" spans="1:6">
      <c r="A6286" t="s">
        <v>27</v>
      </c>
      <c r="B6286" t="s">
        <v>92</v>
      </c>
      <c r="C6286" t="s">
        <v>1988</v>
      </c>
      <c r="D6286" t="s">
        <v>1844</v>
      </c>
      <c r="E6286" t="s">
        <v>1143</v>
      </c>
      <c r="F6286" t="s">
        <v>1009</v>
      </c>
    </row>
    <row r="6287" spans="1:6">
      <c r="A6287" t="s">
        <v>27</v>
      </c>
      <c r="B6287" t="s">
        <v>92</v>
      </c>
      <c r="C6287" t="s">
        <v>1988</v>
      </c>
      <c r="D6287" t="s">
        <v>1844</v>
      </c>
      <c r="E6287" t="s">
        <v>1301</v>
      </c>
      <c r="F6287">
        <v>6646</v>
      </c>
    </row>
    <row r="6288" spans="1:6">
      <c r="A6288" t="s">
        <v>27</v>
      </c>
      <c r="B6288" t="s">
        <v>92</v>
      </c>
      <c r="C6288" t="s">
        <v>1988</v>
      </c>
      <c r="D6288" t="s">
        <v>1844</v>
      </c>
      <c r="E6288" t="s">
        <v>1555</v>
      </c>
      <c r="F6288" t="s">
        <v>1003</v>
      </c>
    </row>
    <row r="6289" spans="1:6">
      <c r="A6289" t="s">
        <v>27</v>
      </c>
      <c r="B6289" t="s">
        <v>92</v>
      </c>
      <c r="C6289" t="s">
        <v>1988</v>
      </c>
      <c r="D6289" t="s">
        <v>1844</v>
      </c>
      <c r="E6289" t="s">
        <v>1173</v>
      </c>
      <c r="F6289" t="s">
        <v>1007</v>
      </c>
    </row>
    <row r="6290" spans="1:6">
      <c r="A6290" t="s">
        <v>27</v>
      </c>
      <c r="B6290" t="s">
        <v>92</v>
      </c>
      <c r="C6290" t="s">
        <v>1988</v>
      </c>
      <c r="D6290" t="s">
        <v>1844</v>
      </c>
      <c r="E6290" t="s">
        <v>1175</v>
      </c>
      <c r="F6290" t="s">
        <v>1009</v>
      </c>
    </row>
    <row r="6291" spans="1:6">
      <c r="A6291" t="s">
        <v>27</v>
      </c>
      <c r="B6291" t="s">
        <v>92</v>
      </c>
      <c r="C6291" t="s">
        <v>1988</v>
      </c>
      <c r="D6291" t="s">
        <v>1844</v>
      </c>
      <c r="E6291" t="s">
        <v>1176</v>
      </c>
      <c r="F6291" t="s">
        <v>1011</v>
      </c>
    </row>
    <row r="6292" spans="1:6">
      <c r="A6292" t="s">
        <v>27</v>
      </c>
      <c r="B6292" t="s">
        <v>92</v>
      </c>
      <c r="C6292" t="s">
        <v>1988</v>
      </c>
      <c r="D6292" t="s">
        <v>1844</v>
      </c>
      <c r="E6292" t="s">
        <v>1177</v>
      </c>
      <c r="F6292" t="s">
        <v>1013</v>
      </c>
    </row>
    <row r="6293" spans="1:6">
      <c r="A6293" t="s">
        <v>27</v>
      </c>
      <c r="B6293" t="s">
        <v>92</v>
      </c>
      <c r="C6293" t="s">
        <v>1988</v>
      </c>
      <c r="D6293" t="s">
        <v>1844</v>
      </c>
      <c r="E6293" t="s">
        <v>1178</v>
      </c>
      <c r="F6293" t="s">
        <v>1015</v>
      </c>
    </row>
    <row r="6294" spans="1:6">
      <c r="A6294" t="s">
        <v>27</v>
      </c>
      <c r="B6294" t="s">
        <v>92</v>
      </c>
      <c r="C6294" t="s">
        <v>1988</v>
      </c>
      <c r="D6294" t="s">
        <v>1844</v>
      </c>
      <c r="E6294" t="s">
        <v>1179</v>
      </c>
      <c r="F6294" t="s">
        <v>1017</v>
      </c>
    </row>
    <row r="6295" spans="1:6">
      <c r="A6295" t="s">
        <v>27</v>
      </c>
      <c r="B6295" t="s">
        <v>92</v>
      </c>
      <c r="C6295" t="s">
        <v>1988</v>
      </c>
      <c r="D6295" t="s">
        <v>1844</v>
      </c>
      <c r="E6295" t="s">
        <v>1180</v>
      </c>
      <c r="F6295" t="s">
        <v>1019</v>
      </c>
    </row>
    <row r="6296" spans="1:6">
      <c r="A6296" t="s">
        <v>27</v>
      </c>
      <c r="B6296" t="s">
        <v>92</v>
      </c>
      <c r="C6296" t="s">
        <v>1988</v>
      </c>
      <c r="D6296" t="s">
        <v>1844</v>
      </c>
      <c r="E6296" t="s">
        <v>1181</v>
      </c>
      <c r="F6296" t="s">
        <v>1021</v>
      </c>
    </row>
    <row r="6297" spans="1:6">
      <c r="A6297" t="s">
        <v>27</v>
      </c>
      <c r="B6297" t="s">
        <v>92</v>
      </c>
      <c r="C6297" t="s">
        <v>1988</v>
      </c>
      <c r="D6297" t="s">
        <v>1844</v>
      </c>
      <c r="E6297" t="s">
        <v>1849</v>
      </c>
      <c r="F6297" t="s">
        <v>1023</v>
      </c>
    </row>
    <row r="6298" spans="1:6">
      <c r="A6298" t="s">
        <v>27</v>
      </c>
      <c r="B6298" t="s">
        <v>92</v>
      </c>
      <c r="C6298" t="s">
        <v>1988</v>
      </c>
      <c r="D6298" t="s">
        <v>1844</v>
      </c>
      <c r="E6298" t="s">
        <v>1810</v>
      </c>
      <c r="F6298" t="s">
        <v>1025</v>
      </c>
    </row>
    <row r="6299" spans="1:6">
      <c r="A6299" t="s">
        <v>27</v>
      </c>
      <c r="B6299" t="s">
        <v>92</v>
      </c>
      <c r="C6299" t="s">
        <v>1988</v>
      </c>
      <c r="D6299" t="s">
        <v>1844</v>
      </c>
      <c r="E6299" t="s">
        <v>1811</v>
      </c>
      <c r="F6299" t="s">
        <v>1027</v>
      </c>
    </row>
    <row r="6300" spans="1:6">
      <c r="A6300" t="s">
        <v>27</v>
      </c>
      <c r="B6300" t="s">
        <v>92</v>
      </c>
      <c r="C6300" t="s">
        <v>1988</v>
      </c>
      <c r="D6300" t="s">
        <v>1844</v>
      </c>
      <c r="E6300" t="s">
        <v>1812</v>
      </c>
      <c r="F6300" t="s">
        <v>1029</v>
      </c>
    </row>
    <row r="6301" spans="1:6">
      <c r="A6301" t="s">
        <v>27</v>
      </c>
      <c r="B6301" t="s">
        <v>92</v>
      </c>
      <c r="C6301" t="s">
        <v>1988</v>
      </c>
      <c r="D6301" t="s">
        <v>1844</v>
      </c>
      <c r="E6301" t="s">
        <v>1850</v>
      </c>
      <c r="F6301" t="s">
        <v>1031</v>
      </c>
    </row>
    <row r="6302" spans="1:6">
      <c r="A6302" t="s">
        <v>27</v>
      </c>
      <c r="B6302" t="s">
        <v>92</v>
      </c>
      <c r="C6302" t="s">
        <v>1988</v>
      </c>
      <c r="D6302" t="s">
        <v>1844</v>
      </c>
      <c r="E6302" t="s">
        <v>1851</v>
      </c>
      <c r="F6302" t="s">
        <v>1033</v>
      </c>
    </row>
    <row r="6303" spans="1:6">
      <c r="A6303" t="s">
        <v>27</v>
      </c>
      <c r="B6303" t="s">
        <v>92</v>
      </c>
      <c r="C6303" t="s">
        <v>1988</v>
      </c>
      <c r="D6303" t="s">
        <v>1844</v>
      </c>
      <c r="E6303" t="s">
        <v>1556</v>
      </c>
      <c r="F6303" t="s">
        <v>93</v>
      </c>
    </row>
    <row r="6304" spans="1:6">
      <c r="A6304" t="s">
        <v>27</v>
      </c>
      <c r="B6304" t="s">
        <v>92</v>
      </c>
      <c r="C6304" t="s">
        <v>1988</v>
      </c>
      <c r="D6304" t="s">
        <v>1844</v>
      </c>
      <c r="E6304" t="s">
        <v>1452</v>
      </c>
      <c r="F6304">
        <v>182.34</v>
      </c>
    </row>
    <row r="6305" spans="1:6">
      <c r="A6305" t="s">
        <v>27</v>
      </c>
      <c r="B6305" t="s">
        <v>92</v>
      </c>
      <c r="C6305" t="s">
        <v>1988</v>
      </c>
      <c r="D6305" t="s">
        <v>1844</v>
      </c>
      <c r="E6305" t="s">
        <v>1182</v>
      </c>
      <c r="F6305">
        <v>2024</v>
      </c>
    </row>
    <row r="6306" spans="1:6">
      <c r="A6306" t="s">
        <v>27</v>
      </c>
      <c r="B6306" t="s">
        <v>92</v>
      </c>
      <c r="C6306" t="s">
        <v>1988</v>
      </c>
      <c r="D6306" t="s">
        <v>1844</v>
      </c>
      <c r="E6306" t="s">
        <v>1184</v>
      </c>
      <c r="F6306">
        <v>94.83</v>
      </c>
    </row>
    <row r="6307" spans="1:6">
      <c r="A6307" t="s">
        <v>27</v>
      </c>
      <c r="B6307" t="s">
        <v>92</v>
      </c>
      <c r="C6307" t="s">
        <v>1988</v>
      </c>
      <c r="D6307" t="s">
        <v>1844</v>
      </c>
      <c r="E6307" t="s">
        <v>1191</v>
      </c>
      <c r="F6307">
        <v>2025</v>
      </c>
    </row>
    <row r="6308" spans="1:6">
      <c r="A6308" t="s">
        <v>27</v>
      </c>
      <c r="B6308" t="s">
        <v>92</v>
      </c>
      <c r="C6308" t="s">
        <v>1988</v>
      </c>
      <c r="D6308" t="s">
        <v>1844</v>
      </c>
      <c r="E6308" t="s">
        <v>1463</v>
      </c>
      <c r="F6308">
        <v>131123.79</v>
      </c>
    </row>
    <row r="6309" spans="1:6">
      <c r="A6309" t="s">
        <v>27</v>
      </c>
      <c r="B6309" t="s">
        <v>92</v>
      </c>
      <c r="C6309" t="s">
        <v>1988</v>
      </c>
      <c r="D6309" t="s">
        <v>1844</v>
      </c>
      <c r="E6309" t="s">
        <v>1193</v>
      </c>
      <c r="F6309">
        <v>33.77</v>
      </c>
    </row>
    <row r="6310" spans="1:6">
      <c r="A6310" t="s">
        <v>27</v>
      </c>
      <c r="B6310" t="s">
        <v>92</v>
      </c>
      <c r="C6310" t="s">
        <v>1988</v>
      </c>
      <c r="D6310" t="s">
        <v>1844</v>
      </c>
      <c r="E6310" t="s">
        <v>1194</v>
      </c>
      <c r="F6310">
        <v>0</v>
      </c>
    </row>
    <row r="6311" spans="1:6">
      <c r="A6311" t="s">
        <v>27</v>
      </c>
      <c r="B6311" t="s">
        <v>92</v>
      </c>
      <c r="C6311" t="s">
        <v>1988</v>
      </c>
      <c r="D6311" t="s">
        <v>1844</v>
      </c>
      <c r="E6311" t="s">
        <v>1195</v>
      </c>
      <c r="F6311">
        <v>0</v>
      </c>
    </row>
    <row r="6312" spans="1:6">
      <c r="A6312" t="s">
        <v>27</v>
      </c>
      <c r="B6312" t="s">
        <v>92</v>
      </c>
      <c r="C6312" t="s">
        <v>1988</v>
      </c>
      <c r="D6312" t="s">
        <v>1844</v>
      </c>
      <c r="E6312" t="s">
        <v>1196</v>
      </c>
      <c r="F6312">
        <v>94.06</v>
      </c>
    </row>
    <row r="6313" spans="1:6">
      <c r="A6313" t="s">
        <v>27</v>
      </c>
      <c r="B6313" t="s">
        <v>92</v>
      </c>
      <c r="C6313" t="s">
        <v>1988</v>
      </c>
      <c r="D6313" t="s">
        <v>1844</v>
      </c>
      <c r="E6313" t="s">
        <v>1197</v>
      </c>
      <c r="F6313">
        <v>0</v>
      </c>
    </row>
    <row r="6314" spans="1:6">
      <c r="A6314" t="s">
        <v>27</v>
      </c>
      <c r="B6314" t="s">
        <v>92</v>
      </c>
      <c r="C6314" t="s">
        <v>1988</v>
      </c>
      <c r="D6314" t="s">
        <v>1844</v>
      </c>
      <c r="E6314" t="s">
        <v>1198</v>
      </c>
      <c r="F6314">
        <v>4395.349999999998</v>
      </c>
    </row>
    <row r="6315" spans="1:6">
      <c r="A6315" t="s">
        <v>27</v>
      </c>
      <c r="B6315" t="s">
        <v>92</v>
      </c>
      <c r="C6315" t="s">
        <v>1988</v>
      </c>
      <c r="D6315" t="s">
        <v>1844</v>
      </c>
      <c r="E6315" t="s">
        <v>1852</v>
      </c>
      <c r="F6315">
        <v>25518.92999999999</v>
      </c>
    </row>
    <row r="6316" spans="1:6">
      <c r="A6316" t="s">
        <v>27</v>
      </c>
      <c r="B6316" t="s">
        <v>92</v>
      </c>
      <c r="C6316" t="s">
        <v>1988</v>
      </c>
      <c r="D6316" t="s">
        <v>1844</v>
      </c>
      <c r="E6316" t="s">
        <v>1818</v>
      </c>
      <c r="F6316">
        <v>20825.58000000002</v>
      </c>
    </row>
    <row r="6317" spans="1:6">
      <c r="A6317" t="s">
        <v>27</v>
      </c>
      <c r="B6317" t="s">
        <v>92</v>
      </c>
      <c r="C6317" t="s">
        <v>1988</v>
      </c>
      <c r="D6317" t="s">
        <v>1844</v>
      </c>
      <c r="E6317" t="s">
        <v>1819</v>
      </c>
      <c r="F6317">
        <v>22312.41000000002</v>
      </c>
    </row>
    <row r="6318" spans="1:6">
      <c r="A6318" t="s">
        <v>27</v>
      </c>
      <c r="B6318" t="s">
        <v>92</v>
      </c>
      <c r="C6318" t="s">
        <v>1988</v>
      </c>
      <c r="D6318" t="s">
        <v>1844</v>
      </c>
      <c r="E6318" t="s">
        <v>1650</v>
      </c>
      <c r="F6318">
        <v>19290.48</v>
      </c>
    </row>
    <row r="6319" spans="1:6">
      <c r="A6319" t="s">
        <v>27</v>
      </c>
      <c r="B6319" t="s">
        <v>92</v>
      </c>
      <c r="C6319" t="s">
        <v>1988</v>
      </c>
      <c r="D6319" t="s">
        <v>1844</v>
      </c>
      <c r="E6319" t="s">
        <v>1652</v>
      </c>
      <c r="F6319">
        <v>14616.89</v>
      </c>
    </row>
    <row r="6320" spans="1:6">
      <c r="A6320" t="s">
        <v>27</v>
      </c>
      <c r="B6320" t="s">
        <v>92</v>
      </c>
      <c r="C6320" t="s">
        <v>1988</v>
      </c>
      <c r="D6320" t="s">
        <v>1844</v>
      </c>
      <c r="E6320" t="s">
        <v>1653</v>
      </c>
      <c r="F6320">
        <v>24036.32</v>
      </c>
    </row>
    <row r="6321" spans="1:6">
      <c r="A6321" t="s">
        <v>27</v>
      </c>
      <c r="B6321" t="s">
        <v>92</v>
      </c>
      <c r="C6321" t="s">
        <v>1988</v>
      </c>
      <c r="D6321" t="s">
        <v>1844</v>
      </c>
      <c r="E6321" t="s">
        <v>1199</v>
      </c>
      <c r="F6321">
        <v>2026</v>
      </c>
    </row>
    <row r="6322" spans="1:6">
      <c r="A6322" t="s">
        <v>27</v>
      </c>
      <c r="B6322" t="s">
        <v>92</v>
      </c>
      <c r="C6322" t="s">
        <v>1988</v>
      </c>
      <c r="D6322" t="s">
        <v>1844</v>
      </c>
      <c r="E6322" t="s">
        <v>1467</v>
      </c>
      <c r="F6322">
        <v>144503.88</v>
      </c>
    </row>
    <row r="6323" spans="1:6">
      <c r="A6323" t="s">
        <v>27</v>
      </c>
      <c r="B6323" t="s">
        <v>92</v>
      </c>
      <c r="C6323" t="s">
        <v>1988</v>
      </c>
      <c r="D6323" t="s">
        <v>1844</v>
      </c>
      <c r="E6323" t="s">
        <v>1468</v>
      </c>
      <c r="F6323">
        <v>17490.96000000001</v>
      </c>
    </row>
    <row r="6324" spans="1:6">
      <c r="A6324" t="s">
        <v>27</v>
      </c>
      <c r="B6324" t="s">
        <v>92</v>
      </c>
      <c r="C6324" t="s">
        <v>1988</v>
      </c>
      <c r="D6324" t="s">
        <v>1844</v>
      </c>
      <c r="E6324" t="s">
        <v>1469</v>
      </c>
      <c r="F6324">
        <v>34347.65999999998</v>
      </c>
    </row>
    <row r="6325" spans="1:6">
      <c r="A6325" t="s">
        <v>27</v>
      </c>
      <c r="B6325" t="s">
        <v>92</v>
      </c>
      <c r="C6325" t="s">
        <v>1988</v>
      </c>
      <c r="D6325" t="s">
        <v>1844</v>
      </c>
      <c r="E6325" t="s">
        <v>1470</v>
      </c>
      <c r="F6325">
        <v>14939.16</v>
      </c>
    </row>
    <row r="6326" spans="1:6">
      <c r="A6326" t="s">
        <v>27</v>
      </c>
      <c r="B6326" t="s">
        <v>92</v>
      </c>
      <c r="C6326" t="s">
        <v>1988</v>
      </c>
      <c r="D6326" t="s">
        <v>1844</v>
      </c>
      <c r="E6326" t="s">
        <v>1472</v>
      </c>
      <c r="F6326">
        <v>15040.9</v>
      </c>
    </row>
    <row r="6327" spans="1:6">
      <c r="A6327" t="s">
        <v>27</v>
      </c>
      <c r="B6327" t="s">
        <v>92</v>
      </c>
      <c r="C6327" t="s">
        <v>1988</v>
      </c>
      <c r="D6327" t="s">
        <v>1844</v>
      </c>
      <c r="E6327" t="s">
        <v>1559</v>
      </c>
      <c r="F6327">
        <v>22647.02000000001</v>
      </c>
    </row>
    <row r="6328" spans="1:6">
      <c r="A6328" t="s">
        <v>27</v>
      </c>
      <c r="B6328" t="s">
        <v>92</v>
      </c>
      <c r="C6328" t="s">
        <v>1988</v>
      </c>
      <c r="D6328" t="s">
        <v>1844</v>
      </c>
      <c r="E6328" t="s">
        <v>1560</v>
      </c>
      <c r="F6328">
        <v>11922.86</v>
      </c>
    </row>
    <row r="6329" spans="1:6">
      <c r="A6329" t="s">
        <v>27</v>
      </c>
      <c r="B6329" t="s">
        <v>92</v>
      </c>
      <c r="C6329" t="s">
        <v>1988</v>
      </c>
      <c r="D6329" t="s">
        <v>1844</v>
      </c>
      <c r="E6329" t="s">
        <v>1853</v>
      </c>
      <c r="F6329">
        <v>9960.01</v>
      </c>
    </row>
    <row r="6330" spans="1:6">
      <c r="A6330" t="s">
        <v>27</v>
      </c>
      <c r="B6330" t="s">
        <v>92</v>
      </c>
      <c r="C6330" t="s">
        <v>1988</v>
      </c>
      <c r="D6330" t="s">
        <v>1844</v>
      </c>
      <c r="E6330" t="s">
        <v>1820</v>
      </c>
      <c r="F6330">
        <v>10759.17000000001</v>
      </c>
    </row>
    <row r="6331" spans="1:6">
      <c r="A6331" t="s">
        <v>27</v>
      </c>
      <c r="B6331" t="s">
        <v>92</v>
      </c>
      <c r="C6331" t="s">
        <v>1988</v>
      </c>
      <c r="D6331" t="s">
        <v>1844</v>
      </c>
      <c r="E6331" t="s">
        <v>1821</v>
      </c>
      <c r="F6331">
        <v>7396.140000000004</v>
      </c>
    </row>
    <row r="6332" spans="1:6">
      <c r="A6332" t="s">
        <v>27</v>
      </c>
      <c r="B6332" t="s">
        <v>92</v>
      </c>
      <c r="C6332" t="s">
        <v>1988</v>
      </c>
      <c r="D6332" t="s">
        <v>1844</v>
      </c>
      <c r="E6332" t="s">
        <v>1822</v>
      </c>
      <c r="F6332">
        <v>0</v>
      </c>
    </row>
    <row r="6333" spans="1:6">
      <c r="A6333" t="s">
        <v>27</v>
      </c>
      <c r="B6333" t="s">
        <v>92</v>
      </c>
      <c r="C6333" t="s">
        <v>1988</v>
      </c>
      <c r="D6333" t="s">
        <v>1844</v>
      </c>
      <c r="E6333" t="s">
        <v>1854</v>
      </c>
      <c r="F6333">
        <v>0</v>
      </c>
    </row>
    <row r="6334" spans="1:6">
      <c r="A6334" t="s">
        <v>27</v>
      </c>
      <c r="B6334" t="s">
        <v>92</v>
      </c>
      <c r="C6334" t="s">
        <v>1988</v>
      </c>
      <c r="D6334" t="s">
        <v>1844</v>
      </c>
      <c r="E6334" t="s">
        <v>1855</v>
      </c>
      <c r="F6334">
        <v>0</v>
      </c>
    </row>
    <row r="6335" spans="1:6">
      <c r="A6335" t="s">
        <v>27</v>
      </c>
      <c r="B6335" t="s">
        <v>92</v>
      </c>
      <c r="C6335" t="s">
        <v>1988</v>
      </c>
      <c r="D6335" t="s">
        <v>1844</v>
      </c>
      <c r="E6335" t="s">
        <v>1201</v>
      </c>
      <c r="F6335" t="s">
        <v>1009</v>
      </c>
    </row>
    <row r="6336" spans="1:6">
      <c r="A6336" t="s">
        <v>27</v>
      </c>
      <c r="B6336" t="s">
        <v>92</v>
      </c>
      <c r="C6336" t="s">
        <v>1988</v>
      </c>
      <c r="D6336" t="s">
        <v>1844</v>
      </c>
      <c r="E6336" t="s">
        <v>1202</v>
      </c>
      <c r="F6336">
        <v>275904.84</v>
      </c>
    </row>
    <row r="6337" spans="1:6">
      <c r="A6337" t="s">
        <v>27</v>
      </c>
      <c r="B6337" t="s">
        <v>92</v>
      </c>
      <c r="C6337" t="s">
        <v>1988</v>
      </c>
      <c r="D6337" t="s">
        <v>1856</v>
      </c>
      <c r="E6337" t="s">
        <v>1093</v>
      </c>
      <c r="F6337" t="s">
        <v>1094</v>
      </c>
    </row>
    <row r="6338" spans="1:6">
      <c r="A6338" t="s">
        <v>27</v>
      </c>
      <c r="B6338" t="s">
        <v>92</v>
      </c>
      <c r="C6338" t="s">
        <v>1988</v>
      </c>
      <c r="D6338" t="s">
        <v>1856</v>
      </c>
      <c r="E6338" t="s">
        <v>994</v>
      </c>
      <c r="F6338" t="s">
        <v>92</v>
      </c>
    </row>
    <row r="6339" spans="1:6">
      <c r="A6339" t="s">
        <v>27</v>
      </c>
      <c r="B6339" t="s">
        <v>92</v>
      </c>
      <c r="C6339" t="s">
        <v>1988</v>
      </c>
      <c r="D6339" t="s">
        <v>1856</v>
      </c>
      <c r="E6339" t="s">
        <v>995</v>
      </c>
      <c r="F6339" t="s">
        <v>996</v>
      </c>
    </row>
    <row r="6340" spans="1:6">
      <c r="A6340" t="s">
        <v>27</v>
      </c>
      <c r="B6340" t="s">
        <v>92</v>
      </c>
      <c r="C6340" t="s">
        <v>1988</v>
      </c>
      <c r="D6340" t="s">
        <v>1856</v>
      </c>
      <c r="E6340" t="s">
        <v>997</v>
      </c>
      <c r="F6340" t="s">
        <v>1989</v>
      </c>
    </row>
    <row r="6341" spans="1:6">
      <c r="A6341" t="s">
        <v>27</v>
      </c>
      <c r="B6341" t="s">
        <v>92</v>
      </c>
      <c r="C6341" t="s">
        <v>1988</v>
      </c>
      <c r="D6341" t="s">
        <v>1856</v>
      </c>
      <c r="E6341" t="s">
        <v>999</v>
      </c>
      <c r="F6341" t="s">
        <v>1000</v>
      </c>
    </row>
    <row r="6342" spans="1:6">
      <c r="A6342" t="s">
        <v>27</v>
      </c>
      <c r="B6342" t="s">
        <v>92</v>
      </c>
      <c r="C6342" t="s">
        <v>1988</v>
      </c>
      <c r="D6342" t="s">
        <v>1856</v>
      </c>
      <c r="E6342" t="s">
        <v>1001</v>
      </c>
      <c r="F6342" t="s">
        <v>16</v>
      </c>
    </row>
    <row r="6343" spans="1:6">
      <c r="A6343" t="s">
        <v>27</v>
      </c>
      <c r="B6343" t="s">
        <v>92</v>
      </c>
      <c r="C6343" t="s">
        <v>1988</v>
      </c>
      <c r="D6343" t="s">
        <v>1856</v>
      </c>
      <c r="E6343" t="s">
        <v>1002</v>
      </c>
      <c r="F6343" t="s">
        <v>1095</v>
      </c>
    </row>
    <row r="6344" spans="1:6">
      <c r="A6344" t="s">
        <v>27</v>
      </c>
      <c r="B6344" t="s">
        <v>92</v>
      </c>
      <c r="C6344" t="s">
        <v>1988</v>
      </c>
      <c r="D6344" t="s">
        <v>1856</v>
      </c>
      <c r="E6344" t="s">
        <v>1006</v>
      </c>
      <c r="F6344" t="s">
        <v>1097</v>
      </c>
    </row>
    <row r="6345" spans="1:6">
      <c r="A6345" t="s">
        <v>27</v>
      </c>
      <c r="B6345" t="s">
        <v>92</v>
      </c>
      <c r="C6345" t="s">
        <v>1988</v>
      </c>
      <c r="D6345" t="s">
        <v>1856</v>
      </c>
      <c r="E6345" t="s">
        <v>1008</v>
      </c>
      <c r="F6345" t="s">
        <v>1098</v>
      </c>
    </row>
    <row r="6346" spans="1:6">
      <c r="A6346" t="s">
        <v>27</v>
      </c>
      <c r="B6346" t="s">
        <v>92</v>
      </c>
      <c r="C6346" t="s">
        <v>1988</v>
      </c>
      <c r="D6346" t="s">
        <v>1856</v>
      </c>
      <c r="E6346" t="s">
        <v>1035</v>
      </c>
      <c r="F6346" t="s">
        <v>1009</v>
      </c>
    </row>
    <row r="6347" spans="1:6">
      <c r="A6347" t="s">
        <v>27</v>
      </c>
      <c r="B6347" t="s">
        <v>92</v>
      </c>
      <c r="C6347" t="s">
        <v>1988</v>
      </c>
      <c r="D6347" t="s">
        <v>1856</v>
      </c>
      <c r="E6347" t="s">
        <v>1099</v>
      </c>
      <c r="F6347" t="s">
        <v>93</v>
      </c>
    </row>
    <row r="6348" spans="1:6">
      <c r="A6348" t="s">
        <v>27</v>
      </c>
      <c r="B6348" t="s">
        <v>92</v>
      </c>
      <c r="C6348" t="s">
        <v>1988</v>
      </c>
      <c r="D6348" t="s">
        <v>1856</v>
      </c>
      <c r="E6348" t="s">
        <v>1100</v>
      </c>
      <c r="F6348">
        <v>2024</v>
      </c>
    </row>
    <row r="6349" spans="1:6">
      <c r="A6349" t="s">
        <v>27</v>
      </c>
      <c r="B6349" t="s">
        <v>92</v>
      </c>
      <c r="C6349" t="s">
        <v>1988</v>
      </c>
      <c r="D6349" t="s">
        <v>1856</v>
      </c>
      <c r="E6349" t="s">
        <v>1101</v>
      </c>
      <c r="F6349">
        <v>2025</v>
      </c>
    </row>
    <row r="6350" spans="1:6">
      <c r="A6350" t="s">
        <v>27</v>
      </c>
      <c r="B6350" t="s">
        <v>92</v>
      </c>
      <c r="C6350" t="s">
        <v>1988</v>
      </c>
      <c r="D6350" t="s">
        <v>1856</v>
      </c>
      <c r="E6350" t="s">
        <v>1512</v>
      </c>
      <c r="F6350">
        <v>2026</v>
      </c>
    </row>
    <row r="6351" spans="1:6">
      <c r="A6351" t="s">
        <v>27</v>
      </c>
      <c r="B6351" t="s">
        <v>92</v>
      </c>
      <c r="C6351" t="s">
        <v>1988</v>
      </c>
      <c r="D6351" t="s">
        <v>1856</v>
      </c>
      <c r="E6351" t="s">
        <v>1036</v>
      </c>
      <c r="F6351" t="s">
        <v>1102</v>
      </c>
    </row>
    <row r="6352" spans="1:6">
      <c r="A6352" t="s">
        <v>27</v>
      </c>
      <c r="B6352" t="s">
        <v>92</v>
      </c>
      <c r="C6352" t="s">
        <v>1988</v>
      </c>
      <c r="D6352" t="s">
        <v>1856</v>
      </c>
      <c r="E6352" t="s">
        <v>1037</v>
      </c>
      <c r="F6352">
        <v>2061505.32</v>
      </c>
    </row>
    <row r="6353" spans="1:6">
      <c r="A6353" t="s">
        <v>27</v>
      </c>
      <c r="B6353" t="s">
        <v>92</v>
      </c>
      <c r="C6353" t="s">
        <v>1988</v>
      </c>
      <c r="D6353" t="s">
        <v>1856</v>
      </c>
      <c r="E6353" t="s">
        <v>1103</v>
      </c>
      <c r="F6353">
        <v>1360.75</v>
      </c>
    </row>
    <row r="6354" spans="1:6">
      <c r="A6354" t="s">
        <v>27</v>
      </c>
      <c r="B6354" t="s">
        <v>92</v>
      </c>
      <c r="C6354" t="s">
        <v>1988</v>
      </c>
      <c r="D6354" t="s">
        <v>1856</v>
      </c>
      <c r="E6354" t="s">
        <v>1104</v>
      </c>
      <c r="F6354">
        <v>707.71</v>
      </c>
    </row>
    <row r="6355" spans="1:6">
      <c r="A6355" t="s">
        <v>27</v>
      </c>
      <c r="B6355" t="s">
        <v>92</v>
      </c>
      <c r="C6355" t="s">
        <v>1988</v>
      </c>
      <c r="D6355" t="s">
        <v>1856</v>
      </c>
      <c r="E6355" t="s">
        <v>1105</v>
      </c>
      <c r="F6355">
        <v>979562.14</v>
      </c>
    </row>
    <row r="6356" spans="1:6">
      <c r="A6356" t="s">
        <v>27</v>
      </c>
      <c r="B6356" t="s">
        <v>92</v>
      </c>
      <c r="C6356" t="s">
        <v>1988</v>
      </c>
      <c r="D6356" t="s">
        <v>1856</v>
      </c>
      <c r="E6356" t="s">
        <v>1346</v>
      </c>
      <c r="F6356">
        <v>1079874.72</v>
      </c>
    </row>
    <row r="6357" spans="1:6">
      <c r="A6357" t="s">
        <v>27</v>
      </c>
      <c r="B6357" t="s">
        <v>92</v>
      </c>
      <c r="C6357" t="s">
        <v>1988</v>
      </c>
      <c r="D6357" t="s">
        <v>1856</v>
      </c>
      <c r="E6357" t="s">
        <v>1038</v>
      </c>
      <c r="F6357" t="s">
        <v>1106</v>
      </c>
    </row>
    <row r="6358" spans="1:6">
      <c r="A6358" t="s">
        <v>27</v>
      </c>
      <c r="B6358" t="s">
        <v>92</v>
      </c>
      <c r="C6358" t="s">
        <v>1988</v>
      </c>
      <c r="D6358" t="s">
        <v>1856</v>
      </c>
      <c r="E6358" t="s">
        <v>1039</v>
      </c>
      <c r="F6358">
        <v>2045338.61</v>
      </c>
    </row>
    <row r="6359" spans="1:6">
      <c r="A6359" t="s">
        <v>27</v>
      </c>
      <c r="B6359" t="s">
        <v>92</v>
      </c>
      <c r="C6359" t="s">
        <v>1988</v>
      </c>
      <c r="D6359" t="s">
        <v>1856</v>
      </c>
      <c r="E6359" t="s">
        <v>1040</v>
      </c>
      <c r="F6359">
        <v>1360.75</v>
      </c>
    </row>
    <row r="6360" spans="1:6">
      <c r="A6360" t="s">
        <v>27</v>
      </c>
      <c r="B6360" t="s">
        <v>92</v>
      </c>
      <c r="C6360" t="s">
        <v>1988</v>
      </c>
      <c r="D6360" t="s">
        <v>1856</v>
      </c>
      <c r="E6360" t="s">
        <v>1041</v>
      </c>
      <c r="F6360">
        <v>707.71</v>
      </c>
    </row>
    <row r="6361" spans="1:6">
      <c r="A6361" t="s">
        <v>27</v>
      </c>
      <c r="B6361" t="s">
        <v>92</v>
      </c>
      <c r="C6361" t="s">
        <v>1988</v>
      </c>
      <c r="D6361" t="s">
        <v>1856</v>
      </c>
      <c r="E6361" t="s">
        <v>1042</v>
      </c>
      <c r="F6361">
        <v>979562.1399999998</v>
      </c>
    </row>
    <row r="6362" spans="1:6">
      <c r="A6362" t="s">
        <v>27</v>
      </c>
      <c r="B6362" t="s">
        <v>92</v>
      </c>
      <c r="C6362" t="s">
        <v>1988</v>
      </c>
      <c r="D6362" t="s">
        <v>1856</v>
      </c>
      <c r="E6362" t="s">
        <v>1043</v>
      </c>
      <c r="F6362">
        <v>1063708.010000001</v>
      </c>
    </row>
    <row r="6363" spans="1:6">
      <c r="A6363" t="s">
        <v>27</v>
      </c>
      <c r="B6363" t="s">
        <v>92</v>
      </c>
      <c r="C6363" t="s">
        <v>1988</v>
      </c>
      <c r="D6363" t="s">
        <v>1856</v>
      </c>
      <c r="E6363" t="s">
        <v>1052</v>
      </c>
      <c r="F6363" t="s">
        <v>1107</v>
      </c>
    </row>
    <row r="6364" spans="1:6">
      <c r="A6364" t="s">
        <v>27</v>
      </c>
      <c r="B6364" t="s">
        <v>92</v>
      </c>
      <c r="C6364" t="s">
        <v>1988</v>
      </c>
      <c r="D6364" t="s">
        <v>1856</v>
      </c>
      <c r="E6364" t="s">
        <v>1053</v>
      </c>
      <c r="F6364">
        <v>1705941.94</v>
      </c>
    </row>
    <row r="6365" spans="1:6">
      <c r="A6365" t="s">
        <v>27</v>
      </c>
      <c r="B6365" t="s">
        <v>92</v>
      </c>
      <c r="C6365" t="s">
        <v>1988</v>
      </c>
      <c r="D6365" t="s">
        <v>1856</v>
      </c>
      <c r="E6365" t="s">
        <v>1108</v>
      </c>
      <c r="F6365">
        <v>1100.43</v>
      </c>
    </row>
    <row r="6366" spans="1:6">
      <c r="A6366" t="s">
        <v>27</v>
      </c>
      <c r="B6366" t="s">
        <v>92</v>
      </c>
      <c r="C6366" t="s">
        <v>1988</v>
      </c>
      <c r="D6366" t="s">
        <v>1856</v>
      </c>
      <c r="E6366" t="s">
        <v>1109</v>
      </c>
      <c r="F6366">
        <v>707.71</v>
      </c>
    </row>
    <row r="6367" spans="1:6">
      <c r="A6367" t="s">
        <v>27</v>
      </c>
      <c r="B6367" t="s">
        <v>92</v>
      </c>
      <c r="C6367" t="s">
        <v>1988</v>
      </c>
      <c r="D6367" t="s">
        <v>1856</v>
      </c>
      <c r="E6367" t="s">
        <v>1110</v>
      </c>
      <c r="F6367">
        <v>916209.2199999997</v>
      </c>
    </row>
    <row r="6368" spans="1:6">
      <c r="A6368" t="s">
        <v>27</v>
      </c>
      <c r="B6368" t="s">
        <v>92</v>
      </c>
      <c r="C6368" t="s">
        <v>1988</v>
      </c>
      <c r="D6368" t="s">
        <v>1856</v>
      </c>
      <c r="E6368" t="s">
        <v>1521</v>
      </c>
      <c r="F6368">
        <v>787924.5800000007</v>
      </c>
    </row>
    <row r="6369" spans="1:6">
      <c r="A6369" t="s">
        <v>27</v>
      </c>
      <c r="B6369" t="s">
        <v>92</v>
      </c>
      <c r="C6369" t="s">
        <v>1988</v>
      </c>
      <c r="D6369" t="s">
        <v>1856</v>
      </c>
      <c r="E6369" t="s">
        <v>1111</v>
      </c>
      <c r="F6369" t="s">
        <v>1112</v>
      </c>
    </row>
    <row r="6370" spans="1:6">
      <c r="A6370" t="s">
        <v>27</v>
      </c>
      <c r="B6370" t="s">
        <v>92</v>
      </c>
      <c r="C6370" t="s">
        <v>1988</v>
      </c>
      <c r="D6370" t="s">
        <v>1856</v>
      </c>
      <c r="E6370" t="s">
        <v>1113</v>
      </c>
      <c r="F6370">
        <v>0</v>
      </c>
    </row>
    <row r="6371" spans="1:6">
      <c r="A6371" t="s">
        <v>27</v>
      </c>
      <c r="B6371" t="s">
        <v>92</v>
      </c>
      <c r="C6371" t="s">
        <v>1988</v>
      </c>
      <c r="D6371" t="s">
        <v>1856</v>
      </c>
      <c r="E6371" t="s">
        <v>1114</v>
      </c>
      <c r="F6371">
        <v>0</v>
      </c>
    </row>
    <row r="6372" spans="1:6">
      <c r="A6372" t="s">
        <v>27</v>
      </c>
      <c r="B6372" t="s">
        <v>92</v>
      </c>
      <c r="C6372" t="s">
        <v>1988</v>
      </c>
      <c r="D6372" t="s">
        <v>1856</v>
      </c>
      <c r="E6372" t="s">
        <v>1115</v>
      </c>
      <c r="F6372">
        <v>0</v>
      </c>
    </row>
    <row r="6373" spans="1:6">
      <c r="A6373" t="s">
        <v>27</v>
      </c>
      <c r="B6373" t="s">
        <v>92</v>
      </c>
      <c r="C6373" t="s">
        <v>1988</v>
      </c>
      <c r="D6373" t="s">
        <v>1856</v>
      </c>
      <c r="E6373" t="s">
        <v>1116</v>
      </c>
      <c r="F6373">
        <v>0</v>
      </c>
    </row>
    <row r="6374" spans="1:6">
      <c r="A6374" t="s">
        <v>27</v>
      </c>
      <c r="B6374" t="s">
        <v>92</v>
      </c>
      <c r="C6374" t="s">
        <v>1988</v>
      </c>
      <c r="D6374" t="s">
        <v>1856</v>
      </c>
      <c r="E6374" t="s">
        <v>1857</v>
      </c>
      <c r="F6374">
        <v>0</v>
      </c>
    </row>
    <row r="6375" spans="1:6">
      <c r="A6375" t="s">
        <v>27</v>
      </c>
      <c r="B6375" t="s">
        <v>92</v>
      </c>
      <c r="C6375" t="s">
        <v>1988</v>
      </c>
      <c r="D6375" t="s">
        <v>1856</v>
      </c>
      <c r="E6375" t="s">
        <v>1054</v>
      </c>
      <c r="F6375" t="s">
        <v>1117</v>
      </c>
    </row>
    <row r="6376" spans="1:6">
      <c r="A6376" t="s">
        <v>27</v>
      </c>
      <c r="B6376" t="s">
        <v>92</v>
      </c>
      <c r="C6376" t="s">
        <v>1988</v>
      </c>
      <c r="D6376" t="s">
        <v>1856</v>
      </c>
      <c r="E6376" t="s">
        <v>1118</v>
      </c>
      <c r="F6376">
        <v>339396.67</v>
      </c>
    </row>
    <row r="6377" spans="1:6">
      <c r="A6377" t="s">
        <v>27</v>
      </c>
      <c r="B6377" t="s">
        <v>92</v>
      </c>
      <c r="C6377" t="s">
        <v>1988</v>
      </c>
      <c r="D6377" t="s">
        <v>1856</v>
      </c>
      <c r="E6377" t="s">
        <v>1119</v>
      </c>
      <c r="F6377">
        <v>260.32</v>
      </c>
    </row>
    <row r="6378" spans="1:6">
      <c r="A6378" t="s">
        <v>27</v>
      </c>
      <c r="B6378" t="s">
        <v>92</v>
      </c>
      <c r="C6378" t="s">
        <v>1988</v>
      </c>
      <c r="D6378" t="s">
        <v>1856</v>
      </c>
      <c r="E6378" t="s">
        <v>1120</v>
      </c>
      <c r="F6378">
        <v>0</v>
      </c>
    </row>
    <row r="6379" spans="1:6">
      <c r="A6379" t="s">
        <v>27</v>
      </c>
      <c r="B6379" t="s">
        <v>92</v>
      </c>
      <c r="C6379" t="s">
        <v>1988</v>
      </c>
      <c r="D6379" t="s">
        <v>1856</v>
      </c>
      <c r="E6379" t="s">
        <v>1121</v>
      </c>
      <c r="F6379">
        <v>63352.92000000001</v>
      </c>
    </row>
    <row r="6380" spans="1:6">
      <c r="A6380" t="s">
        <v>27</v>
      </c>
      <c r="B6380" t="s">
        <v>92</v>
      </c>
      <c r="C6380" t="s">
        <v>1988</v>
      </c>
      <c r="D6380" t="s">
        <v>1856</v>
      </c>
      <c r="E6380" t="s">
        <v>1858</v>
      </c>
      <c r="F6380">
        <v>275783.4300000001</v>
      </c>
    </row>
    <row r="6381" spans="1:6">
      <c r="A6381" t="s">
        <v>27</v>
      </c>
      <c r="B6381" t="s">
        <v>92</v>
      </c>
      <c r="C6381" t="s">
        <v>1988</v>
      </c>
      <c r="D6381" t="s">
        <v>1856</v>
      </c>
      <c r="E6381" t="s">
        <v>1122</v>
      </c>
      <c r="F6381" t="s">
        <v>1859</v>
      </c>
    </row>
    <row r="6382" spans="1:6">
      <c r="A6382" t="s">
        <v>27</v>
      </c>
      <c r="B6382" t="s">
        <v>92</v>
      </c>
      <c r="C6382" t="s">
        <v>1988</v>
      </c>
      <c r="D6382" t="s">
        <v>1856</v>
      </c>
      <c r="E6382" t="s">
        <v>1124</v>
      </c>
      <c r="F6382">
        <v>6362.030000000001</v>
      </c>
    </row>
    <row r="6383" spans="1:6">
      <c r="A6383" t="s">
        <v>27</v>
      </c>
      <c r="B6383" t="s">
        <v>92</v>
      </c>
      <c r="C6383" t="s">
        <v>1988</v>
      </c>
      <c r="D6383" t="s">
        <v>1856</v>
      </c>
      <c r="E6383" t="s">
        <v>1126</v>
      </c>
      <c r="F6383">
        <v>260</v>
      </c>
    </row>
    <row r="6384" spans="1:6">
      <c r="A6384" t="s">
        <v>27</v>
      </c>
      <c r="B6384" t="s">
        <v>92</v>
      </c>
      <c r="C6384" t="s">
        <v>1988</v>
      </c>
      <c r="D6384" t="s">
        <v>1856</v>
      </c>
      <c r="E6384" t="s">
        <v>1127</v>
      </c>
      <c r="F6384">
        <v>0</v>
      </c>
    </row>
    <row r="6385" spans="1:6">
      <c r="A6385" t="s">
        <v>27</v>
      </c>
      <c r="B6385" t="s">
        <v>92</v>
      </c>
      <c r="C6385" t="s">
        <v>1988</v>
      </c>
      <c r="D6385" t="s">
        <v>1856</v>
      </c>
      <c r="E6385" t="s">
        <v>1128</v>
      </c>
      <c r="F6385">
        <v>4120.26</v>
      </c>
    </row>
    <row r="6386" spans="1:6">
      <c r="A6386" t="s">
        <v>27</v>
      </c>
      <c r="B6386" t="s">
        <v>92</v>
      </c>
      <c r="C6386" t="s">
        <v>1988</v>
      </c>
      <c r="D6386" t="s">
        <v>1856</v>
      </c>
      <c r="E6386" t="s">
        <v>1355</v>
      </c>
      <c r="F6386">
        <v>1981.77</v>
      </c>
    </row>
    <row r="6387" spans="1:6">
      <c r="A6387" t="s">
        <v>27</v>
      </c>
      <c r="B6387" t="s">
        <v>92</v>
      </c>
      <c r="C6387" t="s">
        <v>1988</v>
      </c>
      <c r="D6387" t="s">
        <v>1856</v>
      </c>
      <c r="E6387" t="s">
        <v>1056</v>
      </c>
      <c r="F6387" t="s">
        <v>1860</v>
      </c>
    </row>
    <row r="6388" spans="1:6">
      <c r="A6388" t="s">
        <v>27</v>
      </c>
      <c r="B6388" t="s">
        <v>92</v>
      </c>
      <c r="C6388" t="s">
        <v>1988</v>
      </c>
      <c r="D6388" t="s">
        <v>1856</v>
      </c>
      <c r="E6388" t="s">
        <v>1057</v>
      </c>
      <c r="F6388">
        <v>214152.59</v>
      </c>
    </row>
    <row r="6389" spans="1:6">
      <c r="A6389" t="s">
        <v>27</v>
      </c>
      <c r="B6389" t="s">
        <v>92</v>
      </c>
      <c r="C6389" t="s">
        <v>1988</v>
      </c>
      <c r="D6389" t="s">
        <v>1856</v>
      </c>
      <c r="E6389" t="s">
        <v>1058</v>
      </c>
      <c r="F6389">
        <v>0</v>
      </c>
    </row>
    <row r="6390" spans="1:6">
      <c r="A6390" t="s">
        <v>27</v>
      </c>
      <c r="B6390" t="s">
        <v>92</v>
      </c>
      <c r="C6390" t="s">
        <v>1988</v>
      </c>
      <c r="D6390" t="s">
        <v>1856</v>
      </c>
      <c r="E6390" t="s">
        <v>1059</v>
      </c>
      <c r="F6390">
        <v>0</v>
      </c>
    </row>
    <row r="6391" spans="1:6">
      <c r="A6391" t="s">
        <v>27</v>
      </c>
      <c r="B6391" t="s">
        <v>92</v>
      </c>
      <c r="C6391" t="s">
        <v>1988</v>
      </c>
      <c r="D6391" t="s">
        <v>1856</v>
      </c>
      <c r="E6391" t="s">
        <v>1060</v>
      </c>
      <c r="F6391">
        <v>32684.46</v>
      </c>
    </row>
    <row r="6392" spans="1:6">
      <c r="A6392" t="s">
        <v>27</v>
      </c>
      <c r="B6392" t="s">
        <v>92</v>
      </c>
      <c r="C6392" t="s">
        <v>1988</v>
      </c>
      <c r="D6392" t="s">
        <v>1856</v>
      </c>
      <c r="E6392" t="s">
        <v>1061</v>
      </c>
      <c r="F6392">
        <v>181468.13</v>
      </c>
    </row>
    <row r="6393" spans="1:6">
      <c r="A6393" t="s">
        <v>27</v>
      </c>
      <c r="B6393" t="s">
        <v>92</v>
      </c>
      <c r="C6393" t="s">
        <v>1988</v>
      </c>
      <c r="D6393" t="s">
        <v>1856</v>
      </c>
      <c r="E6393" t="s">
        <v>1071</v>
      </c>
      <c r="F6393" t="s">
        <v>1861</v>
      </c>
    </row>
    <row r="6394" spans="1:6">
      <c r="A6394" t="s">
        <v>27</v>
      </c>
      <c r="B6394" t="s">
        <v>92</v>
      </c>
      <c r="C6394" t="s">
        <v>1988</v>
      </c>
      <c r="D6394" t="s">
        <v>1856</v>
      </c>
      <c r="E6394" t="s">
        <v>1072</v>
      </c>
      <c r="F6394">
        <v>41764.63000000003</v>
      </c>
    </row>
    <row r="6395" spans="1:6">
      <c r="A6395" t="s">
        <v>27</v>
      </c>
      <c r="B6395" t="s">
        <v>92</v>
      </c>
      <c r="C6395" t="s">
        <v>1988</v>
      </c>
      <c r="D6395" t="s">
        <v>1856</v>
      </c>
      <c r="E6395" t="s">
        <v>1133</v>
      </c>
      <c r="F6395">
        <v>0</v>
      </c>
    </row>
    <row r="6396" spans="1:6">
      <c r="A6396" t="s">
        <v>27</v>
      </c>
      <c r="B6396" t="s">
        <v>92</v>
      </c>
      <c r="C6396" t="s">
        <v>1988</v>
      </c>
      <c r="D6396" t="s">
        <v>1856</v>
      </c>
      <c r="E6396" t="s">
        <v>1134</v>
      </c>
      <c r="F6396">
        <v>0</v>
      </c>
    </row>
    <row r="6397" spans="1:6">
      <c r="A6397" t="s">
        <v>27</v>
      </c>
      <c r="B6397" t="s">
        <v>92</v>
      </c>
      <c r="C6397" t="s">
        <v>1988</v>
      </c>
      <c r="D6397" t="s">
        <v>1856</v>
      </c>
      <c r="E6397" t="s">
        <v>1135</v>
      </c>
      <c r="F6397">
        <v>19326.21</v>
      </c>
    </row>
    <row r="6398" spans="1:6">
      <c r="A6398" t="s">
        <v>27</v>
      </c>
      <c r="B6398" t="s">
        <v>92</v>
      </c>
      <c r="C6398" t="s">
        <v>1988</v>
      </c>
      <c r="D6398" t="s">
        <v>1856</v>
      </c>
      <c r="E6398" t="s">
        <v>1414</v>
      </c>
      <c r="F6398">
        <v>22438.42000000003</v>
      </c>
    </row>
    <row r="6399" spans="1:6">
      <c r="A6399" t="s">
        <v>27</v>
      </c>
      <c r="B6399" t="s">
        <v>92</v>
      </c>
      <c r="C6399" t="s">
        <v>1988</v>
      </c>
      <c r="D6399" t="s">
        <v>1856</v>
      </c>
      <c r="E6399" t="s">
        <v>1073</v>
      </c>
      <c r="F6399" t="s">
        <v>1862</v>
      </c>
    </row>
    <row r="6400" spans="1:6">
      <c r="A6400" t="s">
        <v>27</v>
      </c>
      <c r="B6400" t="s">
        <v>92</v>
      </c>
      <c r="C6400" t="s">
        <v>1988</v>
      </c>
      <c r="D6400" t="s">
        <v>1856</v>
      </c>
      <c r="E6400" t="s">
        <v>1074</v>
      </c>
      <c r="F6400">
        <v>835.1999999999998</v>
      </c>
    </row>
    <row r="6401" spans="1:6">
      <c r="A6401" t="s">
        <v>27</v>
      </c>
      <c r="B6401" t="s">
        <v>92</v>
      </c>
      <c r="C6401" t="s">
        <v>1988</v>
      </c>
      <c r="D6401" t="s">
        <v>1856</v>
      </c>
      <c r="E6401" t="s">
        <v>1296</v>
      </c>
      <c r="F6401">
        <v>0</v>
      </c>
    </row>
    <row r="6402" spans="1:6">
      <c r="A6402" t="s">
        <v>27</v>
      </c>
      <c r="B6402" t="s">
        <v>92</v>
      </c>
      <c r="C6402" t="s">
        <v>1988</v>
      </c>
      <c r="D6402" t="s">
        <v>1856</v>
      </c>
      <c r="E6402" t="s">
        <v>1297</v>
      </c>
      <c r="F6402">
        <v>0</v>
      </c>
    </row>
    <row r="6403" spans="1:6">
      <c r="A6403" t="s">
        <v>27</v>
      </c>
      <c r="B6403" t="s">
        <v>92</v>
      </c>
      <c r="C6403" t="s">
        <v>1988</v>
      </c>
      <c r="D6403" t="s">
        <v>1856</v>
      </c>
      <c r="E6403" t="s">
        <v>1364</v>
      </c>
      <c r="F6403">
        <v>405.3</v>
      </c>
    </row>
    <row r="6404" spans="1:6">
      <c r="A6404" t="s">
        <v>27</v>
      </c>
      <c r="B6404" t="s">
        <v>92</v>
      </c>
      <c r="C6404" t="s">
        <v>1988</v>
      </c>
      <c r="D6404" t="s">
        <v>1856</v>
      </c>
      <c r="E6404" t="s">
        <v>1365</v>
      </c>
      <c r="F6404">
        <v>429.8999999999999</v>
      </c>
    </row>
    <row r="6405" spans="1:6">
      <c r="A6405" t="s">
        <v>27</v>
      </c>
      <c r="B6405" t="s">
        <v>92</v>
      </c>
      <c r="C6405" t="s">
        <v>1988</v>
      </c>
      <c r="D6405" t="s">
        <v>1856</v>
      </c>
      <c r="E6405" t="s">
        <v>1075</v>
      </c>
      <c r="F6405" t="s">
        <v>1863</v>
      </c>
    </row>
    <row r="6406" spans="1:6">
      <c r="A6406" t="s">
        <v>27</v>
      </c>
      <c r="B6406" t="s">
        <v>92</v>
      </c>
      <c r="C6406" t="s">
        <v>1988</v>
      </c>
      <c r="D6406" t="s">
        <v>1856</v>
      </c>
      <c r="E6406" t="s">
        <v>1076</v>
      </c>
      <c r="F6406">
        <v>4758.199999999995</v>
      </c>
    </row>
    <row r="6407" spans="1:6">
      <c r="A6407" t="s">
        <v>27</v>
      </c>
      <c r="B6407" t="s">
        <v>92</v>
      </c>
      <c r="C6407" t="s">
        <v>1988</v>
      </c>
      <c r="D6407" t="s">
        <v>1856</v>
      </c>
      <c r="E6407" t="s">
        <v>1077</v>
      </c>
      <c r="F6407">
        <v>0.32</v>
      </c>
    </row>
    <row r="6408" spans="1:6">
      <c r="A6408" t="s">
        <v>27</v>
      </c>
      <c r="B6408" t="s">
        <v>92</v>
      </c>
      <c r="C6408" t="s">
        <v>1988</v>
      </c>
      <c r="D6408" t="s">
        <v>1856</v>
      </c>
      <c r="E6408" t="s">
        <v>1078</v>
      </c>
      <c r="F6408">
        <v>0</v>
      </c>
    </row>
    <row r="6409" spans="1:6">
      <c r="A6409" t="s">
        <v>27</v>
      </c>
      <c r="B6409" t="s">
        <v>92</v>
      </c>
      <c r="C6409" t="s">
        <v>1988</v>
      </c>
      <c r="D6409" t="s">
        <v>1856</v>
      </c>
      <c r="E6409" t="s">
        <v>1079</v>
      </c>
      <c r="F6409">
        <v>2368.5</v>
      </c>
    </row>
    <row r="6410" spans="1:6">
      <c r="A6410" t="s">
        <v>27</v>
      </c>
      <c r="B6410" t="s">
        <v>92</v>
      </c>
      <c r="C6410" t="s">
        <v>1988</v>
      </c>
      <c r="D6410" t="s">
        <v>1856</v>
      </c>
      <c r="E6410" t="s">
        <v>1080</v>
      </c>
      <c r="F6410">
        <v>2389.379999999996</v>
      </c>
    </row>
    <row r="6411" spans="1:6">
      <c r="A6411" t="s">
        <v>27</v>
      </c>
      <c r="B6411" t="s">
        <v>92</v>
      </c>
      <c r="C6411" t="s">
        <v>1988</v>
      </c>
      <c r="D6411" t="s">
        <v>1856</v>
      </c>
      <c r="E6411" t="s">
        <v>1089</v>
      </c>
      <c r="F6411" t="s">
        <v>1864</v>
      </c>
    </row>
    <row r="6412" spans="1:6">
      <c r="A6412" t="s">
        <v>27</v>
      </c>
      <c r="B6412" t="s">
        <v>92</v>
      </c>
      <c r="C6412" t="s">
        <v>1988</v>
      </c>
      <c r="D6412" t="s">
        <v>1856</v>
      </c>
      <c r="E6412" t="s">
        <v>1090</v>
      </c>
      <c r="F6412">
        <v>71284.02</v>
      </c>
    </row>
    <row r="6413" spans="1:6">
      <c r="A6413" t="s">
        <v>27</v>
      </c>
      <c r="B6413" t="s">
        <v>92</v>
      </c>
      <c r="C6413" t="s">
        <v>1988</v>
      </c>
      <c r="D6413" t="s">
        <v>1856</v>
      </c>
      <c r="E6413" t="s">
        <v>1139</v>
      </c>
      <c r="F6413">
        <v>0</v>
      </c>
    </row>
    <row r="6414" spans="1:6">
      <c r="A6414" t="s">
        <v>27</v>
      </c>
      <c r="B6414" t="s">
        <v>92</v>
      </c>
      <c r="C6414" t="s">
        <v>1988</v>
      </c>
      <c r="D6414" t="s">
        <v>1856</v>
      </c>
      <c r="E6414" t="s">
        <v>1140</v>
      </c>
      <c r="F6414">
        <v>0</v>
      </c>
    </row>
    <row r="6415" spans="1:6">
      <c r="A6415" t="s">
        <v>27</v>
      </c>
      <c r="B6415" t="s">
        <v>92</v>
      </c>
      <c r="C6415" t="s">
        <v>1988</v>
      </c>
      <c r="D6415" t="s">
        <v>1856</v>
      </c>
      <c r="E6415" t="s">
        <v>1141</v>
      </c>
      <c r="F6415">
        <v>4448.19</v>
      </c>
    </row>
    <row r="6416" spans="1:6">
      <c r="A6416" t="s">
        <v>27</v>
      </c>
      <c r="B6416" t="s">
        <v>92</v>
      </c>
      <c r="C6416" t="s">
        <v>1988</v>
      </c>
      <c r="D6416" t="s">
        <v>1856</v>
      </c>
      <c r="E6416" t="s">
        <v>1423</v>
      </c>
      <c r="F6416">
        <v>66835.83</v>
      </c>
    </row>
    <row r="6417" spans="1:6">
      <c r="A6417" t="s">
        <v>27</v>
      </c>
      <c r="B6417" t="s">
        <v>92</v>
      </c>
      <c r="C6417" t="s">
        <v>1988</v>
      </c>
      <c r="D6417" t="s">
        <v>1856</v>
      </c>
      <c r="E6417" t="s">
        <v>1546</v>
      </c>
      <c r="F6417" t="s">
        <v>1865</v>
      </c>
    </row>
    <row r="6418" spans="1:6">
      <c r="A6418" t="s">
        <v>27</v>
      </c>
      <c r="B6418" t="s">
        <v>92</v>
      </c>
      <c r="C6418" t="s">
        <v>1988</v>
      </c>
      <c r="D6418" t="s">
        <v>1856</v>
      </c>
      <c r="E6418" t="s">
        <v>1298</v>
      </c>
      <c r="F6418">
        <v>0</v>
      </c>
    </row>
    <row r="6419" spans="1:6">
      <c r="A6419" t="s">
        <v>27</v>
      </c>
      <c r="B6419" t="s">
        <v>92</v>
      </c>
      <c r="C6419" t="s">
        <v>1988</v>
      </c>
      <c r="D6419" t="s">
        <v>1856</v>
      </c>
      <c r="E6419" t="s">
        <v>1299</v>
      </c>
      <c r="F6419">
        <v>0</v>
      </c>
    </row>
    <row r="6420" spans="1:6">
      <c r="A6420" t="s">
        <v>27</v>
      </c>
      <c r="B6420" t="s">
        <v>92</v>
      </c>
      <c r="C6420" t="s">
        <v>1988</v>
      </c>
      <c r="D6420" t="s">
        <v>1856</v>
      </c>
      <c r="E6420" t="s">
        <v>1300</v>
      </c>
      <c r="F6420">
        <v>0</v>
      </c>
    </row>
    <row r="6421" spans="1:6">
      <c r="A6421" t="s">
        <v>27</v>
      </c>
      <c r="B6421" t="s">
        <v>92</v>
      </c>
      <c r="C6421" t="s">
        <v>1988</v>
      </c>
      <c r="D6421" t="s">
        <v>1856</v>
      </c>
      <c r="E6421" t="s">
        <v>1426</v>
      </c>
      <c r="F6421">
        <v>0</v>
      </c>
    </row>
    <row r="6422" spans="1:6">
      <c r="A6422" t="s">
        <v>27</v>
      </c>
      <c r="B6422" t="s">
        <v>92</v>
      </c>
      <c r="C6422" t="s">
        <v>1988</v>
      </c>
      <c r="D6422" t="s">
        <v>1856</v>
      </c>
      <c r="E6422" t="s">
        <v>1400</v>
      </c>
      <c r="F6422">
        <v>0</v>
      </c>
    </row>
    <row r="6423" spans="1:6">
      <c r="A6423" t="s">
        <v>27</v>
      </c>
      <c r="B6423" t="s">
        <v>92</v>
      </c>
      <c r="C6423" t="s">
        <v>1988</v>
      </c>
      <c r="D6423" t="s">
        <v>1856</v>
      </c>
      <c r="E6423" t="s">
        <v>1143</v>
      </c>
      <c r="F6423" t="s">
        <v>1866</v>
      </c>
    </row>
    <row r="6424" spans="1:6">
      <c r="A6424" t="s">
        <v>27</v>
      </c>
      <c r="B6424" t="s">
        <v>92</v>
      </c>
      <c r="C6424" t="s">
        <v>1988</v>
      </c>
      <c r="D6424" t="s">
        <v>1856</v>
      </c>
      <c r="E6424" t="s">
        <v>1301</v>
      </c>
      <c r="F6424">
        <v>240</v>
      </c>
    </row>
    <row r="6425" spans="1:6">
      <c r="A6425" t="s">
        <v>27</v>
      </c>
      <c r="B6425" t="s">
        <v>92</v>
      </c>
      <c r="C6425" t="s">
        <v>1988</v>
      </c>
      <c r="D6425" t="s">
        <v>1856</v>
      </c>
      <c r="E6425" t="s">
        <v>1302</v>
      </c>
      <c r="F6425">
        <v>0</v>
      </c>
    </row>
    <row r="6426" spans="1:6">
      <c r="A6426" t="s">
        <v>27</v>
      </c>
      <c r="B6426" t="s">
        <v>92</v>
      </c>
      <c r="C6426" t="s">
        <v>1988</v>
      </c>
      <c r="D6426" t="s">
        <v>1856</v>
      </c>
      <c r="E6426" t="s">
        <v>1303</v>
      </c>
      <c r="F6426">
        <v>0</v>
      </c>
    </row>
    <row r="6427" spans="1:6">
      <c r="A6427" t="s">
        <v>27</v>
      </c>
      <c r="B6427" t="s">
        <v>92</v>
      </c>
      <c r="C6427" t="s">
        <v>1988</v>
      </c>
      <c r="D6427" t="s">
        <v>1856</v>
      </c>
      <c r="E6427" t="s">
        <v>1429</v>
      </c>
      <c r="F6427">
        <v>0</v>
      </c>
    </row>
    <row r="6428" spans="1:6">
      <c r="A6428" t="s">
        <v>27</v>
      </c>
      <c r="B6428" t="s">
        <v>92</v>
      </c>
      <c r="C6428" t="s">
        <v>1988</v>
      </c>
      <c r="D6428" t="s">
        <v>1856</v>
      </c>
      <c r="E6428" t="s">
        <v>1145</v>
      </c>
      <c r="F6428">
        <v>240</v>
      </c>
    </row>
    <row r="6429" spans="1:6">
      <c r="A6429" t="s">
        <v>27</v>
      </c>
      <c r="B6429" t="s">
        <v>92</v>
      </c>
      <c r="C6429" t="s">
        <v>1988</v>
      </c>
      <c r="D6429" t="s">
        <v>1856</v>
      </c>
      <c r="E6429" t="s">
        <v>1554</v>
      </c>
      <c r="F6429" t="s">
        <v>1123</v>
      </c>
    </row>
    <row r="6430" spans="1:6">
      <c r="A6430" t="s">
        <v>27</v>
      </c>
      <c r="B6430" t="s">
        <v>92</v>
      </c>
      <c r="C6430" t="s">
        <v>1988</v>
      </c>
      <c r="D6430" t="s">
        <v>1856</v>
      </c>
      <c r="E6430" t="s">
        <v>1392</v>
      </c>
      <c r="F6430">
        <v>0.9921578131071719</v>
      </c>
    </row>
    <row r="6431" spans="1:6">
      <c r="A6431" t="s">
        <v>27</v>
      </c>
      <c r="B6431" t="s">
        <v>92</v>
      </c>
      <c r="C6431" t="s">
        <v>1988</v>
      </c>
      <c r="D6431" t="s">
        <v>1856</v>
      </c>
      <c r="E6431" t="s">
        <v>1393</v>
      </c>
      <c r="F6431">
        <v>1</v>
      </c>
    </row>
    <row r="6432" spans="1:6">
      <c r="A6432" t="s">
        <v>27</v>
      </c>
      <c r="B6432" t="s">
        <v>92</v>
      </c>
      <c r="C6432" t="s">
        <v>1988</v>
      </c>
      <c r="D6432" t="s">
        <v>1856</v>
      </c>
      <c r="E6432" t="s">
        <v>1394</v>
      </c>
      <c r="F6432">
        <v>1</v>
      </c>
    </row>
    <row r="6433" spans="1:6">
      <c r="A6433" t="s">
        <v>27</v>
      </c>
      <c r="B6433" t="s">
        <v>92</v>
      </c>
      <c r="C6433" t="s">
        <v>1988</v>
      </c>
      <c r="D6433" t="s">
        <v>1856</v>
      </c>
      <c r="E6433" t="s">
        <v>1432</v>
      </c>
      <c r="F6433">
        <v>0.9999999999999998</v>
      </c>
    </row>
    <row r="6434" spans="1:6">
      <c r="A6434" t="s">
        <v>27</v>
      </c>
      <c r="B6434" t="s">
        <v>92</v>
      </c>
      <c r="C6434" t="s">
        <v>1988</v>
      </c>
      <c r="D6434" t="s">
        <v>1856</v>
      </c>
      <c r="E6434" t="s">
        <v>1434</v>
      </c>
      <c r="F6434">
        <v>0.9850290874482187</v>
      </c>
    </row>
    <row r="6435" spans="1:6">
      <c r="A6435" t="s">
        <v>27</v>
      </c>
      <c r="B6435" t="s">
        <v>92</v>
      </c>
      <c r="C6435" t="s">
        <v>1988</v>
      </c>
      <c r="D6435" t="s">
        <v>1856</v>
      </c>
      <c r="E6435" t="s">
        <v>1147</v>
      </c>
      <c r="F6435" t="s">
        <v>1130</v>
      </c>
    </row>
    <row r="6436" spans="1:6">
      <c r="A6436" t="s">
        <v>27</v>
      </c>
      <c r="B6436" t="s">
        <v>92</v>
      </c>
      <c r="C6436" t="s">
        <v>1988</v>
      </c>
      <c r="D6436" t="s">
        <v>1856</v>
      </c>
      <c r="E6436" t="s">
        <v>1149</v>
      </c>
      <c r="F6436">
        <v>16166.70999999926</v>
      </c>
    </row>
    <row r="6437" spans="1:6">
      <c r="A6437" t="s">
        <v>27</v>
      </c>
      <c r="B6437" t="s">
        <v>92</v>
      </c>
      <c r="C6437" t="s">
        <v>1988</v>
      </c>
      <c r="D6437" t="s">
        <v>1856</v>
      </c>
      <c r="E6437" t="s">
        <v>1437</v>
      </c>
      <c r="F6437">
        <v>0</v>
      </c>
    </row>
    <row r="6438" spans="1:6">
      <c r="A6438" t="s">
        <v>27</v>
      </c>
      <c r="B6438" t="s">
        <v>92</v>
      </c>
      <c r="C6438" t="s">
        <v>1988</v>
      </c>
      <c r="D6438" t="s">
        <v>1856</v>
      </c>
      <c r="E6438" t="s">
        <v>1438</v>
      </c>
      <c r="F6438">
        <v>0</v>
      </c>
    </row>
    <row r="6439" spans="1:6">
      <c r="A6439" t="s">
        <v>27</v>
      </c>
      <c r="B6439" t="s">
        <v>92</v>
      </c>
      <c r="C6439" t="s">
        <v>1988</v>
      </c>
      <c r="D6439" t="s">
        <v>1856</v>
      </c>
      <c r="E6439" t="s">
        <v>1439</v>
      </c>
      <c r="F6439">
        <v>0</v>
      </c>
    </row>
    <row r="6440" spans="1:6">
      <c r="A6440" t="s">
        <v>27</v>
      </c>
      <c r="B6440" t="s">
        <v>92</v>
      </c>
      <c r="C6440" t="s">
        <v>1988</v>
      </c>
      <c r="D6440" t="s">
        <v>1856</v>
      </c>
      <c r="E6440" t="s">
        <v>1441</v>
      </c>
      <c r="F6440">
        <v>16166.70999999926</v>
      </c>
    </row>
    <row r="6441" spans="1:6">
      <c r="A6441" t="s">
        <v>27</v>
      </c>
      <c r="B6441" t="s">
        <v>92</v>
      </c>
      <c r="C6441" t="s">
        <v>1988</v>
      </c>
      <c r="D6441" t="s">
        <v>1856</v>
      </c>
      <c r="E6441" t="s">
        <v>1555</v>
      </c>
      <c r="F6441" t="s">
        <v>1131</v>
      </c>
    </row>
    <row r="6442" spans="1:6">
      <c r="A6442" t="s">
        <v>27</v>
      </c>
      <c r="B6442" t="s">
        <v>92</v>
      </c>
      <c r="C6442" t="s">
        <v>1988</v>
      </c>
      <c r="D6442" t="s">
        <v>1856</v>
      </c>
      <c r="E6442" t="s">
        <v>1151</v>
      </c>
      <c r="F6442">
        <v>0.007842186892828036</v>
      </c>
    </row>
    <row r="6443" spans="1:6">
      <c r="A6443" t="s">
        <v>27</v>
      </c>
      <c r="B6443" t="s">
        <v>92</v>
      </c>
      <c r="C6443" t="s">
        <v>1988</v>
      </c>
      <c r="D6443" t="s">
        <v>1856</v>
      </c>
      <c r="E6443" t="s">
        <v>1152</v>
      </c>
      <c r="F6443">
        <v>0</v>
      </c>
    </row>
    <row r="6444" spans="1:6">
      <c r="A6444" t="s">
        <v>27</v>
      </c>
      <c r="B6444" t="s">
        <v>92</v>
      </c>
      <c r="C6444" t="s">
        <v>1988</v>
      </c>
      <c r="D6444" t="s">
        <v>1856</v>
      </c>
      <c r="E6444" t="s">
        <v>1154</v>
      </c>
      <c r="F6444">
        <v>0</v>
      </c>
    </row>
    <row r="6445" spans="1:6">
      <c r="A6445" t="s">
        <v>27</v>
      </c>
      <c r="B6445" t="s">
        <v>92</v>
      </c>
      <c r="C6445" t="s">
        <v>1988</v>
      </c>
      <c r="D6445" t="s">
        <v>1856</v>
      </c>
      <c r="E6445" t="s">
        <v>1156</v>
      </c>
      <c r="F6445">
        <v>0</v>
      </c>
    </row>
    <row r="6446" spans="1:6">
      <c r="A6446" t="s">
        <v>27</v>
      </c>
      <c r="B6446" t="s">
        <v>92</v>
      </c>
      <c r="C6446" t="s">
        <v>1988</v>
      </c>
      <c r="D6446" t="s">
        <v>1856</v>
      </c>
      <c r="E6446" t="s">
        <v>1158</v>
      </c>
      <c r="F6446">
        <v>0.01497091255178125</v>
      </c>
    </row>
    <row r="6447" spans="1:6">
      <c r="A6447" t="s">
        <v>27</v>
      </c>
      <c r="B6447" t="s">
        <v>92</v>
      </c>
      <c r="C6447" t="s">
        <v>1988</v>
      </c>
      <c r="D6447" t="s">
        <v>1856</v>
      </c>
      <c r="E6447" t="s">
        <v>1175</v>
      </c>
      <c r="F6447" t="s">
        <v>1137</v>
      </c>
    </row>
    <row r="6448" spans="1:6">
      <c r="A6448" t="s">
        <v>27</v>
      </c>
      <c r="B6448" t="s">
        <v>92</v>
      </c>
      <c r="C6448" t="s">
        <v>1988</v>
      </c>
      <c r="D6448" t="s">
        <v>1856</v>
      </c>
      <c r="E6448" t="s">
        <v>1176</v>
      </c>
      <c r="F6448">
        <v>0</v>
      </c>
    </row>
    <row r="6449" spans="1:6">
      <c r="A6449" t="s">
        <v>27</v>
      </c>
      <c r="B6449" t="s">
        <v>92</v>
      </c>
      <c r="C6449" t="s">
        <v>1988</v>
      </c>
      <c r="D6449" t="s">
        <v>1856</v>
      </c>
      <c r="E6449" t="s">
        <v>1177</v>
      </c>
      <c r="F6449">
        <v>0</v>
      </c>
    </row>
    <row r="6450" spans="1:6">
      <c r="A6450" t="s">
        <v>27</v>
      </c>
      <c r="B6450" t="s">
        <v>92</v>
      </c>
      <c r="C6450" t="s">
        <v>1988</v>
      </c>
      <c r="D6450" t="s">
        <v>1856</v>
      </c>
      <c r="E6450" t="s">
        <v>1178</v>
      </c>
      <c r="F6450">
        <v>0</v>
      </c>
    </row>
    <row r="6451" spans="1:6">
      <c r="A6451" t="s">
        <v>27</v>
      </c>
      <c r="B6451" t="s">
        <v>92</v>
      </c>
      <c r="C6451" t="s">
        <v>1988</v>
      </c>
      <c r="D6451" t="s">
        <v>1856</v>
      </c>
      <c r="E6451" t="s">
        <v>1179</v>
      </c>
      <c r="F6451">
        <v>0</v>
      </c>
    </row>
    <row r="6452" spans="1:6">
      <c r="A6452" t="s">
        <v>27</v>
      </c>
      <c r="B6452" t="s">
        <v>92</v>
      </c>
      <c r="C6452" t="s">
        <v>1988</v>
      </c>
      <c r="D6452" t="s">
        <v>1856</v>
      </c>
      <c r="E6452" t="s">
        <v>1452</v>
      </c>
      <c r="F6452" t="s">
        <v>1138</v>
      </c>
    </row>
    <row r="6453" spans="1:6">
      <c r="A6453" t="s">
        <v>27</v>
      </c>
      <c r="B6453" t="s">
        <v>92</v>
      </c>
      <c r="C6453" t="s">
        <v>1988</v>
      </c>
      <c r="D6453" t="s">
        <v>1856</v>
      </c>
      <c r="E6453" t="s">
        <v>1454</v>
      </c>
      <c r="F6453">
        <v>0</v>
      </c>
    </row>
    <row r="6454" spans="1:6">
      <c r="A6454" t="s">
        <v>27</v>
      </c>
      <c r="B6454" t="s">
        <v>92</v>
      </c>
      <c r="C6454" t="s">
        <v>1988</v>
      </c>
      <c r="D6454" t="s">
        <v>1856</v>
      </c>
      <c r="E6454" t="s">
        <v>1455</v>
      </c>
      <c r="F6454">
        <v>0</v>
      </c>
    </row>
    <row r="6455" spans="1:6">
      <c r="A6455" t="s">
        <v>27</v>
      </c>
      <c r="B6455" t="s">
        <v>92</v>
      </c>
      <c r="C6455" t="s">
        <v>1988</v>
      </c>
      <c r="D6455" t="s">
        <v>1856</v>
      </c>
      <c r="E6455" t="s">
        <v>1456</v>
      </c>
      <c r="F6455">
        <v>0</v>
      </c>
    </row>
    <row r="6456" spans="1:6">
      <c r="A6456" t="s">
        <v>27</v>
      </c>
      <c r="B6456" t="s">
        <v>92</v>
      </c>
      <c r="C6456" t="s">
        <v>1988</v>
      </c>
      <c r="D6456" t="s">
        <v>1856</v>
      </c>
      <c r="E6456" t="s">
        <v>1458</v>
      </c>
      <c r="F6456">
        <v>-0.0006303919156165172</v>
      </c>
    </row>
    <row r="6457" spans="1:6">
      <c r="A6457" t="s">
        <v>27</v>
      </c>
      <c r="B6457" t="s">
        <v>92</v>
      </c>
      <c r="C6457" t="s">
        <v>1988</v>
      </c>
      <c r="D6457" t="s">
        <v>1856</v>
      </c>
      <c r="E6457" t="s">
        <v>1191</v>
      </c>
      <c r="F6457" t="s">
        <v>1144</v>
      </c>
    </row>
    <row r="6458" spans="1:6">
      <c r="A6458" t="s">
        <v>27</v>
      </c>
      <c r="B6458" t="s">
        <v>92</v>
      </c>
      <c r="C6458" t="s">
        <v>1988</v>
      </c>
      <c r="D6458" t="s">
        <v>1856</v>
      </c>
      <c r="E6458" t="s">
        <v>1196</v>
      </c>
      <c r="F6458" t="s">
        <v>1146</v>
      </c>
    </row>
    <row r="6459" spans="1:6">
      <c r="A6459" t="s">
        <v>27</v>
      </c>
      <c r="B6459" t="s">
        <v>92</v>
      </c>
      <c r="C6459" t="s">
        <v>1988</v>
      </c>
      <c r="D6459" t="s">
        <v>1856</v>
      </c>
      <c r="E6459" t="s">
        <v>1201</v>
      </c>
      <c r="F6459" t="s">
        <v>1148</v>
      </c>
    </row>
    <row r="6460" spans="1:6">
      <c r="A6460" t="s">
        <v>27</v>
      </c>
      <c r="B6460" t="s">
        <v>92</v>
      </c>
      <c r="C6460" t="s">
        <v>1988</v>
      </c>
      <c r="D6460" t="s">
        <v>1856</v>
      </c>
      <c r="E6460" t="s">
        <v>1202</v>
      </c>
      <c r="F6460" t="s">
        <v>1150</v>
      </c>
    </row>
    <row r="6461" spans="1:6">
      <c r="A6461" t="s">
        <v>27</v>
      </c>
      <c r="B6461" t="s">
        <v>92</v>
      </c>
      <c r="C6461" t="s">
        <v>1988</v>
      </c>
      <c r="D6461" t="s">
        <v>1856</v>
      </c>
      <c r="E6461" t="s">
        <v>1210</v>
      </c>
      <c r="F6461" t="s">
        <v>1009</v>
      </c>
    </row>
    <row r="6462" spans="1:6">
      <c r="A6462" t="s">
        <v>27</v>
      </c>
      <c r="B6462" t="s">
        <v>92</v>
      </c>
      <c r="C6462" t="s">
        <v>1988</v>
      </c>
      <c r="D6462" t="s">
        <v>1856</v>
      </c>
      <c r="E6462" t="s">
        <v>1211</v>
      </c>
      <c r="F6462" t="s">
        <v>1989</v>
      </c>
    </row>
    <row r="6463" spans="1:6">
      <c r="A6463" t="s">
        <v>27</v>
      </c>
      <c r="B6463" t="s">
        <v>92</v>
      </c>
      <c r="C6463" t="s">
        <v>1988</v>
      </c>
      <c r="D6463" t="s">
        <v>1856</v>
      </c>
      <c r="E6463" t="s">
        <v>1212</v>
      </c>
      <c r="F6463" t="s">
        <v>1990</v>
      </c>
    </row>
    <row r="6464" spans="1:6">
      <c r="A6464" t="s">
        <v>27</v>
      </c>
      <c r="B6464" t="s">
        <v>92</v>
      </c>
      <c r="C6464" t="s">
        <v>1988</v>
      </c>
      <c r="D6464" t="s">
        <v>1856</v>
      </c>
      <c r="E6464" t="s">
        <v>1213</v>
      </c>
      <c r="F6464" t="s">
        <v>1991</v>
      </c>
    </row>
    <row r="6465" spans="1:6">
      <c r="A6465" t="s">
        <v>27</v>
      </c>
      <c r="B6465" t="s">
        <v>92</v>
      </c>
      <c r="C6465" t="s">
        <v>1988</v>
      </c>
      <c r="D6465" t="s">
        <v>1856</v>
      </c>
      <c r="E6465" t="s">
        <v>1214</v>
      </c>
      <c r="F6465" t="s">
        <v>1836</v>
      </c>
    </row>
    <row r="6466" spans="1:6">
      <c r="A6466" t="s">
        <v>27</v>
      </c>
      <c r="B6466" t="s">
        <v>92</v>
      </c>
      <c r="C6466" t="s">
        <v>1988</v>
      </c>
      <c r="D6466" t="s">
        <v>1856</v>
      </c>
      <c r="E6466" t="s">
        <v>1215</v>
      </c>
      <c r="F6466" t="s">
        <v>1837</v>
      </c>
    </row>
    <row r="6467" spans="1:6">
      <c r="A6467" t="s">
        <v>27</v>
      </c>
      <c r="B6467" t="s">
        <v>92</v>
      </c>
      <c r="C6467" t="s">
        <v>1988</v>
      </c>
      <c r="D6467" t="s">
        <v>1856</v>
      </c>
      <c r="E6467" t="s">
        <v>1216</v>
      </c>
      <c r="F6467" t="s">
        <v>1838</v>
      </c>
    </row>
    <row r="6468" spans="1:6">
      <c r="A6468" t="s">
        <v>27</v>
      </c>
      <c r="B6468" t="s">
        <v>92</v>
      </c>
      <c r="C6468" t="s">
        <v>1988</v>
      </c>
      <c r="D6468" t="s">
        <v>1856</v>
      </c>
      <c r="E6468" t="s">
        <v>1217</v>
      </c>
      <c r="F6468" t="s">
        <v>1867</v>
      </c>
    </row>
    <row r="6469" spans="1:6">
      <c r="A6469" t="s">
        <v>27</v>
      </c>
      <c r="B6469" t="s">
        <v>92</v>
      </c>
      <c r="C6469" t="s">
        <v>1988</v>
      </c>
      <c r="D6469" t="s">
        <v>1856</v>
      </c>
      <c r="E6469" t="s">
        <v>1218</v>
      </c>
      <c r="F6469">
        <v>580959.7500000003</v>
      </c>
    </row>
    <row r="6470" spans="1:6">
      <c r="A6470" t="s">
        <v>27</v>
      </c>
      <c r="B6470" t="s">
        <v>92</v>
      </c>
      <c r="C6470" t="s">
        <v>1988</v>
      </c>
      <c r="D6470" t="s">
        <v>1856</v>
      </c>
      <c r="E6470" t="s">
        <v>1219</v>
      </c>
      <c r="F6470">
        <v>55289.88000000001</v>
      </c>
    </row>
    <row r="6471" spans="1:6">
      <c r="A6471" t="s">
        <v>27</v>
      </c>
      <c r="B6471" t="s">
        <v>92</v>
      </c>
      <c r="C6471" t="s">
        <v>1988</v>
      </c>
      <c r="D6471" t="s">
        <v>1856</v>
      </c>
      <c r="E6471" t="s">
        <v>1220</v>
      </c>
      <c r="F6471">
        <v>80425.65000000029</v>
      </c>
    </row>
    <row r="6472" spans="1:6">
      <c r="A6472" t="s">
        <v>27</v>
      </c>
      <c r="B6472" t="s">
        <v>92</v>
      </c>
      <c r="C6472" t="s">
        <v>1988</v>
      </c>
      <c r="D6472" t="s">
        <v>1856</v>
      </c>
      <c r="E6472" t="s">
        <v>1221</v>
      </c>
      <c r="F6472">
        <v>74452.37999999999</v>
      </c>
    </row>
    <row r="6473" spans="1:6">
      <c r="A6473" t="s">
        <v>27</v>
      </c>
      <c r="B6473" t="s">
        <v>92</v>
      </c>
      <c r="C6473" t="s">
        <v>1988</v>
      </c>
      <c r="D6473" t="s">
        <v>1856</v>
      </c>
      <c r="E6473" t="s">
        <v>1222</v>
      </c>
      <c r="F6473">
        <v>89121.87000000007</v>
      </c>
    </row>
    <row r="6474" spans="1:6">
      <c r="A6474" t="s">
        <v>27</v>
      </c>
      <c r="B6474" t="s">
        <v>92</v>
      </c>
      <c r="C6474" t="s">
        <v>1988</v>
      </c>
      <c r="D6474" t="s">
        <v>1856</v>
      </c>
      <c r="E6474" t="s">
        <v>1223</v>
      </c>
      <c r="F6474">
        <v>169276.62</v>
      </c>
    </row>
    <row r="6475" spans="1:6">
      <c r="A6475" t="s">
        <v>27</v>
      </c>
      <c r="B6475" t="s">
        <v>92</v>
      </c>
      <c r="C6475" t="s">
        <v>1988</v>
      </c>
      <c r="D6475" t="s">
        <v>1856</v>
      </c>
      <c r="E6475" t="s">
        <v>1224</v>
      </c>
      <c r="F6475">
        <v>112393.3500000001</v>
      </c>
    </row>
    <row r="6476" spans="1:6">
      <c r="A6476" t="s">
        <v>27</v>
      </c>
      <c r="B6476" t="s">
        <v>92</v>
      </c>
      <c r="C6476" t="s">
        <v>1988</v>
      </c>
      <c r="D6476" t="s">
        <v>1856</v>
      </c>
      <c r="E6476" t="s">
        <v>1225</v>
      </c>
      <c r="F6476" t="s">
        <v>1174</v>
      </c>
    </row>
    <row r="6477" spans="1:6">
      <c r="A6477" t="s">
        <v>27</v>
      </c>
      <c r="B6477" t="s">
        <v>92</v>
      </c>
      <c r="C6477" t="s">
        <v>1988</v>
      </c>
      <c r="D6477" t="s">
        <v>1856</v>
      </c>
      <c r="E6477" t="s">
        <v>1480</v>
      </c>
      <c r="F6477">
        <v>2710</v>
      </c>
    </row>
    <row r="6478" spans="1:6">
      <c r="A6478" t="s">
        <v>27</v>
      </c>
      <c r="B6478" t="s">
        <v>92</v>
      </c>
      <c r="C6478" t="s">
        <v>1988</v>
      </c>
      <c r="D6478" t="s">
        <v>1856</v>
      </c>
      <c r="E6478" t="s">
        <v>1227</v>
      </c>
      <c r="F6478">
        <v>270</v>
      </c>
    </row>
    <row r="6479" spans="1:6">
      <c r="A6479" t="s">
        <v>27</v>
      </c>
      <c r="B6479" t="s">
        <v>92</v>
      </c>
      <c r="C6479" t="s">
        <v>1988</v>
      </c>
      <c r="D6479" t="s">
        <v>1856</v>
      </c>
      <c r="E6479" t="s">
        <v>1228</v>
      </c>
      <c r="F6479">
        <v>1111</v>
      </c>
    </row>
    <row r="6480" spans="1:6">
      <c r="A6480" t="s">
        <v>27</v>
      </c>
      <c r="B6480" t="s">
        <v>92</v>
      </c>
      <c r="C6480" t="s">
        <v>1988</v>
      </c>
      <c r="D6480" t="s">
        <v>1856</v>
      </c>
      <c r="E6480" t="s">
        <v>1230</v>
      </c>
      <c r="F6480">
        <v>313</v>
      </c>
    </row>
    <row r="6481" spans="1:6">
      <c r="A6481" t="s">
        <v>27</v>
      </c>
      <c r="B6481" t="s">
        <v>92</v>
      </c>
      <c r="C6481" t="s">
        <v>1988</v>
      </c>
      <c r="D6481" t="s">
        <v>1856</v>
      </c>
      <c r="E6481" t="s">
        <v>1231</v>
      </c>
      <c r="F6481">
        <v>296</v>
      </c>
    </row>
    <row r="6482" spans="1:6">
      <c r="A6482" t="s">
        <v>27</v>
      </c>
      <c r="B6482" t="s">
        <v>92</v>
      </c>
      <c r="C6482" t="s">
        <v>1988</v>
      </c>
      <c r="D6482" t="s">
        <v>1856</v>
      </c>
      <c r="E6482" t="s">
        <v>1233</v>
      </c>
      <c r="F6482">
        <v>361</v>
      </c>
    </row>
    <row r="6483" spans="1:6">
      <c r="A6483" t="s">
        <v>27</v>
      </c>
      <c r="B6483" t="s">
        <v>92</v>
      </c>
      <c r="C6483" t="s">
        <v>1988</v>
      </c>
      <c r="D6483" t="s">
        <v>1856</v>
      </c>
      <c r="E6483" t="s">
        <v>1234</v>
      </c>
      <c r="F6483">
        <v>359</v>
      </c>
    </row>
    <row r="6484" spans="1:6">
      <c r="A6484" t="s">
        <v>27</v>
      </c>
      <c r="B6484" t="s">
        <v>92</v>
      </c>
      <c r="C6484" t="s">
        <v>1988</v>
      </c>
      <c r="D6484" t="s">
        <v>1856</v>
      </c>
      <c r="E6484" t="s">
        <v>1245</v>
      </c>
      <c r="F6484" t="s">
        <v>1868</v>
      </c>
    </row>
    <row r="6485" spans="1:6">
      <c r="A6485" t="s">
        <v>27</v>
      </c>
      <c r="B6485" t="s">
        <v>92</v>
      </c>
      <c r="C6485" t="s">
        <v>1988</v>
      </c>
      <c r="D6485" t="s">
        <v>1856</v>
      </c>
      <c r="E6485" t="s">
        <v>1247</v>
      </c>
      <c r="F6485">
        <v>564793.04</v>
      </c>
    </row>
    <row r="6486" spans="1:6">
      <c r="A6486" t="s">
        <v>27</v>
      </c>
      <c r="B6486" t="s">
        <v>92</v>
      </c>
      <c r="C6486" t="s">
        <v>1988</v>
      </c>
      <c r="D6486" t="s">
        <v>1856</v>
      </c>
      <c r="E6486" t="s">
        <v>1248</v>
      </c>
      <c r="F6486">
        <v>39769.05999999999</v>
      </c>
    </row>
    <row r="6487" spans="1:6">
      <c r="A6487" t="s">
        <v>27</v>
      </c>
      <c r="B6487" t="s">
        <v>92</v>
      </c>
      <c r="C6487" t="s">
        <v>1988</v>
      </c>
      <c r="D6487" t="s">
        <v>1856</v>
      </c>
      <c r="E6487" t="s">
        <v>1249</v>
      </c>
      <c r="F6487">
        <v>79779.76000000001</v>
      </c>
    </row>
    <row r="6488" spans="1:6">
      <c r="A6488" t="s">
        <v>27</v>
      </c>
      <c r="B6488" t="s">
        <v>92</v>
      </c>
      <c r="C6488" t="s">
        <v>1988</v>
      </c>
      <c r="D6488" t="s">
        <v>1856</v>
      </c>
      <c r="E6488" t="s">
        <v>1250</v>
      </c>
      <c r="F6488">
        <v>74452.37999999992</v>
      </c>
    </row>
    <row r="6489" spans="1:6">
      <c r="A6489" t="s">
        <v>27</v>
      </c>
      <c r="B6489" t="s">
        <v>92</v>
      </c>
      <c r="C6489" t="s">
        <v>1988</v>
      </c>
      <c r="D6489" t="s">
        <v>1856</v>
      </c>
      <c r="E6489" t="s">
        <v>1251</v>
      </c>
      <c r="F6489">
        <v>89121.86999999997</v>
      </c>
    </row>
    <row r="6490" spans="1:6">
      <c r="A6490" t="s">
        <v>27</v>
      </c>
      <c r="B6490" t="s">
        <v>92</v>
      </c>
      <c r="C6490" t="s">
        <v>1988</v>
      </c>
      <c r="D6490" t="s">
        <v>1856</v>
      </c>
      <c r="E6490" t="s">
        <v>1252</v>
      </c>
      <c r="F6490">
        <v>169276.62</v>
      </c>
    </row>
    <row r="6491" spans="1:6">
      <c r="A6491" t="s">
        <v>27</v>
      </c>
      <c r="B6491" t="s">
        <v>92</v>
      </c>
      <c r="C6491" t="s">
        <v>1988</v>
      </c>
      <c r="D6491" t="s">
        <v>1856</v>
      </c>
      <c r="E6491" t="s">
        <v>1253</v>
      </c>
      <c r="F6491">
        <v>112393.35</v>
      </c>
    </row>
    <row r="6492" spans="1:6">
      <c r="A6492" t="s">
        <v>27</v>
      </c>
      <c r="B6492" t="s">
        <v>92</v>
      </c>
      <c r="C6492" t="s">
        <v>1988</v>
      </c>
      <c r="D6492" t="s">
        <v>1856</v>
      </c>
      <c r="E6492" t="s">
        <v>1254</v>
      </c>
      <c r="F6492" t="s">
        <v>1192</v>
      </c>
    </row>
    <row r="6493" spans="1:6">
      <c r="A6493" t="s">
        <v>27</v>
      </c>
      <c r="B6493" t="s">
        <v>92</v>
      </c>
      <c r="C6493" t="s">
        <v>1988</v>
      </c>
      <c r="D6493" t="s">
        <v>1856</v>
      </c>
      <c r="E6493" t="s">
        <v>1257</v>
      </c>
      <c r="F6493">
        <v>158</v>
      </c>
    </row>
    <row r="6494" spans="1:6">
      <c r="A6494" t="s">
        <v>27</v>
      </c>
      <c r="B6494" t="s">
        <v>92</v>
      </c>
      <c r="C6494" t="s">
        <v>1988</v>
      </c>
      <c r="D6494" t="s">
        <v>1856</v>
      </c>
      <c r="E6494" t="s">
        <v>1258</v>
      </c>
      <c r="F6494">
        <v>1095</v>
      </c>
    </row>
    <row r="6495" spans="1:6">
      <c r="A6495" t="s">
        <v>27</v>
      </c>
      <c r="B6495" t="s">
        <v>92</v>
      </c>
      <c r="C6495" t="s">
        <v>1988</v>
      </c>
      <c r="D6495" t="s">
        <v>1856</v>
      </c>
      <c r="E6495" t="s">
        <v>1259</v>
      </c>
      <c r="F6495">
        <v>313</v>
      </c>
    </row>
    <row r="6496" spans="1:6">
      <c r="A6496" t="s">
        <v>27</v>
      </c>
      <c r="B6496" t="s">
        <v>92</v>
      </c>
      <c r="C6496" t="s">
        <v>1988</v>
      </c>
      <c r="D6496" t="s">
        <v>1856</v>
      </c>
      <c r="E6496" t="s">
        <v>1260</v>
      </c>
      <c r="F6496">
        <v>296</v>
      </c>
    </row>
    <row r="6497" spans="1:6">
      <c r="A6497" t="s">
        <v>27</v>
      </c>
      <c r="B6497" t="s">
        <v>92</v>
      </c>
      <c r="C6497" t="s">
        <v>1988</v>
      </c>
      <c r="D6497" t="s">
        <v>1856</v>
      </c>
      <c r="E6497" t="s">
        <v>1261</v>
      </c>
      <c r="F6497">
        <v>361</v>
      </c>
    </row>
    <row r="6498" spans="1:6">
      <c r="A6498" t="s">
        <v>27</v>
      </c>
      <c r="B6498" t="s">
        <v>92</v>
      </c>
      <c r="C6498" t="s">
        <v>1988</v>
      </c>
      <c r="D6498" t="s">
        <v>1856</v>
      </c>
      <c r="E6498" t="s">
        <v>1262</v>
      </c>
      <c r="F6498">
        <v>359</v>
      </c>
    </row>
    <row r="6499" spans="1:6">
      <c r="A6499" t="s">
        <v>27</v>
      </c>
      <c r="B6499" t="s">
        <v>92</v>
      </c>
      <c r="C6499" t="s">
        <v>1988</v>
      </c>
      <c r="D6499" t="s">
        <v>1856</v>
      </c>
      <c r="E6499" t="s">
        <v>1263</v>
      </c>
      <c r="F6499" t="s">
        <v>1869</v>
      </c>
    </row>
    <row r="6500" spans="1:6">
      <c r="A6500" t="s">
        <v>27</v>
      </c>
      <c r="B6500" t="s">
        <v>92</v>
      </c>
      <c r="C6500" t="s">
        <v>1988</v>
      </c>
      <c r="D6500" t="s">
        <v>1856</v>
      </c>
      <c r="E6500" t="s">
        <v>1561</v>
      </c>
      <c r="F6500" t="s">
        <v>1107</v>
      </c>
    </row>
    <row r="6501" spans="1:6">
      <c r="A6501" t="s">
        <v>27</v>
      </c>
      <c r="B6501" t="s">
        <v>92</v>
      </c>
      <c r="C6501" t="s">
        <v>1988</v>
      </c>
      <c r="D6501" t="s">
        <v>1856</v>
      </c>
      <c r="E6501" t="s">
        <v>1562</v>
      </c>
      <c r="F6501">
        <v>472423.8199999999</v>
      </c>
    </row>
    <row r="6502" spans="1:6">
      <c r="A6502" t="s">
        <v>27</v>
      </c>
      <c r="B6502" t="s">
        <v>92</v>
      </c>
      <c r="C6502" t="s">
        <v>1988</v>
      </c>
      <c r="D6502" t="s">
        <v>1856</v>
      </c>
      <c r="E6502" t="s">
        <v>1563</v>
      </c>
      <c r="F6502">
        <v>35497.24999999999</v>
      </c>
    </row>
    <row r="6503" spans="1:6">
      <c r="A6503" t="s">
        <v>27</v>
      </c>
      <c r="B6503" t="s">
        <v>92</v>
      </c>
      <c r="C6503" t="s">
        <v>1988</v>
      </c>
      <c r="D6503" t="s">
        <v>1856</v>
      </c>
      <c r="E6503" t="s">
        <v>1564</v>
      </c>
      <c r="F6503">
        <v>62933.94000000001</v>
      </c>
    </row>
    <row r="6504" spans="1:6">
      <c r="A6504" t="s">
        <v>27</v>
      </c>
      <c r="B6504" t="s">
        <v>92</v>
      </c>
      <c r="C6504" t="s">
        <v>1988</v>
      </c>
      <c r="D6504" t="s">
        <v>1856</v>
      </c>
      <c r="E6504" t="s">
        <v>1565</v>
      </c>
      <c r="F6504">
        <v>67214.93999999992</v>
      </c>
    </row>
    <row r="6505" spans="1:6">
      <c r="A6505" t="s">
        <v>27</v>
      </c>
      <c r="B6505" t="s">
        <v>92</v>
      </c>
      <c r="C6505" t="s">
        <v>1988</v>
      </c>
      <c r="D6505" t="s">
        <v>1856</v>
      </c>
      <c r="E6505" t="s">
        <v>1566</v>
      </c>
      <c r="F6505">
        <v>73694.54999999997</v>
      </c>
    </row>
    <row r="6506" spans="1:6">
      <c r="A6506" t="s">
        <v>27</v>
      </c>
      <c r="B6506" t="s">
        <v>92</v>
      </c>
      <c r="C6506" t="s">
        <v>1988</v>
      </c>
      <c r="D6506" t="s">
        <v>1856</v>
      </c>
      <c r="E6506" t="s">
        <v>1488</v>
      </c>
      <c r="F6506">
        <v>133360.3</v>
      </c>
    </row>
    <row r="6507" spans="1:6">
      <c r="A6507" t="s">
        <v>27</v>
      </c>
      <c r="B6507" t="s">
        <v>92</v>
      </c>
      <c r="C6507" t="s">
        <v>1988</v>
      </c>
      <c r="D6507" t="s">
        <v>1856</v>
      </c>
      <c r="E6507" t="s">
        <v>1567</v>
      </c>
      <c r="F6507">
        <v>99722.84000000005</v>
      </c>
    </row>
    <row r="6508" spans="1:6">
      <c r="A6508" t="s">
        <v>27</v>
      </c>
      <c r="B6508" t="s">
        <v>92</v>
      </c>
      <c r="C6508" t="s">
        <v>1988</v>
      </c>
      <c r="D6508" t="s">
        <v>1856</v>
      </c>
      <c r="E6508" t="s">
        <v>1870</v>
      </c>
      <c r="F6508" t="s">
        <v>1112</v>
      </c>
    </row>
    <row r="6509" spans="1:6">
      <c r="A6509" t="s">
        <v>27</v>
      </c>
      <c r="B6509" t="s">
        <v>92</v>
      </c>
      <c r="C6509" t="s">
        <v>1988</v>
      </c>
      <c r="D6509" t="s">
        <v>1856</v>
      </c>
      <c r="E6509" t="s">
        <v>1737</v>
      </c>
      <c r="F6509">
        <v>0</v>
      </c>
    </row>
    <row r="6510" spans="1:6">
      <c r="A6510" t="s">
        <v>27</v>
      </c>
      <c r="B6510" t="s">
        <v>92</v>
      </c>
      <c r="C6510" t="s">
        <v>1988</v>
      </c>
      <c r="D6510" t="s">
        <v>1856</v>
      </c>
      <c r="E6510" t="s">
        <v>1738</v>
      </c>
      <c r="F6510">
        <v>0</v>
      </c>
    </row>
    <row r="6511" spans="1:6">
      <c r="A6511" t="s">
        <v>27</v>
      </c>
      <c r="B6511" t="s">
        <v>92</v>
      </c>
      <c r="C6511" t="s">
        <v>1988</v>
      </c>
      <c r="D6511" t="s">
        <v>1856</v>
      </c>
      <c r="E6511" t="s">
        <v>1739</v>
      </c>
      <c r="F6511">
        <v>0</v>
      </c>
    </row>
    <row r="6512" spans="1:6">
      <c r="A6512" t="s">
        <v>27</v>
      </c>
      <c r="B6512" t="s">
        <v>92</v>
      </c>
      <c r="C6512" t="s">
        <v>1988</v>
      </c>
      <c r="D6512" t="s">
        <v>1856</v>
      </c>
      <c r="E6512" t="s">
        <v>1740</v>
      </c>
      <c r="F6512">
        <v>0</v>
      </c>
    </row>
    <row r="6513" spans="1:6">
      <c r="A6513" t="s">
        <v>27</v>
      </c>
      <c r="B6513" t="s">
        <v>92</v>
      </c>
      <c r="C6513" t="s">
        <v>1988</v>
      </c>
      <c r="D6513" t="s">
        <v>1856</v>
      </c>
      <c r="E6513" t="s">
        <v>1741</v>
      </c>
      <c r="F6513">
        <v>0</v>
      </c>
    </row>
    <row r="6514" spans="1:6">
      <c r="A6514" t="s">
        <v>27</v>
      </c>
      <c r="B6514" t="s">
        <v>92</v>
      </c>
      <c r="C6514" t="s">
        <v>1988</v>
      </c>
      <c r="D6514" t="s">
        <v>1856</v>
      </c>
      <c r="E6514" t="s">
        <v>1490</v>
      </c>
      <c r="F6514">
        <v>0</v>
      </c>
    </row>
    <row r="6515" spans="1:6">
      <c r="A6515" t="s">
        <v>27</v>
      </c>
      <c r="B6515" t="s">
        <v>92</v>
      </c>
      <c r="C6515" t="s">
        <v>1988</v>
      </c>
      <c r="D6515" t="s">
        <v>1856</v>
      </c>
      <c r="E6515" t="s">
        <v>1871</v>
      </c>
      <c r="F6515">
        <v>0</v>
      </c>
    </row>
    <row r="6516" spans="1:6">
      <c r="A6516" t="s">
        <v>27</v>
      </c>
      <c r="B6516" t="s">
        <v>92</v>
      </c>
      <c r="C6516" t="s">
        <v>1988</v>
      </c>
      <c r="D6516" t="s">
        <v>1856</v>
      </c>
      <c r="E6516" t="s">
        <v>1872</v>
      </c>
      <c r="F6516" t="s">
        <v>1117</v>
      </c>
    </row>
    <row r="6517" spans="1:6">
      <c r="A6517" t="s">
        <v>27</v>
      </c>
      <c r="B6517" t="s">
        <v>92</v>
      </c>
      <c r="C6517" t="s">
        <v>1988</v>
      </c>
      <c r="D6517" t="s">
        <v>1856</v>
      </c>
      <c r="E6517" t="s">
        <v>1742</v>
      </c>
      <c r="F6517">
        <v>92369.21999999999</v>
      </c>
    </row>
    <row r="6518" spans="1:6">
      <c r="A6518" t="s">
        <v>27</v>
      </c>
      <c r="B6518" t="s">
        <v>92</v>
      </c>
      <c r="C6518" t="s">
        <v>1988</v>
      </c>
      <c r="D6518" t="s">
        <v>1856</v>
      </c>
      <c r="E6518" t="s">
        <v>1743</v>
      </c>
      <c r="F6518">
        <v>4271.81</v>
      </c>
    </row>
    <row r="6519" spans="1:6">
      <c r="A6519" t="s">
        <v>27</v>
      </c>
      <c r="B6519" t="s">
        <v>92</v>
      </c>
      <c r="C6519" t="s">
        <v>1988</v>
      </c>
      <c r="D6519" t="s">
        <v>1856</v>
      </c>
      <c r="E6519" t="s">
        <v>1744</v>
      </c>
      <c r="F6519">
        <v>16845.81999999999</v>
      </c>
    </row>
    <row r="6520" spans="1:6">
      <c r="A6520" t="s">
        <v>27</v>
      </c>
      <c r="B6520" t="s">
        <v>92</v>
      </c>
      <c r="C6520" t="s">
        <v>1988</v>
      </c>
      <c r="D6520" t="s">
        <v>1856</v>
      </c>
      <c r="E6520" t="s">
        <v>1873</v>
      </c>
      <c r="F6520">
        <v>7237.440000000001</v>
      </c>
    </row>
    <row r="6521" spans="1:6">
      <c r="A6521" t="s">
        <v>27</v>
      </c>
      <c r="B6521" t="s">
        <v>92</v>
      </c>
      <c r="C6521" t="s">
        <v>1988</v>
      </c>
      <c r="D6521" t="s">
        <v>1856</v>
      </c>
      <c r="E6521" t="s">
        <v>1874</v>
      </c>
      <c r="F6521">
        <v>15427.32</v>
      </c>
    </row>
    <row r="6522" spans="1:6">
      <c r="A6522" t="s">
        <v>27</v>
      </c>
      <c r="B6522" t="s">
        <v>92</v>
      </c>
      <c r="C6522" t="s">
        <v>1988</v>
      </c>
      <c r="D6522" t="s">
        <v>1856</v>
      </c>
      <c r="E6522" t="s">
        <v>1492</v>
      </c>
      <c r="F6522">
        <v>35916.32</v>
      </c>
    </row>
    <row r="6523" spans="1:6">
      <c r="A6523" t="s">
        <v>27</v>
      </c>
      <c r="B6523" t="s">
        <v>92</v>
      </c>
      <c r="C6523" t="s">
        <v>1988</v>
      </c>
      <c r="D6523" t="s">
        <v>1856</v>
      </c>
      <c r="E6523" t="s">
        <v>1875</v>
      </c>
      <c r="F6523">
        <v>12670.51</v>
      </c>
    </row>
    <row r="6524" spans="1:6">
      <c r="A6524" t="s">
        <v>27</v>
      </c>
      <c r="B6524" t="s">
        <v>92</v>
      </c>
      <c r="C6524" t="s">
        <v>1988</v>
      </c>
      <c r="D6524" t="s">
        <v>1856</v>
      </c>
      <c r="E6524" t="s">
        <v>1876</v>
      </c>
      <c r="F6524" t="s">
        <v>1859</v>
      </c>
    </row>
    <row r="6525" spans="1:6">
      <c r="A6525" t="s">
        <v>27</v>
      </c>
      <c r="B6525" t="s">
        <v>92</v>
      </c>
      <c r="C6525" t="s">
        <v>1988</v>
      </c>
      <c r="D6525" t="s">
        <v>1856</v>
      </c>
      <c r="E6525" t="s">
        <v>1877</v>
      </c>
      <c r="F6525">
        <v>654.27</v>
      </c>
    </row>
    <row r="6526" spans="1:6">
      <c r="A6526" t="s">
        <v>27</v>
      </c>
      <c r="B6526" t="s">
        <v>92</v>
      </c>
      <c r="C6526" t="s">
        <v>1988</v>
      </c>
      <c r="D6526" t="s">
        <v>1856</v>
      </c>
      <c r="E6526" t="s">
        <v>1878</v>
      </c>
      <c r="F6526">
        <v>0</v>
      </c>
    </row>
    <row r="6527" spans="1:6">
      <c r="A6527" t="s">
        <v>27</v>
      </c>
      <c r="B6527" t="s">
        <v>92</v>
      </c>
      <c r="C6527" t="s">
        <v>1988</v>
      </c>
      <c r="D6527" t="s">
        <v>1856</v>
      </c>
      <c r="E6527" t="s">
        <v>1879</v>
      </c>
      <c r="F6527">
        <v>0</v>
      </c>
    </row>
    <row r="6528" spans="1:6">
      <c r="A6528" t="s">
        <v>27</v>
      </c>
      <c r="B6528" t="s">
        <v>92</v>
      </c>
      <c r="C6528" t="s">
        <v>1988</v>
      </c>
      <c r="D6528" t="s">
        <v>1856</v>
      </c>
      <c r="E6528" t="s">
        <v>1880</v>
      </c>
      <c r="F6528">
        <v>134.27</v>
      </c>
    </row>
    <row r="6529" spans="1:6">
      <c r="A6529" t="s">
        <v>27</v>
      </c>
      <c r="B6529" t="s">
        <v>92</v>
      </c>
      <c r="C6529" t="s">
        <v>1988</v>
      </c>
      <c r="D6529" t="s">
        <v>1856</v>
      </c>
      <c r="E6529" t="s">
        <v>1881</v>
      </c>
      <c r="F6529">
        <v>0</v>
      </c>
    </row>
    <row r="6530" spans="1:6">
      <c r="A6530" t="s">
        <v>27</v>
      </c>
      <c r="B6530" t="s">
        <v>92</v>
      </c>
      <c r="C6530" t="s">
        <v>1988</v>
      </c>
      <c r="D6530" t="s">
        <v>1856</v>
      </c>
      <c r="E6530" t="s">
        <v>1882</v>
      </c>
      <c r="F6530">
        <v>390</v>
      </c>
    </row>
    <row r="6531" spans="1:6">
      <c r="A6531" t="s">
        <v>27</v>
      </c>
      <c r="B6531" t="s">
        <v>92</v>
      </c>
      <c r="C6531" t="s">
        <v>1988</v>
      </c>
      <c r="D6531" t="s">
        <v>1856</v>
      </c>
      <c r="E6531" t="s">
        <v>1883</v>
      </c>
      <c r="F6531">
        <v>130</v>
      </c>
    </row>
    <row r="6532" spans="1:6">
      <c r="A6532" t="s">
        <v>27</v>
      </c>
      <c r="B6532" t="s">
        <v>92</v>
      </c>
      <c r="C6532" t="s">
        <v>1988</v>
      </c>
      <c r="D6532" t="s">
        <v>1856</v>
      </c>
      <c r="E6532" t="s">
        <v>1884</v>
      </c>
      <c r="F6532" t="s">
        <v>1860</v>
      </c>
    </row>
    <row r="6533" spans="1:6">
      <c r="A6533" t="s">
        <v>27</v>
      </c>
      <c r="B6533" t="s">
        <v>92</v>
      </c>
      <c r="C6533" t="s">
        <v>1988</v>
      </c>
      <c r="D6533" t="s">
        <v>1856</v>
      </c>
      <c r="E6533" t="s">
        <v>1885</v>
      </c>
      <c r="F6533">
        <v>29755.26</v>
      </c>
    </row>
    <row r="6534" spans="1:6">
      <c r="A6534" t="s">
        <v>27</v>
      </c>
      <c r="B6534" t="s">
        <v>92</v>
      </c>
      <c r="C6534" t="s">
        <v>1988</v>
      </c>
      <c r="D6534" t="s">
        <v>1856</v>
      </c>
      <c r="E6534" t="s">
        <v>1886</v>
      </c>
      <c r="F6534">
        <v>2802.19</v>
      </c>
    </row>
    <row r="6535" spans="1:6">
      <c r="A6535" t="s">
        <v>27</v>
      </c>
      <c r="B6535" t="s">
        <v>92</v>
      </c>
      <c r="C6535" t="s">
        <v>1988</v>
      </c>
      <c r="D6535" t="s">
        <v>1856</v>
      </c>
      <c r="E6535" t="s">
        <v>1887</v>
      </c>
      <c r="F6535">
        <v>10691.83</v>
      </c>
    </row>
    <row r="6536" spans="1:6">
      <c r="A6536" t="s">
        <v>27</v>
      </c>
      <c r="B6536" t="s">
        <v>92</v>
      </c>
      <c r="C6536" t="s">
        <v>1988</v>
      </c>
      <c r="D6536" t="s">
        <v>1856</v>
      </c>
      <c r="E6536" t="s">
        <v>1888</v>
      </c>
      <c r="F6536">
        <v>4189.5</v>
      </c>
    </row>
    <row r="6537" spans="1:6">
      <c r="A6537" t="s">
        <v>27</v>
      </c>
      <c r="B6537" t="s">
        <v>92</v>
      </c>
      <c r="C6537" t="s">
        <v>1988</v>
      </c>
      <c r="D6537" t="s">
        <v>1856</v>
      </c>
      <c r="E6537" t="s">
        <v>1889</v>
      </c>
      <c r="F6537">
        <v>9917.289999999999</v>
      </c>
    </row>
    <row r="6538" spans="1:6">
      <c r="A6538" t="s">
        <v>27</v>
      </c>
      <c r="B6538" t="s">
        <v>92</v>
      </c>
      <c r="C6538" t="s">
        <v>1988</v>
      </c>
      <c r="D6538" t="s">
        <v>1856</v>
      </c>
      <c r="E6538" t="s">
        <v>1745</v>
      </c>
      <c r="F6538">
        <v>1891.83</v>
      </c>
    </row>
    <row r="6539" spans="1:6">
      <c r="A6539" t="s">
        <v>27</v>
      </c>
      <c r="B6539" t="s">
        <v>92</v>
      </c>
      <c r="C6539" t="s">
        <v>1988</v>
      </c>
      <c r="D6539" t="s">
        <v>1856</v>
      </c>
      <c r="E6539" t="s">
        <v>1890</v>
      </c>
      <c r="F6539">
        <v>262.62</v>
      </c>
    </row>
    <row r="6540" spans="1:6">
      <c r="A6540" t="s">
        <v>27</v>
      </c>
      <c r="B6540" t="s">
        <v>92</v>
      </c>
      <c r="C6540" t="s">
        <v>1988</v>
      </c>
      <c r="D6540" t="s">
        <v>1856</v>
      </c>
      <c r="E6540" t="s">
        <v>1891</v>
      </c>
      <c r="F6540" t="s">
        <v>1861</v>
      </c>
    </row>
    <row r="6541" spans="1:6">
      <c r="A6541" t="s">
        <v>27</v>
      </c>
      <c r="B6541" t="s">
        <v>92</v>
      </c>
      <c r="C6541" t="s">
        <v>1988</v>
      </c>
      <c r="D6541" t="s">
        <v>1856</v>
      </c>
      <c r="E6541" t="s">
        <v>1892</v>
      </c>
      <c r="F6541">
        <v>9736.910000000002</v>
      </c>
    </row>
    <row r="6542" spans="1:6">
      <c r="A6542" t="s">
        <v>27</v>
      </c>
      <c r="B6542" t="s">
        <v>92</v>
      </c>
      <c r="C6542" t="s">
        <v>1988</v>
      </c>
      <c r="D6542" t="s">
        <v>1856</v>
      </c>
      <c r="E6542" t="s">
        <v>1893</v>
      </c>
      <c r="F6542">
        <v>1224.950000000001</v>
      </c>
    </row>
    <row r="6543" spans="1:6">
      <c r="A6543" t="s">
        <v>27</v>
      </c>
      <c r="B6543" t="s">
        <v>92</v>
      </c>
      <c r="C6543" t="s">
        <v>1988</v>
      </c>
      <c r="D6543" t="s">
        <v>1856</v>
      </c>
      <c r="E6543" t="s">
        <v>1894</v>
      </c>
      <c r="F6543">
        <v>1857.79</v>
      </c>
    </row>
    <row r="6544" spans="1:6">
      <c r="A6544" t="s">
        <v>27</v>
      </c>
      <c r="B6544" t="s">
        <v>92</v>
      </c>
      <c r="C6544" t="s">
        <v>1988</v>
      </c>
      <c r="D6544" t="s">
        <v>1856</v>
      </c>
      <c r="E6544" t="s">
        <v>1895</v>
      </c>
      <c r="F6544">
        <v>2823.34</v>
      </c>
    </row>
    <row r="6545" spans="1:6">
      <c r="A6545" t="s">
        <v>27</v>
      </c>
      <c r="B6545" t="s">
        <v>92</v>
      </c>
      <c r="C6545" t="s">
        <v>1988</v>
      </c>
      <c r="D6545" t="s">
        <v>1856</v>
      </c>
      <c r="E6545" t="s">
        <v>1896</v>
      </c>
      <c r="F6545">
        <v>1326.69</v>
      </c>
    </row>
    <row r="6546" spans="1:6">
      <c r="A6546" t="s">
        <v>27</v>
      </c>
      <c r="B6546" t="s">
        <v>92</v>
      </c>
      <c r="C6546" t="s">
        <v>1988</v>
      </c>
      <c r="D6546" t="s">
        <v>1856</v>
      </c>
      <c r="E6546" t="s">
        <v>1746</v>
      </c>
      <c r="F6546">
        <v>1835.890000000001</v>
      </c>
    </row>
    <row r="6547" spans="1:6">
      <c r="A6547" t="s">
        <v>27</v>
      </c>
      <c r="B6547" t="s">
        <v>92</v>
      </c>
      <c r="C6547" t="s">
        <v>1988</v>
      </c>
      <c r="D6547" t="s">
        <v>1856</v>
      </c>
      <c r="E6547" t="s">
        <v>1897</v>
      </c>
      <c r="F6547">
        <v>668.25</v>
      </c>
    </row>
    <row r="6548" spans="1:6">
      <c r="A6548" t="s">
        <v>27</v>
      </c>
      <c r="B6548" t="s">
        <v>92</v>
      </c>
      <c r="C6548" t="s">
        <v>1988</v>
      </c>
      <c r="D6548" t="s">
        <v>1856</v>
      </c>
      <c r="E6548" t="s">
        <v>1898</v>
      </c>
      <c r="F6548" t="s">
        <v>1862</v>
      </c>
    </row>
    <row r="6549" spans="1:6">
      <c r="A6549" t="s">
        <v>27</v>
      </c>
      <c r="B6549" t="s">
        <v>92</v>
      </c>
      <c r="C6549" t="s">
        <v>1988</v>
      </c>
      <c r="D6549" t="s">
        <v>1856</v>
      </c>
      <c r="E6549" t="s">
        <v>1899</v>
      </c>
      <c r="F6549">
        <v>130.4</v>
      </c>
    </row>
    <row r="6550" spans="1:6">
      <c r="A6550" t="s">
        <v>27</v>
      </c>
      <c r="B6550" t="s">
        <v>92</v>
      </c>
      <c r="C6550" t="s">
        <v>1988</v>
      </c>
      <c r="D6550" t="s">
        <v>1856</v>
      </c>
      <c r="E6550" t="s">
        <v>1900</v>
      </c>
      <c r="F6550">
        <v>0</v>
      </c>
    </row>
    <row r="6551" spans="1:6">
      <c r="A6551" t="s">
        <v>27</v>
      </c>
      <c r="B6551" t="s">
        <v>92</v>
      </c>
      <c r="C6551" t="s">
        <v>1988</v>
      </c>
      <c r="D6551" t="s">
        <v>1856</v>
      </c>
      <c r="E6551" t="s">
        <v>1901</v>
      </c>
      <c r="F6551">
        <v>0</v>
      </c>
    </row>
    <row r="6552" spans="1:6">
      <c r="A6552" t="s">
        <v>27</v>
      </c>
      <c r="B6552" t="s">
        <v>92</v>
      </c>
      <c r="C6552" t="s">
        <v>1988</v>
      </c>
      <c r="D6552" t="s">
        <v>1856</v>
      </c>
      <c r="E6552" t="s">
        <v>1902</v>
      </c>
      <c r="F6552">
        <v>65.78</v>
      </c>
    </row>
    <row r="6553" spans="1:6">
      <c r="A6553" t="s">
        <v>27</v>
      </c>
      <c r="B6553" t="s">
        <v>92</v>
      </c>
      <c r="C6553" t="s">
        <v>1988</v>
      </c>
      <c r="D6553" t="s">
        <v>1856</v>
      </c>
      <c r="E6553" t="s">
        <v>1903</v>
      </c>
      <c r="F6553">
        <v>35.43000000000001</v>
      </c>
    </row>
    <row r="6554" spans="1:6">
      <c r="A6554" t="s">
        <v>27</v>
      </c>
      <c r="B6554" t="s">
        <v>92</v>
      </c>
      <c r="C6554" t="s">
        <v>1988</v>
      </c>
      <c r="D6554" t="s">
        <v>1856</v>
      </c>
      <c r="E6554" t="s">
        <v>1747</v>
      </c>
      <c r="F6554">
        <v>13.62</v>
      </c>
    </row>
    <row r="6555" spans="1:6">
      <c r="A6555" t="s">
        <v>27</v>
      </c>
      <c r="B6555" t="s">
        <v>92</v>
      </c>
      <c r="C6555" t="s">
        <v>1988</v>
      </c>
      <c r="D6555" t="s">
        <v>1856</v>
      </c>
      <c r="E6555" t="s">
        <v>1904</v>
      </c>
      <c r="F6555">
        <v>15.57</v>
      </c>
    </row>
    <row r="6556" spans="1:6">
      <c r="A6556" t="s">
        <v>27</v>
      </c>
      <c r="B6556" t="s">
        <v>92</v>
      </c>
      <c r="C6556" t="s">
        <v>1988</v>
      </c>
      <c r="D6556" t="s">
        <v>1856</v>
      </c>
      <c r="E6556" t="s">
        <v>1905</v>
      </c>
      <c r="F6556" t="s">
        <v>1863</v>
      </c>
    </row>
    <row r="6557" spans="1:6">
      <c r="A6557" t="s">
        <v>27</v>
      </c>
      <c r="B6557" t="s">
        <v>92</v>
      </c>
      <c r="C6557" t="s">
        <v>1988</v>
      </c>
      <c r="D6557" t="s">
        <v>1856</v>
      </c>
      <c r="E6557" t="s">
        <v>1906</v>
      </c>
      <c r="F6557">
        <v>2369.989999999995</v>
      </c>
    </row>
    <row r="6558" spans="1:6">
      <c r="A6558" t="s">
        <v>27</v>
      </c>
      <c r="B6558" t="s">
        <v>92</v>
      </c>
      <c r="C6558" t="s">
        <v>1988</v>
      </c>
      <c r="D6558" t="s">
        <v>1856</v>
      </c>
      <c r="E6558" t="s">
        <v>1907</v>
      </c>
      <c r="F6558">
        <v>4.67</v>
      </c>
    </row>
    <row r="6559" spans="1:6">
      <c r="A6559" t="s">
        <v>27</v>
      </c>
      <c r="B6559" t="s">
        <v>92</v>
      </c>
      <c r="C6559" t="s">
        <v>1988</v>
      </c>
      <c r="D6559" t="s">
        <v>1856</v>
      </c>
      <c r="E6559" t="s">
        <v>1908</v>
      </c>
      <c r="F6559">
        <v>2321.129999999995</v>
      </c>
    </row>
    <row r="6560" spans="1:6">
      <c r="A6560" t="s">
        <v>27</v>
      </c>
      <c r="B6560" t="s">
        <v>92</v>
      </c>
      <c r="C6560" t="s">
        <v>1988</v>
      </c>
      <c r="D6560" t="s">
        <v>1856</v>
      </c>
      <c r="E6560" t="s">
        <v>1909</v>
      </c>
      <c r="F6560">
        <v>24.55</v>
      </c>
    </row>
    <row r="6561" spans="1:6">
      <c r="A6561" t="s">
        <v>27</v>
      </c>
      <c r="B6561" t="s">
        <v>92</v>
      </c>
      <c r="C6561" t="s">
        <v>1988</v>
      </c>
      <c r="D6561" t="s">
        <v>1856</v>
      </c>
      <c r="E6561" t="s">
        <v>1910</v>
      </c>
      <c r="F6561">
        <v>6.34</v>
      </c>
    </row>
    <row r="6562" spans="1:6">
      <c r="A6562" t="s">
        <v>27</v>
      </c>
      <c r="B6562" t="s">
        <v>92</v>
      </c>
      <c r="C6562" t="s">
        <v>1988</v>
      </c>
      <c r="D6562" t="s">
        <v>1856</v>
      </c>
      <c r="E6562" t="s">
        <v>1911</v>
      </c>
      <c r="F6562">
        <v>7.06</v>
      </c>
    </row>
    <row r="6563" spans="1:6">
      <c r="A6563" t="s">
        <v>27</v>
      </c>
      <c r="B6563" t="s">
        <v>92</v>
      </c>
      <c r="C6563" t="s">
        <v>1988</v>
      </c>
      <c r="D6563" t="s">
        <v>1856</v>
      </c>
      <c r="E6563" t="s">
        <v>1912</v>
      </c>
      <c r="F6563">
        <v>6.240000000000001</v>
      </c>
    </row>
    <row r="6564" spans="1:6">
      <c r="A6564" t="s">
        <v>27</v>
      </c>
      <c r="B6564" t="s">
        <v>92</v>
      </c>
      <c r="C6564" t="s">
        <v>1988</v>
      </c>
      <c r="D6564" t="s">
        <v>1856</v>
      </c>
      <c r="E6564" t="s">
        <v>1913</v>
      </c>
      <c r="F6564" t="s">
        <v>1864</v>
      </c>
    </row>
    <row r="6565" spans="1:6">
      <c r="A6565" t="s">
        <v>27</v>
      </c>
      <c r="B6565" t="s">
        <v>92</v>
      </c>
      <c r="C6565" t="s">
        <v>1988</v>
      </c>
      <c r="D6565" t="s">
        <v>1856</v>
      </c>
      <c r="E6565" t="s">
        <v>1914</v>
      </c>
      <c r="F6565">
        <v>49482.39</v>
      </c>
    </row>
    <row r="6566" spans="1:6">
      <c r="A6566" t="s">
        <v>27</v>
      </c>
      <c r="B6566" t="s">
        <v>92</v>
      </c>
      <c r="C6566" t="s">
        <v>1988</v>
      </c>
      <c r="D6566" t="s">
        <v>1856</v>
      </c>
      <c r="E6566" t="s">
        <v>1915</v>
      </c>
      <c r="F6566">
        <v>0</v>
      </c>
    </row>
    <row r="6567" spans="1:6">
      <c r="A6567" t="s">
        <v>27</v>
      </c>
      <c r="B6567" t="s">
        <v>92</v>
      </c>
      <c r="C6567" t="s">
        <v>1988</v>
      </c>
      <c r="D6567" t="s">
        <v>1856</v>
      </c>
      <c r="E6567" t="s">
        <v>1916</v>
      </c>
      <c r="F6567">
        <v>1975.07</v>
      </c>
    </row>
    <row r="6568" spans="1:6">
      <c r="A6568" t="s">
        <v>27</v>
      </c>
      <c r="B6568" t="s">
        <v>92</v>
      </c>
      <c r="C6568" t="s">
        <v>1988</v>
      </c>
      <c r="D6568" t="s">
        <v>1856</v>
      </c>
      <c r="E6568" t="s">
        <v>1917</v>
      </c>
      <c r="F6568">
        <v>0</v>
      </c>
    </row>
    <row r="6569" spans="1:6">
      <c r="A6569" t="s">
        <v>27</v>
      </c>
      <c r="B6569" t="s">
        <v>92</v>
      </c>
      <c r="C6569" t="s">
        <v>1988</v>
      </c>
      <c r="D6569" t="s">
        <v>1856</v>
      </c>
      <c r="E6569" t="s">
        <v>1918</v>
      </c>
      <c r="F6569">
        <v>4141.57</v>
      </c>
    </row>
    <row r="6570" spans="1:6">
      <c r="A6570" t="s">
        <v>27</v>
      </c>
      <c r="B6570" t="s">
        <v>92</v>
      </c>
      <c r="C6570" t="s">
        <v>1988</v>
      </c>
      <c r="D6570" t="s">
        <v>1856</v>
      </c>
      <c r="E6570" t="s">
        <v>1919</v>
      </c>
      <c r="F6570">
        <v>31777.92</v>
      </c>
    </row>
    <row r="6571" spans="1:6">
      <c r="A6571" t="s">
        <v>27</v>
      </c>
      <c r="B6571" t="s">
        <v>92</v>
      </c>
      <c r="C6571" t="s">
        <v>1988</v>
      </c>
      <c r="D6571" t="s">
        <v>1856</v>
      </c>
      <c r="E6571" t="s">
        <v>1920</v>
      </c>
      <c r="F6571">
        <v>11587.83</v>
      </c>
    </row>
    <row r="6572" spans="1:6">
      <c r="A6572" t="s">
        <v>27</v>
      </c>
      <c r="B6572" t="s">
        <v>92</v>
      </c>
      <c r="C6572" t="s">
        <v>1988</v>
      </c>
      <c r="D6572" t="s">
        <v>1856</v>
      </c>
      <c r="E6572" t="s">
        <v>1921</v>
      </c>
      <c r="F6572" t="s">
        <v>1865</v>
      </c>
    </row>
    <row r="6573" spans="1:6">
      <c r="A6573" t="s">
        <v>27</v>
      </c>
      <c r="B6573" t="s">
        <v>92</v>
      </c>
      <c r="C6573" t="s">
        <v>1988</v>
      </c>
      <c r="D6573" t="s">
        <v>1856</v>
      </c>
      <c r="E6573" t="s">
        <v>1922</v>
      </c>
      <c r="F6573">
        <v>0</v>
      </c>
    </row>
    <row r="6574" spans="1:6">
      <c r="A6574" t="s">
        <v>27</v>
      </c>
      <c r="B6574" t="s">
        <v>92</v>
      </c>
      <c r="C6574" t="s">
        <v>1988</v>
      </c>
      <c r="D6574" t="s">
        <v>1856</v>
      </c>
      <c r="E6574" t="s">
        <v>1923</v>
      </c>
      <c r="F6574">
        <v>0</v>
      </c>
    </row>
    <row r="6575" spans="1:6">
      <c r="A6575" t="s">
        <v>27</v>
      </c>
      <c r="B6575" t="s">
        <v>92</v>
      </c>
      <c r="C6575" t="s">
        <v>1988</v>
      </c>
      <c r="D6575" t="s">
        <v>1856</v>
      </c>
      <c r="E6575" t="s">
        <v>1924</v>
      </c>
      <c r="F6575">
        <v>0</v>
      </c>
    </row>
    <row r="6576" spans="1:6">
      <c r="A6576" t="s">
        <v>27</v>
      </c>
      <c r="B6576" t="s">
        <v>92</v>
      </c>
      <c r="C6576" t="s">
        <v>1988</v>
      </c>
      <c r="D6576" t="s">
        <v>1856</v>
      </c>
      <c r="E6576" t="s">
        <v>1925</v>
      </c>
      <c r="F6576">
        <v>0</v>
      </c>
    </row>
    <row r="6577" spans="1:6">
      <c r="A6577" t="s">
        <v>27</v>
      </c>
      <c r="B6577" t="s">
        <v>92</v>
      </c>
      <c r="C6577" t="s">
        <v>1988</v>
      </c>
      <c r="D6577" t="s">
        <v>1856</v>
      </c>
      <c r="E6577" t="s">
        <v>1926</v>
      </c>
      <c r="F6577">
        <v>0</v>
      </c>
    </row>
    <row r="6578" spans="1:6">
      <c r="A6578" t="s">
        <v>27</v>
      </c>
      <c r="B6578" t="s">
        <v>92</v>
      </c>
      <c r="C6578" t="s">
        <v>1988</v>
      </c>
      <c r="D6578" t="s">
        <v>1856</v>
      </c>
      <c r="E6578" t="s">
        <v>1927</v>
      </c>
      <c r="F6578">
        <v>0</v>
      </c>
    </row>
    <row r="6579" spans="1:6">
      <c r="A6579" t="s">
        <v>27</v>
      </c>
      <c r="B6579" t="s">
        <v>92</v>
      </c>
      <c r="C6579" t="s">
        <v>1988</v>
      </c>
      <c r="D6579" t="s">
        <v>1856</v>
      </c>
      <c r="E6579" t="s">
        <v>1928</v>
      </c>
      <c r="F6579">
        <v>0</v>
      </c>
    </row>
    <row r="6580" spans="1:6">
      <c r="A6580" t="s">
        <v>27</v>
      </c>
      <c r="B6580" t="s">
        <v>92</v>
      </c>
      <c r="C6580" t="s">
        <v>1988</v>
      </c>
      <c r="D6580" t="s">
        <v>1856</v>
      </c>
      <c r="E6580" t="s">
        <v>1929</v>
      </c>
      <c r="F6580" t="s">
        <v>1866</v>
      </c>
    </row>
    <row r="6581" spans="1:6">
      <c r="A6581" t="s">
        <v>27</v>
      </c>
      <c r="B6581" t="s">
        <v>92</v>
      </c>
      <c r="C6581" t="s">
        <v>1988</v>
      </c>
      <c r="D6581" t="s">
        <v>1856</v>
      </c>
      <c r="E6581" t="s">
        <v>1930</v>
      </c>
      <c r="F6581">
        <v>240</v>
      </c>
    </row>
    <row r="6582" spans="1:6">
      <c r="A6582" t="s">
        <v>27</v>
      </c>
      <c r="B6582" t="s">
        <v>92</v>
      </c>
      <c r="C6582" t="s">
        <v>1988</v>
      </c>
      <c r="D6582" t="s">
        <v>1856</v>
      </c>
      <c r="E6582" t="s">
        <v>1931</v>
      </c>
      <c r="F6582">
        <v>240</v>
      </c>
    </row>
    <row r="6583" spans="1:6">
      <c r="A6583" t="s">
        <v>27</v>
      </c>
      <c r="B6583" t="s">
        <v>92</v>
      </c>
      <c r="C6583" t="s">
        <v>1988</v>
      </c>
      <c r="D6583" t="s">
        <v>1856</v>
      </c>
      <c r="E6583" t="s">
        <v>1932</v>
      </c>
      <c r="F6583">
        <v>0</v>
      </c>
    </row>
    <row r="6584" spans="1:6">
      <c r="A6584" t="s">
        <v>27</v>
      </c>
      <c r="B6584" t="s">
        <v>92</v>
      </c>
      <c r="C6584" t="s">
        <v>1988</v>
      </c>
      <c r="D6584" t="s">
        <v>1856</v>
      </c>
      <c r="E6584" t="s">
        <v>1933</v>
      </c>
      <c r="F6584">
        <v>0</v>
      </c>
    </row>
    <row r="6585" spans="1:6">
      <c r="A6585" t="s">
        <v>27</v>
      </c>
      <c r="B6585" t="s">
        <v>92</v>
      </c>
      <c r="C6585" t="s">
        <v>1988</v>
      </c>
      <c r="D6585" t="s">
        <v>1856</v>
      </c>
      <c r="E6585" t="s">
        <v>1934</v>
      </c>
      <c r="F6585">
        <v>0</v>
      </c>
    </row>
    <row r="6586" spans="1:6">
      <c r="A6586" t="s">
        <v>27</v>
      </c>
      <c r="B6586" t="s">
        <v>92</v>
      </c>
      <c r="C6586" t="s">
        <v>1988</v>
      </c>
      <c r="D6586" t="s">
        <v>1856</v>
      </c>
      <c r="E6586" t="s">
        <v>1935</v>
      </c>
      <c r="F6586">
        <v>0</v>
      </c>
    </row>
    <row r="6587" spans="1:6">
      <c r="A6587" t="s">
        <v>27</v>
      </c>
      <c r="B6587" t="s">
        <v>92</v>
      </c>
      <c r="C6587" t="s">
        <v>1988</v>
      </c>
      <c r="D6587" t="s">
        <v>1856</v>
      </c>
      <c r="E6587" t="s">
        <v>1936</v>
      </c>
      <c r="F6587">
        <v>0</v>
      </c>
    </row>
    <row r="6588" spans="1:6">
      <c r="A6588" t="s">
        <v>27</v>
      </c>
      <c r="B6588" t="s">
        <v>92</v>
      </c>
      <c r="C6588" t="s">
        <v>1988</v>
      </c>
      <c r="D6588" t="s">
        <v>1856</v>
      </c>
      <c r="E6588" t="s">
        <v>1937</v>
      </c>
      <c r="F6588" t="s">
        <v>1226</v>
      </c>
    </row>
    <row r="6589" spans="1:6">
      <c r="A6589" t="s">
        <v>27</v>
      </c>
      <c r="B6589" t="s">
        <v>92</v>
      </c>
      <c r="C6589" t="s">
        <v>1988</v>
      </c>
      <c r="D6589" t="s">
        <v>1856</v>
      </c>
      <c r="E6589" t="s">
        <v>1938</v>
      </c>
      <c r="F6589">
        <v>0.7192828054609629</v>
      </c>
    </row>
    <row r="6590" spans="1:6">
      <c r="A6590" t="s">
        <v>27</v>
      </c>
      <c r="B6590" t="s">
        <v>92</v>
      </c>
      <c r="C6590" t="s">
        <v>1988</v>
      </c>
      <c r="D6590" t="s">
        <v>1856</v>
      </c>
      <c r="E6590" t="s">
        <v>1939</v>
      </c>
      <c r="F6590">
        <v>0.9919691043839836</v>
      </c>
    </row>
    <row r="6591" spans="1:6">
      <c r="A6591" t="s">
        <v>27</v>
      </c>
      <c r="B6591" t="s">
        <v>92</v>
      </c>
      <c r="C6591" t="s">
        <v>1988</v>
      </c>
      <c r="D6591" t="s">
        <v>1856</v>
      </c>
      <c r="E6591" t="s">
        <v>1940</v>
      </c>
      <c r="F6591">
        <v>0.999999999999999</v>
      </c>
    </row>
    <row r="6592" spans="1:6">
      <c r="A6592" t="s">
        <v>27</v>
      </c>
      <c r="B6592" t="s">
        <v>92</v>
      </c>
      <c r="C6592" t="s">
        <v>1988</v>
      </c>
      <c r="D6592" t="s">
        <v>1856</v>
      </c>
      <c r="E6592" t="s">
        <v>1941</v>
      </c>
      <c r="F6592">
        <v>0.9999999999999989</v>
      </c>
    </row>
    <row r="6593" spans="1:6">
      <c r="A6593" t="s">
        <v>27</v>
      </c>
      <c r="B6593" t="s">
        <v>92</v>
      </c>
      <c r="C6593" t="s">
        <v>1988</v>
      </c>
      <c r="D6593" t="s">
        <v>1856</v>
      </c>
      <c r="E6593" t="s">
        <v>1942</v>
      </c>
      <c r="F6593">
        <v>1</v>
      </c>
    </row>
    <row r="6594" spans="1:6">
      <c r="A6594" t="s">
        <v>27</v>
      </c>
      <c r="B6594" t="s">
        <v>92</v>
      </c>
      <c r="C6594" t="s">
        <v>1988</v>
      </c>
      <c r="D6594" t="s">
        <v>1856</v>
      </c>
      <c r="E6594" t="s">
        <v>1943</v>
      </c>
      <c r="F6594">
        <v>0.9999999999999999</v>
      </c>
    </row>
    <row r="6595" spans="1:6">
      <c r="A6595" t="s">
        <v>27</v>
      </c>
      <c r="B6595" t="s">
        <v>92</v>
      </c>
      <c r="C6595" t="s">
        <v>1988</v>
      </c>
      <c r="D6595" t="s">
        <v>1856</v>
      </c>
      <c r="E6595" t="s">
        <v>1944</v>
      </c>
      <c r="F6595" t="s">
        <v>1236</v>
      </c>
    </row>
    <row r="6596" spans="1:6">
      <c r="A6596" t="s">
        <v>27</v>
      </c>
      <c r="B6596" t="s">
        <v>92</v>
      </c>
      <c r="C6596" t="s">
        <v>1988</v>
      </c>
      <c r="D6596" t="s">
        <v>1856</v>
      </c>
      <c r="E6596" t="s">
        <v>1945</v>
      </c>
      <c r="F6596">
        <v>0.5851851851851851</v>
      </c>
    </row>
    <row r="6597" spans="1:6">
      <c r="A6597" t="s">
        <v>27</v>
      </c>
      <c r="B6597" t="s">
        <v>92</v>
      </c>
      <c r="C6597" t="s">
        <v>1988</v>
      </c>
      <c r="D6597" t="s">
        <v>1856</v>
      </c>
      <c r="E6597" t="s">
        <v>1946</v>
      </c>
      <c r="F6597">
        <v>0.9855985598559855</v>
      </c>
    </row>
    <row r="6598" spans="1:6">
      <c r="A6598" t="s">
        <v>27</v>
      </c>
      <c r="B6598" t="s">
        <v>92</v>
      </c>
      <c r="C6598" t="s">
        <v>1988</v>
      </c>
      <c r="D6598" t="s">
        <v>1856</v>
      </c>
      <c r="E6598" t="s">
        <v>1947</v>
      </c>
      <c r="F6598">
        <v>1</v>
      </c>
    </row>
    <row r="6599" spans="1:6">
      <c r="A6599" t="s">
        <v>27</v>
      </c>
      <c r="B6599" t="s">
        <v>92</v>
      </c>
      <c r="C6599" t="s">
        <v>1988</v>
      </c>
      <c r="D6599" t="s">
        <v>1856</v>
      </c>
      <c r="E6599" t="s">
        <v>1948</v>
      </c>
      <c r="F6599">
        <v>1</v>
      </c>
    </row>
    <row r="6600" spans="1:6">
      <c r="A6600" t="s">
        <v>27</v>
      </c>
      <c r="B6600" t="s">
        <v>92</v>
      </c>
      <c r="C6600" t="s">
        <v>1988</v>
      </c>
      <c r="D6600" t="s">
        <v>1856</v>
      </c>
      <c r="E6600" t="s">
        <v>1949</v>
      </c>
      <c r="F6600">
        <v>1</v>
      </c>
    </row>
    <row r="6601" spans="1:6">
      <c r="A6601" t="s">
        <v>27</v>
      </c>
      <c r="B6601" t="s">
        <v>92</v>
      </c>
      <c r="C6601" t="s">
        <v>1988</v>
      </c>
      <c r="D6601" t="s">
        <v>1856</v>
      </c>
      <c r="E6601" t="s">
        <v>1950</v>
      </c>
      <c r="F6601">
        <v>1</v>
      </c>
    </row>
    <row r="6602" spans="1:6">
      <c r="A6602" t="s">
        <v>27</v>
      </c>
      <c r="B6602" t="s">
        <v>92</v>
      </c>
      <c r="C6602" t="s">
        <v>1988</v>
      </c>
      <c r="D6602" t="s">
        <v>1856</v>
      </c>
      <c r="E6602" t="s">
        <v>1951</v>
      </c>
      <c r="F6602" t="s">
        <v>1952</v>
      </c>
    </row>
    <row r="6603" spans="1:6">
      <c r="A6603" t="s">
        <v>27</v>
      </c>
      <c r="B6603" t="s">
        <v>92</v>
      </c>
      <c r="C6603" t="s">
        <v>1988</v>
      </c>
      <c r="D6603" t="s">
        <v>1856</v>
      </c>
      <c r="E6603" t="s">
        <v>1953</v>
      </c>
      <c r="F6603">
        <v>16166.71000000031</v>
      </c>
    </row>
    <row r="6604" spans="1:6">
      <c r="A6604" t="s">
        <v>27</v>
      </c>
      <c r="B6604" t="s">
        <v>92</v>
      </c>
      <c r="C6604" t="s">
        <v>1988</v>
      </c>
      <c r="D6604" t="s">
        <v>1856</v>
      </c>
      <c r="E6604" t="s">
        <v>1954</v>
      </c>
      <c r="F6604">
        <v>15520.82000000002</v>
      </c>
    </row>
    <row r="6605" spans="1:6">
      <c r="A6605" t="s">
        <v>27</v>
      </c>
      <c r="B6605" t="s">
        <v>92</v>
      </c>
      <c r="C6605" t="s">
        <v>1988</v>
      </c>
      <c r="D6605" t="s">
        <v>1856</v>
      </c>
      <c r="E6605" t="s">
        <v>1955</v>
      </c>
      <c r="F6605">
        <v>645.8900000002759</v>
      </c>
    </row>
    <row r="6606" spans="1:6">
      <c r="A6606" t="s">
        <v>27</v>
      </c>
      <c r="B6606" t="s">
        <v>92</v>
      </c>
      <c r="C6606" t="s">
        <v>1988</v>
      </c>
      <c r="D6606" t="s">
        <v>1856</v>
      </c>
      <c r="E6606" t="s">
        <v>1956</v>
      </c>
      <c r="F6606">
        <v>0</v>
      </c>
    </row>
    <row r="6607" spans="1:6">
      <c r="A6607" t="s">
        <v>27</v>
      </c>
      <c r="B6607" t="s">
        <v>92</v>
      </c>
      <c r="C6607" t="s">
        <v>1988</v>
      </c>
      <c r="D6607" t="s">
        <v>1856</v>
      </c>
      <c r="E6607" t="s">
        <v>1957</v>
      </c>
      <c r="F6607">
        <v>0</v>
      </c>
    </row>
    <row r="6608" spans="1:6">
      <c r="A6608" t="s">
        <v>27</v>
      </c>
      <c r="B6608" t="s">
        <v>92</v>
      </c>
      <c r="C6608" t="s">
        <v>1988</v>
      </c>
      <c r="D6608" t="s">
        <v>1856</v>
      </c>
      <c r="E6608" t="s">
        <v>1958</v>
      </c>
      <c r="F6608">
        <v>0</v>
      </c>
    </row>
    <row r="6609" spans="1:6">
      <c r="A6609" t="s">
        <v>27</v>
      </c>
      <c r="B6609" t="s">
        <v>92</v>
      </c>
      <c r="C6609" t="s">
        <v>1988</v>
      </c>
      <c r="D6609" t="s">
        <v>1856</v>
      </c>
      <c r="E6609" t="s">
        <v>1959</v>
      </c>
      <c r="F6609">
        <v>0</v>
      </c>
    </row>
    <row r="6610" spans="1:6">
      <c r="A6610" t="s">
        <v>27</v>
      </c>
      <c r="B6610" t="s">
        <v>92</v>
      </c>
      <c r="C6610" t="s">
        <v>1988</v>
      </c>
      <c r="D6610" t="s">
        <v>1856</v>
      </c>
      <c r="E6610" t="s">
        <v>1960</v>
      </c>
      <c r="F6610" t="s">
        <v>1255</v>
      </c>
    </row>
    <row r="6611" spans="1:6">
      <c r="A6611" t="s">
        <v>27</v>
      </c>
      <c r="B6611" t="s">
        <v>92</v>
      </c>
      <c r="C6611" t="s">
        <v>1988</v>
      </c>
      <c r="D6611" t="s">
        <v>1856</v>
      </c>
      <c r="E6611" t="s">
        <v>1961</v>
      </c>
      <c r="F6611">
        <v>128</v>
      </c>
    </row>
    <row r="6612" spans="1:6">
      <c r="A6612" t="s">
        <v>27</v>
      </c>
      <c r="B6612" t="s">
        <v>92</v>
      </c>
      <c r="C6612" t="s">
        <v>1988</v>
      </c>
      <c r="D6612" t="s">
        <v>1856</v>
      </c>
      <c r="E6612" t="s">
        <v>1962</v>
      </c>
      <c r="F6612">
        <v>112</v>
      </c>
    </row>
    <row r="6613" spans="1:6">
      <c r="A6613" t="s">
        <v>27</v>
      </c>
      <c r="B6613" t="s">
        <v>92</v>
      </c>
      <c r="C6613" t="s">
        <v>1988</v>
      </c>
      <c r="D6613" t="s">
        <v>1856</v>
      </c>
      <c r="E6613" t="s">
        <v>1963</v>
      </c>
      <c r="F6613">
        <v>16</v>
      </c>
    </row>
    <row r="6614" spans="1:6">
      <c r="A6614" t="s">
        <v>27</v>
      </c>
      <c r="B6614" t="s">
        <v>92</v>
      </c>
      <c r="C6614" t="s">
        <v>1988</v>
      </c>
      <c r="D6614" t="s">
        <v>1856</v>
      </c>
      <c r="E6614" t="s">
        <v>1964</v>
      </c>
      <c r="F6614">
        <v>0</v>
      </c>
    </row>
    <row r="6615" spans="1:6">
      <c r="A6615" t="s">
        <v>27</v>
      </c>
      <c r="B6615" t="s">
        <v>92</v>
      </c>
      <c r="C6615" t="s">
        <v>1988</v>
      </c>
      <c r="D6615" t="s">
        <v>1856</v>
      </c>
      <c r="E6615" t="s">
        <v>1965</v>
      </c>
      <c r="F6615">
        <v>0</v>
      </c>
    </row>
    <row r="6616" spans="1:6">
      <c r="A6616" t="s">
        <v>27</v>
      </c>
      <c r="B6616" t="s">
        <v>92</v>
      </c>
      <c r="C6616" t="s">
        <v>1988</v>
      </c>
      <c r="D6616" t="s">
        <v>1856</v>
      </c>
      <c r="E6616" t="s">
        <v>1966</v>
      </c>
      <c r="F6616">
        <v>0</v>
      </c>
    </row>
    <row r="6617" spans="1:6">
      <c r="A6617" t="s">
        <v>27</v>
      </c>
      <c r="B6617" t="s">
        <v>92</v>
      </c>
      <c r="C6617" t="s">
        <v>1988</v>
      </c>
      <c r="D6617" t="s">
        <v>1856</v>
      </c>
      <c r="E6617" t="s">
        <v>1967</v>
      </c>
      <c r="F6617">
        <v>0</v>
      </c>
    </row>
    <row r="6618" spans="1:6">
      <c r="A6618" t="s">
        <v>27</v>
      </c>
      <c r="B6618" t="s">
        <v>92</v>
      </c>
      <c r="C6618" t="s">
        <v>1988</v>
      </c>
      <c r="D6618" t="s">
        <v>1856</v>
      </c>
      <c r="E6618" t="s">
        <v>1968</v>
      </c>
      <c r="F6618" t="s">
        <v>1131</v>
      </c>
    </row>
    <row r="6619" spans="1:6">
      <c r="A6619" t="s">
        <v>27</v>
      </c>
      <c r="B6619" t="s">
        <v>92</v>
      </c>
      <c r="C6619" t="s">
        <v>1988</v>
      </c>
      <c r="D6619" t="s">
        <v>1856</v>
      </c>
      <c r="E6619" t="s">
        <v>1969</v>
      </c>
      <c r="F6619">
        <v>0.02782759046560506</v>
      </c>
    </row>
    <row r="6620" spans="1:6">
      <c r="A6620" t="s">
        <v>27</v>
      </c>
      <c r="B6620" t="s">
        <v>92</v>
      </c>
      <c r="C6620" t="s">
        <v>1988</v>
      </c>
      <c r="D6620" t="s">
        <v>1856</v>
      </c>
      <c r="E6620" t="s">
        <v>1970</v>
      </c>
      <c r="F6620">
        <v>0.2807171945390372</v>
      </c>
    </row>
    <row r="6621" spans="1:6">
      <c r="A6621" t="s">
        <v>27</v>
      </c>
      <c r="B6621" t="s">
        <v>92</v>
      </c>
      <c r="C6621" t="s">
        <v>1988</v>
      </c>
      <c r="D6621" t="s">
        <v>1856</v>
      </c>
      <c r="E6621" t="s">
        <v>1971</v>
      </c>
      <c r="F6621">
        <v>0.008030895616016453</v>
      </c>
    </row>
    <row r="6622" spans="1:6">
      <c r="A6622" t="s">
        <v>27</v>
      </c>
      <c r="B6622" t="s">
        <v>92</v>
      </c>
      <c r="C6622" t="s">
        <v>1988</v>
      </c>
      <c r="D6622" t="s">
        <v>1856</v>
      </c>
      <c r="E6622" t="s">
        <v>1972</v>
      </c>
      <c r="F6622">
        <v>0</v>
      </c>
    </row>
    <row r="6623" spans="1:6">
      <c r="A6623" t="s">
        <v>27</v>
      </c>
      <c r="B6623" t="s">
        <v>92</v>
      </c>
      <c r="C6623" t="s">
        <v>1988</v>
      </c>
      <c r="D6623" t="s">
        <v>1856</v>
      </c>
      <c r="E6623" t="s">
        <v>1973</v>
      </c>
      <c r="F6623">
        <v>0</v>
      </c>
    </row>
    <row r="6624" spans="1:6">
      <c r="A6624" t="s">
        <v>27</v>
      </c>
      <c r="B6624" t="s">
        <v>92</v>
      </c>
      <c r="C6624" t="s">
        <v>1988</v>
      </c>
      <c r="D6624" t="s">
        <v>1856</v>
      </c>
      <c r="E6624" t="s">
        <v>1974</v>
      </c>
      <c r="F6624">
        <v>0</v>
      </c>
    </row>
    <row r="6625" spans="1:6">
      <c r="A6625" t="s">
        <v>27</v>
      </c>
      <c r="B6625" t="s">
        <v>92</v>
      </c>
      <c r="C6625" t="s">
        <v>1988</v>
      </c>
      <c r="D6625" t="s">
        <v>1856</v>
      </c>
      <c r="E6625" t="s">
        <v>1975</v>
      </c>
      <c r="F6625">
        <v>0</v>
      </c>
    </row>
    <row r="6626" spans="1:6">
      <c r="A6626" t="s">
        <v>27</v>
      </c>
      <c r="B6626" t="s">
        <v>92</v>
      </c>
      <c r="C6626" t="s">
        <v>1988</v>
      </c>
      <c r="D6626" t="s">
        <v>1976</v>
      </c>
      <c r="E6626" t="s">
        <v>1274</v>
      </c>
      <c r="F6626" t="s">
        <v>92</v>
      </c>
    </row>
    <row r="6627" spans="1:6">
      <c r="A6627" t="s">
        <v>27</v>
      </c>
      <c r="B6627" t="s">
        <v>92</v>
      </c>
      <c r="C6627" t="s">
        <v>1988</v>
      </c>
      <c r="D6627" t="s">
        <v>1976</v>
      </c>
      <c r="E6627" t="s">
        <v>1275</v>
      </c>
      <c r="F6627" t="s">
        <v>1989</v>
      </c>
    </row>
    <row r="6628" spans="1:6">
      <c r="A6628" t="s">
        <v>27</v>
      </c>
      <c r="B6628" t="s">
        <v>92</v>
      </c>
      <c r="C6628" t="s">
        <v>1988</v>
      </c>
      <c r="D6628" t="s">
        <v>1976</v>
      </c>
      <c r="E6628" t="s">
        <v>1977</v>
      </c>
      <c r="F6628" t="s">
        <v>1978</v>
      </c>
    </row>
    <row r="6629" spans="1:6">
      <c r="A6629" t="s">
        <v>27</v>
      </c>
      <c r="B6629" t="s">
        <v>92</v>
      </c>
      <c r="C6629" t="s">
        <v>1988</v>
      </c>
      <c r="D6629" t="s">
        <v>1976</v>
      </c>
      <c r="E6629" t="s">
        <v>1979</v>
      </c>
      <c r="F6629" t="s">
        <v>1980</v>
      </c>
    </row>
    <row r="6630" spans="1:6">
      <c r="A6630" t="s">
        <v>27</v>
      </c>
      <c r="B6630" t="s">
        <v>92</v>
      </c>
      <c r="C6630" t="s">
        <v>1988</v>
      </c>
      <c r="D6630" t="s">
        <v>1976</v>
      </c>
      <c r="E6630" t="s">
        <v>1276</v>
      </c>
      <c r="F6630" t="s">
        <v>1277</v>
      </c>
    </row>
    <row r="6631" spans="1:6">
      <c r="A6631" t="s">
        <v>27</v>
      </c>
      <c r="B6631" t="s">
        <v>92</v>
      </c>
      <c r="C6631" t="s">
        <v>1988</v>
      </c>
      <c r="D6631" t="s">
        <v>1976</v>
      </c>
      <c r="E6631" t="s">
        <v>1279</v>
      </c>
      <c r="F6631" t="s">
        <v>1280</v>
      </c>
    </row>
    <row r="6632" spans="1:6">
      <c r="A6632" t="s">
        <v>27</v>
      </c>
      <c r="B6632" t="s">
        <v>92</v>
      </c>
      <c r="C6632" t="s">
        <v>1988</v>
      </c>
      <c r="D6632" t="s">
        <v>1976</v>
      </c>
      <c r="E6632" t="s">
        <v>1281</v>
      </c>
      <c r="F6632" t="s">
        <v>1981</v>
      </c>
    </row>
    <row r="6633" spans="1:6">
      <c r="A6633" t="s">
        <v>27</v>
      </c>
      <c r="B6633" t="s">
        <v>92</v>
      </c>
      <c r="C6633" t="s">
        <v>1988</v>
      </c>
      <c r="D6633" t="s">
        <v>1976</v>
      </c>
      <c r="E6633" t="s">
        <v>1283</v>
      </c>
      <c r="F6633" t="s">
        <v>1284</v>
      </c>
    </row>
    <row r="6634" spans="1:6">
      <c r="A6634" t="s">
        <v>27</v>
      </c>
      <c r="B6634" t="s">
        <v>92</v>
      </c>
      <c r="C6634" t="s">
        <v>1988</v>
      </c>
      <c r="D6634" t="s">
        <v>1976</v>
      </c>
      <c r="E6634" t="s">
        <v>1285</v>
      </c>
      <c r="F6634" t="s">
        <v>505</v>
      </c>
    </row>
    <row r="6635" spans="1:6">
      <c r="A6635" t="s">
        <v>27</v>
      </c>
      <c r="B6635" t="s">
        <v>92</v>
      </c>
      <c r="C6635" t="s">
        <v>1988</v>
      </c>
      <c r="D6635" t="s">
        <v>1976</v>
      </c>
      <c r="E6635" t="s">
        <v>1286</v>
      </c>
      <c r="F6635">
        <v>33</v>
      </c>
    </row>
    <row r="6636" spans="1:6">
      <c r="A6636" t="s">
        <v>27</v>
      </c>
      <c r="B6636" t="s">
        <v>92</v>
      </c>
      <c r="C6636" t="s">
        <v>1988</v>
      </c>
      <c r="D6636" t="s">
        <v>1976</v>
      </c>
      <c r="E6636" t="s">
        <v>1287</v>
      </c>
      <c r="F6636">
        <v>85.11000000000001</v>
      </c>
    </row>
    <row r="6637" spans="1:6">
      <c r="A6637" t="s">
        <v>27</v>
      </c>
      <c r="B6637" t="s">
        <v>92</v>
      </c>
      <c r="C6637" t="s">
        <v>1988</v>
      </c>
      <c r="D6637" t="s">
        <v>1976</v>
      </c>
      <c r="E6637" t="s">
        <v>1288</v>
      </c>
      <c r="F6637" t="s">
        <v>507</v>
      </c>
    </row>
    <row r="6638" spans="1:6">
      <c r="A6638" t="s">
        <v>27</v>
      </c>
      <c r="B6638" t="s">
        <v>92</v>
      </c>
      <c r="C6638" t="s">
        <v>1988</v>
      </c>
      <c r="D6638" t="s">
        <v>1976</v>
      </c>
      <c r="E6638" t="s">
        <v>1096</v>
      </c>
      <c r="F6638">
        <v>46</v>
      </c>
    </row>
    <row r="6639" spans="1:6">
      <c r="A6639" t="s">
        <v>27</v>
      </c>
      <c r="B6639" t="s">
        <v>92</v>
      </c>
      <c r="C6639" t="s">
        <v>1988</v>
      </c>
      <c r="D6639" t="s">
        <v>1976</v>
      </c>
      <c r="E6639" t="s">
        <v>1004</v>
      </c>
      <c r="F6639">
        <v>1732.46</v>
      </c>
    </row>
    <row r="6640" spans="1:6">
      <c r="A6640" t="s">
        <v>27</v>
      </c>
      <c r="B6640" t="s">
        <v>92</v>
      </c>
      <c r="C6640" t="s">
        <v>1988</v>
      </c>
      <c r="D6640" t="s">
        <v>1976</v>
      </c>
      <c r="E6640" t="s">
        <v>1289</v>
      </c>
      <c r="F6640" t="s">
        <v>685</v>
      </c>
    </row>
    <row r="6641" spans="1:6">
      <c r="A6641" t="s">
        <v>27</v>
      </c>
      <c r="B6641" t="s">
        <v>92</v>
      </c>
      <c r="C6641" t="s">
        <v>1988</v>
      </c>
      <c r="D6641" t="s">
        <v>1976</v>
      </c>
      <c r="E6641" t="s">
        <v>1290</v>
      </c>
      <c r="F6641">
        <v>45</v>
      </c>
    </row>
    <row r="6642" spans="1:6">
      <c r="A6642" t="s">
        <v>27</v>
      </c>
      <c r="B6642" t="s">
        <v>92</v>
      </c>
      <c r="C6642" t="s">
        <v>1988</v>
      </c>
      <c r="D6642" t="s">
        <v>1976</v>
      </c>
      <c r="E6642" t="s">
        <v>1291</v>
      </c>
      <c r="F6642">
        <v>10677.66</v>
      </c>
    </row>
    <row r="6643" spans="1:6">
      <c r="A6643" t="s">
        <v>27</v>
      </c>
      <c r="B6643" t="s">
        <v>92</v>
      </c>
      <c r="C6643" t="s">
        <v>1988</v>
      </c>
      <c r="D6643" t="s">
        <v>1976</v>
      </c>
      <c r="E6643" t="s">
        <v>1008</v>
      </c>
      <c r="F6643" t="s">
        <v>687</v>
      </c>
    </row>
    <row r="6644" spans="1:6">
      <c r="A6644" t="s">
        <v>27</v>
      </c>
      <c r="B6644" t="s">
        <v>92</v>
      </c>
      <c r="C6644" t="s">
        <v>1988</v>
      </c>
      <c r="D6644" t="s">
        <v>1976</v>
      </c>
      <c r="E6644" t="s">
        <v>1010</v>
      </c>
      <c r="F6644">
        <v>4</v>
      </c>
    </row>
    <row r="6645" spans="1:6">
      <c r="A6645" t="s">
        <v>27</v>
      </c>
      <c r="B6645" t="s">
        <v>92</v>
      </c>
      <c r="C6645" t="s">
        <v>1988</v>
      </c>
      <c r="D6645" t="s">
        <v>1976</v>
      </c>
      <c r="E6645" t="s">
        <v>1012</v>
      </c>
      <c r="F6645">
        <v>3671.48</v>
      </c>
    </row>
    <row r="6646" spans="1:6">
      <c r="A6646" t="s">
        <v>27</v>
      </c>
      <c r="B6646" t="s">
        <v>92</v>
      </c>
      <c r="C6646" t="s">
        <v>1988</v>
      </c>
      <c r="D6646" t="s">
        <v>1976</v>
      </c>
      <c r="E6646" t="s">
        <v>1035</v>
      </c>
      <c r="F6646" t="s">
        <v>689</v>
      </c>
    </row>
    <row r="6647" spans="1:6">
      <c r="A6647" t="s">
        <v>27</v>
      </c>
      <c r="B6647" t="s">
        <v>92</v>
      </c>
      <c r="C6647" t="s">
        <v>1988</v>
      </c>
      <c r="D6647" t="s">
        <v>1976</v>
      </c>
      <c r="E6647" t="s">
        <v>1099</v>
      </c>
      <c r="F6647">
        <v>0</v>
      </c>
    </row>
    <row r="6648" spans="1:6">
      <c r="A6648" t="s">
        <v>27</v>
      </c>
      <c r="B6648" t="s">
        <v>92</v>
      </c>
      <c r="C6648" t="s">
        <v>1988</v>
      </c>
      <c r="D6648" t="s">
        <v>1976</v>
      </c>
      <c r="E6648" t="s">
        <v>1100</v>
      </c>
      <c r="F6648">
        <v>0</v>
      </c>
    </row>
    <row r="6649" spans="1:6">
      <c r="A6649" t="s">
        <v>27</v>
      </c>
      <c r="B6649" t="s">
        <v>92</v>
      </c>
      <c r="C6649" t="s">
        <v>1988</v>
      </c>
      <c r="D6649" t="s">
        <v>1976</v>
      </c>
      <c r="E6649" t="s">
        <v>1037</v>
      </c>
      <c r="F6649" t="s">
        <v>1292</v>
      </c>
    </row>
    <row r="6650" spans="1:6">
      <c r="A6650" t="s">
        <v>27</v>
      </c>
      <c r="B6650" t="s">
        <v>92</v>
      </c>
      <c r="C6650" t="s">
        <v>1988</v>
      </c>
      <c r="D6650" t="s">
        <v>1976</v>
      </c>
      <c r="E6650" t="s">
        <v>1103</v>
      </c>
      <c r="F6650">
        <v>128</v>
      </c>
    </row>
    <row r="6651" spans="1:6">
      <c r="A6651" t="s">
        <v>27</v>
      </c>
      <c r="B6651" t="s">
        <v>92</v>
      </c>
      <c r="C6651" t="s">
        <v>1988</v>
      </c>
      <c r="D6651" t="s">
        <v>1976</v>
      </c>
      <c r="E6651" t="s">
        <v>1104</v>
      </c>
      <c r="F6651">
        <v>16166.71</v>
      </c>
    </row>
    <row r="6652" spans="1:6">
      <c r="A6652" t="s">
        <v>27</v>
      </c>
      <c r="B6652" t="s">
        <v>92</v>
      </c>
      <c r="C6652" t="s">
        <v>1988</v>
      </c>
      <c r="D6652" t="s">
        <v>1976</v>
      </c>
      <c r="E6652" t="s">
        <v>1052</v>
      </c>
      <c r="F6652" t="s">
        <v>1293</v>
      </c>
    </row>
    <row r="6653" spans="1:6">
      <c r="A6653" t="s">
        <v>27</v>
      </c>
      <c r="B6653" t="s">
        <v>92</v>
      </c>
      <c r="C6653" t="s">
        <v>1988</v>
      </c>
      <c r="D6653" t="s">
        <v>1976</v>
      </c>
      <c r="E6653" t="s">
        <v>1053</v>
      </c>
      <c r="F6653" t="s">
        <v>1294</v>
      </c>
    </row>
    <row r="6654" spans="1:6">
      <c r="A6654" t="s">
        <v>27</v>
      </c>
      <c r="B6654" t="s">
        <v>92</v>
      </c>
      <c r="C6654" t="s">
        <v>1988</v>
      </c>
      <c r="D6654" t="s">
        <v>1976</v>
      </c>
      <c r="E6654" t="s">
        <v>1108</v>
      </c>
      <c r="F6654">
        <v>0</v>
      </c>
    </row>
    <row r="6655" spans="1:6">
      <c r="A6655" t="s">
        <v>27</v>
      </c>
      <c r="B6655" t="s">
        <v>92</v>
      </c>
      <c r="C6655" t="s">
        <v>1988</v>
      </c>
      <c r="D6655" t="s">
        <v>1976</v>
      </c>
      <c r="E6655" t="s">
        <v>1109</v>
      </c>
      <c r="F6655">
        <v>0</v>
      </c>
    </row>
    <row r="6656" spans="1:6">
      <c r="A6656" t="s">
        <v>27</v>
      </c>
      <c r="B6656" t="s">
        <v>92</v>
      </c>
      <c r="C6656" t="s">
        <v>1988</v>
      </c>
      <c r="D6656" t="s">
        <v>1976</v>
      </c>
      <c r="E6656" t="s">
        <v>1113</v>
      </c>
      <c r="F6656">
        <v>2018</v>
      </c>
    </row>
    <row r="6657" spans="1:6">
      <c r="A6657" t="s">
        <v>27</v>
      </c>
      <c r="B6657" t="s">
        <v>92</v>
      </c>
      <c r="C6657" t="s">
        <v>1988</v>
      </c>
      <c r="D6657" t="s">
        <v>1976</v>
      </c>
      <c r="E6657" t="s">
        <v>1114</v>
      </c>
      <c r="F6657">
        <v>0</v>
      </c>
    </row>
    <row r="6658" spans="1:6">
      <c r="A6658" t="s">
        <v>27</v>
      </c>
      <c r="B6658" t="s">
        <v>92</v>
      </c>
      <c r="C6658" t="s">
        <v>1988</v>
      </c>
      <c r="D6658" t="s">
        <v>1976</v>
      </c>
      <c r="E6658" t="s">
        <v>1115</v>
      </c>
      <c r="F6658">
        <v>0</v>
      </c>
    </row>
    <row r="6659" spans="1:6">
      <c r="A6659" t="s">
        <v>27</v>
      </c>
      <c r="B6659" t="s">
        <v>92</v>
      </c>
      <c r="C6659" t="s">
        <v>1988</v>
      </c>
      <c r="D6659" t="s">
        <v>1976</v>
      </c>
      <c r="E6659" t="s">
        <v>1118</v>
      </c>
      <c r="F6659">
        <v>2019</v>
      </c>
    </row>
    <row r="6660" spans="1:6">
      <c r="A6660" t="s">
        <v>27</v>
      </c>
      <c r="B6660" t="s">
        <v>92</v>
      </c>
      <c r="C6660" t="s">
        <v>1988</v>
      </c>
      <c r="D6660" t="s">
        <v>1976</v>
      </c>
      <c r="E6660" t="s">
        <v>1119</v>
      </c>
      <c r="F6660">
        <v>0</v>
      </c>
    </row>
    <row r="6661" spans="1:6">
      <c r="A6661" t="s">
        <v>27</v>
      </c>
      <c r="B6661" t="s">
        <v>92</v>
      </c>
      <c r="C6661" t="s">
        <v>1988</v>
      </c>
      <c r="D6661" t="s">
        <v>1976</v>
      </c>
      <c r="E6661" t="s">
        <v>1120</v>
      </c>
      <c r="F6661">
        <v>0</v>
      </c>
    </row>
    <row r="6662" spans="1:6">
      <c r="A6662" t="s">
        <v>27</v>
      </c>
      <c r="B6662" t="s">
        <v>92</v>
      </c>
      <c r="C6662" t="s">
        <v>1988</v>
      </c>
      <c r="D6662" t="s">
        <v>1976</v>
      </c>
      <c r="E6662" t="s">
        <v>1124</v>
      </c>
      <c r="F6662">
        <v>2020</v>
      </c>
    </row>
    <row r="6663" spans="1:6">
      <c r="A6663" t="s">
        <v>27</v>
      </c>
      <c r="B6663" t="s">
        <v>92</v>
      </c>
      <c r="C6663" t="s">
        <v>1988</v>
      </c>
      <c r="D6663" t="s">
        <v>1976</v>
      </c>
      <c r="E6663" t="s">
        <v>1126</v>
      </c>
      <c r="F6663">
        <v>0</v>
      </c>
    </row>
    <row r="6664" spans="1:6">
      <c r="A6664" t="s">
        <v>27</v>
      </c>
      <c r="B6664" t="s">
        <v>92</v>
      </c>
      <c r="C6664" t="s">
        <v>1988</v>
      </c>
      <c r="D6664" t="s">
        <v>1976</v>
      </c>
      <c r="E6664" t="s">
        <v>1127</v>
      </c>
      <c r="F6664">
        <v>0</v>
      </c>
    </row>
    <row r="6665" spans="1:6">
      <c r="A6665" t="s">
        <v>27</v>
      </c>
      <c r="B6665" t="s">
        <v>92</v>
      </c>
      <c r="C6665" t="s">
        <v>1988</v>
      </c>
      <c r="D6665" t="s">
        <v>1976</v>
      </c>
      <c r="E6665" t="s">
        <v>1057</v>
      </c>
      <c r="F6665">
        <v>2021</v>
      </c>
    </row>
    <row r="6666" spans="1:6">
      <c r="A6666" t="s">
        <v>27</v>
      </c>
      <c r="B6666" t="s">
        <v>92</v>
      </c>
      <c r="C6666" t="s">
        <v>1988</v>
      </c>
      <c r="D6666" t="s">
        <v>1976</v>
      </c>
      <c r="E6666" t="s">
        <v>1058</v>
      </c>
      <c r="F6666">
        <v>0</v>
      </c>
    </row>
    <row r="6667" spans="1:6">
      <c r="A6667" t="s">
        <v>27</v>
      </c>
      <c r="B6667" t="s">
        <v>92</v>
      </c>
      <c r="C6667" t="s">
        <v>1988</v>
      </c>
      <c r="D6667" t="s">
        <v>1976</v>
      </c>
      <c r="E6667" t="s">
        <v>1059</v>
      </c>
      <c r="F6667">
        <v>0</v>
      </c>
    </row>
    <row r="6668" spans="1:6">
      <c r="A6668" t="s">
        <v>27</v>
      </c>
      <c r="B6668" t="s">
        <v>92</v>
      </c>
      <c r="C6668" t="s">
        <v>1988</v>
      </c>
      <c r="D6668" t="s">
        <v>1976</v>
      </c>
      <c r="E6668" t="s">
        <v>1072</v>
      </c>
      <c r="F6668">
        <v>2022</v>
      </c>
    </row>
    <row r="6669" spans="1:6">
      <c r="A6669" t="s">
        <v>27</v>
      </c>
      <c r="B6669" t="s">
        <v>92</v>
      </c>
      <c r="C6669" t="s">
        <v>1988</v>
      </c>
      <c r="D6669" t="s">
        <v>1976</v>
      </c>
      <c r="E6669" t="s">
        <v>1133</v>
      </c>
      <c r="F6669">
        <v>0</v>
      </c>
    </row>
    <row r="6670" spans="1:6">
      <c r="A6670" t="s">
        <v>27</v>
      </c>
      <c r="B6670" t="s">
        <v>92</v>
      </c>
      <c r="C6670" t="s">
        <v>1988</v>
      </c>
      <c r="D6670" t="s">
        <v>1976</v>
      </c>
      <c r="E6670" t="s">
        <v>1134</v>
      </c>
      <c r="F6670">
        <v>0</v>
      </c>
    </row>
    <row r="6671" spans="1:6">
      <c r="A6671" t="s">
        <v>27</v>
      </c>
      <c r="B6671" t="s">
        <v>92</v>
      </c>
      <c r="C6671" t="s">
        <v>1988</v>
      </c>
      <c r="D6671" t="s">
        <v>1976</v>
      </c>
      <c r="E6671" t="s">
        <v>1074</v>
      </c>
      <c r="F6671">
        <v>2023</v>
      </c>
    </row>
    <row r="6672" spans="1:6">
      <c r="A6672" t="s">
        <v>27</v>
      </c>
      <c r="B6672" t="s">
        <v>92</v>
      </c>
      <c r="C6672" t="s">
        <v>1988</v>
      </c>
      <c r="D6672" t="s">
        <v>1976</v>
      </c>
      <c r="E6672" t="s">
        <v>1296</v>
      </c>
      <c r="F6672">
        <v>0</v>
      </c>
    </row>
    <row r="6673" spans="1:6">
      <c r="A6673" t="s">
        <v>27</v>
      </c>
      <c r="B6673" t="s">
        <v>92</v>
      </c>
      <c r="C6673" t="s">
        <v>1988</v>
      </c>
      <c r="D6673" t="s">
        <v>1976</v>
      </c>
      <c r="E6673" t="s">
        <v>1297</v>
      </c>
      <c r="F6673">
        <v>0</v>
      </c>
    </row>
    <row r="6674" spans="1:6">
      <c r="A6674" t="s">
        <v>27</v>
      </c>
      <c r="B6674" t="s">
        <v>92</v>
      </c>
      <c r="C6674" t="s">
        <v>1988</v>
      </c>
      <c r="D6674" t="s">
        <v>1976</v>
      </c>
      <c r="E6674" t="s">
        <v>1076</v>
      </c>
      <c r="F6674">
        <v>2024</v>
      </c>
    </row>
    <row r="6675" spans="1:6">
      <c r="A6675" t="s">
        <v>27</v>
      </c>
      <c r="B6675" t="s">
        <v>92</v>
      </c>
      <c r="C6675" t="s">
        <v>1988</v>
      </c>
      <c r="D6675" t="s">
        <v>1976</v>
      </c>
      <c r="E6675" t="s">
        <v>1077</v>
      </c>
      <c r="F6675">
        <v>0</v>
      </c>
    </row>
    <row r="6676" spans="1:6">
      <c r="A6676" t="s">
        <v>27</v>
      </c>
      <c r="B6676" t="s">
        <v>92</v>
      </c>
      <c r="C6676" t="s">
        <v>1988</v>
      </c>
      <c r="D6676" t="s">
        <v>1976</v>
      </c>
      <c r="E6676" t="s">
        <v>1078</v>
      </c>
      <c r="F6676">
        <v>0</v>
      </c>
    </row>
    <row r="6677" spans="1:6">
      <c r="A6677" t="s">
        <v>27</v>
      </c>
      <c r="B6677" t="s">
        <v>92</v>
      </c>
      <c r="C6677" t="s">
        <v>1988</v>
      </c>
      <c r="D6677" t="s">
        <v>1976</v>
      </c>
      <c r="E6677" t="s">
        <v>1090</v>
      </c>
      <c r="F6677">
        <v>2025</v>
      </c>
    </row>
    <row r="6678" spans="1:6">
      <c r="A6678" t="s">
        <v>27</v>
      </c>
      <c r="B6678" t="s">
        <v>92</v>
      </c>
      <c r="C6678" t="s">
        <v>1988</v>
      </c>
      <c r="D6678" t="s">
        <v>1976</v>
      </c>
      <c r="E6678" t="s">
        <v>1139</v>
      </c>
      <c r="F6678">
        <v>0</v>
      </c>
    </row>
    <row r="6679" spans="1:6">
      <c r="A6679" t="s">
        <v>27</v>
      </c>
      <c r="B6679" t="s">
        <v>92</v>
      </c>
      <c r="C6679" t="s">
        <v>1988</v>
      </c>
      <c r="D6679" t="s">
        <v>1976</v>
      </c>
      <c r="E6679" t="s">
        <v>1140</v>
      </c>
      <c r="F6679">
        <v>0</v>
      </c>
    </row>
    <row r="6680" spans="1:6">
      <c r="A6680" t="s">
        <v>27</v>
      </c>
      <c r="B6680" t="s">
        <v>92</v>
      </c>
      <c r="C6680" t="s">
        <v>1988</v>
      </c>
      <c r="D6680" t="s">
        <v>1976</v>
      </c>
      <c r="E6680" t="s">
        <v>1298</v>
      </c>
      <c r="F6680">
        <v>2026</v>
      </c>
    </row>
    <row r="6681" spans="1:6">
      <c r="A6681" t="s">
        <v>27</v>
      </c>
      <c r="B6681" t="s">
        <v>92</v>
      </c>
      <c r="C6681" t="s">
        <v>1988</v>
      </c>
      <c r="D6681" t="s">
        <v>1976</v>
      </c>
      <c r="E6681" t="s">
        <v>1299</v>
      </c>
      <c r="F6681">
        <v>128</v>
      </c>
    </row>
    <row r="6682" spans="1:6">
      <c r="A6682" t="s">
        <v>27</v>
      </c>
      <c r="B6682" t="s">
        <v>92</v>
      </c>
      <c r="C6682" t="s">
        <v>1988</v>
      </c>
      <c r="D6682" t="s">
        <v>1976</v>
      </c>
      <c r="E6682" t="s">
        <v>1300</v>
      </c>
      <c r="F6682">
        <v>16166.71</v>
      </c>
    </row>
    <row r="6683" spans="1:6">
      <c r="A6683" t="s">
        <v>27</v>
      </c>
      <c r="B6683" t="s">
        <v>92</v>
      </c>
      <c r="C6683" t="s">
        <v>1988</v>
      </c>
      <c r="D6683" t="s">
        <v>1976</v>
      </c>
      <c r="E6683" t="s">
        <v>1301</v>
      </c>
      <c r="F6683" t="s">
        <v>1292</v>
      </c>
    </row>
    <row r="6684" spans="1:6">
      <c r="A6684" t="s">
        <v>27</v>
      </c>
      <c r="B6684" t="s">
        <v>92</v>
      </c>
      <c r="C6684" t="s">
        <v>1988</v>
      </c>
      <c r="D6684" t="s">
        <v>1976</v>
      </c>
      <c r="E6684" t="s">
        <v>1302</v>
      </c>
      <c r="F6684">
        <v>128</v>
      </c>
    </row>
    <row r="6685" spans="1:6">
      <c r="A6685" t="s">
        <v>27</v>
      </c>
      <c r="B6685" t="s">
        <v>92</v>
      </c>
      <c r="C6685" t="s">
        <v>1988</v>
      </c>
      <c r="D6685" t="s">
        <v>1976</v>
      </c>
      <c r="E6685" t="s">
        <v>1303</v>
      </c>
      <c r="F6685">
        <v>16166.71</v>
      </c>
    </row>
    <row r="6686" spans="1:6">
      <c r="A6686" t="s">
        <v>27</v>
      </c>
      <c r="B6686" t="s">
        <v>100</v>
      </c>
      <c r="C6686" t="s">
        <v>1988</v>
      </c>
      <c r="D6686" t="s">
        <v>1982</v>
      </c>
      <c r="E6686" t="s">
        <v>1093</v>
      </c>
      <c r="F6686" t="s">
        <v>1094</v>
      </c>
    </row>
    <row r="6687" spans="1:6">
      <c r="A6687" t="s">
        <v>27</v>
      </c>
      <c r="B6687" t="s">
        <v>100</v>
      </c>
      <c r="C6687" t="s">
        <v>1988</v>
      </c>
      <c r="D6687" t="s">
        <v>1982</v>
      </c>
      <c r="E6687" t="s">
        <v>994</v>
      </c>
      <c r="F6687" t="s">
        <v>100</v>
      </c>
    </row>
    <row r="6688" spans="1:6">
      <c r="A6688" t="s">
        <v>27</v>
      </c>
      <c r="B6688" t="s">
        <v>100</v>
      </c>
      <c r="C6688" t="s">
        <v>1988</v>
      </c>
      <c r="D6688" t="s">
        <v>1982</v>
      </c>
      <c r="E6688" t="s">
        <v>995</v>
      </c>
      <c r="F6688" t="s">
        <v>996</v>
      </c>
    </row>
    <row r="6689" spans="1:6">
      <c r="A6689" t="s">
        <v>27</v>
      </c>
      <c r="B6689" t="s">
        <v>100</v>
      </c>
      <c r="C6689" t="s">
        <v>1988</v>
      </c>
      <c r="D6689" t="s">
        <v>1982</v>
      </c>
      <c r="E6689" t="s">
        <v>997</v>
      </c>
      <c r="F6689" t="s">
        <v>1989</v>
      </c>
    </row>
    <row r="6690" spans="1:6">
      <c r="A6690" t="s">
        <v>27</v>
      </c>
      <c r="B6690" t="s">
        <v>100</v>
      </c>
      <c r="C6690" t="s">
        <v>1988</v>
      </c>
      <c r="D6690" t="s">
        <v>1982</v>
      </c>
      <c r="E6690" t="s">
        <v>999</v>
      </c>
      <c r="F6690" t="s">
        <v>1000</v>
      </c>
    </row>
    <row r="6691" spans="1:6">
      <c r="A6691" t="s">
        <v>27</v>
      </c>
      <c r="B6691" t="s">
        <v>100</v>
      </c>
      <c r="C6691" t="s">
        <v>1988</v>
      </c>
      <c r="D6691" t="s">
        <v>1982</v>
      </c>
      <c r="E6691" t="s">
        <v>1001</v>
      </c>
      <c r="F6691" t="s">
        <v>21</v>
      </c>
    </row>
    <row r="6692" spans="1:6">
      <c r="A6692" t="s">
        <v>27</v>
      </c>
      <c r="B6692" t="s">
        <v>100</v>
      </c>
      <c r="C6692" t="s">
        <v>1988</v>
      </c>
      <c r="D6692" t="s">
        <v>1982</v>
      </c>
      <c r="E6692" t="s">
        <v>1002</v>
      </c>
      <c r="F6692" t="s">
        <v>1845</v>
      </c>
    </row>
    <row r="6693" spans="1:6">
      <c r="A6693" t="s">
        <v>27</v>
      </c>
      <c r="B6693" t="s">
        <v>100</v>
      </c>
      <c r="C6693" t="s">
        <v>1988</v>
      </c>
      <c r="D6693" t="s">
        <v>1982</v>
      </c>
      <c r="E6693" t="s">
        <v>1006</v>
      </c>
      <c r="F6693" t="s">
        <v>1007</v>
      </c>
    </row>
    <row r="6694" spans="1:6">
      <c r="A6694" t="s">
        <v>27</v>
      </c>
      <c r="B6694" t="s">
        <v>100</v>
      </c>
      <c r="C6694" t="s">
        <v>1988</v>
      </c>
      <c r="D6694" t="s">
        <v>1982</v>
      </c>
      <c r="E6694" t="s">
        <v>1008</v>
      </c>
      <c r="F6694" t="s">
        <v>1009</v>
      </c>
    </row>
    <row r="6695" spans="1:6">
      <c r="A6695" t="s">
        <v>27</v>
      </c>
      <c r="B6695" t="s">
        <v>100</v>
      </c>
      <c r="C6695" t="s">
        <v>1988</v>
      </c>
      <c r="D6695" t="s">
        <v>1982</v>
      </c>
      <c r="E6695" t="s">
        <v>1010</v>
      </c>
      <c r="F6695" t="s">
        <v>1011</v>
      </c>
    </row>
    <row r="6696" spans="1:6">
      <c r="A6696" t="s">
        <v>27</v>
      </c>
      <c r="B6696" t="s">
        <v>100</v>
      </c>
      <c r="C6696" t="s">
        <v>1988</v>
      </c>
      <c r="D6696" t="s">
        <v>1982</v>
      </c>
      <c r="E6696" t="s">
        <v>1012</v>
      </c>
      <c r="F6696" t="s">
        <v>1013</v>
      </c>
    </row>
    <row r="6697" spans="1:6">
      <c r="A6697" t="s">
        <v>27</v>
      </c>
      <c r="B6697" t="s">
        <v>100</v>
      </c>
      <c r="C6697" t="s">
        <v>1988</v>
      </c>
      <c r="D6697" t="s">
        <v>1982</v>
      </c>
      <c r="E6697" t="s">
        <v>1014</v>
      </c>
      <c r="F6697" t="s">
        <v>1015</v>
      </c>
    </row>
    <row r="6698" spans="1:6">
      <c r="A6698" t="s">
        <v>27</v>
      </c>
      <c r="B6698" t="s">
        <v>100</v>
      </c>
      <c r="C6698" t="s">
        <v>1988</v>
      </c>
      <c r="D6698" t="s">
        <v>1982</v>
      </c>
      <c r="E6698" t="s">
        <v>1016</v>
      </c>
      <c r="F6698" t="s">
        <v>1017</v>
      </c>
    </row>
    <row r="6699" spans="1:6">
      <c r="A6699" t="s">
        <v>27</v>
      </c>
      <c r="B6699" t="s">
        <v>100</v>
      </c>
      <c r="C6699" t="s">
        <v>1988</v>
      </c>
      <c r="D6699" t="s">
        <v>1982</v>
      </c>
      <c r="E6699" t="s">
        <v>1018</v>
      </c>
      <c r="F6699" t="s">
        <v>1019</v>
      </c>
    </row>
    <row r="6700" spans="1:6">
      <c r="A6700" t="s">
        <v>27</v>
      </c>
      <c r="B6700" t="s">
        <v>100</v>
      </c>
      <c r="C6700" t="s">
        <v>1988</v>
      </c>
      <c r="D6700" t="s">
        <v>1982</v>
      </c>
      <c r="E6700" t="s">
        <v>1020</v>
      </c>
      <c r="F6700" t="s">
        <v>1021</v>
      </c>
    </row>
    <row r="6701" spans="1:6">
      <c r="A6701" t="s">
        <v>27</v>
      </c>
      <c r="B6701" t="s">
        <v>100</v>
      </c>
      <c r="C6701" t="s">
        <v>1988</v>
      </c>
      <c r="D6701" t="s">
        <v>1982</v>
      </c>
      <c r="E6701" t="s">
        <v>1022</v>
      </c>
      <c r="F6701" t="s">
        <v>1023</v>
      </c>
    </row>
    <row r="6702" spans="1:6">
      <c r="A6702" t="s">
        <v>27</v>
      </c>
      <c r="B6702" t="s">
        <v>100</v>
      </c>
      <c r="C6702" t="s">
        <v>1988</v>
      </c>
      <c r="D6702" t="s">
        <v>1982</v>
      </c>
      <c r="E6702" t="s">
        <v>1024</v>
      </c>
      <c r="F6702" t="s">
        <v>1025</v>
      </c>
    </row>
    <row r="6703" spans="1:6">
      <c r="A6703" t="s">
        <v>27</v>
      </c>
      <c r="B6703" t="s">
        <v>100</v>
      </c>
      <c r="C6703" t="s">
        <v>1988</v>
      </c>
      <c r="D6703" t="s">
        <v>1982</v>
      </c>
      <c r="E6703" t="s">
        <v>1026</v>
      </c>
      <c r="F6703" t="s">
        <v>1027</v>
      </c>
    </row>
    <row r="6704" spans="1:6">
      <c r="A6704" t="s">
        <v>27</v>
      </c>
      <c r="B6704" t="s">
        <v>100</v>
      </c>
      <c r="C6704" t="s">
        <v>1988</v>
      </c>
      <c r="D6704" t="s">
        <v>1982</v>
      </c>
      <c r="E6704" t="s">
        <v>1028</v>
      </c>
      <c r="F6704" t="s">
        <v>1029</v>
      </c>
    </row>
    <row r="6705" spans="1:6">
      <c r="A6705" t="s">
        <v>27</v>
      </c>
      <c r="B6705" t="s">
        <v>100</v>
      </c>
      <c r="C6705" t="s">
        <v>1988</v>
      </c>
      <c r="D6705" t="s">
        <v>1982</v>
      </c>
      <c r="E6705" t="s">
        <v>1030</v>
      </c>
      <c r="F6705" t="s">
        <v>1031</v>
      </c>
    </row>
    <row r="6706" spans="1:6">
      <c r="A6706" t="s">
        <v>27</v>
      </c>
      <c r="B6706" t="s">
        <v>100</v>
      </c>
      <c r="C6706" t="s">
        <v>1988</v>
      </c>
      <c r="D6706" t="s">
        <v>1982</v>
      </c>
      <c r="E6706" t="s">
        <v>1032</v>
      </c>
      <c r="F6706" t="s">
        <v>1033</v>
      </c>
    </row>
    <row r="6707" spans="1:6">
      <c r="A6707" t="s">
        <v>27</v>
      </c>
      <c r="B6707" t="s">
        <v>100</v>
      </c>
      <c r="C6707" t="s">
        <v>1988</v>
      </c>
      <c r="D6707" t="s">
        <v>1982</v>
      </c>
      <c r="E6707" t="s">
        <v>1034</v>
      </c>
      <c r="F6707" t="s">
        <v>93</v>
      </c>
    </row>
    <row r="6708" spans="1:6">
      <c r="A6708" t="s">
        <v>27</v>
      </c>
      <c r="B6708" t="s">
        <v>100</v>
      </c>
      <c r="C6708" t="s">
        <v>1988</v>
      </c>
      <c r="D6708" t="s">
        <v>1982</v>
      </c>
      <c r="E6708" t="s">
        <v>1035</v>
      </c>
      <c r="F6708">
        <v>0</v>
      </c>
    </row>
    <row r="6709" spans="1:6">
      <c r="A6709" t="s">
        <v>27</v>
      </c>
      <c r="B6709" t="s">
        <v>100</v>
      </c>
      <c r="C6709" t="s">
        <v>1988</v>
      </c>
      <c r="D6709" t="s">
        <v>1982</v>
      </c>
      <c r="E6709" t="s">
        <v>1036</v>
      </c>
      <c r="F6709">
        <v>2024</v>
      </c>
    </row>
    <row r="6710" spans="1:6">
      <c r="A6710" t="s">
        <v>27</v>
      </c>
      <c r="B6710" t="s">
        <v>100</v>
      </c>
      <c r="C6710" t="s">
        <v>1988</v>
      </c>
      <c r="D6710" t="s">
        <v>1982</v>
      </c>
      <c r="E6710" t="s">
        <v>1037</v>
      </c>
      <c r="F6710">
        <v>19392.95</v>
      </c>
    </row>
    <row r="6711" spans="1:6">
      <c r="A6711" t="s">
        <v>27</v>
      </c>
      <c r="B6711" t="s">
        <v>100</v>
      </c>
      <c r="C6711" t="s">
        <v>1988</v>
      </c>
      <c r="D6711" t="s">
        <v>1982</v>
      </c>
      <c r="E6711" t="s">
        <v>1038</v>
      </c>
      <c r="F6711">
        <v>2025</v>
      </c>
    </row>
    <row r="6712" spans="1:6">
      <c r="A6712" t="s">
        <v>27</v>
      </c>
      <c r="B6712" t="s">
        <v>100</v>
      </c>
      <c r="C6712" t="s">
        <v>1988</v>
      </c>
      <c r="D6712" t="s">
        <v>1982</v>
      </c>
      <c r="E6712" t="s">
        <v>1039</v>
      </c>
      <c r="F6712">
        <v>1208230.41</v>
      </c>
    </row>
    <row r="6713" spans="1:6">
      <c r="A6713" t="s">
        <v>27</v>
      </c>
      <c r="B6713" t="s">
        <v>100</v>
      </c>
      <c r="C6713" t="s">
        <v>1988</v>
      </c>
      <c r="D6713" t="s">
        <v>1982</v>
      </c>
      <c r="E6713" t="s">
        <v>1040</v>
      </c>
      <c r="F6713">
        <v>3743.34</v>
      </c>
    </row>
    <row r="6714" spans="1:6">
      <c r="A6714" t="s">
        <v>27</v>
      </c>
      <c r="B6714" t="s">
        <v>100</v>
      </c>
      <c r="C6714" t="s">
        <v>1988</v>
      </c>
      <c r="D6714" t="s">
        <v>1982</v>
      </c>
      <c r="E6714" t="s">
        <v>1041</v>
      </c>
      <c r="F6714">
        <v>4541.509999999999</v>
      </c>
    </row>
    <row r="6715" spans="1:6">
      <c r="A6715" t="s">
        <v>27</v>
      </c>
      <c r="B6715" t="s">
        <v>100</v>
      </c>
      <c r="C6715" t="s">
        <v>1988</v>
      </c>
      <c r="D6715" t="s">
        <v>1982</v>
      </c>
      <c r="E6715" t="s">
        <v>1042</v>
      </c>
      <c r="F6715">
        <v>2377.76</v>
      </c>
    </row>
    <row r="6716" spans="1:6">
      <c r="A6716" t="s">
        <v>27</v>
      </c>
      <c r="B6716" t="s">
        <v>100</v>
      </c>
      <c r="C6716" t="s">
        <v>1988</v>
      </c>
      <c r="D6716" t="s">
        <v>1982</v>
      </c>
      <c r="E6716" t="s">
        <v>1043</v>
      </c>
      <c r="F6716">
        <v>6704.540000000001</v>
      </c>
    </row>
    <row r="6717" spans="1:6">
      <c r="A6717" t="s">
        <v>27</v>
      </c>
      <c r="B6717" t="s">
        <v>100</v>
      </c>
      <c r="C6717" t="s">
        <v>1988</v>
      </c>
      <c r="D6717" t="s">
        <v>1982</v>
      </c>
      <c r="E6717" t="s">
        <v>1044</v>
      </c>
      <c r="F6717">
        <v>29427.64000000001</v>
      </c>
    </row>
    <row r="6718" spans="1:6">
      <c r="A6718" t="s">
        <v>27</v>
      </c>
      <c r="B6718" t="s">
        <v>100</v>
      </c>
      <c r="C6718" t="s">
        <v>1988</v>
      </c>
      <c r="D6718" t="s">
        <v>1982</v>
      </c>
      <c r="E6718" t="s">
        <v>1045</v>
      </c>
      <c r="F6718">
        <v>67626.20999999996</v>
      </c>
    </row>
    <row r="6719" spans="1:6">
      <c r="A6719" t="s">
        <v>27</v>
      </c>
      <c r="B6719" t="s">
        <v>100</v>
      </c>
      <c r="C6719" t="s">
        <v>1988</v>
      </c>
      <c r="D6719" t="s">
        <v>1982</v>
      </c>
      <c r="E6719" t="s">
        <v>1046</v>
      </c>
      <c r="F6719">
        <v>111116.9599999999</v>
      </c>
    </row>
    <row r="6720" spans="1:6">
      <c r="A6720" t="s">
        <v>27</v>
      </c>
      <c r="B6720" t="s">
        <v>100</v>
      </c>
      <c r="C6720" t="s">
        <v>1988</v>
      </c>
      <c r="D6720" t="s">
        <v>1982</v>
      </c>
      <c r="E6720" t="s">
        <v>1047</v>
      </c>
      <c r="F6720">
        <v>82554.53999999996</v>
      </c>
    </row>
    <row r="6721" spans="1:6">
      <c r="A6721" t="s">
        <v>27</v>
      </c>
      <c r="B6721" t="s">
        <v>100</v>
      </c>
      <c r="C6721" t="s">
        <v>1988</v>
      </c>
      <c r="D6721" t="s">
        <v>1982</v>
      </c>
      <c r="E6721" t="s">
        <v>1048</v>
      </c>
      <c r="F6721">
        <v>135459.2800000001</v>
      </c>
    </row>
    <row r="6722" spans="1:6">
      <c r="A6722" t="s">
        <v>27</v>
      </c>
      <c r="B6722" t="s">
        <v>100</v>
      </c>
      <c r="C6722" t="s">
        <v>1988</v>
      </c>
      <c r="D6722" t="s">
        <v>1982</v>
      </c>
      <c r="E6722" t="s">
        <v>1049</v>
      </c>
      <c r="F6722">
        <v>493628.15</v>
      </c>
    </row>
    <row r="6723" spans="1:6">
      <c r="A6723" t="s">
        <v>27</v>
      </c>
      <c r="B6723" t="s">
        <v>100</v>
      </c>
      <c r="C6723" t="s">
        <v>1988</v>
      </c>
      <c r="D6723" t="s">
        <v>1982</v>
      </c>
      <c r="E6723" t="s">
        <v>1050</v>
      </c>
      <c r="F6723">
        <v>210868.1000000001</v>
      </c>
    </row>
    <row r="6724" spans="1:6">
      <c r="A6724" t="s">
        <v>27</v>
      </c>
      <c r="B6724" t="s">
        <v>100</v>
      </c>
      <c r="C6724" t="s">
        <v>1988</v>
      </c>
      <c r="D6724" t="s">
        <v>1982</v>
      </c>
      <c r="E6724" t="s">
        <v>1051</v>
      </c>
      <c r="F6724">
        <v>60182.38</v>
      </c>
    </row>
    <row r="6725" spans="1:6">
      <c r="A6725" t="s">
        <v>27</v>
      </c>
      <c r="B6725" t="s">
        <v>100</v>
      </c>
      <c r="C6725" t="s">
        <v>1988</v>
      </c>
      <c r="D6725" t="s">
        <v>1982</v>
      </c>
      <c r="E6725" t="s">
        <v>1052</v>
      </c>
      <c r="F6725">
        <v>2026</v>
      </c>
    </row>
    <row r="6726" spans="1:6">
      <c r="A6726" t="s">
        <v>27</v>
      </c>
      <c r="B6726" t="s">
        <v>100</v>
      </c>
      <c r="C6726" t="s">
        <v>1988</v>
      </c>
      <c r="D6726" t="s">
        <v>1982</v>
      </c>
      <c r="E6726" t="s">
        <v>1053</v>
      </c>
      <c r="F6726">
        <v>826942.6</v>
      </c>
    </row>
    <row r="6727" spans="1:6">
      <c r="A6727" t="s">
        <v>27</v>
      </c>
      <c r="B6727" t="s">
        <v>100</v>
      </c>
      <c r="C6727" t="s">
        <v>1988</v>
      </c>
      <c r="D6727" t="s">
        <v>1982</v>
      </c>
      <c r="E6727" t="s">
        <v>1108</v>
      </c>
      <c r="F6727">
        <v>114095.9600000001</v>
      </c>
    </row>
    <row r="6728" spans="1:6">
      <c r="A6728" t="s">
        <v>27</v>
      </c>
      <c r="B6728" t="s">
        <v>100</v>
      </c>
      <c r="C6728" t="s">
        <v>1988</v>
      </c>
      <c r="D6728" t="s">
        <v>1982</v>
      </c>
      <c r="E6728" t="s">
        <v>1109</v>
      </c>
      <c r="F6728">
        <v>68143.89999999999</v>
      </c>
    </row>
    <row r="6729" spans="1:6">
      <c r="A6729" t="s">
        <v>27</v>
      </c>
      <c r="B6729" t="s">
        <v>100</v>
      </c>
      <c r="C6729" t="s">
        <v>1988</v>
      </c>
      <c r="D6729" t="s">
        <v>1982</v>
      </c>
      <c r="E6729" t="s">
        <v>1110</v>
      </c>
      <c r="F6729">
        <v>248596.9600000001</v>
      </c>
    </row>
    <row r="6730" spans="1:6">
      <c r="A6730" t="s">
        <v>27</v>
      </c>
      <c r="B6730" t="s">
        <v>100</v>
      </c>
      <c r="C6730" t="s">
        <v>1988</v>
      </c>
      <c r="D6730" t="s">
        <v>1982</v>
      </c>
      <c r="E6730" t="s">
        <v>1521</v>
      </c>
      <c r="F6730">
        <v>61630.93000000002</v>
      </c>
    </row>
    <row r="6731" spans="1:6">
      <c r="A6731" t="s">
        <v>27</v>
      </c>
      <c r="B6731" t="s">
        <v>100</v>
      </c>
      <c r="C6731" t="s">
        <v>1988</v>
      </c>
      <c r="D6731" t="s">
        <v>1982</v>
      </c>
      <c r="E6731" t="s">
        <v>1522</v>
      </c>
      <c r="F6731">
        <v>146993.7100000001</v>
      </c>
    </row>
    <row r="6732" spans="1:6">
      <c r="A6732" t="s">
        <v>27</v>
      </c>
      <c r="B6732" t="s">
        <v>100</v>
      </c>
      <c r="C6732" t="s">
        <v>1988</v>
      </c>
      <c r="D6732" t="s">
        <v>1982</v>
      </c>
      <c r="E6732" t="s">
        <v>1523</v>
      </c>
      <c r="F6732">
        <v>55560.72999999998</v>
      </c>
    </row>
    <row r="6733" spans="1:6">
      <c r="A6733" t="s">
        <v>27</v>
      </c>
      <c r="B6733" t="s">
        <v>100</v>
      </c>
      <c r="C6733" t="s">
        <v>1988</v>
      </c>
      <c r="D6733" t="s">
        <v>1982</v>
      </c>
      <c r="E6733" t="s">
        <v>1524</v>
      </c>
      <c r="F6733">
        <v>42542.55999999998</v>
      </c>
    </row>
    <row r="6734" spans="1:6">
      <c r="A6734" t="s">
        <v>27</v>
      </c>
      <c r="B6734" t="s">
        <v>100</v>
      </c>
      <c r="C6734" t="s">
        <v>1988</v>
      </c>
      <c r="D6734" t="s">
        <v>1982</v>
      </c>
      <c r="E6734" t="s">
        <v>1525</v>
      </c>
      <c r="F6734">
        <v>43074.34000000001</v>
      </c>
    </row>
    <row r="6735" spans="1:6">
      <c r="A6735" t="s">
        <v>27</v>
      </c>
      <c r="B6735" t="s">
        <v>100</v>
      </c>
      <c r="C6735" t="s">
        <v>1988</v>
      </c>
      <c r="D6735" t="s">
        <v>1982</v>
      </c>
      <c r="E6735" t="s">
        <v>1526</v>
      </c>
      <c r="F6735">
        <v>46303.51000000002</v>
      </c>
    </row>
    <row r="6736" spans="1:6">
      <c r="A6736" t="s">
        <v>27</v>
      </c>
      <c r="B6736" t="s">
        <v>100</v>
      </c>
      <c r="C6736" t="s">
        <v>1988</v>
      </c>
      <c r="D6736" t="s">
        <v>1982</v>
      </c>
      <c r="E6736" t="s">
        <v>1527</v>
      </c>
      <c r="F6736">
        <v>0</v>
      </c>
    </row>
    <row r="6737" spans="1:6">
      <c r="A6737" t="s">
        <v>27</v>
      </c>
      <c r="B6737" t="s">
        <v>100</v>
      </c>
      <c r="C6737" t="s">
        <v>1988</v>
      </c>
      <c r="D6737" t="s">
        <v>1982</v>
      </c>
      <c r="E6737" t="s">
        <v>1528</v>
      </c>
      <c r="F6737">
        <v>0</v>
      </c>
    </row>
    <row r="6738" spans="1:6">
      <c r="A6738" t="s">
        <v>27</v>
      </c>
      <c r="B6738" t="s">
        <v>100</v>
      </c>
      <c r="C6738" t="s">
        <v>1988</v>
      </c>
      <c r="D6738" t="s">
        <v>1982</v>
      </c>
      <c r="E6738" t="s">
        <v>1529</v>
      </c>
      <c r="F6738">
        <v>0</v>
      </c>
    </row>
    <row r="6739" spans="1:6">
      <c r="A6739" t="s">
        <v>27</v>
      </c>
      <c r="B6739" t="s">
        <v>100</v>
      </c>
      <c r="C6739" t="s">
        <v>1988</v>
      </c>
      <c r="D6739" t="s">
        <v>1982</v>
      </c>
      <c r="E6739" t="s">
        <v>1111</v>
      </c>
      <c r="F6739" t="s">
        <v>1009</v>
      </c>
    </row>
    <row r="6740" spans="1:6">
      <c r="A6740" t="s">
        <v>27</v>
      </c>
      <c r="B6740" t="s">
        <v>100</v>
      </c>
      <c r="C6740" t="s">
        <v>1988</v>
      </c>
      <c r="D6740" t="s">
        <v>1982</v>
      </c>
      <c r="E6740" t="s">
        <v>1113</v>
      </c>
      <c r="F6740">
        <v>2054565.96</v>
      </c>
    </row>
    <row r="6741" spans="1:6">
      <c r="A6741" t="s">
        <v>27</v>
      </c>
      <c r="B6741" t="s">
        <v>100</v>
      </c>
      <c r="C6741" t="s">
        <v>1988</v>
      </c>
      <c r="D6741" t="s">
        <v>1982</v>
      </c>
      <c r="E6741" t="s">
        <v>1122</v>
      </c>
      <c r="F6741" t="s">
        <v>1055</v>
      </c>
    </row>
    <row r="6742" spans="1:6">
      <c r="A6742" t="s">
        <v>27</v>
      </c>
      <c r="B6742" t="s">
        <v>100</v>
      </c>
      <c r="C6742" t="s">
        <v>1988</v>
      </c>
      <c r="D6742" t="s">
        <v>1982</v>
      </c>
      <c r="E6742" t="s">
        <v>1071</v>
      </c>
      <c r="F6742" t="s">
        <v>1007</v>
      </c>
    </row>
    <row r="6743" spans="1:6">
      <c r="A6743" t="s">
        <v>27</v>
      </c>
      <c r="B6743" t="s">
        <v>100</v>
      </c>
      <c r="C6743" t="s">
        <v>1988</v>
      </c>
      <c r="D6743" t="s">
        <v>1982</v>
      </c>
      <c r="E6743" t="s">
        <v>1072</v>
      </c>
      <c r="F6743" t="s">
        <v>1009</v>
      </c>
    </row>
    <row r="6744" spans="1:6">
      <c r="A6744" t="s">
        <v>27</v>
      </c>
      <c r="B6744" t="s">
        <v>100</v>
      </c>
      <c r="C6744" t="s">
        <v>1988</v>
      </c>
      <c r="D6744" t="s">
        <v>1982</v>
      </c>
      <c r="E6744" t="s">
        <v>1133</v>
      </c>
      <c r="F6744" t="s">
        <v>1011</v>
      </c>
    </row>
    <row r="6745" spans="1:6">
      <c r="A6745" t="s">
        <v>27</v>
      </c>
      <c r="B6745" t="s">
        <v>100</v>
      </c>
      <c r="C6745" t="s">
        <v>1988</v>
      </c>
      <c r="D6745" t="s">
        <v>1982</v>
      </c>
      <c r="E6745" t="s">
        <v>1134</v>
      </c>
      <c r="F6745" t="s">
        <v>1013</v>
      </c>
    </row>
    <row r="6746" spans="1:6">
      <c r="A6746" t="s">
        <v>27</v>
      </c>
      <c r="B6746" t="s">
        <v>100</v>
      </c>
      <c r="C6746" t="s">
        <v>1988</v>
      </c>
      <c r="D6746" t="s">
        <v>1982</v>
      </c>
      <c r="E6746" t="s">
        <v>1135</v>
      </c>
      <c r="F6746" t="s">
        <v>1015</v>
      </c>
    </row>
    <row r="6747" spans="1:6">
      <c r="A6747" t="s">
        <v>27</v>
      </c>
      <c r="B6747" t="s">
        <v>100</v>
      </c>
      <c r="C6747" t="s">
        <v>1988</v>
      </c>
      <c r="D6747" t="s">
        <v>1982</v>
      </c>
      <c r="E6747" t="s">
        <v>1414</v>
      </c>
      <c r="F6747" t="s">
        <v>1017</v>
      </c>
    </row>
    <row r="6748" spans="1:6">
      <c r="A6748" t="s">
        <v>27</v>
      </c>
      <c r="B6748" t="s">
        <v>100</v>
      </c>
      <c r="C6748" t="s">
        <v>1988</v>
      </c>
      <c r="D6748" t="s">
        <v>1982</v>
      </c>
      <c r="E6748" t="s">
        <v>1530</v>
      </c>
      <c r="F6748" t="s">
        <v>1019</v>
      </c>
    </row>
    <row r="6749" spans="1:6">
      <c r="A6749" t="s">
        <v>27</v>
      </c>
      <c r="B6749" t="s">
        <v>100</v>
      </c>
      <c r="C6749" t="s">
        <v>1988</v>
      </c>
      <c r="D6749" t="s">
        <v>1982</v>
      </c>
      <c r="E6749" t="s">
        <v>1531</v>
      </c>
      <c r="F6749" t="s">
        <v>1021</v>
      </c>
    </row>
    <row r="6750" spans="1:6">
      <c r="A6750" t="s">
        <v>27</v>
      </c>
      <c r="B6750" t="s">
        <v>100</v>
      </c>
      <c r="C6750" t="s">
        <v>1988</v>
      </c>
      <c r="D6750" t="s">
        <v>1982</v>
      </c>
      <c r="E6750" t="s">
        <v>1532</v>
      </c>
      <c r="F6750" t="s">
        <v>1023</v>
      </c>
    </row>
    <row r="6751" spans="1:6">
      <c r="A6751" t="s">
        <v>27</v>
      </c>
      <c r="B6751" t="s">
        <v>100</v>
      </c>
      <c r="C6751" t="s">
        <v>1988</v>
      </c>
      <c r="D6751" t="s">
        <v>1982</v>
      </c>
      <c r="E6751" t="s">
        <v>1533</v>
      </c>
      <c r="F6751" t="s">
        <v>1066</v>
      </c>
    </row>
    <row r="6752" spans="1:6">
      <c r="A6752" t="s">
        <v>27</v>
      </c>
      <c r="B6752" t="s">
        <v>100</v>
      </c>
      <c r="C6752" t="s">
        <v>1988</v>
      </c>
      <c r="D6752" t="s">
        <v>1982</v>
      </c>
      <c r="E6752" t="s">
        <v>1534</v>
      </c>
      <c r="F6752" t="s">
        <v>1027</v>
      </c>
    </row>
    <row r="6753" spans="1:6">
      <c r="A6753" t="s">
        <v>27</v>
      </c>
      <c r="B6753" t="s">
        <v>100</v>
      </c>
      <c r="C6753" t="s">
        <v>1988</v>
      </c>
      <c r="D6753" t="s">
        <v>1982</v>
      </c>
      <c r="E6753" t="s">
        <v>1535</v>
      </c>
      <c r="F6753" t="s">
        <v>1029</v>
      </c>
    </row>
    <row r="6754" spans="1:6">
      <c r="A6754" t="s">
        <v>27</v>
      </c>
      <c r="B6754" t="s">
        <v>100</v>
      </c>
      <c r="C6754" t="s">
        <v>1988</v>
      </c>
      <c r="D6754" t="s">
        <v>1982</v>
      </c>
      <c r="E6754" t="s">
        <v>1536</v>
      </c>
      <c r="F6754" t="s">
        <v>1031</v>
      </c>
    </row>
    <row r="6755" spans="1:6">
      <c r="A6755" t="s">
        <v>27</v>
      </c>
      <c r="B6755" t="s">
        <v>100</v>
      </c>
      <c r="C6755" t="s">
        <v>1988</v>
      </c>
      <c r="D6755" t="s">
        <v>1982</v>
      </c>
      <c r="E6755" t="s">
        <v>1537</v>
      </c>
      <c r="F6755" t="s">
        <v>1033</v>
      </c>
    </row>
    <row r="6756" spans="1:6">
      <c r="A6756" t="s">
        <v>27</v>
      </c>
      <c r="B6756" t="s">
        <v>100</v>
      </c>
      <c r="C6756" t="s">
        <v>1988</v>
      </c>
      <c r="D6756" t="s">
        <v>1982</v>
      </c>
      <c r="E6756" t="s">
        <v>1073</v>
      </c>
      <c r="F6756" t="s">
        <v>93</v>
      </c>
    </row>
    <row r="6757" spans="1:6">
      <c r="A6757" t="s">
        <v>27</v>
      </c>
      <c r="B6757" t="s">
        <v>100</v>
      </c>
      <c r="C6757" t="s">
        <v>1988</v>
      </c>
      <c r="D6757" t="s">
        <v>1982</v>
      </c>
      <c r="E6757" t="s">
        <v>1074</v>
      </c>
      <c r="F6757">
        <v>0</v>
      </c>
    </row>
    <row r="6758" spans="1:6">
      <c r="A6758" t="s">
        <v>27</v>
      </c>
      <c r="B6758" t="s">
        <v>100</v>
      </c>
      <c r="C6758" t="s">
        <v>1988</v>
      </c>
      <c r="D6758" t="s">
        <v>1982</v>
      </c>
      <c r="E6758" t="s">
        <v>1075</v>
      </c>
      <c r="F6758">
        <v>2024</v>
      </c>
    </row>
    <row r="6759" spans="1:6">
      <c r="A6759" t="s">
        <v>27</v>
      </c>
      <c r="B6759" t="s">
        <v>100</v>
      </c>
      <c r="C6759" t="s">
        <v>1988</v>
      </c>
      <c r="D6759" t="s">
        <v>1982</v>
      </c>
      <c r="E6759" t="s">
        <v>1076</v>
      </c>
      <c r="F6759">
        <v>10</v>
      </c>
    </row>
    <row r="6760" spans="1:6">
      <c r="A6760" t="s">
        <v>27</v>
      </c>
      <c r="B6760" t="s">
        <v>100</v>
      </c>
      <c r="C6760" t="s">
        <v>1988</v>
      </c>
      <c r="D6760" t="s">
        <v>1982</v>
      </c>
      <c r="E6760" t="s">
        <v>1089</v>
      </c>
      <c r="F6760">
        <v>2025</v>
      </c>
    </row>
    <row r="6761" spans="1:6">
      <c r="A6761" t="s">
        <v>27</v>
      </c>
      <c r="B6761" t="s">
        <v>100</v>
      </c>
      <c r="C6761" t="s">
        <v>1988</v>
      </c>
      <c r="D6761" t="s">
        <v>1982</v>
      </c>
      <c r="E6761" t="s">
        <v>1090</v>
      </c>
      <c r="F6761">
        <v>3011</v>
      </c>
    </row>
    <row r="6762" spans="1:6">
      <c r="A6762" t="s">
        <v>27</v>
      </c>
      <c r="B6762" t="s">
        <v>100</v>
      </c>
      <c r="C6762" t="s">
        <v>1988</v>
      </c>
      <c r="D6762" t="s">
        <v>1982</v>
      </c>
      <c r="E6762" t="s">
        <v>1139</v>
      </c>
      <c r="F6762">
        <v>5</v>
      </c>
    </row>
    <row r="6763" spans="1:6">
      <c r="A6763" t="s">
        <v>27</v>
      </c>
      <c r="B6763" t="s">
        <v>100</v>
      </c>
      <c r="C6763" t="s">
        <v>1988</v>
      </c>
      <c r="D6763" t="s">
        <v>1982</v>
      </c>
      <c r="E6763" t="s">
        <v>1140</v>
      </c>
      <c r="F6763">
        <v>3</v>
      </c>
    </row>
    <row r="6764" spans="1:6">
      <c r="A6764" t="s">
        <v>27</v>
      </c>
      <c r="B6764" t="s">
        <v>100</v>
      </c>
      <c r="C6764" t="s">
        <v>1988</v>
      </c>
      <c r="D6764" t="s">
        <v>1982</v>
      </c>
      <c r="E6764" t="s">
        <v>1141</v>
      </c>
      <c r="F6764">
        <v>2</v>
      </c>
    </row>
    <row r="6765" spans="1:6">
      <c r="A6765" t="s">
        <v>27</v>
      </c>
      <c r="B6765" t="s">
        <v>100</v>
      </c>
      <c r="C6765" t="s">
        <v>1988</v>
      </c>
      <c r="D6765" t="s">
        <v>1982</v>
      </c>
      <c r="E6765" t="s">
        <v>1423</v>
      </c>
      <c r="F6765">
        <v>90</v>
      </c>
    </row>
    <row r="6766" spans="1:6">
      <c r="A6766" t="s">
        <v>27</v>
      </c>
      <c r="B6766" t="s">
        <v>100</v>
      </c>
      <c r="C6766" t="s">
        <v>1988</v>
      </c>
      <c r="D6766" t="s">
        <v>1982</v>
      </c>
      <c r="E6766" t="s">
        <v>1538</v>
      </c>
      <c r="F6766">
        <v>203</v>
      </c>
    </row>
    <row r="6767" spans="1:6">
      <c r="A6767" t="s">
        <v>27</v>
      </c>
      <c r="B6767" t="s">
        <v>100</v>
      </c>
      <c r="C6767" t="s">
        <v>1988</v>
      </c>
      <c r="D6767" t="s">
        <v>1982</v>
      </c>
      <c r="E6767" t="s">
        <v>1539</v>
      </c>
      <c r="F6767">
        <v>249</v>
      </c>
    </row>
    <row r="6768" spans="1:6">
      <c r="A6768" t="s">
        <v>27</v>
      </c>
      <c r="B6768" t="s">
        <v>100</v>
      </c>
      <c r="C6768" t="s">
        <v>1988</v>
      </c>
      <c r="D6768" t="s">
        <v>1982</v>
      </c>
      <c r="E6768" t="s">
        <v>1540</v>
      </c>
      <c r="F6768">
        <v>438</v>
      </c>
    </row>
    <row r="6769" spans="1:6">
      <c r="A6769" t="s">
        <v>27</v>
      </c>
      <c r="B6769" t="s">
        <v>100</v>
      </c>
      <c r="C6769" t="s">
        <v>1988</v>
      </c>
      <c r="D6769" t="s">
        <v>1982</v>
      </c>
      <c r="E6769" t="s">
        <v>1541</v>
      </c>
      <c r="F6769">
        <v>449</v>
      </c>
    </row>
    <row r="6770" spans="1:6">
      <c r="A6770" t="s">
        <v>27</v>
      </c>
      <c r="B6770" t="s">
        <v>100</v>
      </c>
      <c r="C6770" t="s">
        <v>1988</v>
      </c>
      <c r="D6770" t="s">
        <v>1982</v>
      </c>
      <c r="E6770" t="s">
        <v>1542</v>
      </c>
      <c r="F6770">
        <v>492</v>
      </c>
    </row>
    <row r="6771" spans="1:6">
      <c r="A6771" t="s">
        <v>27</v>
      </c>
      <c r="B6771" t="s">
        <v>100</v>
      </c>
      <c r="C6771" t="s">
        <v>1988</v>
      </c>
      <c r="D6771" t="s">
        <v>1982</v>
      </c>
      <c r="E6771" t="s">
        <v>1543</v>
      </c>
      <c r="F6771">
        <v>640</v>
      </c>
    </row>
    <row r="6772" spans="1:6">
      <c r="A6772" t="s">
        <v>27</v>
      </c>
      <c r="B6772" t="s">
        <v>100</v>
      </c>
      <c r="C6772" t="s">
        <v>1988</v>
      </c>
      <c r="D6772" t="s">
        <v>1982</v>
      </c>
      <c r="E6772" t="s">
        <v>1544</v>
      </c>
      <c r="F6772">
        <v>246</v>
      </c>
    </row>
    <row r="6773" spans="1:6">
      <c r="A6773" t="s">
        <v>27</v>
      </c>
      <c r="B6773" t="s">
        <v>100</v>
      </c>
      <c r="C6773" t="s">
        <v>1988</v>
      </c>
      <c r="D6773" t="s">
        <v>1982</v>
      </c>
      <c r="E6773" t="s">
        <v>1545</v>
      </c>
      <c r="F6773">
        <v>194</v>
      </c>
    </row>
    <row r="6774" spans="1:6">
      <c r="A6774" t="s">
        <v>27</v>
      </c>
      <c r="B6774" t="s">
        <v>100</v>
      </c>
      <c r="C6774" t="s">
        <v>1988</v>
      </c>
      <c r="D6774" t="s">
        <v>1982</v>
      </c>
      <c r="E6774" t="s">
        <v>1546</v>
      </c>
      <c r="F6774">
        <v>2026</v>
      </c>
    </row>
    <row r="6775" spans="1:6">
      <c r="A6775" t="s">
        <v>27</v>
      </c>
      <c r="B6775" t="s">
        <v>100</v>
      </c>
      <c r="C6775" t="s">
        <v>1988</v>
      </c>
      <c r="D6775" t="s">
        <v>1982</v>
      </c>
      <c r="E6775" t="s">
        <v>1298</v>
      </c>
      <c r="F6775">
        <v>1451</v>
      </c>
    </row>
    <row r="6776" spans="1:6">
      <c r="A6776" t="s">
        <v>27</v>
      </c>
      <c r="B6776" t="s">
        <v>100</v>
      </c>
      <c r="C6776" t="s">
        <v>1988</v>
      </c>
      <c r="D6776" t="s">
        <v>1982</v>
      </c>
      <c r="E6776" t="s">
        <v>1299</v>
      </c>
      <c r="F6776">
        <v>266</v>
      </c>
    </row>
    <row r="6777" spans="1:6">
      <c r="A6777" t="s">
        <v>27</v>
      </c>
      <c r="B6777" t="s">
        <v>100</v>
      </c>
      <c r="C6777" t="s">
        <v>1988</v>
      </c>
      <c r="D6777" t="s">
        <v>1982</v>
      </c>
      <c r="E6777" t="s">
        <v>1300</v>
      </c>
      <c r="F6777">
        <v>166</v>
      </c>
    </row>
    <row r="6778" spans="1:6">
      <c r="A6778" t="s">
        <v>27</v>
      </c>
      <c r="B6778" t="s">
        <v>100</v>
      </c>
      <c r="C6778" t="s">
        <v>1988</v>
      </c>
      <c r="D6778" t="s">
        <v>1982</v>
      </c>
      <c r="E6778" t="s">
        <v>1426</v>
      </c>
      <c r="F6778">
        <v>233</v>
      </c>
    </row>
    <row r="6779" spans="1:6">
      <c r="A6779" t="s">
        <v>27</v>
      </c>
      <c r="B6779" t="s">
        <v>100</v>
      </c>
      <c r="C6779" t="s">
        <v>1988</v>
      </c>
      <c r="D6779" t="s">
        <v>1982</v>
      </c>
      <c r="E6779" t="s">
        <v>1400</v>
      </c>
      <c r="F6779">
        <v>148</v>
      </c>
    </row>
    <row r="6780" spans="1:6">
      <c r="A6780" t="s">
        <v>27</v>
      </c>
      <c r="B6780" t="s">
        <v>100</v>
      </c>
      <c r="C6780" t="s">
        <v>1988</v>
      </c>
      <c r="D6780" t="s">
        <v>1982</v>
      </c>
      <c r="E6780" t="s">
        <v>1846</v>
      </c>
      <c r="F6780">
        <v>129</v>
      </c>
    </row>
    <row r="6781" spans="1:6">
      <c r="A6781" t="s">
        <v>27</v>
      </c>
      <c r="B6781" t="s">
        <v>100</v>
      </c>
      <c r="C6781" t="s">
        <v>1988</v>
      </c>
      <c r="D6781" t="s">
        <v>1982</v>
      </c>
      <c r="E6781" t="s">
        <v>1847</v>
      </c>
      <c r="F6781">
        <v>180</v>
      </c>
    </row>
    <row r="6782" spans="1:6">
      <c r="A6782" t="s">
        <v>27</v>
      </c>
      <c r="B6782" t="s">
        <v>100</v>
      </c>
      <c r="C6782" t="s">
        <v>1988</v>
      </c>
      <c r="D6782" t="s">
        <v>1982</v>
      </c>
      <c r="E6782" t="s">
        <v>1848</v>
      </c>
      <c r="F6782">
        <v>115</v>
      </c>
    </row>
    <row r="6783" spans="1:6">
      <c r="A6783" t="s">
        <v>27</v>
      </c>
      <c r="B6783" t="s">
        <v>100</v>
      </c>
      <c r="C6783" t="s">
        <v>1988</v>
      </c>
      <c r="D6783" t="s">
        <v>1982</v>
      </c>
      <c r="E6783" t="s">
        <v>1796</v>
      </c>
      <c r="F6783">
        <v>91</v>
      </c>
    </row>
    <row r="6784" spans="1:6">
      <c r="A6784" t="s">
        <v>27</v>
      </c>
      <c r="B6784" t="s">
        <v>100</v>
      </c>
      <c r="C6784" t="s">
        <v>1988</v>
      </c>
      <c r="D6784" t="s">
        <v>1982</v>
      </c>
      <c r="E6784" t="s">
        <v>1797</v>
      </c>
      <c r="F6784">
        <v>123</v>
      </c>
    </row>
    <row r="6785" spans="1:6">
      <c r="A6785" t="s">
        <v>27</v>
      </c>
      <c r="B6785" t="s">
        <v>100</v>
      </c>
      <c r="C6785" t="s">
        <v>1988</v>
      </c>
      <c r="D6785" t="s">
        <v>1982</v>
      </c>
      <c r="E6785" t="s">
        <v>1582</v>
      </c>
      <c r="F6785">
        <v>0</v>
      </c>
    </row>
    <row r="6786" spans="1:6">
      <c r="A6786" t="s">
        <v>27</v>
      </c>
      <c r="B6786" t="s">
        <v>100</v>
      </c>
      <c r="C6786" t="s">
        <v>1988</v>
      </c>
      <c r="D6786" t="s">
        <v>1982</v>
      </c>
      <c r="E6786" t="s">
        <v>1584</v>
      </c>
      <c r="F6786">
        <v>0</v>
      </c>
    </row>
    <row r="6787" spans="1:6">
      <c r="A6787" t="s">
        <v>27</v>
      </c>
      <c r="B6787" t="s">
        <v>100</v>
      </c>
      <c r="C6787" t="s">
        <v>1988</v>
      </c>
      <c r="D6787" t="s">
        <v>1982</v>
      </c>
      <c r="E6787" t="s">
        <v>1586</v>
      </c>
      <c r="F6787">
        <v>0</v>
      </c>
    </row>
    <row r="6788" spans="1:6">
      <c r="A6788" t="s">
        <v>27</v>
      </c>
      <c r="B6788" t="s">
        <v>100</v>
      </c>
      <c r="C6788" t="s">
        <v>1988</v>
      </c>
      <c r="D6788" t="s">
        <v>1982</v>
      </c>
      <c r="E6788" t="s">
        <v>1143</v>
      </c>
      <c r="F6788" t="s">
        <v>1009</v>
      </c>
    </row>
    <row r="6789" spans="1:6">
      <c r="A6789" t="s">
        <v>27</v>
      </c>
      <c r="B6789" t="s">
        <v>100</v>
      </c>
      <c r="C6789" t="s">
        <v>1988</v>
      </c>
      <c r="D6789" t="s">
        <v>1982</v>
      </c>
      <c r="E6789" t="s">
        <v>1301</v>
      </c>
      <c r="F6789">
        <v>4472</v>
      </c>
    </row>
    <row r="6790" spans="1:6">
      <c r="A6790" t="s">
        <v>27</v>
      </c>
      <c r="B6790" t="s">
        <v>100</v>
      </c>
      <c r="C6790" t="s">
        <v>1988</v>
      </c>
      <c r="D6790" t="s">
        <v>1982</v>
      </c>
      <c r="E6790" t="s">
        <v>1555</v>
      </c>
      <c r="F6790" t="s">
        <v>1003</v>
      </c>
    </row>
    <row r="6791" spans="1:6">
      <c r="A6791" t="s">
        <v>27</v>
      </c>
      <c r="B6791" t="s">
        <v>100</v>
      </c>
      <c r="C6791" t="s">
        <v>1988</v>
      </c>
      <c r="D6791" t="s">
        <v>1982</v>
      </c>
      <c r="E6791" t="s">
        <v>1173</v>
      </c>
      <c r="F6791" t="s">
        <v>1007</v>
      </c>
    </row>
    <row r="6792" spans="1:6">
      <c r="A6792" t="s">
        <v>27</v>
      </c>
      <c r="B6792" t="s">
        <v>100</v>
      </c>
      <c r="C6792" t="s">
        <v>1988</v>
      </c>
      <c r="D6792" t="s">
        <v>1982</v>
      </c>
      <c r="E6792" t="s">
        <v>1175</v>
      </c>
      <c r="F6792" t="s">
        <v>1009</v>
      </c>
    </row>
    <row r="6793" spans="1:6">
      <c r="A6793" t="s">
        <v>27</v>
      </c>
      <c r="B6793" t="s">
        <v>100</v>
      </c>
      <c r="C6793" t="s">
        <v>1988</v>
      </c>
      <c r="D6793" t="s">
        <v>1982</v>
      </c>
      <c r="E6793" t="s">
        <v>1176</v>
      </c>
      <c r="F6793" t="s">
        <v>1011</v>
      </c>
    </row>
    <row r="6794" spans="1:6">
      <c r="A6794" t="s">
        <v>27</v>
      </c>
      <c r="B6794" t="s">
        <v>100</v>
      </c>
      <c r="C6794" t="s">
        <v>1988</v>
      </c>
      <c r="D6794" t="s">
        <v>1982</v>
      </c>
      <c r="E6794" t="s">
        <v>1177</v>
      </c>
      <c r="F6794" t="s">
        <v>1013</v>
      </c>
    </row>
    <row r="6795" spans="1:6">
      <c r="A6795" t="s">
        <v>27</v>
      </c>
      <c r="B6795" t="s">
        <v>100</v>
      </c>
      <c r="C6795" t="s">
        <v>1988</v>
      </c>
      <c r="D6795" t="s">
        <v>1982</v>
      </c>
      <c r="E6795" t="s">
        <v>1178</v>
      </c>
      <c r="F6795" t="s">
        <v>1015</v>
      </c>
    </row>
    <row r="6796" spans="1:6">
      <c r="A6796" t="s">
        <v>27</v>
      </c>
      <c r="B6796" t="s">
        <v>100</v>
      </c>
      <c r="C6796" t="s">
        <v>1988</v>
      </c>
      <c r="D6796" t="s">
        <v>1982</v>
      </c>
      <c r="E6796" t="s">
        <v>1179</v>
      </c>
      <c r="F6796" t="s">
        <v>1017</v>
      </c>
    </row>
    <row r="6797" spans="1:6">
      <c r="A6797" t="s">
        <v>27</v>
      </c>
      <c r="B6797" t="s">
        <v>100</v>
      </c>
      <c r="C6797" t="s">
        <v>1988</v>
      </c>
      <c r="D6797" t="s">
        <v>1982</v>
      </c>
      <c r="E6797" t="s">
        <v>1180</v>
      </c>
      <c r="F6797" t="s">
        <v>1019</v>
      </c>
    </row>
    <row r="6798" spans="1:6">
      <c r="A6798" t="s">
        <v>27</v>
      </c>
      <c r="B6798" t="s">
        <v>100</v>
      </c>
      <c r="C6798" t="s">
        <v>1988</v>
      </c>
      <c r="D6798" t="s">
        <v>1982</v>
      </c>
      <c r="E6798" t="s">
        <v>1181</v>
      </c>
      <c r="F6798" t="s">
        <v>1021</v>
      </c>
    </row>
    <row r="6799" spans="1:6">
      <c r="A6799" t="s">
        <v>27</v>
      </c>
      <c r="B6799" t="s">
        <v>100</v>
      </c>
      <c r="C6799" t="s">
        <v>1988</v>
      </c>
      <c r="D6799" t="s">
        <v>1982</v>
      </c>
      <c r="E6799" t="s">
        <v>1849</v>
      </c>
      <c r="F6799" t="s">
        <v>1023</v>
      </c>
    </row>
    <row r="6800" spans="1:6">
      <c r="A6800" t="s">
        <v>27</v>
      </c>
      <c r="B6800" t="s">
        <v>100</v>
      </c>
      <c r="C6800" t="s">
        <v>1988</v>
      </c>
      <c r="D6800" t="s">
        <v>1982</v>
      </c>
      <c r="E6800" t="s">
        <v>1810</v>
      </c>
      <c r="F6800" t="s">
        <v>1025</v>
      </c>
    </row>
    <row r="6801" spans="1:6">
      <c r="A6801" t="s">
        <v>27</v>
      </c>
      <c r="B6801" t="s">
        <v>100</v>
      </c>
      <c r="C6801" t="s">
        <v>1988</v>
      </c>
      <c r="D6801" t="s">
        <v>1982</v>
      </c>
      <c r="E6801" t="s">
        <v>1811</v>
      </c>
      <c r="F6801" t="s">
        <v>1027</v>
      </c>
    </row>
    <row r="6802" spans="1:6">
      <c r="A6802" t="s">
        <v>27</v>
      </c>
      <c r="B6802" t="s">
        <v>100</v>
      </c>
      <c r="C6802" t="s">
        <v>1988</v>
      </c>
      <c r="D6802" t="s">
        <v>1982</v>
      </c>
      <c r="E6802" t="s">
        <v>1812</v>
      </c>
      <c r="F6802" t="s">
        <v>1029</v>
      </c>
    </row>
    <row r="6803" spans="1:6">
      <c r="A6803" t="s">
        <v>27</v>
      </c>
      <c r="B6803" t="s">
        <v>100</v>
      </c>
      <c r="C6803" t="s">
        <v>1988</v>
      </c>
      <c r="D6803" t="s">
        <v>1982</v>
      </c>
      <c r="E6803" t="s">
        <v>1850</v>
      </c>
      <c r="F6803" t="s">
        <v>1031</v>
      </c>
    </row>
    <row r="6804" spans="1:6">
      <c r="A6804" t="s">
        <v>27</v>
      </c>
      <c r="B6804" t="s">
        <v>100</v>
      </c>
      <c r="C6804" t="s">
        <v>1988</v>
      </c>
      <c r="D6804" t="s">
        <v>1982</v>
      </c>
      <c r="E6804" t="s">
        <v>1851</v>
      </c>
      <c r="F6804" t="s">
        <v>1033</v>
      </c>
    </row>
    <row r="6805" spans="1:6">
      <c r="A6805" t="s">
        <v>27</v>
      </c>
      <c r="B6805" t="s">
        <v>100</v>
      </c>
      <c r="C6805" t="s">
        <v>1988</v>
      </c>
      <c r="D6805" t="s">
        <v>1982</v>
      </c>
      <c r="E6805" t="s">
        <v>1556</v>
      </c>
      <c r="F6805" t="s">
        <v>93</v>
      </c>
    </row>
    <row r="6806" spans="1:6">
      <c r="A6806" t="s">
        <v>27</v>
      </c>
      <c r="B6806" t="s">
        <v>100</v>
      </c>
      <c r="C6806" t="s">
        <v>1988</v>
      </c>
      <c r="D6806" t="s">
        <v>1982</v>
      </c>
      <c r="E6806" t="s">
        <v>1452</v>
      </c>
      <c r="F6806">
        <v>0</v>
      </c>
    </row>
    <row r="6807" spans="1:6">
      <c r="A6807" t="s">
        <v>27</v>
      </c>
      <c r="B6807" t="s">
        <v>100</v>
      </c>
      <c r="C6807" t="s">
        <v>1988</v>
      </c>
      <c r="D6807" t="s">
        <v>1982</v>
      </c>
      <c r="E6807" t="s">
        <v>1182</v>
      </c>
      <c r="F6807">
        <v>2024</v>
      </c>
    </row>
    <row r="6808" spans="1:6">
      <c r="A6808" t="s">
        <v>27</v>
      </c>
      <c r="B6808" t="s">
        <v>100</v>
      </c>
      <c r="C6808" t="s">
        <v>1988</v>
      </c>
      <c r="D6808" t="s">
        <v>1982</v>
      </c>
      <c r="E6808" t="s">
        <v>1184</v>
      </c>
      <c r="F6808">
        <v>1650.17</v>
      </c>
    </row>
    <row r="6809" spans="1:6">
      <c r="A6809" t="s">
        <v>27</v>
      </c>
      <c r="B6809" t="s">
        <v>100</v>
      </c>
      <c r="C6809" t="s">
        <v>1988</v>
      </c>
      <c r="D6809" t="s">
        <v>1982</v>
      </c>
      <c r="E6809" t="s">
        <v>1191</v>
      </c>
      <c r="F6809">
        <v>2025</v>
      </c>
    </row>
    <row r="6810" spans="1:6">
      <c r="A6810" t="s">
        <v>27</v>
      </c>
      <c r="B6810" t="s">
        <v>100</v>
      </c>
      <c r="C6810" t="s">
        <v>1988</v>
      </c>
      <c r="D6810" t="s">
        <v>1982</v>
      </c>
      <c r="E6810" t="s">
        <v>1463</v>
      </c>
      <c r="F6810">
        <v>103016.41</v>
      </c>
    </row>
    <row r="6811" spans="1:6">
      <c r="A6811" t="s">
        <v>27</v>
      </c>
      <c r="B6811" t="s">
        <v>100</v>
      </c>
      <c r="C6811" t="s">
        <v>1988</v>
      </c>
      <c r="D6811" t="s">
        <v>1982</v>
      </c>
      <c r="E6811" t="s">
        <v>1193</v>
      </c>
      <c r="F6811">
        <v>318.3200000000001</v>
      </c>
    </row>
    <row r="6812" spans="1:6">
      <c r="A6812" t="s">
        <v>27</v>
      </c>
      <c r="B6812" t="s">
        <v>100</v>
      </c>
      <c r="C6812" t="s">
        <v>1988</v>
      </c>
      <c r="D6812" t="s">
        <v>1982</v>
      </c>
      <c r="E6812" t="s">
        <v>1194</v>
      </c>
      <c r="F6812">
        <v>386.48</v>
      </c>
    </row>
    <row r="6813" spans="1:6">
      <c r="A6813" t="s">
        <v>27</v>
      </c>
      <c r="B6813" t="s">
        <v>100</v>
      </c>
      <c r="C6813" t="s">
        <v>1988</v>
      </c>
      <c r="D6813" t="s">
        <v>1982</v>
      </c>
      <c r="E6813" t="s">
        <v>1195</v>
      </c>
      <c r="F6813">
        <v>201.95</v>
      </c>
    </row>
    <row r="6814" spans="1:6">
      <c r="A6814" t="s">
        <v>27</v>
      </c>
      <c r="B6814" t="s">
        <v>100</v>
      </c>
      <c r="C6814" t="s">
        <v>1988</v>
      </c>
      <c r="D6814" t="s">
        <v>1982</v>
      </c>
      <c r="E6814" t="s">
        <v>1196</v>
      </c>
      <c r="F6814">
        <v>569.5799999999999</v>
      </c>
    </row>
    <row r="6815" spans="1:6">
      <c r="A6815" t="s">
        <v>27</v>
      </c>
      <c r="B6815" t="s">
        <v>100</v>
      </c>
      <c r="C6815" t="s">
        <v>1988</v>
      </c>
      <c r="D6815" t="s">
        <v>1982</v>
      </c>
      <c r="E6815" t="s">
        <v>1197</v>
      </c>
      <c r="F6815">
        <v>2504.84</v>
      </c>
    </row>
    <row r="6816" spans="1:6">
      <c r="A6816" t="s">
        <v>27</v>
      </c>
      <c r="B6816" t="s">
        <v>100</v>
      </c>
      <c r="C6816" t="s">
        <v>1988</v>
      </c>
      <c r="D6816" t="s">
        <v>1982</v>
      </c>
      <c r="E6816" t="s">
        <v>1198</v>
      </c>
      <c r="F6816">
        <v>5759.880000000006</v>
      </c>
    </row>
    <row r="6817" spans="1:6">
      <c r="A6817" t="s">
        <v>27</v>
      </c>
      <c r="B6817" t="s">
        <v>100</v>
      </c>
      <c r="C6817" t="s">
        <v>1988</v>
      </c>
      <c r="D6817" t="s">
        <v>1982</v>
      </c>
      <c r="E6817" t="s">
        <v>1852</v>
      </c>
      <c r="F6817">
        <v>9459.710000000012</v>
      </c>
    </row>
    <row r="6818" spans="1:6">
      <c r="A6818" t="s">
        <v>27</v>
      </c>
      <c r="B6818" t="s">
        <v>100</v>
      </c>
      <c r="C6818" t="s">
        <v>1988</v>
      </c>
      <c r="D6818" t="s">
        <v>1982</v>
      </c>
      <c r="E6818" t="s">
        <v>1818</v>
      </c>
      <c r="F6818">
        <v>7030.15000000001</v>
      </c>
    </row>
    <row r="6819" spans="1:6">
      <c r="A6819" t="s">
        <v>27</v>
      </c>
      <c r="B6819" t="s">
        <v>100</v>
      </c>
      <c r="C6819" t="s">
        <v>1988</v>
      </c>
      <c r="D6819" t="s">
        <v>1982</v>
      </c>
      <c r="E6819" t="s">
        <v>1819</v>
      </c>
      <c r="F6819">
        <v>11530.47000000001</v>
      </c>
    </row>
    <row r="6820" spans="1:6">
      <c r="A6820" t="s">
        <v>27</v>
      </c>
      <c r="B6820" t="s">
        <v>100</v>
      </c>
      <c r="C6820" t="s">
        <v>1988</v>
      </c>
      <c r="D6820" t="s">
        <v>1982</v>
      </c>
      <c r="E6820" t="s">
        <v>1650</v>
      </c>
      <c r="F6820">
        <v>42109.83000000005</v>
      </c>
    </row>
    <row r="6821" spans="1:6">
      <c r="A6821" t="s">
        <v>27</v>
      </c>
      <c r="B6821" t="s">
        <v>100</v>
      </c>
      <c r="C6821" t="s">
        <v>1988</v>
      </c>
      <c r="D6821" t="s">
        <v>1982</v>
      </c>
      <c r="E6821" t="s">
        <v>1652</v>
      </c>
      <c r="F6821">
        <v>17931.43999999999</v>
      </c>
    </row>
    <row r="6822" spans="1:6">
      <c r="A6822" t="s">
        <v>27</v>
      </c>
      <c r="B6822" t="s">
        <v>100</v>
      </c>
      <c r="C6822" t="s">
        <v>1988</v>
      </c>
      <c r="D6822" t="s">
        <v>1982</v>
      </c>
      <c r="E6822" t="s">
        <v>1653</v>
      </c>
      <c r="F6822">
        <v>5213.760000000003</v>
      </c>
    </row>
    <row r="6823" spans="1:6">
      <c r="A6823" t="s">
        <v>27</v>
      </c>
      <c r="B6823" t="s">
        <v>100</v>
      </c>
      <c r="C6823" t="s">
        <v>1988</v>
      </c>
      <c r="D6823" t="s">
        <v>1982</v>
      </c>
      <c r="E6823" t="s">
        <v>1199</v>
      </c>
      <c r="F6823">
        <v>2026</v>
      </c>
    </row>
    <row r="6824" spans="1:6">
      <c r="A6824" t="s">
        <v>27</v>
      </c>
      <c r="B6824" t="s">
        <v>100</v>
      </c>
      <c r="C6824" t="s">
        <v>1988</v>
      </c>
      <c r="D6824" t="s">
        <v>1982</v>
      </c>
      <c r="E6824" t="s">
        <v>1467</v>
      </c>
      <c r="F6824">
        <v>74977.53999999999</v>
      </c>
    </row>
    <row r="6825" spans="1:6">
      <c r="A6825" t="s">
        <v>27</v>
      </c>
      <c r="B6825" t="s">
        <v>100</v>
      </c>
      <c r="C6825" t="s">
        <v>1988</v>
      </c>
      <c r="D6825" t="s">
        <v>1982</v>
      </c>
      <c r="E6825" t="s">
        <v>1468</v>
      </c>
      <c r="F6825">
        <v>10091.50000000001</v>
      </c>
    </row>
    <row r="6826" spans="1:6">
      <c r="A6826" t="s">
        <v>27</v>
      </c>
      <c r="B6826" t="s">
        <v>100</v>
      </c>
      <c r="C6826" t="s">
        <v>1988</v>
      </c>
      <c r="D6826" t="s">
        <v>1982</v>
      </c>
      <c r="E6826" t="s">
        <v>1469</v>
      </c>
      <c r="F6826">
        <v>6122.150000000002</v>
      </c>
    </row>
    <row r="6827" spans="1:6">
      <c r="A6827" t="s">
        <v>27</v>
      </c>
      <c r="B6827" t="s">
        <v>100</v>
      </c>
      <c r="C6827" t="s">
        <v>1988</v>
      </c>
      <c r="D6827" t="s">
        <v>1982</v>
      </c>
      <c r="E6827" t="s">
        <v>1470</v>
      </c>
      <c r="F6827">
        <v>22360.77999999998</v>
      </c>
    </row>
    <row r="6828" spans="1:6">
      <c r="A6828" t="s">
        <v>27</v>
      </c>
      <c r="B6828" t="s">
        <v>100</v>
      </c>
      <c r="C6828" t="s">
        <v>1988</v>
      </c>
      <c r="D6828" t="s">
        <v>1982</v>
      </c>
      <c r="E6828" t="s">
        <v>1472</v>
      </c>
      <c r="F6828">
        <v>5607.260000000001</v>
      </c>
    </row>
    <row r="6829" spans="1:6">
      <c r="A6829" t="s">
        <v>27</v>
      </c>
      <c r="B6829" t="s">
        <v>100</v>
      </c>
      <c r="C6829" t="s">
        <v>1988</v>
      </c>
      <c r="D6829" t="s">
        <v>1982</v>
      </c>
      <c r="E6829" t="s">
        <v>1559</v>
      </c>
      <c r="F6829">
        <v>13566.97000000001</v>
      </c>
    </row>
    <row r="6830" spans="1:6">
      <c r="A6830" t="s">
        <v>27</v>
      </c>
      <c r="B6830" t="s">
        <v>100</v>
      </c>
      <c r="C6830" t="s">
        <v>1988</v>
      </c>
      <c r="D6830" t="s">
        <v>1982</v>
      </c>
      <c r="E6830" t="s">
        <v>1560</v>
      </c>
      <c r="F6830">
        <v>5093.830000000006</v>
      </c>
    </row>
    <row r="6831" spans="1:6">
      <c r="A6831" t="s">
        <v>27</v>
      </c>
      <c r="B6831" t="s">
        <v>100</v>
      </c>
      <c r="C6831" t="s">
        <v>1988</v>
      </c>
      <c r="D6831" t="s">
        <v>1982</v>
      </c>
      <c r="E6831" t="s">
        <v>1853</v>
      </c>
      <c r="F6831">
        <v>3911.320000000002</v>
      </c>
    </row>
    <row r="6832" spans="1:6">
      <c r="A6832" t="s">
        <v>27</v>
      </c>
      <c r="B6832" t="s">
        <v>100</v>
      </c>
      <c r="C6832" t="s">
        <v>1988</v>
      </c>
      <c r="D6832" t="s">
        <v>1982</v>
      </c>
      <c r="E6832" t="s">
        <v>1820</v>
      </c>
      <c r="F6832">
        <v>3976.329999999999</v>
      </c>
    </row>
    <row r="6833" spans="1:6">
      <c r="A6833" t="s">
        <v>27</v>
      </c>
      <c r="B6833" t="s">
        <v>100</v>
      </c>
      <c r="C6833" t="s">
        <v>1988</v>
      </c>
      <c r="D6833" t="s">
        <v>1982</v>
      </c>
      <c r="E6833" t="s">
        <v>1821</v>
      </c>
      <c r="F6833">
        <v>4247.4</v>
      </c>
    </row>
    <row r="6834" spans="1:6">
      <c r="A6834" t="s">
        <v>27</v>
      </c>
      <c r="B6834" t="s">
        <v>100</v>
      </c>
      <c r="C6834" t="s">
        <v>1988</v>
      </c>
      <c r="D6834" t="s">
        <v>1982</v>
      </c>
      <c r="E6834" t="s">
        <v>1822</v>
      </c>
      <c r="F6834">
        <v>0</v>
      </c>
    </row>
    <row r="6835" spans="1:6">
      <c r="A6835" t="s">
        <v>27</v>
      </c>
      <c r="B6835" t="s">
        <v>100</v>
      </c>
      <c r="C6835" t="s">
        <v>1988</v>
      </c>
      <c r="D6835" t="s">
        <v>1982</v>
      </c>
      <c r="E6835" t="s">
        <v>1854</v>
      </c>
      <c r="F6835">
        <v>0</v>
      </c>
    </row>
    <row r="6836" spans="1:6">
      <c r="A6836" t="s">
        <v>27</v>
      </c>
      <c r="B6836" t="s">
        <v>100</v>
      </c>
      <c r="C6836" t="s">
        <v>1988</v>
      </c>
      <c r="D6836" t="s">
        <v>1982</v>
      </c>
      <c r="E6836" t="s">
        <v>1855</v>
      </c>
      <c r="F6836">
        <v>0</v>
      </c>
    </row>
    <row r="6837" spans="1:6">
      <c r="A6837" t="s">
        <v>27</v>
      </c>
      <c r="B6837" t="s">
        <v>100</v>
      </c>
      <c r="C6837" t="s">
        <v>1988</v>
      </c>
      <c r="D6837" t="s">
        <v>1982</v>
      </c>
      <c r="E6837" t="s">
        <v>1201</v>
      </c>
      <c r="F6837" t="s">
        <v>1009</v>
      </c>
    </row>
    <row r="6838" spans="1:6">
      <c r="A6838" t="s">
        <v>27</v>
      </c>
      <c r="B6838" t="s">
        <v>100</v>
      </c>
      <c r="C6838" t="s">
        <v>1988</v>
      </c>
      <c r="D6838" t="s">
        <v>1982</v>
      </c>
      <c r="E6838" t="s">
        <v>1202</v>
      </c>
      <c r="F6838">
        <v>179644.12</v>
      </c>
    </row>
    <row r="6839" spans="1:6">
      <c r="A6839" t="s">
        <v>27</v>
      </c>
      <c r="B6839" t="s">
        <v>100</v>
      </c>
      <c r="C6839" t="s">
        <v>1988</v>
      </c>
      <c r="D6839" t="s">
        <v>1983</v>
      </c>
      <c r="E6839" t="s">
        <v>1093</v>
      </c>
      <c r="F6839" t="s">
        <v>1094</v>
      </c>
    </row>
    <row r="6840" spans="1:6">
      <c r="A6840" t="s">
        <v>27</v>
      </c>
      <c r="B6840" t="s">
        <v>100</v>
      </c>
      <c r="C6840" t="s">
        <v>1988</v>
      </c>
      <c r="D6840" t="s">
        <v>1983</v>
      </c>
      <c r="E6840" t="s">
        <v>994</v>
      </c>
      <c r="F6840" t="s">
        <v>100</v>
      </c>
    </row>
    <row r="6841" spans="1:6">
      <c r="A6841" t="s">
        <v>27</v>
      </c>
      <c r="B6841" t="s">
        <v>100</v>
      </c>
      <c r="C6841" t="s">
        <v>1988</v>
      </c>
      <c r="D6841" t="s">
        <v>1983</v>
      </c>
      <c r="E6841" t="s">
        <v>995</v>
      </c>
      <c r="F6841" t="s">
        <v>996</v>
      </c>
    </row>
    <row r="6842" spans="1:6">
      <c r="A6842" t="s">
        <v>27</v>
      </c>
      <c r="B6842" t="s">
        <v>100</v>
      </c>
      <c r="C6842" t="s">
        <v>1988</v>
      </c>
      <c r="D6842" t="s">
        <v>1983</v>
      </c>
      <c r="E6842" t="s">
        <v>997</v>
      </c>
      <c r="F6842" t="s">
        <v>1989</v>
      </c>
    </row>
    <row r="6843" spans="1:6">
      <c r="A6843" t="s">
        <v>27</v>
      </c>
      <c r="B6843" t="s">
        <v>100</v>
      </c>
      <c r="C6843" t="s">
        <v>1988</v>
      </c>
      <c r="D6843" t="s">
        <v>1983</v>
      </c>
      <c r="E6843" t="s">
        <v>999</v>
      </c>
      <c r="F6843" t="s">
        <v>1000</v>
      </c>
    </row>
    <row r="6844" spans="1:6">
      <c r="A6844" t="s">
        <v>27</v>
      </c>
      <c r="B6844" t="s">
        <v>100</v>
      </c>
      <c r="C6844" t="s">
        <v>1988</v>
      </c>
      <c r="D6844" t="s">
        <v>1983</v>
      </c>
      <c r="E6844" t="s">
        <v>1001</v>
      </c>
      <c r="F6844" t="s">
        <v>21</v>
      </c>
    </row>
    <row r="6845" spans="1:6">
      <c r="A6845" t="s">
        <v>27</v>
      </c>
      <c r="B6845" t="s">
        <v>100</v>
      </c>
      <c r="C6845" t="s">
        <v>1988</v>
      </c>
      <c r="D6845" t="s">
        <v>1983</v>
      </c>
      <c r="E6845" t="s">
        <v>1002</v>
      </c>
      <c r="F6845" t="s">
        <v>1095</v>
      </c>
    </row>
    <row r="6846" spans="1:6">
      <c r="A6846" t="s">
        <v>27</v>
      </c>
      <c r="B6846" t="s">
        <v>100</v>
      </c>
      <c r="C6846" t="s">
        <v>1988</v>
      </c>
      <c r="D6846" t="s">
        <v>1983</v>
      </c>
      <c r="E6846" t="s">
        <v>1006</v>
      </c>
      <c r="F6846" t="s">
        <v>1097</v>
      </c>
    </row>
    <row r="6847" spans="1:6">
      <c r="A6847" t="s">
        <v>27</v>
      </c>
      <c r="B6847" t="s">
        <v>100</v>
      </c>
      <c r="C6847" t="s">
        <v>1988</v>
      </c>
      <c r="D6847" t="s">
        <v>1983</v>
      </c>
      <c r="E6847" t="s">
        <v>1008</v>
      </c>
      <c r="F6847" t="s">
        <v>1098</v>
      </c>
    </row>
    <row r="6848" spans="1:6">
      <c r="A6848" t="s">
        <v>27</v>
      </c>
      <c r="B6848" t="s">
        <v>100</v>
      </c>
      <c r="C6848" t="s">
        <v>1988</v>
      </c>
      <c r="D6848" t="s">
        <v>1983</v>
      </c>
      <c r="E6848" t="s">
        <v>1035</v>
      </c>
      <c r="F6848" t="s">
        <v>1009</v>
      </c>
    </row>
    <row r="6849" spans="1:6">
      <c r="A6849" t="s">
        <v>27</v>
      </c>
      <c r="B6849" t="s">
        <v>100</v>
      </c>
      <c r="C6849" t="s">
        <v>1988</v>
      </c>
      <c r="D6849" t="s">
        <v>1983</v>
      </c>
      <c r="E6849" t="s">
        <v>1099</v>
      </c>
      <c r="F6849" t="s">
        <v>93</v>
      </c>
    </row>
    <row r="6850" spans="1:6">
      <c r="A6850" t="s">
        <v>27</v>
      </c>
      <c r="B6850" t="s">
        <v>100</v>
      </c>
      <c r="C6850" t="s">
        <v>1988</v>
      </c>
      <c r="D6850" t="s">
        <v>1983</v>
      </c>
      <c r="E6850" t="s">
        <v>1100</v>
      </c>
      <c r="F6850">
        <v>2024</v>
      </c>
    </row>
    <row r="6851" spans="1:6">
      <c r="A6851" t="s">
        <v>27</v>
      </c>
      <c r="B6851" t="s">
        <v>100</v>
      </c>
      <c r="C6851" t="s">
        <v>1988</v>
      </c>
      <c r="D6851" t="s">
        <v>1983</v>
      </c>
      <c r="E6851" t="s">
        <v>1101</v>
      </c>
      <c r="F6851">
        <v>2025</v>
      </c>
    </row>
    <row r="6852" spans="1:6">
      <c r="A6852" t="s">
        <v>27</v>
      </c>
      <c r="B6852" t="s">
        <v>100</v>
      </c>
      <c r="C6852" t="s">
        <v>1988</v>
      </c>
      <c r="D6852" t="s">
        <v>1983</v>
      </c>
      <c r="E6852" t="s">
        <v>1512</v>
      </c>
      <c r="F6852">
        <v>2026</v>
      </c>
    </row>
    <row r="6853" spans="1:6">
      <c r="A6853" t="s">
        <v>27</v>
      </c>
      <c r="B6853" t="s">
        <v>100</v>
      </c>
      <c r="C6853" t="s">
        <v>1988</v>
      </c>
      <c r="D6853" t="s">
        <v>1983</v>
      </c>
      <c r="E6853" t="s">
        <v>1036</v>
      </c>
      <c r="F6853" t="s">
        <v>1102</v>
      </c>
    </row>
    <row r="6854" spans="1:6">
      <c r="A6854" t="s">
        <v>27</v>
      </c>
      <c r="B6854" t="s">
        <v>100</v>
      </c>
      <c r="C6854" t="s">
        <v>1988</v>
      </c>
      <c r="D6854" t="s">
        <v>1983</v>
      </c>
      <c r="E6854" t="s">
        <v>1037</v>
      </c>
      <c r="F6854">
        <v>2054565.96</v>
      </c>
    </row>
    <row r="6855" spans="1:6">
      <c r="A6855" t="s">
        <v>27</v>
      </c>
      <c r="B6855" t="s">
        <v>100</v>
      </c>
      <c r="C6855" t="s">
        <v>1988</v>
      </c>
      <c r="D6855" t="s">
        <v>1983</v>
      </c>
      <c r="E6855" t="s">
        <v>1103</v>
      </c>
      <c r="F6855">
        <v>0</v>
      </c>
    </row>
    <row r="6856" spans="1:6">
      <c r="A6856" t="s">
        <v>27</v>
      </c>
      <c r="B6856" t="s">
        <v>100</v>
      </c>
      <c r="C6856" t="s">
        <v>1988</v>
      </c>
      <c r="D6856" t="s">
        <v>1983</v>
      </c>
      <c r="E6856" t="s">
        <v>1104</v>
      </c>
      <c r="F6856">
        <v>19392.95</v>
      </c>
    </row>
    <row r="6857" spans="1:6">
      <c r="A6857" t="s">
        <v>27</v>
      </c>
      <c r="B6857" t="s">
        <v>100</v>
      </c>
      <c r="C6857" t="s">
        <v>1988</v>
      </c>
      <c r="D6857" t="s">
        <v>1983</v>
      </c>
      <c r="E6857" t="s">
        <v>1105</v>
      </c>
      <c r="F6857">
        <v>1208230.41</v>
      </c>
    </row>
    <row r="6858" spans="1:6">
      <c r="A6858" t="s">
        <v>27</v>
      </c>
      <c r="B6858" t="s">
        <v>100</v>
      </c>
      <c r="C6858" t="s">
        <v>1988</v>
      </c>
      <c r="D6858" t="s">
        <v>1983</v>
      </c>
      <c r="E6858" t="s">
        <v>1346</v>
      </c>
      <c r="F6858">
        <v>826942.6</v>
      </c>
    </row>
    <row r="6859" spans="1:6">
      <c r="A6859" t="s">
        <v>27</v>
      </c>
      <c r="B6859" t="s">
        <v>100</v>
      </c>
      <c r="C6859" t="s">
        <v>1988</v>
      </c>
      <c r="D6859" t="s">
        <v>1983</v>
      </c>
      <c r="E6859" t="s">
        <v>1038</v>
      </c>
      <c r="F6859" t="s">
        <v>1106</v>
      </c>
    </row>
    <row r="6860" spans="1:6">
      <c r="A6860" t="s">
        <v>27</v>
      </c>
      <c r="B6860" t="s">
        <v>100</v>
      </c>
      <c r="C6860" t="s">
        <v>1988</v>
      </c>
      <c r="D6860" t="s">
        <v>1983</v>
      </c>
      <c r="E6860" t="s">
        <v>1039</v>
      </c>
      <c r="F6860">
        <v>2032481.87</v>
      </c>
    </row>
    <row r="6861" spans="1:6">
      <c r="A6861" t="s">
        <v>27</v>
      </c>
      <c r="B6861" t="s">
        <v>100</v>
      </c>
      <c r="C6861" t="s">
        <v>1988</v>
      </c>
      <c r="D6861" t="s">
        <v>1983</v>
      </c>
      <c r="E6861" t="s">
        <v>1040</v>
      </c>
      <c r="F6861">
        <v>0</v>
      </c>
    </row>
    <row r="6862" spans="1:6">
      <c r="A6862" t="s">
        <v>27</v>
      </c>
      <c r="B6862" t="s">
        <v>100</v>
      </c>
      <c r="C6862" t="s">
        <v>1988</v>
      </c>
      <c r="D6862" t="s">
        <v>1983</v>
      </c>
      <c r="E6862" t="s">
        <v>1041</v>
      </c>
      <c r="F6862">
        <v>19392.95</v>
      </c>
    </row>
    <row r="6863" spans="1:6">
      <c r="A6863" t="s">
        <v>27</v>
      </c>
      <c r="B6863" t="s">
        <v>100</v>
      </c>
      <c r="C6863" t="s">
        <v>1988</v>
      </c>
      <c r="D6863" t="s">
        <v>1983</v>
      </c>
      <c r="E6863" t="s">
        <v>1042</v>
      </c>
      <c r="F6863">
        <v>1208230.41</v>
      </c>
    </row>
    <row r="6864" spans="1:6">
      <c r="A6864" t="s">
        <v>27</v>
      </c>
      <c r="B6864" t="s">
        <v>100</v>
      </c>
      <c r="C6864" t="s">
        <v>1988</v>
      </c>
      <c r="D6864" t="s">
        <v>1983</v>
      </c>
      <c r="E6864" t="s">
        <v>1043</v>
      </c>
      <c r="F6864">
        <v>804858.5100000005</v>
      </c>
    </row>
    <row r="6865" spans="1:6">
      <c r="A6865" t="s">
        <v>27</v>
      </c>
      <c r="B6865" t="s">
        <v>100</v>
      </c>
      <c r="C6865" t="s">
        <v>1988</v>
      </c>
      <c r="D6865" t="s">
        <v>1983</v>
      </c>
      <c r="E6865" t="s">
        <v>1052</v>
      </c>
      <c r="F6865" t="s">
        <v>1107</v>
      </c>
    </row>
    <row r="6866" spans="1:6">
      <c r="A6866" t="s">
        <v>27</v>
      </c>
      <c r="B6866" t="s">
        <v>100</v>
      </c>
      <c r="C6866" t="s">
        <v>1988</v>
      </c>
      <c r="D6866" t="s">
        <v>1983</v>
      </c>
      <c r="E6866" t="s">
        <v>1053</v>
      </c>
      <c r="F6866">
        <v>1149206.120000001</v>
      </c>
    </row>
    <row r="6867" spans="1:6">
      <c r="A6867" t="s">
        <v>27</v>
      </c>
      <c r="B6867" t="s">
        <v>100</v>
      </c>
      <c r="C6867" t="s">
        <v>1988</v>
      </c>
      <c r="D6867" t="s">
        <v>1983</v>
      </c>
      <c r="E6867" t="s">
        <v>1108</v>
      </c>
      <c r="F6867">
        <v>0</v>
      </c>
    </row>
    <row r="6868" spans="1:6">
      <c r="A6868" t="s">
        <v>27</v>
      </c>
      <c r="B6868" t="s">
        <v>100</v>
      </c>
      <c r="C6868" t="s">
        <v>1988</v>
      </c>
      <c r="D6868" t="s">
        <v>1983</v>
      </c>
      <c r="E6868" t="s">
        <v>1109</v>
      </c>
      <c r="F6868">
        <v>18849.71</v>
      </c>
    </row>
    <row r="6869" spans="1:6">
      <c r="A6869" t="s">
        <v>27</v>
      </c>
      <c r="B6869" t="s">
        <v>100</v>
      </c>
      <c r="C6869" t="s">
        <v>1988</v>
      </c>
      <c r="D6869" t="s">
        <v>1983</v>
      </c>
      <c r="E6869" t="s">
        <v>1110</v>
      </c>
      <c r="F6869">
        <v>422096.93</v>
      </c>
    </row>
    <row r="6870" spans="1:6">
      <c r="A6870" t="s">
        <v>27</v>
      </c>
      <c r="B6870" t="s">
        <v>100</v>
      </c>
      <c r="C6870" t="s">
        <v>1988</v>
      </c>
      <c r="D6870" t="s">
        <v>1983</v>
      </c>
      <c r="E6870" t="s">
        <v>1521</v>
      </c>
      <c r="F6870">
        <v>708259.4800000004</v>
      </c>
    </row>
    <row r="6871" spans="1:6">
      <c r="A6871" t="s">
        <v>27</v>
      </c>
      <c r="B6871" t="s">
        <v>100</v>
      </c>
      <c r="C6871" t="s">
        <v>1988</v>
      </c>
      <c r="D6871" t="s">
        <v>1983</v>
      </c>
      <c r="E6871" t="s">
        <v>1111</v>
      </c>
      <c r="F6871" t="s">
        <v>1112</v>
      </c>
    </row>
    <row r="6872" spans="1:6">
      <c r="A6872" t="s">
        <v>27</v>
      </c>
      <c r="B6872" t="s">
        <v>100</v>
      </c>
      <c r="C6872" t="s">
        <v>1988</v>
      </c>
      <c r="D6872" t="s">
        <v>1983</v>
      </c>
      <c r="E6872" t="s">
        <v>1113</v>
      </c>
      <c r="F6872">
        <v>0</v>
      </c>
    </row>
    <row r="6873" spans="1:6">
      <c r="A6873" t="s">
        <v>27</v>
      </c>
      <c r="B6873" t="s">
        <v>100</v>
      </c>
      <c r="C6873" t="s">
        <v>1988</v>
      </c>
      <c r="D6873" t="s">
        <v>1983</v>
      </c>
      <c r="E6873" t="s">
        <v>1114</v>
      </c>
      <c r="F6873">
        <v>0</v>
      </c>
    </row>
    <row r="6874" spans="1:6">
      <c r="A6874" t="s">
        <v>27</v>
      </c>
      <c r="B6874" t="s">
        <v>100</v>
      </c>
      <c r="C6874" t="s">
        <v>1988</v>
      </c>
      <c r="D6874" t="s">
        <v>1983</v>
      </c>
      <c r="E6874" t="s">
        <v>1115</v>
      </c>
      <c r="F6874">
        <v>0</v>
      </c>
    </row>
    <row r="6875" spans="1:6">
      <c r="A6875" t="s">
        <v>27</v>
      </c>
      <c r="B6875" t="s">
        <v>100</v>
      </c>
      <c r="C6875" t="s">
        <v>1988</v>
      </c>
      <c r="D6875" t="s">
        <v>1983</v>
      </c>
      <c r="E6875" t="s">
        <v>1116</v>
      </c>
      <c r="F6875">
        <v>0</v>
      </c>
    </row>
    <row r="6876" spans="1:6">
      <c r="A6876" t="s">
        <v>27</v>
      </c>
      <c r="B6876" t="s">
        <v>100</v>
      </c>
      <c r="C6876" t="s">
        <v>1988</v>
      </c>
      <c r="D6876" t="s">
        <v>1983</v>
      </c>
      <c r="E6876" t="s">
        <v>1857</v>
      </c>
      <c r="F6876">
        <v>0</v>
      </c>
    </row>
    <row r="6877" spans="1:6">
      <c r="A6877" t="s">
        <v>27</v>
      </c>
      <c r="B6877" t="s">
        <v>100</v>
      </c>
      <c r="C6877" t="s">
        <v>1988</v>
      </c>
      <c r="D6877" t="s">
        <v>1983</v>
      </c>
      <c r="E6877" t="s">
        <v>1054</v>
      </c>
      <c r="F6877" t="s">
        <v>1117</v>
      </c>
    </row>
    <row r="6878" spans="1:6">
      <c r="A6878" t="s">
        <v>27</v>
      </c>
      <c r="B6878" t="s">
        <v>100</v>
      </c>
      <c r="C6878" t="s">
        <v>1988</v>
      </c>
      <c r="D6878" t="s">
        <v>1983</v>
      </c>
      <c r="E6878" t="s">
        <v>1118</v>
      </c>
      <c r="F6878">
        <v>883275.7499999998</v>
      </c>
    </row>
    <row r="6879" spans="1:6">
      <c r="A6879" t="s">
        <v>27</v>
      </c>
      <c r="B6879" t="s">
        <v>100</v>
      </c>
      <c r="C6879" t="s">
        <v>1988</v>
      </c>
      <c r="D6879" t="s">
        <v>1983</v>
      </c>
      <c r="E6879" t="s">
        <v>1119</v>
      </c>
      <c r="F6879">
        <v>0</v>
      </c>
    </row>
    <row r="6880" spans="1:6">
      <c r="A6880" t="s">
        <v>27</v>
      </c>
      <c r="B6880" t="s">
        <v>100</v>
      </c>
      <c r="C6880" t="s">
        <v>1988</v>
      </c>
      <c r="D6880" t="s">
        <v>1983</v>
      </c>
      <c r="E6880" t="s">
        <v>1120</v>
      </c>
      <c r="F6880">
        <v>543.24</v>
      </c>
    </row>
    <row r="6881" spans="1:6">
      <c r="A6881" t="s">
        <v>27</v>
      </c>
      <c r="B6881" t="s">
        <v>100</v>
      </c>
      <c r="C6881" t="s">
        <v>1988</v>
      </c>
      <c r="D6881" t="s">
        <v>1983</v>
      </c>
      <c r="E6881" t="s">
        <v>1121</v>
      </c>
      <c r="F6881">
        <v>786133.4799999997</v>
      </c>
    </row>
    <row r="6882" spans="1:6">
      <c r="A6882" t="s">
        <v>27</v>
      </c>
      <c r="B6882" t="s">
        <v>100</v>
      </c>
      <c r="C6882" t="s">
        <v>1988</v>
      </c>
      <c r="D6882" t="s">
        <v>1983</v>
      </c>
      <c r="E6882" t="s">
        <v>1858</v>
      </c>
      <c r="F6882">
        <v>96599.03</v>
      </c>
    </row>
    <row r="6883" spans="1:6">
      <c r="A6883" t="s">
        <v>27</v>
      </c>
      <c r="B6883" t="s">
        <v>100</v>
      </c>
      <c r="C6883" t="s">
        <v>1988</v>
      </c>
      <c r="D6883" t="s">
        <v>1983</v>
      </c>
      <c r="E6883" t="s">
        <v>1122</v>
      </c>
      <c r="F6883" t="s">
        <v>1859</v>
      </c>
    </row>
    <row r="6884" spans="1:6">
      <c r="A6884" t="s">
        <v>27</v>
      </c>
      <c r="B6884" t="s">
        <v>100</v>
      </c>
      <c r="C6884" t="s">
        <v>1988</v>
      </c>
      <c r="D6884" t="s">
        <v>1983</v>
      </c>
      <c r="E6884" t="s">
        <v>1124</v>
      </c>
      <c r="F6884">
        <v>136235.1199999998</v>
      </c>
    </row>
    <row r="6885" spans="1:6">
      <c r="A6885" t="s">
        <v>27</v>
      </c>
      <c r="B6885" t="s">
        <v>100</v>
      </c>
      <c r="C6885" t="s">
        <v>1988</v>
      </c>
      <c r="D6885" t="s">
        <v>1983</v>
      </c>
      <c r="E6885" t="s">
        <v>1126</v>
      </c>
      <c r="F6885">
        <v>0</v>
      </c>
    </row>
    <row r="6886" spans="1:6">
      <c r="A6886" t="s">
        <v>27</v>
      </c>
      <c r="B6886" t="s">
        <v>100</v>
      </c>
      <c r="C6886" t="s">
        <v>1988</v>
      </c>
      <c r="D6886" t="s">
        <v>1983</v>
      </c>
      <c r="E6886" t="s">
        <v>1127</v>
      </c>
      <c r="F6886">
        <v>543.24</v>
      </c>
    </row>
    <row r="6887" spans="1:6">
      <c r="A6887" t="s">
        <v>27</v>
      </c>
      <c r="B6887" t="s">
        <v>100</v>
      </c>
      <c r="C6887" t="s">
        <v>1988</v>
      </c>
      <c r="D6887" t="s">
        <v>1983</v>
      </c>
      <c r="E6887" t="s">
        <v>1128</v>
      </c>
      <c r="F6887">
        <v>97915.4399999998</v>
      </c>
    </row>
    <row r="6888" spans="1:6">
      <c r="A6888" t="s">
        <v>27</v>
      </c>
      <c r="B6888" t="s">
        <v>100</v>
      </c>
      <c r="C6888" t="s">
        <v>1988</v>
      </c>
      <c r="D6888" t="s">
        <v>1983</v>
      </c>
      <c r="E6888" t="s">
        <v>1355</v>
      </c>
      <c r="F6888">
        <v>37776.43999999998</v>
      </c>
    </row>
    <row r="6889" spans="1:6">
      <c r="A6889" t="s">
        <v>27</v>
      </c>
      <c r="B6889" t="s">
        <v>100</v>
      </c>
      <c r="C6889" t="s">
        <v>1988</v>
      </c>
      <c r="D6889" t="s">
        <v>1983</v>
      </c>
      <c r="E6889" t="s">
        <v>1056</v>
      </c>
      <c r="F6889" t="s">
        <v>1860</v>
      </c>
    </row>
    <row r="6890" spans="1:6">
      <c r="A6890" t="s">
        <v>27</v>
      </c>
      <c r="B6890" t="s">
        <v>100</v>
      </c>
      <c r="C6890" t="s">
        <v>1988</v>
      </c>
      <c r="D6890" t="s">
        <v>1983</v>
      </c>
      <c r="E6890" t="s">
        <v>1057</v>
      </c>
      <c r="F6890">
        <v>625862.4999999998</v>
      </c>
    </row>
    <row r="6891" spans="1:6">
      <c r="A6891" t="s">
        <v>27</v>
      </c>
      <c r="B6891" t="s">
        <v>100</v>
      </c>
      <c r="C6891" t="s">
        <v>1988</v>
      </c>
      <c r="D6891" t="s">
        <v>1983</v>
      </c>
      <c r="E6891" t="s">
        <v>1058</v>
      </c>
      <c r="F6891">
        <v>0</v>
      </c>
    </row>
    <row r="6892" spans="1:6">
      <c r="A6892" t="s">
        <v>27</v>
      </c>
      <c r="B6892" t="s">
        <v>100</v>
      </c>
      <c r="C6892" t="s">
        <v>1988</v>
      </c>
      <c r="D6892" t="s">
        <v>1983</v>
      </c>
      <c r="E6892" t="s">
        <v>1059</v>
      </c>
      <c r="F6892">
        <v>0</v>
      </c>
    </row>
    <row r="6893" spans="1:6">
      <c r="A6893" t="s">
        <v>27</v>
      </c>
      <c r="B6893" t="s">
        <v>100</v>
      </c>
      <c r="C6893" t="s">
        <v>1988</v>
      </c>
      <c r="D6893" t="s">
        <v>1983</v>
      </c>
      <c r="E6893" t="s">
        <v>1060</v>
      </c>
      <c r="F6893">
        <v>606057.7999999998</v>
      </c>
    </row>
    <row r="6894" spans="1:6">
      <c r="A6894" t="s">
        <v>27</v>
      </c>
      <c r="B6894" t="s">
        <v>100</v>
      </c>
      <c r="C6894" t="s">
        <v>1988</v>
      </c>
      <c r="D6894" t="s">
        <v>1983</v>
      </c>
      <c r="E6894" t="s">
        <v>1061</v>
      </c>
      <c r="F6894">
        <v>19804.7</v>
      </c>
    </row>
    <row r="6895" spans="1:6">
      <c r="A6895" t="s">
        <v>27</v>
      </c>
      <c r="B6895" t="s">
        <v>100</v>
      </c>
      <c r="C6895" t="s">
        <v>1988</v>
      </c>
      <c r="D6895" t="s">
        <v>1983</v>
      </c>
      <c r="E6895" t="s">
        <v>1071</v>
      </c>
      <c r="F6895" t="s">
        <v>1861</v>
      </c>
    </row>
    <row r="6896" spans="1:6">
      <c r="A6896" t="s">
        <v>27</v>
      </c>
      <c r="B6896" t="s">
        <v>100</v>
      </c>
      <c r="C6896" t="s">
        <v>1988</v>
      </c>
      <c r="D6896" t="s">
        <v>1983</v>
      </c>
      <c r="E6896" t="s">
        <v>1072</v>
      </c>
      <c r="F6896">
        <v>74763.67999999999</v>
      </c>
    </row>
    <row r="6897" spans="1:6">
      <c r="A6897" t="s">
        <v>27</v>
      </c>
      <c r="B6897" t="s">
        <v>100</v>
      </c>
      <c r="C6897" t="s">
        <v>1988</v>
      </c>
      <c r="D6897" t="s">
        <v>1983</v>
      </c>
      <c r="E6897" t="s">
        <v>1133</v>
      </c>
      <c r="F6897">
        <v>0</v>
      </c>
    </row>
    <row r="6898" spans="1:6">
      <c r="A6898" t="s">
        <v>27</v>
      </c>
      <c r="B6898" t="s">
        <v>100</v>
      </c>
      <c r="C6898" t="s">
        <v>1988</v>
      </c>
      <c r="D6898" t="s">
        <v>1983</v>
      </c>
      <c r="E6898" t="s">
        <v>1134</v>
      </c>
      <c r="F6898">
        <v>0</v>
      </c>
    </row>
    <row r="6899" spans="1:6">
      <c r="A6899" t="s">
        <v>27</v>
      </c>
      <c r="B6899" t="s">
        <v>100</v>
      </c>
      <c r="C6899" t="s">
        <v>1988</v>
      </c>
      <c r="D6899" t="s">
        <v>1983</v>
      </c>
      <c r="E6899" t="s">
        <v>1135</v>
      </c>
      <c r="F6899">
        <v>40293.98999999998</v>
      </c>
    </row>
    <row r="6900" spans="1:6">
      <c r="A6900" t="s">
        <v>27</v>
      </c>
      <c r="B6900" t="s">
        <v>100</v>
      </c>
      <c r="C6900" t="s">
        <v>1988</v>
      </c>
      <c r="D6900" t="s">
        <v>1983</v>
      </c>
      <c r="E6900" t="s">
        <v>1414</v>
      </c>
      <c r="F6900">
        <v>34469.69000000002</v>
      </c>
    </row>
    <row r="6901" spans="1:6">
      <c r="A6901" t="s">
        <v>27</v>
      </c>
      <c r="B6901" t="s">
        <v>100</v>
      </c>
      <c r="C6901" t="s">
        <v>1988</v>
      </c>
      <c r="D6901" t="s">
        <v>1983</v>
      </c>
      <c r="E6901" t="s">
        <v>1073</v>
      </c>
      <c r="F6901" t="s">
        <v>1862</v>
      </c>
    </row>
    <row r="6902" spans="1:6">
      <c r="A6902" t="s">
        <v>27</v>
      </c>
      <c r="B6902" t="s">
        <v>100</v>
      </c>
      <c r="C6902" t="s">
        <v>1988</v>
      </c>
      <c r="D6902" t="s">
        <v>1983</v>
      </c>
      <c r="E6902" t="s">
        <v>1074</v>
      </c>
      <c r="F6902">
        <v>1082.86</v>
      </c>
    </row>
    <row r="6903" spans="1:6">
      <c r="A6903" t="s">
        <v>27</v>
      </c>
      <c r="B6903" t="s">
        <v>100</v>
      </c>
      <c r="C6903" t="s">
        <v>1988</v>
      </c>
      <c r="D6903" t="s">
        <v>1983</v>
      </c>
      <c r="E6903" t="s">
        <v>1296</v>
      </c>
      <c r="F6903">
        <v>0</v>
      </c>
    </row>
    <row r="6904" spans="1:6">
      <c r="A6904" t="s">
        <v>27</v>
      </c>
      <c r="B6904" t="s">
        <v>100</v>
      </c>
      <c r="C6904" t="s">
        <v>1988</v>
      </c>
      <c r="D6904" t="s">
        <v>1983</v>
      </c>
      <c r="E6904" t="s">
        <v>1297</v>
      </c>
      <c r="F6904">
        <v>0</v>
      </c>
    </row>
    <row r="6905" spans="1:6">
      <c r="A6905" t="s">
        <v>27</v>
      </c>
      <c r="B6905" t="s">
        <v>100</v>
      </c>
      <c r="C6905" t="s">
        <v>1988</v>
      </c>
      <c r="D6905" t="s">
        <v>1983</v>
      </c>
      <c r="E6905" t="s">
        <v>1364</v>
      </c>
      <c r="F6905">
        <v>807.7999999999997</v>
      </c>
    </row>
    <row r="6906" spans="1:6">
      <c r="A6906" t="s">
        <v>27</v>
      </c>
      <c r="B6906" t="s">
        <v>100</v>
      </c>
      <c r="C6906" t="s">
        <v>1988</v>
      </c>
      <c r="D6906" t="s">
        <v>1983</v>
      </c>
      <c r="E6906" t="s">
        <v>1365</v>
      </c>
      <c r="F6906">
        <v>275.06</v>
      </c>
    </row>
    <row r="6907" spans="1:6">
      <c r="A6907" t="s">
        <v>27</v>
      </c>
      <c r="B6907" t="s">
        <v>100</v>
      </c>
      <c r="C6907" t="s">
        <v>1988</v>
      </c>
      <c r="D6907" t="s">
        <v>1983</v>
      </c>
      <c r="E6907" t="s">
        <v>1075</v>
      </c>
      <c r="F6907" t="s">
        <v>1863</v>
      </c>
    </row>
    <row r="6908" spans="1:6">
      <c r="A6908" t="s">
        <v>27</v>
      </c>
      <c r="B6908" t="s">
        <v>100</v>
      </c>
      <c r="C6908" t="s">
        <v>1988</v>
      </c>
      <c r="D6908" t="s">
        <v>1983</v>
      </c>
      <c r="E6908" t="s">
        <v>1076</v>
      </c>
      <c r="F6908">
        <v>8269.550000000001</v>
      </c>
    </row>
    <row r="6909" spans="1:6">
      <c r="A6909" t="s">
        <v>27</v>
      </c>
      <c r="B6909" t="s">
        <v>100</v>
      </c>
      <c r="C6909" t="s">
        <v>1988</v>
      </c>
      <c r="D6909" t="s">
        <v>1983</v>
      </c>
      <c r="E6909" t="s">
        <v>1077</v>
      </c>
      <c r="F6909">
        <v>0</v>
      </c>
    </row>
    <row r="6910" spans="1:6">
      <c r="A6910" t="s">
        <v>27</v>
      </c>
      <c r="B6910" t="s">
        <v>100</v>
      </c>
      <c r="C6910" t="s">
        <v>1988</v>
      </c>
      <c r="D6910" t="s">
        <v>1983</v>
      </c>
      <c r="E6910" t="s">
        <v>1078</v>
      </c>
      <c r="F6910">
        <v>0</v>
      </c>
    </row>
    <row r="6911" spans="1:6">
      <c r="A6911" t="s">
        <v>27</v>
      </c>
      <c r="B6911" t="s">
        <v>100</v>
      </c>
      <c r="C6911" t="s">
        <v>1988</v>
      </c>
      <c r="D6911" t="s">
        <v>1983</v>
      </c>
      <c r="E6911" t="s">
        <v>1079</v>
      </c>
      <c r="F6911">
        <v>7573.93</v>
      </c>
    </row>
    <row r="6912" spans="1:6">
      <c r="A6912" t="s">
        <v>27</v>
      </c>
      <c r="B6912" t="s">
        <v>100</v>
      </c>
      <c r="C6912" t="s">
        <v>1988</v>
      </c>
      <c r="D6912" t="s">
        <v>1983</v>
      </c>
      <c r="E6912" t="s">
        <v>1080</v>
      </c>
      <c r="F6912">
        <v>695.62</v>
      </c>
    </row>
    <row r="6913" spans="1:6">
      <c r="A6913" t="s">
        <v>27</v>
      </c>
      <c r="B6913" t="s">
        <v>100</v>
      </c>
      <c r="C6913" t="s">
        <v>1988</v>
      </c>
      <c r="D6913" t="s">
        <v>1983</v>
      </c>
      <c r="E6913" t="s">
        <v>1089</v>
      </c>
      <c r="F6913" t="s">
        <v>1864</v>
      </c>
    </row>
    <row r="6914" spans="1:6">
      <c r="A6914" t="s">
        <v>27</v>
      </c>
      <c r="B6914" t="s">
        <v>100</v>
      </c>
      <c r="C6914" t="s">
        <v>1988</v>
      </c>
      <c r="D6914" t="s">
        <v>1983</v>
      </c>
      <c r="E6914" t="s">
        <v>1090</v>
      </c>
      <c r="F6914">
        <v>37051.71000000001</v>
      </c>
    </row>
    <row r="6915" spans="1:6">
      <c r="A6915" t="s">
        <v>27</v>
      </c>
      <c r="B6915" t="s">
        <v>100</v>
      </c>
      <c r="C6915" t="s">
        <v>1988</v>
      </c>
      <c r="D6915" t="s">
        <v>1983</v>
      </c>
      <c r="E6915" t="s">
        <v>1139</v>
      </c>
      <c r="F6915">
        <v>0</v>
      </c>
    </row>
    <row r="6916" spans="1:6">
      <c r="A6916" t="s">
        <v>27</v>
      </c>
      <c r="B6916" t="s">
        <v>100</v>
      </c>
      <c r="C6916" t="s">
        <v>1988</v>
      </c>
      <c r="D6916" t="s">
        <v>1983</v>
      </c>
      <c r="E6916" t="s">
        <v>1140</v>
      </c>
      <c r="F6916">
        <v>0</v>
      </c>
    </row>
    <row r="6917" spans="1:6">
      <c r="A6917" t="s">
        <v>27</v>
      </c>
      <c r="B6917" t="s">
        <v>100</v>
      </c>
      <c r="C6917" t="s">
        <v>1988</v>
      </c>
      <c r="D6917" t="s">
        <v>1983</v>
      </c>
      <c r="E6917" t="s">
        <v>1141</v>
      </c>
      <c r="F6917">
        <v>33484.52</v>
      </c>
    </row>
    <row r="6918" spans="1:6">
      <c r="A6918" t="s">
        <v>27</v>
      </c>
      <c r="B6918" t="s">
        <v>100</v>
      </c>
      <c r="C6918" t="s">
        <v>1988</v>
      </c>
      <c r="D6918" t="s">
        <v>1983</v>
      </c>
      <c r="E6918" t="s">
        <v>1423</v>
      </c>
      <c r="F6918">
        <v>3567.19</v>
      </c>
    </row>
    <row r="6919" spans="1:6">
      <c r="A6919" t="s">
        <v>27</v>
      </c>
      <c r="B6919" t="s">
        <v>100</v>
      </c>
      <c r="C6919" t="s">
        <v>1988</v>
      </c>
      <c r="D6919" t="s">
        <v>1983</v>
      </c>
      <c r="E6919" t="s">
        <v>1546</v>
      </c>
      <c r="F6919" t="s">
        <v>1865</v>
      </c>
    </row>
    <row r="6920" spans="1:6">
      <c r="A6920" t="s">
        <v>27</v>
      </c>
      <c r="B6920" t="s">
        <v>100</v>
      </c>
      <c r="C6920" t="s">
        <v>1988</v>
      </c>
      <c r="D6920" t="s">
        <v>1983</v>
      </c>
      <c r="E6920" t="s">
        <v>1298</v>
      </c>
      <c r="F6920">
        <v>0</v>
      </c>
    </row>
    <row r="6921" spans="1:6">
      <c r="A6921" t="s">
        <v>27</v>
      </c>
      <c r="B6921" t="s">
        <v>100</v>
      </c>
      <c r="C6921" t="s">
        <v>1988</v>
      </c>
      <c r="D6921" t="s">
        <v>1983</v>
      </c>
      <c r="E6921" t="s">
        <v>1299</v>
      </c>
      <c r="F6921">
        <v>0</v>
      </c>
    </row>
    <row r="6922" spans="1:6">
      <c r="A6922" t="s">
        <v>27</v>
      </c>
      <c r="B6922" t="s">
        <v>100</v>
      </c>
      <c r="C6922" t="s">
        <v>1988</v>
      </c>
      <c r="D6922" t="s">
        <v>1983</v>
      </c>
      <c r="E6922" t="s">
        <v>1300</v>
      </c>
      <c r="F6922">
        <v>0</v>
      </c>
    </row>
    <row r="6923" spans="1:6">
      <c r="A6923" t="s">
        <v>27</v>
      </c>
      <c r="B6923" t="s">
        <v>100</v>
      </c>
      <c r="C6923" t="s">
        <v>1988</v>
      </c>
      <c r="D6923" t="s">
        <v>1983</v>
      </c>
      <c r="E6923" t="s">
        <v>1426</v>
      </c>
      <c r="F6923">
        <v>0</v>
      </c>
    </row>
    <row r="6924" spans="1:6">
      <c r="A6924" t="s">
        <v>27</v>
      </c>
      <c r="B6924" t="s">
        <v>100</v>
      </c>
      <c r="C6924" t="s">
        <v>1988</v>
      </c>
      <c r="D6924" t="s">
        <v>1983</v>
      </c>
      <c r="E6924" t="s">
        <v>1400</v>
      </c>
      <c r="F6924">
        <v>0</v>
      </c>
    </row>
    <row r="6925" spans="1:6">
      <c r="A6925" t="s">
        <v>27</v>
      </c>
      <c r="B6925" t="s">
        <v>100</v>
      </c>
      <c r="C6925" t="s">
        <v>1988</v>
      </c>
      <c r="D6925" t="s">
        <v>1983</v>
      </c>
      <c r="E6925" t="s">
        <v>1143</v>
      </c>
      <c r="F6925" t="s">
        <v>1866</v>
      </c>
    </row>
    <row r="6926" spans="1:6">
      <c r="A6926" t="s">
        <v>27</v>
      </c>
      <c r="B6926" t="s">
        <v>100</v>
      </c>
      <c r="C6926" t="s">
        <v>1988</v>
      </c>
      <c r="D6926" t="s">
        <v>1983</v>
      </c>
      <c r="E6926" t="s">
        <v>1301</v>
      </c>
      <c r="F6926">
        <v>10.33</v>
      </c>
    </row>
    <row r="6927" spans="1:6">
      <c r="A6927" t="s">
        <v>27</v>
      </c>
      <c r="B6927" t="s">
        <v>100</v>
      </c>
      <c r="C6927" t="s">
        <v>1988</v>
      </c>
      <c r="D6927" t="s">
        <v>1983</v>
      </c>
      <c r="E6927" t="s">
        <v>1302</v>
      </c>
      <c r="F6927">
        <v>0</v>
      </c>
    </row>
    <row r="6928" spans="1:6">
      <c r="A6928" t="s">
        <v>27</v>
      </c>
      <c r="B6928" t="s">
        <v>100</v>
      </c>
      <c r="C6928" t="s">
        <v>1988</v>
      </c>
      <c r="D6928" t="s">
        <v>1983</v>
      </c>
      <c r="E6928" t="s">
        <v>1303</v>
      </c>
      <c r="F6928">
        <v>0</v>
      </c>
    </row>
    <row r="6929" spans="1:6">
      <c r="A6929" t="s">
        <v>27</v>
      </c>
      <c r="B6929" t="s">
        <v>100</v>
      </c>
      <c r="C6929" t="s">
        <v>1988</v>
      </c>
      <c r="D6929" t="s">
        <v>1983</v>
      </c>
      <c r="E6929" t="s">
        <v>1429</v>
      </c>
      <c r="F6929">
        <v>0</v>
      </c>
    </row>
    <row r="6930" spans="1:6">
      <c r="A6930" t="s">
        <v>27</v>
      </c>
      <c r="B6930" t="s">
        <v>100</v>
      </c>
      <c r="C6930" t="s">
        <v>1988</v>
      </c>
      <c r="D6930" t="s">
        <v>1983</v>
      </c>
      <c r="E6930" t="s">
        <v>1145</v>
      </c>
      <c r="F6930">
        <v>10.33</v>
      </c>
    </row>
    <row r="6931" spans="1:6">
      <c r="A6931" t="s">
        <v>27</v>
      </c>
      <c r="B6931" t="s">
        <v>100</v>
      </c>
      <c r="C6931" t="s">
        <v>1988</v>
      </c>
      <c r="D6931" t="s">
        <v>1983</v>
      </c>
      <c r="E6931" t="s">
        <v>1554</v>
      </c>
      <c r="F6931" t="s">
        <v>1123</v>
      </c>
    </row>
    <row r="6932" spans="1:6">
      <c r="A6932" t="s">
        <v>27</v>
      </c>
      <c r="B6932" t="s">
        <v>100</v>
      </c>
      <c r="C6932" t="s">
        <v>1988</v>
      </c>
      <c r="D6932" t="s">
        <v>1983</v>
      </c>
      <c r="E6932" t="s">
        <v>1392</v>
      </c>
      <c r="F6932">
        <v>0.9892512139157607</v>
      </c>
    </row>
    <row r="6933" spans="1:6">
      <c r="A6933" t="s">
        <v>27</v>
      </c>
      <c r="B6933" t="s">
        <v>100</v>
      </c>
      <c r="C6933" t="s">
        <v>1988</v>
      </c>
      <c r="D6933" t="s">
        <v>1983</v>
      </c>
      <c r="E6933" t="s">
        <v>1393</v>
      </c>
      <c r="F6933">
        <v>0</v>
      </c>
    </row>
    <row r="6934" spans="1:6">
      <c r="A6934" t="s">
        <v>27</v>
      </c>
      <c r="B6934" t="s">
        <v>100</v>
      </c>
      <c r="C6934" t="s">
        <v>1988</v>
      </c>
      <c r="D6934" t="s">
        <v>1983</v>
      </c>
      <c r="E6934" t="s">
        <v>1394</v>
      </c>
      <c r="F6934">
        <v>1</v>
      </c>
    </row>
    <row r="6935" spans="1:6">
      <c r="A6935" t="s">
        <v>27</v>
      </c>
      <c r="B6935" t="s">
        <v>100</v>
      </c>
      <c r="C6935" t="s">
        <v>1988</v>
      </c>
      <c r="D6935" t="s">
        <v>1983</v>
      </c>
      <c r="E6935" t="s">
        <v>1432</v>
      </c>
      <c r="F6935">
        <v>0.9999999999999997</v>
      </c>
    </row>
    <row r="6936" spans="1:6">
      <c r="A6936" t="s">
        <v>27</v>
      </c>
      <c r="B6936" t="s">
        <v>100</v>
      </c>
      <c r="C6936" t="s">
        <v>1988</v>
      </c>
      <c r="D6936" t="s">
        <v>1983</v>
      </c>
      <c r="E6936" t="s">
        <v>1434</v>
      </c>
      <c r="F6936">
        <v>0.973294289107854</v>
      </c>
    </row>
    <row r="6937" spans="1:6">
      <c r="A6937" t="s">
        <v>27</v>
      </c>
      <c r="B6937" t="s">
        <v>100</v>
      </c>
      <c r="C6937" t="s">
        <v>1988</v>
      </c>
      <c r="D6937" t="s">
        <v>1983</v>
      </c>
      <c r="E6937" t="s">
        <v>1147</v>
      </c>
      <c r="F6937" t="s">
        <v>1130</v>
      </c>
    </row>
    <row r="6938" spans="1:6">
      <c r="A6938" t="s">
        <v>27</v>
      </c>
      <c r="B6938" t="s">
        <v>100</v>
      </c>
      <c r="C6938" t="s">
        <v>1988</v>
      </c>
      <c r="D6938" t="s">
        <v>1983</v>
      </c>
      <c r="E6938" t="s">
        <v>1149</v>
      </c>
      <c r="F6938">
        <v>22084.0899999995</v>
      </c>
    </row>
    <row r="6939" spans="1:6">
      <c r="A6939" t="s">
        <v>27</v>
      </c>
      <c r="B6939" t="s">
        <v>100</v>
      </c>
      <c r="C6939" t="s">
        <v>1988</v>
      </c>
      <c r="D6939" t="s">
        <v>1983</v>
      </c>
      <c r="E6939" t="s">
        <v>1437</v>
      </c>
      <c r="F6939">
        <v>0</v>
      </c>
    </row>
    <row r="6940" spans="1:6">
      <c r="A6940" t="s">
        <v>27</v>
      </c>
      <c r="B6940" t="s">
        <v>100</v>
      </c>
      <c r="C6940" t="s">
        <v>1988</v>
      </c>
      <c r="D6940" t="s">
        <v>1983</v>
      </c>
      <c r="E6940" t="s">
        <v>1438</v>
      </c>
      <c r="F6940">
        <v>0</v>
      </c>
    </row>
    <row r="6941" spans="1:6">
      <c r="A6941" t="s">
        <v>27</v>
      </c>
      <c r="B6941" t="s">
        <v>100</v>
      </c>
      <c r="C6941" t="s">
        <v>1988</v>
      </c>
      <c r="D6941" t="s">
        <v>1983</v>
      </c>
      <c r="E6941" t="s">
        <v>1439</v>
      </c>
      <c r="F6941">
        <v>0</v>
      </c>
    </row>
    <row r="6942" spans="1:6">
      <c r="A6942" t="s">
        <v>27</v>
      </c>
      <c r="B6942" t="s">
        <v>100</v>
      </c>
      <c r="C6942" t="s">
        <v>1988</v>
      </c>
      <c r="D6942" t="s">
        <v>1983</v>
      </c>
      <c r="E6942" t="s">
        <v>1441</v>
      </c>
      <c r="F6942">
        <v>22084.0899999995</v>
      </c>
    </row>
    <row r="6943" spans="1:6">
      <c r="A6943" t="s">
        <v>27</v>
      </c>
      <c r="B6943" t="s">
        <v>100</v>
      </c>
      <c r="C6943" t="s">
        <v>1988</v>
      </c>
      <c r="D6943" t="s">
        <v>1983</v>
      </c>
      <c r="E6943" t="s">
        <v>1555</v>
      </c>
      <c r="F6943" t="s">
        <v>1131</v>
      </c>
    </row>
    <row r="6944" spans="1:6">
      <c r="A6944" t="s">
        <v>27</v>
      </c>
      <c r="B6944" t="s">
        <v>100</v>
      </c>
      <c r="C6944" t="s">
        <v>1988</v>
      </c>
      <c r="D6944" t="s">
        <v>1983</v>
      </c>
      <c r="E6944" t="s">
        <v>1151</v>
      </c>
      <c r="F6944">
        <v>0.01074878608423918</v>
      </c>
    </row>
    <row r="6945" spans="1:6">
      <c r="A6945" t="s">
        <v>27</v>
      </c>
      <c r="B6945" t="s">
        <v>100</v>
      </c>
      <c r="C6945" t="s">
        <v>1988</v>
      </c>
      <c r="D6945" t="s">
        <v>1983</v>
      </c>
      <c r="E6945" t="s">
        <v>1152</v>
      </c>
      <c r="F6945">
        <v>0</v>
      </c>
    </row>
    <row r="6946" spans="1:6">
      <c r="A6946" t="s">
        <v>27</v>
      </c>
      <c r="B6946" t="s">
        <v>100</v>
      </c>
      <c r="C6946" t="s">
        <v>1988</v>
      </c>
      <c r="D6946" t="s">
        <v>1983</v>
      </c>
      <c r="E6946" t="s">
        <v>1154</v>
      </c>
      <c r="F6946">
        <v>0</v>
      </c>
    </row>
    <row r="6947" spans="1:6">
      <c r="A6947" t="s">
        <v>27</v>
      </c>
      <c r="B6947" t="s">
        <v>100</v>
      </c>
      <c r="C6947" t="s">
        <v>1988</v>
      </c>
      <c r="D6947" t="s">
        <v>1983</v>
      </c>
      <c r="E6947" t="s">
        <v>1156</v>
      </c>
      <c r="F6947">
        <v>0</v>
      </c>
    </row>
    <row r="6948" spans="1:6">
      <c r="A6948" t="s">
        <v>27</v>
      </c>
      <c r="B6948" t="s">
        <v>100</v>
      </c>
      <c r="C6948" t="s">
        <v>1988</v>
      </c>
      <c r="D6948" t="s">
        <v>1983</v>
      </c>
      <c r="E6948" t="s">
        <v>1158</v>
      </c>
      <c r="F6948">
        <v>0.02670571089214596</v>
      </c>
    </row>
    <row r="6949" spans="1:6">
      <c r="A6949" t="s">
        <v>27</v>
      </c>
      <c r="B6949" t="s">
        <v>100</v>
      </c>
      <c r="C6949" t="s">
        <v>1988</v>
      </c>
      <c r="D6949" t="s">
        <v>1983</v>
      </c>
      <c r="E6949" t="s">
        <v>1175</v>
      </c>
      <c r="F6949" t="s">
        <v>1137</v>
      </c>
    </row>
    <row r="6950" spans="1:6">
      <c r="A6950" t="s">
        <v>27</v>
      </c>
      <c r="B6950" t="s">
        <v>100</v>
      </c>
      <c r="C6950" t="s">
        <v>1988</v>
      </c>
      <c r="D6950" t="s">
        <v>1983</v>
      </c>
      <c r="E6950" t="s">
        <v>1176</v>
      </c>
      <c r="F6950">
        <v>0</v>
      </c>
    </row>
    <row r="6951" spans="1:6">
      <c r="A6951" t="s">
        <v>27</v>
      </c>
      <c r="B6951" t="s">
        <v>100</v>
      </c>
      <c r="C6951" t="s">
        <v>1988</v>
      </c>
      <c r="D6951" t="s">
        <v>1983</v>
      </c>
      <c r="E6951" t="s">
        <v>1177</v>
      </c>
      <c r="F6951">
        <v>0</v>
      </c>
    </row>
    <row r="6952" spans="1:6">
      <c r="A6952" t="s">
        <v>27</v>
      </c>
      <c r="B6952" t="s">
        <v>100</v>
      </c>
      <c r="C6952" t="s">
        <v>1988</v>
      </c>
      <c r="D6952" t="s">
        <v>1983</v>
      </c>
      <c r="E6952" t="s">
        <v>1178</v>
      </c>
      <c r="F6952">
        <v>0</v>
      </c>
    </row>
    <row r="6953" spans="1:6">
      <c r="A6953" t="s">
        <v>27</v>
      </c>
      <c r="B6953" t="s">
        <v>100</v>
      </c>
      <c r="C6953" t="s">
        <v>1988</v>
      </c>
      <c r="D6953" t="s">
        <v>1983</v>
      </c>
      <c r="E6953" t="s">
        <v>1179</v>
      </c>
      <c r="F6953">
        <v>0</v>
      </c>
    </row>
    <row r="6954" spans="1:6">
      <c r="A6954" t="s">
        <v>27</v>
      </c>
      <c r="B6954" t="s">
        <v>100</v>
      </c>
      <c r="C6954" t="s">
        <v>1988</v>
      </c>
      <c r="D6954" t="s">
        <v>1983</v>
      </c>
      <c r="E6954" t="s">
        <v>1452</v>
      </c>
      <c r="F6954" t="s">
        <v>1138</v>
      </c>
    </row>
    <row r="6955" spans="1:6">
      <c r="A6955" t="s">
        <v>27</v>
      </c>
      <c r="B6955" t="s">
        <v>100</v>
      </c>
      <c r="C6955" t="s">
        <v>1988</v>
      </c>
      <c r="D6955" t="s">
        <v>1983</v>
      </c>
      <c r="E6955" t="s">
        <v>1454</v>
      </c>
      <c r="F6955">
        <v>0</v>
      </c>
    </row>
    <row r="6956" spans="1:6">
      <c r="A6956" t="s">
        <v>27</v>
      </c>
      <c r="B6956" t="s">
        <v>100</v>
      </c>
      <c r="C6956" t="s">
        <v>1988</v>
      </c>
      <c r="D6956" t="s">
        <v>1983</v>
      </c>
      <c r="E6956" t="s">
        <v>1455</v>
      </c>
      <c r="F6956">
        <v>0</v>
      </c>
    </row>
    <row r="6957" spans="1:6">
      <c r="A6957" t="s">
        <v>27</v>
      </c>
      <c r="B6957" t="s">
        <v>100</v>
      </c>
      <c r="C6957" t="s">
        <v>1988</v>
      </c>
      <c r="D6957" t="s">
        <v>1983</v>
      </c>
      <c r="E6957" t="s">
        <v>1456</v>
      </c>
      <c r="F6957">
        <v>0</v>
      </c>
    </row>
    <row r="6958" spans="1:6">
      <c r="A6958" t="s">
        <v>27</v>
      </c>
      <c r="B6958" t="s">
        <v>100</v>
      </c>
      <c r="C6958" t="s">
        <v>1988</v>
      </c>
      <c r="D6958" t="s">
        <v>1983</v>
      </c>
      <c r="E6958" t="s">
        <v>1458</v>
      </c>
      <c r="F6958">
        <v>-0.007426120564881636</v>
      </c>
    </row>
    <row r="6959" spans="1:6">
      <c r="A6959" t="s">
        <v>27</v>
      </c>
      <c r="B6959" t="s">
        <v>100</v>
      </c>
      <c r="C6959" t="s">
        <v>1988</v>
      </c>
      <c r="D6959" t="s">
        <v>1983</v>
      </c>
      <c r="E6959" t="s">
        <v>1191</v>
      </c>
      <c r="F6959" t="s">
        <v>1144</v>
      </c>
    </row>
    <row r="6960" spans="1:6">
      <c r="A6960" t="s">
        <v>27</v>
      </c>
      <c r="B6960" t="s">
        <v>100</v>
      </c>
      <c r="C6960" t="s">
        <v>1988</v>
      </c>
      <c r="D6960" t="s">
        <v>1983</v>
      </c>
      <c r="E6960" t="s">
        <v>1196</v>
      </c>
      <c r="F6960" t="s">
        <v>1146</v>
      </c>
    </row>
    <row r="6961" spans="1:6">
      <c r="A6961" t="s">
        <v>27</v>
      </c>
      <c r="B6961" t="s">
        <v>100</v>
      </c>
      <c r="C6961" t="s">
        <v>1988</v>
      </c>
      <c r="D6961" t="s">
        <v>1983</v>
      </c>
      <c r="E6961" t="s">
        <v>1201</v>
      </c>
      <c r="F6961" t="s">
        <v>1148</v>
      </c>
    </row>
    <row r="6962" spans="1:6">
      <c r="A6962" t="s">
        <v>27</v>
      </c>
      <c r="B6962" t="s">
        <v>100</v>
      </c>
      <c r="C6962" t="s">
        <v>1988</v>
      </c>
      <c r="D6962" t="s">
        <v>1983</v>
      </c>
      <c r="E6962" t="s">
        <v>1202</v>
      </c>
      <c r="F6962" t="s">
        <v>1150</v>
      </c>
    </row>
    <row r="6963" spans="1:6">
      <c r="A6963" t="s">
        <v>27</v>
      </c>
      <c r="B6963" t="s">
        <v>100</v>
      </c>
      <c r="C6963" t="s">
        <v>1988</v>
      </c>
      <c r="D6963" t="s">
        <v>1983</v>
      </c>
      <c r="E6963" t="s">
        <v>1210</v>
      </c>
      <c r="F6963" t="s">
        <v>1009</v>
      </c>
    </row>
    <row r="6964" spans="1:6">
      <c r="A6964" t="s">
        <v>27</v>
      </c>
      <c r="B6964" t="s">
        <v>100</v>
      </c>
      <c r="C6964" t="s">
        <v>1988</v>
      </c>
      <c r="D6964" t="s">
        <v>1983</v>
      </c>
      <c r="E6964" t="s">
        <v>1211</v>
      </c>
      <c r="F6964" t="s">
        <v>1989</v>
      </c>
    </row>
    <row r="6965" spans="1:6">
      <c r="A6965" t="s">
        <v>27</v>
      </c>
      <c r="B6965" t="s">
        <v>100</v>
      </c>
      <c r="C6965" t="s">
        <v>1988</v>
      </c>
      <c r="D6965" t="s">
        <v>1983</v>
      </c>
      <c r="E6965" t="s">
        <v>1212</v>
      </c>
      <c r="F6965" t="s">
        <v>1990</v>
      </c>
    </row>
    <row r="6966" spans="1:6">
      <c r="A6966" t="s">
        <v>27</v>
      </c>
      <c r="B6966" t="s">
        <v>100</v>
      </c>
      <c r="C6966" t="s">
        <v>1988</v>
      </c>
      <c r="D6966" t="s">
        <v>1983</v>
      </c>
      <c r="E6966" t="s">
        <v>1213</v>
      </c>
      <c r="F6966" t="s">
        <v>1991</v>
      </c>
    </row>
    <row r="6967" spans="1:6">
      <c r="A6967" t="s">
        <v>27</v>
      </c>
      <c r="B6967" t="s">
        <v>100</v>
      </c>
      <c r="C6967" t="s">
        <v>1988</v>
      </c>
      <c r="D6967" t="s">
        <v>1983</v>
      </c>
      <c r="E6967" t="s">
        <v>1214</v>
      </c>
      <c r="F6967" t="s">
        <v>1836</v>
      </c>
    </row>
    <row r="6968" spans="1:6">
      <c r="A6968" t="s">
        <v>27</v>
      </c>
      <c r="B6968" t="s">
        <v>100</v>
      </c>
      <c r="C6968" t="s">
        <v>1988</v>
      </c>
      <c r="D6968" t="s">
        <v>1983</v>
      </c>
      <c r="E6968" t="s">
        <v>1215</v>
      </c>
      <c r="F6968" t="s">
        <v>1837</v>
      </c>
    </row>
    <row r="6969" spans="1:6">
      <c r="A6969" t="s">
        <v>27</v>
      </c>
      <c r="B6969" t="s">
        <v>100</v>
      </c>
      <c r="C6969" t="s">
        <v>1988</v>
      </c>
      <c r="D6969" t="s">
        <v>1983</v>
      </c>
      <c r="E6969" t="s">
        <v>1216</v>
      </c>
      <c r="F6969" t="s">
        <v>1838</v>
      </c>
    </row>
    <row r="6970" spans="1:6">
      <c r="A6970" t="s">
        <v>27</v>
      </c>
      <c r="B6970" t="s">
        <v>100</v>
      </c>
      <c r="C6970" t="s">
        <v>1988</v>
      </c>
      <c r="D6970" t="s">
        <v>1983</v>
      </c>
      <c r="E6970" t="s">
        <v>1217</v>
      </c>
      <c r="F6970" t="s">
        <v>1867</v>
      </c>
    </row>
    <row r="6971" spans="1:6">
      <c r="A6971" t="s">
        <v>27</v>
      </c>
      <c r="B6971" t="s">
        <v>100</v>
      </c>
      <c r="C6971" t="s">
        <v>1988</v>
      </c>
      <c r="D6971" t="s">
        <v>1983</v>
      </c>
      <c r="E6971" t="s">
        <v>1218</v>
      </c>
      <c r="F6971">
        <v>396105.78</v>
      </c>
    </row>
    <row r="6972" spans="1:6">
      <c r="A6972" t="s">
        <v>27</v>
      </c>
      <c r="B6972" t="s">
        <v>100</v>
      </c>
      <c r="C6972" t="s">
        <v>1988</v>
      </c>
      <c r="D6972" t="s">
        <v>1983</v>
      </c>
      <c r="E6972" t="s">
        <v>1219</v>
      </c>
      <c r="F6972">
        <v>46303.51000000002</v>
      </c>
    </row>
    <row r="6973" spans="1:6">
      <c r="A6973" t="s">
        <v>27</v>
      </c>
      <c r="B6973" t="s">
        <v>100</v>
      </c>
      <c r="C6973" t="s">
        <v>1988</v>
      </c>
      <c r="D6973" t="s">
        <v>1983</v>
      </c>
      <c r="E6973" t="s">
        <v>1220</v>
      </c>
      <c r="F6973">
        <v>43074.34000000001</v>
      </c>
    </row>
    <row r="6974" spans="1:6">
      <c r="A6974" t="s">
        <v>27</v>
      </c>
      <c r="B6974" t="s">
        <v>100</v>
      </c>
      <c r="C6974" t="s">
        <v>1988</v>
      </c>
      <c r="D6974" t="s">
        <v>1983</v>
      </c>
      <c r="E6974" t="s">
        <v>1221</v>
      </c>
      <c r="F6974">
        <v>42542.55999999998</v>
      </c>
    </row>
    <row r="6975" spans="1:6">
      <c r="A6975" t="s">
        <v>27</v>
      </c>
      <c r="B6975" t="s">
        <v>100</v>
      </c>
      <c r="C6975" t="s">
        <v>1988</v>
      </c>
      <c r="D6975" t="s">
        <v>1983</v>
      </c>
      <c r="E6975" t="s">
        <v>1222</v>
      </c>
      <c r="F6975">
        <v>55560.72999999998</v>
      </c>
    </row>
    <row r="6976" spans="1:6">
      <c r="A6976" t="s">
        <v>27</v>
      </c>
      <c r="B6976" t="s">
        <v>100</v>
      </c>
      <c r="C6976" t="s">
        <v>1988</v>
      </c>
      <c r="D6976" t="s">
        <v>1983</v>
      </c>
      <c r="E6976" t="s">
        <v>1223</v>
      </c>
      <c r="F6976">
        <v>146993.7100000001</v>
      </c>
    </row>
    <row r="6977" spans="1:6">
      <c r="A6977" t="s">
        <v>27</v>
      </c>
      <c r="B6977" t="s">
        <v>100</v>
      </c>
      <c r="C6977" t="s">
        <v>1988</v>
      </c>
      <c r="D6977" t="s">
        <v>1983</v>
      </c>
      <c r="E6977" t="s">
        <v>1224</v>
      </c>
      <c r="F6977">
        <v>61630.93000000002</v>
      </c>
    </row>
    <row r="6978" spans="1:6">
      <c r="A6978" t="s">
        <v>27</v>
      </c>
      <c r="B6978" t="s">
        <v>100</v>
      </c>
      <c r="C6978" t="s">
        <v>1988</v>
      </c>
      <c r="D6978" t="s">
        <v>1983</v>
      </c>
      <c r="E6978" t="s">
        <v>1225</v>
      </c>
      <c r="F6978" t="s">
        <v>1174</v>
      </c>
    </row>
    <row r="6979" spans="1:6">
      <c r="A6979" t="s">
        <v>27</v>
      </c>
      <c r="B6979" t="s">
        <v>100</v>
      </c>
      <c r="C6979" t="s">
        <v>1988</v>
      </c>
      <c r="D6979" t="s">
        <v>1983</v>
      </c>
      <c r="E6979" t="s">
        <v>1480</v>
      </c>
      <c r="F6979">
        <v>786</v>
      </c>
    </row>
    <row r="6980" spans="1:6">
      <c r="A6980" t="s">
        <v>27</v>
      </c>
      <c r="B6980" t="s">
        <v>100</v>
      </c>
      <c r="C6980" t="s">
        <v>1988</v>
      </c>
      <c r="D6980" t="s">
        <v>1983</v>
      </c>
      <c r="E6980" t="s">
        <v>1227</v>
      </c>
      <c r="F6980">
        <v>123</v>
      </c>
    </row>
    <row r="6981" spans="1:6">
      <c r="A6981" t="s">
        <v>27</v>
      </c>
      <c r="B6981" t="s">
        <v>100</v>
      </c>
      <c r="C6981" t="s">
        <v>1988</v>
      </c>
      <c r="D6981" t="s">
        <v>1983</v>
      </c>
      <c r="E6981" t="s">
        <v>1228</v>
      </c>
      <c r="F6981">
        <v>91</v>
      </c>
    </row>
    <row r="6982" spans="1:6">
      <c r="A6982" t="s">
        <v>27</v>
      </c>
      <c r="B6982" t="s">
        <v>100</v>
      </c>
      <c r="C6982" t="s">
        <v>1988</v>
      </c>
      <c r="D6982" t="s">
        <v>1983</v>
      </c>
      <c r="E6982" t="s">
        <v>1230</v>
      </c>
      <c r="F6982">
        <v>115</v>
      </c>
    </row>
    <row r="6983" spans="1:6">
      <c r="A6983" t="s">
        <v>27</v>
      </c>
      <c r="B6983" t="s">
        <v>100</v>
      </c>
      <c r="C6983" t="s">
        <v>1988</v>
      </c>
      <c r="D6983" t="s">
        <v>1983</v>
      </c>
      <c r="E6983" t="s">
        <v>1231</v>
      </c>
      <c r="F6983">
        <v>180</v>
      </c>
    </row>
    <row r="6984" spans="1:6">
      <c r="A6984" t="s">
        <v>27</v>
      </c>
      <c r="B6984" t="s">
        <v>100</v>
      </c>
      <c r="C6984" t="s">
        <v>1988</v>
      </c>
      <c r="D6984" t="s">
        <v>1983</v>
      </c>
      <c r="E6984" t="s">
        <v>1233</v>
      </c>
      <c r="F6984">
        <v>129</v>
      </c>
    </row>
    <row r="6985" spans="1:6">
      <c r="A6985" t="s">
        <v>27</v>
      </c>
      <c r="B6985" t="s">
        <v>100</v>
      </c>
      <c r="C6985" t="s">
        <v>1988</v>
      </c>
      <c r="D6985" t="s">
        <v>1983</v>
      </c>
      <c r="E6985" t="s">
        <v>1234</v>
      </c>
      <c r="F6985">
        <v>148</v>
      </c>
    </row>
    <row r="6986" spans="1:6">
      <c r="A6986" t="s">
        <v>27</v>
      </c>
      <c r="B6986" t="s">
        <v>100</v>
      </c>
      <c r="C6986" t="s">
        <v>1988</v>
      </c>
      <c r="D6986" t="s">
        <v>1983</v>
      </c>
      <c r="E6986" t="s">
        <v>1245</v>
      </c>
      <c r="F6986" t="s">
        <v>1868</v>
      </c>
    </row>
    <row r="6987" spans="1:6">
      <c r="A6987" t="s">
        <v>27</v>
      </c>
      <c r="B6987" t="s">
        <v>100</v>
      </c>
      <c r="C6987" t="s">
        <v>1988</v>
      </c>
      <c r="D6987" t="s">
        <v>1983</v>
      </c>
      <c r="E6987" t="s">
        <v>1247</v>
      </c>
      <c r="F6987">
        <v>374021.69</v>
      </c>
    </row>
    <row r="6988" spans="1:6">
      <c r="A6988" t="s">
        <v>27</v>
      </c>
      <c r="B6988" t="s">
        <v>100</v>
      </c>
      <c r="C6988" t="s">
        <v>1988</v>
      </c>
      <c r="D6988" t="s">
        <v>1983</v>
      </c>
      <c r="E6988" t="s">
        <v>1248</v>
      </c>
      <c r="F6988">
        <v>30016.54</v>
      </c>
    </row>
    <row r="6989" spans="1:6">
      <c r="A6989" t="s">
        <v>27</v>
      </c>
      <c r="B6989" t="s">
        <v>100</v>
      </c>
      <c r="C6989" t="s">
        <v>1988</v>
      </c>
      <c r="D6989" t="s">
        <v>1983</v>
      </c>
      <c r="E6989" t="s">
        <v>1249</v>
      </c>
      <c r="F6989">
        <v>41328.15000000001</v>
      </c>
    </row>
    <row r="6990" spans="1:6">
      <c r="A6990" t="s">
        <v>27</v>
      </c>
      <c r="B6990" t="s">
        <v>100</v>
      </c>
      <c r="C6990" t="s">
        <v>1988</v>
      </c>
      <c r="D6990" t="s">
        <v>1983</v>
      </c>
      <c r="E6990" t="s">
        <v>1250</v>
      </c>
      <c r="F6990">
        <v>42542.56</v>
      </c>
    </row>
    <row r="6991" spans="1:6">
      <c r="A6991" t="s">
        <v>27</v>
      </c>
      <c r="B6991" t="s">
        <v>100</v>
      </c>
      <c r="C6991" t="s">
        <v>1988</v>
      </c>
      <c r="D6991" t="s">
        <v>1983</v>
      </c>
      <c r="E6991" t="s">
        <v>1251</v>
      </c>
      <c r="F6991">
        <v>55560.72999999998</v>
      </c>
    </row>
    <row r="6992" spans="1:6">
      <c r="A6992" t="s">
        <v>27</v>
      </c>
      <c r="B6992" t="s">
        <v>100</v>
      </c>
      <c r="C6992" t="s">
        <v>1988</v>
      </c>
      <c r="D6992" t="s">
        <v>1983</v>
      </c>
      <c r="E6992" t="s">
        <v>1252</v>
      </c>
      <c r="F6992">
        <v>146993.71</v>
      </c>
    </row>
    <row r="6993" spans="1:6">
      <c r="A6993" t="s">
        <v>27</v>
      </c>
      <c r="B6993" t="s">
        <v>100</v>
      </c>
      <c r="C6993" t="s">
        <v>1988</v>
      </c>
      <c r="D6993" t="s">
        <v>1983</v>
      </c>
      <c r="E6993" t="s">
        <v>1253</v>
      </c>
      <c r="F6993">
        <v>57580.00000000001</v>
      </c>
    </row>
    <row r="6994" spans="1:6">
      <c r="A6994" t="s">
        <v>27</v>
      </c>
      <c r="B6994" t="s">
        <v>100</v>
      </c>
      <c r="C6994" t="s">
        <v>1988</v>
      </c>
      <c r="D6994" t="s">
        <v>1983</v>
      </c>
      <c r="E6994" t="s">
        <v>1254</v>
      </c>
      <c r="F6994" t="s">
        <v>1192</v>
      </c>
    </row>
    <row r="6995" spans="1:6">
      <c r="A6995" t="s">
        <v>27</v>
      </c>
      <c r="B6995" t="s">
        <v>100</v>
      </c>
      <c r="C6995" t="s">
        <v>1988</v>
      </c>
      <c r="D6995" t="s">
        <v>1983</v>
      </c>
      <c r="E6995" t="s">
        <v>1257</v>
      </c>
      <c r="F6995">
        <v>25</v>
      </c>
    </row>
    <row r="6996" spans="1:6">
      <c r="A6996" t="s">
        <v>27</v>
      </c>
      <c r="B6996" t="s">
        <v>100</v>
      </c>
      <c r="C6996" t="s">
        <v>1988</v>
      </c>
      <c r="D6996" t="s">
        <v>1983</v>
      </c>
      <c r="E6996" t="s">
        <v>1258</v>
      </c>
      <c r="F6996">
        <v>74</v>
      </c>
    </row>
    <row r="6997" spans="1:6">
      <c r="A6997" t="s">
        <v>27</v>
      </c>
      <c r="B6997" t="s">
        <v>100</v>
      </c>
      <c r="C6997" t="s">
        <v>1988</v>
      </c>
      <c r="D6997" t="s">
        <v>1983</v>
      </c>
      <c r="E6997" t="s">
        <v>1259</v>
      </c>
      <c r="F6997">
        <v>115</v>
      </c>
    </row>
    <row r="6998" spans="1:6">
      <c r="A6998" t="s">
        <v>27</v>
      </c>
      <c r="B6998" t="s">
        <v>100</v>
      </c>
      <c r="C6998" t="s">
        <v>1988</v>
      </c>
      <c r="D6998" t="s">
        <v>1983</v>
      </c>
      <c r="E6998" t="s">
        <v>1260</v>
      </c>
      <c r="F6998">
        <v>180</v>
      </c>
    </row>
    <row r="6999" spans="1:6">
      <c r="A6999" t="s">
        <v>27</v>
      </c>
      <c r="B6999" t="s">
        <v>100</v>
      </c>
      <c r="C6999" t="s">
        <v>1988</v>
      </c>
      <c r="D6999" t="s">
        <v>1983</v>
      </c>
      <c r="E6999" t="s">
        <v>1261</v>
      </c>
      <c r="F6999">
        <v>129</v>
      </c>
    </row>
    <row r="7000" spans="1:6">
      <c r="A7000" t="s">
        <v>27</v>
      </c>
      <c r="B7000" t="s">
        <v>100</v>
      </c>
      <c r="C7000" t="s">
        <v>1988</v>
      </c>
      <c r="D7000" t="s">
        <v>1983</v>
      </c>
      <c r="E7000" t="s">
        <v>1262</v>
      </c>
      <c r="F7000">
        <v>147</v>
      </c>
    </row>
    <row r="7001" spans="1:6">
      <c r="A7001" t="s">
        <v>27</v>
      </c>
      <c r="B7001" t="s">
        <v>100</v>
      </c>
      <c r="C7001" t="s">
        <v>1988</v>
      </c>
      <c r="D7001" t="s">
        <v>1983</v>
      </c>
      <c r="E7001" t="s">
        <v>1263</v>
      </c>
      <c r="F7001" t="s">
        <v>1869</v>
      </c>
    </row>
    <row r="7002" spans="1:6">
      <c r="A7002" t="s">
        <v>27</v>
      </c>
      <c r="B7002" t="s">
        <v>100</v>
      </c>
      <c r="C7002" t="s">
        <v>1988</v>
      </c>
      <c r="D7002" t="s">
        <v>1983</v>
      </c>
      <c r="E7002" t="s">
        <v>1561</v>
      </c>
      <c r="F7002" t="s">
        <v>1107</v>
      </c>
    </row>
    <row r="7003" spans="1:6">
      <c r="A7003" t="s">
        <v>27</v>
      </c>
      <c r="B7003" t="s">
        <v>100</v>
      </c>
      <c r="C7003" t="s">
        <v>1988</v>
      </c>
      <c r="D7003" t="s">
        <v>1983</v>
      </c>
      <c r="E7003" t="s">
        <v>1562</v>
      </c>
      <c r="F7003">
        <v>315312.25</v>
      </c>
    </row>
    <row r="7004" spans="1:6">
      <c r="A7004" t="s">
        <v>27</v>
      </c>
      <c r="B7004" t="s">
        <v>100</v>
      </c>
      <c r="C7004" t="s">
        <v>1988</v>
      </c>
      <c r="D7004" t="s">
        <v>1983</v>
      </c>
      <c r="E7004" t="s">
        <v>1563</v>
      </c>
      <c r="F7004">
        <v>29683.47</v>
      </c>
    </row>
    <row r="7005" spans="1:6">
      <c r="A7005" t="s">
        <v>27</v>
      </c>
      <c r="B7005" t="s">
        <v>100</v>
      </c>
      <c r="C7005" t="s">
        <v>1988</v>
      </c>
      <c r="D7005" t="s">
        <v>1983</v>
      </c>
      <c r="E7005" t="s">
        <v>1564</v>
      </c>
      <c r="F7005">
        <v>38392.78000000001</v>
      </c>
    </row>
    <row r="7006" spans="1:6">
      <c r="A7006" t="s">
        <v>27</v>
      </c>
      <c r="B7006" t="s">
        <v>100</v>
      </c>
      <c r="C7006" t="s">
        <v>1988</v>
      </c>
      <c r="D7006" t="s">
        <v>1983</v>
      </c>
      <c r="E7006" t="s">
        <v>1565</v>
      </c>
      <c r="F7006">
        <v>35319.84</v>
      </c>
    </row>
    <row r="7007" spans="1:6">
      <c r="A7007" t="s">
        <v>27</v>
      </c>
      <c r="B7007" t="s">
        <v>100</v>
      </c>
      <c r="C7007" t="s">
        <v>1988</v>
      </c>
      <c r="D7007" t="s">
        <v>1983</v>
      </c>
      <c r="E7007" t="s">
        <v>1566</v>
      </c>
      <c r="F7007">
        <v>48189.56999999999</v>
      </c>
    </row>
    <row r="7008" spans="1:6">
      <c r="A7008" t="s">
        <v>27</v>
      </c>
      <c r="B7008" t="s">
        <v>100</v>
      </c>
      <c r="C7008" t="s">
        <v>1988</v>
      </c>
      <c r="D7008" t="s">
        <v>1983</v>
      </c>
      <c r="E7008" t="s">
        <v>1488</v>
      </c>
      <c r="F7008">
        <v>119196.88</v>
      </c>
    </row>
    <row r="7009" spans="1:6">
      <c r="A7009" t="s">
        <v>27</v>
      </c>
      <c r="B7009" t="s">
        <v>100</v>
      </c>
      <c r="C7009" t="s">
        <v>1988</v>
      </c>
      <c r="D7009" t="s">
        <v>1983</v>
      </c>
      <c r="E7009" t="s">
        <v>1567</v>
      </c>
      <c r="F7009">
        <v>44529.71000000001</v>
      </c>
    </row>
    <row r="7010" spans="1:6">
      <c r="A7010" t="s">
        <v>27</v>
      </c>
      <c r="B7010" t="s">
        <v>100</v>
      </c>
      <c r="C7010" t="s">
        <v>1988</v>
      </c>
      <c r="D7010" t="s">
        <v>1983</v>
      </c>
      <c r="E7010" t="s">
        <v>1870</v>
      </c>
      <c r="F7010" t="s">
        <v>1112</v>
      </c>
    </row>
    <row r="7011" spans="1:6">
      <c r="A7011" t="s">
        <v>27</v>
      </c>
      <c r="B7011" t="s">
        <v>100</v>
      </c>
      <c r="C7011" t="s">
        <v>1988</v>
      </c>
      <c r="D7011" t="s">
        <v>1983</v>
      </c>
      <c r="E7011" t="s">
        <v>1737</v>
      </c>
      <c r="F7011">
        <v>0</v>
      </c>
    </row>
    <row r="7012" spans="1:6">
      <c r="A7012" t="s">
        <v>27</v>
      </c>
      <c r="B7012" t="s">
        <v>100</v>
      </c>
      <c r="C7012" t="s">
        <v>1988</v>
      </c>
      <c r="D7012" t="s">
        <v>1983</v>
      </c>
      <c r="E7012" t="s">
        <v>1738</v>
      </c>
      <c r="F7012">
        <v>0</v>
      </c>
    </row>
    <row r="7013" spans="1:6">
      <c r="A7013" t="s">
        <v>27</v>
      </c>
      <c r="B7013" t="s">
        <v>100</v>
      </c>
      <c r="C7013" t="s">
        <v>1988</v>
      </c>
      <c r="D7013" t="s">
        <v>1983</v>
      </c>
      <c r="E7013" t="s">
        <v>1739</v>
      </c>
      <c r="F7013">
        <v>0</v>
      </c>
    </row>
    <row r="7014" spans="1:6">
      <c r="A7014" t="s">
        <v>27</v>
      </c>
      <c r="B7014" t="s">
        <v>100</v>
      </c>
      <c r="C7014" t="s">
        <v>1988</v>
      </c>
      <c r="D7014" t="s">
        <v>1983</v>
      </c>
      <c r="E7014" t="s">
        <v>1740</v>
      </c>
      <c r="F7014">
        <v>0</v>
      </c>
    </row>
    <row r="7015" spans="1:6">
      <c r="A7015" t="s">
        <v>27</v>
      </c>
      <c r="B7015" t="s">
        <v>100</v>
      </c>
      <c r="C7015" t="s">
        <v>1988</v>
      </c>
      <c r="D7015" t="s">
        <v>1983</v>
      </c>
      <c r="E7015" t="s">
        <v>1741</v>
      </c>
      <c r="F7015">
        <v>0</v>
      </c>
    </row>
    <row r="7016" spans="1:6">
      <c r="A7016" t="s">
        <v>27</v>
      </c>
      <c r="B7016" t="s">
        <v>100</v>
      </c>
      <c r="C7016" t="s">
        <v>1988</v>
      </c>
      <c r="D7016" t="s">
        <v>1983</v>
      </c>
      <c r="E7016" t="s">
        <v>1490</v>
      </c>
      <c r="F7016">
        <v>0</v>
      </c>
    </row>
    <row r="7017" spans="1:6">
      <c r="A7017" t="s">
        <v>27</v>
      </c>
      <c r="B7017" t="s">
        <v>100</v>
      </c>
      <c r="C7017" t="s">
        <v>1988</v>
      </c>
      <c r="D7017" t="s">
        <v>1983</v>
      </c>
      <c r="E7017" t="s">
        <v>1871</v>
      </c>
      <c r="F7017">
        <v>0</v>
      </c>
    </row>
    <row r="7018" spans="1:6">
      <c r="A7018" t="s">
        <v>27</v>
      </c>
      <c r="B7018" t="s">
        <v>100</v>
      </c>
      <c r="C7018" t="s">
        <v>1988</v>
      </c>
      <c r="D7018" t="s">
        <v>1983</v>
      </c>
      <c r="E7018" t="s">
        <v>1872</v>
      </c>
      <c r="F7018" t="s">
        <v>1117</v>
      </c>
    </row>
    <row r="7019" spans="1:6">
      <c r="A7019" t="s">
        <v>27</v>
      </c>
      <c r="B7019" t="s">
        <v>100</v>
      </c>
      <c r="C7019" t="s">
        <v>1988</v>
      </c>
      <c r="D7019" t="s">
        <v>1983</v>
      </c>
      <c r="E7019" t="s">
        <v>1742</v>
      </c>
      <c r="F7019">
        <v>58709.44</v>
      </c>
    </row>
    <row r="7020" spans="1:6">
      <c r="A7020" t="s">
        <v>27</v>
      </c>
      <c r="B7020" t="s">
        <v>100</v>
      </c>
      <c r="C7020" t="s">
        <v>1988</v>
      </c>
      <c r="D7020" t="s">
        <v>1983</v>
      </c>
      <c r="E7020" t="s">
        <v>1743</v>
      </c>
      <c r="F7020">
        <v>333.07</v>
      </c>
    </row>
    <row r="7021" spans="1:6">
      <c r="A7021" t="s">
        <v>27</v>
      </c>
      <c r="B7021" t="s">
        <v>100</v>
      </c>
      <c r="C7021" t="s">
        <v>1988</v>
      </c>
      <c r="D7021" t="s">
        <v>1983</v>
      </c>
      <c r="E7021" t="s">
        <v>1744</v>
      </c>
      <c r="F7021">
        <v>2935.37</v>
      </c>
    </row>
    <row r="7022" spans="1:6">
      <c r="A7022" t="s">
        <v>27</v>
      </c>
      <c r="B7022" t="s">
        <v>100</v>
      </c>
      <c r="C7022" t="s">
        <v>1988</v>
      </c>
      <c r="D7022" t="s">
        <v>1983</v>
      </c>
      <c r="E7022" t="s">
        <v>1873</v>
      </c>
      <c r="F7022">
        <v>7222.72</v>
      </c>
    </row>
    <row r="7023" spans="1:6">
      <c r="A7023" t="s">
        <v>27</v>
      </c>
      <c r="B7023" t="s">
        <v>100</v>
      </c>
      <c r="C7023" t="s">
        <v>1988</v>
      </c>
      <c r="D7023" t="s">
        <v>1983</v>
      </c>
      <c r="E7023" t="s">
        <v>1874</v>
      </c>
      <c r="F7023">
        <v>7371.159999999999</v>
      </c>
    </row>
    <row r="7024" spans="1:6">
      <c r="A7024" t="s">
        <v>27</v>
      </c>
      <c r="B7024" t="s">
        <v>100</v>
      </c>
      <c r="C7024" t="s">
        <v>1988</v>
      </c>
      <c r="D7024" t="s">
        <v>1983</v>
      </c>
      <c r="E7024" t="s">
        <v>1492</v>
      </c>
      <c r="F7024">
        <v>27796.83</v>
      </c>
    </row>
    <row r="7025" spans="1:6">
      <c r="A7025" t="s">
        <v>27</v>
      </c>
      <c r="B7025" t="s">
        <v>100</v>
      </c>
      <c r="C7025" t="s">
        <v>1988</v>
      </c>
      <c r="D7025" t="s">
        <v>1983</v>
      </c>
      <c r="E7025" t="s">
        <v>1875</v>
      </c>
      <c r="F7025">
        <v>13050.29</v>
      </c>
    </row>
    <row r="7026" spans="1:6">
      <c r="A7026" t="s">
        <v>27</v>
      </c>
      <c r="B7026" t="s">
        <v>100</v>
      </c>
      <c r="C7026" t="s">
        <v>1988</v>
      </c>
      <c r="D7026" t="s">
        <v>1983</v>
      </c>
      <c r="E7026" t="s">
        <v>1876</v>
      </c>
      <c r="F7026" t="s">
        <v>1859</v>
      </c>
    </row>
    <row r="7027" spans="1:6">
      <c r="A7027" t="s">
        <v>27</v>
      </c>
      <c r="B7027" t="s">
        <v>100</v>
      </c>
      <c r="C7027" t="s">
        <v>1988</v>
      </c>
      <c r="D7027" t="s">
        <v>1983</v>
      </c>
      <c r="E7027" t="s">
        <v>1877</v>
      </c>
      <c r="F7027">
        <v>21552.36</v>
      </c>
    </row>
    <row r="7028" spans="1:6">
      <c r="A7028" t="s">
        <v>27</v>
      </c>
      <c r="B7028" t="s">
        <v>100</v>
      </c>
      <c r="C7028" t="s">
        <v>1988</v>
      </c>
      <c r="D7028" t="s">
        <v>1983</v>
      </c>
      <c r="E7028" t="s">
        <v>1878</v>
      </c>
      <c r="F7028">
        <v>0</v>
      </c>
    </row>
    <row r="7029" spans="1:6">
      <c r="A7029" t="s">
        <v>27</v>
      </c>
      <c r="B7029" t="s">
        <v>100</v>
      </c>
      <c r="C7029" t="s">
        <v>1988</v>
      </c>
      <c r="D7029" t="s">
        <v>1983</v>
      </c>
      <c r="E7029" t="s">
        <v>1879</v>
      </c>
      <c r="F7029">
        <v>2379.68</v>
      </c>
    </row>
    <row r="7030" spans="1:6">
      <c r="A7030" t="s">
        <v>27</v>
      </c>
      <c r="B7030" t="s">
        <v>100</v>
      </c>
      <c r="C7030" t="s">
        <v>1988</v>
      </c>
      <c r="D7030" t="s">
        <v>1983</v>
      </c>
      <c r="E7030" t="s">
        <v>1880</v>
      </c>
      <c r="F7030">
        <v>3774.79</v>
      </c>
    </row>
    <row r="7031" spans="1:6">
      <c r="A7031" t="s">
        <v>27</v>
      </c>
      <c r="B7031" t="s">
        <v>100</v>
      </c>
      <c r="C7031" t="s">
        <v>1988</v>
      </c>
      <c r="D7031" t="s">
        <v>1983</v>
      </c>
      <c r="E7031" t="s">
        <v>1881</v>
      </c>
      <c r="F7031">
        <v>4496.239999999999</v>
      </c>
    </row>
    <row r="7032" spans="1:6">
      <c r="A7032" t="s">
        <v>27</v>
      </c>
      <c r="B7032" t="s">
        <v>100</v>
      </c>
      <c r="C7032" t="s">
        <v>1988</v>
      </c>
      <c r="D7032" t="s">
        <v>1983</v>
      </c>
      <c r="E7032" t="s">
        <v>1882</v>
      </c>
      <c r="F7032">
        <v>5540.009999999999</v>
      </c>
    </row>
    <row r="7033" spans="1:6">
      <c r="A7033" t="s">
        <v>27</v>
      </c>
      <c r="B7033" t="s">
        <v>100</v>
      </c>
      <c r="C7033" t="s">
        <v>1988</v>
      </c>
      <c r="D7033" t="s">
        <v>1983</v>
      </c>
      <c r="E7033" t="s">
        <v>1883</v>
      </c>
      <c r="F7033">
        <v>5361.640000000001</v>
      </c>
    </row>
    <row r="7034" spans="1:6">
      <c r="A7034" t="s">
        <v>27</v>
      </c>
      <c r="B7034" t="s">
        <v>100</v>
      </c>
      <c r="C7034" t="s">
        <v>1988</v>
      </c>
      <c r="D7034" t="s">
        <v>1983</v>
      </c>
      <c r="E7034" t="s">
        <v>1884</v>
      </c>
      <c r="F7034" t="s">
        <v>1860</v>
      </c>
    </row>
    <row r="7035" spans="1:6">
      <c r="A7035" t="s">
        <v>27</v>
      </c>
      <c r="B7035" t="s">
        <v>100</v>
      </c>
      <c r="C7035" t="s">
        <v>1988</v>
      </c>
      <c r="D7035" t="s">
        <v>1983</v>
      </c>
      <c r="E7035" t="s">
        <v>1885</v>
      </c>
      <c r="F7035">
        <v>19801.95</v>
      </c>
    </row>
    <row r="7036" spans="1:6">
      <c r="A7036" t="s">
        <v>27</v>
      </c>
      <c r="B7036" t="s">
        <v>100</v>
      </c>
      <c r="C7036" t="s">
        <v>1988</v>
      </c>
      <c r="D7036" t="s">
        <v>1983</v>
      </c>
      <c r="E7036" t="s">
        <v>1886</v>
      </c>
      <c r="F7036">
        <v>0</v>
      </c>
    </row>
    <row r="7037" spans="1:6">
      <c r="A7037" t="s">
        <v>27</v>
      </c>
      <c r="B7037" t="s">
        <v>100</v>
      </c>
      <c r="C7037" t="s">
        <v>1988</v>
      </c>
      <c r="D7037" t="s">
        <v>1983</v>
      </c>
      <c r="E7037" t="s">
        <v>1887</v>
      </c>
      <c r="F7037">
        <v>0</v>
      </c>
    </row>
    <row r="7038" spans="1:6">
      <c r="A7038" t="s">
        <v>27</v>
      </c>
      <c r="B7038" t="s">
        <v>100</v>
      </c>
      <c r="C7038" t="s">
        <v>1988</v>
      </c>
      <c r="D7038" t="s">
        <v>1983</v>
      </c>
      <c r="E7038" t="s">
        <v>1888</v>
      </c>
      <c r="F7038">
        <v>0</v>
      </c>
    </row>
    <row r="7039" spans="1:6">
      <c r="A7039" t="s">
        <v>27</v>
      </c>
      <c r="B7039" t="s">
        <v>100</v>
      </c>
      <c r="C7039" t="s">
        <v>1988</v>
      </c>
      <c r="D7039" t="s">
        <v>1983</v>
      </c>
      <c r="E7039" t="s">
        <v>1889</v>
      </c>
      <c r="F7039">
        <v>0</v>
      </c>
    </row>
    <row r="7040" spans="1:6">
      <c r="A7040" t="s">
        <v>27</v>
      </c>
      <c r="B7040" t="s">
        <v>100</v>
      </c>
      <c r="C7040" t="s">
        <v>1988</v>
      </c>
      <c r="D7040" t="s">
        <v>1983</v>
      </c>
      <c r="E7040" t="s">
        <v>1745</v>
      </c>
      <c r="F7040">
        <v>19801.95</v>
      </c>
    </row>
    <row r="7041" spans="1:6">
      <c r="A7041" t="s">
        <v>27</v>
      </c>
      <c r="B7041" t="s">
        <v>100</v>
      </c>
      <c r="C7041" t="s">
        <v>1988</v>
      </c>
      <c r="D7041" t="s">
        <v>1983</v>
      </c>
      <c r="E7041" t="s">
        <v>1890</v>
      </c>
      <c r="F7041">
        <v>0</v>
      </c>
    </row>
    <row r="7042" spans="1:6">
      <c r="A7042" t="s">
        <v>27</v>
      </c>
      <c r="B7042" t="s">
        <v>100</v>
      </c>
      <c r="C7042" t="s">
        <v>1988</v>
      </c>
      <c r="D7042" t="s">
        <v>1983</v>
      </c>
      <c r="E7042" t="s">
        <v>1891</v>
      </c>
      <c r="F7042" t="s">
        <v>1861</v>
      </c>
    </row>
    <row r="7043" spans="1:6">
      <c r="A7043" t="s">
        <v>27</v>
      </c>
      <c r="B7043" t="s">
        <v>100</v>
      </c>
      <c r="C7043" t="s">
        <v>1988</v>
      </c>
      <c r="D7043" t="s">
        <v>1983</v>
      </c>
      <c r="E7043" t="s">
        <v>1892</v>
      </c>
      <c r="F7043">
        <v>15867.12</v>
      </c>
    </row>
    <row r="7044" spans="1:6">
      <c r="A7044" t="s">
        <v>27</v>
      </c>
      <c r="B7044" t="s">
        <v>100</v>
      </c>
      <c r="C7044" t="s">
        <v>1988</v>
      </c>
      <c r="D7044" t="s">
        <v>1983</v>
      </c>
      <c r="E7044" t="s">
        <v>1893</v>
      </c>
      <c r="F7044">
        <v>244.07</v>
      </c>
    </row>
    <row r="7045" spans="1:6">
      <c r="A7045" t="s">
        <v>27</v>
      </c>
      <c r="B7045" t="s">
        <v>100</v>
      </c>
      <c r="C7045" t="s">
        <v>1988</v>
      </c>
      <c r="D7045" t="s">
        <v>1983</v>
      </c>
      <c r="E7045" t="s">
        <v>1894</v>
      </c>
      <c r="F7045">
        <v>197.01</v>
      </c>
    </row>
    <row r="7046" spans="1:6">
      <c r="A7046" t="s">
        <v>27</v>
      </c>
      <c r="B7046" t="s">
        <v>100</v>
      </c>
      <c r="C7046" t="s">
        <v>1988</v>
      </c>
      <c r="D7046" t="s">
        <v>1983</v>
      </c>
      <c r="E7046" t="s">
        <v>1895</v>
      </c>
      <c r="F7046">
        <v>3349.079999999999</v>
      </c>
    </row>
    <row r="7047" spans="1:6">
      <c r="A7047" t="s">
        <v>27</v>
      </c>
      <c r="B7047" t="s">
        <v>100</v>
      </c>
      <c r="C7047" t="s">
        <v>1988</v>
      </c>
      <c r="D7047" t="s">
        <v>1983</v>
      </c>
      <c r="E7047" t="s">
        <v>1896</v>
      </c>
      <c r="F7047">
        <v>2659.66</v>
      </c>
    </row>
    <row r="7048" spans="1:6">
      <c r="A7048" t="s">
        <v>27</v>
      </c>
      <c r="B7048" t="s">
        <v>100</v>
      </c>
      <c r="C7048" t="s">
        <v>1988</v>
      </c>
      <c r="D7048" t="s">
        <v>1983</v>
      </c>
      <c r="E7048" t="s">
        <v>1746</v>
      </c>
      <c r="F7048">
        <v>2454.87</v>
      </c>
    </row>
    <row r="7049" spans="1:6">
      <c r="A7049" t="s">
        <v>27</v>
      </c>
      <c r="B7049" t="s">
        <v>100</v>
      </c>
      <c r="C7049" t="s">
        <v>1988</v>
      </c>
      <c r="D7049" t="s">
        <v>1983</v>
      </c>
      <c r="E7049" t="s">
        <v>1897</v>
      </c>
      <c r="F7049">
        <v>6962.430000000001</v>
      </c>
    </row>
    <row r="7050" spans="1:6">
      <c r="A7050" t="s">
        <v>27</v>
      </c>
      <c r="B7050" t="s">
        <v>100</v>
      </c>
      <c r="C7050" t="s">
        <v>1988</v>
      </c>
      <c r="D7050" t="s">
        <v>1983</v>
      </c>
      <c r="E7050" t="s">
        <v>1898</v>
      </c>
      <c r="F7050" t="s">
        <v>1862</v>
      </c>
    </row>
    <row r="7051" spans="1:6">
      <c r="A7051" t="s">
        <v>27</v>
      </c>
      <c r="B7051" t="s">
        <v>100</v>
      </c>
      <c r="C7051" t="s">
        <v>1988</v>
      </c>
      <c r="D7051" t="s">
        <v>1983</v>
      </c>
      <c r="E7051" t="s">
        <v>1899</v>
      </c>
      <c r="F7051">
        <v>63.25</v>
      </c>
    </row>
    <row r="7052" spans="1:6">
      <c r="A7052" t="s">
        <v>27</v>
      </c>
      <c r="B7052" t="s">
        <v>100</v>
      </c>
      <c r="C7052" t="s">
        <v>1988</v>
      </c>
      <c r="D7052" t="s">
        <v>1983</v>
      </c>
      <c r="E7052" t="s">
        <v>1900</v>
      </c>
      <c r="F7052">
        <v>0</v>
      </c>
    </row>
    <row r="7053" spans="1:6">
      <c r="A7053" t="s">
        <v>27</v>
      </c>
      <c r="B7053" t="s">
        <v>100</v>
      </c>
      <c r="C7053" t="s">
        <v>1988</v>
      </c>
      <c r="D7053" t="s">
        <v>1983</v>
      </c>
      <c r="E7053" t="s">
        <v>1901</v>
      </c>
      <c r="F7053">
        <v>15.02</v>
      </c>
    </row>
    <row r="7054" spans="1:6">
      <c r="A7054" t="s">
        <v>27</v>
      </c>
      <c r="B7054" t="s">
        <v>100</v>
      </c>
      <c r="C7054" t="s">
        <v>1988</v>
      </c>
      <c r="D7054" t="s">
        <v>1983</v>
      </c>
      <c r="E7054" t="s">
        <v>1902</v>
      </c>
      <c r="F7054">
        <v>0</v>
      </c>
    </row>
    <row r="7055" spans="1:6">
      <c r="A7055" t="s">
        <v>27</v>
      </c>
      <c r="B7055" t="s">
        <v>100</v>
      </c>
      <c r="C7055" t="s">
        <v>1988</v>
      </c>
      <c r="D7055" t="s">
        <v>1983</v>
      </c>
      <c r="E7055" t="s">
        <v>1903</v>
      </c>
      <c r="F7055">
        <v>42.93</v>
      </c>
    </row>
    <row r="7056" spans="1:6">
      <c r="A7056" t="s">
        <v>27</v>
      </c>
      <c r="B7056" t="s">
        <v>100</v>
      </c>
      <c r="C7056" t="s">
        <v>1988</v>
      </c>
      <c r="D7056" t="s">
        <v>1983</v>
      </c>
      <c r="E7056" t="s">
        <v>1747</v>
      </c>
      <c r="F7056">
        <v>0</v>
      </c>
    </row>
    <row r="7057" spans="1:6">
      <c r="A7057" t="s">
        <v>27</v>
      </c>
      <c r="B7057" t="s">
        <v>100</v>
      </c>
      <c r="C7057" t="s">
        <v>1988</v>
      </c>
      <c r="D7057" t="s">
        <v>1983</v>
      </c>
      <c r="E7057" t="s">
        <v>1904</v>
      </c>
      <c r="F7057">
        <v>5.3</v>
      </c>
    </row>
    <row r="7058" spans="1:6">
      <c r="A7058" t="s">
        <v>27</v>
      </c>
      <c r="B7058" t="s">
        <v>100</v>
      </c>
      <c r="C7058" t="s">
        <v>1988</v>
      </c>
      <c r="D7058" t="s">
        <v>1983</v>
      </c>
      <c r="E7058" t="s">
        <v>1905</v>
      </c>
      <c r="F7058" t="s">
        <v>1863</v>
      </c>
    </row>
    <row r="7059" spans="1:6">
      <c r="A7059" t="s">
        <v>27</v>
      </c>
      <c r="B7059" t="s">
        <v>100</v>
      </c>
      <c r="C7059" t="s">
        <v>1988</v>
      </c>
      <c r="D7059" t="s">
        <v>1983</v>
      </c>
      <c r="E7059" t="s">
        <v>1906</v>
      </c>
      <c r="F7059">
        <v>695.62</v>
      </c>
    </row>
    <row r="7060" spans="1:6">
      <c r="A7060" t="s">
        <v>27</v>
      </c>
      <c r="B7060" t="s">
        <v>100</v>
      </c>
      <c r="C7060" t="s">
        <v>1988</v>
      </c>
      <c r="D7060" t="s">
        <v>1983</v>
      </c>
      <c r="E7060" t="s">
        <v>1907</v>
      </c>
      <c r="F7060">
        <v>0</v>
      </c>
    </row>
    <row r="7061" spans="1:6">
      <c r="A7061" t="s">
        <v>27</v>
      </c>
      <c r="B7061" t="s">
        <v>100</v>
      </c>
      <c r="C7061" t="s">
        <v>1988</v>
      </c>
      <c r="D7061" t="s">
        <v>1983</v>
      </c>
      <c r="E7061" t="s">
        <v>1908</v>
      </c>
      <c r="F7061">
        <v>0</v>
      </c>
    </row>
    <row r="7062" spans="1:6">
      <c r="A7062" t="s">
        <v>27</v>
      </c>
      <c r="B7062" t="s">
        <v>100</v>
      </c>
      <c r="C7062" t="s">
        <v>1988</v>
      </c>
      <c r="D7062" t="s">
        <v>1983</v>
      </c>
      <c r="E7062" t="s">
        <v>1909</v>
      </c>
      <c r="F7062">
        <v>0</v>
      </c>
    </row>
    <row r="7063" spans="1:6">
      <c r="A7063" t="s">
        <v>27</v>
      </c>
      <c r="B7063" t="s">
        <v>100</v>
      </c>
      <c r="C7063" t="s">
        <v>1988</v>
      </c>
      <c r="D7063" t="s">
        <v>1983</v>
      </c>
      <c r="E7063" t="s">
        <v>1910</v>
      </c>
      <c r="F7063">
        <v>0</v>
      </c>
    </row>
    <row r="7064" spans="1:6">
      <c r="A7064" t="s">
        <v>27</v>
      </c>
      <c r="B7064" t="s">
        <v>100</v>
      </c>
      <c r="C7064" t="s">
        <v>1988</v>
      </c>
      <c r="D7064" t="s">
        <v>1983</v>
      </c>
      <c r="E7064" t="s">
        <v>1911</v>
      </c>
      <c r="F7064">
        <v>0</v>
      </c>
    </row>
    <row r="7065" spans="1:6">
      <c r="A7065" t="s">
        <v>27</v>
      </c>
      <c r="B7065" t="s">
        <v>100</v>
      </c>
      <c r="C7065" t="s">
        <v>1988</v>
      </c>
      <c r="D7065" t="s">
        <v>1983</v>
      </c>
      <c r="E7065" t="s">
        <v>1912</v>
      </c>
      <c r="F7065">
        <v>695.62</v>
      </c>
    </row>
    <row r="7066" spans="1:6">
      <c r="A7066" t="s">
        <v>27</v>
      </c>
      <c r="B7066" t="s">
        <v>100</v>
      </c>
      <c r="C7066" t="s">
        <v>1988</v>
      </c>
      <c r="D7066" t="s">
        <v>1983</v>
      </c>
      <c r="E7066" t="s">
        <v>1913</v>
      </c>
      <c r="F7066" t="s">
        <v>1864</v>
      </c>
    </row>
    <row r="7067" spans="1:6">
      <c r="A7067" t="s">
        <v>27</v>
      </c>
      <c r="B7067" t="s">
        <v>100</v>
      </c>
      <c r="C7067" t="s">
        <v>1988</v>
      </c>
      <c r="D7067" t="s">
        <v>1983</v>
      </c>
      <c r="E7067" t="s">
        <v>1914</v>
      </c>
      <c r="F7067">
        <v>718.8100000000001</v>
      </c>
    </row>
    <row r="7068" spans="1:6">
      <c r="A7068" t="s">
        <v>27</v>
      </c>
      <c r="B7068" t="s">
        <v>100</v>
      </c>
      <c r="C7068" t="s">
        <v>1988</v>
      </c>
      <c r="D7068" t="s">
        <v>1983</v>
      </c>
      <c r="E7068" t="s">
        <v>1915</v>
      </c>
      <c r="F7068">
        <v>78.67</v>
      </c>
    </row>
    <row r="7069" spans="1:6">
      <c r="A7069" t="s">
        <v>27</v>
      </c>
      <c r="B7069" t="s">
        <v>100</v>
      </c>
      <c r="C7069" t="s">
        <v>1988</v>
      </c>
      <c r="D7069" t="s">
        <v>1983</v>
      </c>
      <c r="E7069" t="s">
        <v>1916</v>
      </c>
      <c r="F7069">
        <v>343.66</v>
      </c>
    </row>
    <row r="7070" spans="1:6">
      <c r="A7070" t="s">
        <v>27</v>
      </c>
      <c r="B7070" t="s">
        <v>100</v>
      </c>
      <c r="C7070" t="s">
        <v>1988</v>
      </c>
      <c r="D7070" t="s">
        <v>1983</v>
      </c>
      <c r="E7070" t="s">
        <v>1917</v>
      </c>
      <c r="F7070">
        <v>98.84999999999999</v>
      </c>
    </row>
    <row r="7071" spans="1:6">
      <c r="A7071" t="s">
        <v>27</v>
      </c>
      <c r="B7071" t="s">
        <v>100</v>
      </c>
      <c r="C7071" t="s">
        <v>1988</v>
      </c>
      <c r="D7071" t="s">
        <v>1983</v>
      </c>
      <c r="E7071" t="s">
        <v>1918</v>
      </c>
      <c r="F7071">
        <v>172.33</v>
      </c>
    </row>
    <row r="7072" spans="1:6">
      <c r="A7072" t="s">
        <v>27</v>
      </c>
      <c r="B7072" t="s">
        <v>100</v>
      </c>
      <c r="C7072" t="s">
        <v>1988</v>
      </c>
      <c r="D7072" t="s">
        <v>1983</v>
      </c>
      <c r="E7072" t="s">
        <v>1919</v>
      </c>
      <c r="F7072">
        <v>0</v>
      </c>
    </row>
    <row r="7073" spans="1:6">
      <c r="A7073" t="s">
        <v>27</v>
      </c>
      <c r="B7073" t="s">
        <v>100</v>
      </c>
      <c r="C7073" t="s">
        <v>1988</v>
      </c>
      <c r="D7073" t="s">
        <v>1983</v>
      </c>
      <c r="E7073" t="s">
        <v>1920</v>
      </c>
      <c r="F7073">
        <v>25.3</v>
      </c>
    </row>
    <row r="7074" spans="1:6">
      <c r="A7074" t="s">
        <v>27</v>
      </c>
      <c r="B7074" t="s">
        <v>100</v>
      </c>
      <c r="C7074" t="s">
        <v>1988</v>
      </c>
      <c r="D7074" t="s">
        <v>1983</v>
      </c>
      <c r="E7074" t="s">
        <v>1921</v>
      </c>
      <c r="F7074" t="s">
        <v>1865</v>
      </c>
    </row>
    <row r="7075" spans="1:6">
      <c r="A7075" t="s">
        <v>27</v>
      </c>
      <c r="B7075" t="s">
        <v>100</v>
      </c>
      <c r="C7075" t="s">
        <v>1988</v>
      </c>
      <c r="D7075" t="s">
        <v>1983</v>
      </c>
      <c r="E7075" t="s">
        <v>1922</v>
      </c>
      <c r="F7075">
        <v>0</v>
      </c>
    </row>
    <row r="7076" spans="1:6">
      <c r="A7076" t="s">
        <v>27</v>
      </c>
      <c r="B7076" t="s">
        <v>100</v>
      </c>
      <c r="C7076" t="s">
        <v>1988</v>
      </c>
      <c r="D7076" t="s">
        <v>1983</v>
      </c>
      <c r="E7076" t="s">
        <v>1923</v>
      </c>
      <c r="F7076">
        <v>0</v>
      </c>
    </row>
    <row r="7077" spans="1:6">
      <c r="A7077" t="s">
        <v>27</v>
      </c>
      <c r="B7077" t="s">
        <v>100</v>
      </c>
      <c r="C7077" t="s">
        <v>1988</v>
      </c>
      <c r="D7077" t="s">
        <v>1983</v>
      </c>
      <c r="E7077" t="s">
        <v>1924</v>
      </c>
      <c r="F7077">
        <v>0</v>
      </c>
    </row>
    <row r="7078" spans="1:6">
      <c r="A7078" t="s">
        <v>27</v>
      </c>
      <c r="B7078" t="s">
        <v>100</v>
      </c>
      <c r="C7078" t="s">
        <v>1988</v>
      </c>
      <c r="D7078" t="s">
        <v>1983</v>
      </c>
      <c r="E7078" t="s">
        <v>1925</v>
      </c>
      <c r="F7078">
        <v>0</v>
      </c>
    </row>
    <row r="7079" spans="1:6">
      <c r="A7079" t="s">
        <v>27</v>
      </c>
      <c r="B7079" t="s">
        <v>100</v>
      </c>
      <c r="C7079" t="s">
        <v>1988</v>
      </c>
      <c r="D7079" t="s">
        <v>1983</v>
      </c>
      <c r="E7079" t="s">
        <v>1926</v>
      </c>
      <c r="F7079">
        <v>0</v>
      </c>
    </row>
    <row r="7080" spans="1:6">
      <c r="A7080" t="s">
        <v>27</v>
      </c>
      <c r="B7080" t="s">
        <v>100</v>
      </c>
      <c r="C7080" t="s">
        <v>1988</v>
      </c>
      <c r="D7080" t="s">
        <v>1983</v>
      </c>
      <c r="E7080" t="s">
        <v>1927</v>
      </c>
      <c r="F7080">
        <v>0</v>
      </c>
    </row>
    <row r="7081" spans="1:6">
      <c r="A7081" t="s">
        <v>27</v>
      </c>
      <c r="B7081" t="s">
        <v>100</v>
      </c>
      <c r="C7081" t="s">
        <v>1988</v>
      </c>
      <c r="D7081" t="s">
        <v>1983</v>
      </c>
      <c r="E7081" t="s">
        <v>1928</v>
      </c>
      <c r="F7081">
        <v>0</v>
      </c>
    </row>
    <row r="7082" spans="1:6">
      <c r="A7082" t="s">
        <v>27</v>
      </c>
      <c r="B7082" t="s">
        <v>100</v>
      </c>
      <c r="C7082" t="s">
        <v>1988</v>
      </c>
      <c r="D7082" t="s">
        <v>1983</v>
      </c>
      <c r="E7082" t="s">
        <v>1929</v>
      </c>
      <c r="F7082" t="s">
        <v>1866</v>
      </c>
    </row>
    <row r="7083" spans="1:6">
      <c r="A7083" t="s">
        <v>27</v>
      </c>
      <c r="B7083" t="s">
        <v>100</v>
      </c>
      <c r="C7083" t="s">
        <v>1988</v>
      </c>
      <c r="D7083" t="s">
        <v>1983</v>
      </c>
      <c r="E7083" t="s">
        <v>1930</v>
      </c>
      <c r="F7083">
        <v>10.33</v>
      </c>
    </row>
    <row r="7084" spans="1:6">
      <c r="A7084" t="s">
        <v>27</v>
      </c>
      <c r="B7084" t="s">
        <v>100</v>
      </c>
      <c r="C7084" t="s">
        <v>1988</v>
      </c>
      <c r="D7084" t="s">
        <v>1983</v>
      </c>
      <c r="E7084" t="s">
        <v>1931</v>
      </c>
      <c r="F7084">
        <v>10.33</v>
      </c>
    </row>
    <row r="7085" spans="1:6">
      <c r="A7085" t="s">
        <v>27</v>
      </c>
      <c r="B7085" t="s">
        <v>100</v>
      </c>
      <c r="C7085" t="s">
        <v>1988</v>
      </c>
      <c r="D7085" t="s">
        <v>1983</v>
      </c>
      <c r="E7085" t="s">
        <v>1932</v>
      </c>
      <c r="F7085">
        <v>0</v>
      </c>
    </row>
    <row r="7086" spans="1:6">
      <c r="A7086" t="s">
        <v>27</v>
      </c>
      <c r="B7086" t="s">
        <v>100</v>
      </c>
      <c r="C7086" t="s">
        <v>1988</v>
      </c>
      <c r="D7086" t="s">
        <v>1983</v>
      </c>
      <c r="E7086" t="s">
        <v>1933</v>
      </c>
      <c r="F7086">
        <v>0</v>
      </c>
    </row>
    <row r="7087" spans="1:6">
      <c r="A7087" t="s">
        <v>27</v>
      </c>
      <c r="B7087" t="s">
        <v>100</v>
      </c>
      <c r="C7087" t="s">
        <v>1988</v>
      </c>
      <c r="D7087" t="s">
        <v>1983</v>
      </c>
      <c r="E7087" t="s">
        <v>1934</v>
      </c>
      <c r="F7087">
        <v>0</v>
      </c>
    </row>
    <row r="7088" spans="1:6">
      <c r="A7088" t="s">
        <v>27</v>
      </c>
      <c r="B7088" t="s">
        <v>100</v>
      </c>
      <c r="C7088" t="s">
        <v>1988</v>
      </c>
      <c r="D7088" t="s">
        <v>1983</v>
      </c>
      <c r="E7088" t="s">
        <v>1935</v>
      </c>
      <c r="F7088">
        <v>0</v>
      </c>
    </row>
    <row r="7089" spans="1:6">
      <c r="A7089" t="s">
        <v>27</v>
      </c>
      <c r="B7089" t="s">
        <v>100</v>
      </c>
      <c r="C7089" t="s">
        <v>1988</v>
      </c>
      <c r="D7089" t="s">
        <v>1983</v>
      </c>
      <c r="E7089" t="s">
        <v>1936</v>
      </c>
      <c r="F7089">
        <v>0</v>
      </c>
    </row>
    <row r="7090" spans="1:6">
      <c r="A7090" t="s">
        <v>27</v>
      </c>
      <c r="B7090" t="s">
        <v>100</v>
      </c>
      <c r="C7090" t="s">
        <v>1988</v>
      </c>
      <c r="D7090" t="s">
        <v>1983</v>
      </c>
      <c r="E7090" t="s">
        <v>1937</v>
      </c>
      <c r="F7090" t="s">
        <v>1226</v>
      </c>
    </row>
    <row r="7091" spans="1:6">
      <c r="A7091" t="s">
        <v>27</v>
      </c>
      <c r="B7091" t="s">
        <v>100</v>
      </c>
      <c r="C7091" t="s">
        <v>1988</v>
      </c>
      <c r="D7091" t="s">
        <v>1983</v>
      </c>
      <c r="E7091" t="s">
        <v>1938</v>
      </c>
      <c r="F7091">
        <v>0.6482562553033234</v>
      </c>
    </row>
    <row r="7092" spans="1:6">
      <c r="A7092" t="s">
        <v>27</v>
      </c>
      <c r="B7092" t="s">
        <v>100</v>
      </c>
      <c r="C7092" t="s">
        <v>1988</v>
      </c>
      <c r="D7092" t="s">
        <v>1983</v>
      </c>
      <c r="E7092" t="s">
        <v>1939</v>
      </c>
      <c r="F7092">
        <v>0.9594610155373245</v>
      </c>
    </row>
    <row r="7093" spans="1:6">
      <c r="A7093" t="s">
        <v>27</v>
      </c>
      <c r="B7093" t="s">
        <v>100</v>
      </c>
      <c r="C7093" t="s">
        <v>1988</v>
      </c>
      <c r="D7093" t="s">
        <v>1983</v>
      </c>
      <c r="E7093" t="s">
        <v>1940</v>
      </c>
      <c r="F7093">
        <v>1.000000000000001</v>
      </c>
    </row>
    <row r="7094" spans="1:6">
      <c r="A7094" t="s">
        <v>27</v>
      </c>
      <c r="B7094" t="s">
        <v>100</v>
      </c>
      <c r="C7094" t="s">
        <v>1988</v>
      </c>
      <c r="D7094" t="s">
        <v>1983</v>
      </c>
      <c r="E7094" t="s">
        <v>1941</v>
      </c>
      <c r="F7094">
        <v>1</v>
      </c>
    </row>
    <row r="7095" spans="1:6">
      <c r="A7095" t="s">
        <v>27</v>
      </c>
      <c r="B7095" t="s">
        <v>100</v>
      </c>
      <c r="C7095" t="s">
        <v>1988</v>
      </c>
      <c r="D7095" t="s">
        <v>1983</v>
      </c>
      <c r="E7095" t="s">
        <v>1942</v>
      </c>
      <c r="F7095">
        <v>0.9999999999999998</v>
      </c>
    </row>
    <row r="7096" spans="1:6">
      <c r="A7096" t="s">
        <v>27</v>
      </c>
      <c r="B7096" t="s">
        <v>100</v>
      </c>
      <c r="C7096" t="s">
        <v>1988</v>
      </c>
      <c r="D7096" t="s">
        <v>1983</v>
      </c>
      <c r="E7096" t="s">
        <v>1943</v>
      </c>
      <c r="F7096">
        <v>0.9342711524878822</v>
      </c>
    </row>
    <row r="7097" spans="1:6">
      <c r="A7097" t="s">
        <v>27</v>
      </c>
      <c r="B7097" t="s">
        <v>100</v>
      </c>
      <c r="C7097" t="s">
        <v>1988</v>
      </c>
      <c r="D7097" t="s">
        <v>1983</v>
      </c>
      <c r="E7097" t="s">
        <v>1944</v>
      </c>
      <c r="F7097" t="s">
        <v>1236</v>
      </c>
    </row>
    <row r="7098" spans="1:6">
      <c r="A7098" t="s">
        <v>27</v>
      </c>
      <c r="B7098" t="s">
        <v>100</v>
      </c>
      <c r="C7098" t="s">
        <v>1988</v>
      </c>
      <c r="D7098" t="s">
        <v>1983</v>
      </c>
      <c r="E7098" t="s">
        <v>1945</v>
      </c>
      <c r="F7098">
        <v>0.2032520325203252</v>
      </c>
    </row>
    <row r="7099" spans="1:6">
      <c r="A7099" t="s">
        <v>27</v>
      </c>
      <c r="B7099" t="s">
        <v>100</v>
      </c>
      <c r="C7099" t="s">
        <v>1988</v>
      </c>
      <c r="D7099" t="s">
        <v>1983</v>
      </c>
      <c r="E7099" t="s">
        <v>1946</v>
      </c>
      <c r="F7099">
        <v>0.8131868131868132</v>
      </c>
    </row>
    <row r="7100" spans="1:6">
      <c r="A7100" t="s">
        <v>27</v>
      </c>
      <c r="B7100" t="s">
        <v>100</v>
      </c>
      <c r="C7100" t="s">
        <v>1988</v>
      </c>
      <c r="D7100" t="s">
        <v>1983</v>
      </c>
      <c r="E7100" t="s">
        <v>1947</v>
      </c>
      <c r="F7100">
        <v>1</v>
      </c>
    </row>
    <row r="7101" spans="1:6">
      <c r="A7101" t="s">
        <v>27</v>
      </c>
      <c r="B7101" t="s">
        <v>100</v>
      </c>
      <c r="C7101" t="s">
        <v>1988</v>
      </c>
      <c r="D7101" t="s">
        <v>1983</v>
      </c>
      <c r="E7101" t="s">
        <v>1948</v>
      </c>
      <c r="F7101">
        <v>1</v>
      </c>
    </row>
    <row r="7102" spans="1:6">
      <c r="A7102" t="s">
        <v>27</v>
      </c>
      <c r="B7102" t="s">
        <v>100</v>
      </c>
      <c r="C7102" t="s">
        <v>1988</v>
      </c>
      <c r="D7102" t="s">
        <v>1983</v>
      </c>
      <c r="E7102" t="s">
        <v>1949</v>
      </c>
      <c r="F7102">
        <v>1</v>
      </c>
    </row>
    <row r="7103" spans="1:6">
      <c r="A7103" t="s">
        <v>27</v>
      </c>
      <c r="B7103" t="s">
        <v>100</v>
      </c>
      <c r="C7103" t="s">
        <v>1988</v>
      </c>
      <c r="D7103" t="s">
        <v>1983</v>
      </c>
      <c r="E7103" t="s">
        <v>1950</v>
      </c>
      <c r="F7103">
        <v>0.9932432432432432</v>
      </c>
    </row>
    <row r="7104" spans="1:6">
      <c r="A7104" t="s">
        <v>27</v>
      </c>
      <c r="B7104" t="s">
        <v>100</v>
      </c>
      <c r="C7104" t="s">
        <v>1988</v>
      </c>
      <c r="D7104" t="s">
        <v>1983</v>
      </c>
      <c r="E7104" t="s">
        <v>1951</v>
      </c>
      <c r="F7104" t="s">
        <v>1952</v>
      </c>
    </row>
    <row r="7105" spans="1:6">
      <c r="A7105" t="s">
        <v>27</v>
      </c>
      <c r="B7105" t="s">
        <v>100</v>
      </c>
      <c r="C7105" t="s">
        <v>1988</v>
      </c>
      <c r="D7105" t="s">
        <v>1983</v>
      </c>
      <c r="E7105" t="s">
        <v>1953</v>
      </c>
      <c r="F7105">
        <v>22084.09000000003</v>
      </c>
    </row>
    <row r="7106" spans="1:6">
      <c r="A7106" t="s">
        <v>27</v>
      </c>
      <c r="B7106" t="s">
        <v>100</v>
      </c>
      <c r="C7106" t="s">
        <v>1988</v>
      </c>
      <c r="D7106" t="s">
        <v>1983</v>
      </c>
      <c r="E7106" t="s">
        <v>1954</v>
      </c>
      <c r="F7106">
        <v>16286.97000000002</v>
      </c>
    </row>
    <row r="7107" spans="1:6">
      <c r="A7107" t="s">
        <v>27</v>
      </c>
      <c r="B7107" t="s">
        <v>100</v>
      </c>
      <c r="C7107" t="s">
        <v>1988</v>
      </c>
      <c r="D7107" t="s">
        <v>1983</v>
      </c>
      <c r="E7107" t="s">
        <v>1955</v>
      </c>
      <c r="F7107">
        <v>1746.190000000002</v>
      </c>
    </row>
    <row r="7108" spans="1:6">
      <c r="A7108" t="s">
        <v>27</v>
      </c>
      <c r="B7108" t="s">
        <v>100</v>
      </c>
      <c r="C7108" t="s">
        <v>1988</v>
      </c>
      <c r="D7108" t="s">
        <v>1983</v>
      </c>
      <c r="E7108" t="s">
        <v>1956</v>
      </c>
      <c r="F7108">
        <v>0</v>
      </c>
    </row>
    <row r="7109" spans="1:6">
      <c r="A7109" t="s">
        <v>27</v>
      </c>
      <c r="B7109" t="s">
        <v>100</v>
      </c>
      <c r="C7109" t="s">
        <v>1988</v>
      </c>
      <c r="D7109" t="s">
        <v>1983</v>
      </c>
      <c r="E7109" t="s">
        <v>1957</v>
      </c>
      <c r="F7109">
        <v>0</v>
      </c>
    </row>
    <row r="7110" spans="1:6">
      <c r="A7110" t="s">
        <v>27</v>
      </c>
      <c r="B7110" t="s">
        <v>100</v>
      </c>
      <c r="C7110" t="s">
        <v>1988</v>
      </c>
      <c r="D7110" t="s">
        <v>1983</v>
      </c>
      <c r="E7110" t="s">
        <v>1958</v>
      </c>
      <c r="F7110">
        <v>0</v>
      </c>
    </row>
    <row r="7111" spans="1:6">
      <c r="A7111" t="s">
        <v>27</v>
      </c>
      <c r="B7111" t="s">
        <v>100</v>
      </c>
      <c r="C7111" t="s">
        <v>1988</v>
      </c>
      <c r="D7111" t="s">
        <v>1983</v>
      </c>
      <c r="E7111" t="s">
        <v>1959</v>
      </c>
      <c r="F7111">
        <v>4050.930000000008</v>
      </c>
    </row>
    <row r="7112" spans="1:6">
      <c r="A7112" t="s">
        <v>27</v>
      </c>
      <c r="B7112" t="s">
        <v>100</v>
      </c>
      <c r="C7112" t="s">
        <v>1988</v>
      </c>
      <c r="D7112" t="s">
        <v>1983</v>
      </c>
      <c r="E7112" t="s">
        <v>1960</v>
      </c>
      <c r="F7112" t="s">
        <v>1255</v>
      </c>
    </row>
    <row r="7113" spans="1:6">
      <c r="A7113" t="s">
        <v>27</v>
      </c>
      <c r="B7113" t="s">
        <v>100</v>
      </c>
      <c r="C7113" t="s">
        <v>1988</v>
      </c>
      <c r="D7113" t="s">
        <v>1983</v>
      </c>
      <c r="E7113" t="s">
        <v>1961</v>
      </c>
      <c r="F7113">
        <v>116</v>
      </c>
    </row>
    <row r="7114" spans="1:6">
      <c r="A7114" t="s">
        <v>27</v>
      </c>
      <c r="B7114" t="s">
        <v>100</v>
      </c>
      <c r="C7114" t="s">
        <v>1988</v>
      </c>
      <c r="D7114" t="s">
        <v>1983</v>
      </c>
      <c r="E7114" t="s">
        <v>1962</v>
      </c>
      <c r="F7114">
        <v>98</v>
      </c>
    </row>
    <row r="7115" spans="1:6">
      <c r="A7115" t="s">
        <v>27</v>
      </c>
      <c r="B7115" t="s">
        <v>100</v>
      </c>
      <c r="C7115" t="s">
        <v>1988</v>
      </c>
      <c r="D7115" t="s">
        <v>1983</v>
      </c>
      <c r="E7115" t="s">
        <v>1963</v>
      </c>
      <c r="F7115">
        <v>17</v>
      </c>
    </row>
    <row r="7116" spans="1:6">
      <c r="A7116" t="s">
        <v>27</v>
      </c>
      <c r="B7116" t="s">
        <v>100</v>
      </c>
      <c r="C7116" t="s">
        <v>1988</v>
      </c>
      <c r="D7116" t="s">
        <v>1983</v>
      </c>
      <c r="E7116" t="s">
        <v>1964</v>
      </c>
      <c r="F7116">
        <v>0</v>
      </c>
    </row>
    <row r="7117" spans="1:6">
      <c r="A7117" t="s">
        <v>27</v>
      </c>
      <c r="B7117" t="s">
        <v>100</v>
      </c>
      <c r="C7117" t="s">
        <v>1988</v>
      </c>
      <c r="D7117" t="s">
        <v>1983</v>
      </c>
      <c r="E7117" t="s">
        <v>1965</v>
      </c>
      <c r="F7117">
        <v>0</v>
      </c>
    </row>
    <row r="7118" spans="1:6">
      <c r="A7118" t="s">
        <v>27</v>
      </c>
      <c r="B7118" t="s">
        <v>100</v>
      </c>
      <c r="C7118" t="s">
        <v>1988</v>
      </c>
      <c r="D7118" t="s">
        <v>1983</v>
      </c>
      <c r="E7118" t="s">
        <v>1966</v>
      </c>
      <c r="F7118">
        <v>0</v>
      </c>
    </row>
    <row r="7119" spans="1:6">
      <c r="A7119" t="s">
        <v>27</v>
      </c>
      <c r="B7119" t="s">
        <v>100</v>
      </c>
      <c r="C7119" t="s">
        <v>1988</v>
      </c>
      <c r="D7119" t="s">
        <v>1983</v>
      </c>
      <c r="E7119" t="s">
        <v>1967</v>
      </c>
      <c r="F7119">
        <v>1</v>
      </c>
    </row>
    <row r="7120" spans="1:6">
      <c r="A7120" t="s">
        <v>27</v>
      </c>
      <c r="B7120" t="s">
        <v>100</v>
      </c>
      <c r="C7120" t="s">
        <v>1988</v>
      </c>
      <c r="D7120" t="s">
        <v>1983</v>
      </c>
      <c r="E7120" t="s">
        <v>1968</v>
      </c>
      <c r="F7120" t="s">
        <v>1131</v>
      </c>
    </row>
    <row r="7121" spans="1:6">
      <c r="A7121" t="s">
        <v>27</v>
      </c>
      <c r="B7121" t="s">
        <v>100</v>
      </c>
      <c r="C7121" t="s">
        <v>1988</v>
      </c>
      <c r="D7121" t="s">
        <v>1983</v>
      </c>
      <c r="E7121" t="s">
        <v>1969</v>
      </c>
      <c r="F7121">
        <v>0.05575301122846535</v>
      </c>
    </row>
    <row r="7122" spans="1:6">
      <c r="A7122" t="s">
        <v>27</v>
      </c>
      <c r="B7122" t="s">
        <v>100</v>
      </c>
      <c r="C7122" t="s">
        <v>1988</v>
      </c>
      <c r="D7122" t="s">
        <v>1983</v>
      </c>
      <c r="E7122" t="s">
        <v>1970</v>
      </c>
      <c r="F7122">
        <v>0.3517437446966766</v>
      </c>
    </row>
    <row r="7123" spans="1:6">
      <c r="A7123" t="s">
        <v>27</v>
      </c>
      <c r="B7123" t="s">
        <v>100</v>
      </c>
      <c r="C7123" t="s">
        <v>1988</v>
      </c>
      <c r="D7123" t="s">
        <v>1983</v>
      </c>
      <c r="E7123" t="s">
        <v>1971</v>
      </c>
      <c r="F7123">
        <v>0.0405389844626755</v>
      </c>
    </row>
    <row r="7124" spans="1:6">
      <c r="A7124" t="s">
        <v>27</v>
      </c>
      <c r="B7124" t="s">
        <v>100</v>
      </c>
      <c r="C7124" t="s">
        <v>1988</v>
      </c>
      <c r="D7124" t="s">
        <v>1983</v>
      </c>
      <c r="E7124" t="s">
        <v>1972</v>
      </c>
      <c r="F7124">
        <v>0</v>
      </c>
    </row>
    <row r="7125" spans="1:6">
      <c r="A7125" t="s">
        <v>27</v>
      </c>
      <c r="B7125" t="s">
        <v>100</v>
      </c>
      <c r="C7125" t="s">
        <v>1988</v>
      </c>
      <c r="D7125" t="s">
        <v>1983</v>
      </c>
      <c r="E7125" t="s">
        <v>1973</v>
      </c>
      <c r="F7125">
        <v>0</v>
      </c>
    </row>
    <row r="7126" spans="1:6">
      <c r="A7126" t="s">
        <v>27</v>
      </c>
      <c r="B7126" t="s">
        <v>100</v>
      </c>
      <c r="C7126" t="s">
        <v>1988</v>
      </c>
      <c r="D7126" t="s">
        <v>1983</v>
      </c>
      <c r="E7126" t="s">
        <v>1974</v>
      </c>
      <c r="F7126">
        <v>0</v>
      </c>
    </row>
    <row r="7127" spans="1:6">
      <c r="A7127" t="s">
        <v>27</v>
      </c>
      <c r="B7127" t="s">
        <v>100</v>
      </c>
      <c r="C7127" t="s">
        <v>1988</v>
      </c>
      <c r="D7127" t="s">
        <v>1983</v>
      </c>
      <c r="E7127" t="s">
        <v>1975</v>
      </c>
      <c r="F7127">
        <v>0.0657288475121178</v>
      </c>
    </row>
    <row r="7128" spans="1:6">
      <c r="A7128" t="s">
        <v>27</v>
      </c>
      <c r="B7128" t="s">
        <v>100</v>
      </c>
      <c r="C7128" t="s">
        <v>1988</v>
      </c>
      <c r="D7128" t="s">
        <v>1984</v>
      </c>
      <c r="E7128" t="s">
        <v>1274</v>
      </c>
      <c r="F7128" t="s">
        <v>100</v>
      </c>
    </row>
    <row r="7129" spans="1:6">
      <c r="A7129" t="s">
        <v>27</v>
      </c>
      <c r="B7129" t="s">
        <v>100</v>
      </c>
      <c r="C7129" t="s">
        <v>1988</v>
      </c>
      <c r="D7129" t="s">
        <v>1984</v>
      </c>
      <c r="E7129" t="s">
        <v>1275</v>
      </c>
      <c r="F7129" t="s">
        <v>1989</v>
      </c>
    </row>
    <row r="7130" spans="1:6">
      <c r="A7130" t="s">
        <v>27</v>
      </c>
      <c r="B7130" t="s">
        <v>100</v>
      </c>
      <c r="C7130" t="s">
        <v>1988</v>
      </c>
      <c r="D7130" t="s">
        <v>1984</v>
      </c>
      <c r="E7130" t="s">
        <v>1977</v>
      </c>
      <c r="F7130" t="s">
        <v>1978</v>
      </c>
    </row>
    <row r="7131" spans="1:6">
      <c r="A7131" t="s">
        <v>27</v>
      </c>
      <c r="B7131" t="s">
        <v>100</v>
      </c>
      <c r="C7131" t="s">
        <v>1988</v>
      </c>
      <c r="D7131" t="s">
        <v>1984</v>
      </c>
      <c r="E7131" t="s">
        <v>1979</v>
      </c>
      <c r="F7131" t="s">
        <v>1980</v>
      </c>
    </row>
    <row r="7132" spans="1:6">
      <c r="A7132" t="s">
        <v>27</v>
      </c>
      <c r="B7132" t="s">
        <v>100</v>
      </c>
      <c r="C7132" t="s">
        <v>1988</v>
      </c>
      <c r="D7132" t="s">
        <v>1984</v>
      </c>
      <c r="E7132" t="s">
        <v>1276</v>
      </c>
      <c r="F7132" t="s">
        <v>1277</v>
      </c>
    </row>
    <row r="7133" spans="1:6">
      <c r="A7133" t="s">
        <v>27</v>
      </c>
      <c r="B7133" t="s">
        <v>100</v>
      </c>
      <c r="C7133" t="s">
        <v>1988</v>
      </c>
      <c r="D7133" t="s">
        <v>1984</v>
      </c>
      <c r="E7133" t="s">
        <v>1279</v>
      </c>
      <c r="F7133" t="s">
        <v>1280</v>
      </c>
    </row>
    <row r="7134" spans="1:6">
      <c r="A7134" t="s">
        <v>27</v>
      </c>
      <c r="B7134" t="s">
        <v>100</v>
      </c>
      <c r="C7134" t="s">
        <v>1988</v>
      </c>
      <c r="D7134" t="s">
        <v>1984</v>
      </c>
      <c r="E7134" t="s">
        <v>1281</v>
      </c>
      <c r="F7134" t="s">
        <v>1981</v>
      </c>
    </row>
    <row r="7135" spans="1:6">
      <c r="A7135" t="s">
        <v>27</v>
      </c>
      <c r="B7135" t="s">
        <v>100</v>
      </c>
      <c r="C7135" t="s">
        <v>1988</v>
      </c>
      <c r="D7135" t="s">
        <v>1984</v>
      </c>
      <c r="E7135" t="s">
        <v>1283</v>
      </c>
      <c r="F7135" t="s">
        <v>1284</v>
      </c>
    </row>
    <row r="7136" spans="1:6">
      <c r="A7136" t="s">
        <v>27</v>
      </c>
      <c r="B7136" t="s">
        <v>100</v>
      </c>
      <c r="C7136" t="s">
        <v>1988</v>
      </c>
      <c r="D7136" t="s">
        <v>1984</v>
      </c>
      <c r="E7136" t="s">
        <v>1285</v>
      </c>
      <c r="F7136" t="s">
        <v>701</v>
      </c>
    </row>
    <row r="7137" spans="1:6">
      <c r="A7137" t="s">
        <v>27</v>
      </c>
      <c r="B7137" t="s">
        <v>100</v>
      </c>
      <c r="C7137" t="s">
        <v>1988</v>
      </c>
      <c r="D7137" t="s">
        <v>1984</v>
      </c>
      <c r="E7137" t="s">
        <v>1286</v>
      </c>
      <c r="F7137">
        <v>61</v>
      </c>
    </row>
    <row r="7138" spans="1:6">
      <c r="A7138" t="s">
        <v>27</v>
      </c>
      <c r="B7138" t="s">
        <v>100</v>
      </c>
      <c r="C7138" t="s">
        <v>1988</v>
      </c>
      <c r="D7138" t="s">
        <v>1984</v>
      </c>
      <c r="E7138" t="s">
        <v>1287</v>
      </c>
      <c r="F7138">
        <v>276.7200000000001</v>
      </c>
    </row>
    <row r="7139" spans="1:6">
      <c r="A7139" t="s">
        <v>27</v>
      </c>
      <c r="B7139" t="s">
        <v>100</v>
      </c>
      <c r="C7139" t="s">
        <v>1988</v>
      </c>
      <c r="D7139" t="s">
        <v>1984</v>
      </c>
      <c r="E7139" t="s">
        <v>1288</v>
      </c>
      <c r="F7139" t="s">
        <v>703</v>
      </c>
    </row>
    <row r="7140" spans="1:6">
      <c r="A7140" t="s">
        <v>27</v>
      </c>
      <c r="B7140" t="s">
        <v>100</v>
      </c>
      <c r="C7140" t="s">
        <v>1988</v>
      </c>
      <c r="D7140" t="s">
        <v>1984</v>
      </c>
      <c r="E7140" t="s">
        <v>1096</v>
      </c>
      <c r="F7140">
        <v>33</v>
      </c>
    </row>
    <row r="7141" spans="1:6">
      <c r="A7141" t="s">
        <v>27</v>
      </c>
      <c r="B7141" t="s">
        <v>100</v>
      </c>
      <c r="C7141" t="s">
        <v>1988</v>
      </c>
      <c r="D7141" t="s">
        <v>1984</v>
      </c>
      <c r="E7141" t="s">
        <v>1004</v>
      </c>
      <c r="F7141">
        <v>1069.52</v>
      </c>
    </row>
    <row r="7142" spans="1:6">
      <c r="A7142" t="s">
        <v>27</v>
      </c>
      <c r="B7142" t="s">
        <v>100</v>
      </c>
      <c r="C7142" t="s">
        <v>1988</v>
      </c>
      <c r="D7142" t="s">
        <v>1984</v>
      </c>
      <c r="E7142" t="s">
        <v>1289</v>
      </c>
      <c r="F7142" t="s">
        <v>705</v>
      </c>
    </row>
    <row r="7143" spans="1:6">
      <c r="A7143" t="s">
        <v>27</v>
      </c>
      <c r="B7143" t="s">
        <v>100</v>
      </c>
      <c r="C7143" t="s">
        <v>1988</v>
      </c>
      <c r="D7143" t="s">
        <v>1984</v>
      </c>
      <c r="E7143" t="s">
        <v>1290</v>
      </c>
      <c r="F7143">
        <v>16</v>
      </c>
    </row>
    <row r="7144" spans="1:6">
      <c r="A7144" t="s">
        <v>27</v>
      </c>
      <c r="B7144" t="s">
        <v>100</v>
      </c>
      <c r="C7144" t="s">
        <v>1988</v>
      </c>
      <c r="D7144" t="s">
        <v>1984</v>
      </c>
      <c r="E7144" t="s">
        <v>1291</v>
      </c>
      <c r="F7144">
        <v>6367.809999999999</v>
      </c>
    </row>
    <row r="7145" spans="1:6">
      <c r="A7145" t="s">
        <v>27</v>
      </c>
      <c r="B7145" t="s">
        <v>100</v>
      </c>
      <c r="C7145" t="s">
        <v>1988</v>
      </c>
      <c r="D7145" t="s">
        <v>1984</v>
      </c>
      <c r="E7145" t="s">
        <v>1008</v>
      </c>
      <c r="F7145" t="s">
        <v>707</v>
      </c>
    </row>
    <row r="7146" spans="1:6">
      <c r="A7146" t="s">
        <v>27</v>
      </c>
      <c r="B7146" t="s">
        <v>100</v>
      </c>
      <c r="C7146" t="s">
        <v>1988</v>
      </c>
      <c r="D7146" t="s">
        <v>1984</v>
      </c>
      <c r="E7146" t="s">
        <v>1010</v>
      </c>
      <c r="F7146">
        <v>6</v>
      </c>
    </row>
    <row r="7147" spans="1:6">
      <c r="A7147" t="s">
        <v>27</v>
      </c>
      <c r="B7147" t="s">
        <v>100</v>
      </c>
      <c r="C7147" t="s">
        <v>1988</v>
      </c>
      <c r="D7147" t="s">
        <v>1984</v>
      </c>
      <c r="E7147" t="s">
        <v>1012</v>
      </c>
      <c r="F7147">
        <v>14370.04</v>
      </c>
    </row>
    <row r="7148" spans="1:6">
      <c r="A7148" t="s">
        <v>27</v>
      </c>
      <c r="B7148" t="s">
        <v>100</v>
      </c>
      <c r="C7148" t="s">
        <v>1988</v>
      </c>
      <c r="D7148" t="s">
        <v>1984</v>
      </c>
      <c r="E7148" t="s">
        <v>1035</v>
      </c>
      <c r="F7148" t="s">
        <v>709</v>
      </c>
    </row>
    <row r="7149" spans="1:6">
      <c r="A7149" t="s">
        <v>27</v>
      </c>
      <c r="B7149" t="s">
        <v>100</v>
      </c>
      <c r="C7149" t="s">
        <v>1988</v>
      </c>
      <c r="D7149" t="s">
        <v>1984</v>
      </c>
      <c r="E7149" t="s">
        <v>1099</v>
      </c>
      <c r="F7149">
        <v>0</v>
      </c>
    </row>
    <row r="7150" spans="1:6">
      <c r="A7150" t="s">
        <v>27</v>
      </c>
      <c r="B7150" t="s">
        <v>100</v>
      </c>
      <c r="C7150" t="s">
        <v>1988</v>
      </c>
      <c r="D7150" t="s">
        <v>1984</v>
      </c>
      <c r="E7150" t="s">
        <v>1100</v>
      </c>
      <c r="F7150">
        <v>0</v>
      </c>
    </row>
    <row r="7151" spans="1:6">
      <c r="A7151" t="s">
        <v>27</v>
      </c>
      <c r="B7151" t="s">
        <v>100</v>
      </c>
      <c r="C7151" t="s">
        <v>1988</v>
      </c>
      <c r="D7151" t="s">
        <v>1984</v>
      </c>
      <c r="E7151" t="s">
        <v>1037</v>
      </c>
      <c r="F7151" t="s">
        <v>1292</v>
      </c>
    </row>
    <row r="7152" spans="1:6">
      <c r="A7152" t="s">
        <v>27</v>
      </c>
      <c r="B7152" t="s">
        <v>100</v>
      </c>
      <c r="C7152" t="s">
        <v>1988</v>
      </c>
      <c r="D7152" t="s">
        <v>1984</v>
      </c>
      <c r="E7152" t="s">
        <v>1103</v>
      </c>
      <c r="F7152">
        <v>116</v>
      </c>
    </row>
    <row r="7153" spans="1:6">
      <c r="A7153" t="s">
        <v>27</v>
      </c>
      <c r="B7153" t="s">
        <v>100</v>
      </c>
      <c r="C7153" t="s">
        <v>1988</v>
      </c>
      <c r="D7153" t="s">
        <v>1984</v>
      </c>
      <c r="E7153" t="s">
        <v>1104</v>
      </c>
      <c r="F7153">
        <v>22084.09</v>
      </c>
    </row>
    <row r="7154" spans="1:6">
      <c r="A7154" t="s">
        <v>27</v>
      </c>
      <c r="B7154" t="s">
        <v>100</v>
      </c>
      <c r="C7154" t="s">
        <v>1988</v>
      </c>
      <c r="D7154" t="s">
        <v>1984</v>
      </c>
      <c r="E7154" t="s">
        <v>1052</v>
      </c>
      <c r="F7154" t="s">
        <v>1293</v>
      </c>
    </row>
    <row r="7155" spans="1:6">
      <c r="A7155" t="s">
        <v>27</v>
      </c>
      <c r="B7155" t="s">
        <v>100</v>
      </c>
      <c r="C7155" t="s">
        <v>1988</v>
      </c>
      <c r="D7155" t="s">
        <v>1984</v>
      </c>
      <c r="E7155" t="s">
        <v>1053</v>
      </c>
      <c r="F7155" t="s">
        <v>1294</v>
      </c>
    </row>
    <row r="7156" spans="1:6">
      <c r="A7156" t="s">
        <v>27</v>
      </c>
      <c r="B7156" t="s">
        <v>100</v>
      </c>
      <c r="C7156" t="s">
        <v>1988</v>
      </c>
      <c r="D7156" t="s">
        <v>1984</v>
      </c>
      <c r="E7156" t="s">
        <v>1108</v>
      </c>
      <c r="F7156">
        <v>0</v>
      </c>
    </row>
    <row r="7157" spans="1:6">
      <c r="A7157" t="s">
        <v>27</v>
      </c>
      <c r="B7157" t="s">
        <v>100</v>
      </c>
      <c r="C7157" t="s">
        <v>1988</v>
      </c>
      <c r="D7157" t="s">
        <v>1984</v>
      </c>
      <c r="E7157" t="s">
        <v>1109</v>
      </c>
      <c r="F7157">
        <v>0</v>
      </c>
    </row>
    <row r="7158" spans="1:6">
      <c r="A7158" t="s">
        <v>27</v>
      </c>
      <c r="B7158" t="s">
        <v>100</v>
      </c>
      <c r="C7158" t="s">
        <v>1988</v>
      </c>
      <c r="D7158" t="s">
        <v>1984</v>
      </c>
      <c r="E7158" t="s">
        <v>1113</v>
      </c>
      <c r="F7158">
        <v>2018</v>
      </c>
    </row>
    <row r="7159" spans="1:6">
      <c r="A7159" t="s">
        <v>27</v>
      </c>
      <c r="B7159" t="s">
        <v>100</v>
      </c>
      <c r="C7159" t="s">
        <v>1988</v>
      </c>
      <c r="D7159" t="s">
        <v>1984</v>
      </c>
      <c r="E7159" t="s">
        <v>1114</v>
      </c>
      <c r="F7159">
        <v>0</v>
      </c>
    </row>
    <row r="7160" spans="1:6">
      <c r="A7160" t="s">
        <v>27</v>
      </c>
      <c r="B7160" t="s">
        <v>100</v>
      </c>
      <c r="C7160" t="s">
        <v>1988</v>
      </c>
      <c r="D7160" t="s">
        <v>1984</v>
      </c>
      <c r="E7160" t="s">
        <v>1115</v>
      </c>
      <c r="F7160">
        <v>0</v>
      </c>
    </row>
    <row r="7161" spans="1:6">
      <c r="A7161" t="s">
        <v>27</v>
      </c>
      <c r="B7161" t="s">
        <v>100</v>
      </c>
      <c r="C7161" t="s">
        <v>1988</v>
      </c>
      <c r="D7161" t="s">
        <v>1984</v>
      </c>
      <c r="E7161" t="s">
        <v>1118</v>
      </c>
      <c r="F7161">
        <v>2019</v>
      </c>
    </row>
    <row r="7162" spans="1:6">
      <c r="A7162" t="s">
        <v>27</v>
      </c>
      <c r="B7162" t="s">
        <v>100</v>
      </c>
      <c r="C7162" t="s">
        <v>1988</v>
      </c>
      <c r="D7162" t="s">
        <v>1984</v>
      </c>
      <c r="E7162" t="s">
        <v>1119</v>
      </c>
      <c r="F7162">
        <v>0</v>
      </c>
    </row>
    <row r="7163" spans="1:6">
      <c r="A7163" t="s">
        <v>27</v>
      </c>
      <c r="B7163" t="s">
        <v>100</v>
      </c>
      <c r="C7163" t="s">
        <v>1988</v>
      </c>
      <c r="D7163" t="s">
        <v>1984</v>
      </c>
      <c r="E7163" t="s">
        <v>1120</v>
      </c>
      <c r="F7163">
        <v>0</v>
      </c>
    </row>
    <row r="7164" spans="1:6">
      <c r="A7164" t="s">
        <v>27</v>
      </c>
      <c r="B7164" t="s">
        <v>100</v>
      </c>
      <c r="C7164" t="s">
        <v>1988</v>
      </c>
      <c r="D7164" t="s">
        <v>1984</v>
      </c>
      <c r="E7164" t="s">
        <v>1124</v>
      </c>
      <c r="F7164">
        <v>2020</v>
      </c>
    </row>
    <row r="7165" spans="1:6">
      <c r="A7165" t="s">
        <v>27</v>
      </c>
      <c r="B7165" t="s">
        <v>100</v>
      </c>
      <c r="C7165" t="s">
        <v>1988</v>
      </c>
      <c r="D7165" t="s">
        <v>1984</v>
      </c>
      <c r="E7165" t="s">
        <v>1126</v>
      </c>
      <c r="F7165">
        <v>0</v>
      </c>
    </row>
    <row r="7166" spans="1:6">
      <c r="A7166" t="s">
        <v>27</v>
      </c>
      <c r="B7166" t="s">
        <v>100</v>
      </c>
      <c r="C7166" t="s">
        <v>1988</v>
      </c>
      <c r="D7166" t="s">
        <v>1984</v>
      </c>
      <c r="E7166" t="s">
        <v>1127</v>
      </c>
      <c r="F7166">
        <v>0</v>
      </c>
    </row>
    <row r="7167" spans="1:6">
      <c r="A7167" t="s">
        <v>27</v>
      </c>
      <c r="B7167" t="s">
        <v>100</v>
      </c>
      <c r="C7167" t="s">
        <v>1988</v>
      </c>
      <c r="D7167" t="s">
        <v>1984</v>
      </c>
      <c r="E7167" t="s">
        <v>1057</v>
      </c>
      <c r="F7167">
        <v>2021</v>
      </c>
    </row>
    <row r="7168" spans="1:6">
      <c r="A7168" t="s">
        <v>27</v>
      </c>
      <c r="B7168" t="s">
        <v>100</v>
      </c>
      <c r="C7168" t="s">
        <v>1988</v>
      </c>
      <c r="D7168" t="s">
        <v>1984</v>
      </c>
      <c r="E7168" t="s">
        <v>1058</v>
      </c>
      <c r="F7168">
        <v>0</v>
      </c>
    </row>
    <row r="7169" spans="1:6">
      <c r="A7169" t="s">
        <v>27</v>
      </c>
      <c r="B7169" t="s">
        <v>100</v>
      </c>
      <c r="C7169" t="s">
        <v>1988</v>
      </c>
      <c r="D7169" t="s">
        <v>1984</v>
      </c>
      <c r="E7169" t="s">
        <v>1059</v>
      </c>
      <c r="F7169">
        <v>0</v>
      </c>
    </row>
    <row r="7170" spans="1:6">
      <c r="A7170" t="s">
        <v>27</v>
      </c>
      <c r="B7170" t="s">
        <v>100</v>
      </c>
      <c r="C7170" t="s">
        <v>1988</v>
      </c>
      <c r="D7170" t="s">
        <v>1984</v>
      </c>
      <c r="E7170" t="s">
        <v>1072</v>
      </c>
      <c r="F7170">
        <v>2022</v>
      </c>
    </row>
    <row r="7171" spans="1:6">
      <c r="A7171" t="s">
        <v>27</v>
      </c>
      <c r="B7171" t="s">
        <v>100</v>
      </c>
      <c r="C7171" t="s">
        <v>1988</v>
      </c>
      <c r="D7171" t="s">
        <v>1984</v>
      </c>
      <c r="E7171" t="s">
        <v>1133</v>
      </c>
      <c r="F7171">
        <v>0</v>
      </c>
    </row>
    <row r="7172" spans="1:6">
      <c r="A7172" t="s">
        <v>27</v>
      </c>
      <c r="B7172" t="s">
        <v>100</v>
      </c>
      <c r="C7172" t="s">
        <v>1988</v>
      </c>
      <c r="D7172" t="s">
        <v>1984</v>
      </c>
      <c r="E7172" t="s">
        <v>1134</v>
      </c>
      <c r="F7172">
        <v>0</v>
      </c>
    </row>
    <row r="7173" spans="1:6">
      <c r="A7173" t="s">
        <v>27</v>
      </c>
      <c r="B7173" t="s">
        <v>100</v>
      </c>
      <c r="C7173" t="s">
        <v>1988</v>
      </c>
      <c r="D7173" t="s">
        <v>1984</v>
      </c>
      <c r="E7173" t="s">
        <v>1074</v>
      </c>
      <c r="F7173">
        <v>2023</v>
      </c>
    </row>
    <row r="7174" spans="1:6">
      <c r="A7174" t="s">
        <v>27</v>
      </c>
      <c r="B7174" t="s">
        <v>100</v>
      </c>
      <c r="C7174" t="s">
        <v>1988</v>
      </c>
      <c r="D7174" t="s">
        <v>1984</v>
      </c>
      <c r="E7174" t="s">
        <v>1296</v>
      </c>
      <c r="F7174">
        <v>0</v>
      </c>
    </row>
    <row r="7175" spans="1:6">
      <c r="A7175" t="s">
        <v>27</v>
      </c>
      <c r="B7175" t="s">
        <v>100</v>
      </c>
      <c r="C7175" t="s">
        <v>1988</v>
      </c>
      <c r="D7175" t="s">
        <v>1984</v>
      </c>
      <c r="E7175" t="s">
        <v>1297</v>
      </c>
      <c r="F7175">
        <v>0</v>
      </c>
    </row>
    <row r="7176" spans="1:6">
      <c r="A7176" t="s">
        <v>27</v>
      </c>
      <c r="B7176" t="s">
        <v>100</v>
      </c>
      <c r="C7176" t="s">
        <v>1988</v>
      </c>
      <c r="D7176" t="s">
        <v>1984</v>
      </c>
      <c r="E7176" t="s">
        <v>1076</v>
      </c>
      <c r="F7176">
        <v>2024</v>
      </c>
    </row>
    <row r="7177" spans="1:6">
      <c r="A7177" t="s">
        <v>27</v>
      </c>
      <c r="B7177" t="s">
        <v>100</v>
      </c>
      <c r="C7177" t="s">
        <v>1988</v>
      </c>
      <c r="D7177" t="s">
        <v>1984</v>
      </c>
      <c r="E7177" t="s">
        <v>1077</v>
      </c>
      <c r="F7177">
        <v>0</v>
      </c>
    </row>
    <row r="7178" spans="1:6">
      <c r="A7178" t="s">
        <v>27</v>
      </c>
      <c r="B7178" t="s">
        <v>100</v>
      </c>
      <c r="C7178" t="s">
        <v>1988</v>
      </c>
      <c r="D7178" t="s">
        <v>1984</v>
      </c>
      <c r="E7178" t="s">
        <v>1078</v>
      </c>
      <c r="F7178">
        <v>0</v>
      </c>
    </row>
    <row r="7179" spans="1:6">
      <c r="A7179" t="s">
        <v>27</v>
      </c>
      <c r="B7179" t="s">
        <v>100</v>
      </c>
      <c r="C7179" t="s">
        <v>1988</v>
      </c>
      <c r="D7179" t="s">
        <v>1984</v>
      </c>
      <c r="E7179" t="s">
        <v>1090</v>
      </c>
      <c r="F7179">
        <v>2025</v>
      </c>
    </row>
    <row r="7180" spans="1:6">
      <c r="A7180" t="s">
        <v>27</v>
      </c>
      <c r="B7180" t="s">
        <v>100</v>
      </c>
      <c r="C7180" t="s">
        <v>1988</v>
      </c>
      <c r="D7180" t="s">
        <v>1984</v>
      </c>
      <c r="E7180" t="s">
        <v>1139</v>
      </c>
      <c r="F7180">
        <v>0</v>
      </c>
    </row>
    <row r="7181" spans="1:6">
      <c r="A7181" t="s">
        <v>27</v>
      </c>
      <c r="B7181" t="s">
        <v>100</v>
      </c>
      <c r="C7181" t="s">
        <v>1988</v>
      </c>
      <c r="D7181" t="s">
        <v>1984</v>
      </c>
      <c r="E7181" t="s">
        <v>1140</v>
      </c>
      <c r="F7181">
        <v>0</v>
      </c>
    </row>
    <row r="7182" spans="1:6">
      <c r="A7182" t="s">
        <v>27</v>
      </c>
      <c r="B7182" t="s">
        <v>100</v>
      </c>
      <c r="C7182" t="s">
        <v>1988</v>
      </c>
      <c r="D7182" t="s">
        <v>1984</v>
      </c>
      <c r="E7182" t="s">
        <v>1298</v>
      </c>
      <c r="F7182">
        <v>2026</v>
      </c>
    </row>
    <row r="7183" spans="1:6">
      <c r="A7183" t="s">
        <v>27</v>
      </c>
      <c r="B7183" t="s">
        <v>100</v>
      </c>
      <c r="C7183" t="s">
        <v>1988</v>
      </c>
      <c r="D7183" t="s">
        <v>1984</v>
      </c>
      <c r="E7183" t="s">
        <v>1299</v>
      </c>
      <c r="F7183">
        <v>116</v>
      </c>
    </row>
    <row r="7184" spans="1:6">
      <c r="A7184" t="s">
        <v>27</v>
      </c>
      <c r="B7184" t="s">
        <v>100</v>
      </c>
      <c r="C7184" t="s">
        <v>1988</v>
      </c>
      <c r="D7184" t="s">
        <v>1984</v>
      </c>
      <c r="E7184" t="s">
        <v>1300</v>
      </c>
      <c r="F7184">
        <v>22084.09000000001</v>
      </c>
    </row>
    <row r="7185" spans="1:6">
      <c r="A7185" t="s">
        <v>27</v>
      </c>
      <c r="B7185" t="s">
        <v>100</v>
      </c>
      <c r="C7185" t="s">
        <v>1988</v>
      </c>
      <c r="D7185" t="s">
        <v>1984</v>
      </c>
      <c r="E7185" t="s">
        <v>1301</v>
      </c>
      <c r="F7185" t="s">
        <v>1292</v>
      </c>
    </row>
    <row r="7186" spans="1:6">
      <c r="A7186" t="s">
        <v>27</v>
      </c>
      <c r="B7186" t="s">
        <v>100</v>
      </c>
      <c r="C7186" t="s">
        <v>1988</v>
      </c>
      <c r="D7186" t="s">
        <v>1984</v>
      </c>
      <c r="E7186" t="s">
        <v>1302</v>
      </c>
      <c r="F7186">
        <v>116</v>
      </c>
    </row>
    <row r="7187" spans="1:6">
      <c r="A7187" t="s">
        <v>27</v>
      </c>
      <c r="B7187" t="s">
        <v>100</v>
      </c>
      <c r="C7187" t="s">
        <v>1988</v>
      </c>
      <c r="D7187" t="s">
        <v>1984</v>
      </c>
      <c r="E7187" t="s">
        <v>1303</v>
      </c>
      <c r="F7187">
        <v>22084.09000000001</v>
      </c>
    </row>
    <row r="7188" spans="1:6">
      <c r="A7188" t="s">
        <v>27</v>
      </c>
      <c r="B7188" t="s">
        <v>106</v>
      </c>
      <c r="C7188" t="s">
        <v>1988</v>
      </c>
      <c r="D7188" t="s">
        <v>1985</v>
      </c>
      <c r="E7188" t="s">
        <v>1093</v>
      </c>
      <c r="F7188" t="s">
        <v>1094</v>
      </c>
    </row>
    <row r="7189" spans="1:6">
      <c r="A7189" t="s">
        <v>27</v>
      </c>
      <c r="B7189" t="s">
        <v>106</v>
      </c>
      <c r="C7189" t="s">
        <v>1988</v>
      </c>
      <c r="D7189" t="s">
        <v>1985</v>
      </c>
      <c r="E7189" t="s">
        <v>994</v>
      </c>
      <c r="F7189" t="s">
        <v>106</v>
      </c>
    </row>
    <row r="7190" spans="1:6">
      <c r="A7190" t="s">
        <v>27</v>
      </c>
      <c r="B7190" t="s">
        <v>106</v>
      </c>
      <c r="C7190" t="s">
        <v>1988</v>
      </c>
      <c r="D7190" t="s">
        <v>1985</v>
      </c>
      <c r="E7190" t="s">
        <v>995</v>
      </c>
      <c r="F7190" t="s">
        <v>996</v>
      </c>
    </row>
    <row r="7191" spans="1:6">
      <c r="A7191" t="s">
        <v>27</v>
      </c>
      <c r="B7191" t="s">
        <v>106</v>
      </c>
      <c r="C7191" t="s">
        <v>1988</v>
      </c>
      <c r="D7191" t="s">
        <v>1985</v>
      </c>
      <c r="E7191" t="s">
        <v>997</v>
      </c>
      <c r="F7191" t="s">
        <v>1989</v>
      </c>
    </row>
    <row r="7192" spans="1:6">
      <c r="A7192" t="s">
        <v>27</v>
      </c>
      <c r="B7192" t="s">
        <v>106</v>
      </c>
      <c r="C7192" t="s">
        <v>1988</v>
      </c>
      <c r="D7192" t="s">
        <v>1985</v>
      </c>
      <c r="E7192" t="s">
        <v>999</v>
      </c>
      <c r="F7192" t="s">
        <v>1000</v>
      </c>
    </row>
    <row r="7193" spans="1:6">
      <c r="A7193" t="s">
        <v>27</v>
      </c>
      <c r="B7193" t="s">
        <v>106</v>
      </c>
      <c r="C7193" t="s">
        <v>1988</v>
      </c>
      <c r="D7193" t="s">
        <v>1985</v>
      </c>
      <c r="E7193" t="s">
        <v>1001</v>
      </c>
      <c r="F7193" t="s">
        <v>23</v>
      </c>
    </row>
    <row r="7194" spans="1:6">
      <c r="A7194" t="s">
        <v>27</v>
      </c>
      <c r="B7194" t="s">
        <v>106</v>
      </c>
      <c r="C7194" t="s">
        <v>1988</v>
      </c>
      <c r="D7194" t="s">
        <v>1985</v>
      </c>
      <c r="E7194" t="s">
        <v>1002</v>
      </c>
      <c r="F7194" t="s">
        <v>1845</v>
      </c>
    </row>
    <row r="7195" spans="1:6">
      <c r="A7195" t="s">
        <v>27</v>
      </c>
      <c r="B7195" t="s">
        <v>106</v>
      </c>
      <c r="C7195" t="s">
        <v>1988</v>
      </c>
      <c r="D7195" t="s">
        <v>1985</v>
      </c>
      <c r="E7195" t="s">
        <v>1006</v>
      </c>
      <c r="F7195" t="s">
        <v>1007</v>
      </c>
    </row>
    <row r="7196" spans="1:6">
      <c r="A7196" t="s">
        <v>27</v>
      </c>
      <c r="B7196" t="s">
        <v>106</v>
      </c>
      <c r="C7196" t="s">
        <v>1988</v>
      </c>
      <c r="D7196" t="s">
        <v>1985</v>
      </c>
      <c r="E7196" t="s">
        <v>1008</v>
      </c>
      <c r="F7196" t="s">
        <v>1009</v>
      </c>
    </row>
    <row r="7197" spans="1:6">
      <c r="A7197" t="s">
        <v>27</v>
      </c>
      <c r="B7197" t="s">
        <v>106</v>
      </c>
      <c r="C7197" t="s">
        <v>1988</v>
      </c>
      <c r="D7197" t="s">
        <v>1985</v>
      </c>
      <c r="E7197" t="s">
        <v>1010</v>
      </c>
      <c r="F7197" t="s">
        <v>1011</v>
      </c>
    </row>
    <row r="7198" spans="1:6">
      <c r="A7198" t="s">
        <v>27</v>
      </c>
      <c r="B7198" t="s">
        <v>106</v>
      </c>
      <c r="C7198" t="s">
        <v>1988</v>
      </c>
      <c r="D7198" t="s">
        <v>1985</v>
      </c>
      <c r="E7198" t="s">
        <v>1012</v>
      </c>
      <c r="F7198" t="s">
        <v>1013</v>
      </c>
    </row>
    <row r="7199" spans="1:6">
      <c r="A7199" t="s">
        <v>27</v>
      </c>
      <c r="B7199" t="s">
        <v>106</v>
      </c>
      <c r="C7199" t="s">
        <v>1988</v>
      </c>
      <c r="D7199" t="s">
        <v>1985</v>
      </c>
      <c r="E7199" t="s">
        <v>1014</v>
      </c>
      <c r="F7199" t="s">
        <v>1015</v>
      </c>
    </row>
    <row r="7200" spans="1:6">
      <c r="A7200" t="s">
        <v>27</v>
      </c>
      <c r="B7200" t="s">
        <v>106</v>
      </c>
      <c r="C7200" t="s">
        <v>1988</v>
      </c>
      <c r="D7200" t="s">
        <v>1985</v>
      </c>
      <c r="E7200" t="s">
        <v>1016</v>
      </c>
      <c r="F7200" t="s">
        <v>1017</v>
      </c>
    </row>
    <row r="7201" spans="1:6">
      <c r="A7201" t="s">
        <v>27</v>
      </c>
      <c r="B7201" t="s">
        <v>106</v>
      </c>
      <c r="C7201" t="s">
        <v>1988</v>
      </c>
      <c r="D7201" t="s">
        <v>1985</v>
      </c>
      <c r="E7201" t="s">
        <v>1018</v>
      </c>
      <c r="F7201" t="s">
        <v>1019</v>
      </c>
    </row>
    <row r="7202" spans="1:6">
      <c r="A7202" t="s">
        <v>27</v>
      </c>
      <c r="B7202" t="s">
        <v>106</v>
      </c>
      <c r="C7202" t="s">
        <v>1988</v>
      </c>
      <c r="D7202" t="s">
        <v>1985</v>
      </c>
      <c r="E7202" t="s">
        <v>1020</v>
      </c>
      <c r="F7202" t="s">
        <v>1021</v>
      </c>
    </row>
    <row r="7203" spans="1:6">
      <c r="A7203" t="s">
        <v>27</v>
      </c>
      <c r="B7203" t="s">
        <v>106</v>
      </c>
      <c r="C7203" t="s">
        <v>1988</v>
      </c>
      <c r="D7203" t="s">
        <v>1985</v>
      </c>
      <c r="E7203" t="s">
        <v>1022</v>
      </c>
      <c r="F7203" t="s">
        <v>1023</v>
      </c>
    </row>
    <row r="7204" spans="1:6">
      <c r="A7204" t="s">
        <v>27</v>
      </c>
      <c r="B7204" t="s">
        <v>106</v>
      </c>
      <c r="C7204" t="s">
        <v>1988</v>
      </c>
      <c r="D7204" t="s">
        <v>1985</v>
      </c>
      <c r="E7204" t="s">
        <v>1024</v>
      </c>
      <c r="F7204" t="s">
        <v>1025</v>
      </c>
    </row>
    <row r="7205" spans="1:6">
      <c r="A7205" t="s">
        <v>27</v>
      </c>
      <c r="B7205" t="s">
        <v>106</v>
      </c>
      <c r="C7205" t="s">
        <v>1988</v>
      </c>
      <c r="D7205" t="s">
        <v>1985</v>
      </c>
      <c r="E7205" t="s">
        <v>1026</v>
      </c>
      <c r="F7205" t="s">
        <v>1027</v>
      </c>
    </row>
    <row r="7206" spans="1:6">
      <c r="A7206" t="s">
        <v>27</v>
      </c>
      <c r="B7206" t="s">
        <v>106</v>
      </c>
      <c r="C7206" t="s">
        <v>1988</v>
      </c>
      <c r="D7206" t="s">
        <v>1985</v>
      </c>
      <c r="E7206" t="s">
        <v>1028</v>
      </c>
      <c r="F7206" t="s">
        <v>1029</v>
      </c>
    </row>
    <row r="7207" spans="1:6">
      <c r="A7207" t="s">
        <v>27</v>
      </c>
      <c r="B7207" t="s">
        <v>106</v>
      </c>
      <c r="C7207" t="s">
        <v>1988</v>
      </c>
      <c r="D7207" t="s">
        <v>1985</v>
      </c>
      <c r="E7207" t="s">
        <v>1030</v>
      </c>
      <c r="F7207" t="s">
        <v>1031</v>
      </c>
    </row>
    <row r="7208" spans="1:6">
      <c r="A7208" t="s">
        <v>27</v>
      </c>
      <c r="B7208" t="s">
        <v>106</v>
      </c>
      <c r="C7208" t="s">
        <v>1988</v>
      </c>
      <c r="D7208" t="s">
        <v>1985</v>
      </c>
      <c r="E7208" t="s">
        <v>1032</v>
      </c>
      <c r="F7208" t="s">
        <v>1033</v>
      </c>
    </row>
    <row r="7209" spans="1:6">
      <c r="A7209" t="s">
        <v>27</v>
      </c>
      <c r="B7209" t="s">
        <v>106</v>
      </c>
      <c r="C7209" t="s">
        <v>1988</v>
      </c>
      <c r="D7209" t="s">
        <v>1985</v>
      </c>
      <c r="E7209" t="s">
        <v>1034</v>
      </c>
      <c r="F7209" t="s">
        <v>93</v>
      </c>
    </row>
    <row r="7210" spans="1:6">
      <c r="A7210" t="s">
        <v>27</v>
      </c>
      <c r="B7210" t="s">
        <v>106</v>
      </c>
      <c r="C7210" t="s">
        <v>1988</v>
      </c>
      <c r="D7210" t="s">
        <v>1985</v>
      </c>
      <c r="E7210" t="s">
        <v>1035</v>
      </c>
      <c r="F7210">
        <v>0</v>
      </c>
    </row>
    <row r="7211" spans="1:6">
      <c r="A7211" t="s">
        <v>27</v>
      </c>
      <c r="B7211" t="s">
        <v>106</v>
      </c>
      <c r="C7211" t="s">
        <v>1988</v>
      </c>
      <c r="D7211" t="s">
        <v>1985</v>
      </c>
      <c r="E7211" t="s">
        <v>1036</v>
      </c>
      <c r="F7211">
        <v>2024</v>
      </c>
    </row>
    <row r="7212" spans="1:6">
      <c r="A7212" t="s">
        <v>27</v>
      </c>
      <c r="B7212" t="s">
        <v>106</v>
      </c>
      <c r="C7212" t="s">
        <v>1988</v>
      </c>
      <c r="D7212" t="s">
        <v>1985</v>
      </c>
      <c r="E7212" t="s">
        <v>1037</v>
      </c>
      <c r="F7212">
        <v>0</v>
      </c>
    </row>
    <row r="7213" spans="1:6">
      <c r="A7213" t="s">
        <v>27</v>
      </c>
      <c r="B7213" t="s">
        <v>106</v>
      </c>
      <c r="C7213" t="s">
        <v>1988</v>
      </c>
      <c r="D7213" t="s">
        <v>1985</v>
      </c>
      <c r="E7213" t="s">
        <v>1038</v>
      </c>
      <c r="F7213">
        <v>2025</v>
      </c>
    </row>
    <row r="7214" spans="1:6">
      <c r="A7214" t="s">
        <v>27</v>
      </c>
      <c r="B7214" t="s">
        <v>106</v>
      </c>
      <c r="C7214" t="s">
        <v>1988</v>
      </c>
      <c r="D7214" t="s">
        <v>1985</v>
      </c>
      <c r="E7214" t="s">
        <v>1039</v>
      </c>
      <c r="F7214">
        <v>1598170.86</v>
      </c>
    </row>
    <row r="7215" spans="1:6">
      <c r="A7215" t="s">
        <v>27</v>
      </c>
      <c r="B7215" t="s">
        <v>106</v>
      </c>
      <c r="C7215" t="s">
        <v>1988</v>
      </c>
      <c r="D7215" t="s">
        <v>1985</v>
      </c>
      <c r="E7215" t="s">
        <v>1040</v>
      </c>
      <c r="F7215">
        <v>13.65</v>
      </c>
    </row>
    <row r="7216" spans="1:6">
      <c r="A7216" t="s">
        <v>27</v>
      </c>
      <c r="B7216" t="s">
        <v>106</v>
      </c>
      <c r="C7216" t="s">
        <v>1988</v>
      </c>
      <c r="D7216" t="s">
        <v>1985</v>
      </c>
      <c r="E7216" t="s">
        <v>1041</v>
      </c>
      <c r="F7216">
        <v>18</v>
      </c>
    </row>
    <row r="7217" spans="1:6">
      <c r="A7217" t="s">
        <v>27</v>
      </c>
      <c r="B7217" t="s">
        <v>106</v>
      </c>
      <c r="C7217" t="s">
        <v>1988</v>
      </c>
      <c r="D7217" t="s">
        <v>1985</v>
      </c>
      <c r="E7217" t="s">
        <v>1042</v>
      </c>
      <c r="F7217">
        <v>112.32</v>
      </c>
    </row>
    <row r="7218" spans="1:6">
      <c r="A7218" t="s">
        <v>27</v>
      </c>
      <c r="B7218" t="s">
        <v>106</v>
      </c>
      <c r="C7218" t="s">
        <v>1988</v>
      </c>
      <c r="D7218" t="s">
        <v>1985</v>
      </c>
      <c r="E7218" t="s">
        <v>1043</v>
      </c>
      <c r="F7218">
        <v>8180.63</v>
      </c>
    </row>
    <row r="7219" spans="1:6">
      <c r="A7219" t="s">
        <v>27</v>
      </c>
      <c r="B7219" t="s">
        <v>106</v>
      </c>
      <c r="C7219" t="s">
        <v>1988</v>
      </c>
      <c r="D7219" t="s">
        <v>1985</v>
      </c>
      <c r="E7219" t="s">
        <v>1044</v>
      </c>
      <c r="F7219">
        <v>7848.559999999999</v>
      </c>
    </row>
    <row r="7220" spans="1:6">
      <c r="A7220" t="s">
        <v>27</v>
      </c>
      <c r="B7220" t="s">
        <v>106</v>
      </c>
      <c r="C7220" t="s">
        <v>1988</v>
      </c>
      <c r="D7220" t="s">
        <v>1985</v>
      </c>
      <c r="E7220" t="s">
        <v>1045</v>
      </c>
      <c r="F7220">
        <v>13339.66</v>
      </c>
    </row>
    <row r="7221" spans="1:6">
      <c r="A7221" t="s">
        <v>27</v>
      </c>
      <c r="B7221" t="s">
        <v>106</v>
      </c>
      <c r="C7221" t="s">
        <v>1988</v>
      </c>
      <c r="D7221" t="s">
        <v>1985</v>
      </c>
      <c r="E7221" t="s">
        <v>1046</v>
      </c>
      <c r="F7221">
        <v>156911.8000000001</v>
      </c>
    </row>
    <row r="7222" spans="1:6">
      <c r="A7222" t="s">
        <v>27</v>
      </c>
      <c r="B7222" t="s">
        <v>106</v>
      </c>
      <c r="C7222" t="s">
        <v>1988</v>
      </c>
      <c r="D7222" t="s">
        <v>1985</v>
      </c>
      <c r="E7222" t="s">
        <v>1047</v>
      </c>
      <c r="F7222">
        <v>270237.9699999998</v>
      </c>
    </row>
    <row r="7223" spans="1:6">
      <c r="A7223" t="s">
        <v>27</v>
      </c>
      <c r="B7223" t="s">
        <v>106</v>
      </c>
      <c r="C7223" t="s">
        <v>1988</v>
      </c>
      <c r="D7223" t="s">
        <v>1985</v>
      </c>
      <c r="E7223" t="s">
        <v>1048</v>
      </c>
      <c r="F7223">
        <v>264732.9099999999</v>
      </c>
    </row>
    <row r="7224" spans="1:6">
      <c r="A7224" t="s">
        <v>27</v>
      </c>
      <c r="B7224" t="s">
        <v>106</v>
      </c>
      <c r="C7224" t="s">
        <v>1988</v>
      </c>
      <c r="D7224" t="s">
        <v>1985</v>
      </c>
      <c r="E7224" t="s">
        <v>1049</v>
      </c>
      <c r="F7224">
        <v>334030.9599999997</v>
      </c>
    </row>
    <row r="7225" spans="1:6">
      <c r="A7225" t="s">
        <v>27</v>
      </c>
      <c r="B7225" t="s">
        <v>106</v>
      </c>
      <c r="C7225" t="s">
        <v>1988</v>
      </c>
      <c r="D7225" t="s">
        <v>1985</v>
      </c>
      <c r="E7225" t="s">
        <v>1050</v>
      </c>
      <c r="F7225">
        <v>252805.7700000001</v>
      </c>
    </row>
    <row r="7226" spans="1:6">
      <c r="A7226" t="s">
        <v>27</v>
      </c>
      <c r="B7226" t="s">
        <v>106</v>
      </c>
      <c r="C7226" t="s">
        <v>1988</v>
      </c>
      <c r="D7226" t="s">
        <v>1985</v>
      </c>
      <c r="E7226" t="s">
        <v>1051</v>
      </c>
      <c r="F7226">
        <v>289938.6299999998</v>
      </c>
    </row>
    <row r="7227" spans="1:6">
      <c r="A7227" t="s">
        <v>27</v>
      </c>
      <c r="B7227" t="s">
        <v>106</v>
      </c>
      <c r="C7227" t="s">
        <v>1988</v>
      </c>
      <c r="D7227" t="s">
        <v>1985</v>
      </c>
      <c r="E7227" t="s">
        <v>1052</v>
      </c>
      <c r="F7227">
        <v>2026</v>
      </c>
    </row>
    <row r="7228" spans="1:6">
      <c r="A7228" t="s">
        <v>27</v>
      </c>
      <c r="B7228" t="s">
        <v>106</v>
      </c>
      <c r="C7228" t="s">
        <v>1988</v>
      </c>
      <c r="D7228" t="s">
        <v>1985</v>
      </c>
      <c r="E7228" t="s">
        <v>1053</v>
      </c>
      <c r="F7228">
        <v>2532380.35</v>
      </c>
    </row>
    <row r="7229" spans="1:6">
      <c r="A7229" t="s">
        <v>27</v>
      </c>
      <c r="B7229" t="s">
        <v>106</v>
      </c>
      <c r="C7229" t="s">
        <v>1988</v>
      </c>
      <c r="D7229" t="s">
        <v>1985</v>
      </c>
      <c r="E7229" t="s">
        <v>1108</v>
      </c>
      <c r="F7229">
        <v>248370.93</v>
      </c>
    </row>
    <row r="7230" spans="1:6">
      <c r="A7230" t="s">
        <v>27</v>
      </c>
      <c r="B7230" t="s">
        <v>106</v>
      </c>
      <c r="C7230" t="s">
        <v>1988</v>
      </c>
      <c r="D7230" t="s">
        <v>1985</v>
      </c>
      <c r="E7230" t="s">
        <v>1109</v>
      </c>
      <c r="F7230">
        <v>119781.77</v>
      </c>
    </row>
    <row r="7231" spans="1:6">
      <c r="A7231" t="s">
        <v>27</v>
      </c>
      <c r="B7231" t="s">
        <v>106</v>
      </c>
      <c r="C7231" t="s">
        <v>1988</v>
      </c>
      <c r="D7231" t="s">
        <v>1985</v>
      </c>
      <c r="E7231" t="s">
        <v>1110</v>
      </c>
      <c r="F7231">
        <v>720809.2200000002</v>
      </c>
    </row>
    <row r="7232" spans="1:6">
      <c r="A7232" t="s">
        <v>27</v>
      </c>
      <c r="B7232" t="s">
        <v>106</v>
      </c>
      <c r="C7232" t="s">
        <v>1988</v>
      </c>
      <c r="D7232" t="s">
        <v>1985</v>
      </c>
      <c r="E7232" t="s">
        <v>1521</v>
      </c>
      <c r="F7232">
        <v>384406.8300000001</v>
      </c>
    </row>
    <row r="7233" spans="1:6">
      <c r="A7233" t="s">
        <v>27</v>
      </c>
      <c r="B7233" t="s">
        <v>106</v>
      </c>
      <c r="C7233" t="s">
        <v>1988</v>
      </c>
      <c r="D7233" t="s">
        <v>1985</v>
      </c>
      <c r="E7233" t="s">
        <v>1522</v>
      </c>
      <c r="F7233">
        <v>139417.6299999999</v>
      </c>
    </row>
    <row r="7234" spans="1:6">
      <c r="A7234" t="s">
        <v>27</v>
      </c>
      <c r="B7234" t="s">
        <v>106</v>
      </c>
      <c r="C7234" t="s">
        <v>1988</v>
      </c>
      <c r="D7234" t="s">
        <v>1985</v>
      </c>
      <c r="E7234" t="s">
        <v>1523</v>
      </c>
      <c r="F7234">
        <v>233126.0399999999</v>
      </c>
    </row>
    <row r="7235" spans="1:6">
      <c r="A7235" t="s">
        <v>27</v>
      </c>
      <c r="B7235" t="s">
        <v>106</v>
      </c>
      <c r="C7235" t="s">
        <v>1988</v>
      </c>
      <c r="D7235" t="s">
        <v>1985</v>
      </c>
      <c r="E7235" t="s">
        <v>1524</v>
      </c>
      <c r="F7235">
        <v>250328.1900000002</v>
      </c>
    </row>
    <row r="7236" spans="1:6">
      <c r="A7236" t="s">
        <v>27</v>
      </c>
      <c r="B7236" t="s">
        <v>106</v>
      </c>
      <c r="C7236" t="s">
        <v>1988</v>
      </c>
      <c r="D7236" t="s">
        <v>1985</v>
      </c>
      <c r="E7236" t="s">
        <v>1525</v>
      </c>
      <c r="F7236">
        <v>125416.33</v>
      </c>
    </row>
    <row r="7237" spans="1:6">
      <c r="A7237" t="s">
        <v>27</v>
      </c>
      <c r="B7237" t="s">
        <v>106</v>
      </c>
      <c r="C7237" t="s">
        <v>1988</v>
      </c>
      <c r="D7237" t="s">
        <v>1985</v>
      </c>
      <c r="E7237" t="s">
        <v>1526</v>
      </c>
      <c r="F7237">
        <v>310723.4099999999</v>
      </c>
    </row>
    <row r="7238" spans="1:6">
      <c r="A7238" t="s">
        <v>27</v>
      </c>
      <c r="B7238" t="s">
        <v>106</v>
      </c>
      <c r="C7238" t="s">
        <v>1988</v>
      </c>
      <c r="D7238" t="s">
        <v>1985</v>
      </c>
      <c r="E7238" t="s">
        <v>1527</v>
      </c>
      <c r="F7238">
        <v>0</v>
      </c>
    </row>
    <row r="7239" spans="1:6">
      <c r="A7239" t="s">
        <v>27</v>
      </c>
      <c r="B7239" t="s">
        <v>106</v>
      </c>
      <c r="C7239" t="s">
        <v>1988</v>
      </c>
      <c r="D7239" t="s">
        <v>1985</v>
      </c>
      <c r="E7239" t="s">
        <v>1528</v>
      </c>
      <c r="F7239">
        <v>0</v>
      </c>
    </row>
    <row r="7240" spans="1:6">
      <c r="A7240" t="s">
        <v>27</v>
      </c>
      <c r="B7240" t="s">
        <v>106</v>
      </c>
      <c r="C7240" t="s">
        <v>1988</v>
      </c>
      <c r="D7240" t="s">
        <v>1985</v>
      </c>
      <c r="E7240" t="s">
        <v>1529</v>
      </c>
      <c r="F7240">
        <v>0</v>
      </c>
    </row>
    <row r="7241" spans="1:6">
      <c r="A7241" t="s">
        <v>27</v>
      </c>
      <c r="B7241" t="s">
        <v>106</v>
      </c>
      <c r="C7241" t="s">
        <v>1988</v>
      </c>
      <c r="D7241" t="s">
        <v>1985</v>
      </c>
      <c r="E7241" t="s">
        <v>1111</v>
      </c>
      <c r="F7241" t="s">
        <v>1009</v>
      </c>
    </row>
    <row r="7242" spans="1:6">
      <c r="A7242" t="s">
        <v>27</v>
      </c>
      <c r="B7242" t="s">
        <v>106</v>
      </c>
      <c r="C7242" t="s">
        <v>1988</v>
      </c>
      <c r="D7242" t="s">
        <v>1985</v>
      </c>
      <c r="E7242" t="s">
        <v>1113</v>
      </c>
      <c r="F7242">
        <v>4130551.21</v>
      </c>
    </row>
    <row r="7243" spans="1:6">
      <c r="A7243" t="s">
        <v>27</v>
      </c>
      <c r="B7243" t="s">
        <v>106</v>
      </c>
      <c r="C7243" t="s">
        <v>1988</v>
      </c>
      <c r="D7243" t="s">
        <v>1985</v>
      </c>
      <c r="E7243" t="s">
        <v>1122</v>
      </c>
      <c r="F7243" t="s">
        <v>1055</v>
      </c>
    </row>
    <row r="7244" spans="1:6">
      <c r="A7244" t="s">
        <v>27</v>
      </c>
      <c r="B7244" t="s">
        <v>106</v>
      </c>
      <c r="C7244" t="s">
        <v>1988</v>
      </c>
      <c r="D7244" t="s">
        <v>1985</v>
      </c>
      <c r="E7244" t="s">
        <v>1071</v>
      </c>
      <c r="F7244" t="s">
        <v>1007</v>
      </c>
    </row>
    <row r="7245" spans="1:6">
      <c r="A7245" t="s">
        <v>27</v>
      </c>
      <c r="B7245" t="s">
        <v>106</v>
      </c>
      <c r="C7245" t="s">
        <v>1988</v>
      </c>
      <c r="D7245" t="s">
        <v>1985</v>
      </c>
      <c r="E7245" t="s">
        <v>1072</v>
      </c>
      <c r="F7245" t="s">
        <v>1009</v>
      </c>
    </row>
    <row r="7246" spans="1:6">
      <c r="A7246" t="s">
        <v>27</v>
      </c>
      <c r="B7246" t="s">
        <v>106</v>
      </c>
      <c r="C7246" t="s">
        <v>1988</v>
      </c>
      <c r="D7246" t="s">
        <v>1985</v>
      </c>
      <c r="E7246" t="s">
        <v>1133</v>
      </c>
      <c r="F7246" t="s">
        <v>1011</v>
      </c>
    </row>
    <row r="7247" spans="1:6">
      <c r="A7247" t="s">
        <v>27</v>
      </c>
      <c r="B7247" t="s">
        <v>106</v>
      </c>
      <c r="C7247" t="s">
        <v>1988</v>
      </c>
      <c r="D7247" t="s">
        <v>1985</v>
      </c>
      <c r="E7247" t="s">
        <v>1134</v>
      </c>
      <c r="F7247" t="s">
        <v>1013</v>
      </c>
    </row>
    <row r="7248" spans="1:6">
      <c r="A7248" t="s">
        <v>27</v>
      </c>
      <c r="B7248" t="s">
        <v>106</v>
      </c>
      <c r="C7248" t="s">
        <v>1988</v>
      </c>
      <c r="D7248" t="s">
        <v>1985</v>
      </c>
      <c r="E7248" t="s">
        <v>1135</v>
      </c>
      <c r="F7248" t="s">
        <v>1015</v>
      </c>
    </row>
    <row r="7249" spans="1:6">
      <c r="A7249" t="s">
        <v>27</v>
      </c>
      <c r="B7249" t="s">
        <v>106</v>
      </c>
      <c r="C7249" t="s">
        <v>1988</v>
      </c>
      <c r="D7249" t="s">
        <v>1985</v>
      </c>
      <c r="E7249" t="s">
        <v>1414</v>
      </c>
      <c r="F7249" t="s">
        <v>1017</v>
      </c>
    </row>
    <row r="7250" spans="1:6">
      <c r="A7250" t="s">
        <v>27</v>
      </c>
      <c r="B7250" t="s">
        <v>106</v>
      </c>
      <c r="C7250" t="s">
        <v>1988</v>
      </c>
      <c r="D7250" t="s">
        <v>1985</v>
      </c>
      <c r="E7250" t="s">
        <v>1530</v>
      </c>
      <c r="F7250" t="s">
        <v>1019</v>
      </c>
    </row>
    <row r="7251" spans="1:6">
      <c r="A7251" t="s">
        <v>27</v>
      </c>
      <c r="B7251" t="s">
        <v>106</v>
      </c>
      <c r="C7251" t="s">
        <v>1988</v>
      </c>
      <c r="D7251" t="s">
        <v>1985</v>
      </c>
      <c r="E7251" t="s">
        <v>1531</v>
      </c>
      <c r="F7251" t="s">
        <v>1021</v>
      </c>
    </row>
    <row r="7252" spans="1:6">
      <c r="A7252" t="s">
        <v>27</v>
      </c>
      <c r="B7252" t="s">
        <v>106</v>
      </c>
      <c r="C7252" t="s">
        <v>1988</v>
      </c>
      <c r="D7252" t="s">
        <v>1985</v>
      </c>
      <c r="E7252" t="s">
        <v>1532</v>
      </c>
      <c r="F7252" t="s">
        <v>1023</v>
      </c>
    </row>
    <row r="7253" spans="1:6">
      <c r="A7253" t="s">
        <v>27</v>
      </c>
      <c r="B7253" t="s">
        <v>106</v>
      </c>
      <c r="C7253" t="s">
        <v>1988</v>
      </c>
      <c r="D7253" t="s">
        <v>1985</v>
      </c>
      <c r="E7253" t="s">
        <v>1533</v>
      </c>
      <c r="F7253" t="s">
        <v>1066</v>
      </c>
    </row>
    <row r="7254" spans="1:6">
      <c r="A7254" t="s">
        <v>27</v>
      </c>
      <c r="B7254" t="s">
        <v>106</v>
      </c>
      <c r="C7254" t="s">
        <v>1988</v>
      </c>
      <c r="D7254" t="s">
        <v>1985</v>
      </c>
      <c r="E7254" t="s">
        <v>1534</v>
      </c>
      <c r="F7254" t="s">
        <v>1027</v>
      </c>
    </row>
    <row r="7255" spans="1:6">
      <c r="A7255" t="s">
        <v>27</v>
      </c>
      <c r="B7255" t="s">
        <v>106</v>
      </c>
      <c r="C7255" t="s">
        <v>1988</v>
      </c>
      <c r="D7255" t="s">
        <v>1985</v>
      </c>
      <c r="E7255" t="s">
        <v>1535</v>
      </c>
      <c r="F7255" t="s">
        <v>1029</v>
      </c>
    </row>
    <row r="7256" spans="1:6">
      <c r="A7256" t="s">
        <v>27</v>
      </c>
      <c r="B7256" t="s">
        <v>106</v>
      </c>
      <c r="C7256" t="s">
        <v>1988</v>
      </c>
      <c r="D7256" t="s">
        <v>1985</v>
      </c>
      <c r="E7256" t="s">
        <v>1536</v>
      </c>
      <c r="F7256" t="s">
        <v>1031</v>
      </c>
    </row>
    <row r="7257" spans="1:6">
      <c r="A7257" t="s">
        <v>27</v>
      </c>
      <c r="B7257" t="s">
        <v>106</v>
      </c>
      <c r="C7257" t="s">
        <v>1988</v>
      </c>
      <c r="D7257" t="s">
        <v>1985</v>
      </c>
      <c r="E7257" t="s">
        <v>1537</v>
      </c>
      <c r="F7257" t="s">
        <v>1033</v>
      </c>
    </row>
    <row r="7258" spans="1:6">
      <c r="A7258" t="s">
        <v>27</v>
      </c>
      <c r="B7258" t="s">
        <v>106</v>
      </c>
      <c r="C7258" t="s">
        <v>1988</v>
      </c>
      <c r="D7258" t="s">
        <v>1985</v>
      </c>
      <c r="E7258" t="s">
        <v>1073</v>
      </c>
      <c r="F7258" t="s">
        <v>93</v>
      </c>
    </row>
    <row r="7259" spans="1:6">
      <c r="A7259" t="s">
        <v>27</v>
      </c>
      <c r="B7259" t="s">
        <v>106</v>
      </c>
      <c r="C7259" t="s">
        <v>1988</v>
      </c>
      <c r="D7259" t="s">
        <v>1985</v>
      </c>
      <c r="E7259" t="s">
        <v>1074</v>
      </c>
      <c r="F7259">
        <v>0</v>
      </c>
    </row>
    <row r="7260" spans="1:6">
      <c r="A7260" t="s">
        <v>27</v>
      </c>
      <c r="B7260" t="s">
        <v>106</v>
      </c>
      <c r="C7260" t="s">
        <v>1988</v>
      </c>
      <c r="D7260" t="s">
        <v>1985</v>
      </c>
      <c r="E7260" t="s">
        <v>1075</v>
      </c>
      <c r="F7260">
        <v>2024</v>
      </c>
    </row>
    <row r="7261" spans="1:6">
      <c r="A7261" t="s">
        <v>27</v>
      </c>
      <c r="B7261" t="s">
        <v>106</v>
      </c>
      <c r="C7261" t="s">
        <v>1988</v>
      </c>
      <c r="D7261" t="s">
        <v>1985</v>
      </c>
      <c r="E7261" t="s">
        <v>1076</v>
      </c>
      <c r="F7261">
        <v>0</v>
      </c>
    </row>
    <row r="7262" spans="1:6">
      <c r="A7262" t="s">
        <v>27</v>
      </c>
      <c r="B7262" t="s">
        <v>106</v>
      </c>
      <c r="C7262" t="s">
        <v>1988</v>
      </c>
      <c r="D7262" t="s">
        <v>1985</v>
      </c>
      <c r="E7262" t="s">
        <v>1089</v>
      </c>
      <c r="F7262">
        <v>2025</v>
      </c>
    </row>
    <row r="7263" spans="1:6">
      <c r="A7263" t="s">
        <v>27</v>
      </c>
      <c r="B7263" t="s">
        <v>106</v>
      </c>
      <c r="C7263" t="s">
        <v>1988</v>
      </c>
      <c r="D7263" t="s">
        <v>1985</v>
      </c>
      <c r="E7263" t="s">
        <v>1090</v>
      </c>
      <c r="F7263">
        <v>4038</v>
      </c>
    </row>
    <row r="7264" spans="1:6">
      <c r="A7264" t="s">
        <v>27</v>
      </c>
      <c r="B7264" t="s">
        <v>106</v>
      </c>
      <c r="C7264" t="s">
        <v>1988</v>
      </c>
      <c r="D7264" t="s">
        <v>1985</v>
      </c>
      <c r="E7264" t="s">
        <v>1139</v>
      </c>
      <c r="F7264">
        <v>2</v>
      </c>
    </row>
    <row r="7265" spans="1:6">
      <c r="A7265" t="s">
        <v>27</v>
      </c>
      <c r="B7265" t="s">
        <v>106</v>
      </c>
      <c r="C7265" t="s">
        <v>1988</v>
      </c>
      <c r="D7265" t="s">
        <v>1985</v>
      </c>
      <c r="E7265" t="s">
        <v>1140</v>
      </c>
      <c r="F7265">
        <v>1</v>
      </c>
    </row>
    <row r="7266" spans="1:6">
      <c r="A7266" t="s">
        <v>27</v>
      </c>
      <c r="B7266" t="s">
        <v>106</v>
      </c>
      <c r="C7266" t="s">
        <v>1988</v>
      </c>
      <c r="D7266" t="s">
        <v>1985</v>
      </c>
      <c r="E7266" t="s">
        <v>1141</v>
      </c>
      <c r="F7266">
        <v>6</v>
      </c>
    </row>
    <row r="7267" spans="1:6">
      <c r="A7267" t="s">
        <v>27</v>
      </c>
      <c r="B7267" t="s">
        <v>106</v>
      </c>
      <c r="C7267" t="s">
        <v>1988</v>
      </c>
      <c r="D7267" t="s">
        <v>1985</v>
      </c>
      <c r="E7267" t="s">
        <v>1423</v>
      </c>
      <c r="F7267">
        <v>66</v>
      </c>
    </row>
    <row r="7268" spans="1:6">
      <c r="A7268" t="s">
        <v>27</v>
      </c>
      <c r="B7268" t="s">
        <v>106</v>
      </c>
      <c r="C7268" t="s">
        <v>1988</v>
      </c>
      <c r="D7268" t="s">
        <v>1985</v>
      </c>
      <c r="E7268" t="s">
        <v>1538</v>
      </c>
      <c r="F7268">
        <v>76</v>
      </c>
    </row>
    <row r="7269" spans="1:6">
      <c r="A7269" t="s">
        <v>27</v>
      </c>
      <c r="B7269" t="s">
        <v>106</v>
      </c>
      <c r="C7269" t="s">
        <v>1988</v>
      </c>
      <c r="D7269" t="s">
        <v>1985</v>
      </c>
      <c r="E7269" t="s">
        <v>1539</v>
      </c>
      <c r="F7269">
        <v>62</v>
      </c>
    </row>
    <row r="7270" spans="1:6">
      <c r="A7270" t="s">
        <v>27</v>
      </c>
      <c r="B7270" t="s">
        <v>106</v>
      </c>
      <c r="C7270" t="s">
        <v>1988</v>
      </c>
      <c r="D7270" t="s">
        <v>1985</v>
      </c>
      <c r="E7270" t="s">
        <v>1540</v>
      </c>
      <c r="F7270">
        <v>472</v>
      </c>
    </row>
    <row r="7271" spans="1:6">
      <c r="A7271" t="s">
        <v>27</v>
      </c>
      <c r="B7271" t="s">
        <v>106</v>
      </c>
      <c r="C7271" t="s">
        <v>1988</v>
      </c>
      <c r="D7271" t="s">
        <v>1985</v>
      </c>
      <c r="E7271" t="s">
        <v>1541</v>
      </c>
      <c r="F7271">
        <v>655</v>
      </c>
    </row>
    <row r="7272" spans="1:6">
      <c r="A7272" t="s">
        <v>27</v>
      </c>
      <c r="B7272" t="s">
        <v>106</v>
      </c>
      <c r="C7272" t="s">
        <v>1988</v>
      </c>
      <c r="D7272" t="s">
        <v>1985</v>
      </c>
      <c r="E7272" t="s">
        <v>1542</v>
      </c>
      <c r="F7272">
        <v>796</v>
      </c>
    </row>
    <row r="7273" spans="1:6">
      <c r="A7273" t="s">
        <v>27</v>
      </c>
      <c r="B7273" t="s">
        <v>106</v>
      </c>
      <c r="C7273" t="s">
        <v>1988</v>
      </c>
      <c r="D7273" t="s">
        <v>1985</v>
      </c>
      <c r="E7273" t="s">
        <v>1543</v>
      </c>
      <c r="F7273">
        <v>730</v>
      </c>
    </row>
    <row r="7274" spans="1:6">
      <c r="A7274" t="s">
        <v>27</v>
      </c>
      <c r="B7274" t="s">
        <v>106</v>
      </c>
      <c r="C7274" t="s">
        <v>1988</v>
      </c>
      <c r="D7274" t="s">
        <v>1985</v>
      </c>
      <c r="E7274" t="s">
        <v>1544</v>
      </c>
      <c r="F7274">
        <v>567</v>
      </c>
    </row>
    <row r="7275" spans="1:6">
      <c r="A7275" t="s">
        <v>27</v>
      </c>
      <c r="B7275" t="s">
        <v>106</v>
      </c>
      <c r="C7275" t="s">
        <v>1988</v>
      </c>
      <c r="D7275" t="s">
        <v>1985</v>
      </c>
      <c r="E7275" t="s">
        <v>1545</v>
      </c>
      <c r="F7275">
        <v>605</v>
      </c>
    </row>
    <row r="7276" spans="1:6">
      <c r="A7276" t="s">
        <v>27</v>
      </c>
      <c r="B7276" t="s">
        <v>106</v>
      </c>
      <c r="C7276" t="s">
        <v>1988</v>
      </c>
      <c r="D7276" t="s">
        <v>1985</v>
      </c>
      <c r="E7276" t="s">
        <v>1546</v>
      </c>
      <c r="F7276">
        <v>2026</v>
      </c>
    </row>
    <row r="7277" spans="1:6">
      <c r="A7277" t="s">
        <v>27</v>
      </c>
      <c r="B7277" t="s">
        <v>106</v>
      </c>
      <c r="C7277" t="s">
        <v>1988</v>
      </c>
      <c r="D7277" t="s">
        <v>1985</v>
      </c>
      <c r="E7277" t="s">
        <v>1298</v>
      </c>
      <c r="F7277">
        <v>5180</v>
      </c>
    </row>
    <row r="7278" spans="1:6">
      <c r="A7278" t="s">
        <v>27</v>
      </c>
      <c r="B7278" t="s">
        <v>106</v>
      </c>
      <c r="C7278" t="s">
        <v>1988</v>
      </c>
      <c r="D7278" t="s">
        <v>1985</v>
      </c>
      <c r="E7278" t="s">
        <v>1299</v>
      </c>
      <c r="F7278">
        <v>544</v>
      </c>
    </row>
    <row r="7279" spans="1:6">
      <c r="A7279" t="s">
        <v>27</v>
      </c>
      <c r="B7279" t="s">
        <v>106</v>
      </c>
      <c r="C7279" t="s">
        <v>1988</v>
      </c>
      <c r="D7279" t="s">
        <v>1985</v>
      </c>
      <c r="E7279" t="s">
        <v>1300</v>
      </c>
      <c r="F7279">
        <v>546</v>
      </c>
    </row>
    <row r="7280" spans="1:6">
      <c r="A7280" t="s">
        <v>27</v>
      </c>
      <c r="B7280" t="s">
        <v>106</v>
      </c>
      <c r="C7280" t="s">
        <v>1988</v>
      </c>
      <c r="D7280" t="s">
        <v>1985</v>
      </c>
      <c r="E7280" t="s">
        <v>1426</v>
      </c>
      <c r="F7280">
        <v>657</v>
      </c>
    </row>
    <row r="7281" spans="1:6">
      <c r="A7281" t="s">
        <v>27</v>
      </c>
      <c r="B7281" t="s">
        <v>106</v>
      </c>
      <c r="C7281" t="s">
        <v>1988</v>
      </c>
      <c r="D7281" t="s">
        <v>1985</v>
      </c>
      <c r="E7281" t="s">
        <v>1400</v>
      </c>
      <c r="F7281">
        <v>600</v>
      </c>
    </row>
    <row r="7282" spans="1:6">
      <c r="A7282" t="s">
        <v>27</v>
      </c>
      <c r="B7282" t="s">
        <v>106</v>
      </c>
      <c r="C7282" t="s">
        <v>1988</v>
      </c>
      <c r="D7282" t="s">
        <v>1985</v>
      </c>
      <c r="E7282" t="s">
        <v>1846</v>
      </c>
      <c r="F7282">
        <v>518</v>
      </c>
    </row>
    <row r="7283" spans="1:6">
      <c r="A7283" t="s">
        <v>27</v>
      </c>
      <c r="B7283" t="s">
        <v>106</v>
      </c>
      <c r="C7283" t="s">
        <v>1988</v>
      </c>
      <c r="D7283" t="s">
        <v>1985</v>
      </c>
      <c r="E7283" t="s">
        <v>1847</v>
      </c>
      <c r="F7283">
        <v>635</v>
      </c>
    </row>
    <row r="7284" spans="1:6">
      <c r="A7284" t="s">
        <v>27</v>
      </c>
      <c r="B7284" t="s">
        <v>106</v>
      </c>
      <c r="C7284" t="s">
        <v>1988</v>
      </c>
      <c r="D7284" t="s">
        <v>1985</v>
      </c>
      <c r="E7284" t="s">
        <v>1848</v>
      </c>
      <c r="F7284">
        <v>541</v>
      </c>
    </row>
    <row r="7285" spans="1:6">
      <c r="A7285" t="s">
        <v>27</v>
      </c>
      <c r="B7285" t="s">
        <v>106</v>
      </c>
      <c r="C7285" t="s">
        <v>1988</v>
      </c>
      <c r="D7285" t="s">
        <v>1985</v>
      </c>
      <c r="E7285" t="s">
        <v>1796</v>
      </c>
      <c r="F7285">
        <v>441</v>
      </c>
    </row>
    <row r="7286" spans="1:6">
      <c r="A7286" t="s">
        <v>27</v>
      </c>
      <c r="B7286" t="s">
        <v>106</v>
      </c>
      <c r="C7286" t="s">
        <v>1988</v>
      </c>
      <c r="D7286" t="s">
        <v>1985</v>
      </c>
      <c r="E7286" t="s">
        <v>1797</v>
      </c>
      <c r="F7286">
        <v>698</v>
      </c>
    </row>
    <row r="7287" spans="1:6">
      <c r="A7287" t="s">
        <v>27</v>
      </c>
      <c r="B7287" t="s">
        <v>106</v>
      </c>
      <c r="C7287" t="s">
        <v>1988</v>
      </c>
      <c r="D7287" t="s">
        <v>1985</v>
      </c>
      <c r="E7287" t="s">
        <v>1582</v>
      </c>
      <c r="F7287">
        <v>0</v>
      </c>
    </row>
    <row r="7288" spans="1:6">
      <c r="A7288" t="s">
        <v>27</v>
      </c>
      <c r="B7288" t="s">
        <v>106</v>
      </c>
      <c r="C7288" t="s">
        <v>1988</v>
      </c>
      <c r="D7288" t="s">
        <v>1985</v>
      </c>
      <c r="E7288" t="s">
        <v>1584</v>
      </c>
      <c r="F7288">
        <v>0</v>
      </c>
    </row>
    <row r="7289" spans="1:6">
      <c r="A7289" t="s">
        <v>27</v>
      </c>
      <c r="B7289" t="s">
        <v>106</v>
      </c>
      <c r="C7289" t="s">
        <v>1988</v>
      </c>
      <c r="D7289" t="s">
        <v>1985</v>
      </c>
      <c r="E7289" t="s">
        <v>1586</v>
      </c>
      <c r="F7289">
        <v>0</v>
      </c>
    </row>
    <row r="7290" spans="1:6">
      <c r="A7290" t="s">
        <v>27</v>
      </c>
      <c r="B7290" t="s">
        <v>106</v>
      </c>
      <c r="C7290" t="s">
        <v>1988</v>
      </c>
      <c r="D7290" t="s">
        <v>1985</v>
      </c>
      <c r="E7290" t="s">
        <v>1143</v>
      </c>
      <c r="F7290" t="s">
        <v>1009</v>
      </c>
    </row>
    <row r="7291" spans="1:6">
      <c r="A7291" t="s">
        <v>27</v>
      </c>
      <c r="B7291" t="s">
        <v>106</v>
      </c>
      <c r="C7291" t="s">
        <v>1988</v>
      </c>
      <c r="D7291" t="s">
        <v>1985</v>
      </c>
      <c r="E7291" t="s">
        <v>1301</v>
      </c>
      <c r="F7291">
        <v>9218</v>
      </c>
    </row>
    <row r="7292" spans="1:6">
      <c r="A7292" t="s">
        <v>27</v>
      </c>
      <c r="B7292" t="s">
        <v>106</v>
      </c>
      <c r="C7292" t="s">
        <v>1988</v>
      </c>
      <c r="D7292" t="s">
        <v>1985</v>
      </c>
      <c r="E7292" t="s">
        <v>1555</v>
      </c>
      <c r="F7292" t="s">
        <v>1003</v>
      </c>
    </row>
    <row r="7293" spans="1:6">
      <c r="A7293" t="s">
        <v>27</v>
      </c>
      <c r="B7293" t="s">
        <v>106</v>
      </c>
      <c r="C7293" t="s">
        <v>1988</v>
      </c>
      <c r="D7293" t="s">
        <v>1985</v>
      </c>
      <c r="E7293" t="s">
        <v>1173</v>
      </c>
      <c r="F7293" t="s">
        <v>1007</v>
      </c>
    </row>
    <row r="7294" spans="1:6">
      <c r="A7294" t="s">
        <v>27</v>
      </c>
      <c r="B7294" t="s">
        <v>106</v>
      </c>
      <c r="C7294" t="s">
        <v>1988</v>
      </c>
      <c r="D7294" t="s">
        <v>1985</v>
      </c>
      <c r="E7294" t="s">
        <v>1175</v>
      </c>
      <c r="F7294" t="s">
        <v>1009</v>
      </c>
    </row>
    <row r="7295" spans="1:6">
      <c r="A7295" t="s">
        <v>27</v>
      </c>
      <c r="B7295" t="s">
        <v>106</v>
      </c>
      <c r="C7295" t="s">
        <v>1988</v>
      </c>
      <c r="D7295" t="s">
        <v>1985</v>
      </c>
      <c r="E7295" t="s">
        <v>1176</v>
      </c>
      <c r="F7295" t="s">
        <v>1011</v>
      </c>
    </row>
    <row r="7296" spans="1:6">
      <c r="A7296" t="s">
        <v>27</v>
      </c>
      <c r="B7296" t="s">
        <v>106</v>
      </c>
      <c r="C7296" t="s">
        <v>1988</v>
      </c>
      <c r="D7296" t="s">
        <v>1985</v>
      </c>
      <c r="E7296" t="s">
        <v>1177</v>
      </c>
      <c r="F7296" t="s">
        <v>1013</v>
      </c>
    </row>
    <row r="7297" spans="1:6">
      <c r="A7297" t="s">
        <v>27</v>
      </c>
      <c r="B7297" t="s">
        <v>106</v>
      </c>
      <c r="C7297" t="s">
        <v>1988</v>
      </c>
      <c r="D7297" t="s">
        <v>1985</v>
      </c>
      <c r="E7297" t="s">
        <v>1178</v>
      </c>
      <c r="F7297" t="s">
        <v>1015</v>
      </c>
    </row>
    <row r="7298" spans="1:6">
      <c r="A7298" t="s">
        <v>27</v>
      </c>
      <c r="B7298" t="s">
        <v>106</v>
      </c>
      <c r="C7298" t="s">
        <v>1988</v>
      </c>
      <c r="D7298" t="s">
        <v>1985</v>
      </c>
      <c r="E7298" t="s">
        <v>1179</v>
      </c>
      <c r="F7298" t="s">
        <v>1017</v>
      </c>
    </row>
    <row r="7299" spans="1:6">
      <c r="A7299" t="s">
        <v>27</v>
      </c>
      <c r="B7299" t="s">
        <v>106</v>
      </c>
      <c r="C7299" t="s">
        <v>1988</v>
      </c>
      <c r="D7299" t="s">
        <v>1985</v>
      </c>
      <c r="E7299" t="s">
        <v>1180</v>
      </c>
      <c r="F7299" t="s">
        <v>1019</v>
      </c>
    </row>
    <row r="7300" spans="1:6">
      <c r="A7300" t="s">
        <v>27</v>
      </c>
      <c r="B7300" t="s">
        <v>106</v>
      </c>
      <c r="C7300" t="s">
        <v>1988</v>
      </c>
      <c r="D7300" t="s">
        <v>1985</v>
      </c>
      <c r="E7300" t="s">
        <v>1181</v>
      </c>
      <c r="F7300" t="s">
        <v>1021</v>
      </c>
    </row>
    <row r="7301" spans="1:6">
      <c r="A7301" t="s">
        <v>27</v>
      </c>
      <c r="B7301" t="s">
        <v>106</v>
      </c>
      <c r="C7301" t="s">
        <v>1988</v>
      </c>
      <c r="D7301" t="s">
        <v>1985</v>
      </c>
      <c r="E7301" t="s">
        <v>1849</v>
      </c>
      <c r="F7301" t="s">
        <v>1023</v>
      </c>
    </row>
    <row r="7302" spans="1:6">
      <c r="A7302" t="s">
        <v>27</v>
      </c>
      <c r="B7302" t="s">
        <v>106</v>
      </c>
      <c r="C7302" t="s">
        <v>1988</v>
      </c>
      <c r="D7302" t="s">
        <v>1985</v>
      </c>
      <c r="E7302" t="s">
        <v>1810</v>
      </c>
      <c r="F7302" t="s">
        <v>1025</v>
      </c>
    </row>
    <row r="7303" spans="1:6">
      <c r="A7303" t="s">
        <v>27</v>
      </c>
      <c r="B7303" t="s">
        <v>106</v>
      </c>
      <c r="C7303" t="s">
        <v>1988</v>
      </c>
      <c r="D7303" t="s">
        <v>1985</v>
      </c>
      <c r="E7303" t="s">
        <v>1811</v>
      </c>
      <c r="F7303" t="s">
        <v>1027</v>
      </c>
    </row>
    <row r="7304" spans="1:6">
      <c r="A7304" t="s">
        <v>27</v>
      </c>
      <c r="B7304" t="s">
        <v>106</v>
      </c>
      <c r="C7304" t="s">
        <v>1988</v>
      </c>
      <c r="D7304" t="s">
        <v>1985</v>
      </c>
      <c r="E7304" t="s">
        <v>1812</v>
      </c>
      <c r="F7304" t="s">
        <v>1029</v>
      </c>
    </row>
    <row r="7305" spans="1:6">
      <c r="A7305" t="s">
        <v>27</v>
      </c>
      <c r="B7305" t="s">
        <v>106</v>
      </c>
      <c r="C7305" t="s">
        <v>1988</v>
      </c>
      <c r="D7305" t="s">
        <v>1985</v>
      </c>
      <c r="E7305" t="s">
        <v>1850</v>
      </c>
      <c r="F7305" t="s">
        <v>1031</v>
      </c>
    </row>
    <row r="7306" spans="1:6">
      <c r="A7306" t="s">
        <v>27</v>
      </c>
      <c r="B7306" t="s">
        <v>106</v>
      </c>
      <c r="C7306" t="s">
        <v>1988</v>
      </c>
      <c r="D7306" t="s">
        <v>1985</v>
      </c>
      <c r="E7306" t="s">
        <v>1851</v>
      </c>
      <c r="F7306" t="s">
        <v>1033</v>
      </c>
    </row>
    <row r="7307" spans="1:6">
      <c r="A7307" t="s">
        <v>27</v>
      </c>
      <c r="B7307" t="s">
        <v>106</v>
      </c>
      <c r="C7307" t="s">
        <v>1988</v>
      </c>
      <c r="D7307" t="s">
        <v>1985</v>
      </c>
      <c r="E7307" t="s">
        <v>1556</v>
      </c>
      <c r="F7307" t="s">
        <v>93</v>
      </c>
    </row>
    <row r="7308" spans="1:6">
      <c r="A7308" t="s">
        <v>27</v>
      </c>
      <c r="B7308" t="s">
        <v>106</v>
      </c>
      <c r="C7308" t="s">
        <v>1988</v>
      </c>
      <c r="D7308" t="s">
        <v>1985</v>
      </c>
      <c r="E7308" t="s">
        <v>1452</v>
      </c>
      <c r="F7308">
        <v>0</v>
      </c>
    </row>
    <row r="7309" spans="1:6">
      <c r="A7309" t="s">
        <v>27</v>
      </c>
      <c r="B7309" t="s">
        <v>106</v>
      </c>
      <c r="C7309" t="s">
        <v>1988</v>
      </c>
      <c r="D7309" t="s">
        <v>1985</v>
      </c>
      <c r="E7309" t="s">
        <v>1182</v>
      </c>
      <c r="F7309">
        <v>2024</v>
      </c>
    </row>
    <row r="7310" spans="1:6">
      <c r="A7310" t="s">
        <v>27</v>
      </c>
      <c r="B7310" t="s">
        <v>106</v>
      </c>
      <c r="C7310" t="s">
        <v>1988</v>
      </c>
      <c r="D7310" t="s">
        <v>1985</v>
      </c>
      <c r="E7310" t="s">
        <v>1184</v>
      </c>
      <c r="F7310">
        <v>0</v>
      </c>
    </row>
    <row r="7311" spans="1:6">
      <c r="A7311" t="s">
        <v>27</v>
      </c>
      <c r="B7311" t="s">
        <v>106</v>
      </c>
      <c r="C7311" t="s">
        <v>1988</v>
      </c>
      <c r="D7311" t="s">
        <v>1985</v>
      </c>
      <c r="E7311" t="s">
        <v>1191</v>
      </c>
      <c r="F7311">
        <v>2025</v>
      </c>
    </row>
    <row r="7312" spans="1:6">
      <c r="A7312" t="s">
        <v>27</v>
      </c>
      <c r="B7312" t="s">
        <v>106</v>
      </c>
      <c r="C7312" t="s">
        <v>1988</v>
      </c>
      <c r="D7312" t="s">
        <v>1985</v>
      </c>
      <c r="E7312" t="s">
        <v>1463</v>
      </c>
      <c r="F7312">
        <v>146055.56</v>
      </c>
    </row>
    <row r="7313" spans="1:6">
      <c r="A7313" t="s">
        <v>27</v>
      </c>
      <c r="B7313" t="s">
        <v>106</v>
      </c>
      <c r="C7313" t="s">
        <v>1988</v>
      </c>
      <c r="D7313" t="s">
        <v>1985</v>
      </c>
      <c r="E7313" t="s">
        <v>1193</v>
      </c>
      <c r="F7313">
        <v>1.22</v>
      </c>
    </row>
    <row r="7314" spans="1:6">
      <c r="A7314" t="s">
        <v>27</v>
      </c>
      <c r="B7314" t="s">
        <v>106</v>
      </c>
      <c r="C7314" t="s">
        <v>1988</v>
      </c>
      <c r="D7314" t="s">
        <v>1985</v>
      </c>
      <c r="E7314" t="s">
        <v>1194</v>
      </c>
      <c r="F7314">
        <v>1.61</v>
      </c>
    </row>
    <row r="7315" spans="1:6">
      <c r="A7315" t="s">
        <v>27</v>
      </c>
      <c r="B7315" t="s">
        <v>106</v>
      </c>
      <c r="C7315" t="s">
        <v>1988</v>
      </c>
      <c r="D7315" t="s">
        <v>1985</v>
      </c>
      <c r="E7315" t="s">
        <v>1195</v>
      </c>
      <c r="F7315">
        <v>10.05</v>
      </c>
    </row>
    <row r="7316" spans="1:6">
      <c r="A7316" t="s">
        <v>27</v>
      </c>
      <c r="B7316" t="s">
        <v>106</v>
      </c>
      <c r="C7316" t="s">
        <v>1988</v>
      </c>
      <c r="D7316" t="s">
        <v>1985</v>
      </c>
      <c r="E7316" t="s">
        <v>1196</v>
      </c>
      <c r="F7316">
        <v>740.3799999999998</v>
      </c>
    </row>
    <row r="7317" spans="1:6">
      <c r="A7317" t="s">
        <v>27</v>
      </c>
      <c r="B7317" t="s">
        <v>106</v>
      </c>
      <c r="C7317" t="s">
        <v>1988</v>
      </c>
      <c r="D7317" t="s">
        <v>1985</v>
      </c>
      <c r="E7317" t="s">
        <v>1197</v>
      </c>
      <c r="F7317">
        <v>710.0399999999998</v>
      </c>
    </row>
    <row r="7318" spans="1:6">
      <c r="A7318" t="s">
        <v>27</v>
      </c>
      <c r="B7318" t="s">
        <v>106</v>
      </c>
      <c r="C7318" t="s">
        <v>1988</v>
      </c>
      <c r="D7318" t="s">
        <v>1985</v>
      </c>
      <c r="E7318" t="s">
        <v>1198</v>
      </c>
      <c r="F7318">
        <v>1208.01</v>
      </c>
    </row>
    <row r="7319" spans="1:6">
      <c r="A7319" t="s">
        <v>27</v>
      </c>
      <c r="B7319" t="s">
        <v>106</v>
      </c>
      <c r="C7319" t="s">
        <v>1988</v>
      </c>
      <c r="D7319" t="s">
        <v>1985</v>
      </c>
      <c r="E7319" t="s">
        <v>1852</v>
      </c>
      <c r="F7319">
        <v>14199.65000000003</v>
      </c>
    </row>
    <row r="7320" spans="1:6">
      <c r="A7320" t="s">
        <v>27</v>
      </c>
      <c r="B7320" t="s">
        <v>106</v>
      </c>
      <c r="C7320" t="s">
        <v>1988</v>
      </c>
      <c r="D7320" t="s">
        <v>1985</v>
      </c>
      <c r="E7320" t="s">
        <v>1818</v>
      </c>
      <c r="F7320">
        <v>24462.71000000004</v>
      </c>
    </row>
    <row r="7321" spans="1:6">
      <c r="A7321" t="s">
        <v>27</v>
      </c>
      <c r="B7321" t="s">
        <v>106</v>
      </c>
      <c r="C7321" t="s">
        <v>1988</v>
      </c>
      <c r="D7321" t="s">
        <v>1985</v>
      </c>
      <c r="E7321" t="s">
        <v>1819</v>
      </c>
      <c r="F7321">
        <v>24029.72000000003</v>
      </c>
    </row>
    <row r="7322" spans="1:6">
      <c r="A7322" t="s">
        <v>27</v>
      </c>
      <c r="B7322" t="s">
        <v>106</v>
      </c>
      <c r="C7322" t="s">
        <v>1988</v>
      </c>
      <c r="D7322" t="s">
        <v>1985</v>
      </c>
      <c r="E7322" t="s">
        <v>1650</v>
      </c>
      <c r="F7322">
        <v>30431.65000000001</v>
      </c>
    </row>
    <row r="7323" spans="1:6">
      <c r="A7323" t="s">
        <v>27</v>
      </c>
      <c r="B7323" t="s">
        <v>106</v>
      </c>
      <c r="C7323" t="s">
        <v>1988</v>
      </c>
      <c r="D7323" t="s">
        <v>1985</v>
      </c>
      <c r="E7323" t="s">
        <v>1652</v>
      </c>
      <c r="F7323">
        <v>23144.49999999998</v>
      </c>
    </row>
    <row r="7324" spans="1:6">
      <c r="A7324" t="s">
        <v>27</v>
      </c>
      <c r="B7324" t="s">
        <v>106</v>
      </c>
      <c r="C7324" t="s">
        <v>1988</v>
      </c>
      <c r="D7324" t="s">
        <v>1985</v>
      </c>
      <c r="E7324" t="s">
        <v>1653</v>
      </c>
      <c r="F7324">
        <v>27116.02000000001</v>
      </c>
    </row>
    <row r="7325" spans="1:6">
      <c r="A7325" t="s">
        <v>27</v>
      </c>
      <c r="B7325" t="s">
        <v>106</v>
      </c>
      <c r="C7325" t="s">
        <v>1988</v>
      </c>
      <c r="D7325" t="s">
        <v>1985</v>
      </c>
      <c r="E7325" t="s">
        <v>1199</v>
      </c>
      <c r="F7325">
        <v>2026</v>
      </c>
    </row>
    <row r="7326" spans="1:6">
      <c r="A7326" t="s">
        <v>27</v>
      </c>
      <c r="B7326" t="s">
        <v>106</v>
      </c>
      <c r="C7326" t="s">
        <v>1988</v>
      </c>
      <c r="D7326" t="s">
        <v>1985</v>
      </c>
      <c r="E7326" t="s">
        <v>1467</v>
      </c>
      <c r="F7326">
        <v>231137.72</v>
      </c>
    </row>
    <row r="7327" spans="1:6">
      <c r="A7327" t="s">
        <v>27</v>
      </c>
      <c r="B7327" t="s">
        <v>106</v>
      </c>
      <c r="C7327" t="s">
        <v>1988</v>
      </c>
      <c r="D7327" t="s">
        <v>1985</v>
      </c>
      <c r="E7327" t="s">
        <v>1468</v>
      </c>
      <c r="F7327">
        <v>23425.00999999999</v>
      </c>
    </row>
    <row r="7328" spans="1:6">
      <c r="A7328" t="s">
        <v>27</v>
      </c>
      <c r="B7328" t="s">
        <v>106</v>
      </c>
      <c r="C7328" t="s">
        <v>1988</v>
      </c>
      <c r="D7328" t="s">
        <v>1985</v>
      </c>
      <c r="E7328" t="s">
        <v>1469</v>
      </c>
      <c r="F7328">
        <v>11130.62000000001</v>
      </c>
    </row>
    <row r="7329" spans="1:6">
      <c r="A7329" t="s">
        <v>27</v>
      </c>
      <c r="B7329" t="s">
        <v>106</v>
      </c>
      <c r="C7329" t="s">
        <v>1988</v>
      </c>
      <c r="D7329" t="s">
        <v>1985</v>
      </c>
      <c r="E7329" t="s">
        <v>1470</v>
      </c>
      <c r="F7329">
        <v>65945.92999999999</v>
      </c>
    </row>
    <row r="7330" spans="1:6">
      <c r="A7330" t="s">
        <v>27</v>
      </c>
      <c r="B7330" t="s">
        <v>106</v>
      </c>
      <c r="C7330" t="s">
        <v>1988</v>
      </c>
      <c r="D7330" t="s">
        <v>1985</v>
      </c>
      <c r="E7330" t="s">
        <v>1472</v>
      </c>
      <c r="F7330">
        <v>35477.12</v>
      </c>
    </row>
    <row r="7331" spans="1:6">
      <c r="A7331" t="s">
        <v>27</v>
      </c>
      <c r="B7331" t="s">
        <v>106</v>
      </c>
      <c r="C7331" t="s">
        <v>1988</v>
      </c>
      <c r="D7331" t="s">
        <v>1985</v>
      </c>
      <c r="E7331" t="s">
        <v>1559</v>
      </c>
      <c r="F7331">
        <v>12711.81000000002</v>
      </c>
    </row>
    <row r="7332" spans="1:6">
      <c r="A7332" t="s">
        <v>27</v>
      </c>
      <c r="B7332" t="s">
        <v>106</v>
      </c>
      <c r="C7332" t="s">
        <v>1988</v>
      </c>
      <c r="D7332" t="s">
        <v>1985</v>
      </c>
      <c r="E7332" t="s">
        <v>1560</v>
      </c>
      <c r="F7332">
        <v>21089.64999999999</v>
      </c>
    </row>
    <row r="7333" spans="1:6">
      <c r="A7333" t="s">
        <v>27</v>
      </c>
      <c r="B7333" t="s">
        <v>106</v>
      </c>
      <c r="C7333" t="s">
        <v>1988</v>
      </c>
      <c r="D7333" t="s">
        <v>1985</v>
      </c>
      <c r="E7333" t="s">
        <v>1853</v>
      </c>
      <c r="F7333">
        <v>22686.41000000003</v>
      </c>
    </row>
    <row r="7334" spans="1:6">
      <c r="A7334" t="s">
        <v>27</v>
      </c>
      <c r="B7334" t="s">
        <v>106</v>
      </c>
      <c r="C7334" t="s">
        <v>1988</v>
      </c>
      <c r="D7334" t="s">
        <v>1985</v>
      </c>
      <c r="E7334" t="s">
        <v>1820</v>
      </c>
      <c r="F7334">
        <v>11249.96000000002</v>
      </c>
    </row>
    <row r="7335" spans="1:6">
      <c r="A7335" t="s">
        <v>27</v>
      </c>
      <c r="B7335" t="s">
        <v>106</v>
      </c>
      <c r="C7335" t="s">
        <v>1988</v>
      </c>
      <c r="D7335" t="s">
        <v>1985</v>
      </c>
      <c r="E7335" t="s">
        <v>1821</v>
      </c>
      <c r="F7335">
        <v>27421.20999999996</v>
      </c>
    </row>
    <row r="7336" spans="1:6">
      <c r="A7336" t="s">
        <v>27</v>
      </c>
      <c r="B7336" t="s">
        <v>106</v>
      </c>
      <c r="C7336" t="s">
        <v>1988</v>
      </c>
      <c r="D7336" t="s">
        <v>1985</v>
      </c>
      <c r="E7336" t="s">
        <v>1822</v>
      </c>
      <c r="F7336">
        <v>0</v>
      </c>
    </row>
    <row r="7337" spans="1:6">
      <c r="A7337" t="s">
        <v>27</v>
      </c>
      <c r="B7337" t="s">
        <v>106</v>
      </c>
      <c r="C7337" t="s">
        <v>1988</v>
      </c>
      <c r="D7337" t="s">
        <v>1985</v>
      </c>
      <c r="E7337" t="s">
        <v>1854</v>
      </c>
      <c r="F7337">
        <v>0</v>
      </c>
    </row>
    <row r="7338" spans="1:6">
      <c r="A7338" t="s">
        <v>27</v>
      </c>
      <c r="B7338" t="s">
        <v>106</v>
      </c>
      <c r="C7338" t="s">
        <v>1988</v>
      </c>
      <c r="D7338" t="s">
        <v>1985</v>
      </c>
      <c r="E7338" t="s">
        <v>1855</v>
      </c>
      <c r="F7338">
        <v>0</v>
      </c>
    </row>
    <row r="7339" spans="1:6">
      <c r="A7339" t="s">
        <v>27</v>
      </c>
      <c r="B7339" t="s">
        <v>106</v>
      </c>
      <c r="C7339" t="s">
        <v>1988</v>
      </c>
      <c r="D7339" t="s">
        <v>1985</v>
      </c>
      <c r="E7339" t="s">
        <v>1201</v>
      </c>
      <c r="F7339" t="s">
        <v>1009</v>
      </c>
    </row>
    <row r="7340" spans="1:6">
      <c r="A7340" t="s">
        <v>27</v>
      </c>
      <c r="B7340" t="s">
        <v>106</v>
      </c>
      <c r="C7340" t="s">
        <v>1988</v>
      </c>
      <c r="D7340" t="s">
        <v>1985</v>
      </c>
      <c r="E7340" t="s">
        <v>1202</v>
      </c>
      <c r="F7340">
        <v>377193.28</v>
      </c>
    </row>
    <row r="7341" spans="1:6">
      <c r="A7341" t="s">
        <v>27</v>
      </c>
      <c r="B7341" t="s">
        <v>106</v>
      </c>
      <c r="C7341" t="s">
        <v>1988</v>
      </c>
      <c r="D7341" t="s">
        <v>1986</v>
      </c>
      <c r="E7341" t="s">
        <v>1093</v>
      </c>
      <c r="F7341" t="s">
        <v>1094</v>
      </c>
    </row>
    <row r="7342" spans="1:6">
      <c r="A7342" t="s">
        <v>27</v>
      </c>
      <c r="B7342" t="s">
        <v>106</v>
      </c>
      <c r="C7342" t="s">
        <v>1988</v>
      </c>
      <c r="D7342" t="s">
        <v>1986</v>
      </c>
      <c r="E7342" t="s">
        <v>994</v>
      </c>
      <c r="F7342" t="s">
        <v>106</v>
      </c>
    </row>
    <row r="7343" spans="1:6">
      <c r="A7343" t="s">
        <v>27</v>
      </c>
      <c r="B7343" t="s">
        <v>106</v>
      </c>
      <c r="C7343" t="s">
        <v>1988</v>
      </c>
      <c r="D7343" t="s">
        <v>1986</v>
      </c>
      <c r="E7343" t="s">
        <v>995</v>
      </c>
      <c r="F7343" t="s">
        <v>996</v>
      </c>
    </row>
    <row r="7344" spans="1:6">
      <c r="A7344" t="s">
        <v>27</v>
      </c>
      <c r="B7344" t="s">
        <v>106</v>
      </c>
      <c r="C7344" t="s">
        <v>1988</v>
      </c>
      <c r="D7344" t="s">
        <v>1986</v>
      </c>
      <c r="E7344" t="s">
        <v>997</v>
      </c>
      <c r="F7344" t="s">
        <v>1989</v>
      </c>
    </row>
    <row r="7345" spans="1:6">
      <c r="A7345" t="s">
        <v>27</v>
      </c>
      <c r="B7345" t="s">
        <v>106</v>
      </c>
      <c r="C7345" t="s">
        <v>1988</v>
      </c>
      <c r="D7345" t="s">
        <v>1986</v>
      </c>
      <c r="E7345" t="s">
        <v>999</v>
      </c>
      <c r="F7345" t="s">
        <v>1000</v>
      </c>
    </row>
    <row r="7346" spans="1:6">
      <c r="A7346" t="s">
        <v>27</v>
      </c>
      <c r="B7346" t="s">
        <v>106</v>
      </c>
      <c r="C7346" t="s">
        <v>1988</v>
      </c>
      <c r="D7346" t="s">
        <v>1986</v>
      </c>
      <c r="E7346" t="s">
        <v>1001</v>
      </c>
      <c r="F7346" t="s">
        <v>23</v>
      </c>
    </row>
    <row r="7347" spans="1:6">
      <c r="A7347" t="s">
        <v>27</v>
      </c>
      <c r="B7347" t="s">
        <v>106</v>
      </c>
      <c r="C7347" t="s">
        <v>1988</v>
      </c>
      <c r="D7347" t="s">
        <v>1986</v>
      </c>
      <c r="E7347" t="s">
        <v>1002</v>
      </c>
      <c r="F7347" t="s">
        <v>1095</v>
      </c>
    </row>
    <row r="7348" spans="1:6">
      <c r="A7348" t="s">
        <v>27</v>
      </c>
      <c r="B7348" t="s">
        <v>106</v>
      </c>
      <c r="C7348" t="s">
        <v>1988</v>
      </c>
      <c r="D7348" t="s">
        <v>1986</v>
      </c>
      <c r="E7348" t="s">
        <v>1006</v>
      </c>
      <c r="F7348" t="s">
        <v>1097</v>
      </c>
    </row>
    <row r="7349" spans="1:6">
      <c r="A7349" t="s">
        <v>27</v>
      </c>
      <c r="B7349" t="s">
        <v>106</v>
      </c>
      <c r="C7349" t="s">
        <v>1988</v>
      </c>
      <c r="D7349" t="s">
        <v>1986</v>
      </c>
      <c r="E7349" t="s">
        <v>1008</v>
      </c>
      <c r="F7349" t="s">
        <v>1098</v>
      </c>
    </row>
    <row r="7350" spans="1:6">
      <c r="A7350" t="s">
        <v>27</v>
      </c>
      <c r="B7350" t="s">
        <v>106</v>
      </c>
      <c r="C7350" t="s">
        <v>1988</v>
      </c>
      <c r="D7350" t="s">
        <v>1986</v>
      </c>
      <c r="E7350" t="s">
        <v>1035</v>
      </c>
      <c r="F7350" t="s">
        <v>1009</v>
      </c>
    </row>
    <row r="7351" spans="1:6">
      <c r="A7351" t="s">
        <v>27</v>
      </c>
      <c r="B7351" t="s">
        <v>106</v>
      </c>
      <c r="C7351" t="s">
        <v>1988</v>
      </c>
      <c r="D7351" t="s">
        <v>1986</v>
      </c>
      <c r="E7351" t="s">
        <v>1099</v>
      </c>
      <c r="F7351" t="s">
        <v>93</v>
      </c>
    </row>
    <row r="7352" spans="1:6">
      <c r="A7352" t="s">
        <v>27</v>
      </c>
      <c r="B7352" t="s">
        <v>106</v>
      </c>
      <c r="C7352" t="s">
        <v>1988</v>
      </c>
      <c r="D7352" t="s">
        <v>1986</v>
      </c>
      <c r="E7352" t="s">
        <v>1100</v>
      </c>
      <c r="F7352">
        <v>2024</v>
      </c>
    </row>
    <row r="7353" spans="1:6">
      <c r="A7353" t="s">
        <v>27</v>
      </c>
      <c r="B7353" t="s">
        <v>106</v>
      </c>
      <c r="C7353" t="s">
        <v>1988</v>
      </c>
      <c r="D7353" t="s">
        <v>1986</v>
      </c>
      <c r="E7353" t="s">
        <v>1101</v>
      </c>
      <c r="F7353">
        <v>2025</v>
      </c>
    </row>
    <row r="7354" spans="1:6">
      <c r="A7354" t="s">
        <v>27</v>
      </c>
      <c r="B7354" t="s">
        <v>106</v>
      </c>
      <c r="C7354" t="s">
        <v>1988</v>
      </c>
      <c r="D7354" t="s">
        <v>1986</v>
      </c>
      <c r="E7354" t="s">
        <v>1512</v>
      </c>
      <c r="F7354">
        <v>2026</v>
      </c>
    </row>
    <row r="7355" spans="1:6">
      <c r="A7355" t="s">
        <v>27</v>
      </c>
      <c r="B7355" t="s">
        <v>106</v>
      </c>
      <c r="C7355" t="s">
        <v>1988</v>
      </c>
      <c r="D7355" t="s">
        <v>1986</v>
      </c>
      <c r="E7355" t="s">
        <v>1036</v>
      </c>
      <c r="F7355" t="s">
        <v>1102</v>
      </c>
    </row>
    <row r="7356" spans="1:6">
      <c r="A7356" t="s">
        <v>27</v>
      </c>
      <c r="B7356" t="s">
        <v>106</v>
      </c>
      <c r="C7356" t="s">
        <v>1988</v>
      </c>
      <c r="D7356" t="s">
        <v>1986</v>
      </c>
      <c r="E7356" t="s">
        <v>1037</v>
      </c>
      <c r="F7356">
        <v>4130551.21</v>
      </c>
    </row>
    <row r="7357" spans="1:6">
      <c r="A7357" t="s">
        <v>27</v>
      </c>
      <c r="B7357" t="s">
        <v>106</v>
      </c>
      <c r="C7357" t="s">
        <v>1988</v>
      </c>
      <c r="D7357" t="s">
        <v>1986</v>
      </c>
      <c r="E7357" t="s">
        <v>1103</v>
      </c>
      <c r="F7357">
        <v>0</v>
      </c>
    </row>
    <row r="7358" spans="1:6">
      <c r="A7358" t="s">
        <v>27</v>
      </c>
      <c r="B7358" t="s">
        <v>106</v>
      </c>
      <c r="C7358" t="s">
        <v>1988</v>
      </c>
      <c r="D7358" t="s">
        <v>1986</v>
      </c>
      <c r="E7358" t="s">
        <v>1104</v>
      </c>
      <c r="F7358">
        <v>0</v>
      </c>
    </row>
    <row r="7359" spans="1:6">
      <c r="A7359" t="s">
        <v>27</v>
      </c>
      <c r="B7359" t="s">
        <v>106</v>
      </c>
      <c r="C7359" t="s">
        <v>1988</v>
      </c>
      <c r="D7359" t="s">
        <v>1986</v>
      </c>
      <c r="E7359" t="s">
        <v>1105</v>
      </c>
      <c r="F7359">
        <v>1598170.86</v>
      </c>
    </row>
    <row r="7360" spans="1:6">
      <c r="A7360" t="s">
        <v>27</v>
      </c>
      <c r="B7360" t="s">
        <v>106</v>
      </c>
      <c r="C7360" t="s">
        <v>1988</v>
      </c>
      <c r="D7360" t="s">
        <v>1986</v>
      </c>
      <c r="E7360" t="s">
        <v>1346</v>
      </c>
      <c r="F7360">
        <v>2532380.35</v>
      </c>
    </row>
    <row r="7361" spans="1:6">
      <c r="A7361" t="s">
        <v>27</v>
      </c>
      <c r="B7361" t="s">
        <v>106</v>
      </c>
      <c r="C7361" t="s">
        <v>1988</v>
      </c>
      <c r="D7361" t="s">
        <v>1986</v>
      </c>
      <c r="E7361" t="s">
        <v>1038</v>
      </c>
      <c r="F7361" t="s">
        <v>1106</v>
      </c>
    </row>
    <row r="7362" spans="1:6">
      <c r="A7362" t="s">
        <v>27</v>
      </c>
      <c r="B7362" t="s">
        <v>106</v>
      </c>
      <c r="C7362" t="s">
        <v>1988</v>
      </c>
      <c r="D7362" t="s">
        <v>1986</v>
      </c>
      <c r="E7362" t="s">
        <v>1039</v>
      </c>
      <c r="F7362">
        <v>3957924.589999999</v>
      </c>
    </row>
    <row r="7363" spans="1:6">
      <c r="A7363" t="s">
        <v>27</v>
      </c>
      <c r="B7363" t="s">
        <v>106</v>
      </c>
      <c r="C7363" t="s">
        <v>1988</v>
      </c>
      <c r="D7363" t="s">
        <v>1986</v>
      </c>
      <c r="E7363" t="s">
        <v>1040</v>
      </c>
      <c r="F7363">
        <v>0</v>
      </c>
    </row>
    <row r="7364" spans="1:6">
      <c r="A7364" t="s">
        <v>27</v>
      </c>
      <c r="B7364" t="s">
        <v>106</v>
      </c>
      <c r="C7364" t="s">
        <v>1988</v>
      </c>
      <c r="D7364" t="s">
        <v>1986</v>
      </c>
      <c r="E7364" t="s">
        <v>1041</v>
      </c>
      <c r="F7364">
        <v>0</v>
      </c>
    </row>
    <row r="7365" spans="1:6">
      <c r="A7365" t="s">
        <v>27</v>
      </c>
      <c r="B7365" t="s">
        <v>106</v>
      </c>
      <c r="C7365" t="s">
        <v>1988</v>
      </c>
      <c r="D7365" t="s">
        <v>1986</v>
      </c>
      <c r="E7365" t="s">
        <v>1042</v>
      </c>
      <c r="F7365">
        <v>1598170.86</v>
      </c>
    </row>
    <row r="7366" spans="1:6">
      <c r="A7366" t="s">
        <v>27</v>
      </c>
      <c r="B7366" t="s">
        <v>106</v>
      </c>
      <c r="C7366" t="s">
        <v>1988</v>
      </c>
      <c r="D7366" t="s">
        <v>1986</v>
      </c>
      <c r="E7366" t="s">
        <v>1043</v>
      </c>
      <c r="F7366">
        <v>2359753.729999999</v>
      </c>
    </row>
    <row r="7367" spans="1:6">
      <c r="A7367" t="s">
        <v>27</v>
      </c>
      <c r="B7367" t="s">
        <v>106</v>
      </c>
      <c r="C7367" t="s">
        <v>1988</v>
      </c>
      <c r="D7367" t="s">
        <v>1986</v>
      </c>
      <c r="E7367" t="s">
        <v>1052</v>
      </c>
      <c r="F7367" t="s">
        <v>1107</v>
      </c>
    </row>
    <row r="7368" spans="1:6">
      <c r="A7368" t="s">
        <v>27</v>
      </c>
      <c r="B7368" t="s">
        <v>106</v>
      </c>
      <c r="C7368" t="s">
        <v>1988</v>
      </c>
      <c r="D7368" t="s">
        <v>1986</v>
      </c>
      <c r="E7368" t="s">
        <v>1053</v>
      </c>
      <c r="F7368">
        <v>3324354.989999999</v>
      </c>
    </row>
    <row r="7369" spans="1:6">
      <c r="A7369" t="s">
        <v>27</v>
      </c>
      <c r="B7369" t="s">
        <v>106</v>
      </c>
      <c r="C7369" t="s">
        <v>1988</v>
      </c>
      <c r="D7369" t="s">
        <v>1986</v>
      </c>
      <c r="E7369" t="s">
        <v>1108</v>
      </c>
      <c r="F7369">
        <v>0</v>
      </c>
    </row>
    <row r="7370" spans="1:6">
      <c r="A7370" t="s">
        <v>27</v>
      </c>
      <c r="B7370" t="s">
        <v>106</v>
      </c>
      <c r="C7370" t="s">
        <v>1988</v>
      </c>
      <c r="D7370" t="s">
        <v>1986</v>
      </c>
      <c r="E7370" t="s">
        <v>1109</v>
      </c>
      <c r="F7370">
        <v>0</v>
      </c>
    </row>
    <row r="7371" spans="1:6">
      <c r="A7371" t="s">
        <v>27</v>
      </c>
      <c r="B7371" t="s">
        <v>106</v>
      </c>
      <c r="C7371" t="s">
        <v>1988</v>
      </c>
      <c r="D7371" t="s">
        <v>1986</v>
      </c>
      <c r="E7371" t="s">
        <v>1110</v>
      </c>
      <c r="F7371">
        <v>1480274.83</v>
      </c>
    </row>
    <row r="7372" spans="1:6">
      <c r="A7372" t="s">
        <v>27</v>
      </c>
      <c r="B7372" t="s">
        <v>106</v>
      </c>
      <c r="C7372" t="s">
        <v>1988</v>
      </c>
      <c r="D7372" t="s">
        <v>1986</v>
      </c>
      <c r="E7372" t="s">
        <v>1521</v>
      </c>
      <c r="F7372">
        <v>1844080.159999999</v>
      </c>
    </row>
    <row r="7373" spans="1:6">
      <c r="A7373" t="s">
        <v>27</v>
      </c>
      <c r="B7373" t="s">
        <v>106</v>
      </c>
      <c r="C7373" t="s">
        <v>1988</v>
      </c>
      <c r="D7373" t="s">
        <v>1986</v>
      </c>
      <c r="E7373" t="s">
        <v>1111</v>
      </c>
      <c r="F7373" t="s">
        <v>1112</v>
      </c>
    </row>
    <row r="7374" spans="1:6">
      <c r="A7374" t="s">
        <v>27</v>
      </c>
      <c r="B7374" t="s">
        <v>106</v>
      </c>
      <c r="C7374" t="s">
        <v>1988</v>
      </c>
      <c r="D7374" t="s">
        <v>1986</v>
      </c>
      <c r="E7374" t="s">
        <v>1113</v>
      </c>
      <c r="F7374">
        <v>0</v>
      </c>
    </row>
    <row r="7375" spans="1:6">
      <c r="A7375" t="s">
        <v>27</v>
      </c>
      <c r="B7375" t="s">
        <v>106</v>
      </c>
      <c r="C7375" t="s">
        <v>1988</v>
      </c>
      <c r="D7375" t="s">
        <v>1986</v>
      </c>
      <c r="E7375" t="s">
        <v>1114</v>
      </c>
      <c r="F7375">
        <v>0</v>
      </c>
    </row>
    <row r="7376" spans="1:6">
      <c r="A7376" t="s">
        <v>27</v>
      </c>
      <c r="B7376" t="s">
        <v>106</v>
      </c>
      <c r="C7376" t="s">
        <v>1988</v>
      </c>
      <c r="D7376" t="s">
        <v>1986</v>
      </c>
      <c r="E7376" t="s">
        <v>1115</v>
      </c>
      <c r="F7376">
        <v>0</v>
      </c>
    </row>
    <row r="7377" spans="1:6">
      <c r="A7377" t="s">
        <v>27</v>
      </c>
      <c r="B7377" t="s">
        <v>106</v>
      </c>
      <c r="C7377" t="s">
        <v>1988</v>
      </c>
      <c r="D7377" t="s">
        <v>1986</v>
      </c>
      <c r="E7377" t="s">
        <v>1116</v>
      </c>
      <c r="F7377">
        <v>0</v>
      </c>
    </row>
    <row r="7378" spans="1:6">
      <c r="A7378" t="s">
        <v>27</v>
      </c>
      <c r="B7378" t="s">
        <v>106</v>
      </c>
      <c r="C7378" t="s">
        <v>1988</v>
      </c>
      <c r="D7378" t="s">
        <v>1986</v>
      </c>
      <c r="E7378" t="s">
        <v>1857</v>
      </c>
      <c r="F7378">
        <v>0</v>
      </c>
    </row>
    <row r="7379" spans="1:6">
      <c r="A7379" t="s">
        <v>27</v>
      </c>
      <c r="B7379" t="s">
        <v>106</v>
      </c>
      <c r="C7379" t="s">
        <v>1988</v>
      </c>
      <c r="D7379" t="s">
        <v>1986</v>
      </c>
      <c r="E7379" t="s">
        <v>1054</v>
      </c>
      <c r="F7379" t="s">
        <v>1117</v>
      </c>
    </row>
    <row r="7380" spans="1:6">
      <c r="A7380" t="s">
        <v>27</v>
      </c>
      <c r="B7380" t="s">
        <v>106</v>
      </c>
      <c r="C7380" t="s">
        <v>1988</v>
      </c>
      <c r="D7380" t="s">
        <v>1986</v>
      </c>
      <c r="E7380" t="s">
        <v>1118</v>
      </c>
      <c r="F7380">
        <v>633569.5999999999</v>
      </c>
    </row>
    <row r="7381" spans="1:6">
      <c r="A7381" t="s">
        <v>27</v>
      </c>
      <c r="B7381" t="s">
        <v>106</v>
      </c>
      <c r="C7381" t="s">
        <v>1988</v>
      </c>
      <c r="D7381" t="s">
        <v>1986</v>
      </c>
      <c r="E7381" t="s">
        <v>1119</v>
      </c>
      <c r="F7381">
        <v>0</v>
      </c>
    </row>
    <row r="7382" spans="1:6">
      <c r="A7382" t="s">
        <v>27</v>
      </c>
      <c r="B7382" t="s">
        <v>106</v>
      </c>
      <c r="C7382" t="s">
        <v>1988</v>
      </c>
      <c r="D7382" t="s">
        <v>1986</v>
      </c>
      <c r="E7382" t="s">
        <v>1120</v>
      </c>
      <c r="F7382">
        <v>0</v>
      </c>
    </row>
    <row r="7383" spans="1:6">
      <c r="A7383" t="s">
        <v>27</v>
      </c>
      <c r="B7383" t="s">
        <v>106</v>
      </c>
      <c r="C7383" t="s">
        <v>1988</v>
      </c>
      <c r="D7383" t="s">
        <v>1986</v>
      </c>
      <c r="E7383" t="s">
        <v>1121</v>
      </c>
      <c r="F7383">
        <v>117896.0300000001</v>
      </c>
    </row>
    <row r="7384" spans="1:6">
      <c r="A7384" t="s">
        <v>27</v>
      </c>
      <c r="B7384" t="s">
        <v>106</v>
      </c>
      <c r="C7384" t="s">
        <v>1988</v>
      </c>
      <c r="D7384" t="s">
        <v>1986</v>
      </c>
      <c r="E7384" t="s">
        <v>1858</v>
      </c>
      <c r="F7384">
        <v>515673.5699999998</v>
      </c>
    </row>
    <row r="7385" spans="1:6">
      <c r="A7385" t="s">
        <v>27</v>
      </c>
      <c r="B7385" t="s">
        <v>106</v>
      </c>
      <c r="C7385" t="s">
        <v>1988</v>
      </c>
      <c r="D7385" t="s">
        <v>1986</v>
      </c>
      <c r="E7385" t="s">
        <v>1122</v>
      </c>
      <c r="F7385" t="s">
        <v>1859</v>
      </c>
    </row>
    <row r="7386" spans="1:6">
      <c r="A7386" t="s">
        <v>27</v>
      </c>
      <c r="B7386" t="s">
        <v>106</v>
      </c>
      <c r="C7386" t="s">
        <v>1988</v>
      </c>
      <c r="D7386" t="s">
        <v>1986</v>
      </c>
      <c r="E7386" t="s">
        <v>1124</v>
      </c>
      <c r="F7386">
        <v>60823.01000000002</v>
      </c>
    </row>
    <row r="7387" spans="1:6">
      <c r="A7387" t="s">
        <v>27</v>
      </c>
      <c r="B7387" t="s">
        <v>106</v>
      </c>
      <c r="C7387" t="s">
        <v>1988</v>
      </c>
      <c r="D7387" t="s">
        <v>1986</v>
      </c>
      <c r="E7387" t="s">
        <v>1126</v>
      </c>
      <c r="F7387">
        <v>0</v>
      </c>
    </row>
    <row r="7388" spans="1:6">
      <c r="A7388" t="s">
        <v>27</v>
      </c>
      <c r="B7388" t="s">
        <v>106</v>
      </c>
      <c r="C7388" t="s">
        <v>1988</v>
      </c>
      <c r="D7388" t="s">
        <v>1986</v>
      </c>
      <c r="E7388" t="s">
        <v>1127</v>
      </c>
      <c r="F7388">
        <v>0</v>
      </c>
    </row>
    <row r="7389" spans="1:6">
      <c r="A7389" t="s">
        <v>27</v>
      </c>
      <c r="B7389" t="s">
        <v>106</v>
      </c>
      <c r="C7389" t="s">
        <v>1988</v>
      </c>
      <c r="D7389" t="s">
        <v>1986</v>
      </c>
      <c r="E7389" t="s">
        <v>1128</v>
      </c>
      <c r="F7389">
        <v>44804.97000000003</v>
      </c>
    </row>
    <row r="7390" spans="1:6">
      <c r="A7390" t="s">
        <v>27</v>
      </c>
      <c r="B7390" t="s">
        <v>106</v>
      </c>
      <c r="C7390" t="s">
        <v>1988</v>
      </c>
      <c r="D7390" t="s">
        <v>1986</v>
      </c>
      <c r="E7390" t="s">
        <v>1355</v>
      </c>
      <c r="F7390">
        <v>16018.04</v>
      </c>
    </row>
    <row r="7391" spans="1:6">
      <c r="A7391" t="s">
        <v>27</v>
      </c>
      <c r="B7391" t="s">
        <v>106</v>
      </c>
      <c r="C7391" t="s">
        <v>1988</v>
      </c>
      <c r="D7391" t="s">
        <v>1986</v>
      </c>
      <c r="E7391" t="s">
        <v>1056</v>
      </c>
      <c r="F7391" t="s">
        <v>1860</v>
      </c>
    </row>
    <row r="7392" spans="1:6">
      <c r="A7392" t="s">
        <v>27</v>
      </c>
      <c r="B7392" t="s">
        <v>106</v>
      </c>
      <c r="C7392" t="s">
        <v>1988</v>
      </c>
      <c r="D7392" t="s">
        <v>1986</v>
      </c>
      <c r="E7392" t="s">
        <v>1057</v>
      </c>
      <c r="F7392">
        <v>2659.69</v>
      </c>
    </row>
    <row r="7393" spans="1:6">
      <c r="A7393" t="s">
        <v>27</v>
      </c>
      <c r="B7393" t="s">
        <v>106</v>
      </c>
      <c r="C7393" t="s">
        <v>1988</v>
      </c>
      <c r="D7393" t="s">
        <v>1986</v>
      </c>
      <c r="E7393" t="s">
        <v>1058</v>
      </c>
      <c r="F7393">
        <v>0</v>
      </c>
    </row>
    <row r="7394" spans="1:6">
      <c r="A7394" t="s">
        <v>27</v>
      </c>
      <c r="B7394" t="s">
        <v>106</v>
      </c>
      <c r="C7394" t="s">
        <v>1988</v>
      </c>
      <c r="D7394" t="s">
        <v>1986</v>
      </c>
      <c r="E7394" t="s">
        <v>1059</v>
      </c>
      <c r="F7394">
        <v>0</v>
      </c>
    </row>
    <row r="7395" spans="1:6">
      <c r="A7395" t="s">
        <v>27</v>
      </c>
      <c r="B7395" t="s">
        <v>106</v>
      </c>
      <c r="C7395" t="s">
        <v>1988</v>
      </c>
      <c r="D7395" t="s">
        <v>1986</v>
      </c>
      <c r="E7395" t="s">
        <v>1060</v>
      </c>
      <c r="F7395">
        <v>65</v>
      </c>
    </row>
    <row r="7396" spans="1:6">
      <c r="A7396" t="s">
        <v>27</v>
      </c>
      <c r="B7396" t="s">
        <v>106</v>
      </c>
      <c r="C7396" t="s">
        <v>1988</v>
      </c>
      <c r="D7396" t="s">
        <v>1986</v>
      </c>
      <c r="E7396" t="s">
        <v>1061</v>
      </c>
      <c r="F7396">
        <v>2594.69</v>
      </c>
    </row>
    <row r="7397" spans="1:6">
      <c r="A7397" t="s">
        <v>27</v>
      </c>
      <c r="B7397" t="s">
        <v>106</v>
      </c>
      <c r="C7397" t="s">
        <v>1988</v>
      </c>
      <c r="D7397" t="s">
        <v>1986</v>
      </c>
      <c r="E7397" t="s">
        <v>1071</v>
      </c>
      <c r="F7397" t="s">
        <v>1861</v>
      </c>
    </row>
    <row r="7398" spans="1:6">
      <c r="A7398" t="s">
        <v>27</v>
      </c>
      <c r="B7398" t="s">
        <v>106</v>
      </c>
      <c r="C7398" t="s">
        <v>1988</v>
      </c>
      <c r="D7398" t="s">
        <v>1986</v>
      </c>
      <c r="E7398" t="s">
        <v>1072</v>
      </c>
      <c r="F7398">
        <v>144171.1599999999</v>
      </c>
    </row>
    <row r="7399" spans="1:6">
      <c r="A7399" t="s">
        <v>27</v>
      </c>
      <c r="B7399" t="s">
        <v>106</v>
      </c>
      <c r="C7399" t="s">
        <v>1988</v>
      </c>
      <c r="D7399" t="s">
        <v>1986</v>
      </c>
      <c r="E7399" t="s">
        <v>1133</v>
      </c>
      <c r="F7399">
        <v>0</v>
      </c>
    </row>
    <row r="7400" spans="1:6">
      <c r="A7400" t="s">
        <v>27</v>
      </c>
      <c r="B7400" t="s">
        <v>106</v>
      </c>
      <c r="C7400" t="s">
        <v>1988</v>
      </c>
      <c r="D7400" t="s">
        <v>1986</v>
      </c>
      <c r="E7400" t="s">
        <v>1134</v>
      </c>
      <c r="F7400">
        <v>0</v>
      </c>
    </row>
    <row r="7401" spans="1:6">
      <c r="A7401" t="s">
        <v>27</v>
      </c>
      <c r="B7401" t="s">
        <v>106</v>
      </c>
      <c r="C7401" t="s">
        <v>1988</v>
      </c>
      <c r="D7401" t="s">
        <v>1986</v>
      </c>
      <c r="E7401" t="s">
        <v>1135</v>
      </c>
      <c r="F7401">
        <v>71294.83000000005</v>
      </c>
    </row>
    <row r="7402" spans="1:6">
      <c r="A7402" t="s">
        <v>27</v>
      </c>
      <c r="B7402" t="s">
        <v>106</v>
      </c>
      <c r="C7402" t="s">
        <v>1988</v>
      </c>
      <c r="D7402" t="s">
        <v>1986</v>
      </c>
      <c r="E7402" t="s">
        <v>1414</v>
      </c>
      <c r="F7402">
        <v>72876.3299999999</v>
      </c>
    </row>
    <row r="7403" spans="1:6">
      <c r="A7403" t="s">
        <v>27</v>
      </c>
      <c r="B7403" t="s">
        <v>106</v>
      </c>
      <c r="C7403" t="s">
        <v>1988</v>
      </c>
      <c r="D7403" t="s">
        <v>1986</v>
      </c>
      <c r="E7403" t="s">
        <v>1073</v>
      </c>
      <c r="F7403" t="s">
        <v>1862</v>
      </c>
    </row>
    <row r="7404" spans="1:6">
      <c r="A7404" t="s">
        <v>27</v>
      </c>
      <c r="B7404" t="s">
        <v>106</v>
      </c>
      <c r="C7404" t="s">
        <v>1988</v>
      </c>
      <c r="D7404" t="s">
        <v>1986</v>
      </c>
      <c r="E7404" t="s">
        <v>1074</v>
      </c>
      <c r="F7404">
        <v>25.31999999999999</v>
      </c>
    </row>
    <row r="7405" spans="1:6">
      <c r="A7405" t="s">
        <v>27</v>
      </c>
      <c r="B7405" t="s">
        <v>106</v>
      </c>
      <c r="C7405" t="s">
        <v>1988</v>
      </c>
      <c r="D7405" t="s">
        <v>1986</v>
      </c>
      <c r="E7405" t="s">
        <v>1296</v>
      </c>
      <c r="F7405">
        <v>0</v>
      </c>
    </row>
    <row r="7406" spans="1:6">
      <c r="A7406" t="s">
        <v>27</v>
      </c>
      <c r="B7406" t="s">
        <v>106</v>
      </c>
      <c r="C7406" t="s">
        <v>1988</v>
      </c>
      <c r="D7406" t="s">
        <v>1986</v>
      </c>
      <c r="E7406" t="s">
        <v>1297</v>
      </c>
      <c r="F7406">
        <v>0</v>
      </c>
    </row>
    <row r="7407" spans="1:6">
      <c r="A7407" t="s">
        <v>27</v>
      </c>
      <c r="B7407" t="s">
        <v>106</v>
      </c>
      <c r="C7407" t="s">
        <v>1988</v>
      </c>
      <c r="D7407" t="s">
        <v>1986</v>
      </c>
      <c r="E7407" t="s">
        <v>1364</v>
      </c>
      <c r="F7407">
        <v>25.31999999999999</v>
      </c>
    </row>
    <row r="7408" spans="1:6">
      <c r="A7408" t="s">
        <v>27</v>
      </c>
      <c r="B7408" t="s">
        <v>106</v>
      </c>
      <c r="C7408" t="s">
        <v>1988</v>
      </c>
      <c r="D7408" t="s">
        <v>1986</v>
      </c>
      <c r="E7408" t="s">
        <v>1365</v>
      </c>
      <c r="F7408">
        <v>0</v>
      </c>
    </row>
    <row r="7409" spans="1:6">
      <c r="A7409" t="s">
        <v>27</v>
      </c>
      <c r="B7409" t="s">
        <v>106</v>
      </c>
      <c r="C7409" t="s">
        <v>1988</v>
      </c>
      <c r="D7409" t="s">
        <v>1986</v>
      </c>
      <c r="E7409" t="s">
        <v>1075</v>
      </c>
      <c r="F7409" t="s">
        <v>1863</v>
      </c>
    </row>
    <row r="7410" spans="1:6">
      <c r="A7410" t="s">
        <v>27</v>
      </c>
      <c r="B7410" t="s">
        <v>106</v>
      </c>
      <c r="C7410" t="s">
        <v>1988</v>
      </c>
      <c r="D7410" t="s">
        <v>1986</v>
      </c>
      <c r="E7410" t="s">
        <v>1076</v>
      </c>
      <c r="F7410">
        <v>673.88</v>
      </c>
    </row>
    <row r="7411" spans="1:6">
      <c r="A7411" t="s">
        <v>27</v>
      </c>
      <c r="B7411" t="s">
        <v>106</v>
      </c>
      <c r="C7411" t="s">
        <v>1988</v>
      </c>
      <c r="D7411" t="s">
        <v>1986</v>
      </c>
      <c r="E7411" t="s">
        <v>1077</v>
      </c>
      <c r="F7411">
        <v>0</v>
      </c>
    </row>
    <row r="7412" spans="1:6">
      <c r="A7412" t="s">
        <v>27</v>
      </c>
      <c r="B7412" t="s">
        <v>106</v>
      </c>
      <c r="C7412" t="s">
        <v>1988</v>
      </c>
      <c r="D7412" t="s">
        <v>1986</v>
      </c>
      <c r="E7412" t="s">
        <v>1078</v>
      </c>
      <c r="F7412">
        <v>0</v>
      </c>
    </row>
    <row r="7413" spans="1:6">
      <c r="A7413" t="s">
        <v>27</v>
      </c>
      <c r="B7413" t="s">
        <v>106</v>
      </c>
      <c r="C7413" t="s">
        <v>1988</v>
      </c>
      <c r="D7413" t="s">
        <v>1986</v>
      </c>
      <c r="E7413" t="s">
        <v>1079</v>
      </c>
      <c r="F7413">
        <v>671.12</v>
      </c>
    </row>
    <row r="7414" spans="1:6">
      <c r="A7414" t="s">
        <v>27</v>
      </c>
      <c r="B7414" t="s">
        <v>106</v>
      </c>
      <c r="C7414" t="s">
        <v>1988</v>
      </c>
      <c r="D7414" t="s">
        <v>1986</v>
      </c>
      <c r="E7414" t="s">
        <v>1080</v>
      </c>
      <c r="F7414">
        <v>2.76</v>
      </c>
    </row>
    <row r="7415" spans="1:6">
      <c r="A7415" t="s">
        <v>27</v>
      </c>
      <c r="B7415" t="s">
        <v>106</v>
      </c>
      <c r="C7415" t="s">
        <v>1988</v>
      </c>
      <c r="D7415" t="s">
        <v>1986</v>
      </c>
      <c r="E7415" t="s">
        <v>1089</v>
      </c>
      <c r="F7415" t="s">
        <v>1864</v>
      </c>
    </row>
    <row r="7416" spans="1:6">
      <c r="A7416" t="s">
        <v>27</v>
      </c>
      <c r="B7416" t="s">
        <v>106</v>
      </c>
      <c r="C7416" t="s">
        <v>1988</v>
      </c>
      <c r="D7416" t="s">
        <v>1986</v>
      </c>
      <c r="E7416" t="s">
        <v>1090</v>
      </c>
      <c r="F7416">
        <v>423769.17</v>
      </c>
    </row>
    <row r="7417" spans="1:6">
      <c r="A7417" t="s">
        <v>27</v>
      </c>
      <c r="B7417" t="s">
        <v>106</v>
      </c>
      <c r="C7417" t="s">
        <v>1988</v>
      </c>
      <c r="D7417" t="s">
        <v>1986</v>
      </c>
      <c r="E7417" t="s">
        <v>1139</v>
      </c>
      <c r="F7417">
        <v>0</v>
      </c>
    </row>
    <row r="7418" spans="1:6">
      <c r="A7418" t="s">
        <v>27</v>
      </c>
      <c r="B7418" t="s">
        <v>106</v>
      </c>
      <c r="C7418" t="s">
        <v>1988</v>
      </c>
      <c r="D7418" t="s">
        <v>1986</v>
      </c>
      <c r="E7418" t="s">
        <v>1140</v>
      </c>
      <c r="F7418">
        <v>0</v>
      </c>
    </row>
    <row r="7419" spans="1:6">
      <c r="A7419" t="s">
        <v>27</v>
      </c>
      <c r="B7419" t="s">
        <v>106</v>
      </c>
      <c r="C7419" t="s">
        <v>1988</v>
      </c>
      <c r="D7419" t="s">
        <v>1986</v>
      </c>
      <c r="E7419" t="s">
        <v>1141</v>
      </c>
      <c r="F7419">
        <v>984.8200000000001</v>
      </c>
    </row>
    <row r="7420" spans="1:6">
      <c r="A7420" t="s">
        <v>27</v>
      </c>
      <c r="B7420" t="s">
        <v>106</v>
      </c>
      <c r="C7420" t="s">
        <v>1988</v>
      </c>
      <c r="D7420" t="s">
        <v>1986</v>
      </c>
      <c r="E7420" t="s">
        <v>1423</v>
      </c>
      <c r="F7420">
        <v>422784.35</v>
      </c>
    </row>
    <row r="7421" spans="1:6">
      <c r="A7421" t="s">
        <v>27</v>
      </c>
      <c r="B7421" t="s">
        <v>106</v>
      </c>
      <c r="C7421" t="s">
        <v>1988</v>
      </c>
      <c r="D7421" t="s">
        <v>1986</v>
      </c>
      <c r="E7421" t="s">
        <v>1546</v>
      </c>
      <c r="F7421" t="s">
        <v>1865</v>
      </c>
    </row>
    <row r="7422" spans="1:6">
      <c r="A7422" t="s">
        <v>27</v>
      </c>
      <c r="B7422" t="s">
        <v>106</v>
      </c>
      <c r="C7422" t="s">
        <v>1988</v>
      </c>
      <c r="D7422" t="s">
        <v>1986</v>
      </c>
      <c r="E7422" t="s">
        <v>1298</v>
      </c>
      <c r="F7422">
        <v>948.7099999999996</v>
      </c>
    </row>
    <row r="7423" spans="1:6">
      <c r="A7423" t="s">
        <v>27</v>
      </c>
      <c r="B7423" t="s">
        <v>106</v>
      </c>
      <c r="C7423" t="s">
        <v>1988</v>
      </c>
      <c r="D7423" t="s">
        <v>1986</v>
      </c>
      <c r="E7423" t="s">
        <v>1299</v>
      </c>
      <c r="F7423">
        <v>0</v>
      </c>
    </row>
    <row r="7424" spans="1:6">
      <c r="A7424" t="s">
        <v>27</v>
      </c>
      <c r="B7424" t="s">
        <v>106</v>
      </c>
      <c r="C7424" t="s">
        <v>1988</v>
      </c>
      <c r="D7424" t="s">
        <v>1986</v>
      </c>
      <c r="E7424" t="s">
        <v>1300</v>
      </c>
      <c r="F7424">
        <v>0</v>
      </c>
    </row>
    <row r="7425" spans="1:6">
      <c r="A7425" t="s">
        <v>27</v>
      </c>
      <c r="B7425" t="s">
        <v>106</v>
      </c>
      <c r="C7425" t="s">
        <v>1988</v>
      </c>
      <c r="D7425" t="s">
        <v>1986</v>
      </c>
      <c r="E7425" t="s">
        <v>1426</v>
      </c>
      <c r="F7425">
        <v>49.96999999999999</v>
      </c>
    </row>
    <row r="7426" spans="1:6">
      <c r="A7426" t="s">
        <v>27</v>
      </c>
      <c r="B7426" t="s">
        <v>106</v>
      </c>
      <c r="C7426" t="s">
        <v>1988</v>
      </c>
      <c r="D7426" t="s">
        <v>1986</v>
      </c>
      <c r="E7426" t="s">
        <v>1400</v>
      </c>
      <c r="F7426">
        <v>898.7399999999996</v>
      </c>
    </row>
    <row r="7427" spans="1:6">
      <c r="A7427" t="s">
        <v>27</v>
      </c>
      <c r="B7427" t="s">
        <v>106</v>
      </c>
      <c r="C7427" t="s">
        <v>1988</v>
      </c>
      <c r="D7427" t="s">
        <v>1986</v>
      </c>
      <c r="E7427" t="s">
        <v>1143</v>
      </c>
      <c r="F7427" t="s">
        <v>1866</v>
      </c>
    </row>
    <row r="7428" spans="1:6">
      <c r="A7428" t="s">
        <v>27</v>
      </c>
      <c r="B7428" t="s">
        <v>106</v>
      </c>
      <c r="C7428" t="s">
        <v>1988</v>
      </c>
      <c r="D7428" t="s">
        <v>1986</v>
      </c>
      <c r="E7428" t="s">
        <v>1301</v>
      </c>
      <c r="F7428">
        <v>498.66</v>
      </c>
    </row>
    <row r="7429" spans="1:6">
      <c r="A7429" t="s">
        <v>27</v>
      </c>
      <c r="B7429" t="s">
        <v>106</v>
      </c>
      <c r="C7429" t="s">
        <v>1988</v>
      </c>
      <c r="D7429" t="s">
        <v>1986</v>
      </c>
      <c r="E7429" t="s">
        <v>1302</v>
      </c>
      <c r="F7429">
        <v>0</v>
      </c>
    </row>
    <row r="7430" spans="1:6">
      <c r="A7430" t="s">
        <v>27</v>
      </c>
      <c r="B7430" t="s">
        <v>106</v>
      </c>
      <c r="C7430" t="s">
        <v>1988</v>
      </c>
      <c r="D7430" t="s">
        <v>1986</v>
      </c>
      <c r="E7430" t="s">
        <v>1303</v>
      </c>
      <c r="F7430">
        <v>0</v>
      </c>
    </row>
    <row r="7431" spans="1:6">
      <c r="A7431" t="s">
        <v>27</v>
      </c>
      <c r="B7431" t="s">
        <v>106</v>
      </c>
      <c r="C7431" t="s">
        <v>1988</v>
      </c>
      <c r="D7431" t="s">
        <v>1986</v>
      </c>
      <c r="E7431" t="s">
        <v>1429</v>
      </c>
      <c r="F7431">
        <v>0</v>
      </c>
    </row>
    <row r="7432" spans="1:6">
      <c r="A7432" t="s">
        <v>27</v>
      </c>
      <c r="B7432" t="s">
        <v>106</v>
      </c>
      <c r="C7432" t="s">
        <v>1988</v>
      </c>
      <c r="D7432" t="s">
        <v>1986</v>
      </c>
      <c r="E7432" t="s">
        <v>1145</v>
      </c>
      <c r="F7432">
        <v>498.66</v>
      </c>
    </row>
    <row r="7433" spans="1:6">
      <c r="A7433" t="s">
        <v>27</v>
      </c>
      <c r="B7433" t="s">
        <v>106</v>
      </c>
      <c r="C7433" t="s">
        <v>1988</v>
      </c>
      <c r="D7433" t="s">
        <v>1986</v>
      </c>
      <c r="E7433" t="s">
        <v>1554</v>
      </c>
      <c r="F7433" t="s">
        <v>1123</v>
      </c>
    </row>
    <row r="7434" spans="1:6">
      <c r="A7434" t="s">
        <v>27</v>
      </c>
      <c r="B7434" t="s">
        <v>106</v>
      </c>
      <c r="C7434" t="s">
        <v>1988</v>
      </c>
      <c r="D7434" t="s">
        <v>1986</v>
      </c>
      <c r="E7434" t="s">
        <v>1392</v>
      </c>
      <c r="F7434">
        <v>0.9582073647744459</v>
      </c>
    </row>
    <row r="7435" spans="1:6">
      <c r="A7435" t="s">
        <v>27</v>
      </c>
      <c r="B7435" t="s">
        <v>106</v>
      </c>
      <c r="C7435" t="s">
        <v>1988</v>
      </c>
      <c r="D7435" t="s">
        <v>1986</v>
      </c>
      <c r="E7435" t="s">
        <v>1393</v>
      </c>
      <c r="F7435">
        <v>0</v>
      </c>
    </row>
    <row r="7436" spans="1:6">
      <c r="A7436" t="s">
        <v>27</v>
      </c>
      <c r="B7436" t="s">
        <v>106</v>
      </c>
      <c r="C7436" t="s">
        <v>1988</v>
      </c>
      <c r="D7436" t="s">
        <v>1986</v>
      </c>
      <c r="E7436" t="s">
        <v>1394</v>
      </c>
      <c r="F7436">
        <v>0</v>
      </c>
    </row>
    <row r="7437" spans="1:6">
      <c r="A7437" t="s">
        <v>27</v>
      </c>
      <c r="B7437" t="s">
        <v>106</v>
      </c>
      <c r="C7437" t="s">
        <v>1988</v>
      </c>
      <c r="D7437" t="s">
        <v>1986</v>
      </c>
      <c r="E7437" t="s">
        <v>1432</v>
      </c>
      <c r="F7437">
        <v>1</v>
      </c>
    </row>
    <row r="7438" spans="1:6">
      <c r="A7438" t="s">
        <v>27</v>
      </c>
      <c r="B7438" t="s">
        <v>106</v>
      </c>
      <c r="C7438" t="s">
        <v>1988</v>
      </c>
      <c r="D7438" t="s">
        <v>1986</v>
      </c>
      <c r="E7438" t="s">
        <v>1434</v>
      </c>
      <c r="F7438">
        <v>0.9318322699826663</v>
      </c>
    </row>
    <row r="7439" spans="1:6">
      <c r="A7439" t="s">
        <v>27</v>
      </c>
      <c r="B7439" t="s">
        <v>106</v>
      </c>
      <c r="C7439" t="s">
        <v>1988</v>
      </c>
      <c r="D7439" t="s">
        <v>1986</v>
      </c>
      <c r="E7439" t="s">
        <v>1147</v>
      </c>
      <c r="F7439" t="s">
        <v>1130</v>
      </c>
    </row>
    <row r="7440" spans="1:6">
      <c r="A7440" t="s">
        <v>27</v>
      </c>
      <c r="B7440" t="s">
        <v>106</v>
      </c>
      <c r="C7440" t="s">
        <v>1988</v>
      </c>
      <c r="D7440" t="s">
        <v>1986</v>
      </c>
      <c r="E7440" t="s">
        <v>1149</v>
      </c>
      <c r="F7440">
        <v>172626.620000001</v>
      </c>
    </row>
    <row r="7441" spans="1:6">
      <c r="A7441" t="s">
        <v>27</v>
      </c>
      <c r="B7441" t="s">
        <v>106</v>
      </c>
      <c r="C7441" t="s">
        <v>1988</v>
      </c>
      <c r="D7441" t="s">
        <v>1986</v>
      </c>
      <c r="E7441" t="s">
        <v>1437</v>
      </c>
      <c r="F7441">
        <v>0</v>
      </c>
    </row>
    <row r="7442" spans="1:6">
      <c r="A7442" t="s">
        <v>27</v>
      </c>
      <c r="B7442" t="s">
        <v>106</v>
      </c>
      <c r="C7442" t="s">
        <v>1988</v>
      </c>
      <c r="D7442" t="s">
        <v>1986</v>
      </c>
      <c r="E7442" t="s">
        <v>1438</v>
      </c>
      <c r="F7442">
        <v>0</v>
      </c>
    </row>
    <row r="7443" spans="1:6">
      <c r="A7443" t="s">
        <v>27</v>
      </c>
      <c r="B7443" t="s">
        <v>106</v>
      </c>
      <c r="C7443" t="s">
        <v>1988</v>
      </c>
      <c r="D7443" t="s">
        <v>1986</v>
      </c>
      <c r="E7443" t="s">
        <v>1439</v>
      </c>
      <c r="F7443">
        <v>0</v>
      </c>
    </row>
    <row r="7444" spans="1:6">
      <c r="A7444" t="s">
        <v>27</v>
      </c>
      <c r="B7444" t="s">
        <v>106</v>
      </c>
      <c r="C7444" t="s">
        <v>1988</v>
      </c>
      <c r="D7444" t="s">
        <v>1986</v>
      </c>
      <c r="E7444" t="s">
        <v>1441</v>
      </c>
      <c r="F7444">
        <v>172626.620000001</v>
      </c>
    </row>
    <row r="7445" spans="1:6">
      <c r="A7445" t="s">
        <v>27</v>
      </c>
      <c r="B7445" t="s">
        <v>106</v>
      </c>
      <c r="C7445" t="s">
        <v>1988</v>
      </c>
      <c r="D7445" t="s">
        <v>1986</v>
      </c>
      <c r="E7445" t="s">
        <v>1555</v>
      </c>
      <c r="F7445" t="s">
        <v>1131</v>
      </c>
    </row>
    <row r="7446" spans="1:6">
      <c r="A7446" t="s">
        <v>27</v>
      </c>
      <c r="B7446" t="s">
        <v>106</v>
      </c>
      <c r="C7446" t="s">
        <v>1988</v>
      </c>
      <c r="D7446" t="s">
        <v>1986</v>
      </c>
      <c r="E7446" t="s">
        <v>1151</v>
      </c>
      <c r="F7446">
        <v>0.04179263522555408</v>
      </c>
    </row>
    <row r="7447" spans="1:6">
      <c r="A7447" t="s">
        <v>27</v>
      </c>
      <c r="B7447" t="s">
        <v>106</v>
      </c>
      <c r="C7447" t="s">
        <v>1988</v>
      </c>
      <c r="D7447" t="s">
        <v>1986</v>
      </c>
      <c r="E7447" t="s">
        <v>1152</v>
      </c>
      <c r="F7447">
        <v>0</v>
      </c>
    </row>
    <row r="7448" spans="1:6">
      <c r="A7448" t="s">
        <v>27</v>
      </c>
      <c r="B7448" t="s">
        <v>106</v>
      </c>
      <c r="C7448" t="s">
        <v>1988</v>
      </c>
      <c r="D7448" t="s">
        <v>1986</v>
      </c>
      <c r="E7448" t="s">
        <v>1154</v>
      </c>
      <c r="F7448">
        <v>0</v>
      </c>
    </row>
    <row r="7449" spans="1:6">
      <c r="A7449" t="s">
        <v>27</v>
      </c>
      <c r="B7449" t="s">
        <v>106</v>
      </c>
      <c r="C7449" t="s">
        <v>1988</v>
      </c>
      <c r="D7449" t="s">
        <v>1986</v>
      </c>
      <c r="E7449" t="s">
        <v>1156</v>
      </c>
      <c r="F7449">
        <v>0</v>
      </c>
    </row>
    <row r="7450" spans="1:6">
      <c r="A7450" t="s">
        <v>27</v>
      </c>
      <c r="B7450" t="s">
        <v>106</v>
      </c>
      <c r="C7450" t="s">
        <v>1988</v>
      </c>
      <c r="D7450" t="s">
        <v>1986</v>
      </c>
      <c r="E7450" t="s">
        <v>1158</v>
      </c>
      <c r="F7450">
        <v>0.0681677300173337</v>
      </c>
    </row>
    <row r="7451" spans="1:6">
      <c r="A7451" t="s">
        <v>27</v>
      </c>
      <c r="B7451" t="s">
        <v>106</v>
      </c>
      <c r="C7451" t="s">
        <v>1988</v>
      </c>
      <c r="D7451" t="s">
        <v>1986</v>
      </c>
      <c r="E7451" t="s">
        <v>1175</v>
      </c>
      <c r="F7451" t="s">
        <v>1137</v>
      </c>
    </row>
    <row r="7452" spans="1:6">
      <c r="A7452" t="s">
        <v>27</v>
      </c>
      <c r="B7452" t="s">
        <v>106</v>
      </c>
      <c r="C7452" t="s">
        <v>1988</v>
      </c>
      <c r="D7452" t="s">
        <v>1986</v>
      </c>
      <c r="E7452" t="s">
        <v>1176</v>
      </c>
      <c r="F7452">
        <v>0</v>
      </c>
    </row>
    <row r="7453" spans="1:6">
      <c r="A7453" t="s">
        <v>27</v>
      </c>
      <c r="B7453" t="s">
        <v>106</v>
      </c>
      <c r="C7453" t="s">
        <v>1988</v>
      </c>
      <c r="D7453" t="s">
        <v>1986</v>
      </c>
      <c r="E7453" t="s">
        <v>1177</v>
      </c>
      <c r="F7453">
        <v>0</v>
      </c>
    </row>
    <row r="7454" spans="1:6">
      <c r="A7454" t="s">
        <v>27</v>
      </c>
      <c r="B7454" t="s">
        <v>106</v>
      </c>
      <c r="C7454" t="s">
        <v>1988</v>
      </c>
      <c r="D7454" t="s">
        <v>1986</v>
      </c>
      <c r="E7454" t="s">
        <v>1178</v>
      </c>
      <c r="F7454">
        <v>0</v>
      </c>
    </row>
    <row r="7455" spans="1:6">
      <c r="A7455" t="s">
        <v>27</v>
      </c>
      <c r="B7455" t="s">
        <v>106</v>
      </c>
      <c r="C7455" t="s">
        <v>1988</v>
      </c>
      <c r="D7455" t="s">
        <v>1986</v>
      </c>
      <c r="E7455" t="s">
        <v>1179</v>
      </c>
      <c r="F7455">
        <v>0</v>
      </c>
    </row>
    <row r="7456" spans="1:6">
      <c r="A7456" t="s">
        <v>27</v>
      </c>
      <c r="B7456" t="s">
        <v>106</v>
      </c>
      <c r="C7456" t="s">
        <v>1988</v>
      </c>
      <c r="D7456" t="s">
        <v>1986</v>
      </c>
      <c r="E7456" t="s">
        <v>1452</v>
      </c>
      <c r="F7456" t="s">
        <v>1138</v>
      </c>
    </row>
    <row r="7457" spans="1:6">
      <c r="A7457" t="s">
        <v>27</v>
      </c>
      <c r="B7457" t="s">
        <v>106</v>
      </c>
      <c r="C7457" t="s">
        <v>1988</v>
      </c>
      <c r="D7457" t="s">
        <v>1986</v>
      </c>
      <c r="E7457" t="s">
        <v>1454</v>
      </c>
      <c r="F7457">
        <v>0</v>
      </c>
    </row>
    <row r="7458" spans="1:6">
      <c r="A7458" t="s">
        <v>27</v>
      </c>
      <c r="B7458" t="s">
        <v>106</v>
      </c>
      <c r="C7458" t="s">
        <v>1988</v>
      </c>
      <c r="D7458" t="s">
        <v>1986</v>
      </c>
      <c r="E7458" t="s">
        <v>1455</v>
      </c>
      <c r="F7458">
        <v>0</v>
      </c>
    </row>
    <row r="7459" spans="1:6">
      <c r="A7459" t="s">
        <v>27</v>
      </c>
      <c r="B7459" t="s">
        <v>106</v>
      </c>
      <c r="C7459" t="s">
        <v>1988</v>
      </c>
      <c r="D7459" t="s">
        <v>1986</v>
      </c>
      <c r="E7459" t="s">
        <v>1456</v>
      </c>
      <c r="F7459">
        <v>0</v>
      </c>
    </row>
    <row r="7460" spans="1:6">
      <c r="A7460" t="s">
        <v>27</v>
      </c>
      <c r="B7460" t="s">
        <v>106</v>
      </c>
      <c r="C7460" t="s">
        <v>1988</v>
      </c>
      <c r="D7460" t="s">
        <v>1986</v>
      </c>
      <c r="E7460" t="s">
        <v>1458</v>
      </c>
      <c r="F7460">
        <v>-0.005900631985062892</v>
      </c>
    </row>
    <row r="7461" spans="1:6">
      <c r="A7461" t="s">
        <v>27</v>
      </c>
      <c r="B7461" t="s">
        <v>106</v>
      </c>
      <c r="C7461" t="s">
        <v>1988</v>
      </c>
      <c r="D7461" t="s">
        <v>1986</v>
      </c>
      <c r="E7461" t="s">
        <v>1191</v>
      </c>
      <c r="F7461" t="s">
        <v>1144</v>
      </c>
    </row>
    <row r="7462" spans="1:6">
      <c r="A7462" t="s">
        <v>27</v>
      </c>
      <c r="B7462" t="s">
        <v>106</v>
      </c>
      <c r="C7462" t="s">
        <v>1988</v>
      </c>
      <c r="D7462" t="s">
        <v>1986</v>
      </c>
      <c r="E7462" t="s">
        <v>1196</v>
      </c>
      <c r="F7462" t="s">
        <v>1146</v>
      </c>
    </row>
    <row r="7463" spans="1:6">
      <c r="A7463" t="s">
        <v>27</v>
      </c>
      <c r="B7463" t="s">
        <v>106</v>
      </c>
      <c r="C7463" t="s">
        <v>1988</v>
      </c>
      <c r="D7463" t="s">
        <v>1986</v>
      </c>
      <c r="E7463" t="s">
        <v>1201</v>
      </c>
      <c r="F7463" t="s">
        <v>1148</v>
      </c>
    </row>
    <row r="7464" spans="1:6">
      <c r="A7464" t="s">
        <v>27</v>
      </c>
      <c r="B7464" t="s">
        <v>106</v>
      </c>
      <c r="C7464" t="s">
        <v>1988</v>
      </c>
      <c r="D7464" t="s">
        <v>1986</v>
      </c>
      <c r="E7464" t="s">
        <v>1202</v>
      </c>
      <c r="F7464" t="s">
        <v>1150</v>
      </c>
    </row>
    <row r="7465" spans="1:6">
      <c r="A7465" t="s">
        <v>27</v>
      </c>
      <c r="B7465" t="s">
        <v>106</v>
      </c>
      <c r="C7465" t="s">
        <v>1988</v>
      </c>
      <c r="D7465" t="s">
        <v>1986</v>
      </c>
      <c r="E7465" t="s">
        <v>1210</v>
      </c>
      <c r="F7465" t="s">
        <v>1009</v>
      </c>
    </row>
    <row r="7466" spans="1:6">
      <c r="A7466" t="s">
        <v>27</v>
      </c>
      <c r="B7466" t="s">
        <v>106</v>
      </c>
      <c r="C7466" t="s">
        <v>1988</v>
      </c>
      <c r="D7466" t="s">
        <v>1986</v>
      </c>
      <c r="E7466" t="s">
        <v>1211</v>
      </c>
      <c r="F7466" t="s">
        <v>1989</v>
      </c>
    </row>
    <row r="7467" spans="1:6">
      <c r="A7467" t="s">
        <v>27</v>
      </c>
      <c r="B7467" t="s">
        <v>106</v>
      </c>
      <c r="C7467" t="s">
        <v>1988</v>
      </c>
      <c r="D7467" t="s">
        <v>1986</v>
      </c>
      <c r="E7467" t="s">
        <v>1212</v>
      </c>
      <c r="F7467" t="s">
        <v>1990</v>
      </c>
    </row>
    <row r="7468" spans="1:6">
      <c r="A7468" t="s">
        <v>27</v>
      </c>
      <c r="B7468" t="s">
        <v>106</v>
      </c>
      <c r="C7468" t="s">
        <v>1988</v>
      </c>
      <c r="D7468" t="s">
        <v>1986</v>
      </c>
      <c r="E7468" t="s">
        <v>1213</v>
      </c>
      <c r="F7468" t="s">
        <v>1991</v>
      </c>
    </row>
    <row r="7469" spans="1:6">
      <c r="A7469" t="s">
        <v>27</v>
      </c>
      <c r="B7469" t="s">
        <v>106</v>
      </c>
      <c r="C7469" t="s">
        <v>1988</v>
      </c>
      <c r="D7469" t="s">
        <v>1986</v>
      </c>
      <c r="E7469" t="s">
        <v>1214</v>
      </c>
      <c r="F7469" t="s">
        <v>1836</v>
      </c>
    </row>
    <row r="7470" spans="1:6">
      <c r="A7470" t="s">
        <v>27</v>
      </c>
      <c r="B7470" t="s">
        <v>106</v>
      </c>
      <c r="C7470" t="s">
        <v>1988</v>
      </c>
      <c r="D7470" t="s">
        <v>1986</v>
      </c>
      <c r="E7470" t="s">
        <v>1215</v>
      </c>
      <c r="F7470" t="s">
        <v>1837</v>
      </c>
    </row>
    <row r="7471" spans="1:6">
      <c r="A7471" t="s">
        <v>27</v>
      </c>
      <c r="B7471" t="s">
        <v>106</v>
      </c>
      <c r="C7471" t="s">
        <v>1988</v>
      </c>
      <c r="D7471" t="s">
        <v>1986</v>
      </c>
      <c r="E7471" t="s">
        <v>1216</v>
      </c>
      <c r="F7471" t="s">
        <v>1838</v>
      </c>
    </row>
    <row r="7472" spans="1:6">
      <c r="A7472" t="s">
        <v>27</v>
      </c>
      <c r="B7472" t="s">
        <v>106</v>
      </c>
      <c r="C7472" t="s">
        <v>1988</v>
      </c>
      <c r="D7472" t="s">
        <v>1986</v>
      </c>
      <c r="E7472" t="s">
        <v>1217</v>
      </c>
      <c r="F7472" t="s">
        <v>1867</v>
      </c>
    </row>
    <row r="7473" spans="1:6">
      <c r="A7473" t="s">
        <v>27</v>
      </c>
      <c r="B7473" t="s">
        <v>106</v>
      </c>
      <c r="C7473" t="s">
        <v>1988</v>
      </c>
      <c r="D7473" t="s">
        <v>1986</v>
      </c>
      <c r="E7473" t="s">
        <v>1218</v>
      </c>
      <c r="F7473">
        <v>1443418.43</v>
      </c>
    </row>
    <row r="7474" spans="1:6">
      <c r="A7474" t="s">
        <v>27</v>
      </c>
      <c r="B7474" t="s">
        <v>106</v>
      </c>
      <c r="C7474" t="s">
        <v>1988</v>
      </c>
      <c r="D7474" t="s">
        <v>1986</v>
      </c>
      <c r="E7474" t="s">
        <v>1219</v>
      </c>
      <c r="F7474">
        <v>310723.4099999999</v>
      </c>
    </row>
    <row r="7475" spans="1:6">
      <c r="A7475" t="s">
        <v>27</v>
      </c>
      <c r="B7475" t="s">
        <v>106</v>
      </c>
      <c r="C7475" t="s">
        <v>1988</v>
      </c>
      <c r="D7475" t="s">
        <v>1986</v>
      </c>
      <c r="E7475" t="s">
        <v>1220</v>
      </c>
      <c r="F7475">
        <v>125416.33</v>
      </c>
    </row>
    <row r="7476" spans="1:6">
      <c r="A7476" t="s">
        <v>27</v>
      </c>
      <c r="B7476" t="s">
        <v>106</v>
      </c>
      <c r="C7476" t="s">
        <v>1988</v>
      </c>
      <c r="D7476" t="s">
        <v>1986</v>
      </c>
      <c r="E7476" t="s">
        <v>1221</v>
      </c>
      <c r="F7476">
        <v>250328.1900000002</v>
      </c>
    </row>
    <row r="7477" spans="1:6">
      <c r="A7477" t="s">
        <v>27</v>
      </c>
      <c r="B7477" t="s">
        <v>106</v>
      </c>
      <c r="C7477" t="s">
        <v>1988</v>
      </c>
      <c r="D7477" t="s">
        <v>1986</v>
      </c>
      <c r="E7477" t="s">
        <v>1222</v>
      </c>
      <c r="F7477">
        <v>233126.0399999999</v>
      </c>
    </row>
    <row r="7478" spans="1:6">
      <c r="A7478" t="s">
        <v>27</v>
      </c>
      <c r="B7478" t="s">
        <v>106</v>
      </c>
      <c r="C7478" t="s">
        <v>1988</v>
      </c>
      <c r="D7478" t="s">
        <v>1986</v>
      </c>
      <c r="E7478" t="s">
        <v>1223</v>
      </c>
      <c r="F7478">
        <v>139417.6299999999</v>
      </c>
    </row>
    <row r="7479" spans="1:6">
      <c r="A7479" t="s">
        <v>27</v>
      </c>
      <c r="B7479" t="s">
        <v>106</v>
      </c>
      <c r="C7479" t="s">
        <v>1988</v>
      </c>
      <c r="D7479" t="s">
        <v>1986</v>
      </c>
      <c r="E7479" t="s">
        <v>1224</v>
      </c>
      <c r="F7479">
        <v>384406.8300000001</v>
      </c>
    </row>
    <row r="7480" spans="1:6">
      <c r="A7480" t="s">
        <v>27</v>
      </c>
      <c r="B7480" t="s">
        <v>106</v>
      </c>
      <c r="C7480" t="s">
        <v>1988</v>
      </c>
      <c r="D7480" t="s">
        <v>1986</v>
      </c>
      <c r="E7480" t="s">
        <v>1225</v>
      </c>
      <c r="F7480" t="s">
        <v>1174</v>
      </c>
    </row>
    <row r="7481" spans="1:6">
      <c r="A7481" t="s">
        <v>27</v>
      </c>
      <c r="B7481" t="s">
        <v>106</v>
      </c>
      <c r="C7481" t="s">
        <v>1988</v>
      </c>
      <c r="D7481" t="s">
        <v>1986</v>
      </c>
      <c r="E7481" t="s">
        <v>1480</v>
      </c>
      <c r="F7481">
        <v>3433</v>
      </c>
    </row>
    <row r="7482" spans="1:6">
      <c r="A7482" t="s">
        <v>27</v>
      </c>
      <c r="B7482" t="s">
        <v>106</v>
      </c>
      <c r="C7482" t="s">
        <v>1988</v>
      </c>
      <c r="D7482" t="s">
        <v>1986</v>
      </c>
      <c r="E7482" t="s">
        <v>1227</v>
      </c>
      <c r="F7482">
        <v>698</v>
      </c>
    </row>
    <row r="7483" spans="1:6">
      <c r="A7483" t="s">
        <v>27</v>
      </c>
      <c r="B7483" t="s">
        <v>106</v>
      </c>
      <c r="C7483" t="s">
        <v>1988</v>
      </c>
      <c r="D7483" t="s">
        <v>1986</v>
      </c>
      <c r="E7483" t="s">
        <v>1228</v>
      </c>
      <c r="F7483">
        <v>441</v>
      </c>
    </row>
    <row r="7484" spans="1:6">
      <c r="A7484" t="s">
        <v>27</v>
      </c>
      <c r="B7484" t="s">
        <v>106</v>
      </c>
      <c r="C7484" t="s">
        <v>1988</v>
      </c>
      <c r="D7484" t="s">
        <v>1986</v>
      </c>
      <c r="E7484" t="s">
        <v>1230</v>
      </c>
      <c r="F7484">
        <v>541</v>
      </c>
    </row>
    <row r="7485" spans="1:6">
      <c r="A7485" t="s">
        <v>27</v>
      </c>
      <c r="B7485" t="s">
        <v>106</v>
      </c>
      <c r="C7485" t="s">
        <v>1988</v>
      </c>
      <c r="D7485" t="s">
        <v>1986</v>
      </c>
      <c r="E7485" t="s">
        <v>1231</v>
      </c>
      <c r="F7485">
        <v>635</v>
      </c>
    </row>
    <row r="7486" spans="1:6">
      <c r="A7486" t="s">
        <v>27</v>
      </c>
      <c r="B7486" t="s">
        <v>106</v>
      </c>
      <c r="C7486" t="s">
        <v>1988</v>
      </c>
      <c r="D7486" t="s">
        <v>1986</v>
      </c>
      <c r="E7486" t="s">
        <v>1233</v>
      </c>
      <c r="F7486">
        <v>518</v>
      </c>
    </row>
    <row r="7487" spans="1:6">
      <c r="A7487" t="s">
        <v>27</v>
      </c>
      <c r="B7487" t="s">
        <v>106</v>
      </c>
      <c r="C7487" t="s">
        <v>1988</v>
      </c>
      <c r="D7487" t="s">
        <v>1986</v>
      </c>
      <c r="E7487" t="s">
        <v>1234</v>
      </c>
      <c r="F7487">
        <v>600</v>
      </c>
    </row>
    <row r="7488" spans="1:6">
      <c r="A7488" t="s">
        <v>27</v>
      </c>
      <c r="B7488" t="s">
        <v>106</v>
      </c>
      <c r="C7488" t="s">
        <v>1988</v>
      </c>
      <c r="D7488" t="s">
        <v>1986</v>
      </c>
      <c r="E7488" t="s">
        <v>1245</v>
      </c>
      <c r="F7488" t="s">
        <v>1868</v>
      </c>
    </row>
    <row r="7489" spans="1:6">
      <c r="A7489" t="s">
        <v>27</v>
      </c>
      <c r="B7489" t="s">
        <v>106</v>
      </c>
      <c r="C7489" t="s">
        <v>1988</v>
      </c>
      <c r="D7489" t="s">
        <v>1986</v>
      </c>
      <c r="E7489" t="s">
        <v>1247</v>
      </c>
      <c r="F7489">
        <v>1270791.81</v>
      </c>
    </row>
    <row r="7490" spans="1:6">
      <c r="A7490" t="s">
        <v>27</v>
      </c>
      <c r="B7490" t="s">
        <v>106</v>
      </c>
      <c r="C7490" t="s">
        <v>1988</v>
      </c>
      <c r="D7490" t="s">
        <v>1986</v>
      </c>
      <c r="E7490" t="s">
        <v>1248</v>
      </c>
      <c r="F7490">
        <v>151205.9699999998</v>
      </c>
    </row>
    <row r="7491" spans="1:6">
      <c r="A7491" t="s">
        <v>27</v>
      </c>
      <c r="B7491" t="s">
        <v>106</v>
      </c>
      <c r="C7491" t="s">
        <v>1988</v>
      </c>
      <c r="D7491" t="s">
        <v>1986</v>
      </c>
      <c r="E7491" t="s">
        <v>1249</v>
      </c>
      <c r="F7491">
        <v>122169.72</v>
      </c>
    </row>
    <row r="7492" spans="1:6">
      <c r="A7492" t="s">
        <v>27</v>
      </c>
      <c r="B7492" t="s">
        <v>106</v>
      </c>
      <c r="C7492" t="s">
        <v>1988</v>
      </c>
      <c r="D7492" t="s">
        <v>1986</v>
      </c>
      <c r="E7492" t="s">
        <v>1250</v>
      </c>
      <c r="F7492">
        <v>246086.1600000002</v>
      </c>
    </row>
    <row r="7493" spans="1:6">
      <c r="A7493" t="s">
        <v>27</v>
      </c>
      <c r="B7493" t="s">
        <v>106</v>
      </c>
      <c r="C7493" t="s">
        <v>1988</v>
      </c>
      <c r="D7493" t="s">
        <v>1986</v>
      </c>
      <c r="E7493" t="s">
        <v>1251</v>
      </c>
      <c r="F7493">
        <v>230876.3499999998</v>
      </c>
    </row>
    <row r="7494" spans="1:6">
      <c r="A7494" t="s">
        <v>27</v>
      </c>
      <c r="B7494" t="s">
        <v>106</v>
      </c>
      <c r="C7494" t="s">
        <v>1988</v>
      </c>
      <c r="D7494" t="s">
        <v>1986</v>
      </c>
      <c r="E7494" t="s">
        <v>1252</v>
      </c>
      <c r="F7494">
        <v>136046.7799999999</v>
      </c>
    </row>
    <row r="7495" spans="1:6">
      <c r="A7495" t="s">
        <v>27</v>
      </c>
      <c r="B7495" t="s">
        <v>106</v>
      </c>
      <c r="C7495" t="s">
        <v>1988</v>
      </c>
      <c r="D7495" t="s">
        <v>1986</v>
      </c>
      <c r="E7495" t="s">
        <v>1253</v>
      </c>
      <c r="F7495">
        <v>384406.8300000003</v>
      </c>
    </row>
    <row r="7496" spans="1:6">
      <c r="A7496" t="s">
        <v>27</v>
      </c>
      <c r="B7496" t="s">
        <v>106</v>
      </c>
      <c r="C7496" t="s">
        <v>1988</v>
      </c>
      <c r="D7496" t="s">
        <v>1986</v>
      </c>
      <c r="E7496" t="s">
        <v>1254</v>
      </c>
      <c r="F7496" t="s">
        <v>1192</v>
      </c>
    </row>
    <row r="7497" spans="1:6">
      <c r="A7497" t="s">
        <v>27</v>
      </c>
      <c r="B7497" t="s">
        <v>106</v>
      </c>
      <c r="C7497" t="s">
        <v>1988</v>
      </c>
      <c r="D7497" t="s">
        <v>1986</v>
      </c>
      <c r="E7497" t="s">
        <v>1257</v>
      </c>
      <c r="F7497">
        <v>398</v>
      </c>
    </row>
    <row r="7498" spans="1:6">
      <c r="A7498" t="s">
        <v>27</v>
      </c>
      <c r="B7498" t="s">
        <v>106</v>
      </c>
      <c r="C7498" t="s">
        <v>1988</v>
      </c>
      <c r="D7498" t="s">
        <v>1986</v>
      </c>
      <c r="E7498" t="s">
        <v>1258</v>
      </c>
      <c r="F7498">
        <v>405</v>
      </c>
    </row>
    <row r="7499" spans="1:6">
      <c r="A7499" t="s">
        <v>27</v>
      </c>
      <c r="B7499" t="s">
        <v>106</v>
      </c>
      <c r="C7499" t="s">
        <v>1988</v>
      </c>
      <c r="D7499" t="s">
        <v>1986</v>
      </c>
      <c r="E7499" t="s">
        <v>1259</v>
      </c>
      <c r="F7499">
        <v>517</v>
      </c>
    </row>
    <row r="7500" spans="1:6">
      <c r="A7500" t="s">
        <v>27</v>
      </c>
      <c r="B7500" t="s">
        <v>106</v>
      </c>
      <c r="C7500" t="s">
        <v>1988</v>
      </c>
      <c r="D7500" t="s">
        <v>1986</v>
      </c>
      <c r="E7500" t="s">
        <v>1260</v>
      </c>
      <c r="F7500">
        <v>623</v>
      </c>
    </row>
    <row r="7501" spans="1:6">
      <c r="A7501" t="s">
        <v>27</v>
      </c>
      <c r="B7501" t="s">
        <v>106</v>
      </c>
      <c r="C7501" t="s">
        <v>1988</v>
      </c>
      <c r="D7501" t="s">
        <v>1986</v>
      </c>
      <c r="E7501" t="s">
        <v>1261</v>
      </c>
      <c r="F7501">
        <v>516</v>
      </c>
    </row>
    <row r="7502" spans="1:6">
      <c r="A7502" t="s">
        <v>27</v>
      </c>
      <c r="B7502" t="s">
        <v>106</v>
      </c>
      <c r="C7502" t="s">
        <v>1988</v>
      </c>
      <c r="D7502" t="s">
        <v>1986</v>
      </c>
      <c r="E7502" t="s">
        <v>1262</v>
      </c>
      <c r="F7502">
        <v>600</v>
      </c>
    </row>
    <row r="7503" spans="1:6">
      <c r="A7503" t="s">
        <v>27</v>
      </c>
      <c r="B7503" t="s">
        <v>106</v>
      </c>
      <c r="C7503" t="s">
        <v>1988</v>
      </c>
      <c r="D7503" t="s">
        <v>1986</v>
      </c>
      <c r="E7503" t="s">
        <v>1263</v>
      </c>
      <c r="F7503" t="s">
        <v>1869</v>
      </c>
    </row>
    <row r="7504" spans="1:6">
      <c r="A7504" t="s">
        <v>27</v>
      </c>
      <c r="B7504" t="s">
        <v>106</v>
      </c>
      <c r="C7504" t="s">
        <v>1988</v>
      </c>
      <c r="D7504" t="s">
        <v>1986</v>
      </c>
      <c r="E7504" t="s">
        <v>1561</v>
      </c>
      <c r="F7504" t="s">
        <v>1107</v>
      </c>
    </row>
    <row r="7505" spans="1:6">
      <c r="A7505" t="s">
        <v>27</v>
      </c>
      <c r="B7505" t="s">
        <v>106</v>
      </c>
      <c r="C7505" t="s">
        <v>1988</v>
      </c>
      <c r="D7505" t="s">
        <v>1986</v>
      </c>
      <c r="E7505" t="s">
        <v>1562</v>
      </c>
      <c r="F7505">
        <v>1220282.8</v>
      </c>
    </row>
    <row r="7506" spans="1:6">
      <c r="A7506" t="s">
        <v>27</v>
      </c>
      <c r="B7506" t="s">
        <v>106</v>
      </c>
      <c r="C7506" t="s">
        <v>1988</v>
      </c>
      <c r="D7506" t="s">
        <v>1986</v>
      </c>
      <c r="E7506" t="s">
        <v>1563</v>
      </c>
      <c r="F7506">
        <v>146150.0899999998</v>
      </c>
    </row>
    <row r="7507" spans="1:6">
      <c r="A7507" t="s">
        <v>27</v>
      </c>
      <c r="B7507" t="s">
        <v>106</v>
      </c>
      <c r="C7507" t="s">
        <v>1988</v>
      </c>
      <c r="D7507" t="s">
        <v>1986</v>
      </c>
      <c r="E7507" t="s">
        <v>1564</v>
      </c>
      <c r="F7507">
        <v>114417.87</v>
      </c>
    </row>
    <row r="7508" spans="1:6">
      <c r="A7508" t="s">
        <v>27</v>
      </c>
      <c r="B7508" t="s">
        <v>106</v>
      </c>
      <c r="C7508" t="s">
        <v>1988</v>
      </c>
      <c r="D7508" t="s">
        <v>1986</v>
      </c>
      <c r="E7508" t="s">
        <v>1565</v>
      </c>
      <c r="F7508">
        <v>240575.4300000002</v>
      </c>
    </row>
    <row r="7509" spans="1:6">
      <c r="A7509" t="s">
        <v>27</v>
      </c>
      <c r="B7509" t="s">
        <v>106</v>
      </c>
      <c r="C7509" t="s">
        <v>1988</v>
      </c>
      <c r="D7509" t="s">
        <v>1986</v>
      </c>
      <c r="E7509" t="s">
        <v>1566</v>
      </c>
      <c r="F7509">
        <v>221743.1099999998</v>
      </c>
    </row>
    <row r="7510" spans="1:6">
      <c r="A7510" t="s">
        <v>27</v>
      </c>
      <c r="B7510" t="s">
        <v>106</v>
      </c>
      <c r="C7510" t="s">
        <v>1988</v>
      </c>
      <c r="D7510" t="s">
        <v>1986</v>
      </c>
      <c r="E7510" t="s">
        <v>1488</v>
      </c>
      <c r="F7510">
        <v>129130.2099999999</v>
      </c>
    </row>
    <row r="7511" spans="1:6">
      <c r="A7511" t="s">
        <v>27</v>
      </c>
      <c r="B7511" t="s">
        <v>106</v>
      </c>
      <c r="C7511" t="s">
        <v>1988</v>
      </c>
      <c r="D7511" t="s">
        <v>1986</v>
      </c>
      <c r="E7511" t="s">
        <v>1567</v>
      </c>
      <c r="F7511">
        <v>368266.0900000003</v>
      </c>
    </row>
    <row r="7512" spans="1:6">
      <c r="A7512" t="s">
        <v>27</v>
      </c>
      <c r="B7512" t="s">
        <v>106</v>
      </c>
      <c r="C7512" t="s">
        <v>1988</v>
      </c>
      <c r="D7512" t="s">
        <v>1986</v>
      </c>
      <c r="E7512" t="s">
        <v>1870</v>
      </c>
      <c r="F7512" t="s">
        <v>1112</v>
      </c>
    </row>
    <row r="7513" spans="1:6">
      <c r="A7513" t="s">
        <v>27</v>
      </c>
      <c r="B7513" t="s">
        <v>106</v>
      </c>
      <c r="C7513" t="s">
        <v>1988</v>
      </c>
      <c r="D7513" t="s">
        <v>1986</v>
      </c>
      <c r="E7513" t="s">
        <v>1737</v>
      </c>
      <c r="F7513">
        <v>0</v>
      </c>
    </row>
    <row r="7514" spans="1:6">
      <c r="A7514" t="s">
        <v>27</v>
      </c>
      <c r="B7514" t="s">
        <v>106</v>
      </c>
      <c r="C7514" t="s">
        <v>1988</v>
      </c>
      <c r="D7514" t="s">
        <v>1986</v>
      </c>
      <c r="E7514" t="s">
        <v>1738</v>
      </c>
      <c r="F7514">
        <v>0</v>
      </c>
    </row>
    <row r="7515" spans="1:6">
      <c r="A7515" t="s">
        <v>27</v>
      </c>
      <c r="B7515" t="s">
        <v>106</v>
      </c>
      <c r="C7515" t="s">
        <v>1988</v>
      </c>
      <c r="D7515" t="s">
        <v>1986</v>
      </c>
      <c r="E7515" t="s">
        <v>1739</v>
      </c>
      <c r="F7515">
        <v>0</v>
      </c>
    </row>
    <row r="7516" spans="1:6">
      <c r="A7516" t="s">
        <v>27</v>
      </c>
      <c r="B7516" t="s">
        <v>106</v>
      </c>
      <c r="C7516" t="s">
        <v>1988</v>
      </c>
      <c r="D7516" t="s">
        <v>1986</v>
      </c>
      <c r="E7516" t="s">
        <v>1740</v>
      </c>
      <c r="F7516">
        <v>0</v>
      </c>
    </row>
    <row r="7517" spans="1:6">
      <c r="A7517" t="s">
        <v>27</v>
      </c>
      <c r="B7517" t="s">
        <v>106</v>
      </c>
      <c r="C7517" t="s">
        <v>1988</v>
      </c>
      <c r="D7517" t="s">
        <v>1986</v>
      </c>
      <c r="E7517" t="s">
        <v>1741</v>
      </c>
      <c r="F7517">
        <v>0</v>
      </c>
    </row>
    <row r="7518" spans="1:6">
      <c r="A7518" t="s">
        <v>27</v>
      </c>
      <c r="B7518" t="s">
        <v>106</v>
      </c>
      <c r="C7518" t="s">
        <v>1988</v>
      </c>
      <c r="D7518" t="s">
        <v>1986</v>
      </c>
      <c r="E7518" t="s">
        <v>1490</v>
      </c>
      <c r="F7518">
        <v>0</v>
      </c>
    </row>
    <row r="7519" spans="1:6">
      <c r="A7519" t="s">
        <v>27</v>
      </c>
      <c r="B7519" t="s">
        <v>106</v>
      </c>
      <c r="C7519" t="s">
        <v>1988</v>
      </c>
      <c r="D7519" t="s">
        <v>1986</v>
      </c>
      <c r="E7519" t="s">
        <v>1871</v>
      </c>
      <c r="F7519">
        <v>0</v>
      </c>
    </row>
    <row r="7520" spans="1:6">
      <c r="A7520" t="s">
        <v>27</v>
      </c>
      <c r="B7520" t="s">
        <v>106</v>
      </c>
      <c r="C7520" t="s">
        <v>1988</v>
      </c>
      <c r="D7520" t="s">
        <v>1986</v>
      </c>
      <c r="E7520" t="s">
        <v>1872</v>
      </c>
      <c r="F7520" t="s">
        <v>1117</v>
      </c>
    </row>
    <row r="7521" spans="1:6">
      <c r="A7521" t="s">
        <v>27</v>
      </c>
      <c r="B7521" t="s">
        <v>106</v>
      </c>
      <c r="C7521" t="s">
        <v>1988</v>
      </c>
      <c r="D7521" t="s">
        <v>1986</v>
      </c>
      <c r="E7521" t="s">
        <v>1742</v>
      </c>
      <c r="F7521">
        <v>50509.01000000001</v>
      </c>
    </row>
    <row r="7522" spans="1:6">
      <c r="A7522" t="s">
        <v>27</v>
      </c>
      <c r="B7522" t="s">
        <v>106</v>
      </c>
      <c r="C7522" t="s">
        <v>1988</v>
      </c>
      <c r="D7522" t="s">
        <v>1986</v>
      </c>
      <c r="E7522" t="s">
        <v>1743</v>
      </c>
      <c r="F7522">
        <v>5055.880000000003</v>
      </c>
    </row>
    <row r="7523" spans="1:6">
      <c r="A7523" t="s">
        <v>27</v>
      </c>
      <c r="B7523" t="s">
        <v>106</v>
      </c>
      <c r="C7523" t="s">
        <v>1988</v>
      </c>
      <c r="D7523" t="s">
        <v>1986</v>
      </c>
      <c r="E7523" t="s">
        <v>1744</v>
      </c>
      <c r="F7523">
        <v>7751.849999999999</v>
      </c>
    </row>
    <row r="7524" spans="1:6">
      <c r="A7524" t="s">
        <v>27</v>
      </c>
      <c r="B7524" t="s">
        <v>106</v>
      </c>
      <c r="C7524" t="s">
        <v>1988</v>
      </c>
      <c r="D7524" t="s">
        <v>1986</v>
      </c>
      <c r="E7524" t="s">
        <v>1873</v>
      </c>
      <c r="F7524">
        <v>5510.730000000005</v>
      </c>
    </row>
    <row r="7525" spans="1:6">
      <c r="A7525" t="s">
        <v>27</v>
      </c>
      <c r="B7525" t="s">
        <v>106</v>
      </c>
      <c r="C7525" t="s">
        <v>1988</v>
      </c>
      <c r="D7525" t="s">
        <v>1986</v>
      </c>
      <c r="E7525" t="s">
        <v>1874</v>
      </c>
      <c r="F7525">
        <v>9133.240000000005</v>
      </c>
    </row>
    <row r="7526" spans="1:6">
      <c r="A7526" t="s">
        <v>27</v>
      </c>
      <c r="B7526" t="s">
        <v>106</v>
      </c>
      <c r="C7526" t="s">
        <v>1988</v>
      </c>
      <c r="D7526" t="s">
        <v>1986</v>
      </c>
      <c r="E7526" t="s">
        <v>1492</v>
      </c>
      <c r="F7526">
        <v>6916.57</v>
      </c>
    </row>
    <row r="7527" spans="1:6">
      <c r="A7527" t="s">
        <v>27</v>
      </c>
      <c r="B7527" t="s">
        <v>106</v>
      </c>
      <c r="C7527" t="s">
        <v>1988</v>
      </c>
      <c r="D7527" t="s">
        <v>1986</v>
      </c>
      <c r="E7527" t="s">
        <v>1875</v>
      </c>
      <c r="F7527">
        <v>16140.74</v>
      </c>
    </row>
    <row r="7528" spans="1:6">
      <c r="A7528" t="s">
        <v>27</v>
      </c>
      <c r="B7528" t="s">
        <v>106</v>
      </c>
      <c r="C7528" t="s">
        <v>1988</v>
      </c>
      <c r="D7528" t="s">
        <v>1986</v>
      </c>
      <c r="E7528" t="s">
        <v>1876</v>
      </c>
      <c r="F7528" t="s">
        <v>1859</v>
      </c>
    </row>
    <row r="7529" spans="1:6">
      <c r="A7529" t="s">
        <v>27</v>
      </c>
      <c r="B7529" t="s">
        <v>106</v>
      </c>
      <c r="C7529" t="s">
        <v>1988</v>
      </c>
      <c r="D7529" t="s">
        <v>1986</v>
      </c>
      <c r="E7529" t="s">
        <v>1877</v>
      </c>
      <c r="F7529">
        <v>6768.440000000001</v>
      </c>
    </row>
    <row r="7530" spans="1:6">
      <c r="A7530" t="s">
        <v>27</v>
      </c>
      <c r="B7530" t="s">
        <v>106</v>
      </c>
      <c r="C7530" t="s">
        <v>1988</v>
      </c>
      <c r="D7530" t="s">
        <v>1986</v>
      </c>
      <c r="E7530" t="s">
        <v>1878</v>
      </c>
      <c r="F7530">
        <v>0</v>
      </c>
    </row>
    <row r="7531" spans="1:6">
      <c r="A7531" t="s">
        <v>27</v>
      </c>
      <c r="B7531" t="s">
        <v>106</v>
      </c>
      <c r="C7531" t="s">
        <v>1988</v>
      </c>
      <c r="D7531" t="s">
        <v>1986</v>
      </c>
      <c r="E7531" t="s">
        <v>1879</v>
      </c>
      <c r="F7531">
        <v>0.03</v>
      </c>
    </row>
    <row r="7532" spans="1:6">
      <c r="A7532" t="s">
        <v>27</v>
      </c>
      <c r="B7532" t="s">
        <v>106</v>
      </c>
      <c r="C7532" t="s">
        <v>1988</v>
      </c>
      <c r="D7532" t="s">
        <v>1986</v>
      </c>
      <c r="E7532" t="s">
        <v>1880</v>
      </c>
      <c r="F7532">
        <v>90.88999999999999</v>
      </c>
    </row>
    <row r="7533" spans="1:6">
      <c r="A7533" t="s">
        <v>27</v>
      </c>
      <c r="B7533" t="s">
        <v>106</v>
      </c>
      <c r="C7533" t="s">
        <v>1988</v>
      </c>
      <c r="D7533" t="s">
        <v>1986</v>
      </c>
      <c r="E7533" t="s">
        <v>1881</v>
      </c>
      <c r="F7533">
        <v>1791.88</v>
      </c>
    </row>
    <row r="7534" spans="1:6">
      <c r="A7534" t="s">
        <v>27</v>
      </c>
      <c r="B7534" t="s">
        <v>106</v>
      </c>
      <c r="C7534" t="s">
        <v>1988</v>
      </c>
      <c r="D7534" t="s">
        <v>1986</v>
      </c>
      <c r="E7534" t="s">
        <v>1882</v>
      </c>
      <c r="F7534">
        <v>1165.43</v>
      </c>
    </row>
    <row r="7535" spans="1:6">
      <c r="A7535" t="s">
        <v>27</v>
      </c>
      <c r="B7535" t="s">
        <v>106</v>
      </c>
      <c r="C7535" t="s">
        <v>1988</v>
      </c>
      <c r="D7535" t="s">
        <v>1986</v>
      </c>
      <c r="E7535" t="s">
        <v>1883</v>
      </c>
      <c r="F7535">
        <v>3720.210000000001</v>
      </c>
    </row>
    <row r="7536" spans="1:6">
      <c r="A7536" t="s">
        <v>27</v>
      </c>
      <c r="B7536" t="s">
        <v>106</v>
      </c>
      <c r="C7536" t="s">
        <v>1988</v>
      </c>
      <c r="D7536" t="s">
        <v>1986</v>
      </c>
      <c r="E7536" t="s">
        <v>1884</v>
      </c>
      <c r="F7536" t="s">
        <v>1860</v>
      </c>
    </row>
    <row r="7537" spans="1:6">
      <c r="A7537" t="s">
        <v>27</v>
      </c>
      <c r="B7537" t="s">
        <v>106</v>
      </c>
      <c r="C7537" t="s">
        <v>1988</v>
      </c>
      <c r="D7537" t="s">
        <v>1986</v>
      </c>
      <c r="E7537" t="s">
        <v>1885</v>
      </c>
      <c r="F7537">
        <v>0</v>
      </c>
    </row>
    <row r="7538" spans="1:6">
      <c r="A7538" t="s">
        <v>27</v>
      </c>
      <c r="B7538" t="s">
        <v>106</v>
      </c>
      <c r="C7538" t="s">
        <v>1988</v>
      </c>
      <c r="D7538" t="s">
        <v>1986</v>
      </c>
      <c r="E7538" t="s">
        <v>1886</v>
      </c>
      <c r="F7538">
        <v>0</v>
      </c>
    </row>
    <row r="7539" spans="1:6">
      <c r="A7539" t="s">
        <v>27</v>
      </c>
      <c r="B7539" t="s">
        <v>106</v>
      </c>
      <c r="C7539" t="s">
        <v>1988</v>
      </c>
      <c r="D7539" t="s">
        <v>1986</v>
      </c>
      <c r="E7539" t="s">
        <v>1887</v>
      </c>
      <c r="F7539">
        <v>0</v>
      </c>
    </row>
    <row r="7540" spans="1:6">
      <c r="A7540" t="s">
        <v>27</v>
      </c>
      <c r="B7540" t="s">
        <v>106</v>
      </c>
      <c r="C7540" t="s">
        <v>1988</v>
      </c>
      <c r="D7540" t="s">
        <v>1986</v>
      </c>
      <c r="E7540" t="s">
        <v>1888</v>
      </c>
      <c r="F7540">
        <v>0</v>
      </c>
    </row>
    <row r="7541" spans="1:6">
      <c r="A7541" t="s">
        <v>27</v>
      </c>
      <c r="B7541" t="s">
        <v>106</v>
      </c>
      <c r="C7541" t="s">
        <v>1988</v>
      </c>
      <c r="D7541" t="s">
        <v>1986</v>
      </c>
      <c r="E7541" t="s">
        <v>1889</v>
      </c>
      <c r="F7541">
        <v>0</v>
      </c>
    </row>
    <row r="7542" spans="1:6">
      <c r="A7542" t="s">
        <v>27</v>
      </c>
      <c r="B7542" t="s">
        <v>106</v>
      </c>
      <c r="C7542" t="s">
        <v>1988</v>
      </c>
      <c r="D7542" t="s">
        <v>1986</v>
      </c>
      <c r="E7542" t="s">
        <v>1745</v>
      </c>
      <c r="F7542">
        <v>0</v>
      </c>
    </row>
    <row r="7543" spans="1:6">
      <c r="A7543" t="s">
        <v>27</v>
      </c>
      <c r="B7543" t="s">
        <v>106</v>
      </c>
      <c r="C7543" t="s">
        <v>1988</v>
      </c>
      <c r="D7543" t="s">
        <v>1986</v>
      </c>
      <c r="E7543" t="s">
        <v>1890</v>
      </c>
      <c r="F7543">
        <v>0</v>
      </c>
    </row>
    <row r="7544" spans="1:6">
      <c r="A7544" t="s">
        <v>27</v>
      </c>
      <c r="B7544" t="s">
        <v>106</v>
      </c>
      <c r="C7544" t="s">
        <v>1988</v>
      </c>
      <c r="D7544" t="s">
        <v>1986</v>
      </c>
      <c r="E7544" t="s">
        <v>1891</v>
      </c>
      <c r="F7544" t="s">
        <v>1861</v>
      </c>
    </row>
    <row r="7545" spans="1:6">
      <c r="A7545" t="s">
        <v>27</v>
      </c>
      <c r="B7545" t="s">
        <v>106</v>
      </c>
      <c r="C7545" t="s">
        <v>1988</v>
      </c>
      <c r="D7545" t="s">
        <v>1986</v>
      </c>
      <c r="E7545" t="s">
        <v>1892</v>
      </c>
      <c r="F7545">
        <v>42442.17000000001</v>
      </c>
    </row>
    <row r="7546" spans="1:6">
      <c r="A7546" t="s">
        <v>27</v>
      </c>
      <c r="B7546" t="s">
        <v>106</v>
      </c>
      <c r="C7546" t="s">
        <v>1988</v>
      </c>
      <c r="D7546" t="s">
        <v>1986</v>
      </c>
      <c r="E7546" t="s">
        <v>1893</v>
      </c>
      <c r="F7546">
        <v>4543.070000000003</v>
      </c>
    </row>
    <row r="7547" spans="1:6">
      <c r="A7547" t="s">
        <v>27</v>
      </c>
      <c r="B7547" t="s">
        <v>106</v>
      </c>
      <c r="C7547" t="s">
        <v>1988</v>
      </c>
      <c r="D7547" t="s">
        <v>1986</v>
      </c>
      <c r="E7547" t="s">
        <v>1894</v>
      </c>
      <c r="F7547">
        <v>7690.349999999999</v>
      </c>
    </row>
    <row r="7548" spans="1:6">
      <c r="A7548" t="s">
        <v>27</v>
      </c>
      <c r="B7548" t="s">
        <v>106</v>
      </c>
      <c r="C7548" t="s">
        <v>1988</v>
      </c>
      <c r="D7548" t="s">
        <v>1986</v>
      </c>
      <c r="E7548" t="s">
        <v>1895</v>
      </c>
      <c r="F7548">
        <v>5331.860000000004</v>
      </c>
    </row>
    <row r="7549" spans="1:6">
      <c r="A7549" t="s">
        <v>27</v>
      </c>
      <c r="B7549" t="s">
        <v>106</v>
      </c>
      <c r="C7549" t="s">
        <v>1988</v>
      </c>
      <c r="D7549" t="s">
        <v>1986</v>
      </c>
      <c r="E7549" t="s">
        <v>1896</v>
      </c>
      <c r="F7549">
        <v>7330.070000000004</v>
      </c>
    </row>
    <row r="7550" spans="1:6">
      <c r="A7550" t="s">
        <v>27</v>
      </c>
      <c r="B7550" t="s">
        <v>106</v>
      </c>
      <c r="C7550" t="s">
        <v>1988</v>
      </c>
      <c r="D7550" t="s">
        <v>1986</v>
      </c>
      <c r="E7550" t="s">
        <v>1746</v>
      </c>
      <c r="F7550">
        <v>5368.889999999999</v>
      </c>
    </row>
    <row r="7551" spans="1:6">
      <c r="A7551" t="s">
        <v>27</v>
      </c>
      <c r="B7551" t="s">
        <v>106</v>
      </c>
      <c r="C7551" t="s">
        <v>1988</v>
      </c>
      <c r="D7551" t="s">
        <v>1986</v>
      </c>
      <c r="E7551" t="s">
        <v>1897</v>
      </c>
      <c r="F7551">
        <v>12177.93</v>
      </c>
    </row>
    <row r="7552" spans="1:6">
      <c r="A7552" t="s">
        <v>27</v>
      </c>
      <c r="B7552" t="s">
        <v>106</v>
      </c>
      <c r="C7552" t="s">
        <v>1988</v>
      </c>
      <c r="D7552" t="s">
        <v>1986</v>
      </c>
      <c r="E7552" t="s">
        <v>1898</v>
      </c>
      <c r="F7552" t="s">
        <v>1862</v>
      </c>
    </row>
    <row r="7553" spans="1:6">
      <c r="A7553" t="s">
        <v>27</v>
      </c>
      <c r="B7553" t="s">
        <v>106</v>
      </c>
      <c r="C7553" t="s">
        <v>1988</v>
      </c>
      <c r="D7553" t="s">
        <v>1986</v>
      </c>
      <c r="E7553" t="s">
        <v>1899</v>
      </c>
      <c r="F7553">
        <v>0</v>
      </c>
    </row>
    <row r="7554" spans="1:6">
      <c r="A7554" t="s">
        <v>27</v>
      </c>
      <c r="B7554" t="s">
        <v>106</v>
      </c>
      <c r="C7554" t="s">
        <v>1988</v>
      </c>
      <c r="D7554" t="s">
        <v>1986</v>
      </c>
      <c r="E7554" t="s">
        <v>1900</v>
      </c>
      <c r="F7554">
        <v>0</v>
      </c>
    </row>
    <row r="7555" spans="1:6">
      <c r="A7555" t="s">
        <v>27</v>
      </c>
      <c r="B7555" t="s">
        <v>106</v>
      </c>
      <c r="C7555" t="s">
        <v>1988</v>
      </c>
      <c r="D7555" t="s">
        <v>1986</v>
      </c>
      <c r="E7555" t="s">
        <v>1901</v>
      </c>
      <c r="F7555">
        <v>0</v>
      </c>
    </row>
    <row r="7556" spans="1:6">
      <c r="A7556" t="s">
        <v>27</v>
      </c>
      <c r="B7556" t="s">
        <v>106</v>
      </c>
      <c r="C7556" t="s">
        <v>1988</v>
      </c>
      <c r="D7556" t="s">
        <v>1986</v>
      </c>
      <c r="E7556" t="s">
        <v>1902</v>
      </c>
      <c r="F7556">
        <v>0</v>
      </c>
    </row>
    <row r="7557" spans="1:6">
      <c r="A7557" t="s">
        <v>27</v>
      </c>
      <c r="B7557" t="s">
        <v>106</v>
      </c>
      <c r="C7557" t="s">
        <v>1988</v>
      </c>
      <c r="D7557" t="s">
        <v>1986</v>
      </c>
      <c r="E7557" t="s">
        <v>1903</v>
      </c>
      <c r="F7557">
        <v>0</v>
      </c>
    </row>
    <row r="7558" spans="1:6">
      <c r="A7558" t="s">
        <v>27</v>
      </c>
      <c r="B7558" t="s">
        <v>106</v>
      </c>
      <c r="C7558" t="s">
        <v>1988</v>
      </c>
      <c r="D7558" t="s">
        <v>1986</v>
      </c>
      <c r="E7558" t="s">
        <v>1747</v>
      </c>
      <c r="F7558">
        <v>0</v>
      </c>
    </row>
    <row r="7559" spans="1:6">
      <c r="A7559" t="s">
        <v>27</v>
      </c>
      <c r="B7559" t="s">
        <v>106</v>
      </c>
      <c r="C7559" t="s">
        <v>1988</v>
      </c>
      <c r="D7559" t="s">
        <v>1986</v>
      </c>
      <c r="E7559" t="s">
        <v>1904</v>
      </c>
      <c r="F7559">
        <v>0</v>
      </c>
    </row>
    <row r="7560" spans="1:6">
      <c r="A7560" t="s">
        <v>27</v>
      </c>
      <c r="B7560" t="s">
        <v>106</v>
      </c>
      <c r="C7560" t="s">
        <v>1988</v>
      </c>
      <c r="D7560" t="s">
        <v>1986</v>
      </c>
      <c r="E7560" t="s">
        <v>1905</v>
      </c>
      <c r="F7560" t="s">
        <v>1863</v>
      </c>
    </row>
    <row r="7561" spans="1:6">
      <c r="A7561" t="s">
        <v>27</v>
      </c>
      <c r="B7561" t="s">
        <v>106</v>
      </c>
      <c r="C7561" t="s">
        <v>1988</v>
      </c>
      <c r="D7561" t="s">
        <v>1986</v>
      </c>
      <c r="E7561" t="s">
        <v>1906</v>
      </c>
      <c r="F7561">
        <v>2.76</v>
      </c>
    </row>
    <row r="7562" spans="1:6">
      <c r="A7562" t="s">
        <v>27</v>
      </c>
      <c r="B7562" t="s">
        <v>106</v>
      </c>
      <c r="C7562" t="s">
        <v>1988</v>
      </c>
      <c r="D7562" t="s">
        <v>1986</v>
      </c>
      <c r="E7562" t="s">
        <v>1907</v>
      </c>
      <c r="F7562">
        <v>0</v>
      </c>
    </row>
    <row r="7563" spans="1:6">
      <c r="A7563" t="s">
        <v>27</v>
      </c>
      <c r="B7563" t="s">
        <v>106</v>
      </c>
      <c r="C7563" t="s">
        <v>1988</v>
      </c>
      <c r="D7563" t="s">
        <v>1986</v>
      </c>
      <c r="E7563" t="s">
        <v>1908</v>
      </c>
      <c r="F7563">
        <v>0</v>
      </c>
    </row>
    <row r="7564" spans="1:6">
      <c r="A7564" t="s">
        <v>27</v>
      </c>
      <c r="B7564" t="s">
        <v>106</v>
      </c>
      <c r="C7564" t="s">
        <v>1988</v>
      </c>
      <c r="D7564" t="s">
        <v>1986</v>
      </c>
      <c r="E7564" t="s">
        <v>1909</v>
      </c>
      <c r="F7564">
        <v>0</v>
      </c>
    </row>
    <row r="7565" spans="1:6">
      <c r="A7565" t="s">
        <v>27</v>
      </c>
      <c r="B7565" t="s">
        <v>106</v>
      </c>
      <c r="C7565" t="s">
        <v>1988</v>
      </c>
      <c r="D7565" t="s">
        <v>1986</v>
      </c>
      <c r="E7565" t="s">
        <v>1910</v>
      </c>
      <c r="F7565">
        <v>1.18</v>
      </c>
    </row>
    <row r="7566" spans="1:6">
      <c r="A7566" t="s">
        <v>27</v>
      </c>
      <c r="B7566" t="s">
        <v>106</v>
      </c>
      <c r="C7566" t="s">
        <v>1988</v>
      </c>
      <c r="D7566" t="s">
        <v>1986</v>
      </c>
      <c r="E7566" t="s">
        <v>1911</v>
      </c>
      <c r="F7566">
        <v>1.58</v>
      </c>
    </row>
    <row r="7567" spans="1:6">
      <c r="A7567" t="s">
        <v>27</v>
      </c>
      <c r="B7567" t="s">
        <v>106</v>
      </c>
      <c r="C7567" t="s">
        <v>1988</v>
      </c>
      <c r="D7567" t="s">
        <v>1986</v>
      </c>
      <c r="E7567" t="s">
        <v>1912</v>
      </c>
      <c r="F7567">
        <v>0</v>
      </c>
    </row>
    <row r="7568" spans="1:6">
      <c r="A7568" t="s">
        <v>27</v>
      </c>
      <c r="B7568" t="s">
        <v>106</v>
      </c>
      <c r="C7568" t="s">
        <v>1988</v>
      </c>
      <c r="D7568" t="s">
        <v>1986</v>
      </c>
      <c r="E7568" t="s">
        <v>1913</v>
      </c>
      <c r="F7568" t="s">
        <v>1864</v>
      </c>
    </row>
    <row r="7569" spans="1:6">
      <c r="A7569" t="s">
        <v>27</v>
      </c>
      <c r="B7569" t="s">
        <v>106</v>
      </c>
      <c r="C7569" t="s">
        <v>1988</v>
      </c>
      <c r="D7569" t="s">
        <v>1986</v>
      </c>
      <c r="E7569" t="s">
        <v>1914</v>
      </c>
      <c r="F7569">
        <v>499.45</v>
      </c>
    </row>
    <row r="7570" spans="1:6">
      <c r="A7570" t="s">
        <v>27</v>
      </c>
      <c r="B7570" t="s">
        <v>106</v>
      </c>
      <c r="C7570" t="s">
        <v>1988</v>
      </c>
      <c r="D7570" t="s">
        <v>1986</v>
      </c>
      <c r="E7570" t="s">
        <v>1915</v>
      </c>
      <c r="F7570">
        <v>0</v>
      </c>
    </row>
    <row r="7571" spans="1:6">
      <c r="A7571" t="s">
        <v>27</v>
      </c>
      <c r="B7571" t="s">
        <v>106</v>
      </c>
      <c r="C7571" t="s">
        <v>1988</v>
      </c>
      <c r="D7571" t="s">
        <v>1986</v>
      </c>
      <c r="E7571" t="s">
        <v>1916</v>
      </c>
      <c r="F7571">
        <v>0</v>
      </c>
    </row>
    <row r="7572" spans="1:6">
      <c r="A7572" t="s">
        <v>27</v>
      </c>
      <c r="B7572" t="s">
        <v>106</v>
      </c>
      <c r="C7572" t="s">
        <v>1988</v>
      </c>
      <c r="D7572" t="s">
        <v>1986</v>
      </c>
      <c r="E7572" t="s">
        <v>1917</v>
      </c>
      <c r="F7572">
        <v>12.92</v>
      </c>
    </row>
    <row r="7573" spans="1:6">
      <c r="A7573" t="s">
        <v>27</v>
      </c>
      <c r="B7573" t="s">
        <v>106</v>
      </c>
      <c r="C7573" t="s">
        <v>1988</v>
      </c>
      <c r="D7573" t="s">
        <v>1986</v>
      </c>
      <c r="E7573" t="s">
        <v>1918</v>
      </c>
      <c r="F7573">
        <v>1.17</v>
      </c>
    </row>
    <row r="7574" spans="1:6">
      <c r="A7574" t="s">
        <v>27</v>
      </c>
      <c r="B7574" t="s">
        <v>106</v>
      </c>
      <c r="C7574" t="s">
        <v>1988</v>
      </c>
      <c r="D7574" t="s">
        <v>1986</v>
      </c>
      <c r="E7574" t="s">
        <v>1919</v>
      </c>
      <c r="F7574">
        <v>376</v>
      </c>
    </row>
    <row r="7575" spans="1:6">
      <c r="A7575" t="s">
        <v>27</v>
      </c>
      <c r="B7575" t="s">
        <v>106</v>
      </c>
      <c r="C7575" t="s">
        <v>1988</v>
      </c>
      <c r="D7575" t="s">
        <v>1986</v>
      </c>
      <c r="E7575" t="s">
        <v>1920</v>
      </c>
      <c r="F7575">
        <v>109.36</v>
      </c>
    </row>
    <row r="7576" spans="1:6">
      <c r="A7576" t="s">
        <v>27</v>
      </c>
      <c r="B7576" t="s">
        <v>106</v>
      </c>
      <c r="C7576" t="s">
        <v>1988</v>
      </c>
      <c r="D7576" t="s">
        <v>1986</v>
      </c>
      <c r="E7576" t="s">
        <v>1921</v>
      </c>
      <c r="F7576" t="s">
        <v>1865</v>
      </c>
    </row>
    <row r="7577" spans="1:6">
      <c r="A7577" t="s">
        <v>27</v>
      </c>
      <c r="B7577" t="s">
        <v>106</v>
      </c>
      <c r="C7577" t="s">
        <v>1988</v>
      </c>
      <c r="D7577" t="s">
        <v>1986</v>
      </c>
      <c r="E7577" t="s">
        <v>1922</v>
      </c>
      <c r="F7577">
        <v>297.53</v>
      </c>
    </row>
    <row r="7578" spans="1:6">
      <c r="A7578" t="s">
        <v>27</v>
      </c>
      <c r="B7578" t="s">
        <v>106</v>
      </c>
      <c r="C7578" t="s">
        <v>1988</v>
      </c>
      <c r="D7578" t="s">
        <v>1986</v>
      </c>
      <c r="E7578" t="s">
        <v>1923</v>
      </c>
      <c r="F7578">
        <v>14.15</v>
      </c>
    </row>
    <row r="7579" spans="1:6">
      <c r="A7579" t="s">
        <v>27</v>
      </c>
      <c r="B7579" t="s">
        <v>106</v>
      </c>
      <c r="C7579" t="s">
        <v>1988</v>
      </c>
      <c r="D7579" t="s">
        <v>1986</v>
      </c>
      <c r="E7579" t="s">
        <v>1924</v>
      </c>
      <c r="F7579">
        <v>61.47</v>
      </c>
    </row>
    <row r="7580" spans="1:6">
      <c r="A7580" t="s">
        <v>27</v>
      </c>
      <c r="B7580" t="s">
        <v>106</v>
      </c>
      <c r="C7580" t="s">
        <v>1988</v>
      </c>
      <c r="D7580" t="s">
        <v>1986</v>
      </c>
      <c r="E7580" t="s">
        <v>1925</v>
      </c>
      <c r="F7580">
        <v>75.06</v>
      </c>
    </row>
    <row r="7581" spans="1:6">
      <c r="A7581" t="s">
        <v>27</v>
      </c>
      <c r="B7581" t="s">
        <v>106</v>
      </c>
      <c r="C7581" t="s">
        <v>1988</v>
      </c>
      <c r="D7581" t="s">
        <v>1986</v>
      </c>
      <c r="E7581" t="s">
        <v>1926</v>
      </c>
      <c r="F7581">
        <v>8.939999999999998</v>
      </c>
    </row>
    <row r="7582" spans="1:6">
      <c r="A7582" t="s">
        <v>27</v>
      </c>
      <c r="B7582" t="s">
        <v>106</v>
      </c>
      <c r="C7582" t="s">
        <v>1988</v>
      </c>
      <c r="D7582" t="s">
        <v>1986</v>
      </c>
      <c r="E7582" t="s">
        <v>1927</v>
      </c>
      <c r="F7582">
        <v>4.67</v>
      </c>
    </row>
    <row r="7583" spans="1:6">
      <c r="A7583" t="s">
        <v>27</v>
      </c>
      <c r="B7583" t="s">
        <v>106</v>
      </c>
      <c r="C7583" t="s">
        <v>1988</v>
      </c>
      <c r="D7583" t="s">
        <v>1986</v>
      </c>
      <c r="E7583" t="s">
        <v>1928</v>
      </c>
      <c r="F7583">
        <v>133.24</v>
      </c>
    </row>
    <row r="7584" spans="1:6">
      <c r="A7584" t="s">
        <v>27</v>
      </c>
      <c r="B7584" t="s">
        <v>106</v>
      </c>
      <c r="C7584" t="s">
        <v>1988</v>
      </c>
      <c r="D7584" t="s">
        <v>1986</v>
      </c>
      <c r="E7584" t="s">
        <v>1929</v>
      </c>
      <c r="F7584" t="s">
        <v>1866</v>
      </c>
    </row>
    <row r="7585" spans="1:6">
      <c r="A7585" t="s">
        <v>27</v>
      </c>
      <c r="B7585" t="s">
        <v>106</v>
      </c>
      <c r="C7585" t="s">
        <v>1988</v>
      </c>
      <c r="D7585" t="s">
        <v>1986</v>
      </c>
      <c r="E7585" t="s">
        <v>1930</v>
      </c>
      <c r="F7585">
        <v>498.66</v>
      </c>
    </row>
    <row r="7586" spans="1:6">
      <c r="A7586" t="s">
        <v>27</v>
      </c>
      <c r="B7586" t="s">
        <v>106</v>
      </c>
      <c r="C7586" t="s">
        <v>1988</v>
      </c>
      <c r="D7586" t="s">
        <v>1986</v>
      </c>
      <c r="E7586" t="s">
        <v>1931</v>
      </c>
      <c r="F7586">
        <v>498.66</v>
      </c>
    </row>
    <row r="7587" spans="1:6">
      <c r="A7587" t="s">
        <v>27</v>
      </c>
      <c r="B7587" t="s">
        <v>106</v>
      </c>
      <c r="C7587" t="s">
        <v>1988</v>
      </c>
      <c r="D7587" t="s">
        <v>1986</v>
      </c>
      <c r="E7587" t="s">
        <v>1932</v>
      </c>
      <c r="F7587">
        <v>0</v>
      </c>
    </row>
    <row r="7588" spans="1:6">
      <c r="A7588" t="s">
        <v>27</v>
      </c>
      <c r="B7588" t="s">
        <v>106</v>
      </c>
      <c r="C7588" t="s">
        <v>1988</v>
      </c>
      <c r="D7588" t="s">
        <v>1986</v>
      </c>
      <c r="E7588" t="s">
        <v>1933</v>
      </c>
      <c r="F7588">
        <v>0</v>
      </c>
    </row>
    <row r="7589" spans="1:6">
      <c r="A7589" t="s">
        <v>27</v>
      </c>
      <c r="B7589" t="s">
        <v>106</v>
      </c>
      <c r="C7589" t="s">
        <v>1988</v>
      </c>
      <c r="D7589" t="s">
        <v>1986</v>
      </c>
      <c r="E7589" t="s">
        <v>1934</v>
      </c>
      <c r="F7589">
        <v>0</v>
      </c>
    </row>
    <row r="7590" spans="1:6">
      <c r="A7590" t="s">
        <v>27</v>
      </c>
      <c r="B7590" t="s">
        <v>106</v>
      </c>
      <c r="C7590" t="s">
        <v>1988</v>
      </c>
      <c r="D7590" t="s">
        <v>1986</v>
      </c>
      <c r="E7590" t="s">
        <v>1935</v>
      </c>
      <c r="F7590">
        <v>0</v>
      </c>
    </row>
    <row r="7591" spans="1:6">
      <c r="A7591" t="s">
        <v>27</v>
      </c>
      <c r="B7591" t="s">
        <v>106</v>
      </c>
      <c r="C7591" t="s">
        <v>1988</v>
      </c>
      <c r="D7591" t="s">
        <v>1986</v>
      </c>
      <c r="E7591" t="s">
        <v>1936</v>
      </c>
      <c r="F7591">
        <v>0</v>
      </c>
    </row>
    <row r="7592" spans="1:6">
      <c r="A7592" t="s">
        <v>27</v>
      </c>
      <c r="B7592" t="s">
        <v>106</v>
      </c>
      <c r="C7592" t="s">
        <v>1988</v>
      </c>
      <c r="D7592" t="s">
        <v>1986</v>
      </c>
      <c r="E7592" t="s">
        <v>1937</v>
      </c>
      <c r="F7592" t="s">
        <v>1226</v>
      </c>
    </row>
    <row r="7593" spans="1:6">
      <c r="A7593" t="s">
        <v>27</v>
      </c>
      <c r="B7593" t="s">
        <v>106</v>
      </c>
      <c r="C7593" t="s">
        <v>1988</v>
      </c>
      <c r="D7593" t="s">
        <v>1986</v>
      </c>
      <c r="E7593" t="s">
        <v>1938</v>
      </c>
      <c r="F7593">
        <v>0.4866256134354339</v>
      </c>
    </row>
    <row r="7594" spans="1:6">
      <c r="A7594" t="s">
        <v>27</v>
      </c>
      <c r="B7594" t="s">
        <v>106</v>
      </c>
      <c r="C7594" t="s">
        <v>1988</v>
      </c>
      <c r="D7594" t="s">
        <v>1986</v>
      </c>
      <c r="E7594" t="s">
        <v>1939</v>
      </c>
      <c r="F7594">
        <v>0.9741133391480998</v>
      </c>
    </row>
    <row r="7595" spans="1:6">
      <c r="A7595" t="s">
        <v>27</v>
      </c>
      <c r="B7595" t="s">
        <v>106</v>
      </c>
      <c r="C7595" t="s">
        <v>1988</v>
      </c>
      <c r="D7595" t="s">
        <v>1986</v>
      </c>
      <c r="E7595" t="s">
        <v>1940</v>
      </c>
      <c r="F7595">
        <v>0.9830541258657283</v>
      </c>
    </row>
    <row r="7596" spans="1:6">
      <c r="A7596" t="s">
        <v>27</v>
      </c>
      <c r="B7596" t="s">
        <v>106</v>
      </c>
      <c r="C7596" t="s">
        <v>1988</v>
      </c>
      <c r="D7596" t="s">
        <v>1986</v>
      </c>
      <c r="E7596" t="s">
        <v>1941</v>
      </c>
      <c r="F7596">
        <v>0.9903498982782015</v>
      </c>
    </row>
    <row r="7597" spans="1:6">
      <c r="A7597" t="s">
        <v>27</v>
      </c>
      <c r="B7597" t="s">
        <v>106</v>
      </c>
      <c r="C7597" t="s">
        <v>1988</v>
      </c>
      <c r="D7597" t="s">
        <v>1986</v>
      </c>
      <c r="E7597" t="s">
        <v>1942</v>
      </c>
      <c r="F7597">
        <v>0.9758219243864639</v>
      </c>
    </row>
    <row r="7598" spans="1:6">
      <c r="A7598" t="s">
        <v>27</v>
      </c>
      <c r="B7598" t="s">
        <v>106</v>
      </c>
      <c r="C7598" t="s">
        <v>1988</v>
      </c>
      <c r="D7598" t="s">
        <v>1986</v>
      </c>
      <c r="E7598" t="s">
        <v>1943</v>
      </c>
      <c r="F7598">
        <v>1.000000000000001</v>
      </c>
    </row>
    <row r="7599" spans="1:6">
      <c r="A7599" t="s">
        <v>27</v>
      </c>
      <c r="B7599" t="s">
        <v>106</v>
      </c>
      <c r="C7599" t="s">
        <v>1988</v>
      </c>
      <c r="D7599" t="s">
        <v>1986</v>
      </c>
      <c r="E7599" t="s">
        <v>1944</v>
      </c>
      <c r="F7599" t="s">
        <v>1236</v>
      </c>
    </row>
    <row r="7600" spans="1:6">
      <c r="A7600" t="s">
        <v>27</v>
      </c>
      <c r="B7600" t="s">
        <v>106</v>
      </c>
      <c r="C7600" t="s">
        <v>1988</v>
      </c>
      <c r="D7600" t="s">
        <v>1986</v>
      </c>
      <c r="E7600" t="s">
        <v>1945</v>
      </c>
      <c r="F7600">
        <v>0.5702005730659025</v>
      </c>
    </row>
    <row r="7601" spans="1:6">
      <c r="A7601" t="s">
        <v>27</v>
      </c>
      <c r="B7601" t="s">
        <v>106</v>
      </c>
      <c r="C7601" t="s">
        <v>1988</v>
      </c>
      <c r="D7601" t="s">
        <v>1986</v>
      </c>
      <c r="E7601" t="s">
        <v>1946</v>
      </c>
      <c r="F7601">
        <v>0.9183673469387755</v>
      </c>
    </row>
    <row r="7602" spans="1:6">
      <c r="A7602" t="s">
        <v>27</v>
      </c>
      <c r="B7602" t="s">
        <v>106</v>
      </c>
      <c r="C7602" t="s">
        <v>1988</v>
      </c>
      <c r="D7602" t="s">
        <v>1986</v>
      </c>
      <c r="E7602" t="s">
        <v>1947</v>
      </c>
      <c r="F7602">
        <v>0.955637707948244</v>
      </c>
    </row>
    <row r="7603" spans="1:6">
      <c r="A7603" t="s">
        <v>27</v>
      </c>
      <c r="B7603" t="s">
        <v>106</v>
      </c>
      <c r="C7603" t="s">
        <v>1988</v>
      </c>
      <c r="D7603" t="s">
        <v>1986</v>
      </c>
      <c r="E7603" t="s">
        <v>1948</v>
      </c>
      <c r="F7603">
        <v>0.9811023622047244</v>
      </c>
    </row>
    <row r="7604" spans="1:6">
      <c r="A7604" t="s">
        <v>27</v>
      </c>
      <c r="B7604" t="s">
        <v>106</v>
      </c>
      <c r="C7604" t="s">
        <v>1988</v>
      </c>
      <c r="D7604" t="s">
        <v>1986</v>
      </c>
      <c r="E7604" t="s">
        <v>1949</v>
      </c>
      <c r="F7604">
        <v>0.9961389961389961</v>
      </c>
    </row>
    <row r="7605" spans="1:6">
      <c r="A7605" t="s">
        <v>27</v>
      </c>
      <c r="B7605" t="s">
        <v>106</v>
      </c>
      <c r="C7605" t="s">
        <v>1988</v>
      </c>
      <c r="D7605" t="s">
        <v>1986</v>
      </c>
      <c r="E7605" t="s">
        <v>1950</v>
      </c>
      <c r="F7605">
        <v>1</v>
      </c>
    </row>
    <row r="7606" spans="1:6">
      <c r="A7606" t="s">
        <v>27</v>
      </c>
      <c r="B7606" t="s">
        <v>106</v>
      </c>
      <c r="C7606" t="s">
        <v>1988</v>
      </c>
      <c r="D7606" t="s">
        <v>1986</v>
      </c>
      <c r="E7606" t="s">
        <v>1951</v>
      </c>
      <c r="F7606" t="s">
        <v>1952</v>
      </c>
    </row>
    <row r="7607" spans="1:6">
      <c r="A7607" t="s">
        <v>27</v>
      </c>
      <c r="B7607" t="s">
        <v>106</v>
      </c>
      <c r="C7607" t="s">
        <v>1988</v>
      </c>
      <c r="D7607" t="s">
        <v>1986</v>
      </c>
      <c r="E7607" t="s">
        <v>1953</v>
      </c>
      <c r="F7607">
        <v>172626.6199999999</v>
      </c>
    </row>
    <row r="7608" spans="1:6">
      <c r="A7608" t="s">
        <v>27</v>
      </c>
      <c r="B7608" t="s">
        <v>106</v>
      </c>
      <c r="C7608" t="s">
        <v>1988</v>
      </c>
      <c r="D7608" t="s">
        <v>1986</v>
      </c>
      <c r="E7608" t="s">
        <v>1954</v>
      </c>
      <c r="F7608">
        <v>159517.4400000001</v>
      </c>
    </row>
    <row r="7609" spans="1:6">
      <c r="A7609" t="s">
        <v>27</v>
      </c>
      <c r="B7609" t="s">
        <v>106</v>
      </c>
      <c r="C7609" t="s">
        <v>1988</v>
      </c>
      <c r="D7609" t="s">
        <v>1986</v>
      </c>
      <c r="E7609" t="s">
        <v>1955</v>
      </c>
      <c r="F7609">
        <v>3246.610000000001</v>
      </c>
    </row>
    <row r="7610" spans="1:6">
      <c r="A7610" t="s">
        <v>27</v>
      </c>
      <c r="B7610" t="s">
        <v>106</v>
      </c>
      <c r="C7610" t="s">
        <v>1988</v>
      </c>
      <c r="D7610" t="s">
        <v>1986</v>
      </c>
      <c r="E7610" t="s">
        <v>1956</v>
      </c>
      <c r="F7610">
        <v>4242.030000000057</v>
      </c>
    </row>
    <row r="7611" spans="1:6">
      <c r="A7611" t="s">
        <v>27</v>
      </c>
      <c r="B7611" t="s">
        <v>106</v>
      </c>
      <c r="C7611" t="s">
        <v>1988</v>
      </c>
      <c r="D7611" t="s">
        <v>1986</v>
      </c>
      <c r="E7611" t="s">
        <v>1957</v>
      </c>
      <c r="F7611">
        <v>2249.690000000061</v>
      </c>
    </row>
    <row r="7612" spans="1:6">
      <c r="A7612" t="s">
        <v>27</v>
      </c>
      <c r="B7612" t="s">
        <v>106</v>
      </c>
      <c r="C7612" t="s">
        <v>1988</v>
      </c>
      <c r="D7612" t="s">
        <v>1986</v>
      </c>
      <c r="E7612" t="s">
        <v>1958</v>
      </c>
      <c r="F7612">
        <v>3370.850000000006</v>
      </c>
    </row>
    <row r="7613" spans="1:6">
      <c r="A7613" t="s">
        <v>27</v>
      </c>
      <c r="B7613" t="s">
        <v>106</v>
      </c>
      <c r="C7613" t="s">
        <v>1988</v>
      </c>
      <c r="D7613" t="s">
        <v>1986</v>
      </c>
      <c r="E7613" t="s">
        <v>1959</v>
      </c>
      <c r="F7613">
        <v>0</v>
      </c>
    </row>
    <row r="7614" spans="1:6">
      <c r="A7614" t="s">
        <v>27</v>
      </c>
      <c r="B7614" t="s">
        <v>106</v>
      </c>
      <c r="C7614" t="s">
        <v>1988</v>
      </c>
      <c r="D7614" t="s">
        <v>1986</v>
      </c>
      <c r="E7614" t="s">
        <v>1960</v>
      </c>
      <c r="F7614" t="s">
        <v>1255</v>
      </c>
    </row>
    <row r="7615" spans="1:6">
      <c r="A7615" t="s">
        <v>27</v>
      </c>
      <c r="B7615" t="s">
        <v>106</v>
      </c>
      <c r="C7615" t="s">
        <v>1988</v>
      </c>
      <c r="D7615" t="s">
        <v>1986</v>
      </c>
      <c r="E7615" t="s">
        <v>1961</v>
      </c>
      <c r="F7615">
        <v>374</v>
      </c>
    </row>
    <row r="7616" spans="1:6">
      <c r="A7616" t="s">
        <v>27</v>
      </c>
      <c r="B7616" t="s">
        <v>106</v>
      </c>
      <c r="C7616" t="s">
        <v>1988</v>
      </c>
      <c r="D7616" t="s">
        <v>1986</v>
      </c>
      <c r="E7616" t="s">
        <v>1962</v>
      </c>
      <c r="F7616">
        <v>300</v>
      </c>
    </row>
    <row r="7617" spans="1:6">
      <c r="A7617" t="s">
        <v>27</v>
      </c>
      <c r="B7617" t="s">
        <v>106</v>
      </c>
      <c r="C7617" t="s">
        <v>1988</v>
      </c>
      <c r="D7617" t="s">
        <v>1986</v>
      </c>
      <c r="E7617" t="s">
        <v>1963</v>
      </c>
      <c r="F7617">
        <v>36</v>
      </c>
    </row>
    <row r="7618" spans="1:6">
      <c r="A7618" t="s">
        <v>27</v>
      </c>
      <c r="B7618" t="s">
        <v>106</v>
      </c>
      <c r="C7618" t="s">
        <v>1988</v>
      </c>
      <c r="D7618" t="s">
        <v>1986</v>
      </c>
      <c r="E7618" t="s">
        <v>1964</v>
      </c>
      <c r="F7618">
        <v>24</v>
      </c>
    </row>
    <row r="7619" spans="1:6">
      <c r="A7619" t="s">
        <v>27</v>
      </c>
      <c r="B7619" t="s">
        <v>106</v>
      </c>
      <c r="C7619" t="s">
        <v>1988</v>
      </c>
      <c r="D7619" t="s">
        <v>1986</v>
      </c>
      <c r="E7619" t="s">
        <v>1965</v>
      </c>
      <c r="F7619">
        <v>12</v>
      </c>
    </row>
    <row r="7620" spans="1:6">
      <c r="A7620" t="s">
        <v>27</v>
      </c>
      <c r="B7620" t="s">
        <v>106</v>
      </c>
      <c r="C7620" t="s">
        <v>1988</v>
      </c>
      <c r="D7620" t="s">
        <v>1986</v>
      </c>
      <c r="E7620" t="s">
        <v>1966</v>
      </c>
      <c r="F7620">
        <v>2</v>
      </c>
    </row>
    <row r="7621" spans="1:6">
      <c r="A7621" t="s">
        <v>27</v>
      </c>
      <c r="B7621" t="s">
        <v>106</v>
      </c>
      <c r="C7621" t="s">
        <v>1988</v>
      </c>
      <c r="D7621" t="s">
        <v>1986</v>
      </c>
      <c r="E7621" t="s">
        <v>1967</v>
      </c>
      <c r="F7621">
        <v>0</v>
      </c>
    </row>
    <row r="7622" spans="1:6">
      <c r="A7622" t="s">
        <v>27</v>
      </c>
      <c r="B7622" t="s">
        <v>106</v>
      </c>
      <c r="C7622" t="s">
        <v>1988</v>
      </c>
      <c r="D7622" t="s">
        <v>1986</v>
      </c>
      <c r="E7622" t="s">
        <v>1968</v>
      </c>
      <c r="F7622" t="s">
        <v>1131</v>
      </c>
    </row>
    <row r="7623" spans="1:6">
      <c r="A7623" t="s">
        <v>27</v>
      </c>
      <c r="B7623" t="s">
        <v>106</v>
      </c>
      <c r="C7623" t="s">
        <v>1988</v>
      </c>
      <c r="D7623" t="s">
        <v>1986</v>
      </c>
      <c r="E7623" t="s">
        <v>1969</v>
      </c>
      <c r="F7623">
        <v>0.1195956878560847</v>
      </c>
    </row>
    <row r="7624" spans="1:6">
      <c r="A7624" t="s">
        <v>27</v>
      </c>
      <c r="B7624" t="s">
        <v>106</v>
      </c>
      <c r="C7624" t="s">
        <v>1988</v>
      </c>
      <c r="D7624" t="s">
        <v>1986</v>
      </c>
      <c r="E7624" t="s">
        <v>1970</v>
      </c>
      <c r="F7624">
        <v>0.5133743865645661</v>
      </c>
    </row>
    <row r="7625" spans="1:6">
      <c r="A7625" t="s">
        <v>27</v>
      </c>
      <c r="B7625" t="s">
        <v>106</v>
      </c>
      <c r="C7625" t="s">
        <v>1988</v>
      </c>
      <c r="D7625" t="s">
        <v>1986</v>
      </c>
      <c r="E7625" t="s">
        <v>1971</v>
      </c>
      <c r="F7625">
        <v>0.02588666085190022</v>
      </c>
    </row>
    <row r="7626" spans="1:6">
      <c r="A7626" t="s">
        <v>27</v>
      </c>
      <c r="B7626" t="s">
        <v>106</v>
      </c>
      <c r="C7626" t="s">
        <v>1988</v>
      </c>
      <c r="D7626" t="s">
        <v>1986</v>
      </c>
      <c r="E7626" t="s">
        <v>1972</v>
      </c>
      <c r="F7626">
        <v>0.0169458741342717</v>
      </c>
    </row>
    <row r="7627" spans="1:6">
      <c r="A7627" t="s">
        <v>27</v>
      </c>
      <c r="B7627" t="s">
        <v>106</v>
      </c>
      <c r="C7627" t="s">
        <v>1988</v>
      </c>
      <c r="D7627" t="s">
        <v>1986</v>
      </c>
      <c r="E7627" t="s">
        <v>1973</v>
      </c>
      <c r="F7627">
        <v>0.009650101721798482</v>
      </c>
    </row>
    <row r="7628" spans="1:6">
      <c r="A7628" t="s">
        <v>27</v>
      </c>
      <c r="B7628" t="s">
        <v>106</v>
      </c>
      <c r="C7628" t="s">
        <v>1988</v>
      </c>
      <c r="D7628" t="s">
        <v>1986</v>
      </c>
      <c r="E7628" t="s">
        <v>1974</v>
      </c>
      <c r="F7628">
        <v>0.02417807561353616</v>
      </c>
    </row>
    <row r="7629" spans="1:6">
      <c r="A7629" t="s">
        <v>27</v>
      </c>
      <c r="B7629" t="s">
        <v>106</v>
      </c>
      <c r="C7629" t="s">
        <v>1988</v>
      </c>
      <c r="D7629" t="s">
        <v>1986</v>
      </c>
      <c r="E7629" t="s">
        <v>1975</v>
      </c>
      <c r="F7629">
        <v>0</v>
      </c>
    </row>
    <row r="7630" spans="1:6">
      <c r="A7630" t="s">
        <v>27</v>
      </c>
      <c r="B7630" t="s">
        <v>106</v>
      </c>
      <c r="C7630" t="s">
        <v>1988</v>
      </c>
      <c r="D7630" t="s">
        <v>1987</v>
      </c>
      <c r="E7630" t="s">
        <v>1274</v>
      </c>
      <c r="F7630" t="s">
        <v>106</v>
      </c>
    </row>
    <row r="7631" spans="1:6">
      <c r="A7631" t="s">
        <v>27</v>
      </c>
      <c r="B7631" t="s">
        <v>106</v>
      </c>
      <c r="C7631" t="s">
        <v>1988</v>
      </c>
      <c r="D7631" t="s">
        <v>1987</v>
      </c>
      <c r="E7631" t="s">
        <v>1275</v>
      </c>
      <c r="F7631" t="s">
        <v>1989</v>
      </c>
    </row>
    <row r="7632" spans="1:6">
      <c r="A7632" t="s">
        <v>27</v>
      </c>
      <c r="B7632" t="s">
        <v>106</v>
      </c>
      <c r="C7632" t="s">
        <v>1988</v>
      </c>
      <c r="D7632" t="s">
        <v>1987</v>
      </c>
      <c r="E7632" t="s">
        <v>1977</v>
      </c>
      <c r="F7632" t="s">
        <v>1978</v>
      </c>
    </row>
    <row r="7633" spans="1:6">
      <c r="A7633" t="s">
        <v>27</v>
      </c>
      <c r="B7633" t="s">
        <v>106</v>
      </c>
      <c r="C7633" t="s">
        <v>1988</v>
      </c>
      <c r="D7633" t="s">
        <v>1987</v>
      </c>
      <c r="E7633" t="s">
        <v>1979</v>
      </c>
      <c r="F7633" t="s">
        <v>1980</v>
      </c>
    </row>
    <row r="7634" spans="1:6">
      <c r="A7634" t="s">
        <v>27</v>
      </c>
      <c r="B7634" t="s">
        <v>106</v>
      </c>
      <c r="C7634" t="s">
        <v>1988</v>
      </c>
      <c r="D7634" t="s">
        <v>1987</v>
      </c>
      <c r="E7634" t="s">
        <v>1276</v>
      </c>
      <c r="F7634" t="s">
        <v>1277</v>
      </c>
    </row>
    <row r="7635" spans="1:6">
      <c r="A7635" t="s">
        <v>27</v>
      </c>
      <c r="B7635" t="s">
        <v>106</v>
      </c>
      <c r="C7635" t="s">
        <v>1988</v>
      </c>
      <c r="D7635" t="s">
        <v>1987</v>
      </c>
      <c r="E7635" t="s">
        <v>1279</v>
      </c>
      <c r="F7635" t="s">
        <v>1280</v>
      </c>
    </row>
    <row r="7636" spans="1:6">
      <c r="A7636" t="s">
        <v>27</v>
      </c>
      <c r="B7636" t="s">
        <v>106</v>
      </c>
      <c r="C7636" t="s">
        <v>1988</v>
      </c>
      <c r="D7636" t="s">
        <v>1987</v>
      </c>
      <c r="E7636" t="s">
        <v>1281</v>
      </c>
      <c r="F7636" t="s">
        <v>1981</v>
      </c>
    </row>
    <row r="7637" spans="1:6">
      <c r="A7637" t="s">
        <v>27</v>
      </c>
      <c r="B7637" t="s">
        <v>106</v>
      </c>
      <c r="C7637" t="s">
        <v>1988</v>
      </c>
      <c r="D7637" t="s">
        <v>1987</v>
      </c>
      <c r="E7637" t="s">
        <v>1283</v>
      </c>
      <c r="F7637" t="s">
        <v>1284</v>
      </c>
    </row>
    <row r="7638" spans="1:6">
      <c r="A7638" t="s">
        <v>27</v>
      </c>
      <c r="B7638" t="s">
        <v>106</v>
      </c>
      <c r="C7638" t="s">
        <v>1988</v>
      </c>
      <c r="D7638" t="s">
        <v>1987</v>
      </c>
      <c r="E7638" t="s">
        <v>1285</v>
      </c>
      <c r="F7638" t="s">
        <v>525</v>
      </c>
    </row>
    <row r="7639" spans="1:6">
      <c r="A7639" t="s">
        <v>27</v>
      </c>
      <c r="B7639" t="s">
        <v>106</v>
      </c>
      <c r="C7639" t="s">
        <v>1988</v>
      </c>
      <c r="D7639" t="s">
        <v>1987</v>
      </c>
      <c r="E7639" t="s">
        <v>1286</v>
      </c>
      <c r="F7639">
        <v>102</v>
      </c>
    </row>
    <row r="7640" spans="1:6">
      <c r="A7640" t="s">
        <v>27</v>
      </c>
      <c r="B7640" t="s">
        <v>106</v>
      </c>
      <c r="C7640" t="s">
        <v>1988</v>
      </c>
      <c r="D7640" t="s">
        <v>1987</v>
      </c>
      <c r="E7640" t="s">
        <v>1287</v>
      </c>
      <c r="F7640">
        <v>199.05</v>
      </c>
    </row>
    <row r="7641" spans="1:6">
      <c r="A7641" t="s">
        <v>27</v>
      </c>
      <c r="B7641" t="s">
        <v>106</v>
      </c>
      <c r="C7641" t="s">
        <v>1988</v>
      </c>
      <c r="D7641" t="s">
        <v>1987</v>
      </c>
      <c r="E7641" t="s">
        <v>1288</v>
      </c>
      <c r="F7641" t="s">
        <v>527</v>
      </c>
    </row>
    <row r="7642" spans="1:6">
      <c r="A7642" t="s">
        <v>27</v>
      </c>
      <c r="B7642" t="s">
        <v>106</v>
      </c>
      <c r="C7642" t="s">
        <v>1988</v>
      </c>
      <c r="D7642" t="s">
        <v>1987</v>
      </c>
      <c r="E7642" t="s">
        <v>1096</v>
      </c>
      <c r="F7642">
        <v>94</v>
      </c>
    </row>
    <row r="7643" spans="1:6">
      <c r="A7643" t="s">
        <v>27</v>
      </c>
      <c r="B7643" t="s">
        <v>106</v>
      </c>
      <c r="C7643" t="s">
        <v>1988</v>
      </c>
      <c r="D7643" t="s">
        <v>1987</v>
      </c>
      <c r="E7643" t="s">
        <v>1004</v>
      </c>
      <c r="F7643">
        <v>5458.84</v>
      </c>
    </row>
    <row r="7644" spans="1:6">
      <c r="A7644" t="s">
        <v>27</v>
      </c>
      <c r="B7644" t="s">
        <v>106</v>
      </c>
      <c r="C7644" t="s">
        <v>1988</v>
      </c>
      <c r="D7644" t="s">
        <v>1987</v>
      </c>
      <c r="E7644" t="s">
        <v>1289</v>
      </c>
      <c r="F7644" t="s">
        <v>723</v>
      </c>
    </row>
    <row r="7645" spans="1:6">
      <c r="A7645" t="s">
        <v>27</v>
      </c>
      <c r="B7645" t="s">
        <v>106</v>
      </c>
      <c r="C7645" t="s">
        <v>1988</v>
      </c>
      <c r="D7645" t="s">
        <v>1987</v>
      </c>
      <c r="E7645" t="s">
        <v>1290</v>
      </c>
      <c r="F7645">
        <v>142</v>
      </c>
    </row>
    <row r="7646" spans="1:6">
      <c r="A7646" t="s">
        <v>27</v>
      </c>
      <c r="B7646" t="s">
        <v>106</v>
      </c>
      <c r="C7646" t="s">
        <v>1988</v>
      </c>
      <c r="D7646" t="s">
        <v>1987</v>
      </c>
      <c r="E7646" t="s">
        <v>1291</v>
      </c>
      <c r="F7646">
        <v>57058.09000000001</v>
      </c>
    </row>
    <row r="7647" spans="1:6">
      <c r="A7647" t="s">
        <v>27</v>
      </c>
      <c r="B7647" t="s">
        <v>106</v>
      </c>
      <c r="C7647" t="s">
        <v>1988</v>
      </c>
      <c r="D7647" t="s">
        <v>1987</v>
      </c>
      <c r="E7647" t="s">
        <v>1008</v>
      </c>
      <c r="F7647" t="s">
        <v>725</v>
      </c>
    </row>
    <row r="7648" spans="1:6">
      <c r="A7648" t="s">
        <v>27</v>
      </c>
      <c r="B7648" t="s">
        <v>106</v>
      </c>
      <c r="C7648" t="s">
        <v>1988</v>
      </c>
      <c r="D7648" t="s">
        <v>1987</v>
      </c>
      <c r="E7648" t="s">
        <v>1010</v>
      </c>
      <c r="F7648">
        <v>36</v>
      </c>
    </row>
    <row r="7649" spans="1:6">
      <c r="A7649" t="s">
        <v>27</v>
      </c>
      <c r="B7649" t="s">
        <v>106</v>
      </c>
      <c r="C7649" t="s">
        <v>1988</v>
      </c>
      <c r="D7649" t="s">
        <v>1987</v>
      </c>
      <c r="E7649" t="s">
        <v>1012</v>
      </c>
      <c r="F7649">
        <v>109910.64</v>
      </c>
    </row>
    <row r="7650" spans="1:6">
      <c r="A7650" t="s">
        <v>27</v>
      </c>
      <c r="B7650" t="s">
        <v>106</v>
      </c>
      <c r="C7650" t="s">
        <v>1988</v>
      </c>
      <c r="D7650" t="s">
        <v>1987</v>
      </c>
      <c r="E7650" t="s">
        <v>1035</v>
      </c>
      <c r="F7650" t="s">
        <v>727</v>
      </c>
    </row>
    <row r="7651" spans="1:6">
      <c r="A7651" t="s">
        <v>27</v>
      </c>
      <c r="B7651" t="s">
        <v>106</v>
      </c>
      <c r="C7651" t="s">
        <v>1988</v>
      </c>
      <c r="D7651" t="s">
        <v>1987</v>
      </c>
      <c r="E7651" t="s">
        <v>1099</v>
      </c>
      <c r="F7651">
        <v>0</v>
      </c>
    </row>
    <row r="7652" spans="1:6">
      <c r="A7652" t="s">
        <v>27</v>
      </c>
      <c r="B7652" t="s">
        <v>106</v>
      </c>
      <c r="C7652" t="s">
        <v>1988</v>
      </c>
      <c r="D7652" t="s">
        <v>1987</v>
      </c>
      <c r="E7652" t="s">
        <v>1100</v>
      </c>
      <c r="F7652">
        <v>0</v>
      </c>
    </row>
    <row r="7653" spans="1:6">
      <c r="A7653" t="s">
        <v>27</v>
      </c>
      <c r="B7653" t="s">
        <v>106</v>
      </c>
      <c r="C7653" t="s">
        <v>1988</v>
      </c>
      <c r="D7653" t="s">
        <v>1987</v>
      </c>
      <c r="E7653" t="s">
        <v>1037</v>
      </c>
      <c r="F7653" t="s">
        <v>1292</v>
      </c>
    </row>
    <row r="7654" spans="1:6">
      <c r="A7654" t="s">
        <v>27</v>
      </c>
      <c r="B7654" t="s">
        <v>106</v>
      </c>
      <c r="C7654" t="s">
        <v>1988</v>
      </c>
      <c r="D7654" t="s">
        <v>1987</v>
      </c>
      <c r="E7654" t="s">
        <v>1103</v>
      </c>
      <c r="F7654">
        <v>374</v>
      </c>
    </row>
    <row r="7655" spans="1:6">
      <c r="A7655" t="s">
        <v>27</v>
      </c>
      <c r="B7655" t="s">
        <v>106</v>
      </c>
      <c r="C7655" t="s">
        <v>1988</v>
      </c>
      <c r="D7655" t="s">
        <v>1987</v>
      </c>
      <c r="E7655" t="s">
        <v>1104</v>
      </c>
      <c r="F7655">
        <v>172626.62</v>
      </c>
    </row>
    <row r="7656" spans="1:6">
      <c r="A7656" t="s">
        <v>27</v>
      </c>
      <c r="B7656" t="s">
        <v>106</v>
      </c>
      <c r="C7656" t="s">
        <v>1988</v>
      </c>
      <c r="D7656" t="s">
        <v>1987</v>
      </c>
      <c r="E7656" t="s">
        <v>1052</v>
      </c>
      <c r="F7656" t="s">
        <v>1293</v>
      </c>
    </row>
    <row r="7657" spans="1:6">
      <c r="A7657" t="s">
        <v>27</v>
      </c>
      <c r="B7657" t="s">
        <v>106</v>
      </c>
      <c r="C7657" t="s">
        <v>1988</v>
      </c>
      <c r="D7657" t="s">
        <v>1987</v>
      </c>
      <c r="E7657" t="s">
        <v>1053</v>
      </c>
      <c r="F7657" t="s">
        <v>1294</v>
      </c>
    </row>
    <row r="7658" spans="1:6">
      <c r="A7658" t="s">
        <v>27</v>
      </c>
      <c r="B7658" t="s">
        <v>106</v>
      </c>
      <c r="C7658" t="s">
        <v>1988</v>
      </c>
      <c r="D7658" t="s">
        <v>1987</v>
      </c>
      <c r="E7658" t="s">
        <v>1108</v>
      </c>
      <c r="F7658">
        <v>0</v>
      </c>
    </row>
    <row r="7659" spans="1:6">
      <c r="A7659" t="s">
        <v>27</v>
      </c>
      <c r="B7659" t="s">
        <v>106</v>
      </c>
      <c r="C7659" t="s">
        <v>1988</v>
      </c>
      <c r="D7659" t="s">
        <v>1987</v>
      </c>
      <c r="E7659" t="s">
        <v>1109</v>
      </c>
      <c r="F7659">
        <v>0</v>
      </c>
    </row>
    <row r="7660" spans="1:6">
      <c r="A7660" t="s">
        <v>27</v>
      </c>
      <c r="B7660" t="s">
        <v>106</v>
      </c>
      <c r="C7660" t="s">
        <v>1988</v>
      </c>
      <c r="D7660" t="s">
        <v>1987</v>
      </c>
      <c r="E7660" t="s">
        <v>1113</v>
      </c>
      <c r="F7660">
        <v>2018</v>
      </c>
    </row>
    <row r="7661" spans="1:6">
      <c r="A7661" t="s">
        <v>27</v>
      </c>
      <c r="B7661" t="s">
        <v>106</v>
      </c>
      <c r="C7661" t="s">
        <v>1988</v>
      </c>
      <c r="D7661" t="s">
        <v>1987</v>
      </c>
      <c r="E7661" t="s">
        <v>1114</v>
      </c>
      <c r="F7661">
        <v>0</v>
      </c>
    </row>
    <row r="7662" spans="1:6">
      <c r="A7662" t="s">
        <v>27</v>
      </c>
      <c r="B7662" t="s">
        <v>106</v>
      </c>
      <c r="C7662" t="s">
        <v>1988</v>
      </c>
      <c r="D7662" t="s">
        <v>1987</v>
      </c>
      <c r="E7662" t="s">
        <v>1115</v>
      </c>
      <c r="F7662">
        <v>0</v>
      </c>
    </row>
    <row r="7663" spans="1:6">
      <c r="A7663" t="s">
        <v>27</v>
      </c>
      <c r="B7663" t="s">
        <v>106</v>
      </c>
      <c r="C7663" t="s">
        <v>1988</v>
      </c>
      <c r="D7663" t="s">
        <v>1987</v>
      </c>
      <c r="E7663" t="s">
        <v>1118</v>
      </c>
      <c r="F7663">
        <v>2019</v>
      </c>
    </row>
    <row r="7664" spans="1:6">
      <c r="A7664" t="s">
        <v>27</v>
      </c>
      <c r="B7664" t="s">
        <v>106</v>
      </c>
      <c r="C7664" t="s">
        <v>1988</v>
      </c>
      <c r="D7664" t="s">
        <v>1987</v>
      </c>
      <c r="E7664" t="s">
        <v>1119</v>
      </c>
      <c r="F7664">
        <v>0</v>
      </c>
    </row>
    <row r="7665" spans="1:6">
      <c r="A7665" t="s">
        <v>27</v>
      </c>
      <c r="B7665" t="s">
        <v>106</v>
      </c>
      <c r="C7665" t="s">
        <v>1988</v>
      </c>
      <c r="D7665" t="s">
        <v>1987</v>
      </c>
      <c r="E7665" t="s">
        <v>1120</v>
      </c>
      <c r="F7665">
        <v>0</v>
      </c>
    </row>
    <row r="7666" spans="1:6">
      <c r="A7666" t="s">
        <v>27</v>
      </c>
      <c r="B7666" t="s">
        <v>106</v>
      </c>
      <c r="C7666" t="s">
        <v>1988</v>
      </c>
      <c r="D7666" t="s">
        <v>1987</v>
      </c>
      <c r="E7666" t="s">
        <v>1124</v>
      </c>
      <c r="F7666">
        <v>2020</v>
      </c>
    </row>
    <row r="7667" spans="1:6">
      <c r="A7667" t="s">
        <v>27</v>
      </c>
      <c r="B7667" t="s">
        <v>106</v>
      </c>
      <c r="C7667" t="s">
        <v>1988</v>
      </c>
      <c r="D7667" t="s">
        <v>1987</v>
      </c>
      <c r="E7667" t="s">
        <v>1126</v>
      </c>
      <c r="F7667">
        <v>0</v>
      </c>
    </row>
    <row r="7668" spans="1:6">
      <c r="A7668" t="s">
        <v>27</v>
      </c>
      <c r="B7668" t="s">
        <v>106</v>
      </c>
      <c r="C7668" t="s">
        <v>1988</v>
      </c>
      <c r="D7668" t="s">
        <v>1987</v>
      </c>
      <c r="E7668" t="s">
        <v>1127</v>
      </c>
      <c r="F7668">
        <v>0</v>
      </c>
    </row>
    <row r="7669" spans="1:6">
      <c r="A7669" t="s">
        <v>27</v>
      </c>
      <c r="B7669" t="s">
        <v>106</v>
      </c>
      <c r="C7669" t="s">
        <v>1988</v>
      </c>
      <c r="D7669" t="s">
        <v>1987</v>
      </c>
      <c r="E7669" t="s">
        <v>1057</v>
      </c>
      <c r="F7669">
        <v>2021</v>
      </c>
    </row>
    <row r="7670" spans="1:6">
      <c r="A7670" t="s">
        <v>27</v>
      </c>
      <c r="B7670" t="s">
        <v>106</v>
      </c>
      <c r="C7670" t="s">
        <v>1988</v>
      </c>
      <c r="D7670" t="s">
        <v>1987</v>
      </c>
      <c r="E7670" t="s">
        <v>1058</v>
      </c>
      <c r="F7670">
        <v>0</v>
      </c>
    </row>
    <row r="7671" spans="1:6">
      <c r="A7671" t="s">
        <v>27</v>
      </c>
      <c r="B7671" t="s">
        <v>106</v>
      </c>
      <c r="C7671" t="s">
        <v>1988</v>
      </c>
      <c r="D7671" t="s">
        <v>1987</v>
      </c>
      <c r="E7671" t="s">
        <v>1059</v>
      </c>
      <c r="F7671">
        <v>0</v>
      </c>
    </row>
    <row r="7672" spans="1:6">
      <c r="A7672" t="s">
        <v>27</v>
      </c>
      <c r="B7672" t="s">
        <v>106</v>
      </c>
      <c r="C7672" t="s">
        <v>1988</v>
      </c>
      <c r="D7672" t="s">
        <v>1987</v>
      </c>
      <c r="E7672" t="s">
        <v>1072</v>
      </c>
      <c r="F7672">
        <v>2022</v>
      </c>
    </row>
    <row r="7673" spans="1:6">
      <c r="A7673" t="s">
        <v>27</v>
      </c>
      <c r="B7673" t="s">
        <v>106</v>
      </c>
      <c r="C7673" t="s">
        <v>1988</v>
      </c>
      <c r="D7673" t="s">
        <v>1987</v>
      </c>
      <c r="E7673" t="s">
        <v>1133</v>
      </c>
      <c r="F7673">
        <v>0</v>
      </c>
    </row>
    <row r="7674" spans="1:6">
      <c r="A7674" t="s">
        <v>27</v>
      </c>
      <c r="B7674" t="s">
        <v>106</v>
      </c>
      <c r="C7674" t="s">
        <v>1988</v>
      </c>
      <c r="D7674" t="s">
        <v>1987</v>
      </c>
      <c r="E7674" t="s">
        <v>1134</v>
      </c>
      <c r="F7674">
        <v>0</v>
      </c>
    </row>
    <row r="7675" spans="1:6">
      <c r="A7675" t="s">
        <v>27</v>
      </c>
      <c r="B7675" t="s">
        <v>106</v>
      </c>
      <c r="C7675" t="s">
        <v>1988</v>
      </c>
      <c r="D7675" t="s">
        <v>1987</v>
      </c>
      <c r="E7675" t="s">
        <v>1074</v>
      </c>
      <c r="F7675">
        <v>2023</v>
      </c>
    </row>
    <row r="7676" spans="1:6">
      <c r="A7676" t="s">
        <v>27</v>
      </c>
      <c r="B7676" t="s">
        <v>106</v>
      </c>
      <c r="C7676" t="s">
        <v>1988</v>
      </c>
      <c r="D7676" t="s">
        <v>1987</v>
      </c>
      <c r="E7676" t="s">
        <v>1296</v>
      </c>
      <c r="F7676">
        <v>0</v>
      </c>
    </row>
    <row r="7677" spans="1:6">
      <c r="A7677" t="s">
        <v>27</v>
      </c>
      <c r="B7677" t="s">
        <v>106</v>
      </c>
      <c r="C7677" t="s">
        <v>1988</v>
      </c>
      <c r="D7677" t="s">
        <v>1987</v>
      </c>
      <c r="E7677" t="s">
        <v>1297</v>
      </c>
      <c r="F7677">
        <v>0</v>
      </c>
    </row>
    <row r="7678" spans="1:6">
      <c r="A7678" t="s">
        <v>27</v>
      </c>
      <c r="B7678" t="s">
        <v>106</v>
      </c>
      <c r="C7678" t="s">
        <v>1988</v>
      </c>
      <c r="D7678" t="s">
        <v>1987</v>
      </c>
      <c r="E7678" t="s">
        <v>1076</v>
      </c>
      <c r="F7678">
        <v>2024</v>
      </c>
    </row>
    <row r="7679" spans="1:6">
      <c r="A7679" t="s">
        <v>27</v>
      </c>
      <c r="B7679" t="s">
        <v>106</v>
      </c>
      <c r="C7679" t="s">
        <v>1988</v>
      </c>
      <c r="D7679" t="s">
        <v>1987</v>
      </c>
      <c r="E7679" t="s">
        <v>1077</v>
      </c>
      <c r="F7679">
        <v>0</v>
      </c>
    </row>
    <row r="7680" spans="1:6">
      <c r="A7680" t="s">
        <v>27</v>
      </c>
      <c r="B7680" t="s">
        <v>106</v>
      </c>
      <c r="C7680" t="s">
        <v>1988</v>
      </c>
      <c r="D7680" t="s">
        <v>1987</v>
      </c>
      <c r="E7680" t="s">
        <v>1078</v>
      </c>
      <c r="F7680">
        <v>0</v>
      </c>
    </row>
    <row r="7681" spans="1:6">
      <c r="A7681" t="s">
        <v>27</v>
      </c>
      <c r="B7681" t="s">
        <v>106</v>
      </c>
      <c r="C7681" t="s">
        <v>1988</v>
      </c>
      <c r="D7681" t="s">
        <v>1987</v>
      </c>
      <c r="E7681" t="s">
        <v>1090</v>
      </c>
      <c r="F7681">
        <v>2025</v>
      </c>
    </row>
    <row r="7682" spans="1:6">
      <c r="A7682" t="s">
        <v>27</v>
      </c>
      <c r="B7682" t="s">
        <v>106</v>
      </c>
      <c r="C7682" t="s">
        <v>1988</v>
      </c>
      <c r="D7682" t="s">
        <v>1987</v>
      </c>
      <c r="E7682" t="s">
        <v>1139</v>
      </c>
      <c r="F7682">
        <v>0</v>
      </c>
    </row>
    <row r="7683" spans="1:6">
      <c r="A7683" t="s">
        <v>27</v>
      </c>
      <c r="B7683" t="s">
        <v>106</v>
      </c>
      <c r="C7683" t="s">
        <v>1988</v>
      </c>
      <c r="D7683" t="s">
        <v>1987</v>
      </c>
      <c r="E7683" t="s">
        <v>1140</v>
      </c>
      <c r="F7683">
        <v>0</v>
      </c>
    </row>
    <row r="7684" spans="1:6">
      <c r="A7684" t="s">
        <v>27</v>
      </c>
      <c r="B7684" t="s">
        <v>106</v>
      </c>
      <c r="C7684" t="s">
        <v>1988</v>
      </c>
      <c r="D7684" t="s">
        <v>1987</v>
      </c>
      <c r="E7684" t="s">
        <v>1298</v>
      </c>
      <c r="F7684">
        <v>2026</v>
      </c>
    </row>
    <row r="7685" spans="1:6">
      <c r="A7685" t="s">
        <v>27</v>
      </c>
      <c r="B7685" t="s">
        <v>106</v>
      </c>
      <c r="C7685" t="s">
        <v>1988</v>
      </c>
      <c r="D7685" t="s">
        <v>1987</v>
      </c>
      <c r="E7685" t="s">
        <v>1299</v>
      </c>
      <c r="F7685">
        <v>374</v>
      </c>
    </row>
    <row r="7686" spans="1:6">
      <c r="A7686" t="s">
        <v>27</v>
      </c>
      <c r="B7686" t="s">
        <v>106</v>
      </c>
      <c r="C7686" t="s">
        <v>1988</v>
      </c>
      <c r="D7686" t="s">
        <v>1987</v>
      </c>
      <c r="E7686" t="s">
        <v>1300</v>
      </c>
      <c r="F7686">
        <v>172626.6199999999</v>
      </c>
    </row>
    <row r="7687" spans="1:6">
      <c r="A7687" t="s">
        <v>27</v>
      </c>
      <c r="B7687" t="s">
        <v>106</v>
      </c>
      <c r="C7687" t="s">
        <v>1988</v>
      </c>
      <c r="D7687" t="s">
        <v>1987</v>
      </c>
      <c r="E7687" t="s">
        <v>1301</v>
      </c>
      <c r="F7687" t="s">
        <v>1292</v>
      </c>
    </row>
    <row r="7688" spans="1:6">
      <c r="A7688" t="s">
        <v>27</v>
      </c>
      <c r="B7688" t="s">
        <v>106</v>
      </c>
      <c r="C7688" t="s">
        <v>1988</v>
      </c>
      <c r="D7688" t="s">
        <v>1987</v>
      </c>
      <c r="E7688" t="s">
        <v>1302</v>
      </c>
      <c r="F7688">
        <v>374</v>
      </c>
    </row>
    <row r="7689" spans="1:6">
      <c r="A7689" t="s">
        <v>27</v>
      </c>
      <c r="B7689" t="s">
        <v>106</v>
      </c>
      <c r="C7689" t="s">
        <v>1988</v>
      </c>
      <c r="D7689" t="s">
        <v>1987</v>
      </c>
      <c r="E7689" t="s">
        <v>1303</v>
      </c>
      <c r="F7689">
        <v>172626.6199999999</v>
      </c>
    </row>
    <row r="7690" spans="1:6">
      <c r="A7690" t="s">
        <v>27</v>
      </c>
      <c r="B7690" t="s">
        <v>112</v>
      </c>
      <c r="C7690" t="s">
        <v>860</v>
      </c>
      <c r="D7690" t="s">
        <v>991</v>
      </c>
      <c r="E7690" t="s">
        <v>992</v>
      </c>
      <c r="F7690" t="s">
        <v>993</v>
      </c>
    </row>
    <row r="7691" spans="1:6">
      <c r="A7691" t="s">
        <v>27</v>
      </c>
      <c r="B7691" t="s">
        <v>112</v>
      </c>
      <c r="C7691" t="s">
        <v>860</v>
      </c>
      <c r="D7691" t="s">
        <v>991</v>
      </c>
      <c r="E7691" t="s">
        <v>1093</v>
      </c>
      <c r="F7691" t="s">
        <v>1094</v>
      </c>
    </row>
    <row r="7692" spans="1:6">
      <c r="A7692" t="s">
        <v>27</v>
      </c>
      <c r="B7692" t="s">
        <v>112</v>
      </c>
      <c r="C7692" t="s">
        <v>860</v>
      </c>
      <c r="D7692" t="s">
        <v>991</v>
      </c>
      <c r="E7692" t="s">
        <v>994</v>
      </c>
      <c r="F7692" t="s">
        <v>112</v>
      </c>
    </row>
    <row r="7693" spans="1:6">
      <c r="A7693" t="s">
        <v>27</v>
      </c>
      <c r="B7693" t="s">
        <v>112</v>
      </c>
      <c r="C7693" t="s">
        <v>860</v>
      </c>
      <c r="D7693" t="s">
        <v>991</v>
      </c>
      <c r="E7693" t="s">
        <v>995</v>
      </c>
      <c r="F7693" t="s">
        <v>996</v>
      </c>
    </row>
    <row r="7694" spans="1:6">
      <c r="A7694" t="s">
        <v>27</v>
      </c>
      <c r="B7694" t="s">
        <v>112</v>
      </c>
      <c r="C7694" t="s">
        <v>860</v>
      </c>
      <c r="D7694" t="s">
        <v>991</v>
      </c>
      <c r="E7694" t="s">
        <v>997</v>
      </c>
      <c r="F7694" t="s">
        <v>1989</v>
      </c>
    </row>
    <row r="7695" spans="1:6">
      <c r="A7695" t="s">
        <v>27</v>
      </c>
      <c r="B7695" t="s">
        <v>112</v>
      </c>
      <c r="C7695" t="s">
        <v>860</v>
      </c>
      <c r="D7695" t="s">
        <v>991</v>
      </c>
      <c r="E7695" t="s">
        <v>999</v>
      </c>
      <c r="F7695" t="s">
        <v>1000</v>
      </c>
    </row>
    <row r="7696" spans="1:6">
      <c r="A7696" t="s">
        <v>27</v>
      </c>
      <c r="B7696" t="s">
        <v>112</v>
      </c>
      <c r="C7696" t="s">
        <v>860</v>
      </c>
      <c r="D7696" t="s">
        <v>991</v>
      </c>
      <c r="E7696" t="s">
        <v>1001</v>
      </c>
      <c r="F7696" t="s">
        <v>25</v>
      </c>
    </row>
    <row r="7697" spans="1:6">
      <c r="A7697" t="s">
        <v>27</v>
      </c>
      <c r="B7697" t="s">
        <v>112</v>
      </c>
      <c r="C7697" t="s">
        <v>860</v>
      </c>
      <c r="D7697" t="s">
        <v>991</v>
      </c>
      <c r="E7697" t="s">
        <v>1002</v>
      </c>
      <c r="F7697" t="s">
        <v>1003</v>
      </c>
    </row>
    <row r="7698" spans="1:6">
      <c r="A7698" t="s">
        <v>27</v>
      </c>
      <c r="B7698" t="s">
        <v>112</v>
      </c>
      <c r="C7698" t="s">
        <v>860</v>
      </c>
      <c r="D7698" t="s">
        <v>991</v>
      </c>
      <c r="E7698" t="s">
        <v>1004</v>
      </c>
      <c r="F7698" t="s">
        <v>1005</v>
      </c>
    </row>
    <row r="7699" spans="1:6">
      <c r="A7699" t="s">
        <v>27</v>
      </c>
      <c r="B7699" t="s">
        <v>112</v>
      </c>
      <c r="C7699" t="s">
        <v>860</v>
      </c>
      <c r="D7699" t="s">
        <v>991</v>
      </c>
      <c r="E7699" t="s">
        <v>1006</v>
      </c>
      <c r="F7699" t="s">
        <v>1007</v>
      </c>
    </row>
    <row r="7700" spans="1:6">
      <c r="A7700" t="s">
        <v>27</v>
      </c>
      <c r="B7700" t="s">
        <v>112</v>
      </c>
      <c r="C7700" t="s">
        <v>860</v>
      </c>
      <c r="D7700" t="s">
        <v>991</v>
      </c>
      <c r="E7700" t="s">
        <v>1008</v>
      </c>
      <c r="F7700" t="s">
        <v>1009</v>
      </c>
    </row>
    <row r="7701" spans="1:6">
      <c r="A7701" t="s">
        <v>27</v>
      </c>
      <c r="B7701" t="s">
        <v>112</v>
      </c>
      <c r="C7701" t="s">
        <v>860</v>
      </c>
      <c r="D7701" t="s">
        <v>991</v>
      </c>
      <c r="E7701" t="s">
        <v>1010</v>
      </c>
      <c r="F7701" t="s">
        <v>1011</v>
      </c>
    </row>
    <row r="7702" spans="1:6">
      <c r="A7702" t="s">
        <v>27</v>
      </c>
      <c r="B7702" t="s">
        <v>112</v>
      </c>
      <c r="C7702" t="s">
        <v>860</v>
      </c>
      <c r="D7702" t="s">
        <v>991</v>
      </c>
      <c r="E7702" t="s">
        <v>1012</v>
      </c>
      <c r="F7702" t="s">
        <v>1013</v>
      </c>
    </row>
    <row r="7703" spans="1:6">
      <c r="A7703" t="s">
        <v>27</v>
      </c>
      <c r="B7703" t="s">
        <v>112</v>
      </c>
      <c r="C7703" t="s">
        <v>860</v>
      </c>
      <c r="D7703" t="s">
        <v>991</v>
      </c>
      <c r="E7703" t="s">
        <v>1014</v>
      </c>
      <c r="F7703" t="s">
        <v>1015</v>
      </c>
    </row>
    <row r="7704" spans="1:6">
      <c r="A7704" t="s">
        <v>27</v>
      </c>
      <c r="B7704" t="s">
        <v>112</v>
      </c>
      <c r="C7704" t="s">
        <v>860</v>
      </c>
      <c r="D7704" t="s">
        <v>991</v>
      </c>
      <c r="E7704" t="s">
        <v>1016</v>
      </c>
      <c r="F7704" t="s">
        <v>1017</v>
      </c>
    </row>
    <row r="7705" spans="1:6">
      <c r="A7705" t="s">
        <v>27</v>
      </c>
      <c r="B7705" t="s">
        <v>112</v>
      </c>
      <c r="C7705" t="s">
        <v>860</v>
      </c>
      <c r="D7705" t="s">
        <v>991</v>
      </c>
      <c r="E7705" t="s">
        <v>1018</v>
      </c>
      <c r="F7705" t="s">
        <v>1019</v>
      </c>
    </row>
    <row r="7706" spans="1:6">
      <c r="A7706" t="s">
        <v>27</v>
      </c>
      <c r="B7706" t="s">
        <v>112</v>
      </c>
      <c r="C7706" t="s">
        <v>860</v>
      </c>
      <c r="D7706" t="s">
        <v>991</v>
      </c>
      <c r="E7706" t="s">
        <v>1020</v>
      </c>
      <c r="F7706" t="s">
        <v>1021</v>
      </c>
    </row>
    <row r="7707" spans="1:6">
      <c r="A7707" t="s">
        <v>27</v>
      </c>
      <c r="B7707" t="s">
        <v>112</v>
      </c>
      <c r="C7707" t="s">
        <v>860</v>
      </c>
      <c r="D7707" t="s">
        <v>991</v>
      </c>
      <c r="E7707" t="s">
        <v>1022</v>
      </c>
      <c r="F7707" t="s">
        <v>1023</v>
      </c>
    </row>
    <row r="7708" spans="1:6">
      <c r="A7708" t="s">
        <v>27</v>
      </c>
      <c r="B7708" t="s">
        <v>112</v>
      </c>
      <c r="C7708" t="s">
        <v>860</v>
      </c>
      <c r="D7708" t="s">
        <v>991</v>
      </c>
      <c r="E7708" t="s">
        <v>1024</v>
      </c>
      <c r="F7708" t="s">
        <v>1025</v>
      </c>
    </row>
    <row r="7709" spans="1:6">
      <c r="A7709" t="s">
        <v>27</v>
      </c>
      <c r="B7709" t="s">
        <v>112</v>
      </c>
      <c r="C7709" t="s">
        <v>860</v>
      </c>
      <c r="D7709" t="s">
        <v>991</v>
      </c>
      <c r="E7709" t="s">
        <v>1026</v>
      </c>
      <c r="F7709" t="s">
        <v>1027</v>
      </c>
    </row>
    <row r="7710" spans="1:6">
      <c r="A7710" t="s">
        <v>27</v>
      </c>
      <c r="B7710" t="s">
        <v>112</v>
      </c>
      <c r="C7710" t="s">
        <v>860</v>
      </c>
      <c r="D7710" t="s">
        <v>991</v>
      </c>
      <c r="E7710" t="s">
        <v>1028</v>
      </c>
      <c r="F7710" t="s">
        <v>1029</v>
      </c>
    </row>
    <row r="7711" spans="1:6">
      <c r="A7711" t="s">
        <v>27</v>
      </c>
      <c r="B7711" t="s">
        <v>112</v>
      </c>
      <c r="C7711" t="s">
        <v>860</v>
      </c>
      <c r="D7711" t="s">
        <v>991</v>
      </c>
      <c r="E7711" t="s">
        <v>1030</v>
      </c>
      <c r="F7711" t="s">
        <v>1031</v>
      </c>
    </row>
    <row r="7712" spans="1:6">
      <c r="A7712" t="s">
        <v>27</v>
      </c>
      <c r="B7712" t="s">
        <v>112</v>
      </c>
      <c r="C7712" t="s">
        <v>860</v>
      </c>
      <c r="D7712" t="s">
        <v>991</v>
      </c>
      <c r="E7712" t="s">
        <v>1032</v>
      </c>
      <c r="F7712" t="s">
        <v>1033</v>
      </c>
    </row>
    <row r="7713" spans="1:6">
      <c r="A7713" t="s">
        <v>27</v>
      </c>
      <c r="B7713" t="s">
        <v>112</v>
      </c>
      <c r="C7713" t="s">
        <v>860</v>
      </c>
      <c r="D7713" t="s">
        <v>991</v>
      </c>
      <c r="E7713" t="s">
        <v>1034</v>
      </c>
      <c r="F7713" t="s">
        <v>50</v>
      </c>
    </row>
    <row r="7714" spans="1:6">
      <c r="A7714" t="s">
        <v>27</v>
      </c>
      <c r="B7714" t="s">
        <v>112</v>
      </c>
      <c r="C7714" t="s">
        <v>860</v>
      </c>
      <c r="D7714" t="s">
        <v>991</v>
      </c>
      <c r="E7714" t="s">
        <v>1035</v>
      </c>
      <c r="F7714">
        <v>27676837.5499995</v>
      </c>
    </row>
    <row r="7715" spans="1:6">
      <c r="A7715" t="s">
        <v>27</v>
      </c>
      <c r="B7715" t="s">
        <v>112</v>
      </c>
      <c r="C7715" t="s">
        <v>860</v>
      </c>
      <c r="D7715" t="s">
        <v>991</v>
      </c>
      <c r="E7715" t="s">
        <v>1036</v>
      </c>
      <c r="F7715">
        <v>2025</v>
      </c>
    </row>
    <row r="7716" spans="1:6">
      <c r="A7716" t="s">
        <v>27</v>
      </c>
      <c r="B7716" t="s">
        <v>112</v>
      </c>
      <c r="C7716" t="s">
        <v>860</v>
      </c>
      <c r="D7716" t="s">
        <v>991</v>
      </c>
      <c r="E7716" t="s">
        <v>1037</v>
      </c>
      <c r="F7716">
        <v>28245970.93999971</v>
      </c>
    </row>
    <row r="7717" spans="1:6">
      <c r="A7717" t="s">
        <v>27</v>
      </c>
      <c r="B7717" t="s">
        <v>112</v>
      </c>
      <c r="C7717" t="s">
        <v>860</v>
      </c>
      <c r="D7717" t="s">
        <v>991</v>
      </c>
      <c r="E7717" t="s">
        <v>1038</v>
      </c>
      <c r="F7717">
        <v>2026</v>
      </c>
    </row>
    <row r="7718" spans="1:6">
      <c r="A7718" t="s">
        <v>27</v>
      </c>
      <c r="B7718" t="s">
        <v>112</v>
      </c>
      <c r="C7718" t="s">
        <v>860</v>
      </c>
      <c r="D7718" t="s">
        <v>991</v>
      </c>
      <c r="E7718" t="s">
        <v>1039</v>
      </c>
      <c r="F7718">
        <v>32241062.66999996</v>
      </c>
    </row>
    <row r="7719" spans="1:6">
      <c r="A7719" t="s">
        <v>27</v>
      </c>
      <c r="B7719" t="s">
        <v>112</v>
      </c>
      <c r="C7719" t="s">
        <v>860</v>
      </c>
      <c r="D7719" t="s">
        <v>991</v>
      </c>
      <c r="E7719" t="s">
        <v>1040</v>
      </c>
      <c r="F7719">
        <v>2739768.070000003</v>
      </c>
    </row>
    <row r="7720" spans="1:6">
      <c r="A7720" t="s">
        <v>27</v>
      </c>
      <c r="B7720" t="s">
        <v>112</v>
      </c>
      <c r="C7720" t="s">
        <v>860</v>
      </c>
      <c r="D7720" t="s">
        <v>991</v>
      </c>
      <c r="E7720" t="s">
        <v>1041</v>
      </c>
      <c r="F7720">
        <v>2925080.510000004</v>
      </c>
    </row>
    <row r="7721" spans="1:6">
      <c r="A7721" t="s">
        <v>27</v>
      </c>
      <c r="B7721" t="s">
        <v>112</v>
      </c>
      <c r="C7721" t="s">
        <v>860</v>
      </c>
      <c r="D7721" t="s">
        <v>991</v>
      </c>
      <c r="E7721" t="s">
        <v>1042</v>
      </c>
      <c r="F7721">
        <v>3596564.990000017</v>
      </c>
    </row>
    <row r="7722" spans="1:6">
      <c r="A7722" t="s">
        <v>27</v>
      </c>
      <c r="B7722" t="s">
        <v>112</v>
      </c>
      <c r="C7722" t="s">
        <v>860</v>
      </c>
      <c r="D7722" t="s">
        <v>991</v>
      </c>
      <c r="E7722" t="s">
        <v>1043</v>
      </c>
      <c r="F7722">
        <v>3310607.740000024</v>
      </c>
    </row>
    <row r="7723" spans="1:6">
      <c r="A7723" t="s">
        <v>27</v>
      </c>
      <c r="B7723" t="s">
        <v>112</v>
      </c>
      <c r="C7723" t="s">
        <v>860</v>
      </c>
      <c r="D7723" t="s">
        <v>991</v>
      </c>
      <c r="E7723" t="s">
        <v>1044</v>
      </c>
      <c r="F7723">
        <v>3439878.800000015</v>
      </c>
    </row>
    <row r="7724" spans="1:6">
      <c r="A7724" t="s">
        <v>27</v>
      </c>
      <c r="B7724" t="s">
        <v>112</v>
      </c>
      <c r="C7724" t="s">
        <v>860</v>
      </c>
      <c r="D7724" t="s">
        <v>991</v>
      </c>
      <c r="E7724" t="s">
        <v>1045</v>
      </c>
      <c r="F7724">
        <v>3537916.199999996</v>
      </c>
    </row>
    <row r="7725" spans="1:6">
      <c r="A7725" t="s">
        <v>27</v>
      </c>
      <c r="B7725" t="s">
        <v>112</v>
      </c>
      <c r="C7725" t="s">
        <v>860</v>
      </c>
      <c r="D7725" t="s">
        <v>991</v>
      </c>
      <c r="E7725" t="s">
        <v>1046</v>
      </c>
      <c r="F7725">
        <v>4252435.729999964</v>
      </c>
    </row>
    <row r="7726" spans="1:6">
      <c r="A7726" t="s">
        <v>27</v>
      </c>
      <c r="B7726" t="s">
        <v>112</v>
      </c>
      <c r="C7726" t="s">
        <v>860</v>
      </c>
      <c r="D7726" t="s">
        <v>991</v>
      </c>
      <c r="E7726" t="s">
        <v>1047</v>
      </c>
      <c r="F7726">
        <v>4095709.079999954</v>
      </c>
    </row>
    <row r="7727" spans="1:6">
      <c r="A7727" t="s">
        <v>27</v>
      </c>
      <c r="B7727" t="s">
        <v>112</v>
      </c>
      <c r="C7727" t="s">
        <v>860</v>
      </c>
      <c r="D7727" t="s">
        <v>991</v>
      </c>
      <c r="E7727" t="s">
        <v>1048</v>
      </c>
      <c r="F7727">
        <v>4343101.549999991</v>
      </c>
    </row>
    <row r="7728" spans="1:6">
      <c r="A7728" t="s">
        <v>27</v>
      </c>
      <c r="B7728" t="s">
        <v>112</v>
      </c>
      <c r="C7728" t="s">
        <v>860</v>
      </c>
      <c r="D7728" t="s">
        <v>991</v>
      </c>
      <c r="E7728" t="s">
        <v>1052</v>
      </c>
      <c r="F7728" t="s">
        <v>1009</v>
      </c>
    </row>
    <row r="7729" spans="1:6">
      <c r="A7729" t="s">
        <v>27</v>
      </c>
      <c r="B7729" t="s">
        <v>112</v>
      </c>
      <c r="C7729" t="s">
        <v>860</v>
      </c>
      <c r="D7729" t="s">
        <v>991</v>
      </c>
      <c r="E7729" t="s">
        <v>1053</v>
      </c>
      <c r="F7729">
        <v>88163871.15999918</v>
      </c>
    </row>
    <row r="7730" spans="1:6">
      <c r="A7730" t="s">
        <v>27</v>
      </c>
      <c r="B7730" t="s">
        <v>112</v>
      </c>
      <c r="C7730" t="s">
        <v>860</v>
      </c>
      <c r="D7730" t="s">
        <v>991</v>
      </c>
      <c r="E7730" t="s">
        <v>1054</v>
      </c>
      <c r="F7730" t="s">
        <v>1055</v>
      </c>
    </row>
    <row r="7731" spans="1:6">
      <c r="A7731" t="s">
        <v>27</v>
      </c>
      <c r="B7731" t="s">
        <v>112</v>
      </c>
      <c r="C7731" t="s">
        <v>860</v>
      </c>
      <c r="D7731" t="s">
        <v>991</v>
      </c>
      <c r="E7731" t="s">
        <v>1056</v>
      </c>
      <c r="F7731" t="s">
        <v>1007</v>
      </c>
    </row>
    <row r="7732" spans="1:6">
      <c r="A7732" t="s">
        <v>27</v>
      </c>
      <c r="B7732" t="s">
        <v>112</v>
      </c>
      <c r="C7732" t="s">
        <v>860</v>
      </c>
      <c r="D7732" t="s">
        <v>991</v>
      </c>
      <c r="E7732" t="s">
        <v>1057</v>
      </c>
      <c r="F7732" t="s">
        <v>1009</v>
      </c>
    </row>
    <row r="7733" spans="1:6">
      <c r="A7733" t="s">
        <v>27</v>
      </c>
      <c r="B7733" t="s">
        <v>112</v>
      </c>
      <c r="C7733" t="s">
        <v>860</v>
      </c>
      <c r="D7733" t="s">
        <v>991</v>
      </c>
      <c r="E7733" t="s">
        <v>1058</v>
      </c>
      <c r="F7733" t="s">
        <v>1011</v>
      </c>
    </row>
    <row r="7734" spans="1:6">
      <c r="A7734" t="s">
        <v>27</v>
      </c>
      <c r="B7734" t="s">
        <v>112</v>
      </c>
      <c r="C7734" t="s">
        <v>860</v>
      </c>
      <c r="D7734" t="s">
        <v>991</v>
      </c>
      <c r="E7734" t="s">
        <v>1059</v>
      </c>
      <c r="F7734" t="s">
        <v>1013</v>
      </c>
    </row>
    <row r="7735" spans="1:6">
      <c r="A7735" t="s">
        <v>27</v>
      </c>
      <c r="B7735" t="s">
        <v>112</v>
      </c>
      <c r="C7735" t="s">
        <v>860</v>
      </c>
      <c r="D7735" t="s">
        <v>991</v>
      </c>
      <c r="E7735" t="s">
        <v>1060</v>
      </c>
      <c r="F7735" t="s">
        <v>1015</v>
      </c>
    </row>
    <row r="7736" spans="1:6">
      <c r="A7736" t="s">
        <v>27</v>
      </c>
      <c r="B7736" t="s">
        <v>112</v>
      </c>
      <c r="C7736" t="s">
        <v>860</v>
      </c>
      <c r="D7736" t="s">
        <v>991</v>
      </c>
      <c r="E7736" t="s">
        <v>1061</v>
      </c>
      <c r="F7736" t="s">
        <v>1017</v>
      </c>
    </row>
    <row r="7737" spans="1:6">
      <c r="A7737" t="s">
        <v>27</v>
      </c>
      <c r="B7737" t="s">
        <v>112</v>
      </c>
      <c r="C7737" t="s">
        <v>860</v>
      </c>
      <c r="D7737" t="s">
        <v>991</v>
      </c>
      <c r="E7737" t="s">
        <v>1062</v>
      </c>
      <c r="F7737" t="s">
        <v>1019</v>
      </c>
    </row>
    <row r="7738" spans="1:6">
      <c r="A7738" t="s">
        <v>27</v>
      </c>
      <c r="B7738" t="s">
        <v>112</v>
      </c>
      <c r="C7738" t="s">
        <v>860</v>
      </c>
      <c r="D7738" t="s">
        <v>991</v>
      </c>
      <c r="E7738" t="s">
        <v>1063</v>
      </c>
      <c r="F7738" t="s">
        <v>1021</v>
      </c>
    </row>
    <row r="7739" spans="1:6">
      <c r="A7739" t="s">
        <v>27</v>
      </c>
      <c r="B7739" t="s">
        <v>112</v>
      </c>
      <c r="C7739" t="s">
        <v>860</v>
      </c>
      <c r="D7739" t="s">
        <v>991</v>
      </c>
      <c r="E7739" t="s">
        <v>1064</v>
      </c>
      <c r="F7739" t="s">
        <v>1023</v>
      </c>
    </row>
    <row r="7740" spans="1:6">
      <c r="A7740" t="s">
        <v>27</v>
      </c>
      <c r="B7740" t="s">
        <v>112</v>
      </c>
      <c r="C7740" t="s">
        <v>860</v>
      </c>
      <c r="D7740" t="s">
        <v>991</v>
      </c>
      <c r="E7740" t="s">
        <v>1065</v>
      </c>
      <c r="F7740" t="s">
        <v>1066</v>
      </c>
    </row>
    <row r="7741" spans="1:6">
      <c r="A7741" t="s">
        <v>27</v>
      </c>
      <c r="B7741" t="s">
        <v>112</v>
      </c>
      <c r="C7741" t="s">
        <v>860</v>
      </c>
      <c r="D7741" t="s">
        <v>991</v>
      </c>
      <c r="E7741" t="s">
        <v>1067</v>
      </c>
      <c r="F7741" t="s">
        <v>1027</v>
      </c>
    </row>
    <row r="7742" spans="1:6">
      <c r="A7742" t="s">
        <v>27</v>
      </c>
      <c r="B7742" t="s">
        <v>112</v>
      </c>
      <c r="C7742" t="s">
        <v>860</v>
      </c>
      <c r="D7742" t="s">
        <v>991</v>
      </c>
      <c r="E7742" t="s">
        <v>1068</v>
      </c>
      <c r="F7742" t="s">
        <v>1029</v>
      </c>
    </row>
    <row r="7743" spans="1:6">
      <c r="A7743" t="s">
        <v>27</v>
      </c>
      <c r="B7743" t="s">
        <v>112</v>
      </c>
      <c r="C7743" t="s">
        <v>860</v>
      </c>
      <c r="D7743" t="s">
        <v>991</v>
      </c>
      <c r="E7743" t="s">
        <v>1069</v>
      </c>
      <c r="F7743" t="s">
        <v>1031</v>
      </c>
    </row>
    <row r="7744" spans="1:6">
      <c r="A7744" t="s">
        <v>27</v>
      </c>
      <c r="B7744" t="s">
        <v>112</v>
      </c>
      <c r="C7744" t="s">
        <v>860</v>
      </c>
      <c r="D7744" t="s">
        <v>991</v>
      </c>
      <c r="E7744" t="s">
        <v>1070</v>
      </c>
      <c r="F7744" t="s">
        <v>1033</v>
      </c>
    </row>
    <row r="7745" spans="1:6">
      <c r="A7745" t="s">
        <v>27</v>
      </c>
      <c r="B7745" t="s">
        <v>112</v>
      </c>
      <c r="C7745" t="s">
        <v>860</v>
      </c>
      <c r="D7745" t="s">
        <v>991</v>
      </c>
      <c r="E7745" t="s">
        <v>1071</v>
      </c>
      <c r="F7745" t="s">
        <v>50</v>
      </c>
    </row>
    <row r="7746" spans="1:6">
      <c r="A7746" t="s">
        <v>27</v>
      </c>
      <c r="B7746" t="s">
        <v>112</v>
      </c>
      <c r="C7746" t="s">
        <v>860</v>
      </c>
      <c r="D7746" t="s">
        <v>991</v>
      </c>
      <c r="E7746" t="s">
        <v>1072</v>
      </c>
      <c r="F7746">
        <v>185527</v>
      </c>
    </row>
    <row r="7747" spans="1:6">
      <c r="A7747" t="s">
        <v>27</v>
      </c>
      <c r="B7747" t="s">
        <v>112</v>
      </c>
      <c r="C7747" t="s">
        <v>860</v>
      </c>
      <c r="D7747" t="s">
        <v>991</v>
      </c>
      <c r="E7747" t="s">
        <v>1073</v>
      </c>
      <c r="F7747">
        <v>2025</v>
      </c>
    </row>
    <row r="7748" spans="1:6">
      <c r="A7748" t="s">
        <v>27</v>
      </c>
      <c r="B7748" t="s">
        <v>112</v>
      </c>
      <c r="C7748" t="s">
        <v>860</v>
      </c>
      <c r="D7748" t="s">
        <v>991</v>
      </c>
      <c r="E7748" t="s">
        <v>1074</v>
      </c>
      <c r="F7748">
        <v>140112</v>
      </c>
    </row>
    <row r="7749" spans="1:6">
      <c r="A7749" t="s">
        <v>27</v>
      </c>
      <c r="B7749" t="s">
        <v>112</v>
      </c>
      <c r="C7749" t="s">
        <v>860</v>
      </c>
      <c r="D7749" t="s">
        <v>991</v>
      </c>
      <c r="E7749" t="s">
        <v>1075</v>
      </c>
      <c r="F7749">
        <v>2026</v>
      </c>
    </row>
    <row r="7750" spans="1:6">
      <c r="A7750" t="s">
        <v>27</v>
      </c>
      <c r="B7750" t="s">
        <v>112</v>
      </c>
      <c r="C7750" t="s">
        <v>860</v>
      </c>
      <c r="D7750" t="s">
        <v>991</v>
      </c>
      <c r="E7750" t="s">
        <v>1076</v>
      </c>
      <c r="F7750">
        <v>163898</v>
      </c>
    </row>
    <row r="7751" spans="1:6">
      <c r="A7751" t="s">
        <v>27</v>
      </c>
      <c r="B7751" t="s">
        <v>112</v>
      </c>
      <c r="C7751" t="s">
        <v>860</v>
      </c>
      <c r="D7751" t="s">
        <v>991</v>
      </c>
      <c r="E7751" t="s">
        <v>1077</v>
      </c>
      <c r="F7751">
        <v>14401</v>
      </c>
    </row>
    <row r="7752" spans="1:6">
      <c r="A7752" t="s">
        <v>27</v>
      </c>
      <c r="B7752" t="s">
        <v>112</v>
      </c>
      <c r="C7752" t="s">
        <v>860</v>
      </c>
      <c r="D7752" t="s">
        <v>991</v>
      </c>
      <c r="E7752" t="s">
        <v>1078</v>
      </c>
      <c r="F7752">
        <v>13575</v>
      </c>
    </row>
    <row r="7753" spans="1:6">
      <c r="A7753" t="s">
        <v>27</v>
      </c>
      <c r="B7753" t="s">
        <v>112</v>
      </c>
      <c r="C7753" t="s">
        <v>860</v>
      </c>
      <c r="D7753" t="s">
        <v>991</v>
      </c>
      <c r="E7753" t="s">
        <v>1079</v>
      </c>
      <c r="F7753">
        <v>18248</v>
      </c>
    </row>
    <row r="7754" spans="1:6">
      <c r="A7754" t="s">
        <v>27</v>
      </c>
      <c r="B7754" t="s">
        <v>112</v>
      </c>
      <c r="C7754" t="s">
        <v>860</v>
      </c>
      <c r="D7754" t="s">
        <v>991</v>
      </c>
      <c r="E7754" t="s">
        <v>1080</v>
      </c>
      <c r="F7754">
        <v>16725</v>
      </c>
    </row>
    <row r="7755" spans="1:6">
      <c r="A7755" t="s">
        <v>27</v>
      </c>
      <c r="B7755" t="s">
        <v>112</v>
      </c>
      <c r="C7755" t="s">
        <v>860</v>
      </c>
      <c r="D7755" t="s">
        <v>991</v>
      </c>
      <c r="E7755" t="s">
        <v>1081</v>
      </c>
      <c r="F7755">
        <v>16808</v>
      </c>
    </row>
    <row r="7756" spans="1:6">
      <c r="A7756" t="s">
        <v>27</v>
      </c>
      <c r="B7756" t="s">
        <v>112</v>
      </c>
      <c r="C7756" t="s">
        <v>860</v>
      </c>
      <c r="D7756" t="s">
        <v>991</v>
      </c>
      <c r="E7756" t="s">
        <v>1082</v>
      </c>
      <c r="F7756">
        <v>18981</v>
      </c>
    </row>
    <row r="7757" spans="1:6">
      <c r="A7757" t="s">
        <v>27</v>
      </c>
      <c r="B7757" t="s">
        <v>112</v>
      </c>
      <c r="C7757" t="s">
        <v>860</v>
      </c>
      <c r="D7757" t="s">
        <v>991</v>
      </c>
      <c r="E7757" t="s">
        <v>1083</v>
      </c>
      <c r="F7757">
        <v>20844</v>
      </c>
    </row>
    <row r="7758" spans="1:6">
      <c r="A7758" t="s">
        <v>27</v>
      </c>
      <c r="B7758" t="s">
        <v>112</v>
      </c>
      <c r="C7758" t="s">
        <v>860</v>
      </c>
      <c r="D7758" t="s">
        <v>991</v>
      </c>
      <c r="E7758" t="s">
        <v>1084</v>
      </c>
      <c r="F7758">
        <v>20683</v>
      </c>
    </row>
    <row r="7759" spans="1:6">
      <c r="A7759" t="s">
        <v>27</v>
      </c>
      <c r="B7759" t="s">
        <v>112</v>
      </c>
      <c r="C7759" t="s">
        <v>860</v>
      </c>
      <c r="D7759" t="s">
        <v>991</v>
      </c>
      <c r="E7759" t="s">
        <v>1085</v>
      </c>
      <c r="F7759">
        <v>23633</v>
      </c>
    </row>
    <row r="7760" spans="1:6">
      <c r="A7760" t="s">
        <v>27</v>
      </c>
      <c r="B7760" t="s">
        <v>112</v>
      </c>
      <c r="C7760" t="s">
        <v>860</v>
      </c>
      <c r="D7760" t="s">
        <v>991</v>
      </c>
      <c r="E7760" t="s">
        <v>1089</v>
      </c>
      <c r="F7760" t="s">
        <v>1009</v>
      </c>
    </row>
    <row r="7761" spans="1:6">
      <c r="A7761" t="s">
        <v>27</v>
      </c>
      <c r="B7761" t="s">
        <v>112</v>
      </c>
      <c r="C7761" t="s">
        <v>860</v>
      </c>
      <c r="D7761" t="s">
        <v>991</v>
      </c>
      <c r="E7761" t="s">
        <v>1090</v>
      </c>
      <c r="F7761">
        <v>489537</v>
      </c>
    </row>
    <row r="7762" spans="1:6">
      <c r="A7762" t="s">
        <v>27</v>
      </c>
      <c r="B7762" t="s">
        <v>112</v>
      </c>
      <c r="C7762" t="s">
        <v>860</v>
      </c>
      <c r="D7762" t="s">
        <v>1091</v>
      </c>
      <c r="E7762" t="s">
        <v>992</v>
      </c>
      <c r="F7762" t="s">
        <v>1092</v>
      </c>
    </row>
    <row r="7763" spans="1:6">
      <c r="A7763" t="s">
        <v>27</v>
      </c>
      <c r="B7763" t="s">
        <v>112</v>
      </c>
      <c r="C7763" t="s">
        <v>860</v>
      </c>
      <c r="D7763" t="s">
        <v>1091</v>
      </c>
      <c r="E7763" t="s">
        <v>1093</v>
      </c>
      <c r="F7763" t="s">
        <v>1094</v>
      </c>
    </row>
    <row r="7764" spans="1:6">
      <c r="A7764" t="s">
        <v>27</v>
      </c>
      <c r="B7764" t="s">
        <v>112</v>
      </c>
      <c r="C7764" t="s">
        <v>860</v>
      </c>
      <c r="D7764" t="s">
        <v>1091</v>
      </c>
      <c r="E7764" t="s">
        <v>994</v>
      </c>
      <c r="F7764" t="s">
        <v>112</v>
      </c>
    </row>
    <row r="7765" spans="1:6">
      <c r="A7765" t="s">
        <v>27</v>
      </c>
      <c r="B7765" t="s">
        <v>112</v>
      </c>
      <c r="C7765" t="s">
        <v>860</v>
      </c>
      <c r="D7765" t="s">
        <v>1091</v>
      </c>
      <c r="E7765" t="s">
        <v>995</v>
      </c>
      <c r="F7765" t="s">
        <v>996</v>
      </c>
    </row>
    <row r="7766" spans="1:6">
      <c r="A7766" t="s">
        <v>27</v>
      </c>
      <c r="B7766" t="s">
        <v>112</v>
      </c>
      <c r="C7766" t="s">
        <v>860</v>
      </c>
      <c r="D7766" t="s">
        <v>1091</v>
      </c>
      <c r="E7766" t="s">
        <v>997</v>
      </c>
      <c r="F7766" t="s">
        <v>1989</v>
      </c>
    </row>
    <row r="7767" spans="1:6">
      <c r="A7767" t="s">
        <v>27</v>
      </c>
      <c r="B7767" t="s">
        <v>112</v>
      </c>
      <c r="C7767" t="s">
        <v>860</v>
      </c>
      <c r="D7767" t="s">
        <v>1091</v>
      </c>
      <c r="E7767" t="s">
        <v>999</v>
      </c>
      <c r="F7767" t="s">
        <v>1000</v>
      </c>
    </row>
    <row r="7768" spans="1:6">
      <c r="A7768" t="s">
        <v>27</v>
      </c>
      <c r="B7768" t="s">
        <v>112</v>
      </c>
      <c r="C7768" t="s">
        <v>860</v>
      </c>
      <c r="D7768" t="s">
        <v>1091</v>
      </c>
      <c r="E7768" t="s">
        <v>1001</v>
      </c>
      <c r="F7768" t="s">
        <v>25</v>
      </c>
    </row>
    <row r="7769" spans="1:6">
      <c r="A7769" t="s">
        <v>27</v>
      </c>
      <c r="B7769" t="s">
        <v>112</v>
      </c>
      <c r="C7769" t="s">
        <v>860</v>
      </c>
      <c r="D7769" t="s">
        <v>1091</v>
      </c>
      <c r="E7769" t="s">
        <v>1002</v>
      </c>
      <c r="F7769" t="s">
        <v>1095</v>
      </c>
    </row>
    <row r="7770" spans="1:6">
      <c r="A7770" t="s">
        <v>27</v>
      </c>
      <c r="B7770" t="s">
        <v>112</v>
      </c>
      <c r="C7770" t="s">
        <v>860</v>
      </c>
      <c r="D7770" t="s">
        <v>1091</v>
      </c>
      <c r="E7770" t="s">
        <v>1096</v>
      </c>
      <c r="F7770" t="s">
        <v>1005</v>
      </c>
    </row>
    <row r="7771" spans="1:6">
      <c r="A7771" t="s">
        <v>27</v>
      </c>
      <c r="B7771" t="s">
        <v>112</v>
      </c>
      <c r="C7771" t="s">
        <v>860</v>
      </c>
      <c r="D7771" t="s">
        <v>1091</v>
      </c>
      <c r="E7771" t="s">
        <v>1006</v>
      </c>
      <c r="F7771" t="s">
        <v>1097</v>
      </c>
    </row>
    <row r="7772" spans="1:6">
      <c r="A7772" t="s">
        <v>27</v>
      </c>
      <c r="B7772" t="s">
        <v>112</v>
      </c>
      <c r="C7772" t="s">
        <v>860</v>
      </c>
      <c r="D7772" t="s">
        <v>1091</v>
      </c>
      <c r="E7772" t="s">
        <v>1008</v>
      </c>
      <c r="F7772" t="s">
        <v>1098</v>
      </c>
    </row>
    <row r="7773" spans="1:6">
      <c r="A7773" t="s">
        <v>27</v>
      </c>
      <c r="B7773" t="s">
        <v>112</v>
      </c>
      <c r="C7773" t="s">
        <v>860</v>
      </c>
      <c r="D7773" t="s">
        <v>1091</v>
      </c>
      <c r="E7773" t="s">
        <v>1035</v>
      </c>
      <c r="F7773" t="s">
        <v>1009</v>
      </c>
    </row>
    <row r="7774" spans="1:6">
      <c r="A7774" t="s">
        <v>27</v>
      </c>
      <c r="B7774" t="s">
        <v>112</v>
      </c>
      <c r="C7774" t="s">
        <v>860</v>
      </c>
      <c r="D7774" t="s">
        <v>1091</v>
      </c>
      <c r="E7774" t="s">
        <v>1099</v>
      </c>
      <c r="F7774" t="s">
        <v>50</v>
      </c>
    </row>
    <row r="7775" spans="1:6">
      <c r="A7775" t="s">
        <v>27</v>
      </c>
      <c r="B7775" t="s">
        <v>112</v>
      </c>
      <c r="C7775" t="s">
        <v>860</v>
      </c>
      <c r="D7775" t="s">
        <v>1091</v>
      </c>
      <c r="E7775" t="s">
        <v>1100</v>
      </c>
      <c r="F7775">
        <v>2025</v>
      </c>
    </row>
    <row r="7776" spans="1:6">
      <c r="A7776" t="s">
        <v>27</v>
      </c>
      <c r="B7776" t="s">
        <v>112</v>
      </c>
      <c r="C7776" t="s">
        <v>860</v>
      </c>
      <c r="D7776" t="s">
        <v>1091</v>
      </c>
      <c r="E7776" t="s">
        <v>1101</v>
      </c>
      <c r="F7776">
        <v>2026</v>
      </c>
    </row>
    <row r="7777" spans="1:6">
      <c r="A7777" t="s">
        <v>27</v>
      </c>
      <c r="B7777" t="s">
        <v>112</v>
      </c>
      <c r="C7777" t="s">
        <v>860</v>
      </c>
      <c r="D7777" t="s">
        <v>1091</v>
      </c>
      <c r="E7777" t="s">
        <v>1036</v>
      </c>
      <c r="F7777" t="s">
        <v>1102</v>
      </c>
    </row>
    <row r="7778" spans="1:6">
      <c r="A7778" t="s">
        <v>27</v>
      </c>
      <c r="B7778" t="s">
        <v>112</v>
      </c>
      <c r="C7778" t="s">
        <v>860</v>
      </c>
      <c r="D7778" t="s">
        <v>1091</v>
      </c>
      <c r="E7778" t="s">
        <v>1037</v>
      </c>
      <c r="F7778">
        <v>88163871.15999918</v>
      </c>
    </row>
    <row r="7779" spans="1:6">
      <c r="A7779" t="s">
        <v>27</v>
      </c>
      <c r="B7779" t="s">
        <v>112</v>
      </c>
      <c r="C7779" t="s">
        <v>860</v>
      </c>
      <c r="D7779" t="s">
        <v>1091</v>
      </c>
      <c r="E7779" t="s">
        <v>1103</v>
      </c>
      <c r="F7779">
        <v>27676837.5499995</v>
      </c>
    </row>
    <row r="7780" spans="1:6">
      <c r="A7780" t="s">
        <v>27</v>
      </c>
      <c r="B7780" t="s">
        <v>112</v>
      </c>
      <c r="C7780" t="s">
        <v>860</v>
      </c>
      <c r="D7780" t="s">
        <v>1091</v>
      </c>
      <c r="E7780" t="s">
        <v>1104</v>
      </c>
      <c r="F7780">
        <v>28245970.93999971</v>
      </c>
    </row>
    <row r="7781" spans="1:6">
      <c r="A7781" t="s">
        <v>27</v>
      </c>
      <c r="B7781" t="s">
        <v>112</v>
      </c>
      <c r="C7781" t="s">
        <v>860</v>
      </c>
      <c r="D7781" t="s">
        <v>1091</v>
      </c>
      <c r="E7781" t="s">
        <v>1105</v>
      </c>
      <c r="F7781">
        <v>32241062.66999996</v>
      </c>
    </row>
    <row r="7782" spans="1:6">
      <c r="A7782" t="s">
        <v>27</v>
      </c>
      <c r="B7782" t="s">
        <v>112</v>
      </c>
      <c r="C7782" t="s">
        <v>860</v>
      </c>
      <c r="D7782" t="s">
        <v>1091</v>
      </c>
      <c r="E7782" t="s">
        <v>1038</v>
      </c>
      <c r="F7782" t="s">
        <v>1106</v>
      </c>
    </row>
    <row r="7783" spans="1:6">
      <c r="A7783" t="s">
        <v>27</v>
      </c>
      <c r="B7783" t="s">
        <v>112</v>
      </c>
      <c r="C7783" t="s">
        <v>860</v>
      </c>
      <c r="D7783" t="s">
        <v>1091</v>
      </c>
      <c r="E7783" t="s">
        <v>1039</v>
      </c>
      <c r="F7783">
        <v>54572196.1700004</v>
      </c>
    </row>
    <row r="7784" spans="1:6">
      <c r="A7784" t="s">
        <v>27</v>
      </c>
      <c r="B7784" t="s">
        <v>112</v>
      </c>
      <c r="C7784" t="s">
        <v>860</v>
      </c>
      <c r="D7784" t="s">
        <v>1091</v>
      </c>
      <c r="E7784" t="s">
        <v>1040</v>
      </c>
      <c r="F7784">
        <v>16290743.56999999</v>
      </c>
    </row>
    <row r="7785" spans="1:6">
      <c r="A7785" t="s">
        <v>27</v>
      </c>
      <c r="B7785" t="s">
        <v>112</v>
      </c>
      <c r="C7785" t="s">
        <v>860</v>
      </c>
      <c r="D7785" t="s">
        <v>1091</v>
      </c>
      <c r="E7785" t="s">
        <v>1041</v>
      </c>
      <c r="F7785">
        <v>22078892.71000041</v>
      </c>
    </row>
    <row r="7786" spans="1:6">
      <c r="A7786" t="s">
        <v>27</v>
      </c>
      <c r="B7786" t="s">
        <v>112</v>
      </c>
      <c r="C7786" t="s">
        <v>860</v>
      </c>
      <c r="D7786" t="s">
        <v>1091</v>
      </c>
      <c r="E7786" t="s">
        <v>1042</v>
      </c>
      <c r="F7786">
        <v>16202559.89</v>
      </c>
    </row>
    <row r="7787" spans="1:6">
      <c r="A7787" t="s">
        <v>27</v>
      </c>
      <c r="B7787" t="s">
        <v>112</v>
      </c>
      <c r="C7787" t="s">
        <v>860</v>
      </c>
      <c r="D7787" t="s">
        <v>1091</v>
      </c>
      <c r="E7787" t="s">
        <v>1052</v>
      </c>
      <c r="F7787" t="s">
        <v>1107</v>
      </c>
    </row>
    <row r="7788" spans="1:6">
      <c r="A7788" t="s">
        <v>27</v>
      </c>
      <c r="B7788" t="s">
        <v>112</v>
      </c>
      <c r="C7788" t="s">
        <v>860</v>
      </c>
      <c r="D7788" t="s">
        <v>1091</v>
      </c>
      <c r="E7788" t="s">
        <v>1053</v>
      </c>
      <c r="F7788">
        <v>48725384.7800004</v>
      </c>
    </row>
    <row r="7789" spans="1:6">
      <c r="A7789" t="s">
        <v>27</v>
      </c>
      <c r="B7789" t="s">
        <v>112</v>
      </c>
      <c r="C7789" t="s">
        <v>860</v>
      </c>
      <c r="D7789" t="s">
        <v>1091</v>
      </c>
      <c r="E7789" t="s">
        <v>1108</v>
      </c>
      <c r="F7789">
        <v>11108503.58</v>
      </c>
    </row>
    <row r="7790" spans="1:6">
      <c r="A7790" t="s">
        <v>27</v>
      </c>
      <c r="B7790" t="s">
        <v>112</v>
      </c>
      <c r="C7790" t="s">
        <v>860</v>
      </c>
      <c r="D7790" t="s">
        <v>1091</v>
      </c>
      <c r="E7790" t="s">
        <v>1109</v>
      </c>
      <c r="F7790">
        <v>21718090.4300004</v>
      </c>
    </row>
    <row r="7791" spans="1:6">
      <c r="A7791" t="s">
        <v>27</v>
      </c>
      <c r="B7791" t="s">
        <v>112</v>
      </c>
      <c r="C7791" t="s">
        <v>860</v>
      </c>
      <c r="D7791" t="s">
        <v>1091</v>
      </c>
      <c r="E7791" t="s">
        <v>1110</v>
      </c>
      <c r="F7791">
        <v>15898790.77</v>
      </c>
    </row>
    <row r="7792" spans="1:6">
      <c r="A7792" t="s">
        <v>27</v>
      </c>
      <c r="B7792" t="s">
        <v>112</v>
      </c>
      <c r="C7792" t="s">
        <v>860</v>
      </c>
      <c r="D7792" t="s">
        <v>1091</v>
      </c>
      <c r="E7792" t="s">
        <v>1521</v>
      </c>
      <c r="F7792" t="s">
        <v>1992</v>
      </c>
    </row>
    <row r="7793" spans="1:6">
      <c r="A7793" t="s">
        <v>27</v>
      </c>
      <c r="B7793" t="s">
        <v>112</v>
      </c>
      <c r="C7793" t="s">
        <v>860</v>
      </c>
      <c r="D7793" t="s">
        <v>1091</v>
      </c>
      <c r="E7793" t="s">
        <v>1111</v>
      </c>
      <c r="F7793" t="s">
        <v>1307</v>
      </c>
    </row>
    <row r="7794" spans="1:6">
      <c r="A7794" t="s">
        <v>27</v>
      </c>
      <c r="B7794" t="s">
        <v>112</v>
      </c>
      <c r="C7794" t="s">
        <v>860</v>
      </c>
      <c r="D7794" t="s">
        <v>1091</v>
      </c>
      <c r="E7794" t="s">
        <v>1113</v>
      </c>
      <c r="F7794">
        <v>4485046.75000003</v>
      </c>
    </row>
    <row r="7795" spans="1:6">
      <c r="A7795" t="s">
        <v>27</v>
      </c>
      <c r="B7795" t="s">
        <v>112</v>
      </c>
      <c r="C7795" t="s">
        <v>860</v>
      </c>
      <c r="D7795" t="s">
        <v>1091</v>
      </c>
      <c r="E7795" t="s">
        <v>1114</v>
      </c>
      <c r="F7795">
        <v>4485046.75000003</v>
      </c>
    </row>
    <row r="7796" spans="1:6">
      <c r="A7796" t="s">
        <v>27</v>
      </c>
      <c r="B7796" t="s">
        <v>112</v>
      </c>
      <c r="C7796" t="s">
        <v>860</v>
      </c>
      <c r="D7796" t="s">
        <v>1091</v>
      </c>
      <c r="E7796" t="s">
        <v>1115</v>
      </c>
      <c r="F7796">
        <v>0</v>
      </c>
    </row>
    <row r="7797" spans="1:6">
      <c r="A7797" t="s">
        <v>27</v>
      </c>
      <c r="B7797" t="s">
        <v>112</v>
      </c>
      <c r="C7797" t="s">
        <v>860</v>
      </c>
      <c r="D7797" t="s">
        <v>1091</v>
      </c>
      <c r="E7797" t="s">
        <v>1116</v>
      </c>
      <c r="F7797">
        <v>0</v>
      </c>
    </row>
    <row r="7798" spans="1:6">
      <c r="A7798" t="s">
        <v>27</v>
      </c>
      <c r="B7798" t="s">
        <v>112</v>
      </c>
      <c r="C7798" t="s">
        <v>860</v>
      </c>
      <c r="D7798" t="s">
        <v>1091</v>
      </c>
      <c r="E7798" t="s">
        <v>1857</v>
      </c>
      <c r="F7798" t="s">
        <v>1993</v>
      </c>
    </row>
    <row r="7799" spans="1:6">
      <c r="A7799" t="s">
        <v>27</v>
      </c>
      <c r="B7799" t="s">
        <v>112</v>
      </c>
      <c r="C7799" t="s">
        <v>860</v>
      </c>
      <c r="D7799" t="s">
        <v>1091</v>
      </c>
      <c r="E7799" t="s">
        <v>1054</v>
      </c>
      <c r="F7799" t="s">
        <v>1308</v>
      </c>
    </row>
    <row r="7800" spans="1:6">
      <c r="A7800" t="s">
        <v>27</v>
      </c>
      <c r="B7800" t="s">
        <v>112</v>
      </c>
      <c r="C7800" t="s">
        <v>860</v>
      </c>
      <c r="D7800" t="s">
        <v>1091</v>
      </c>
      <c r="E7800" t="s">
        <v>1118</v>
      </c>
      <c r="F7800">
        <v>1361764.639999981</v>
      </c>
    </row>
    <row r="7801" spans="1:6">
      <c r="A7801" t="s">
        <v>27</v>
      </c>
      <c r="B7801" t="s">
        <v>112</v>
      </c>
      <c r="C7801" t="s">
        <v>860</v>
      </c>
      <c r="D7801" t="s">
        <v>1091</v>
      </c>
      <c r="E7801" t="s">
        <v>1119</v>
      </c>
      <c r="F7801">
        <v>697193.2399999649</v>
      </c>
    </row>
    <row r="7802" spans="1:6">
      <c r="A7802" t="s">
        <v>27</v>
      </c>
      <c r="B7802" t="s">
        <v>112</v>
      </c>
      <c r="C7802" t="s">
        <v>860</v>
      </c>
      <c r="D7802" t="s">
        <v>1091</v>
      </c>
      <c r="E7802" t="s">
        <v>1120</v>
      </c>
      <c r="F7802">
        <v>360802.280000011</v>
      </c>
    </row>
    <row r="7803" spans="1:6">
      <c r="A7803" t="s">
        <v>27</v>
      </c>
      <c r="B7803" t="s">
        <v>112</v>
      </c>
      <c r="C7803" t="s">
        <v>860</v>
      </c>
      <c r="D7803" t="s">
        <v>1091</v>
      </c>
      <c r="E7803" t="s">
        <v>1121</v>
      </c>
      <c r="F7803">
        <v>303769.120000005</v>
      </c>
    </row>
    <row r="7804" spans="1:6">
      <c r="A7804" t="s">
        <v>27</v>
      </c>
      <c r="B7804" t="s">
        <v>112</v>
      </c>
      <c r="C7804" t="s">
        <v>860</v>
      </c>
      <c r="D7804" t="s">
        <v>1091</v>
      </c>
      <c r="E7804" t="s">
        <v>1858</v>
      </c>
      <c r="F7804" t="s">
        <v>1994</v>
      </c>
    </row>
    <row r="7805" spans="1:6">
      <c r="A7805" t="s">
        <v>27</v>
      </c>
      <c r="B7805" t="s">
        <v>112</v>
      </c>
      <c r="C7805" t="s">
        <v>860</v>
      </c>
      <c r="D7805" t="s">
        <v>1091</v>
      </c>
      <c r="E7805" t="s">
        <v>1122</v>
      </c>
      <c r="F7805" t="s">
        <v>1123</v>
      </c>
    </row>
    <row r="7806" spans="1:6">
      <c r="A7806" t="s">
        <v>27</v>
      </c>
      <c r="B7806" t="s">
        <v>112</v>
      </c>
      <c r="C7806" t="s">
        <v>860</v>
      </c>
      <c r="D7806" t="s">
        <v>1091</v>
      </c>
      <c r="E7806" t="s">
        <v>1124</v>
      </c>
      <c r="F7806">
        <v>0.6189859343966778</v>
      </c>
    </row>
    <row r="7807" spans="1:6">
      <c r="A7807" t="s">
        <v>27</v>
      </c>
      <c r="B7807" t="s">
        <v>112</v>
      </c>
      <c r="C7807" t="s">
        <v>860</v>
      </c>
      <c r="D7807" t="s">
        <v>1091</v>
      </c>
      <c r="E7807" t="s">
        <v>1126</v>
      </c>
      <c r="F7807">
        <v>0.5886056721823801</v>
      </c>
    </row>
    <row r="7808" spans="1:6">
      <c r="A7808" t="s">
        <v>27</v>
      </c>
      <c r="B7808" t="s">
        <v>112</v>
      </c>
      <c r="C7808" t="s">
        <v>860</v>
      </c>
      <c r="D7808" t="s">
        <v>1091</v>
      </c>
      <c r="E7808" t="s">
        <v>1127</v>
      </c>
      <c r="F7808">
        <v>0.7816652065847036</v>
      </c>
    </row>
    <row r="7809" spans="1:6">
      <c r="A7809" t="s">
        <v>27</v>
      </c>
      <c r="B7809" t="s">
        <v>112</v>
      </c>
      <c r="C7809" t="s">
        <v>860</v>
      </c>
      <c r="D7809" t="s">
        <v>1091</v>
      </c>
      <c r="E7809" t="s">
        <v>1128</v>
      </c>
      <c r="F7809">
        <v>0.5025442261577919</v>
      </c>
    </row>
    <row r="7810" spans="1:6">
      <c r="A7810" t="s">
        <v>27</v>
      </c>
      <c r="B7810" t="s">
        <v>112</v>
      </c>
      <c r="C7810" t="s">
        <v>860</v>
      </c>
      <c r="D7810" t="s">
        <v>1091</v>
      </c>
      <c r="E7810" t="s">
        <v>1056</v>
      </c>
      <c r="F7810" t="s">
        <v>1130</v>
      </c>
    </row>
    <row r="7811" spans="1:6">
      <c r="A7811" t="s">
        <v>27</v>
      </c>
      <c r="B7811" t="s">
        <v>112</v>
      </c>
      <c r="C7811" t="s">
        <v>860</v>
      </c>
      <c r="D7811" t="s">
        <v>1091</v>
      </c>
      <c r="E7811" t="s">
        <v>1057</v>
      </c>
      <c r="F7811">
        <v>33591674.98999877</v>
      </c>
    </row>
    <row r="7812" spans="1:6">
      <c r="A7812" t="s">
        <v>27</v>
      </c>
      <c r="B7812" t="s">
        <v>112</v>
      </c>
      <c r="C7812" t="s">
        <v>860</v>
      </c>
      <c r="D7812" t="s">
        <v>1091</v>
      </c>
      <c r="E7812" t="s">
        <v>1058</v>
      </c>
      <c r="F7812">
        <v>11386093.9799995</v>
      </c>
    </row>
    <row r="7813" spans="1:6">
      <c r="A7813" t="s">
        <v>27</v>
      </c>
      <c r="B7813" t="s">
        <v>112</v>
      </c>
      <c r="C7813" t="s">
        <v>860</v>
      </c>
      <c r="D7813" t="s">
        <v>1091</v>
      </c>
      <c r="E7813" t="s">
        <v>1059</v>
      </c>
      <c r="F7813">
        <v>6167078.229999304</v>
      </c>
    </row>
    <row r="7814" spans="1:6">
      <c r="A7814" t="s">
        <v>27</v>
      </c>
      <c r="B7814" t="s">
        <v>112</v>
      </c>
      <c r="C7814" t="s">
        <v>860</v>
      </c>
      <c r="D7814" t="s">
        <v>1091</v>
      </c>
      <c r="E7814" t="s">
        <v>1060</v>
      </c>
      <c r="F7814">
        <v>16038502.77999996</v>
      </c>
    </row>
    <row r="7815" spans="1:6">
      <c r="A7815" t="s">
        <v>27</v>
      </c>
      <c r="B7815" t="s">
        <v>112</v>
      </c>
      <c r="C7815" t="s">
        <v>860</v>
      </c>
      <c r="D7815" t="s">
        <v>1091</v>
      </c>
      <c r="E7815" t="s">
        <v>1071</v>
      </c>
      <c r="F7815" t="s">
        <v>1131</v>
      </c>
    </row>
    <row r="7816" spans="1:6">
      <c r="A7816" t="s">
        <v>27</v>
      </c>
      <c r="B7816" t="s">
        <v>112</v>
      </c>
      <c r="C7816" t="s">
        <v>860</v>
      </c>
      <c r="D7816" t="s">
        <v>1091</v>
      </c>
      <c r="E7816" t="s">
        <v>1072</v>
      </c>
      <c r="F7816">
        <v>0.3810140656033222</v>
      </c>
    </row>
    <row r="7817" spans="1:6">
      <c r="A7817" t="s">
        <v>27</v>
      </c>
      <c r="B7817" t="s">
        <v>112</v>
      </c>
      <c r="C7817" t="s">
        <v>860</v>
      </c>
      <c r="D7817" t="s">
        <v>1091</v>
      </c>
      <c r="E7817" t="s">
        <v>1133</v>
      </c>
      <c r="F7817">
        <v>0.4113943278176198</v>
      </c>
    </row>
    <row r="7818" spans="1:6">
      <c r="A7818" t="s">
        <v>27</v>
      </c>
      <c r="B7818" t="s">
        <v>112</v>
      </c>
      <c r="C7818" t="s">
        <v>860</v>
      </c>
      <c r="D7818" t="s">
        <v>1091</v>
      </c>
      <c r="E7818" t="s">
        <v>1134</v>
      </c>
      <c r="F7818">
        <v>0.2183347934152964</v>
      </c>
    </row>
    <row r="7819" spans="1:6">
      <c r="A7819" t="s">
        <v>27</v>
      </c>
      <c r="B7819" t="s">
        <v>112</v>
      </c>
      <c r="C7819" t="s">
        <v>860</v>
      </c>
      <c r="D7819" t="s">
        <v>1091</v>
      </c>
      <c r="E7819" t="s">
        <v>1135</v>
      </c>
      <c r="F7819">
        <v>0.4974557738422081</v>
      </c>
    </row>
    <row r="7820" spans="1:6">
      <c r="A7820" t="s">
        <v>27</v>
      </c>
      <c r="B7820" t="s">
        <v>112</v>
      </c>
      <c r="C7820" t="s">
        <v>860</v>
      </c>
      <c r="D7820" t="s">
        <v>1091</v>
      </c>
      <c r="E7820" t="s">
        <v>1076</v>
      </c>
      <c r="F7820" t="s">
        <v>1137</v>
      </c>
    </row>
    <row r="7821" spans="1:6">
      <c r="A7821" t="s">
        <v>27</v>
      </c>
      <c r="B7821" t="s">
        <v>112</v>
      </c>
      <c r="C7821" t="s">
        <v>860</v>
      </c>
      <c r="D7821" t="s">
        <v>1091</v>
      </c>
      <c r="E7821" t="s">
        <v>1077</v>
      </c>
      <c r="F7821">
        <v>0</v>
      </c>
    </row>
    <row r="7822" spans="1:6">
      <c r="A7822" t="s">
        <v>27</v>
      </c>
      <c r="B7822" t="s">
        <v>112</v>
      </c>
      <c r="C7822" t="s">
        <v>860</v>
      </c>
      <c r="D7822" t="s">
        <v>1091</v>
      </c>
      <c r="E7822" t="s">
        <v>1078</v>
      </c>
      <c r="F7822">
        <v>0</v>
      </c>
    </row>
    <row r="7823" spans="1:6">
      <c r="A7823" t="s">
        <v>27</v>
      </c>
      <c r="B7823" t="s">
        <v>112</v>
      </c>
      <c r="C7823" t="s">
        <v>860</v>
      </c>
      <c r="D7823" t="s">
        <v>1091</v>
      </c>
      <c r="E7823" t="s">
        <v>1079</v>
      </c>
      <c r="F7823">
        <v>0</v>
      </c>
    </row>
    <row r="7824" spans="1:6">
      <c r="A7824" t="s">
        <v>27</v>
      </c>
      <c r="B7824" t="s">
        <v>112</v>
      </c>
      <c r="C7824" t="s">
        <v>860</v>
      </c>
      <c r="D7824" t="s">
        <v>1091</v>
      </c>
      <c r="E7824" t="s">
        <v>1090</v>
      </c>
      <c r="F7824" t="s">
        <v>1138</v>
      </c>
    </row>
    <row r="7825" spans="1:6">
      <c r="A7825" t="s">
        <v>27</v>
      </c>
      <c r="B7825" t="s">
        <v>112</v>
      </c>
      <c r="C7825" t="s">
        <v>860</v>
      </c>
      <c r="D7825" t="s">
        <v>1091</v>
      </c>
      <c r="E7825" t="s">
        <v>1139</v>
      </c>
      <c r="F7825">
        <v>-0.4113943278176198</v>
      </c>
    </row>
    <row r="7826" spans="1:6">
      <c r="A7826" t="s">
        <v>27</v>
      </c>
      <c r="B7826" t="s">
        <v>112</v>
      </c>
      <c r="C7826" t="s">
        <v>860</v>
      </c>
      <c r="D7826" t="s">
        <v>1091</v>
      </c>
      <c r="E7826" t="s">
        <v>1140</v>
      </c>
      <c r="F7826">
        <v>-0.2183347934152964</v>
      </c>
    </row>
    <row r="7827" spans="1:6">
      <c r="A7827" t="s">
        <v>27</v>
      </c>
      <c r="B7827" t="s">
        <v>112</v>
      </c>
      <c r="C7827" t="s">
        <v>860</v>
      </c>
      <c r="D7827" t="s">
        <v>1091</v>
      </c>
      <c r="E7827" t="s">
        <v>1141</v>
      </c>
      <c r="F7827">
        <v>-0.4200002283177596</v>
      </c>
    </row>
    <row r="7828" spans="1:6">
      <c r="A7828" t="s">
        <v>27</v>
      </c>
      <c r="B7828" t="s">
        <v>112</v>
      </c>
      <c r="C7828" t="s">
        <v>860</v>
      </c>
      <c r="D7828" t="s">
        <v>1091</v>
      </c>
      <c r="E7828" t="s">
        <v>1143</v>
      </c>
      <c r="F7828" t="s">
        <v>1144</v>
      </c>
    </row>
    <row r="7829" spans="1:6">
      <c r="A7829" t="s">
        <v>27</v>
      </c>
      <c r="B7829" t="s">
        <v>112</v>
      </c>
      <c r="C7829" t="s">
        <v>860</v>
      </c>
      <c r="D7829" t="s">
        <v>1091</v>
      </c>
      <c r="E7829" t="s">
        <v>1145</v>
      </c>
      <c r="F7829" t="s">
        <v>1146</v>
      </c>
    </row>
    <row r="7830" spans="1:6">
      <c r="A7830" t="s">
        <v>27</v>
      </c>
      <c r="B7830" t="s">
        <v>112</v>
      </c>
      <c r="C7830" t="s">
        <v>860</v>
      </c>
      <c r="D7830" t="s">
        <v>1091</v>
      </c>
      <c r="E7830" t="s">
        <v>1147</v>
      </c>
      <c r="F7830" t="s">
        <v>1148</v>
      </c>
    </row>
    <row r="7831" spans="1:6">
      <c r="A7831" t="s">
        <v>27</v>
      </c>
      <c r="B7831" t="s">
        <v>112</v>
      </c>
      <c r="C7831" t="s">
        <v>860</v>
      </c>
      <c r="D7831" t="s">
        <v>1091</v>
      </c>
      <c r="E7831" t="s">
        <v>1149</v>
      </c>
      <c r="F7831" t="s">
        <v>1150</v>
      </c>
    </row>
    <row r="7832" spans="1:6">
      <c r="A7832" t="s">
        <v>27</v>
      </c>
      <c r="B7832" t="s">
        <v>112</v>
      </c>
      <c r="C7832" t="s">
        <v>860</v>
      </c>
      <c r="D7832" t="s">
        <v>1091</v>
      </c>
      <c r="E7832" t="s">
        <v>1151</v>
      </c>
      <c r="F7832" t="s">
        <v>1009</v>
      </c>
    </row>
    <row r="7833" spans="1:6">
      <c r="A7833" t="s">
        <v>27</v>
      </c>
      <c r="B7833" t="s">
        <v>112</v>
      </c>
      <c r="C7833" t="s">
        <v>860</v>
      </c>
      <c r="D7833" t="s">
        <v>1091</v>
      </c>
      <c r="E7833" t="s">
        <v>1152</v>
      </c>
      <c r="F7833" t="s">
        <v>1989</v>
      </c>
    </row>
    <row r="7834" spans="1:6">
      <c r="A7834" t="s">
        <v>27</v>
      </c>
      <c r="B7834" t="s">
        <v>112</v>
      </c>
      <c r="C7834" t="s">
        <v>860</v>
      </c>
      <c r="D7834" t="s">
        <v>1091</v>
      </c>
      <c r="E7834" t="s">
        <v>1154</v>
      </c>
      <c r="F7834" t="s">
        <v>1990</v>
      </c>
    </row>
    <row r="7835" spans="1:6">
      <c r="A7835" t="s">
        <v>27</v>
      </c>
      <c r="B7835" t="s">
        <v>112</v>
      </c>
      <c r="C7835" t="s">
        <v>860</v>
      </c>
      <c r="D7835" t="s">
        <v>1091</v>
      </c>
      <c r="E7835" t="s">
        <v>1156</v>
      </c>
      <c r="F7835" t="s">
        <v>1991</v>
      </c>
    </row>
    <row r="7836" spans="1:6">
      <c r="A7836" t="s">
        <v>27</v>
      </c>
      <c r="B7836" t="s">
        <v>112</v>
      </c>
      <c r="C7836" t="s">
        <v>860</v>
      </c>
      <c r="D7836" t="s">
        <v>1091</v>
      </c>
      <c r="E7836" t="s">
        <v>1158</v>
      </c>
      <c r="F7836" t="s">
        <v>1836</v>
      </c>
    </row>
    <row r="7837" spans="1:6">
      <c r="A7837" t="s">
        <v>27</v>
      </c>
      <c r="B7837" t="s">
        <v>112</v>
      </c>
      <c r="C7837" t="s">
        <v>860</v>
      </c>
      <c r="D7837" t="s">
        <v>1091</v>
      </c>
      <c r="E7837" t="s">
        <v>1160</v>
      </c>
      <c r="F7837" t="s">
        <v>1837</v>
      </c>
    </row>
    <row r="7838" spans="1:6">
      <c r="A7838" t="s">
        <v>27</v>
      </c>
      <c r="B7838" t="s">
        <v>112</v>
      </c>
      <c r="C7838" t="s">
        <v>860</v>
      </c>
      <c r="D7838" t="s">
        <v>1091</v>
      </c>
      <c r="E7838" t="s">
        <v>1162</v>
      </c>
      <c r="F7838" t="s">
        <v>1838</v>
      </c>
    </row>
    <row r="7839" spans="1:6">
      <c r="A7839" t="s">
        <v>27</v>
      </c>
      <c r="B7839" t="s">
        <v>112</v>
      </c>
      <c r="C7839" t="s">
        <v>860</v>
      </c>
      <c r="D7839" t="s">
        <v>1091</v>
      </c>
      <c r="E7839" t="s">
        <v>1164</v>
      </c>
      <c r="F7839" t="s">
        <v>1165</v>
      </c>
    </row>
    <row r="7840" spans="1:6">
      <c r="A7840" t="s">
        <v>27</v>
      </c>
      <c r="B7840" t="s">
        <v>112</v>
      </c>
      <c r="C7840" t="s">
        <v>860</v>
      </c>
      <c r="D7840" t="s">
        <v>1091</v>
      </c>
      <c r="E7840" t="s">
        <v>1166</v>
      </c>
      <c r="F7840">
        <v>22979649.09999995</v>
      </c>
    </row>
    <row r="7841" spans="1:6">
      <c r="A7841" t="s">
        <v>27</v>
      </c>
      <c r="B7841" t="s">
        <v>112</v>
      </c>
      <c r="C7841" t="s">
        <v>860</v>
      </c>
      <c r="D7841" t="s">
        <v>1091</v>
      </c>
      <c r="E7841" t="s">
        <v>1167</v>
      </c>
      <c r="F7841">
        <v>4343101.549999991</v>
      </c>
    </row>
    <row r="7842" spans="1:6">
      <c r="A7842" t="s">
        <v>27</v>
      </c>
      <c r="B7842" t="s">
        <v>112</v>
      </c>
      <c r="C7842" t="s">
        <v>860</v>
      </c>
      <c r="D7842" t="s">
        <v>1091</v>
      </c>
      <c r="E7842" t="s">
        <v>1168</v>
      </c>
      <c r="F7842">
        <v>4095709.079999954</v>
      </c>
    </row>
    <row r="7843" spans="1:6">
      <c r="A7843" t="s">
        <v>27</v>
      </c>
      <c r="B7843" t="s">
        <v>112</v>
      </c>
      <c r="C7843" t="s">
        <v>860</v>
      </c>
      <c r="D7843" t="s">
        <v>1091</v>
      </c>
      <c r="E7843" t="s">
        <v>1169</v>
      </c>
      <c r="F7843">
        <v>4252435.729999964</v>
      </c>
    </row>
    <row r="7844" spans="1:6">
      <c r="A7844" t="s">
        <v>27</v>
      </c>
      <c r="B7844" t="s">
        <v>112</v>
      </c>
      <c r="C7844" t="s">
        <v>860</v>
      </c>
      <c r="D7844" t="s">
        <v>1091</v>
      </c>
      <c r="E7844" t="s">
        <v>1170</v>
      </c>
      <c r="F7844">
        <v>3537916.199999996</v>
      </c>
    </row>
    <row r="7845" spans="1:6">
      <c r="A7845" t="s">
        <v>27</v>
      </c>
      <c r="B7845" t="s">
        <v>112</v>
      </c>
      <c r="C7845" t="s">
        <v>860</v>
      </c>
      <c r="D7845" t="s">
        <v>1091</v>
      </c>
      <c r="E7845" t="s">
        <v>1171</v>
      </c>
      <c r="F7845">
        <v>3439878.800000015</v>
      </c>
    </row>
    <row r="7846" spans="1:6">
      <c r="A7846" t="s">
        <v>27</v>
      </c>
      <c r="B7846" t="s">
        <v>112</v>
      </c>
      <c r="C7846" t="s">
        <v>860</v>
      </c>
      <c r="D7846" t="s">
        <v>1091</v>
      </c>
      <c r="E7846" t="s">
        <v>1172</v>
      </c>
      <c r="F7846">
        <v>3310607.740000024</v>
      </c>
    </row>
    <row r="7847" spans="1:6">
      <c r="A7847" t="s">
        <v>27</v>
      </c>
      <c r="B7847" t="s">
        <v>112</v>
      </c>
      <c r="C7847" t="s">
        <v>860</v>
      </c>
      <c r="D7847" t="s">
        <v>1091</v>
      </c>
      <c r="E7847" t="s">
        <v>1173</v>
      </c>
      <c r="F7847" t="s">
        <v>1174</v>
      </c>
    </row>
    <row r="7848" spans="1:6">
      <c r="A7848" t="s">
        <v>27</v>
      </c>
      <c r="B7848" t="s">
        <v>112</v>
      </c>
      <c r="C7848" t="s">
        <v>860</v>
      </c>
      <c r="D7848" t="s">
        <v>1091</v>
      </c>
      <c r="E7848" t="s">
        <v>1175</v>
      </c>
      <c r="F7848">
        <v>117674</v>
      </c>
    </row>
    <row r="7849" spans="1:6">
      <c r="A7849" t="s">
        <v>27</v>
      </c>
      <c r="B7849" t="s">
        <v>112</v>
      </c>
      <c r="C7849" t="s">
        <v>860</v>
      </c>
      <c r="D7849" t="s">
        <v>1091</v>
      </c>
      <c r="E7849" t="s">
        <v>1176</v>
      </c>
      <c r="F7849">
        <v>23633</v>
      </c>
    </row>
    <row r="7850" spans="1:6">
      <c r="A7850" t="s">
        <v>27</v>
      </c>
      <c r="B7850" t="s">
        <v>112</v>
      </c>
      <c r="C7850" t="s">
        <v>860</v>
      </c>
      <c r="D7850" t="s">
        <v>1091</v>
      </c>
      <c r="E7850" t="s">
        <v>1177</v>
      </c>
      <c r="F7850">
        <v>20683</v>
      </c>
    </row>
    <row r="7851" spans="1:6">
      <c r="A7851" t="s">
        <v>27</v>
      </c>
      <c r="B7851" t="s">
        <v>112</v>
      </c>
      <c r="C7851" t="s">
        <v>860</v>
      </c>
      <c r="D7851" t="s">
        <v>1091</v>
      </c>
      <c r="E7851" t="s">
        <v>1178</v>
      </c>
      <c r="F7851">
        <v>20844</v>
      </c>
    </row>
    <row r="7852" spans="1:6">
      <c r="A7852" t="s">
        <v>27</v>
      </c>
      <c r="B7852" t="s">
        <v>112</v>
      </c>
      <c r="C7852" t="s">
        <v>860</v>
      </c>
      <c r="D7852" t="s">
        <v>1091</v>
      </c>
      <c r="E7852" t="s">
        <v>1179</v>
      </c>
      <c r="F7852">
        <v>18981</v>
      </c>
    </row>
    <row r="7853" spans="1:6">
      <c r="A7853" t="s">
        <v>27</v>
      </c>
      <c r="B7853" t="s">
        <v>112</v>
      </c>
      <c r="C7853" t="s">
        <v>860</v>
      </c>
      <c r="D7853" t="s">
        <v>1091</v>
      </c>
      <c r="E7853" t="s">
        <v>1180</v>
      </c>
      <c r="F7853">
        <v>16808</v>
      </c>
    </row>
    <row r="7854" spans="1:6">
      <c r="A7854" t="s">
        <v>27</v>
      </c>
      <c r="B7854" t="s">
        <v>112</v>
      </c>
      <c r="C7854" t="s">
        <v>860</v>
      </c>
      <c r="D7854" t="s">
        <v>1091</v>
      </c>
      <c r="E7854" t="s">
        <v>1181</v>
      </c>
      <c r="F7854">
        <v>16725</v>
      </c>
    </row>
    <row r="7855" spans="1:6">
      <c r="A7855" t="s">
        <v>27</v>
      </c>
      <c r="B7855" t="s">
        <v>112</v>
      </c>
      <c r="C7855" t="s">
        <v>860</v>
      </c>
      <c r="D7855" t="s">
        <v>1091</v>
      </c>
      <c r="E7855" t="s">
        <v>1182</v>
      </c>
      <c r="F7855" t="s">
        <v>1183</v>
      </c>
    </row>
    <row r="7856" spans="1:6">
      <c r="A7856" t="s">
        <v>27</v>
      </c>
      <c r="B7856" t="s">
        <v>112</v>
      </c>
      <c r="C7856" t="s">
        <v>860</v>
      </c>
      <c r="D7856" t="s">
        <v>1091</v>
      </c>
      <c r="E7856" t="s">
        <v>1184</v>
      </c>
      <c r="F7856">
        <v>9838641.540000007</v>
      </c>
    </row>
    <row r="7857" spans="1:6">
      <c r="A7857" t="s">
        <v>27</v>
      </c>
      <c r="B7857" t="s">
        <v>112</v>
      </c>
      <c r="C7857" t="s">
        <v>860</v>
      </c>
      <c r="D7857" t="s">
        <v>1091</v>
      </c>
      <c r="E7857" t="s">
        <v>1185</v>
      </c>
      <c r="F7857">
        <v>21748.81000000002</v>
      </c>
    </row>
    <row r="7858" spans="1:6">
      <c r="A7858" t="s">
        <v>27</v>
      </c>
      <c r="B7858" t="s">
        <v>112</v>
      </c>
      <c r="C7858" t="s">
        <v>860</v>
      </c>
      <c r="D7858" t="s">
        <v>1091</v>
      </c>
      <c r="E7858" t="s">
        <v>1186</v>
      </c>
      <c r="F7858">
        <v>1553296.499999999</v>
      </c>
    </row>
    <row r="7859" spans="1:6">
      <c r="A7859" t="s">
        <v>27</v>
      </c>
      <c r="B7859" t="s">
        <v>112</v>
      </c>
      <c r="C7859" t="s">
        <v>860</v>
      </c>
      <c r="D7859" t="s">
        <v>1091</v>
      </c>
      <c r="E7859" t="s">
        <v>1187</v>
      </c>
      <c r="F7859">
        <v>1881567.730000006</v>
      </c>
    </row>
    <row r="7860" spans="1:6">
      <c r="A7860" t="s">
        <v>27</v>
      </c>
      <c r="B7860" t="s">
        <v>112</v>
      </c>
      <c r="C7860" t="s">
        <v>860</v>
      </c>
      <c r="D7860" t="s">
        <v>1091</v>
      </c>
      <c r="E7860" t="s">
        <v>1188</v>
      </c>
      <c r="F7860">
        <v>1839208.599999998</v>
      </c>
    </row>
    <row r="7861" spans="1:6">
      <c r="A7861" t="s">
        <v>27</v>
      </c>
      <c r="B7861" t="s">
        <v>112</v>
      </c>
      <c r="C7861" t="s">
        <v>860</v>
      </c>
      <c r="D7861" t="s">
        <v>1091</v>
      </c>
      <c r="E7861" t="s">
        <v>1189</v>
      </c>
      <c r="F7861">
        <v>2249593.750000001</v>
      </c>
    </row>
    <row r="7862" spans="1:6">
      <c r="A7862" t="s">
        <v>27</v>
      </c>
      <c r="B7862" t="s">
        <v>112</v>
      </c>
      <c r="C7862" t="s">
        <v>860</v>
      </c>
      <c r="D7862" t="s">
        <v>1091</v>
      </c>
      <c r="E7862" t="s">
        <v>1190</v>
      </c>
      <c r="F7862">
        <v>2293226.150000002</v>
      </c>
    </row>
    <row r="7863" spans="1:6">
      <c r="A7863" t="s">
        <v>27</v>
      </c>
      <c r="B7863" t="s">
        <v>112</v>
      </c>
      <c r="C7863" t="s">
        <v>860</v>
      </c>
      <c r="D7863" t="s">
        <v>1091</v>
      </c>
      <c r="E7863" t="s">
        <v>1191</v>
      </c>
      <c r="F7863" t="s">
        <v>1192</v>
      </c>
    </row>
    <row r="7864" spans="1:6">
      <c r="A7864" t="s">
        <v>27</v>
      </c>
      <c r="B7864" t="s">
        <v>112</v>
      </c>
      <c r="C7864" t="s">
        <v>860</v>
      </c>
      <c r="D7864" t="s">
        <v>1091</v>
      </c>
      <c r="E7864" t="s">
        <v>1193</v>
      </c>
      <c r="F7864">
        <v>7481</v>
      </c>
    </row>
    <row r="7865" spans="1:6">
      <c r="A7865" t="s">
        <v>27</v>
      </c>
      <c r="B7865" t="s">
        <v>112</v>
      </c>
      <c r="C7865" t="s">
        <v>860</v>
      </c>
      <c r="D7865" t="s">
        <v>1091</v>
      </c>
      <c r="E7865" t="s">
        <v>1194</v>
      </c>
      <c r="F7865">
        <v>12141</v>
      </c>
    </row>
    <row r="7866" spans="1:6">
      <c r="A7866" t="s">
        <v>27</v>
      </c>
      <c r="B7866" t="s">
        <v>112</v>
      </c>
      <c r="C7866" t="s">
        <v>860</v>
      </c>
      <c r="D7866" t="s">
        <v>1091</v>
      </c>
      <c r="E7866" t="s">
        <v>1195</v>
      </c>
      <c r="F7866">
        <v>14764</v>
      </c>
    </row>
    <row r="7867" spans="1:6">
      <c r="A7867" t="s">
        <v>27</v>
      </c>
      <c r="B7867" t="s">
        <v>112</v>
      </c>
      <c r="C7867" t="s">
        <v>860</v>
      </c>
      <c r="D7867" t="s">
        <v>1091</v>
      </c>
      <c r="E7867" t="s">
        <v>1196</v>
      </c>
      <c r="F7867">
        <v>14984</v>
      </c>
    </row>
    <row r="7868" spans="1:6">
      <c r="A7868" t="s">
        <v>27</v>
      </c>
      <c r="B7868" t="s">
        <v>112</v>
      </c>
      <c r="C7868" t="s">
        <v>860</v>
      </c>
      <c r="D7868" t="s">
        <v>1091</v>
      </c>
      <c r="E7868" t="s">
        <v>1197</v>
      </c>
      <c r="F7868">
        <v>13970</v>
      </c>
    </row>
    <row r="7869" spans="1:6">
      <c r="A7869" t="s">
        <v>27</v>
      </c>
      <c r="B7869" t="s">
        <v>112</v>
      </c>
      <c r="C7869" t="s">
        <v>860</v>
      </c>
      <c r="D7869" t="s">
        <v>1091</v>
      </c>
      <c r="E7869" t="s">
        <v>1198</v>
      </c>
      <c r="F7869">
        <v>14335</v>
      </c>
    </row>
    <row r="7870" spans="1:6">
      <c r="A7870" t="s">
        <v>27</v>
      </c>
      <c r="B7870" t="s">
        <v>112</v>
      </c>
      <c r="C7870" t="s">
        <v>860</v>
      </c>
      <c r="D7870" t="s">
        <v>1091</v>
      </c>
      <c r="E7870" t="s">
        <v>1199</v>
      </c>
      <c r="F7870" t="s">
        <v>1200</v>
      </c>
    </row>
    <row r="7871" spans="1:6">
      <c r="A7871" t="s">
        <v>27</v>
      </c>
      <c r="B7871" t="s">
        <v>112</v>
      </c>
      <c r="C7871" t="s">
        <v>860</v>
      </c>
      <c r="D7871" t="s">
        <v>1091</v>
      </c>
      <c r="E7871" t="s">
        <v>1201</v>
      </c>
      <c r="F7871" t="s">
        <v>1107</v>
      </c>
    </row>
    <row r="7872" spans="1:6">
      <c r="A7872" t="s">
        <v>27</v>
      </c>
      <c r="B7872" t="s">
        <v>112</v>
      </c>
      <c r="C7872" t="s">
        <v>860</v>
      </c>
      <c r="D7872" t="s">
        <v>1091</v>
      </c>
      <c r="E7872" t="s">
        <v>1202</v>
      </c>
      <c r="F7872">
        <v>9648441.440000007</v>
      </c>
    </row>
    <row r="7873" spans="1:6">
      <c r="A7873" t="s">
        <v>27</v>
      </c>
      <c r="B7873" t="s">
        <v>112</v>
      </c>
      <c r="C7873" t="s">
        <v>860</v>
      </c>
      <c r="D7873" t="s">
        <v>1091</v>
      </c>
      <c r="E7873" t="s">
        <v>1203</v>
      </c>
      <c r="F7873">
        <v>0</v>
      </c>
    </row>
    <row r="7874" spans="1:6">
      <c r="A7874" t="s">
        <v>27</v>
      </c>
      <c r="B7874" t="s">
        <v>112</v>
      </c>
      <c r="C7874" t="s">
        <v>860</v>
      </c>
      <c r="D7874" t="s">
        <v>1091</v>
      </c>
      <c r="E7874" t="s">
        <v>1204</v>
      </c>
      <c r="F7874">
        <v>1530045.009999999</v>
      </c>
    </row>
    <row r="7875" spans="1:6">
      <c r="A7875" t="s">
        <v>27</v>
      </c>
      <c r="B7875" t="s">
        <v>112</v>
      </c>
      <c r="C7875" t="s">
        <v>860</v>
      </c>
      <c r="D7875" t="s">
        <v>1091</v>
      </c>
      <c r="E7875" t="s">
        <v>1205</v>
      </c>
      <c r="F7875">
        <v>1844608.780000006</v>
      </c>
    </row>
    <row r="7876" spans="1:6">
      <c r="A7876" t="s">
        <v>27</v>
      </c>
      <c r="B7876" t="s">
        <v>112</v>
      </c>
      <c r="C7876" t="s">
        <v>860</v>
      </c>
      <c r="D7876" t="s">
        <v>1091</v>
      </c>
      <c r="E7876" t="s">
        <v>1206</v>
      </c>
      <c r="F7876">
        <v>1802014.029999999</v>
      </c>
    </row>
    <row r="7877" spans="1:6">
      <c r="A7877" t="s">
        <v>27</v>
      </c>
      <c r="B7877" t="s">
        <v>112</v>
      </c>
      <c r="C7877" t="s">
        <v>860</v>
      </c>
      <c r="D7877" t="s">
        <v>1091</v>
      </c>
      <c r="E7877" t="s">
        <v>1207</v>
      </c>
      <c r="F7877">
        <v>2214528.610000001</v>
      </c>
    </row>
    <row r="7878" spans="1:6">
      <c r="A7878" t="s">
        <v>27</v>
      </c>
      <c r="B7878" t="s">
        <v>112</v>
      </c>
      <c r="C7878" t="s">
        <v>860</v>
      </c>
      <c r="D7878" t="s">
        <v>1091</v>
      </c>
      <c r="E7878" t="s">
        <v>1208</v>
      </c>
      <c r="F7878">
        <v>2257245.010000002</v>
      </c>
    </row>
    <row r="7879" spans="1:6">
      <c r="A7879" t="s">
        <v>27</v>
      </c>
      <c r="B7879" t="s">
        <v>112</v>
      </c>
      <c r="C7879" t="s">
        <v>860</v>
      </c>
      <c r="D7879" t="s">
        <v>1091</v>
      </c>
      <c r="E7879" t="s">
        <v>1209</v>
      </c>
      <c r="F7879" t="s">
        <v>1307</v>
      </c>
    </row>
    <row r="7880" spans="1:6">
      <c r="A7880" t="s">
        <v>27</v>
      </c>
      <c r="B7880" t="s">
        <v>112</v>
      </c>
      <c r="C7880" t="s">
        <v>860</v>
      </c>
      <c r="D7880" t="s">
        <v>1091</v>
      </c>
      <c r="E7880" t="s">
        <v>1210</v>
      </c>
      <c r="F7880">
        <v>0</v>
      </c>
    </row>
    <row r="7881" spans="1:6">
      <c r="A7881" t="s">
        <v>27</v>
      </c>
      <c r="B7881" t="s">
        <v>112</v>
      </c>
      <c r="C7881" t="s">
        <v>860</v>
      </c>
      <c r="D7881" t="s">
        <v>1091</v>
      </c>
      <c r="E7881" t="s">
        <v>1211</v>
      </c>
      <c r="F7881">
        <v>0</v>
      </c>
    </row>
    <row r="7882" spans="1:6">
      <c r="A7882" t="s">
        <v>27</v>
      </c>
      <c r="B7882" t="s">
        <v>112</v>
      </c>
      <c r="C7882" t="s">
        <v>860</v>
      </c>
      <c r="D7882" t="s">
        <v>1091</v>
      </c>
      <c r="E7882" t="s">
        <v>1212</v>
      </c>
      <c r="F7882">
        <v>0</v>
      </c>
    </row>
    <row r="7883" spans="1:6">
      <c r="A7883" t="s">
        <v>27</v>
      </c>
      <c r="B7883" t="s">
        <v>112</v>
      </c>
      <c r="C7883" t="s">
        <v>860</v>
      </c>
      <c r="D7883" t="s">
        <v>1091</v>
      </c>
      <c r="E7883" t="s">
        <v>1213</v>
      </c>
      <c r="F7883">
        <v>0</v>
      </c>
    </row>
    <row r="7884" spans="1:6">
      <c r="A7884" t="s">
        <v>27</v>
      </c>
      <c r="B7884" t="s">
        <v>112</v>
      </c>
      <c r="C7884" t="s">
        <v>860</v>
      </c>
      <c r="D7884" t="s">
        <v>1091</v>
      </c>
      <c r="E7884" t="s">
        <v>1214</v>
      </c>
      <c r="F7884">
        <v>0</v>
      </c>
    </row>
    <row r="7885" spans="1:6">
      <c r="A7885" t="s">
        <v>27</v>
      </c>
      <c r="B7885" t="s">
        <v>112</v>
      </c>
      <c r="C7885" t="s">
        <v>860</v>
      </c>
      <c r="D7885" t="s">
        <v>1091</v>
      </c>
      <c r="E7885" t="s">
        <v>1215</v>
      </c>
      <c r="F7885">
        <v>0</v>
      </c>
    </row>
    <row r="7886" spans="1:6">
      <c r="A7886" t="s">
        <v>27</v>
      </c>
      <c r="B7886" t="s">
        <v>112</v>
      </c>
      <c r="C7886" t="s">
        <v>860</v>
      </c>
      <c r="D7886" t="s">
        <v>1091</v>
      </c>
      <c r="E7886" t="s">
        <v>1216</v>
      </c>
      <c r="F7886">
        <v>0</v>
      </c>
    </row>
    <row r="7887" spans="1:6">
      <c r="A7887" t="s">
        <v>27</v>
      </c>
      <c r="B7887" t="s">
        <v>112</v>
      </c>
      <c r="C7887" t="s">
        <v>860</v>
      </c>
      <c r="D7887" t="s">
        <v>1091</v>
      </c>
      <c r="E7887" t="s">
        <v>1217</v>
      </c>
      <c r="F7887" t="s">
        <v>1308</v>
      </c>
    </row>
    <row r="7888" spans="1:6">
      <c r="A7888" t="s">
        <v>27</v>
      </c>
      <c r="B7888" t="s">
        <v>112</v>
      </c>
      <c r="C7888" t="s">
        <v>860</v>
      </c>
      <c r="D7888" t="s">
        <v>1091</v>
      </c>
      <c r="E7888" t="s">
        <v>1218</v>
      </c>
      <c r="F7888">
        <v>190200.0999999997</v>
      </c>
    </row>
    <row r="7889" spans="1:6">
      <c r="A7889" t="s">
        <v>27</v>
      </c>
      <c r="B7889" t="s">
        <v>112</v>
      </c>
      <c r="C7889" t="s">
        <v>860</v>
      </c>
      <c r="D7889" t="s">
        <v>1091</v>
      </c>
      <c r="E7889" t="s">
        <v>1219</v>
      </c>
      <c r="F7889">
        <v>21748.81000000002</v>
      </c>
    </row>
    <row r="7890" spans="1:6">
      <c r="A7890" t="s">
        <v>27</v>
      </c>
      <c r="B7890" t="s">
        <v>112</v>
      </c>
      <c r="C7890" t="s">
        <v>860</v>
      </c>
      <c r="D7890" t="s">
        <v>1091</v>
      </c>
      <c r="E7890" t="s">
        <v>1220</v>
      </c>
      <c r="F7890">
        <v>23251.49000000008</v>
      </c>
    </row>
    <row r="7891" spans="1:6">
      <c r="A7891" t="s">
        <v>27</v>
      </c>
      <c r="B7891" t="s">
        <v>112</v>
      </c>
      <c r="C7891" t="s">
        <v>860</v>
      </c>
      <c r="D7891" t="s">
        <v>1091</v>
      </c>
      <c r="E7891" t="s">
        <v>1221</v>
      </c>
      <c r="F7891">
        <v>36958.94999999987</v>
      </c>
    </row>
    <row r="7892" spans="1:6">
      <c r="A7892" t="s">
        <v>27</v>
      </c>
      <c r="B7892" t="s">
        <v>112</v>
      </c>
      <c r="C7892" t="s">
        <v>860</v>
      </c>
      <c r="D7892" t="s">
        <v>1091</v>
      </c>
      <c r="E7892" t="s">
        <v>1222</v>
      </c>
      <c r="F7892">
        <v>37194.56999999994</v>
      </c>
    </row>
    <row r="7893" spans="1:6">
      <c r="A7893" t="s">
        <v>27</v>
      </c>
      <c r="B7893" t="s">
        <v>112</v>
      </c>
      <c r="C7893" t="s">
        <v>860</v>
      </c>
      <c r="D7893" t="s">
        <v>1091</v>
      </c>
      <c r="E7893" t="s">
        <v>1223</v>
      </c>
      <c r="F7893">
        <v>35065.13999999982</v>
      </c>
    </row>
    <row r="7894" spans="1:6">
      <c r="A7894" t="s">
        <v>27</v>
      </c>
      <c r="B7894" t="s">
        <v>112</v>
      </c>
      <c r="C7894" t="s">
        <v>860</v>
      </c>
      <c r="D7894" t="s">
        <v>1091</v>
      </c>
      <c r="E7894" t="s">
        <v>1224</v>
      </c>
      <c r="F7894">
        <v>35981.14000000003</v>
      </c>
    </row>
    <row r="7895" spans="1:6">
      <c r="A7895" t="s">
        <v>27</v>
      </c>
      <c r="B7895" t="s">
        <v>112</v>
      </c>
      <c r="C7895" t="s">
        <v>860</v>
      </c>
      <c r="D7895" t="s">
        <v>1091</v>
      </c>
      <c r="E7895" t="s">
        <v>1225</v>
      </c>
      <c r="F7895" t="s">
        <v>1226</v>
      </c>
    </row>
    <row r="7896" spans="1:6">
      <c r="A7896" t="s">
        <v>27</v>
      </c>
      <c r="B7896" t="s">
        <v>112</v>
      </c>
      <c r="C7896" t="s">
        <v>860</v>
      </c>
      <c r="D7896" t="s">
        <v>1091</v>
      </c>
      <c r="E7896" t="s">
        <v>1227</v>
      </c>
      <c r="F7896">
        <v>0.005007667849719071</v>
      </c>
    </row>
    <row r="7897" spans="1:6">
      <c r="A7897" t="s">
        <v>27</v>
      </c>
      <c r="B7897" t="s">
        <v>112</v>
      </c>
      <c r="C7897" t="s">
        <v>860</v>
      </c>
      <c r="D7897" t="s">
        <v>1091</v>
      </c>
      <c r="E7897" t="s">
        <v>1228</v>
      </c>
      <c r="F7897">
        <v>0.379249714679446</v>
      </c>
    </row>
    <row r="7898" spans="1:6">
      <c r="A7898" t="s">
        <v>27</v>
      </c>
      <c r="B7898" t="s">
        <v>112</v>
      </c>
      <c r="C7898" t="s">
        <v>860</v>
      </c>
      <c r="D7898" t="s">
        <v>1091</v>
      </c>
      <c r="E7898" t="s">
        <v>1230</v>
      </c>
      <c r="F7898">
        <v>0.4424682345522531</v>
      </c>
    </row>
    <row r="7899" spans="1:6">
      <c r="A7899" t="s">
        <v>27</v>
      </c>
      <c r="B7899" t="s">
        <v>112</v>
      </c>
      <c r="C7899" t="s">
        <v>860</v>
      </c>
      <c r="D7899" t="s">
        <v>1091</v>
      </c>
      <c r="E7899" t="s">
        <v>1231</v>
      </c>
      <c r="F7899">
        <v>0.5198564624000988</v>
      </c>
    </row>
    <row r="7900" spans="1:6">
      <c r="A7900" t="s">
        <v>27</v>
      </c>
      <c r="B7900" t="s">
        <v>112</v>
      </c>
      <c r="C7900" t="s">
        <v>860</v>
      </c>
      <c r="D7900" t="s">
        <v>1091</v>
      </c>
      <c r="E7900" t="s">
        <v>1233</v>
      </c>
      <c r="F7900">
        <v>0.6539747127137129</v>
      </c>
    </row>
    <row r="7901" spans="1:6">
      <c r="A7901" t="s">
        <v>27</v>
      </c>
      <c r="B7901" t="s">
        <v>112</v>
      </c>
      <c r="C7901" t="s">
        <v>860</v>
      </c>
      <c r="D7901" t="s">
        <v>1091</v>
      </c>
      <c r="E7901" t="s">
        <v>1234</v>
      </c>
      <c r="F7901">
        <v>0.6926903849986122</v>
      </c>
    </row>
    <row r="7902" spans="1:6">
      <c r="A7902" t="s">
        <v>27</v>
      </c>
      <c r="B7902" t="s">
        <v>112</v>
      </c>
      <c r="C7902" t="s">
        <v>860</v>
      </c>
      <c r="D7902" t="s">
        <v>1091</v>
      </c>
      <c r="E7902" t="s">
        <v>1235</v>
      </c>
      <c r="F7902" t="s">
        <v>1236</v>
      </c>
    </row>
    <row r="7903" spans="1:6">
      <c r="A7903" t="s">
        <v>27</v>
      </c>
      <c r="B7903" t="s">
        <v>112</v>
      </c>
      <c r="C7903" t="s">
        <v>860</v>
      </c>
      <c r="D7903" t="s">
        <v>1091</v>
      </c>
      <c r="E7903" t="s">
        <v>1237</v>
      </c>
      <c r="F7903">
        <v>0.3165488934963822</v>
      </c>
    </row>
    <row r="7904" spans="1:6">
      <c r="A7904" t="s">
        <v>27</v>
      </c>
      <c r="B7904" t="s">
        <v>112</v>
      </c>
      <c r="C7904" t="s">
        <v>860</v>
      </c>
      <c r="D7904" t="s">
        <v>1091</v>
      </c>
      <c r="E7904" t="s">
        <v>1238</v>
      </c>
      <c r="F7904">
        <v>0.5870038195619591</v>
      </c>
    </row>
    <row r="7905" spans="1:6">
      <c r="A7905" t="s">
        <v>27</v>
      </c>
      <c r="B7905" t="s">
        <v>112</v>
      </c>
      <c r="C7905" t="s">
        <v>860</v>
      </c>
      <c r="D7905" t="s">
        <v>1091</v>
      </c>
      <c r="E7905" t="s">
        <v>1240</v>
      </c>
      <c r="F7905">
        <v>0.7083093456150451</v>
      </c>
    </row>
    <row r="7906" spans="1:6">
      <c r="A7906" t="s">
        <v>27</v>
      </c>
      <c r="B7906" t="s">
        <v>112</v>
      </c>
      <c r="C7906" t="s">
        <v>860</v>
      </c>
      <c r="D7906" t="s">
        <v>1091</v>
      </c>
      <c r="E7906" t="s">
        <v>1241</v>
      </c>
      <c r="F7906">
        <v>0.7894209999473157</v>
      </c>
    </row>
    <row r="7907" spans="1:6">
      <c r="A7907" t="s">
        <v>27</v>
      </c>
      <c r="B7907" t="s">
        <v>112</v>
      </c>
      <c r="C7907" t="s">
        <v>860</v>
      </c>
      <c r="D7907" t="s">
        <v>1091</v>
      </c>
      <c r="E7907" t="s">
        <v>1243</v>
      </c>
      <c r="F7907">
        <v>0.831151832460733</v>
      </c>
    </row>
    <row r="7908" spans="1:6">
      <c r="A7908" t="s">
        <v>27</v>
      </c>
      <c r="B7908" t="s">
        <v>112</v>
      </c>
      <c r="C7908" t="s">
        <v>860</v>
      </c>
      <c r="D7908" t="s">
        <v>1091</v>
      </c>
      <c r="E7908" t="s">
        <v>1244</v>
      </c>
      <c r="F7908">
        <v>0.8571001494768311</v>
      </c>
    </row>
    <row r="7909" spans="1:6">
      <c r="A7909" t="s">
        <v>27</v>
      </c>
      <c r="B7909" t="s">
        <v>112</v>
      </c>
      <c r="C7909" t="s">
        <v>860</v>
      </c>
      <c r="D7909" t="s">
        <v>1091</v>
      </c>
      <c r="E7909" t="s">
        <v>1245</v>
      </c>
      <c r="F7909" t="s">
        <v>1246</v>
      </c>
    </row>
    <row r="7910" spans="1:6">
      <c r="A7910" t="s">
        <v>27</v>
      </c>
      <c r="B7910" t="s">
        <v>112</v>
      </c>
      <c r="C7910" t="s">
        <v>860</v>
      </c>
      <c r="D7910" t="s">
        <v>1091</v>
      </c>
      <c r="E7910" t="s">
        <v>1247</v>
      </c>
      <c r="F7910">
        <v>13141007.55999994</v>
      </c>
    </row>
    <row r="7911" spans="1:6">
      <c r="A7911" t="s">
        <v>27</v>
      </c>
      <c r="B7911" t="s">
        <v>112</v>
      </c>
      <c r="C7911" t="s">
        <v>860</v>
      </c>
      <c r="D7911" t="s">
        <v>1091</v>
      </c>
      <c r="E7911" t="s">
        <v>1248</v>
      </c>
      <c r="F7911">
        <v>4321352.739999992</v>
      </c>
    </row>
    <row r="7912" spans="1:6">
      <c r="A7912" t="s">
        <v>27</v>
      </c>
      <c r="B7912" t="s">
        <v>112</v>
      </c>
      <c r="C7912" t="s">
        <v>860</v>
      </c>
      <c r="D7912" t="s">
        <v>1091</v>
      </c>
      <c r="E7912" t="s">
        <v>1249</v>
      </c>
      <c r="F7912">
        <v>2542412.579999955</v>
      </c>
    </row>
    <row r="7913" spans="1:6">
      <c r="A7913" t="s">
        <v>27</v>
      </c>
      <c r="B7913" t="s">
        <v>112</v>
      </c>
      <c r="C7913" t="s">
        <v>860</v>
      </c>
      <c r="D7913" t="s">
        <v>1091</v>
      </c>
      <c r="E7913" t="s">
        <v>1250</v>
      </c>
      <c r="F7913">
        <v>2370867.999999958</v>
      </c>
    </row>
    <row r="7914" spans="1:6">
      <c r="A7914" t="s">
        <v>27</v>
      </c>
      <c r="B7914" t="s">
        <v>112</v>
      </c>
      <c r="C7914" t="s">
        <v>860</v>
      </c>
      <c r="D7914" t="s">
        <v>1091</v>
      </c>
      <c r="E7914" t="s">
        <v>1251</v>
      </c>
      <c r="F7914">
        <v>1698707.599999998</v>
      </c>
    </row>
    <row r="7915" spans="1:6">
      <c r="A7915" t="s">
        <v>27</v>
      </c>
      <c r="B7915" t="s">
        <v>112</v>
      </c>
      <c r="C7915" t="s">
        <v>860</v>
      </c>
      <c r="D7915" t="s">
        <v>1091</v>
      </c>
      <c r="E7915" t="s">
        <v>1252</v>
      </c>
      <c r="F7915">
        <v>1190285.050000014</v>
      </c>
    </row>
    <row r="7916" spans="1:6">
      <c r="A7916" t="s">
        <v>27</v>
      </c>
      <c r="B7916" t="s">
        <v>112</v>
      </c>
      <c r="C7916" t="s">
        <v>860</v>
      </c>
      <c r="D7916" t="s">
        <v>1091</v>
      </c>
      <c r="E7916" t="s">
        <v>1253</v>
      </c>
      <c r="F7916">
        <v>1017381.590000022</v>
      </c>
    </row>
    <row r="7917" spans="1:6">
      <c r="A7917" t="s">
        <v>27</v>
      </c>
      <c r="B7917" t="s">
        <v>112</v>
      </c>
      <c r="C7917" t="s">
        <v>860</v>
      </c>
      <c r="D7917" t="s">
        <v>1091</v>
      </c>
      <c r="E7917" t="s">
        <v>1254</v>
      </c>
      <c r="F7917" t="s">
        <v>1255</v>
      </c>
    </row>
    <row r="7918" spans="1:6">
      <c r="A7918" t="s">
        <v>27</v>
      </c>
      <c r="B7918" t="s">
        <v>112</v>
      </c>
      <c r="C7918" t="s">
        <v>860</v>
      </c>
      <c r="D7918" t="s">
        <v>1091</v>
      </c>
      <c r="E7918" t="s">
        <v>1256</v>
      </c>
      <c r="F7918">
        <v>39999</v>
      </c>
    </row>
    <row r="7919" spans="1:6">
      <c r="A7919" t="s">
        <v>27</v>
      </c>
      <c r="B7919" t="s">
        <v>112</v>
      </c>
      <c r="C7919" t="s">
        <v>860</v>
      </c>
      <c r="D7919" t="s">
        <v>1091</v>
      </c>
      <c r="E7919" t="s">
        <v>1257</v>
      </c>
      <c r="F7919">
        <v>16152</v>
      </c>
    </row>
    <row r="7920" spans="1:6">
      <c r="A7920" t="s">
        <v>27</v>
      </c>
      <c r="B7920" t="s">
        <v>112</v>
      </c>
      <c r="C7920" t="s">
        <v>860</v>
      </c>
      <c r="D7920" t="s">
        <v>1091</v>
      </c>
      <c r="E7920" t="s">
        <v>1258</v>
      </c>
      <c r="F7920">
        <v>8542</v>
      </c>
    </row>
    <row r="7921" spans="1:6">
      <c r="A7921" t="s">
        <v>27</v>
      </c>
      <c r="B7921" t="s">
        <v>112</v>
      </c>
      <c r="C7921" t="s">
        <v>860</v>
      </c>
      <c r="D7921" t="s">
        <v>1091</v>
      </c>
      <c r="E7921" t="s">
        <v>1259</v>
      </c>
      <c r="F7921">
        <v>6080</v>
      </c>
    </row>
    <row r="7922" spans="1:6">
      <c r="A7922" t="s">
        <v>27</v>
      </c>
      <c r="B7922" t="s">
        <v>112</v>
      </c>
      <c r="C7922" t="s">
        <v>860</v>
      </c>
      <c r="D7922" t="s">
        <v>1091</v>
      </c>
      <c r="E7922" t="s">
        <v>1260</v>
      </c>
      <c r="F7922">
        <v>3997</v>
      </c>
    </row>
    <row r="7923" spans="1:6">
      <c r="A7923" t="s">
        <v>27</v>
      </c>
      <c r="B7923" t="s">
        <v>112</v>
      </c>
      <c r="C7923" t="s">
        <v>860</v>
      </c>
      <c r="D7923" t="s">
        <v>1091</v>
      </c>
      <c r="E7923" t="s">
        <v>1261</v>
      </c>
      <c r="F7923">
        <v>2838</v>
      </c>
    </row>
    <row r="7924" spans="1:6">
      <c r="A7924" t="s">
        <v>27</v>
      </c>
      <c r="B7924" t="s">
        <v>112</v>
      </c>
      <c r="C7924" t="s">
        <v>860</v>
      </c>
      <c r="D7924" t="s">
        <v>1091</v>
      </c>
      <c r="E7924" t="s">
        <v>1262</v>
      </c>
      <c r="F7924">
        <v>2390</v>
      </c>
    </row>
    <row r="7925" spans="1:6">
      <c r="A7925" t="s">
        <v>27</v>
      </c>
      <c r="B7925" t="s">
        <v>112</v>
      </c>
      <c r="C7925" t="s">
        <v>860</v>
      </c>
      <c r="D7925" t="s">
        <v>1091</v>
      </c>
      <c r="E7925" t="s">
        <v>1263</v>
      </c>
      <c r="F7925" t="s">
        <v>1131</v>
      </c>
    </row>
    <row r="7926" spans="1:6">
      <c r="A7926" t="s">
        <v>27</v>
      </c>
      <c r="B7926" t="s">
        <v>112</v>
      </c>
      <c r="C7926" t="s">
        <v>860</v>
      </c>
      <c r="D7926" t="s">
        <v>1091</v>
      </c>
      <c r="E7926" t="s">
        <v>1264</v>
      </c>
      <c r="F7926">
        <v>0.5718541437606186</v>
      </c>
    </row>
    <row r="7927" spans="1:6">
      <c r="A7927" t="s">
        <v>27</v>
      </c>
      <c r="B7927" t="s">
        <v>112</v>
      </c>
      <c r="C7927" t="s">
        <v>860</v>
      </c>
      <c r="D7927" t="s">
        <v>1091</v>
      </c>
      <c r="E7927" t="s">
        <v>1265</v>
      </c>
      <c r="F7927">
        <v>0.994992332150281</v>
      </c>
    </row>
    <row r="7928" spans="1:6">
      <c r="A7928" t="s">
        <v>27</v>
      </c>
      <c r="B7928" t="s">
        <v>112</v>
      </c>
      <c r="C7928" t="s">
        <v>860</v>
      </c>
      <c r="D7928" t="s">
        <v>1091</v>
      </c>
      <c r="E7928" t="s">
        <v>1266</v>
      </c>
      <c r="F7928">
        <v>0.6207502853205541</v>
      </c>
    </row>
    <row r="7929" spans="1:6">
      <c r="A7929" t="s">
        <v>27</v>
      </c>
      <c r="B7929" t="s">
        <v>112</v>
      </c>
      <c r="C7929" t="s">
        <v>860</v>
      </c>
      <c r="D7929" t="s">
        <v>1091</v>
      </c>
      <c r="E7929" t="s">
        <v>1268</v>
      </c>
      <c r="F7929">
        <v>0.5575317654477469</v>
      </c>
    </row>
    <row r="7930" spans="1:6">
      <c r="A7930" t="s">
        <v>27</v>
      </c>
      <c r="B7930" t="s">
        <v>112</v>
      </c>
      <c r="C7930" t="s">
        <v>860</v>
      </c>
      <c r="D7930" t="s">
        <v>1091</v>
      </c>
      <c r="E7930" t="s">
        <v>1269</v>
      </c>
      <c r="F7930">
        <v>0.4801435375999012</v>
      </c>
    </row>
    <row r="7931" spans="1:6">
      <c r="A7931" t="s">
        <v>27</v>
      </c>
      <c r="B7931" t="s">
        <v>112</v>
      </c>
      <c r="C7931" t="s">
        <v>860</v>
      </c>
      <c r="D7931" t="s">
        <v>1091</v>
      </c>
      <c r="E7931" t="s">
        <v>1271</v>
      </c>
      <c r="F7931">
        <v>0.3460252872862872</v>
      </c>
    </row>
    <row r="7932" spans="1:6">
      <c r="A7932" t="s">
        <v>27</v>
      </c>
      <c r="B7932" t="s">
        <v>112</v>
      </c>
      <c r="C7932" t="s">
        <v>860</v>
      </c>
      <c r="D7932" t="s">
        <v>1091</v>
      </c>
      <c r="E7932" t="s">
        <v>1272</v>
      </c>
      <c r="F7932">
        <v>0.3073096150013878</v>
      </c>
    </row>
    <row r="7933" spans="1:6">
      <c r="A7933" t="s">
        <v>27</v>
      </c>
      <c r="B7933" t="s">
        <v>112</v>
      </c>
      <c r="C7933" t="s">
        <v>860</v>
      </c>
      <c r="D7933" t="s">
        <v>1273</v>
      </c>
      <c r="E7933" t="s">
        <v>1274</v>
      </c>
      <c r="F7933" t="s">
        <v>112</v>
      </c>
    </row>
    <row r="7934" spans="1:6">
      <c r="A7934" t="s">
        <v>27</v>
      </c>
      <c r="B7934" t="s">
        <v>112</v>
      </c>
      <c r="C7934" t="s">
        <v>860</v>
      </c>
      <c r="D7934" t="s">
        <v>1273</v>
      </c>
      <c r="E7934" t="s">
        <v>1275</v>
      </c>
      <c r="F7934" t="s">
        <v>1989</v>
      </c>
    </row>
    <row r="7935" spans="1:6">
      <c r="A7935" t="s">
        <v>27</v>
      </c>
      <c r="B7935" t="s">
        <v>112</v>
      </c>
      <c r="C7935" t="s">
        <v>860</v>
      </c>
      <c r="D7935" t="s">
        <v>1273</v>
      </c>
      <c r="E7935" t="s">
        <v>1276</v>
      </c>
      <c r="F7935" t="s">
        <v>1277</v>
      </c>
    </row>
    <row r="7936" spans="1:6">
      <c r="A7936" t="s">
        <v>27</v>
      </c>
      <c r="B7936" t="s">
        <v>112</v>
      </c>
      <c r="C7936" t="s">
        <v>860</v>
      </c>
      <c r="D7936" t="s">
        <v>1273</v>
      </c>
      <c r="E7936" t="s">
        <v>1278</v>
      </c>
      <c r="F7936" t="s">
        <v>1989</v>
      </c>
    </row>
    <row r="7937" spans="1:6">
      <c r="A7937" t="s">
        <v>27</v>
      </c>
      <c r="B7937" t="s">
        <v>112</v>
      </c>
      <c r="C7937" t="s">
        <v>860</v>
      </c>
      <c r="D7937" t="s">
        <v>1273</v>
      </c>
      <c r="E7937" t="s">
        <v>1279</v>
      </c>
      <c r="F7937" t="s">
        <v>1280</v>
      </c>
    </row>
    <row r="7938" spans="1:6">
      <c r="A7938" t="s">
        <v>27</v>
      </c>
      <c r="B7938" t="s">
        <v>112</v>
      </c>
      <c r="C7938" t="s">
        <v>860</v>
      </c>
      <c r="D7938" t="s">
        <v>1273</v>
      </c>
      <c r="E7938" t="s">
        <v>1281</v>
      </c>
      <c r="F7938" t="s">
        <v>1282</v>
      </c>
    </row>
    <row r="7939" spans="1:6">
      <c r="A7939" t="s">
        <v>27</v>
      </c>
      <c r="B7939" t="s">
        <v>112</v>
      </c>
      <c r="C7939" t="s">
        <v>860</v>
      </c>
      <c r="D7939" t="s">
        <v>1273</v>
      </c>
      <c r="E7939" t="s">
        <v>1283</v>
      </c>
      <c r="F7939" t="s">
        <v>1284</v>
      </c>
    </row>
    <row r="7940" spans="1:6">
      <c r="A7940" t="s">
        <v>27</v>
      </c>
      <c r="B7940" t="s">
        <v>112</v>
      </c>
      <c r="C7940" t="s">
        <v>860</v>
      </c>
      <c r="D7940" t="s">
        <v>1273</v>
      </c>
      <c r="E7940" t="s">
        <v>1285</v>
      </c>
      <c r="F7940" t="s">
        <v>377</v>
      </c>
    </row>
    <row r="7941" spans="1:6">
      <c r="A7941" t="s">
        <v>27</v>
      </c>
      <c r="B7941" t="s">
        <v>112</v>
      </c>
      <c r="C7941" t="s">
        <v>860</v>
      </c>
      <c r="D7941" t="s">
        <v>1273</v>
      </c>
      <c r="E7941" t="s">
        <v>1286</v>
      </c>
      <c r="F7941">
        <v>72025</v>
      </c>
    </row>
    <row r="7942" spans="1:6">
      <c r="A7942" t="s">
        <v>27</v>
      </c>
      <c r="B7942" t="s">
        <v>112</v>
      </c>
      <c r="C7942" t="s">
        <v>860</v>
      </c>
      <c r="D7942" t="s">
        <v>1273</v>
      </c>
      <c r="E7942" t="s">
        <v>1287</v>
      </c>
      <c r="F7942">
        <v>33591674.99</v>
      </c>
    </row>
    <row r="7943" spans="1:6">
      <c r="A7943" t="s">
        <v>27</v>
      </c>
      <c r="B7943" t="s">
        <v>112</v>
      </c>
      <c r="C7943" t="s">
        <v>860</v>
      </c>
      <c r="D7943" t="s">
        <v>1273</v>
      </c>
      <c r="E7943" t="s">
        <v>1288</v>
      </c>
      <c r="F7943" t="s">
        <v>379</v>
      </c>
    </row>
    <row r="7944" spans="1:6">
      <c r="A7944" t="s">
        <v>27</v>
      </c>
      <c r="B7944" t="s">
        <v>112</v>
      </c>
      <c r="C7944" t="s">
        <v>860</v>
      </c>
      <c r="D7944" t="s">
        <v>1273</v>
      </c>
      <c r="E7944" t="s">
        <v>1096</v>
      </c>
      <c r="F7944">
        <v>0</v>
      </c>
    </row>
    <row r="7945" spans="1:6">
      <c r="A7945" t="s">
        <v>27</v>
      </c>
      <c r="B7945" t="s">
        <v>112</v>
      </c>
      <c r="C7945" t="s">
        <v>860</v>
      </c>
      <c r="D7945" t="s">
        <v>1273</v>
      </c>
      <c r="E7945" t="s">
        <v>1004</v>
      </c>
      <c r="F7945">
        <v>0</v>
      </c>
    </row>
    <row r="7946" spans="1:6">
      <c r="A7946" t="s">
        <v>27</v>
      </c>
      <c r="B7946" t="s">
        <v>112</v>
      </c>
      <c r="C7946" t="s">
        <v>860</v>
      </c>
      <c r="D7946" t="s">
        <v>1273</v>
      </c>
      <c r="E7946" t="s">
        <v>1289</v>
      </c>
      <c r="F7946" t="s">
        <v>381</v>
      </c>
    </row>
    <row r="7947" spans="1:6">
      <c r="A7947" t="s">
        <v>27</v>
      </c>
      <c r="B7947" t="s">
        <v>112</v>
      </c>
      <c r="C7947" t="s">
        <v>860</v>
      </c>
      <c r="D7947" t="s">
        <v>1273</v>
      </c>
      <c r="E7947" t="s">
        <v>1290</v>
      </c>
      <c r="F7947">
        <v>0</v>
      </c>
    </row>
    <row r="7948" spans="1:6">
      <c r="A7948" t="s">
        <v>27</v>
      </c>
      <c r="B7948" t="s">
        <v>112</v>
      </c>
      <c r="C7948" t="s">
        <v>860</v>
      </c>
      <c r="D7948" t="s">
        <v>1273</v>
      </c>
      <c r="E7948" t="s">
        <v>1291</v>
      </c>
      <c r="F7948">
        <v>0</v>
      </c>
    </row>
    <row r="7949" spans="1:6">
      <c r="A7949" t="s">
        <v>27</v>
      </c>
      <c r="B7949" t="s">
        <v>112</v>
      </c>
      <c r="C7949" t="s">
        <v>860</v>
      </c>
      <c r="D7949" t="s">
        <v>1273</v>
      </c>
      <c r="E7949" t="s">
        <v>1008</v>
      </c>
      <c r="F7949" t="s">
        <v>383</v>
      </c>
    </row>
    <row r="7950" spans="1:6">
      <c r="A7950" t="s">
        <v>27</v>
      </c>
      <c r="B7950" t="s">
        <v>112</v>
      </c>
      <c r="C7950" t="s">
        <v>860</v>
      </c>
      <c r="D7950" t="s">
        <v>1273</v>
      </c>
      <c r="E7950" t="s">
        <v>1010</v>
      </c>
      <c r="F7950">
        <v>0</v>
      </c>
    </row>
    <row r="7951" spans="1:6">
      <c r="A7951" t="s">
        <v>27</v>
      </c>
      <c r="B7951" t="s">
        <v>112</v>
      </c>
      <c r="C7951" t="s">
        <v>860</v>
      </c>
      <c r="D7951" t="s">
        <v>1273</v>
      </c>
      <c r="E7951" t="s">
        <v>1012</v>
      </c>
      <c r="F7951">
        <v>0</v>
      </c>
    </row>
    <row r="7952" spans="1:6">
      <c r="A7952" t="s">
        <v>27</v>
      </c>
      <c r="B7952" t="s">
        <v>112</v>
      </c>
      <c r="C7952" t="s">
        <v>860</v>
      </c>
      <c r="D7952" t="s">
        <v>1273</v>
      </c>
      <c r="E7952" t="s">
        <v>1035</v>
      </c>
      <c r="F7952" t="s">
        <v>385</v>
      </c>
    </row>
    <row r="7953" spans="1:6">
      <c r="A7953" t="s">
        <v>27</v>
      </c>
      <c r="B7953" t="s">
        <v>112</v>
      </c>
      <c r="C7953" t="s">
        <v>860</v>
      </c>
      <c r="D7953" t="s">
        <v>1273</v>
      </c>
      <c r="E7953" t="s">
        <v>1099</v>
      </c>
      <c r="F7953">
        <v>0</v>
      </c>
    </row>
    <row r="7954" spans="1:6">
      <c r="A7954" t="s">
        <v>27</v>
      </c>
      <c r="B7954" t="s">
        <v>112</v>
      </c>
      <c r="C7954" t="s">
        <v>860</v>
      </c>
      <c r="D7954" t="s">
        <v>1273</v>
      </c>
      <c r="E7954" t="s">
        <v>1100</v>
      </c>
      <c r="F7954">
        <v>0</v>
      </c>
    </row>
    <row r="7955" spans="1:6">
      <c r="A7955" t="s">
        <v>27</v>
      </c>
      <c r="B7955" t="s">
        <v>112</v>
      </c>
      <c r="C7955" t="s">
        <v>860</v>
      </c>
      <c r="D7955" t="s">
        <v>1273</v>
      </c>
      <c r="E7955" t="s">
        <v>1037</v>
      </c>
      <c r="F7955" t="s">
        <v>1292</v>
      </c>
    </row>
    <row r="7956" spans="1:6">
      <c r="A7956" t="s">
        <v>27</v>
      </c>
      <c r="B7956" t="s">
        <v>112</v>
      </c>
      <c r="C7956" t="s">
        <v>860</v>
      </c>
      <c r="D7956" t="s">
        <v>1273</v>
      </c>
      <c r="E7956" t="s">
        <v>1103</v>
      </c>
      <c r="F7956">
        <v>72025</v>
      </c>
    </row>
    <row r="7957" spans="1:6">
      <c r="A7957" t="s">
        <v>27</v>
      </c>
      <c r="B7957" t="s">
        <v>112</v>
      </c>
      <c r="C7957" t="s">
        <v>860</v>
      </c>
      <c r="D7957" t="s">
        <v>1273</v>
      </c>
      <c r="E7957" t="s">
        <v>1104</v>
      </c>
      <c r="F7957">
        <v>33591674.99</v>
      </c>
    </row>
    <row r="7958" spans="1:6">
      <c r="A7958" t="s">
        <v>27</v>
      </c>
      <c r="B7958" t="s">
        <v>112</v>
      </c>
      <c r="C7958" t="s">
        <v>860</v>
      </c>
      <c r="D7958" t="s">
        <v>1273</v>
      </c>
      <c r="E7958" t="s">
        <v>1052</v>
      </c>
      <c r="F7958" t="s">
        <v>1293</v>
      </c>
    </row>
    <row r="7959" spans="1:6">
      <c r="A7959" t="s">
        <v>27</v>
      </c>
      <c r="B7959" t="s">
        <v>112</v>
      </c>
      <c r="C7959" t="s">
        <v>860</v>
      </c>
      <c r="D7959" t="s">
        <v>1273</v>
      </c>
      <c r="E7959" t="s">
        <v>1053</v>
      </c>
      <c r="F7959" t="s">
        <v>1995</v>
      </c>
    </row>
    <row r="7960" spans="1:6">
      <c r="A7960" t="s">
        <v>27</v>
      </c>
      <c r="B7960" t="s">
        <v>112</v>
      </c>
      <c r="C7960" t="s">
        <v>860</v>
      </c>
      <c r="D7960" t="s">
        <v>1273</v>
      </c>
      <c r="E7960" t="s">
        <v>1108</v>
      </c>
      <c r="F7960">
        <v>191</v>
      </c>
    </row>
    <row r="7961" spans="1:6">
      <c r="A7961" t="s">
        <v>27</v>
      </c>
      <c r="B7961" t="s">
        <v>112</v>
      </c>
      <c r="C7961" t="s">
        <v>860</v>
      </c>
      <c r="D7961" t="s">
        <v>1273</v>
      </c>
      <c r="E7961" t="s">
        <v>1109</v>
      </c>
      <c r="F7961">
        <v>688714.21</v>
      </c>
    </row>
    <row r="7962" spans="1:6">
      <c r="A7962" t="s">
        <v>27</v>
      </c>
      <c r="B7962" t="s">
        <v>112</v>
      </c>
      <c r="C7962" t="s">
        <v>860</v>
      </c>
      <c r="D7962" t="s">
        <v>1273</v>
      </c>
      <c r="E7962" t="s">
        <v>1113</v>
      </c>
      <c r="F7962">
        <v>2019</v>
      </c>
    </row>
    <row r="7963" spans="1:6">
      <c r="A7963" t="s">
        <v>27</v>
      </c>
      <c r="B7963" t="s">
        <v>112</v>
      </c>
      <c r="C7963" t="s">
        <v>860</v>
      </c>
      <c r="D7963" t="s">
        <v>1273</v>
      </c>
      <c r="E7963" t="s">
        <v>1114</v>
      </c>
      <c r="F7963">
        <v>76</v>
      </c>
    </row>
    <row r="7964" spans="1:6">
      <c r="A7964" t="s">
        <v>27</v>
      </c>
      <c r="B7964" t="s">
        <v>112</v>
      </c>
      <c r="C7964" t="s">
        <v>860</v>
      </c>
      <c r="D7964" t="s">
        <v>1273</v>
      </c>
      <c r="E7964" t="s">
        <v>1115</v>
      </c>
      <c r="F7964">
        <v>217714.23</v>
      </c>
    </row>
    <row r="7965" spans="1:6">
      <c r="A7965" t="s">
        <v>27</v>
      </c>
      <c r="B7965" t="s">
        <v>112</v>
      </c>
      <c r="C7965" t="s">
        <v>860</v>
      </c>
      <c r="D7965" t="s">
        <v>1273</v>
      </c>
      <c r="E7965" t="s">
        <v>1118</v>
      </c>
      <c r="F7965">
        <v>2020</v>
      </c>
    </row>
    <row r="7966" spans="1:6">
      <c r="A7966" t="s">
        <v>27</v>
      </c>
      <c r="B7966" t="s">
        <v>112</v>
      </c>
      <c r="C7966" t="s">
        <v>860</v>
      </c>
      <c r="D7966" t="s">
        <v>1273</v>
      </c>
      <c r="E7966" t="s">
        <v>1119</v>
      </c>
      <c r="F7966">
        <v>536</v>
      </c>
    </row>
    <row r="7967" spans="1:6">
      <c r="A7967" t="s">
        <v>27</v>
      </c>
      <c r="B7967" t="s">
        <v>112</v>
      </c>
      <c r="C7967" t="s">
        <v>860</v>
      </c>
      <c r="D7967" t="s">
        <v>1273</v>
      </c>
      <c r="E7967" t="s">
        <v>1120</v>
      </c>
      <c r="F7967">
        <v>1009033.569999999</v>
      </c>
    </row>
    <row r="7968" spans="1:6">
      <c r="A7968" t="s">
        <v>27</v>
      </c>
      <c r="B7968" t="s">
        <v>112</v>
      </c>
      <c r="C7968" t="s">
        <v>860</v>
      </c>
      <c r="D7968" t="s">
        <v>1273</v>
      </c>
      <c r="E7968" t="s">
        <v>1124</v>
      </c>
      <c r="F7968">
        <v>2021</v>
      </c>
    </row>
    <row r="7969" spans="1:6">
      <c r="A7969" t="s">
        <v>27</v>
      </c>
      <c r="B7969" t="s">
        <v>112</v>
      </c>
      <c r="C7969" t="s">
        <v>860</v>
      </c>
      <c r="D7969" t="s">
        <v>1273</v>
      </c>
      <c r="E7969" t="s">
        <v>1126</v>
      </c>
      <c r="F7969">
        <v>3378</v>
      </c>
    </row>
    <row r="7970" spans="1:6">
      <c r="A7970" t="s">
        <v>27</v>
      </c>
      <c r="B7970" t="s">
        <v>112</v>
      </c>
      <c r="C7970" t="s">
        <v>860</v>
      </c>
      <c r="D7970" t="s">
        <v>1273</v>
      </c>
      <c r="E7970" t="s">
        <v>1127</v>
      </c>
      <c r="F7970">
        <v>1988576.570000006</v>
      </c>
    </row>
    <row r="7971" spans="1:6">
      <c r="A7971" t="s">
        <v>27</v>
      </c>
      <c r="B7971" t="s">
        <v>112</v>
      </c>
      <c r="C7971" t="s">
        <v>860</v>
      </c>
      <c r="D7971" t="s">
        <v>1273</v>
      </c>
      <c r="E7971" t="s">
        <v>1057</v>
      </c>
      <c r="F7971">
        <v>2022</v>
      </c>
    </row>
    <row r="7972" spans="1:6">
      <c r="A7972" t="s">
        <v>27</v>
      </c>
      <c r="B7972" t="s">
        <v>112</v>
      </c>
      <c r="C7972" t="s">
        <v>860</v>
      </c>
      <c r="D7972" t="s">
        <v>1273</v>
      </c>
      <c r="E7972" t="s">
        <v>1058</v>
      </c>
      <c r="F7972">
        <v>2953</v>
      </c>
    </row>
    <row r="7973" spans="1:6">
      <c r="A7973" t="s">
        <v>27</v>
      </c>
      <c r="B7973" t="s">
        <v>112</v>
      </c>
      <c r="C7973" t="s">
        <v>860</v>
      </c>
      <c r="D7973" t="s">
        <v>1273</v>
      </c>
      <c r="E7973" t="s">
        <v>1059</v>
      </c>
      <c r="F7973">
        <v>1765334.320000004</v>
      </c>
    </row>
    <row r="7974" spans="1:6">
      <c r="A7974" t="s">
        <v>27</v>
      </c>
      <c r="B7974" t="s">
        <v>112</v>
      </c>
      <c r="C7974" t="s">
        <v>860</v>
      </c>
      <c r="D7974" t="s">
        <v>1273</v>
      </c>
      <c r="E7974" t="s">
        <v>1072</v>
      </c>
      <c r="F7974">
        <v>2023</v>
      </c>
    </row>
    <row r="7975" spans="1:6">
      <c r="A7975" t="s">
        <v>27</v>
      </c>
      <c r="B7975" t="s">
        <v>112</v>
      </c>
      <c r="C7975" t="s">
        <v>860</v>
      </c>
      <c r="D7975" t="s">
        <v>1273</v>
      </c>
      <c r="E7975" t="s">
        <v>1133</v>
      </c>
      <c r="F7975">
        <v>3919</v>
      </c>
    </row>
    <row r="7976" spans="1:6">
      <c r="A7976" t="s">
        <v>27</v>
      </c>
      <c r="B7976" t="s">
        <v>112</v>
      </c>
      <c r="C7976" t="s">
        <v>860</v>
      </c>
      <c r="D7976" t="s">
        <v>1273</v>
      </c>
      <c r="E7976" t="s">
        <v>1134</v>
      </c>
      <c r="F7976">
        <v>2536581.889999996</v>
      </c>
    </row>
    <row r="7977" spans="1:6">
      <c r="A7977" t="s">
        <v>27</v>
      </c>
      <c r="B7977" t="s">
        <v>112</v>
      </c>
      <c r="C7977" t="s">
        <v>860</v>
      </c>
      <c r="D7977" t="s">
        <v>1273</v>
      </c>
      <c r="E7977" t="s">
        <v>1074</v>
      </c>
      <c r="F7977">
        <v>2024</v>
      </c>
    </row>
    <row r="7978" spans="1:6">
      <c r="A7978" t="s">
        <v>27</v>
      </c>
      <c r="B7978" t="s">
        <v>112</v>
      </c>
      <c r="C7978" t="s">
        <v>860</v>
      </c>
      <c r="D7978" t="s">
        <v>1273</v>
      </c>
      <c r="E7978" t="s">
        <v>1296</v>
      </c>
      <c r="F7978">
        <v>5286</v>
      </c>
    </row>
    <row r="7979" spans="1:6">
      <c r="A7979" t="s">
        <v>27</v>
      </c>
      <c r="B7979" t="s">
        <v>112</v>
      </c>
      <c r="C7979" t="s">
        <v>860</v>
      </c>
      <c r="D7979" t="s">
        <v>1273</v>
      </c>
      <c r="E7979" t="s">
        <v>1297</v>
      </c>
      <c r="F7979">
        <v>3180139.190000006</v>
      </c>
    </row>
    <row r="7980" spans="1:6">
      <c r="A7980" t="s">
        <v>27</v>
      </c>
      <c r="B7980" t="s">
        <v>112</v>
      </c>
      <c r="C7980" t="s">
        <v>860</v>
      </c>
      <c r="D7980" t="s">
        <v>1273</v>
      </c>
      <c r="E7980" t="s">
        <v>1076</v>
      </c>
      <c r="F7980">
        <v>2025</v>
      </c>
    </row>
    <row r="7981" spans="1:6">
      <c r="A7981" t="s">
        <v>27</v>
      </c>
      <c r="B7981" t="s">
        <v>112</v>
      </c>
      <c r="C7981" t="s">
        <v>860</v>
      </c>
      <c r="D7981" t="s">
        <v>1273</v>
      </c>
      <c r="E7981" t="s">
        <v>1077</v>
      </c>
      <c r="F7981">
        <v>10227</v>
      </c>
    </row>
    <row r="7982" spans="1:6">
      <c r="A7982" t="s">
        <v>27</v>
      </c>
      <c r="B7982" t="s">
        <v>112</v>
      </c>
      <c r="C7982" t="s">
        <v>860</v>
      </c>
      <c r="D7982" t="s">
        <v>1273</v>
      </c>
      <c r="E7982" t="s">
        <v>1078</v>
      </c>
      <c r="F7982">
        <v>6167078.229999923</v>
      </c>
    </row>
    <row r="7983" spans="1:6">
      <c r="A7983" t="s">
        <v>27</v>
      </c>
      <c r="B7983" t="s">
        <v>112</v>
      </c>
      <c r="C7983" t="s">
        <v>860</v>
      </c>
      <c r="D7983" t="s">
        <v>1273</v>
      </c>
      <c r="E7983" t="s">
        <v>1090</v>
      </c>
      <c r="F7983">
        <v>2026</v>
      </c>
    </row>
    <row r="7984" spans="1:6">
      <c r="A7984" t="s">
        <v>27</v>
      </c>
      <c r="B7984" t="s">
        <v>112</v>
      </c>
      <c r="C7984" t="s">
        <v>860</v>
      </c>
      <c r="D7984" t="s">
        <v>1273</v>
      </c>
      <c r="E7984" t="s">
        <v>1139</v>
      </c>
      <c r="F7984">
        <v>45459</v>
      </c>
    </row>
    <row r="7985" spans="1:6">
      <c r="A7985" t="s">
        <v>27</v>
      </c>
      <c r="B7985" t="s">
        <v>112</v>
      </c>
      <c r="C7985" t="s">
        <v>860</v>
      </c>
      <c r="D7985" t="s">
        <v>1273</v>
      </c>
      <c r="E7985" t="s">
        <v>1140</v>
      </c>
      <c r="F7985">
        <v>16038502.78000003</v>
      </c>
    </row>
    <row r="7986" spans="1:6">
      <c r="A7986" t="s">
        <v>27</v>
      </c>
      <c r="B7986" t="s">
        <v>112</v>
      </c>
      <c r="C7986" t="s">
        <v>860</v>
      </c>
      <c r="D7986" t="s">
        <v>1273</v>
      </c>
      <c r="E7986" t="s">
        <v>1298</v>
      </c>
      <c r="F7986" t="s">
        <v>1292</v>
      </c>
    </row>
    <row r="7987" spans="1:6">
      <c r="A7987" t="s">
        <v>27</v>
      </c>
      <c r="B7987" t="s">
        <v>112</v>
      </c>
      <c r="C7987" t="s">
        <v>860</v>
      </c>
      <c r="D7987" t="s">
        <v>1273</v>
      </c>
      <c r="E7987" t="s">
        <v>1299</v>
      </c>
      <c r="F7987">
        <v>72025</v>
      </c>
    </row>
    <row r="7988" spans="1:6">
      <c r="A7988" t="s">
        <v>27</v>
      </c>
      <c r="B7988" t="s">
        <v>112</v>
      </c>
      <c r="C7988" t="s">
        <v>860</v>
      </c>
      <c r="D7988" t="s">
        <v>1273</v>
      </c>
      <c r="E7988" t="s">
        <v>1300</v>
      </c>
      <c r="F7988">
        <v>33591674.98999996</v>
      </c>
    </row>
    <row r="7989" spans="1:6">
      <c r="A7989" t="s">
        <v>27</v>
      </c>
      <c r="B7989" t="s">
        <v>112</v>
      </c>
      <c r="C7989" t="s">
        <v>860</v>
      </c>
      <c r="D7989" t="s">
        <v>1273</v>
      </c>
      <c r="E7989" t="s">
        <v>1149</v>
      </c>
      <c r="F7989" t="s">
        <v>1996</v>
      </c>
    </row>
    <row r="7990" spans="1:6">
      <c r="A7990" t="s">
        <v>13</v>
      </c>
      <c r="B7990" t="s">
        <v>360</v>
      </c>
      <c r="C7990" t="s">
        <v>843</v>
      </c>
      <c r="D7990" t="s">
        <v>1997</v>
      </c>
      <c r="E7990" t="s">
        <v>1274</v>
      </c>
      <c r="F7990" t="s">
        <v>1998</v>
      </c>
    </row>
    <row r="7991" spans="1:6">
      <c r="A7991" t="s">
        <v>13</v>
      </c>
      <c r="B7991" t="s">
        <v>360</v>
      </c>
      <c r="C7991" t="s">
        <v>843</v>
      </c>
      <c r="D7991" t="s">
        <v>1997</v>
      </c>
      <c r="E7991" t="s">
        <v>1275</v>
      </c>
      <c r="F7991" t="s">
        <v>1836</v>
      </c>
    </row>
    <row r="7992" spans="1:6">
      <c r="A7992" t="s">
        <v>13</v>
      </c>
      <c r="B7992" t="s">
        <v>360</v>
      </c>
      <c r="C7992" t="s">
        <v>843</v>
      </c>
      <c r="D7992" t="s">
        <v>1997</v>
      </c>
      <c r="E7992" t="s">
        <v>1276</v>
      </c>
      <c r="F7992" t="s">
        <v>1277</v>
      </c>
    </row>
    <row r="7993" spans="1:6">
      <c r="A7993" t="s">
        <v>13</v>
      </c>
      <c r="B7993" t="s">
        <v>360</v>
      </c>
      <c r="C7993" t="s">
        <v>843</v>
      </c>
      <c r="D7993" t="s">
        <v>1997</v>
      </c>
      <c r="E7993" t="s">
        <v>1278</v>
      </c>
      <c r="F7993" t="s">
        <v>1836</v>
      </c>
    </row>
    <row r="7994" spans="1:6">
      <c r="A7994" t="s">
        <v>13</v>
      </c>
      <c r="B7994" t="s">
        <v>360</v>
      </c>
      <c r="C7994" t="s">
        <v>843</v>
      </c>
      <c r="D7994" t="s">
        <v>1997</v>
      </c>
      <c r="E7994" t="s">
        <v>1999</v>
      </c>
      <c r="F7994" t="s">
        <v>2000</v>
      </c>
    </row>
    <row r="7995" spans="1:6">
      <c r="A7995" t="s">
        <v>13</v>
      </c>
      <c r="B7995" t="s">
        <v>360</v>
      </c>
      <c r="C7995" t="s">
        <v>843</v>
      </c>
      <c r="D7995" t="s">
        <v>1997</v>
      </c>
      <c r="E7995" t="s">
        <v>1279</v>
      </c>
      <c r="F7995" t="s">
        <v>1280</v>
      </c>
    </row>
    <row r="7996" spans="1:6">
      <c r="A7996" t="s">
        <v>13</v>
      </c>
      <c r="B7996" t="s">
        <v>360</v>
      </c>
      <c r="C7996" t="s">
        <v>843</v>
      </c>
      <c r="D7996" t="s">
        <v>1997</v>
      </c>
      <c r="E7996" t="s">
        <v>1281</v>
      </c>
      <c r="F7996" t="s">
        <v>1282</v>
      </c>
    </row>
    <row r="7997" spans="1:6">
      <c r="A7997" t="s">
        <v>13</v>
      </c>
      <c r="B7997" t="s">
        <v>360</v>
      </c>
      <c r="C7997" t="s">
        <v>843</v>
      </c>
      <c r="D7997" t="s">
        <v>1997</v>
      </c>
      <c r="E7997" t="s">
        <v>2001</v>
      </c>
      <c r="F7997" t="s">
        <v>1280</v>
      </c>
    </row>
    <row r="7998" spans="1:6">
      <c r="A7998" t="s">
        <v>13</v>
      </c>
      <c r="B7998" t="s">
        <v>360</v>
      </c>
      <c r="C7998" t="s">
        <v>843</v>
      </c>
      <c r="D7998" t="s">
        <v>1997</v>
      </c>
      <c r="E7998" t="s">
        <v>995</v>
      </c>
      <c r="F7998" t="s">
        <v>1282</v>
      </c>
    </row>
    <row r="7999" spans="1:6">
      <c r="A7999" t="s">
        <v>13</v>
      </c>
      <c r="B7999" t="s">
        <v>360</v>
      </c>
      <c r="C7999" t="s">
        <v>843</v>
      </c>
      <c r="D7999" t="s">
        <v>1997</v>
      </c>
      <c r="E7999" t="s">
        <v>1283</v>
      </c>
      <c r="F7999" t="s">
        <v>2002</v>
      </c>
    </row>
    <row r="8000" spans="1:6">
      <c r="A8000" t="s">
        <v>13</v>
      </c>
      <c r="B8000" t="s">
        <v>360</v>
      </c>
      <c r="C8000" t="s">
        <v>843</v>
      </c>
      <c r="D8000" t="s">
        <v>1997</v>
      </c>
      <c r="E8000" t="s">
        <v>1285</v>
      </c>
      <c r="F8000" t="s">
        <v>2003</v>
      </c>
    </row>
    <row r="8001" spans="1:6">
      <c r="A8001" t="s">
        <v>13</v>
      </c>
      <c r="B8001" t="s">
        <v>360</v>
      </c>
      <c r="C8001" t="s">
        <v>843</v>
      </c>
      <c r="D8001" t="s">
        <v>1997</v>
      </c>
      <c r="E8001" t="s">
        <v>1286</v>
      </c>
      <c r="F8001">
        <v>19</v>
      </c>
    </row>
    <row r="8002" spans="1:6">
      <c r="A8002" t="s">
        <v>13</v>
      </c>
      <c r="B8002" t="s">
        <v>360</v>
      </c>
      <c r="C8002" t="s">
        <v>843</v>
      </c>
      <c r="D8002" t="s">
        <v>1997</v>
      </c>
      <c r="E8002" t="s">
        <v>1287</v>
      </c>
      <c r="F8002">
        <v>1361.760555322476</v>
      </c>
    </row>
    <row r="8003" spans="1:6">
      <c r="A8003" t="s">
        <v>13</v>
      </c>
      <c r="B8003" t="s">
        <v>360</v>
      </c>
      <c r="C8003" t="s">
        <v>843</v>
      </c>
      <c r="D8003" t="s">
        <v>1997</v>
      </c>
      <c r="E8003" t="s">
        <v>2004</v>
      </c>
      <c r="F8003">
        <v>38</v>
      </c>
    </row>
    <row r="8004" spans="1:6">
      <c r="A8004" t="s">
        <v>13</v>
      </c>
      <c r="B8004" t="s">
        <v>360</v>
      </c>
      <c r="C8004" t="s">
        <v>843</v>
      </c>
      <c r="D8004" t="s">
        <v>1997</v>
      </c>
      <c r="E8004" t="s">
        <v>2005</v>
      </c>
      <c r="F8004">
        <v>1990.550161812298</v>
      </c>
    </row>
    <row r="8005" spans="1:6">
      <c r="A8005" t="s">
        <v>13</v>
      </c>
      <c r="B8005" t="s">
        <v>360</v>
      </c>
      <c r="C8005" t="s">
        <v>843</v>
      </c>
      <c r="D8005" t="s">
        <v>1997</v>
      </c>
      <c r="E8005" t="s">
        <v>1288</v>
      </c>
      <c r="F8005" t="s">
        <v>2006</v>
      </c>
    </row>
    <row r="8006" spans="1:6">
      <c r="A8006" t="s">
        <v>13</v>
      </c>
      <c r="B8006" t="s">
        <v>360</v>
      </c>
      <c r="C8006" t="s">
        <v>843</v>
      </c>
      <c r="D8006" t="s">
        <v>1997</v>
      </c>
      <c r="E8006" t="s">
        <v>1096</v>
      </c>
      <c r="F8006">
        <v>5134</v>
      </c>
    </row>
    <row r="8007" spans="1:6">
      <c r="A8007" t="s">
        <v>13</v>
      </c>
      <c r="B8007" t="s">
        <v>360</v>
      </c>
      <c r="C8007" t="s">
        <v>843</v>
      </c>
      <c r="D8007" t="s">
        <v>1997</v>
      </c>
      <c r="E8007" t="s">
        <v>1004</v>
      </c>
      <c r="F8007">
        <v>47525.75803806333</v>
      </c>
    </row>
    <row r="8008" spans="1:6">
      <c r="A8008" t="s">
        <v>13</v>
      </c>
      <c r="B8008" t="s">
        <v>360</v>
      </c>
      <c r="C8008" t="s">
        <v>843</v>
      </c>
      <c r="D8008" t="s">
        <v>1997</v>
      </c>
      <c r="E8008" t="s">
        <v>2007</v>
      </c>
      <c r="F8008">
        <v>6080</v>
      </c>
    </row>
    <row r="8009" spans="1:6">
      <c r="A8009" t="s">
        <v>13</v>
      </c>
      <c r="B8009" t="s">
        <v>360</v>
      </c>
      <c r="C8009" t="s">
        <v>843</v>
      </c>
      <c r="D8009" t="s">
        <v>1997</v>
      </c>
      <c r="E8009" t="s">
        <v>2008</v>
      </c>
      <c r="F8009">
        <v>54467.19623418662</v>
      </c>
    </row>
    <row r="8010" spans="1:6">
      <c r="A8010" t="s">
        <v>13</v>
      </c>
      <c r="B8010" t="s">
        <v>360</v>
      </c>
      <c r="C8010" t="s">
        <v>843</v>
      </c>
      <c r="D8010" t="s">
        <v>1997</v>
      </c>
      <c r="E8010" t="s">
        <v>1289</v>
      </c>
      <c r="F8010" t="s">
        <v>2009</v>
      </c>
    </row>
    <row r="8011" spans="1:6">
      <c r="A8011" t="s">
        <v>13</v>
      </c>
      <c r="B8011" t="s">
        <v>360</v>
      </c>
      <c r="C8011" t="s">
        <v>843</v>
      </c>
      <c r="D8011" t="s">
        <v>1997</v>
      </c>
      <c r="E8011" t="s">
        <v>1008</v>
      </c>
      <c r="F8011" t="s">
        <v>2010</v>
      </c>
    </row>
    <row r="8012" spans="1:6">
      <c r="A8012" t="s">
        <v>13</v>
      </c>
      <c r="B8012" t="s">
        <v>360</v>
      </c>
      <c r="C8012" t="s">
        <v>843</v>
      </c>
      <c r="D8012" t="s">
        <v>1997</v>
      </c>
      <c r="E8012" t="s">
        <v>1035</v>
      </c>
      <c r="F8012" t="s">
        <v>1292</v>
      </c>
    </row>
    <row r="8013" spans="1:6">
      <c r="A8013" t="s">
        <v>13</v>
      </c>
      <c r="B8013" t="s">
        <v>360</v>
      </c>
      <c r="C8013" t="s">
        <v>843</v>
      </c>
      <c r="D8013" t="s">
        <v>1997</v>
      </c>
      <c r="E8013" t="s">
        <v>1099</v>
      </c>
      <c r="F8013">
        <v>5153</v>
      </c>
    </row>
    <row r="8014" spans="1:6">
      <c r="A8014" t="s">
        <v>13</v>
      </c>
      <c r="B8014" t="s">
        <v>360</v>
      </c>
      <c r="C8014" t="s">
        <v>843</v>
      </c>
      <c r="D8014" t="s">
        <v>1997</v>
      </c>
      <c r="E8014" t="s">
        <v>1100</v>
      </c>
      <c r="F8014">
        <v>48887.51859338581</v>
      </c>
    </row>
    <row r="8015" spans="1:6">
      <c r="A8015" t="s">
        <v>13</v>
      </c>
      <c r="B8015" t="s">
        <v>360</v>
      </c>
      <c r="C8015" t="s">
        <v>843</v>
      </c>
      <c r="D8015" t="s">
        <v>1997</v>
      </c>
      <c r="E8015" t="s">
        <v>1101</v>
      </c>
      <c r="F8015">
        <v>6118</v>
      </c>
    </row>
    <row r="8016" spans="1:6">
      <c r="A8016" t="s">
        <v>13</v>
      </c>
      <c r="B8016" t="s">
        <v>360</v>
      </c>
      <c r="C8016" t="s">
        <v>843</v>
      </c>
      <c r="D8016" t="s">
        <v>1997</v>
      </c>
      <c r="E8016" t="s">
        <v>1512</v>
      </c>
      <c r="F8016">
        <v>56457.74639599891</v>
      </c>
    </row>
    <row r="8017" spans="1:6">
      <c r="A8017" t="s">
        <v>13</v>
      </c>
      <c r="B8017" t="s">
        <v>360</v>
      </c>
      <c r="C8017" t="s">
        <v>843</v>
      </c>
      <c r="D8017" t="s">
        <v>1997</v>
      </c>
      <c r="E8017" t="s">
        <v>1038</v>
      </c>
      <c r="F8017" t="s">
        <v>1284</v>
      </c>
    </row>
    <row r="8018" spans="1:6">
      <c r="A8018" t="s">
        <v>13</v>
      </c>
      <c r="B8018" t="s">
        <v>360</v>
      </c>
      <c r="C8018" t="s">
        <v>843</v>
      </c>
      <c r="D8018" t="s">
        <v>1997</v>
      </c>
      <c r="E8018" t="s">
        <v>1039</v>
      </c>
      <c r="F8018" t="s">
        <v>377</v>
      </c>
    </row>
    <row r="8019" spans="1:6">
      <c r="A8019" t="s">
        <v>13</v>
      </c>
      <c r="B8019" t="s">
        <v>360</v>
      </c>
      <c r="C8019" t="s">
        <v>843</v>
      </c>
      <c r="D8019" t="s">
        <v>1997</v>
      </c>
      <c r="E8019" t="s">
        <v>1040</v>
      </c>
      <c r="F8019">
        <v>1738</v>
      </c>
    </row>
    <row r="8020" spans="1:6">
      <c r="A8020" t="s">
        <v>13</v>
      </c>
      <c r="B8020" t="s">
        <v>360</v>
      </c>
      <c r="C8020" t="s">
        <v>843</v>
      </c>
      <c r="D8020" t="s">
        <v>1997</v>
      </c>
      <c r="E8020" t="s">
        <v>1041</v>
      </c>
      <c r="F8020">
        <v>697.0822685838494</v>
      </c>
    </row>
    <row r="8021" spans="1:6">
      <c r="A8021" t="s">
        <v>13</v>
      </c>
      <c r="B8021" t="s">
        <v>360</v>
      </c>
      <c r="C8021" t="s">
        <v>843</v>
      </c>
      <c r="D8021" t="s">
        <v>1997</v>
      </c>
      <c r="E8021" t="s">
        <v>1042</v>
      </c>
      <c r="F8021">
        <v>2368</v>
      </c>
    </row>
    <row r="8022" spans="1:6">
      <c r="A8022" t="s">
        <v>13</v>
      </c>
      <c r="B8022" t="s">
        <v>360</v>
      </c>
      <c r="C8022" t="s">
        <v>843</v>
      </c>
      <c r="D8022" t="s">
        <v>1997</v>
      </c>
      <c r="E8022" t="s">
        <v>1043</v>
      </c>
      <c r="F8022">
        <v>867.5120133372491</v>
      </c>
    </row>
    <row r="8023" spans="1:6">
      <c r="A8023" t="s">
        <v>13</v>
      </c>
      <c r="B8023" t="s">
        <v>360</v>
      </c>
      <c r="C8023" t="s">
        <v>843</v>
      </c>
      <c r="D8023" t="s">
        <v>1997</v>
      </c>
      <c r="E8023" t="s">
        <v>1053</v>
      </c>
      <c r="F8023" t="s">
        <v>379</v>
      </c>
    </row>
    <row r="8024" spans="1:6">
      <c r="A8024" t="s">
        <v>13</v>
      </c>
      <c r="B8024" t="s">
        <v>360</v>
      </c>
      <c r="C8024" t="s">
        <v>843</v>
      </c>
      <c r="D8024" t="s">
        <v>1997</v>
      </c>
      <c r="E8024" t="s">
        <v>1108</v>
      </c>
      <c r="F8024">
        <v>2794</v>
      </c>
    </row>
    <row r="8025" spans="1:6">
      <c r="A8025" t="s">
        <v>13</v>
      </c>
      <c r="B8025" t="s">
        <v>360</v>
      </c>
      <c r="C8025" t="s">
        <v>843</v>
      </c>
      <c r="D8025" t="s">
        <v>1997</v>
      </c>
      <c r="E8025" t="s">
        <v>1109</v>
      </c>
      <c r="F8025">
        <v>10283.9429421412</v>
      </c>
    </row>
    <row r="8026" spans="1:6">
      <c r="A8026" t="s">
        <v>13</v>
      </c>
      <c r="B8026" t="s">
        <v>360</v>
      </c>
      <c r="C8026" t="s">
        <v>843</v>
      </c>
      <c r="D8026" t="s">
        <v>1997</v>
      </c>
      <c r="E8026" t="s">
        <v>1110</v>
      </c>
      <c r="F8026">
        <v>2912</v>
      </c>
    </row>
    <row r="8027" spans="1:6">
      <c r="A8027" t="s">
        <v>13</v>
      </c>
      <c r="B8027" t="s">
        <v>360</v>
      </c>
      <c r="C8027" t="s">
        <v>843</v>
      </c>
      <c r="D8027" t="s">
        <v>1997</v>
      </c>
      <c r="E8027" t="s">
        <v>1521</v>
      </c>
      <c r="F8027">
        <v>9418.825144650384</v>
      </c>
    </row>
    <row r="8028" spans="1:6">
      <c r="A8028" t="s">
        <v>13</v>
      </c>
      <c r="B8028" t="s">
        <v>360</v>
      </c>
      <c r="C8028" t="s">
        <v>843</v>
      </c>
      <c r="D8028" t="s">
        <v>1997</v>
      </c>
      <c r="E8028" t="s">
        <v>1113</v>
      </c>
      <c r="F8028" t="s">
        <v>381</v>
      </c>
    </row>
    <row r="8029" spans="1:6">
      <c r="A8029" t="s">
        <v>13</v>
      </c>
      <c r="B8029" t="s">
        <v>360</v>
      </c>
      <c r="C8029" t="s">
        <v>843</v>
      </c>
      <c r="D8029" t="s">
        <v>1997</v>
      </c>
      <c r="E8029" t="s">
        <v>1114</v>
      </c>
      <c r="F8029">
        <v>554</v>
      </c>
    </row>
    <row r="8030" spans="1:6">
      <c r="A8030" t="s">
        <v>13</v>
      </c>
      <c r="B8030" t="s">
        <v>360</v>
      </c>
      <c r="C8030" t="s">
        <v>843</v>
      </c>
      <c r="D8030" t="s">
        <v>1997</v>
      </c>
      <c r="E8030" t="s">
        <v>1115</v>
      </c>
      <c r="F8030">
        <v>15916.02845264884</v>
      </c>
    </row>
    <row r="8031" spans="1:6">
      <c r="A8031" t="s">
        <v>13</v>
      </c>
      <c r="B8031" t="s">
        <v>360</v>
      </c>
      <c r="C8031" t="s">
        <v>843</v>
      </c>
      <c r="D8031" t="s">
        <v>1997</v>
      </c>
      <c r="E8031" t="s">
        <v>1116</v>
      </c>
      <c r="F8031">
        <v>761</v>
      </c>
    </row>
    <row r="8032" spans="1:6">
      <c r="A8032" t="s">
        <v>13</v>
      </c>
      <c r="B8032" t="s">
        <v>360</v>
      </c>
      <c r="C8032" t="s">
        <v>843</v>
      </c>
      <c r="D8032" t="s">
        <v>1997</v>
      </c>
      <c r="E8032" t="s">
        <v>1857</v>
      </c>
      <c r="F8032">
        <v>20882.90673727569</v>
      </c>
    </row>
    <row r="8033" spans="1:6">
      <c r="A8033" t="s">
        <v>13</v>
      </c>
      <c r="B8033" t="s">
        <v>360</v>
      </c>
      <c r="C8033" t="s">
        <v>843</v>
      </c>
      <c r="D8033" t="s">
        <v>1997</v>
      </c>
      <c r="E8033" t="s">
        <v>1118</v>
      </c>
      <c r="F8033" t="s">
        <v>383</v>
      </c>
    </row>
    <row r="8034" spans="1:6">
      <c r="A8034" t="s">
        <v>13</v>
      </c>
      <c r="B8034" t="s">
        <v>360</v>
      </c>
      <c r="C8034" t="s">
        <v>843</v>
      </c>
      <c r="D8034" t="s">
        <v>1997</v>
      </c>
      <c r="E8034" t="s">
        <v>1119</v>
      </c>
      <c r="F8034">
        <v>65</v>
      </c>
    </row>
    <row r="8035" spans="1:6">
      <c r="A8035" t="s">
        <v>13</v>
      </c>
      <c r="B8035" t="s">
        <v>360</v>
      </c>
      <c r="C8035" t="s">
        <v>843</v>
      </c>
      <c r="D8035" t="s">
        <v>1997</v>
      </c>
      <c r="E8035" t="s">
        <v>1120</v>
      </c>
      <c r="F8035">
        <v>18805.21949731111</v>
      </c>
    </row>
    <row r="8036" spans="1:6">
      <c r="A8036" t="s">
        <v>13</v>
      </c>
      <c r="B8036" t="s">
        <v>360</v>
      </c>
      <c r="C8036" t="s">
        <v>843</v>
      </c>
      <c r="D8036" t="s">
        <v>1997</v>
      </c>
      <c r="E8036" t="s">
        <v>1121</v>
      </c>
      <c r="F8036">
        <v>73</v>
      </c>
    </row>
    <row r="8037" spans="1:6">
      <c r="A8037" t="s">
        <v>13</v>
      </c>
      <c r="B8037" t="s">
        <v>360</v>
      </c>
      <c r="C8037" t="s">
        <v>843</v>
      </c>
      <c r="D8037" t="s">
        <v>1997</v>
      </c>
      <c r="E8037" t="s">
        <v>1858</v>
      </c>
      <c r="F8037">
        <v>19036.30675688929</v>
      </c>
    </row>
    <row r="8038" spans="1:6">
      <c r="A8038" t="s">
        <v>13</v>
      </c>
      <c r="B8038" t="s">
        <v>360</v>
      </c>
      <c r="C8038" t="s">
        <v>843</v>
      </c>
      <c r="D8038" t="s">
        <v>1997</v>
      </c>
      <c r="E8038" t="s">
        <v>1124</v>
      </c>
      <c r="F8038" t="s">
        <v>385</v>
      </c>
    </row>
    <row r="8039" spans="1:6">
      <c r="A8039" t="s">
        <v>13</v>
      </c>
      <c r="B8039" t="s">
        <v>360</v>
      </c>
      <c r="C8039" t="s">
        <v>843</v>
      </c>
      <c r="D8039" t="s">
        <v>1997</v>
      </c>
      <c r="E8039" t="s">
        <v>1126</v>
      </c>
      <c r="F8039">
        <v>2</v>
      </c>
    </row>
    <row r="8040" spans="1:6">
      <c r="A8040" t="s">
        <v>13</v>
      </c>
      <c r="B8040" t="s">
        <v>360</v>
      </c>
      <c r="C8040" t="s">
        <v>843</v>
      </c>
      <c r="D8040" t="s">
        <v>1997</v>
      </c>
      <c r="E8040" t="s">
        <v>1127</v>
      </c>
      <c r="F8040">
        <v>3185.245432701476</v>
      </c>
    </row>
    <row r="8041" spans="1:6">
      <c r="A8041" t="s">
        <v>13</v>
      </c>
      <c r="B8041" t="s">
        <v>360</v>
      </c>
      <c r="C8041" t="s">
        <v>843</v>
      </c>
      <c r="D8041" t="s">
        <v>1997</v>
      </c>
      <c r="E8041" t="s">
        <v>1128</v>
      </c>
      <c r="F8041">
        <v>4</v>
      </c>
    </row>
    <row r="8042" spans="1:6">
      <c r="A8042" t="s">
        <v>13</v>
      </c>
      <c r="B8042" t="s">
        <v>360</v>
      </c>
      <c r="C8042" t="s">
        <v>843</v>
      </c>
      <c r="D8042" t="s">
        <v>1997</v>
      </c>
      <c r="E8042" t="s">
        <v>1355</v>
      </c>
      <c r="F8042">
        <v>6252.19574384623</v>
      </c>
    </row>
    <row r="8043" spans="1:6">
      <c r="A8043" t="s">
        <v>13</v>
      </c>
      <c r="B8043" t="s">
        <v>360</v>
      </c>
      <c r="C8043" t="s">
        <v>843</v>
      </c>
      <c r="D8043" t="s">
        <v>1997</v>
      </c>
      <c r="E8043" t="s">
        <v>1057</v>
      </c>
      <c r="F8043" t="s">
        <v>1292</v>
      </c>
    </row>
    <row r="8044" spans="1:6">
      <c r="A8044" t="s">
        <v>13</v>
      </c>
      <c r="B8044" t="s">
        <v>360</v>
      </c>
      <c r="C8044" t="s">
        <v>843</v>
      </c>
      <c r="D8044" t="s">
        <v>1997</v>
      </c>
      <c r="E8044" t="s">
        <v>1058</v>
      </c>
      <c r="F8044">
        <v>5153</v>
      </c>
    </row>
    <row r="8045" spans="1:6">
      <c r="A8045" t="s">
        <v>13</v>
      </c>
      <c r="B8045" t="s">
        <v>360</v>
      </c>
      <c r="C8045" t="s">
        <v>843</v>
      </c>
      <c r="D8045" t="s">
        <v>1997</v>
      </c>
      <c r="E8045" t="s">
        <v>1059</v>
      </c>
      <c r="F8045">
        <v>48887.51859338648</v>
      </c>
    </row>
    <row r="8046" spans="1:6">
      <c r="A8046" t="s">
        <v>13</v>
      </c>
      <c r="B8046" t="s">
        <v>360</v>
      </c>
      <c r="C8046" t="s">
        <v>843</v>
      </c>
      <c r="D8046" t="s">
        <v>1997</v>
      </c>
      <c r="E8046" t="s">
        <v>1060</v>
      </c>
      <c r="F8046">
        <v>6118</v>
      </c>
    </row>
    <row r="8047" spans="1:6">
      <c r="A8047" t="s">
        <v>13</v>
      </c>
      <c r="B8047" t="s">
        <v>360</v>
      </c>
      <c r="C8047" t="s">
        <v>843</v>
      </c>
      <c r="D8047" t="s">
        <v>1997</v>
      </c>
      <c r="E8047" t="s">
        <v>1061</v>
      </c>
      <c r="F8047">
        <v>56457.74639599884</v>
      </c>
    </row>
    <row r="8048" spans="1:6">
      <c r="A8048" t="s">
        <v>13</v>
      </c>
      <c r="B8048" t="s">
        <v>360</v>
      </c>
      <c r="C8048" t="s">
        <v>843</v>
      </c>
      <c r="D8048" t="s">
        <v>1997</v>
      </c>
      <c r="E8048" t="s">
        <v>1073</v>
      </c>
      <c r="F8048" t="s">
        <v>1293</v>
      </c>
    </row>
    <row r="8049" spans="1:6">
      <c r="A8049" t="s">
        <v>13</v>
      </c>
      <c r="B8049" t="s">
        <v>360</v>
      </c>
      <c r="C8049" t="s">
        <v>843</v>
      </c>
      <c r="D8049" t="s">
        <v>1997</v>
      </c>
      <c r="E8049" t="s">
        <v>1074</v>
      </c>
      <c r="F8049">
        <v>2022</v>
      </c>
    </row>
    <row r="8050" spans="1:6">
      <c r="A8050" t="s">
        <v>13</v>
      </c>
      <c r="B8050" t="s">
        <v>360</v>
      </c>
      <c r="C8050" t="s">
        <v>843</v>
      </c>
      <c r="D8050" t="s">
        <v>1997</v>
      </c>
      <c r="E8050" t="s">
        <v>1296</v>
      </c>
      <c r="F8050">
        <v>0</v>
      </c>
    </row>
    <row r="8051" spans="1:6">
      <c r="A8051" t="s">
        <v>13</v>
      </c>
      <c r="B8051" t="s">
        <v>360</v>
      </c>
      <c r="C8051" t="s">
        <v>843</v>
      </c>
      <c r="D8051" t="s">
        <v>1997</v>
      </c>
      <c r="E8051" t="s">
        <v>1297</v>
      </c>
      <c r="F8051">
        <v>0</v>
      </c>
    </row>
    <row r="8052" spans="1:6">
      <c r="A8052" t="s">
        <v>13</v>
      </c>
      <c r="B8052" t="s">
        <v>360</v>
      </c>
      <c r="C8052" t="s">
        <v>843</v>
      </c>
      <c r="D8052" t="s">
        <v>1997</v>
      </c>
      <c r="E8052" t="s">
        <v>1364</v>
      </c>
      <c r="F8052">
        <v>0</v>
      </c>
    </row>
    <row r="8053" spans="1:6">
      <c r="A8053" t="s">
        <v>13</v>
      </c>
      <c r="B8053" t="s">
        <v>360</v>
      </c>
      <c r="C8053" t="s">
        <v>843</v>
      </c>
      <c r="D8053" t="s">
        <v>1997</v>
      </c>
      <c r="E8053" t="s">
        <v>1365</v>
      </c>
      <c r="F8053">
        <v>0</v>
      </c>
    </row>
    <row r="8054" spans="1:6">
      <c r="A8054" t="s">
        <v>13</v>
      </c>
      <c r="B8054" t="s">
        <v>360</v>
      </c>
      <c r="C8054" t="s">
        <v>843</v>
      </c>
      <c r="D8054" t="s">
        <v>1997</v>
      </c>
      <c r="E8054" t="s">
        <v>1076</v>
      </c>
      <c r="F8054">
        <v>2023</v>
      </c>
    </row>
    <row r="8055" spans="1:6">
      <c r="A8055" t="s">
        <v>13</v>
      </c>
      <c r="B8055" t="s">
        <v>360</v>
      </c>
      <c r="C8055" t="s">
        <v>843</v>
      </c>
      <c r="D8055" t="s">
        <v>1997</v>
      </c>
      <c r="E8055" t="s">
        <v>1077</v>
      </c>
      <c r="F8055">
        <v>0</v>
      </c>
    </row>
    <row r="8056" spans="1:6">
      <c r="A8056" t="s">
        <v>13</v>
      </c>
      <c r="B8056" t="s">
        <v>360</v>
      </c>
      <c r="C8056" t="s">
        <v>843</v>
      </c>
      <c r="D8056" t="s">
        <v>1997</v>
      </c>
      <c r="E8056" t="s">
        <v>1078</v>
      </c>
      <c r="F8056">
        <v>0</v>
      </c>
    </row>
    <row r="8057" spans="1:6">
      <c r="A8057" t="s">
        <v>13</v>
      </c>
      <c r="B8057" t="s">
        <v>360</v>
      </c>
      <c r="C8057" t="s">
        <v>843</v>
      </c>
      <c r="D8057" t="s">
        <v>1997</v>
      </c>
      <c r="E8057" t="s">
        <v>1079</v>
      </c>
      <c r="F8057">
        <v>0</v>
      </c>
    </row>
    <row r="8058" spans="1:6">
      <c r="A8058" t="s">
        <v>13</v>
      </c>
      <c r="B8058" t="s">
        <v>360</v>
      </c>
      <c r="C8058" t="s">
        <v>843</v>
      </c>
      <c r="D8058" t="s">
        <v>1997</v>
      </c>
      <c r="E8058" t="s">
        <v>1080</v>
      </c>
      <c r="F8058">
        <v>0</v>
      </c>
    </row>
    <row r="8059" spans="1:6">
      <c r="A8059" t="s">
        <v>13</v>
      </c>
      <c r="B8059" t="s">
        <v>360</v>
      </c>
      <c r="C8059" t="s">
        <v>843</v>
      </c>
      <c r="D8059" t="s">
        <v>1997</v>
      </c>
      <c r="E8059" t="s">
        <v>1081</v>
      </c>
      <c r="F8059" t="s">
        <v>2011</v>
      </c>
    </row>
    <row r="8060" spans="1:6">
      <c r="A8060" t="s">
        <v>13</v>
      </c>
      <c r="B8060" t="s">
        <v>360</v>
      </c>
      <c r="C8060" t="s">
        <v>843</v>
      </c>
      <c r="D8060" t="s">
        <v>1997</v>
      </c>
      <c r="E8060" t="s">
        <v>1090</v>
      </c>
      <c r="F8060">
        <v>2024</v>
      </c>
    </row>
    <row r="8061" spans="1:6">
      <c r="A8061" t="s">
        <v>13</v>
      </c>
      <c r="B8061" t="s">
        <v>360</v>
      </c>
      <c r="C8061" t="s">
        <v>843</v>
      </c>
      <c r="D8061" t="s">
        <v>1997</v>
      </c>
      <c r="E8061" t="s">
        <v>1139</v>
      </c>
      <c r="F8061">
        <v>10</v>
      </c>
    </row>
    <row r="8062" spans="1:6">
      <c r="A8062" t="s">
        <v>13</v>
      </c>
      <c r="B8062" t="s">
        <v>360</v>
      </c>
      <c r="C8062" t="s">
        <v>843</v>
      </c>
      <c r="D8062" t="s">
        <v>1997</v>
      </c>
      <c r="E8062" t="s">
        <v>1140</v>
      </c>
      <c r="F8062">
        <v>416.6730233799916</v>
      </c>
    </row>
    <row r="8063" spans="1:6">
      <c r="A8063" t="s">
        <v>13</v>
      </c>
      <c r="B8063" t="s">
        <v>360</v>
      </c>
      <c r="C8063" t="s">
        <v>843</v>
      </c>
      <c r="D8063" t="s">
        <v>1997</v>
      </c>
      <c r="E8063" t="s">
        <v>1141</v>
      </c>
      <c r="F8063">
        <v>55</v>
      </c>
    </row>
    <row r="8064" spans="1:6">
      <c r="A8064" t="s">
        <v>13</v>
      </c>
      <c r="B8064" t="s">
        <v>360</v>
      </c>
      <c r="C8064" t="s">
        <v>843</v>
      </c>
      <c r="D8064" t="s">
        <v>1997</v>
      </c>
      <c r="E8064" t="s">
        <v>1423</v>
      </c>
      <c r="F8064">
        <v>790.9110522702754</v>
      </c>
    </row>
    <row r="8065" spans="1:6">
      <c r="A8065" t="s">
        <v>13</v>
      </c>
      <c r="B8065" t="s">
        <v>360</v>
      </c>
      <c r="C8065" t="s">
        <v>843</v>
      </c>
      <c r="D8065" t="s">
        <v>1997</v>
      </c>
      <c r="E8065" t="s">
        <v>1538</v>
      </c>
      <c r="F8065" t="s">
        <v>2012</v>
      </c>
    </row>
    <row r="8066" spans="1:6">
      <c r="A8066" t="s">
        <v>13</v>
      </c>
      <c r="B8066" t="s">
        <v>360</v>
      </c>
      <c r="C8066" t="s">
        <v>843</v>
      </c>
      <c r="D8066" t="s">
        <v>1997</v>
      </c>
      <c r="E8066" t="s">
        <v>1539</v>
      </c>
      <c r="F8066" t="s">
        <v>2013</v>
      </c>
    </row>
    <row r="8067" spans="1:6">
      <c r="A8067" t="s">
        <v>13</v>
      </c>
      <c r="B8067" t="s">
        <v>360</v>
      </c>
      <c r="C8067" t="s">
        <v>843</v>
      </c>
      <c r="D8067" t="s">
        <v>1997</v>
      </c>
      <c r="E8067" t="s">
        <v>1298</v>
      </c>
      <c r="F8067">
        <v>2025</v>
      </c>
    </row>
    <row r="8068" spans="1:6">
      <c r="A8068" t="s">
        <v>13</v>
      </c>
      <c r="B8068" t="s">
        <v>360</v>
      </c>
      <c r="C8068" t="s">
        <v>843</v>
      </c>
      <c r="D8068" t="s">
        <v>1997</v>
      </c>
      <c r="E8068" t="s">
        <v>1299</v>
      </c>
      <c r="F8068">
        <v>61</v>
      </c>
    </row>
    <row r="8069" spans="1:6">
      <c r="A8069" t="s">
        <v>13</v>
      </c>
      <c r="B8069" t="s">
        <v>360</v>
      </c>
      <c r="C8069" t="s">
        <v>843</v>
      </c>
      <c r="D8069" t="s">
        <v>1997</v>
      </c>
      <c r="E8069" t="s">
        <v>1300</v>
      </c>
      <c r="F8069">
        <v>1682.62138144094</v>
      </c>
    </row>
    <row r="8070" spans="1:6">
      <c r="A8070" t="s">
        <v>13</v>
      </c>
      <c r="B8070" t="s">
        <v>360</v>
      </c>
      <c r="C8070" t="s">
        <v>843</v>
      </c>
      <c r="D8070" t="s">
        <v>1997</v>
      </c>
      <c r="E8070" t="s">
        <v>1426</v>
      </c>
      <c r="F8070">
        <v>6063</v>
      </c>
    </row>
    <row r="8071" spans="1:6">
      <c r="A8071" t="s">
        <v>13</v>
      </c>
      <c r="B8071" t="s">
        <v>360</v>
      </c>
      <c r="C8071" t="s">
        <v>843</v>
      </c>
      <c r="D8071" t="s">
        <v>1997</v>
      </c>
      <c r="E8071" t="s">
        <v>1400</v>
      </c>
      <c r="F8071">
        <v>55666.83534372851</v>
      </c>
    </row>
    <row r="8072" spans="1:6">
      <c r="A8072" t="s">
        <v>13</v>
      </c>
      <c r="B8072" t="s">
        <v>360</v>
      </c>
      <c r="C8072" t="s">
        <v>843</v>
      </c>
      <c r="D8072" t="s">
        <v>1997</v>
      </c>
      <c r="E8072" t="s">
        <v>1846</v>
      </c>
      <c r="F8072">
        <v>0.0116050997057862</v>
      </c>
    </row>
    <row r="8073" spans="1:6">
      <c r="A8073" t="s">
        <v>13</v>
      </c>
      <c r="B8073" t="s">
        <v>360</v>
      </c>
      <c r="C8073" t="s">
        <v>843</v>
      </c>
      <c r="D8073" t="s">
        <v>1997</v>
      </c>
      <c r="E8073" t="s">
        <v>1847</v>
      </c>
      <c r="F8073">
        <v>0.03718346088588671</v>
      </c>
    </row>
    <row r="8074" spans="1:6">
      <c r="A8074" t="s">
        <v>13</v>
      </c>
      <c r="B8074" t="s">
        <v>360</v>
      </c>
      <c r="C8074" t="s">
        <v>843</v>
      </c>
      <c r="D8074" t="s">
        <v>1997</v>
      </c>
      <c r="E8074" t="s">
        <v>1301</v>
      </c>
      <c r="F8074">
        <v>2026</v>
      </c>
    </row>
    <row r="8075" spans="1:6">
      <c r="A8075" t="s">
        <v>13</v>
      </c>
      <c r="B8075" t="s">
        <v>360</v>
      </c>
      <c r="C8075" t="s">
        <v>843</v>
      </c>
      <c r="D8075" t="s">
        <v>1997</v>
      </c>
      <c r="E8075" t="s">
        <v>1302</v>
      </c>
      <c r="F8075">
        <v>5082</v>
      </c>
    </row>
    <row r="8076" spans="1:6">
      <c r="A8076" t="s">
        <v>13</v>
      </c>
      <c r="B8076" t="s">
        <v>360</v>
      </c>
      <c r="C8076" t="s">
        <v>843</v>
      </c>
      <c r="D8076" t="s">
        <v>1997</v>
      </c>
      <c r="E8076" t="s">
        <v>1303</v>
      </c>
      <c r="F8076">
        <v>46788.22418856551</v>
      </c>
    </row>
    <row r="8077" spans="1:6">
      <c r="A8077" t="s">
        <v>13</v>
      </c>
      <c r="B8077" t="s">
        <v>360</v>
      </c>
      <c r="C8077" t="s">
        <v>843</v>
      </c>
      <c r="D8077" t="s">
        <v>1997</v>
      </c>
      <c r="E8077" t="s">
        <v>1429</v>
      </c>
      <c r="F8077">
        <v>0</v>
      </c>
    </row>
    <row r="8078" spans="1:6">
      <c r="A8078" t="s">
        <v>13</v>
      </c>
      <c r="B8078" t="s">
        <v>360</v>
      </c>
      <c r="C8078" t="s">
        <v>843</v>
      </c>
      <c r="D8078" t="s">
        <v>1997</v>
      </c>
      <c r="E8078" t="s">
        <v>1145</v>
      </c>
      <c r="F8078">
        <v>0</v>
      </c>
    </row>
    <row r="8079" spans="1:6">
      <c r="A8079" t="s">
        <v>13</v>
      </c>
      <c r="B8079" t="s">
        <v>360</v>
      </c>
      <c r="C8079" t="s">
        <v>843</v>
      </c>
      <c r="D8079" t="s">
        <v>1997</v>
      </c>
      <c r="E8079" t="s">
        <v>1392</v>
      </c>
      <c r="F8079" t="s">
        <v>1292</v>
      </c>
    </row>
    <row r="8080" spans="1:6">
      <c r="A8080" t="s">
        <v>13</v>
      </c>
      <c r="B8080" t="s">
        <v>360</v>
      </c>
      <c r="C8080" t="s">
        <v>843</v>
      </c>
      <c r="D8080" t="s">
        <v>1997</v>
      </c>
      <c r="E8080" t="s">
        <v>1393</v>
      </c>
      <c r="F8080">
        <v>5153</v>
      </c>
    </row>
    <row r="8081" spans="1:6">
      <c r="A8081" t="s">
        <v>13</v>
      </c>
      <c r="B8081" t="s">
        <v>360</v>
      </c>
      <c r="C8081" t="s">
        <v>843</v>
      </c>
      <c r="D8081" t="s">
        <v>1997</v>
      </c>
      <c r="E8081" t="s">
        <v>1394</v>
      </c>
      <c r="F8081">
        <v>48887.51859338644</v>
      </c>
    </row>
    <row r="8082" spans="1:6">
      <c r="A8082" t="s">
        <v>13</v>
      </c>
      <c r="B8082" t="s">
        <v>360</v>
      </c>
      <c r="C8082" t="s">
        <v>843</v>
      </c>
      <c r="D8082" t="s">
        <v>1997</v>
      </c>
      <c r="E8082" t="s">
        <v>1432</v>
      </c>
      <c r="F8082">
        <v>6118</v>
      </c>
    </row>
    <row r="8083" spans="1:6">
      <c r="A8083" t="s">
        <v>13</v>
      </c>
      <c r="B8083" t="s">
        <v>360</v>
      </c>
      <c r="C8083" t="s">
        <v>843</v>
      </c>
      <c r="D8083" t="s">
        <v>1997</v>
      </c>
      <c r="E8083" t="s">
        <v>1434</v>
      </c>
      <c r="F8083">
        <v>56457.74639599879</v>
      </c>
    </row>
    <row r="8084" spans="1:6">
      <c r="A8084" t="s">
        <v>13</v>
      </c>
      <c r="B8084" t="s">
        <v>360</v>
      </c>
      <c r="C8084" t="s">
        <v>843</v>
      </c>
      <c r="D8084" t="s">
        <v>1997</v>
      </c>
      <c r="E8084" t="s">
        <v>1555</v>
      </c>
      <c r="F8084" t="s">
        <v>2014</v>
      </c>
    </row>
    <row r="8085" spans="1:6">
      <c r="A8085" t="s">
        <v>13</v>
      </c>
      <c r="B8085" t="s">
        <v>360</v>
      </c>
      <c r="C8085" t="s">
        <v>843</v>
      </c>
      <c r="D8085" t="s">
        <v>1997</v>
      </c>
      <c r="E8085" t="s">
        <v>1173</v>
      </c>
      <c r="F8085" t="s">
        <v>2015</v>
      </c>
    </row>
    <row r="8086" spans="1:6">
      <c r="A8086" t="s">
        <v>13</v>
      </c>
      <c r="B8086" t="s">
        <v>360</v>
      </c>
      <c r="C8086" t="s">
        <v>843</v>
      </c>
      <c r="D8086" t="s">
        <v>1997</v>
      </c>
      <c r="E8086" t="s">
        <v>1176</v>
      </c>
      <c r="F8086">
        <v>2026</v>
      </c>
    </row>
    <row r="8087" spans="1:6">
      <c r="A8087" t="s">
        <v>13</v>
      </c>
      <c r="B8087" t="s">
        <v>360</v>
      </c>
      <c r="C8087" t="s">
        <v>843</v>
      </c>
      <c r="D8087" t="s">
        <v>1997</v>
      </c>
      <c r="E8087" t="s">
        <v>1178</v>
      </c>
      <c r="F8087">
        <v>2025</v>
      </c>
    </row>
    <row r="8088" spans="1:6">
      <c r="A8088" t="s">
        <v>13</v>
      </c>
      <c r="B8088" t="s">
        <v>360</v>
      </c>
      <c r="C8088" t="s">
        <v>843</v>
      </c>
      <c r="D8088" t="s">
        <v>1997</v>
      </c>
      <c r="E8088" t="s">
        <v>1454</v>
      </c>
      <c r="F8088">
        <v>13040</v>
      </c>
    </row>
    <row r="8089" spans="1:6">
      <c r="A8089" t="s">
        <v>13</v>
      </c>
      <c r="B8089" t="s">
        <v>360</v>
      </c>
      <c r="C8089" t="s">
        <v>843</v>
      </c>
      <c r="D8089" t="s">
        <v>1997</v>
      </c>
      <c r="E8089" t="s">
        <v>1455</v>
      </c>
      <c r="F8089" t="s">
        <v>1282</v>
      </c>
    </row>
    <row r="8090" spans="1:6">
      <c r="A8090" t="s">
        <v>13</v>
      </c>
      <c r="B8090" t="s">
        <v>360</v>
      </c>
      <c r="C8090" t="s">
        <v>843</v>
      </c>
      <c r="D8090" t="s">
        <v>1997</v>
      </c>
      <c r="E8090" t="s">
        <v>1456</v>
      </c>
      <c r="F8090">
        <v>23573</v>
      </c>
    </row>
    <row r="8091" spans="1:6">
      <c r="A8091" t="s">
        <v>13</v>
      </c>
      <c r="B8091" t="s">
        <v>360</v>
      </c>
      <c r="C8091" t="s">
        <v>843</v>
      </c>
      <c r="D8091" t="s">
        <v>1997</v>
      </c>
      <c r="E8091" t="s">
        <v>1458</v>
      </c>
      <c r="F8091" t="s">
        <v>1282</v>
      </c>
    </row>
    <row r="8092" spans="1:6">
      <c r="A8092" t="s">
        <v>13</v>
      </c>
      <c r="B8092" t="s">
        <v>360</v>
      </c>
      <c r="C8092" t="s">
        <v>843</v>
      </c>
      <c r="D8092" t="s">
        <v>1997</v>
      </c>
      <c r="E8092" t="s">
        <v>1186</v>
      </c>
      <c r="F8092">
        <v>34954.92963118349</v>
      </c>
    </row>
    <row r="8093" spans="1:6">
      <c r="A8093" t="s">
        <v>13</v>
      </c>
      <c r="B8093" t="s">
        <v>360</v>
      </c>
      <c r="C8093" t="s">
        <v>843</v>
      </c>
      <c r="D8093" t="s">
        <v>1997</v>
      </c>
      <c r="E8093" t="s">
        <v>1188</v>
      </c>
      <c r="F8093">
        <v>124839.0703147985</v>
      </c>
    </row>
    <row r="8094" spans="1:6">
      <c r="A8094" t="s">
        <v>13</v>
      </c>
      <c r="B8094" t="s">
        <v>360</v>
      </c>
      <c r="C8094" t="s">
        <v>843</v>
      </c>
      <c r="D8094" t="s">
        <v>1997</v>
      </c>
      <c r="E8094" t="s">
        <v>1191</v>
      </c>
      <c r="F8094" t="s">
        <v>2016</v>
      </c>
    </row>
    <row r="8095" spans="1:6">
      <c r="A8095" t="s">
        <v>13</v>
      </c>
      <c r="B8095" t="s">
        <v>234</v>
      </c>
      <c r="C8095" t="s">
        <v>846</v>
      </c>
      <c r="D8095" t="s">
        <v>2017</v>
      </c>
      <c r="E8095" t="s">
        <v>2018</v>
      </c>
      <c r="F8095">
        <v>2025</v>
      </c>
    </row>
    <row r="8096" spans="1:6">
      <c r="A8096" t="s">
        <v>13</v>
      </c>
      <c r="B8096" t="s">
        <v>234</v>
      </c>
      <c r="C8096" t="s">
        <v>846</v>
      </c>
      <c r="D8096" t="s">
        <v>2017</v>
      </c>
      <c r="E8096" t="s">
        <v>2019</v>
      </c>
      <c r="F8096">
        <v>2025</v>
      </c>
    </row>
    <row r="8097" spans="1:6">
      <c r="A8097" t="s">
        <v>13</v>
      </c>
      <c r="B8097" t="s">
        <v>234</v>
      </c>
      <c r="C8097" t="s">
        <v>846</v>
      </c>
      <c r="D8097" t="s">
        <v>2017</v>
      </c>
      <c r="E8097" t="s">
        <v>2020</v>
      </c>
      <c r="F8097">
        <v>2025</v>
      </c>
    </row>
    <row r="8098" spans="1:6">
      <c r="A8098" t="s">
        <v>13</v>
      </c>
      <c r="B8098" t="s">
        <v>234</v>
      </c>
      <c r="C8098" t="s">
        <v>846</v>
      </c>
      <c r="D8098" t="s">
        <v>2017</v>
      </c>
      <c r="E8098" t="s">
        <v>2021</v>
      </c>
      <c r="F8098">
        <v>2025</v>
      </c>
    </row>
    <row r="8099" spans="1:6">
      <c r="A8099" t="s">
        <v>13</v>
      </c>
      <c r="B8099" t="s">
        <v>234</v>
      </c>
      <c r="C8099" t="s">
        <v>846</v>
      </c>
      <c r="D8099" t="s">
        <v>2017</v>
      </c>
      <c r="E8099" t="s">
        <v>2022</v>
      </c>
      <c r="F8099">
        <v>2025</v>
      </c>
    </row>
    <row r="8100" spans="1:6">
      <c r="A8100" t="s">
        <v>13</v>
      </c>
      <c r="B8100" t="s">
        <v>234</v>
      </c>
      <c r="C8100" t="s">
        <v>846</v>
      </c>
      <c r="D8100" t="s">
        <v>2017</v>
      </c>
      <c r="E8100" t="s">
        <v>2023</v>
      </c>
      <c r="F8100">
        <v>2025</v>
      </c>
    </row>
    <row r="8101" spans="1:6">
      <c r="A8101" t="s">
        <v>13</v>
      </c>
      <c r="B8101" t="s">
        <v>234</v>
      </c>
      <c r="C8101" t="s">
        <v>846</v>
      </c>
      <c r="D8101" t="s">
        <v>2017</v>
      </c>
      <c r="E8101" t="s">
        <v>2024</v>
      </c>
      <c r="F8101">
        <v>2025</v>
      </c>
    </row>
    <row r="8102" spans="1:6">
      <c r="A8102" t="s">
        <v>13</v>
      </c>
      <c r="B8102" t="s">
        <v>234</v>
      </c>
      <c r="C8102" t="s">
        <v>846</v>
      </c>
      <c r="D8102" t="s">
        <v>2017</v>
      </c>
      <c r="E8102" t="s">
        <v>2025</v>
      </c>
      <c r="F8102">
        <v>2025</v>
      </c>
    </row>
    <row r="8103" spans="1:6">
      <c r="A8103" t="s">
        <v>13</v>
      </c>
      <c r="B8103" t="s">
        <v>234</v>
      </c>
      <c r="C8103" t="s">
        <v>846</v>
      </c>
      <c r="D8103" t="s">
        <v>2017</v>
      </c>
      <c r="E8103" t="s">
        <v>2026</v>
      </c>
      <c r="F8103">
        <v>2025</v>
      </c>
    </row>
    <row r="8104" spans="1:6">
      <c r="A8104" t="s">
        <v>13</v>
      </c>
      <c r="B8104" t="s">
        <v>234</v>
      </c>
      <c r="C8104" t="s">
        <v>846</v>
      </c>
      <c r="D8104" t="s">
        <v>2017</v>
      </c>
      <c r="E8104" t="s">
        <v>2027</v>
      </c>
      <c r="F8104">
        <v>2025</v>
      </c>
    </row>
    <row r="8105" spans="1:6">
      <c r="A8105" t="s">
        <v>13</v>
      </c>
      <c r="B8105" t="s">
        <v>234</v>
      </c>
      <c r="C8105" t="s">
        <v>846</v>
      </c>
      <c r="D8105" t="s">
        <v>2017</v>
      </c>
      <c r="E8105" t="s">
        <v>2028</v>
      </c>
      <c r="F8105">
        <v>2025</v>
      </c>
    </row>
    <row r="8106" spans="1:6">
      <c r="A8106" t="s">
        <v>13</v>
      </c>
      <c r="B8106" t="s">
        <v>234</v>
      </c>
      <c r="C8106" t="s">
        <v>846</v>
      </c>
      <c r="D8106" t="s">
        <v>2017</v>
      </c>
      <c r="E8106" t="s">
        <v>2029</v>
      </c>
      <c r="F8106">
        <v>2025</v>
      </c>
    </row>
    <row r="8107" spans="1:6">
      <c r="A8107" t="s">
        <v>13</v>
      </c>
      <c r="B8107" t="s">
        <v>234</v>
      </c>
      <c r="C8107" t="s">
        <v>846</v>
      </c>
      <c r="D8107" t="s">
        <v>2017</v>
      </c>
      <c r="E8107" t="s">
        <v>2030</v>
      </c>
      <c r="F8107">
        <v>2026</v>
      </c>
    </row>
    <row r="8108" spans="1:6">
      <c r="A8108" t="s">
        <v>13</v>
      </c>
      <c r="B8108" t="s">
        <v>234</v>
      </c>
      <c r="C8108" t="s">
        <v>846</v>
      </c>
      <c r="D8108" t="s">
        <v>2017</v>
      </c>
      <c r="E8108" t="s">
        <v>2031</v>
      </c>
      <c r="F8108">
        <v>2026</v>
      </c>
    </row>
    <row r="8109" spans="1:6">
      <c r="A8109" t="s">
        <v>13</v>
      </c>
      <c r="B8109" t="s">
        <v>234</v>
      </c>
      <c r="C8109" t="s">
        <v>846</v>
      </c>
      <c r="D8109" t="s">
        <v>2017</v>
      </c>
      <c r="E8109" t="s">
        <v>2032</v>
      </c>
      <c r="F8109">
        <v>2026</v>
      </c>
    </row>
    <row r="8110" spans="1:6">
      <c r="A8110" t="s">
        <v>13</v>
      </c>
      <c r="B8110" t="s">
        <v>234</v>
      </c>
      <c r="C8110" t="s">
        <v>846</v>
      </c>
      <c r="D8110" t="s">
        <v>2017</v>
      </c>
      <c r="E8110" t="s">
        <v>2033</v>
      </c>
      <c r="F8110">
        <v>2026</v>
      </c>
    </row>
    <row r="8111" spans="1:6">
      <c r="A8111" t="s">
        <v>13</v>
      </c>
      <c r="B8111" t="s">
        <v>234</v>
      </c>
      <c r="C8111" t="s">
        <v>846</v>
      </c>
      <c r="D8111" t="s">
        <v>2017</v>
      </c>
      <c r="E8111" t="s">
        <v>2034</v>
      </c>
      <c r="F8111">
        <v>2026</v>
      </c>
    </row>
    <row r="8112" spans="1:6">
      <c r="A8112" t="s">
        <v>13</v>
      </c>
      <c r="B8112" t="s">
        <v>234</v>
      </c>
      <c r="C8112" t="s">
        <v>846</v>
      </c>
      <c r="D8112" t="s">
        <v>2017</v>
      </c>
      <c r="E8112" t="s">
        <v>2035</v>
      </c>
      <c r="F8112">
        <v>2026</v>
      </c>
    </row>
    <row r="8113" spans="1:6">
      <c r="A8113" t="s">
        <v>13</v>
      </c>
      <c r="B8113" t="s">
        <v>234</v>
      </c>
      <c r="C8113" t="s">
        <v>846</v>
      </c>
      <c r="D8113" t="s">
        <v>2017</v>
      </c>
      <c r="E8113" t="s">
        <v>2036</v>
      </c>
      <c r="F8113">
        <v>1</v>
      </c>
    </row>
    <row r="8114" spans="1:6">
      <c r="A8114" t="s">
        <v>13</v>
      </c>
      <c r="B8114" t="s">
        <v>234</v>
      </c>
      <c r="C8114" t="s">
        <v>846</v>
      </c>
      <c r="D8114" t="s">
        <v>2017</v>
      </c>
      <c r="E8114" t="s">
        <v>1977</v>
      </c>
      <c r="F8114">
        <v>2</v>
      </c>
    </row>
    <row r="8115" spans="1:6">
      <c r="A8115" t="s">
        <v>13</v>
      </c>
      <c r="B8115" t="s">
        <v>234</v>
      </c>
      <c r="C8115" t="s">
        <v>846</v>
      </c>
      <c r="D8115" t="s">
        <v>2017</v>
      </c>
      <c r="E8115" t="s">
        <v>1979</v>
      </c>
      <c r="F8115">
        <v>3</v>
      </c>
    </row>
    <row r="8116" spans="1:6">
      <c r="A8116" t="s">
        <v>13</v>
      </c>
      <c r="B8116" t="s">
        <v>234</v>
      </c>
      <c r="C8116" t="s">
        <v>846</v>
      </c>
      <c r="D8116" t="s">
        <v>2017</v>
      </c>
      <c r="E8116" t="s">
        <v>2037</v>
      </c>
      <c r="F8116">
        <v>4</v>
      </c>
    </row>
    <row r="8117" spans="1:6">
      <c r="A8117" t="s">
        <v>13</v>
      </c>
      <c r="B8117" t="s">
        <v>234</v>
      </c>
      <c r="C8117" t="s">
        <v>846</v>
      </c>
      <c r="D8117" t="s">
        <v>2017</v>
      </c>
      <c r="E8117" t="s">
        <v>2038</v>
      </c>
      <c r="F8117">
        <v>5</v>
      </c>
    </row>
    <row r="8118" spans="1:6">
      <c r="A8118" t="s">
        <v>13</v>
      </c>
      <c r="B8118" t="s">
        <v>234</v>
      </c>
      <c r="C8118" t="s">
        <v>846</v>
      </c>
      <c r="D8118" t="s">
        <v>2017</v>
      </c>
      <c r="E8118" t="s">
        <v>2039</v>
      </c>
      <c r="F8118">
        <v>6</v>
      </c>
    </row>
    <row r="8119" spans="1:6">
      <c r="A8119" t="s">
        <v>13</v>
      </c>
      <c r="B8119" t="s">
        <v>234</v>
      </c>
      <c r="C8119" t="s">
        <v>846</v>
      </c>
      <c r="D8119" t="s">
        <v>2017</v>
      </c>
      <c r="E8119" t="s">
        <v>2040</v>
      </c>
      <c r="F8119">
        <v>7</v>
      </c>
    </row>
    <row r="8120" spans="1:6">
      <c r="A8120" t="s">
        <v>13</v>
      </c>
      <c r="B8120" t="s">
        <v>234</v>
      </c>
      <c r="C8120" t="s">
        <v>846</v>
      </c>
      <c r="D8120" t="s">
        <v>2017</v>
      </c>
      <c r="E8120" t="s">
        <v>2041</v>
      </c>
      <c r="F8120">
        <v>8</v>
      </c>
    </row>
    <row r="8121" spans="1:6">
      <c r="A8121" t="s">
        <v>13</v>
      </c>
      <c r="B8121" t="s">
        <v>234</v>
      </c>
      <c r="C8121" t="s">
        <v>846</v>
      </c>
      <c r="D8121" t="s">
        <v>2017</v>
      </c>
      <c r="E8121" t="s">
        <v>2042</v>
      </c>
      <c r="F8121">
        <v>9</v>
      </c>
    </row>
    <row r="8122" spans="1:6">
      <c r="A8122" t="s">
        <v>13</v>
      </c>
      <c r="B8122" t="s">
        <v>234</v>
      </c>
      <c r="C8122" t="s">
        <v>846</v>
      </c>
      <c r="D8122" t="s">
        <v>2017</v>
      </c>
      <c r="E8122" t="s">
        <v>2043</v>
      </c>
      <c r="F8122">
        <v>10</v>
      </c>
    </row>
    <row r="8123" spans="1:6">
      <c r="A8123" t="s">
        <v>13</v>
      </c>
      <c r="B8123" t="s">
        <v>234</v>
      </c>
      <c r="C8123" t="s">
        <v>846</v>
      </c>
      <c r="D8123" t="s">
        <v>2017</v>
      </c>
      <c r="E8123" t="s">
        <v>2044</v>
      </c>
      <c r="F8123">
        <v>11</v>
      </c>
    </row>
    <row r="8124" spans="1:6">
      <c r="A8124" t="s">
        <v>13</v>
      </c>
      <c r="B8124" t="s">
        <v>234</v>
      </c>
      <c r="C8124" t="s">
        <v>846</v>
      </c>
      <c r="D8124" t="s">
        <v>2017</v>
      </c>
      <c r="E8124" t="s">
        <v>2045</v>
      </c>
      <c r="F8124">
        <v>12</v>
      </c>
    </row>
    <row r="8125" spans="1:6">
      <c r="A8125" t="s">
        <v>13</v>
      </c>
      <c r="B8125" t="s">
        <v>234</v>
      </c>
      <c r="C8125" t="s">
        <v>846</v>
      </c>
      <c r="D8125" t="s">
        <v>2017</v>
      </c>
      <c r="E8125" t="s">
        <v>2046</v>
      </c>
      <c r="F8125">
        <v>1</v>
      </c>
    </row>
    <row r="8126" spans="1:6">
      <c r="A8126" t="s">
        <v>13</v>
      </c>
      <c r="B8126" t="s">
        <v>234</v>
      </c>
      <c r="C8126" t="s">
        <v>846</v>
      </c>
      <c r="D8126" t="s">
        <v>2017</v>
      </c>
      <c r="E8126" t="s">
        <v>2047</v>
      </c>
      <c r="F8126">
        <v>2</v>
      </c>
    </row>
    <row r="8127" spans="1:6">
      <c r="A8127" t="s">
        <v>13</v>
      </c>
      <c r="B8127" t="s">
        <v>234</v>
      </c>
      <c r="C8127" t="s">
        <v>846</v>
      </c>
      <c r="D8127" t="s">
        <v>2017</v>
      </c>
      <c r="E8127" t="s">
        <v>2048</v>
      </c>
      <c r="F8127">
        <v>3</v>
      </c>
    </row>
    <row r="8128" spans="1:6">
      <c r="A8128" t="s">
        <v>13</v>
      </c>
      <c r="B8128" t="s">
        <v>234</v>
      </c>
      <c r="C8128" t="s">
        <v>846</v>
      </c>
      <c r="D8128" t="s">
        <v>2017</v>
      </c>
      <c r="E8128" t="s">
        <v>2049</v>
      </c>
      <c r="F8128">
        <v>4</v>
      </c>
    </row>
    <row r="8129" spans="1:6">
      <c r="A8129" t="s">
        <v>13</v>
      </c>
      <c r="B8129" t="s">
        <v>234</v>
      </c>
      <c r="C8129" t="s">
        <v>846</v>
      </c>
      <c r="D8129" t="s">
        <v>2017</v>
      </c>
      <c r="E8129" t="s">
        <v>2050</v>
      </c>
      <c r="F8129">
        <v>5</v>
      </c>
    </row>
    <row r="8130" spans="1:6">
      <c r="A8130" t="s">
        <v>13</v>
      </c>
      <c r="B8130" t="s">
        <v>234</v>
      </c>
      <c r="C8130" t="s">
        <v>846</v>
      </c>
      <c r="D8130" t="s">
        <v>2017</v>
      </c>
      <c r="E8130" t="s">
        <v>2051</v>
      </c>
      <c r="F8130">
        <v>6</v>
      </c>
    </row>
    <row r="8131" spans="1:6">
      <c r="A8131" t="s">
        <v>13</v>
      </c>
      <c r="B8131" t="s">
        <v>234</v>
      </c>
      <c r="C8131" t="s">
        <v>846</v>
      </c>
      <c r="D8131" t="s">
        <v>2017</v>
      </c>
      <c r="E8131" t="s">
        <v>1999</v>
      </c>
      <c r="F8131">
        <v>202501</v>
      </c>
    </row>
    <row r="8132" spans="1:6">
      <c r="A8132" t="s">
        <v>13</v>
      </c>
      <c r="B8132" t="s">
        <v>234</v>
      </c>
      <c r="C8132" t="s">
        <v>846</v>
      </c>
      <c r="D8132" t="s">
        <v>2017</v>
      </c>
      <c r="E8132" t="s">
        <v>1333</v>
      </c>
      <c r="F8132">
        <v>202502</v>
      </c>
    </row>
    <row r="8133" spans="1:6">
      <c r="A8133" t="s">
        <v>13</v>
      </c>
      <c r="B8133" t="s">
        <v>234</v>
      </c>
      <c r="C8133" t="s">
        <v>846</v>
      </c>
      <c r="D8133" t="s">
        <v>2017</v>
      </c>
      <c r="E8133" t="s">
        <v>1334</v>
      </c>
      <c r="F8133">
        <v>202503</v>
      </c>
    </row>
    <row r="8134" spans="1:6">
      <c r="A8134" t="s">
        <v>13</v>
      </c>
      <c r="B8134" t="s">
        <v>234</v>
      </c>
      <c r="C8134" t="s">
        <v>846</v>
      </c>
      <c r="D8134" t="s">
        <v>2017</v>
      </c>
      <c r="E8134" t="s">
        <v>2052</v>
      </c>
      <c r="F8134">
        <v>202504</v>
      </c>
    </row>
    <row r="8135" spans="1:6">
      <c r="A8135" t="s">
        <v>13</v>
      </c>
      <c r="B8135" t="s">
        <v>234</v>
      </c>
      <c r="C8135" t="s">
        <v>846</v>
      </c>
      <c r="D8135" t="s">
        <v>2017</v>
      </c>
      <c r="E8135" t="s">
        <v>2053</v>
      </c>
      <c r="F8135">
        <v>202505</v>
      </c>
    </row>
    <row r="8136" spans="1:6">
      <c r="A8136" t="s">
        <v>13</v>
      </c>
      <c r="B8136" t="s">
        <v>234</v>
      </c>
      <c r="C8136" t="s">
        <v>846</v>
      </c>
      <c r="D8136" t="s">
        <v>2017</v>
      </c>
      <c r="E8136" t="s">
        <v>2054</v>
      </c>
      <c r="F8136">
        <v>202506</v>
      </c>
    </row>
    <row r="8137" spans="1:6">
      <c r="A8137" t="s">
        <v>13</v>
      </c>
      <c r="B8137" t="s">
        <v>234</v>
      </c>
      <c r="C8137" t="s">
        <v>846</v>
      </c>
      <c r="D8137" t="s">
        <v>2017</v>
      </c>
      <c r="E8137" t="s">
        <v>2055</v>
      </c>
      <c r="F8137">
        <v>202507</v>
      </c>
    </row>
    <row r="8138" spans="1:6">
      <c r="A8138" t="s">
        <v>13</v>
      </c>
      <c r="B8138" t="s">
        <v>234</v>
      </c>
      <c r="C8138" t="s">
        <v>846</v>
      </c>
      <c r="D8138" t="s">
        <v>2017</v>
      </c>
      <c r="E8138" t="s">
        <v>2056</v>
      </c>
      <c r="F8138">
        <v>202508</v>
      </c>
    </row>
    <row r="8139" spans="1:6">
      <c r="A8139" t="s">
        <v>13</v>
      </c>
      <c r="B8139" t="s">
        <v>234</v>
      </c>
      <c r="C8139" t="s">
        <v>846</v>
      </c>
      <c r="D8139" t="s">
        <v>2017</v>
      </c>
      <c r="E8139" t="s">
        <v>2057</v>
      </c>
      <c r="F8139">
        <v>202509</v>
      </c>
    </row>
    <row r="8140" spans="1:6">
      <c r="A8140" t="s">
        <v>13</v>
      </c>
      <c r="B8140" t="s">
        <v>234</v>
      </c>
      <c r="C8140" t="s">
        <v>846</v>
      </c>
      <c r="D8140" t="s">
        <v>2017</v>
      </c>
      <c r="E8140" t="s">
        <v>2058</v>
      </c>
      <c r="F8140">
        <v>202510</v>
      </c>
    </row>
    <row r="8141" spans="1:6">
      <c r="A8141" t="s">
        <v>13</v>
      </c>
      <c r="B8141" t="s">
        <v>234</v>
      </c>
      <c r="C8141" t="s">
        <v>846</v>
      </c>
      <c r="D8141" t="s">
        <v>2017</v>
      </c>
      <c r="E8141" t="s">
        <v>2059</v>
      </c>
      <c r="F8141">
        <v>202511</v>
      </c>
    </row>
    <row r="8142" spans="1:6">
      <c r="A8142" t="s">
        <v>13</v>
      </c>
      <c r="B8142" t="s">
        <v>234</v>
      </c>
      <c r="C8142" t="s">
        <v>846</v>
      </c>
      <c r="D8142" t="s">
        <v>2017</v>
      </c>
      <c r="E8142" t="s">
        <v>2060</v>
      </c>
      <c r="F8142">
        <v>202512</v>
      </c>
    </row>
    <row r="8143" spans="1:6">
      <c r="A8143" t="s">
        <v>13</v>
      </c>
      <c r="B8143" t="s">
        <v>234</v>
      </c>
      <c r="C8143" t="s">
        <v>846</v>
      </c>
      <c r="D8143" t="s">
        <v>2017</v>
      </c>
      <c r="E8143" t="s">
        <v>2061</v>
      </c>
      <c r="F8143">
        <v>202601</v>
      </c>
    </row>
    <row r="8144" spans="1:6">
      <c r="A8144" t="s">
        <v>13</v>
      </c>
      <c r="B8144" t="s">
        <v>234</v>
      </c>
      <c r="C8144" t="s">
        <v>846</v>
      </c>
      <c r="D8144" t="s">
        <v>2017</v>
      </c>
      <c r="E8144" t="s">
        <v>2062</v>
      </c>
      <c r="F8144">
        <v>202602</v>
      </c>
    </row>
    <row r="8145" spans="1:6">
      <c r="A8145" t="s">
        <v>13</v>
      </c>
      <c r="B8145" t="s">
        <v>234</v>
      </c>
      <c r="C8145" t="s">
        <v>846</v>
      </c>
      <c r="D8145" t="s">
        <v>2017</v>
      </c>
      <c r="E8145" t="s">
        <v>2063</v>
      </c>
      <c r="F8145">
        <v>202603</v>
      </c>
    </row>
    <row r="8146" spans="1:6">
      <c r="A8146" t="s">
        <v>13</v>
      </c>
      <c r="B8146" t="s">
        <v>234</v>
      </c>
      <c r="C8146" t="s">
        <v>846</v>
      </c>
      <c r="D8146" t="s">
        <v>2017</v>
      </c>
      <c r="E8146" t="s">
        <v>2064</v>
      </c>
      <c r="F8146">
        <v>202604</v>
      </c>
    </row>
    <row r="8147" spans="1:6">
      <c r="A8147" t="s">
        <v>13</v>
      </c>
      <c r="B8147" t="s">
        <v>234</v>
      </c>
      <c r="C8147" t="s">
        <v>846</v>
      </c>
      <c r="D8147" t="s">
        <v>2017</v>
      </c>
      <c r="E8147" t="s">
        <v>2065</v>
      </c>
      <c r="F8147">
        <v>202605</v>
      </c>
    </row>
    <row r="8148" spans="1:6">
      <c r="A8148" t="s">
        <v>13</v>
      </c>
      <c r="B8148" t="s">
        <v>234</v>
      </c>
      <c r="C8148" t="s">
        <v>846</v>
      </c>
      <c r="D8148" t="s">
        <v>2017</v>
      </c>
      <c r="E8148" t="s">
        <v>2066</v>
      </c>
      <c r="F8148">
        <v>202606</v>
      </c>
    </row>
    <row r="8149" spans="1:6">
      <c r="A8149" t="s">
        <v>13</v>
      </c>
      <c r="B8149" t="s">
        <v>234</v>
      </c>
      <c r="C8149" t="s">
        <v>846</v>
      </c>
      <c r="D8149" t="s">
        <v>2017</v>
      </c>
      <c r="E8149" t="s">
        <v>1279</v>
      </c>
      <c r="F8149" t="s">
        <v>2067</v>
      </c>
    </row>
    <row r="8150" spans="1:6">
      <c r="A8150" t="s">
        <v>13</v>
      </c>
      <c r="B8150" t="s">
        <v>234</v>
      </c>
      <c r="C8150" t="s">
        <v>846</v>
      </c>
      <c r="D8150" t="s">
        <v>2017</v>
      </c>
      <c r="E8150" t="s">
        <v>1281</v>
      </c>
      <c r="F8150" t="s">
        <v>2068</v>
      </c>
    </row>
    <row r="8151" spans="1:6">
      <c r="A8151" t="s">
        <v>13</v>
      </c>
      <c r="B8151" t="s">
        <v>234</v>
      </c>
      <c r="C8151" t="s">
        <v>846</v>
      </c>
      <c r="D8151" t="s">
        <v>2017</v>
      </c>
      <c r="E8151" t="s">
        <v>2001</v>
      </c>
      <c r="F8151">
        <v>53009819.96999805</v>
      </c>
    </row>
    <row r="8152" spans="1:6">
      <c r="A8152" t="s">
        <v>13</v>
      </c>
      <c r="B8152" t="s">
        <v>234</v>
      </c>
      <c r="C8152" t="s">
        <v>846</v>
      </c>
      <c r="D8152" t="s">
        <v>2017</v>
      </c>
      <c r="E8152" t="s">
        <v>995</v>
      </c>
      <c r="F8152">
        <v>51814365.25999811</v>
      </c>
    </row>
    <row r="8153" spans="1:6">
      <c r="A8153" t="s">
        <v>13</v>
      </c>
      <c r="B8153" t="s">
        <v>234</v>
      </c>
      <c r="C8153" t="s">
        <v>846</v>
      </c>
      <c r="D8153" t="s">
        <v>2017</v>
      </c>
      <c r="E8153" t="s">
        <v>997</v>
      </c>
      <c r="F8153">
        <v>51520730.0999981</v>
      </c>
    </row>
    <row r="8154" spans="1:6">
      <c r="A8154" t="s">
        <v>13</v>
      </c>
      <c r="B8154" t="s">
        <v>234</v>
      </c>
      <c r="C8154" t="s">
        <v>846</v>
      </c>
      <c r="D8154" t="s">
        <v>2017</v>
      </c>
      <c r="E8154" t="s">
        <v>2069</v>
      </c>
      <c r="F8154">
        <v>51437309.5899981</v>
      </c>
    </row>
    <row r="8155" spans="1:6">
      <c r="A8155" t="s">
        <v>13</v>
      </c>
      <c r="B8155" t="s">
        <v>234</v>
      </c>
      <c r="C8155" t="s">
        <v>846</v>
      </c>
      <c r="D8155" t="s">
        <v>2017</v>
      </c>
      <c r="E8155" t="s">
        <v>2070</v>
      </c>
      <c r="F8155">
        <v>51197050.9299981</v>
      </c>
    </row>
    <row r="8156" spans="1:6">
      <c r="A8156" t="s">
        <v>13</v>
      </c>
      <c r="B8156" t="s">
        <v>234</v>
      </c>
      <c r="C8156" t="s">
        <v>846</v>
      </c>
      <c r="D8156" t="s">
        <v>2017</v>
      </c>
      <c r="E8156" t="s">
        <v>2071</v>
      </c>
      <c r="F8156">
        <v>51152204.3799981</v>
      </c>
    </row>
    <row r="8157" spans="1:6">
      <c r="A8157" t="s">
        <v>13</v>
      </c>
      <c r="B8157" t="s">
        <v>234</v>
      </c>
      <c r="C8157" t="s">
        <v>846</v>
      </c>
      <c r="D8157" t="s">
        <v>2017</v>
      </c>
      <c r="E8157" t="s">
        <v>2072</v>
      </c>
      <c r="F8157">
        <v>50942568.9299981</v>
      </c>
    </row>
    <row r="8158" spans="1:6">
      <c r="A8158" t="s">
        <v>13</v>
      </c>
      <c r="B8158" t="s">
        <v>234</v>
      </c>
      <c r="C8158" t="s">
        <v>846</v>
      </c>
      <c r="D8158" t="s">
        <v>2017</v>
      </c>
      <c r="E8158" t="s">
        <v>2073</v>
      </c>
      <c r="F8158">
        <v>50831097.5099981</v>
      </c>
    </row>
    <row r="8159" spans="1:6">
      <c r="A8159" t="s">
        <v>13</v>
      </c>
      <c r="B8159" t="s">
        <v>234</v>
      </c>
      <c r="C8159" t="s">
        <v>846</v>
      </c>
      <c r="D8159" t="s">
        <v>2017</v>
      </c>
      <c r="E8159" t="s">
        <v>2074</v>
      </c>
      <c r="F8159">
        <v>50701338.91999809</v>
      </c>
    </row>
    <row r="8160" spans="1:6">
      <c r="A8160" t="s">
        <v>13</v>
      </c>
      <c r="B8160" t="s">
        <v>234</v>
      </c>
      <c r="C8160" t="s">
        <v>846</v>
      </c>
      <c r="D8160" t="s">
        <v>2017</v>
      </c>
      <c r="E8160" t="s">
        <v>2075</v>
      </c>
      <c r="F8160">
        <v>50596191.00999809</v>
      </c>
    </row>
    <row r="8161" spans="1:6">
      <c r="A8161" t="s">
        <v>13</v>
      </c>
      <c r="B8161" t="s">
        <v>234</v>
      </c>
      <c r="C8161" t="s">
        <v>846</v>
      </c>
      <c r="D8161" t="s">
        <v>2017</v>
      </c>
      <c r="E8161" t="s">
        <v>2076</v>
      </c>
      <c r="F8161">
        <v>51076117.92999995</v>
      </c>
    </row>
    <row r="8162" spans="1:6">
      <c r="A8162" t="s">
        <v>13</v>
      </c>
      <c r="B8162" t="s">
        <v>234</v>
      </c>
      <c r="C8162" t="s">
        <v>846</v>
      </c>
      <c r="D8162" t="s">
        <v>2017</v>
      </c>
      <c r="E8162" t="s">
        <v>2077</v>
      </c>
      <c r="F8162">
        <v>50846990.90999997</v>
      </c>
    </row>
    <row r="8163" spans="1:6">
      <c r="A8163" t="s">
        <v>13</v>
      </c>
      <c r="B8163" t="s">
        <v>234</v>
      </c>
      <c r="C8163" t="s">
        <v>846</v>
      </c>
      <c r="D8163" t="s">
        <v>2017</v>
      </c>
      <c r="E8163" t="s">
        <v>2078</v>
      </c>
      <c r="F8163">
        <v>50619224.08000208</v>
      </c>
    </row>
    <row r="8164" spans="1:6">
      <c r="A8164" t="s">
        <v>13</v>
      </c>
      <c r="B8164" t="s">
        <v>234</v>
      </c>
      <c r="C8164" t="s">
        <v>846</v>
      </c>
      <c r="D8164" t="s">
        <v>2017</v>
      </c>
      <c r="E8164" t="s">
        <v>2079</v>
      </c>
      <c r="F8164">
        <v>50571226.82000208</v>
      </c>
    </row>
    <row r="8165" spans="1:6">
      <c r="A8165" t="s">
        <v>13</v>
      </c>
      <c r="B8165" t="s">
        <v>234</v>
      </c>
      <c r="C8165" t="s">
        <v>846</v>
      </c>
      <c r="D8165" t="s">
        <v>2017</v>
      </c>
      <c r="E8165" t="s">
        <v>2080</v>
      </c>
      <c r="F8165">
        <v>50433072.81000207</v>
      </c>
    </row>
    <row r="8166" spans="1:6">
      <c r="A8166" t="s">
        <v>13</v>
      </c>
      <c r="B8166" t="s">
        <v>234</v>
      </c>
      <c r="C8166" t="s">
        <v>846</v>
      </c>
      <c r="D8166" t="s">
        <v>2017</v>
      </c>
      <c r="E8166" t="s">
        <v>2081</v>
      </c>
      <c r="F8166">
        <v>50373696.94000211</v>
      </c>
    </row>
    <row r="8167" spans="1:6">
      <c r="A8167" t="s">
        <v>13</v>
      </c>
      <c r="B8167" t="s">
        <v>234</v>
      </c>
      <c r="C8167" t="s">
        <v>846</v>
      </c>
      <c r="D8167" t="s">
        <v>2017</v>
      </c>
      <c r="E8167" t="s">
        <v>2082</v>
      </c>
      <c r="F8167">
        <v>22474628.84000267</v>
      </c>
    </row>
    <row r="8168" spans="1:6">
      <c r="A8168" t="s">
        <v>13</v>
      </c>
      <c r="B8168" t="s">
        <v>234</v>
      </c>
      <c r="C8168" t="s">
        <v>846</v>
      </c>
      <c r="D8168" t="s">
        <v>2017</v>
      </c>
      <c r="E8168" t="s">
        <v>2083</v>
      </c>
      <c r="F8168">
        <v>22338552.44000267</v>
      </c>
    </row>
    <row r="8169" spans="1:6">
      <c r="A8169" t="s">
        <v>13</v>
      </c>
      <c r="B8169" t="s">
        <v>234</v>
      </c>
      <c r="C8169" t="s">
        <v>846</v>
      </c>
      <c r="D8169" t="s">
        <v>2017</v>
      </c>
      <c r="E8169" t="s">
        <v>1577</v>
      </c>
      <c r="F8169" t="s">
        <v>2084</v>
      </c>
    </row>
    <row r="8170" spans="1:6">
      <c r="A8170" t="s">
        <v>13</v>
      </c>
      <c r="B8170" t="s">
        <v>234</v>
      </c>
      <c r="C8170" t="s">
        <v>846</v>
      </c>
      <c r="D8170" t="s">
        <v>2017</v>
      </c>
      <c r="E8170" t="s">
        <v>2085</v>
      </c>
      <c r="F8170">
        <v>854085</v>
      </c>
    </row>
    <row r="8171" spans="1:6">
      <c r="A8171" t="s">
        <v>13</v>
      </c>
      <c r="B8171" t="s">
        <v>234</v>
      </c>
      <c r="C8171" t="s">
        <v>846</v>
      </c>
      <c r="D8171" t="s">
        <v>2017</v>
      </c>
      <c r="E8171" t="s">
        <v>1509</v>
      </c>
      <c r="F8171">
        <v>727218</v>
      </c>
    </row>
    <row r="8172" spans="1:6">
      <c r="A8172" t="s">
        <v>13</v>
      </c>
      <c r="B8172" t="s">
        <v>234</v>
      </c>
      <c r="C8172" t="s">
        <v>846</v>
      </c>
      <c r="D8172" t="s">
        <v>2017</v>
      </c>
      <c r="E8172" t="s">
        <v>1510</v>
      </c>
      <c r="F8172">
        <v>618332</v>
      </c>
    </row>
    <row r="8173" spans="1:6">
      <c r="A8173" t="s">
        <v>13</v>
      </c>
      <c r="B8173" t="s">
        <v>234</v>
      </c>
      <c r="C8173" t="s">
        <v>846</v>
      </c>
      <c r="D8173" t="s">
        <v>2017</v>
      </c>
      <c r="E8173" t="s">
        <v>2086</v>
      </c>
      <c r="F8173">
        <v>614139</v>
      </c>
    </row>
    <row r="8174" spans="1:6">
      <c r="A8174" t="s">
        <v>13</v>
      </c>
      <c r="B8174" t="s">
        <v>234</v>
      </c>
      <c r="C8174" t="s">
        <v>846</v>
      </c>
      <c r="D8174" t="s">
        <v>2017</v>
      </c>
      <c r="E8174" t="s">
        <v>2087</v>
      </c>
      <c r="F8174">
        <v>612365</v>
      </c>
    </row>
    <row r="8175" spans="1:6">
      <c r="A8175" t="s">
        <v>13</v>
      </c>
      <c r="B8175" t="s">
        <v>234</v>
      </c>
      <c r="C8175" t="s">
        <v>846</v>
      </c>
      <c r="D8175" t="s">
        <v>2017</v>
      </c>
      <c r="E8175" t="s">
        <v>1758</v>
      </c>
      <c r="F8175">
        <v>610097</v>
      </c>
    </row>
    <row r="8176" spans="1:6">
      <c r="A8176" t="s">
        <v>13</v>
      </c>
      <c r="B8176" t="s">
        <v>234</v>
      </c>
      <c r="C8176" t="s">
        <v>846</v>
      </c>
      <c r="D8176" t="s">
        <v>2017</v>
      </c>
      <c r="E8176" t="s">
        <v>1760</v>
      </c>
      <c r="F8176">
        <v>606335</v>
      </c>
    </row>
    <row r="8177" spans="1:6">
      <c r="A8177" t="s">
        <v>13</v>
      </c>
      <c r="B8177" t="s">
        <v>234</v>
      </c>
      <c r="C8177" t="s">
        <v>846</v>
      </c>
      <c r="D8177" t="s">
        <v>2017</v>
      </c>
      <c r="E8177" t="s">
        <v>1762</v>
      </c>
      <c r="F8177">
        <v>603896</v>
      </c>
    </row>
    <row r="8178" spans="1:6">
      <c r="A8178" t="s">
        <v>13</v>
      </c>
      <c r="B8178" t="s">
        <v>234</v>
      </c>
      <c r="C8178" t="s">
        <v>846</v>
      </c>
      <c r="D8178" t="s">
        <v>2017</v>
      </c>
      <c r="E8178" t="s">
        <v>2088</v>
      </c>
      <c r="F8178">
        <v>601561</v>
      </c>
    </row>
    <row r="8179" spans="1:6">
      <c r="A8179" t="s">
        <v>13</v>
      </c>
      <c r="B8179" t="s">
        <v>234</v>
      </c>
      <c r="C8179" t="s">
        <v>846</v>
      </c>
      <c r="D8179" t="s">
        <v>2017</v>
      </c>
      <c r="E8179" t="s">
        <v>1764</v>
      </c>
      <c r="F8179">
        <v>599509</v>
      </c>
    </row>
    <row r="8180" spans="1:6">
      <c r="A8180" t="s">
        <v>13</v>
      </c>
      <c r="B8180" t="s">
        <v>234</v>
      </c>
      <c r="C8180" t="s">
        <v>846</v>
      </c>
      <c r="D8180" t="s">
        <v>2017</v>
      </c>
      <c r="E8180" t="s">
        <v>1765</v>
      </c>
      <c r="F8180">
        <v>617159</v>
      </c>
    </row>
    <row r="8181" spans="1:6">
      <c r="A8181" t="s">
        <v>13</v>
      </c>
      <c r="B8181" t="s">
        <v>234</v>
      </c>
      <c r="C8181" t="s">
        <v>846</v>
      </c>
      <c r="D8181" t="s">
        <v>2017</v>
      </c>
      <c r="E8181" t="s">
        <v>1766</v>
      </c>
      <c r="F8181">
        <v>617335</v>
      </c>
    </row>
    <row r="8182" spans="1:6">
      <c r="A8182" t="s">
        <v>13</v>
      </c>
      <c r="B8182" t="s">
        <v>234</v>
      </c>
      <c r="C8182" t="s">
        <v>846</v>
      </c>
      <c r="D8182" t="s">
        <v>2017</v>
      </c>
      <c r="E8182" t="s">
        <v>2089</v>
      </c>
      <c r="F8182">
        <v>613684</v>
      </c>
    </row>
    <row r="8183" spans="1:6">
      <c r="A8183" t="s">
        <v>13</v>
      </c>
      <c r="B8183" t="s">
        <v>234</v>
      </c>
      <c r="C8183" t="s">
        <v>846</v>
      </c>
      <c r="D8183" t="s">
        <v>2017</v>
      </c>
      <c r="E8183" t="s">
        <v>2090</v>
      </c>
      <c r="F8183">
        <v>612344</v>
      </c>
    </row>
    <row r="8184" spans="1:6">
      <c r="A8184" t="s">
        <v>13</v>
      </c>
      <c r="B8184" t="s">
        <v>234</v>
      </c>
      <c r="C8184" t="s">
        <v>846</v>
      </c>
      <c r="D8184" t="s">
        <v>2017</v>
      </c>
      <c r="E8184" t="s">
        <v>2091</v>
      </c>
      <c r="F8184">
        <v>609807</v>
      </c>
    </row>
    <row r="8185" spans="1:6">
      <c r="A8185" t="s">
        <v>13</v>
      </c>
      <c r="B8185" t="s">
        <v>234</v>
      </c>
      <c r="C8185" t="s">
        <v>846</v>
      </c>
      <c r="D8185" t="s">
        <v>2017</v>
      </c>
      <c r="E8185" t="s">
        <v>2092</v>
      </c>
      <c r="F8185">
        <v>607567</v>
      </c>
    </row>
    <row r="8186" spans="1:6">
      <c r="A8186" t="s">
        <v>13</v>
      </c>
      <c r="B8186" t="s">
        <v>234</v>
      </c>
      <c r="C8186" t="s">
        <v>846</v>
      </c>
      <c r="D8186" t="s">
        <v>2017</v>
      </c>
      <c r="E8186" t="s">
        <v>2093</v>
      </c>
      <c r="F8186">
        <v>338565</v>
      </c>
    </row>
    <row r="8187" spans="1:6">
      <c r="A8187" t="s">
        <v>13</v>
      </c>
      <c r="B8187" t="s">
        <v>234</v>
      </c>
      <c r="C8187" t="s">
        <v>846</v>
      </c>
      <c r="D8187" t="s">
        <v>2017</v>
      </c>
      <c r="E8187" t="s">
        <v>2094</v>
      </c>
      <c r="F8187">
        <v>336552</v>
      </c>
    </row>
    <row r="8188" spans="1:6">
      <c r="A8188" t="s">
        <v>13</v>
      </c>
      <c r="B8188" t="s">
        <v>234</v>
      </c>
      <c r="C8188" t="s">
        <v>846</v>
      </c>
      <c r="D8188" t="s">
        <v>2017</v>
      </c>
      <c r="E8188" t="s">
        <v>1096</v>
      </c>
      <c r="F8188" t="s">
        <v>2095</v>
      </c>
    </row>
    <row r="8189" spans="1:6">
      <c r="A8189" t="s">
        <v>13</v>
      </c>
      <c r="B8189" t="s">
        <v>234</v>
      </c>
      <c r="C8189" t="s">
        <v>846</v>
      </c>
      <c r="D8189" t="s">
        <v>2017</v>
      </c>
      <c r="E8189" t="s">
        <v>1004</v>
      </c>
      <c r="F8189" t="s">
        <v>2068</v>
      </c>
    </row>
    <row r="8190" spans="1:6">
      <c r="A8190" t="s">
        <v>13</v>
      </c>
      <c r="B8190" t="s">
        <v>234</v>
      </c>
      <c r="C8190" t="s">
        <v>846</v>
      </c>
      <c r="D8190" t="s">
        <v>2017</v>
      </c>
      <c r="E8190" t="s">
        <v>2007</v>
      </c>
      <c r="F8190">
        <v>127806.6100000002</v>
      </c>
    </row>
    <row r="8191" spans="1:6">
      <c r="A8191" t="s">
        <v>13</v>
      </c>
      <c r="B8191" t="s">
        <v>234</v>
      </c>
      <c r="C8191" t="s">
        <v>846</v>
      </c>
      <c r="D8191" t="s">
        <v>2017</v>
      </c>
      <c r="E8191" t="s">
        <v>2008</v>
      </c>
      <c r="F8191">
        <v>71195.82000000009</v>
      </c>
    </row>
    <row r="8192" spans="1:6">
      <c r="A8192" t="s">
        <v>13</v>
      </c>
      <c r="B8192" t="s">
        <v>234</v>
      </c>
      <c r="C8192" t="s">
        <v>846</v>
      </c>
      <c r="D8192" t="s">
        <v>2017</v>
      </c>
      <c r="E8192" t="s">
        <v>2096</v>
      </c>
      <c r="F8192">
        <v>41374.88000000008</v>
      </c>
    </row>
    <row r="8193" spans="1:6">
      <c r="A8193" t="s">
        <v>13</v>
      </c>
      <c r="B8193" t="s">
        <v>234</v>
      </c>
      <c r="C8193" t="s">
        <v>846</v>
      </c>
      <c r="D8193" t="s">
        <v>2017</v>
      </c>
      <c r="E8193" t="s">
        <v>2097</v>
      </c>
      <c r="F8193">
        <v>102610.5200000002</v>
      </c>
    </row>
    <row r="8194" spans="1:6">
      <c r="A8194" t="s">
        <v>13</v>
      </c>
      <c r="B8194" t="s">
        <v>234</v>
      </c>
      <c r="C8194" t="s">
        <v>846</v>
      </c>
      <c r="D8194" t="s">
        <v>2017</v>
      </c>
      <c r="E8194" t="s">
        <v>2098</v>
      </c>
      <c r="F8194">
        <v>170215.1099999998</v>
      </c>
    </row>
    <row r="8195" spans="1:6">
      <c r="A8195" t="s">
        <v>13</v>
      </c>
      <c r="B8195" t="s">
        <v>234</v>
      </c>
      <c r="C8195" t="s">
        <v>846</v>
      </c>
      <c r="D8195" t="s">
        <v>2017</v>
      </c>
      <c r="E8195" t="s">
        <v>1774</v>
      </c>
      <c r="F8195">
        <v>89414.38</v>
      </c>
    </row>
    <row r="8196" spans="1:6">
      <c r="A8196" t="s">
        <v>13</v>
      </c>
      <c r="B8196" t="s">
        <v>234</v>
      </c>
      <c r="C8196" t="s">
        <v>846</v>
      </c>
      <c r="D8196" t="s">
        <v>2017</v>
      </c>
      <c r="E8196" t="s">
        <v>1775</v>
      </c>
      <c r="F8196">
        <v>15893.25</v>
      </c>
    </row>
    <row r="8197" spans="1:6">
      <c r="A8197" t="s">
        <v>13</v>
      </c>
      <c r="B8197" t="s">
        <v>234</v>
      </c>
      <c r="C8197" t="s">
        <v>846</v>
      </c>
      <c r="D8197" t="s">
        <v>2017</v>
      </c>
      <c r="E8197" t="s">
        <v>1776</v>
      </c>
      <c r="F8197">
        <v>1843.21</v>
      </c>
    </row>
    <row r="8198" spans="1:6">
      <c r="A8198" t="s">
        <v>13</v>
      </c>
      <c r="B8198" t="s">
        <v>234</v>
      </c>
      <c r="C8198" t="s">
        <v>846</v>
      </c>
      <c r="D8198" t="s">
        <v>2017</v>
      </c>
      <c r="E8198" t="s">
        <v>2099</v>
      </c>
      <c r="F8198">
        <v>7672.549999999998</v>
      </c>
    </row>
    <row r="8199" spans="1:6">
      <c r="A8199" t="s">
        <v>13</v>
      </c>
      <c r="B8199" t="s">
        <v>234</v>
      </c>
      <c r="C8199" t="s">
        <v>846</v>
      </c>
      <c r="D8199" t="s">
        <v>2017</v>
      </c>
      <c r="E8199" t="s">
        <v>1777</v>
      </c>
      <c r="F8199">
        <v>14710.78</v>
      </c>
    </row>
    <row r="8200" spans="1:6">
      <c r="A8200" t="s">
        <v>13</v>
      </c>
      <c r="B8200" t="s">
        <v>234</v>
      </c>
      <c r="C8200" t="s">
        <v>846</v>
      </c>
      <c r="D8200" t="s">
        <v>2017</v>
      </c>
      <c r="E8200" t="s">
        <v>1778</v>
      </c>
      <c r="F8200">
        <v>101079.1399999999</v>
      </c>
    </row>
    <row r="8201" spans="1:6">
      <c r="A8201" t="s">
        <v>13</v>
      </c>
      <c r="B8201" t="s">
        <v>234</v>
      </c>
      <c r="C8201" t="s">
        <v>846</v>
      </c>
      <c r="D8201" t="s">
        <v>2017</v>
      </c>
      <c r="E8201" t="s">
        <v>1779</v>
      </c>
      <c r="F8201">
        <v>55375.09999999994</v>
      </c>
    </row>
    <row r="8202" spans="1:6">
      <c r="A8202" t="s">
        <v>13</v>
      </c>
      <c r="B8202" t="s">
        <v>234</v>
      </c>
      <c r="C8202" t="s">
        <v>846</v>
      </c>
      <c r="D8202" t="s">
        <v>2017</v>
      </c>
      <c r="E8202" t="s">
        <v>2100</v>
      </c>
      <c r="F8202">
        <v>11067.1</v>
      </c>
    </row>
    <row r="8203" spans="1:6">
      <c r="A8203" t="s">
        <v>13</v>
      </c>
      <c r="B8203" t="s">
        <v>234</v>
      </c>
      <c r="C8203" t="s">
        <v>846</v>
      </c>
      <c r="D8203" t="s">
        <v>2017</v>
      </c>
      <c r="E8203" t="s">
        <v>2101</v>
      </c>
      <c r="F8203">
        <v>23365.01</v>
      </c>
    </row>
    <row r="8204" spans="1:6">
      <c r="A8204" t="s">
        <v>13</v>
      </c>
      <c r="B8204" t="s">
        <v>234</v>
      </c>
      <c r="C8204" t="s">
        <v>846</v>
      </c>
      <c r="D8204" t="s">
        <v>2017</v>
      </c>
      <c r="E8204" t="s">
        <v>2102</v>
      </c>
      <c r="F8204">
        <v>4780.95</v>
      </c>
    </row>
    <row r="8205" spans="1:6">
      <c r="A8205" t="s">
        <v>13</v>
      </c>
      <c r="B8205" t="s">
        <v>234</v>
      </c>
      <c r="C8205" t="s">
        <v>846</v>
      </c>
      <c r="D8205" t="s">
        <v>2017</v>
      </c>
      <c r="E8205" t="s">
        <v>2103</v>
      </c>
      <c r="F8205">
        <v>13189.55</v>
      </c>
    </row>
    <row r="8206" spans="1:6">
      <c r="A8206" t="s">
        <v>13</v>
      </c>
      <c r="B8206" t="s">
        <v>234</v>
      </c>
      <c r="C8206" t="s">
        <v>846</v>
      </c>
      <c r="D8206" t="s">
        <v>2017</v>
      </c>
      <c r="E8206" t="s">
        <v>2104</v>
      </c>
      <c r="F8206">
        <v>12349.76</v>
      </c>
    </row>
    <row r="8207" spans="1:6">
      <c r="A8207" t="s">
        <v>13</v>
      </c>
      <c r="B8207" t="s">
        <v>234</v>
      </c>
      <c r="C8207" t="s">
        <v>846</v>
      </c>
      <c r="D8207" t="s">
        <v>2017</v>
      </c>
      <c r="E8207" t="s">
        <v>2105</v>
      </c>
      <c r="F8207">
        <v>1315.139999999999</v>
      </c>
    </row>
    <row r="8208" spans="1:6">
      <c r="A8208" t="s">
        <v>13</v>
      </c>
      <c r="B8208" t="s">
        <v>234</v>
      </c>
      <c r="C8208" t="s">
        <v>846</v>
      </c>
      <c r="D8208" t="s">
        <v>2017</v>
      </c>
      <c r="E8208" t="s">
        <v>1291</v>
      </c>
      <c r="F8208" t="s">
        <v>2084</v>
      </c>
    </row>
    <row r="8209" spans="1:6">
      <c r="A8209" t="s">
        <v>13</v>
      </c>
      <c r="B8209" t="s">
        <v>234</v>
      </c>
      <c r="C8209" t="s">
        <v>846</v>
      </c>
      <c r="D8209" t="s">
        <v>2017</v>
      </c>
      <c r="E8209" t="s">
        <v>1336</v>
      </c>
      <c r="F8209">
        <v>1371</v>
      </c>
    </row>
    <row r="8210" spans="1:6">
      <c r="A8210" t="s">
        <v>13</v>
      </c>
      <c r="B8210" t="s">
        <v>234</v>
      </c>
      <c r="C8210" t="s">
        <v>846</v>
      </c>
      <c r="D8210" t="s">
        <v>2017</v>
      </c>
      <c r="E8210" t="s">
        <v>1337</v>
      </c>
      <c r="F8210">
        <v>1161</v>
      </c>
    </row>
    <row r="8211" spans="1:6">
      <c r="A8211" t="s">
        <v>13</v>
      </c>
      <c r="B8211" t="s">
        <v>234</v>
      </c>
      <c r="C8211" t="s">
        <v>846</v>
      </c>
      <c r="D8211" t="s">
        <v>2017</v>
      </c>
      <c r="E8211" t="s">
        <v>1338</v>
      </c>
      <c r="F8211">
        <v>898</v>
      </c>
    </row>
    <row r="8212" spans="1:6">
      <c r="A8212" t="s">
        <v>13</v>
      </c>
      <c r="B8212" t="s">
        <v>234</v>
      </c>
      <c r="C8212" t="s">
        <v>846</v>
      </c>
      <c r="D8212" t="s">
        <v>2017</v>
      </c>
      <c r="E8212" t="s">
        <v>1339</v>
      </c>
      <c r="F8212">
        <v>943</v>
      </c>
    </row>
    <row r="8213" spans="1:6">
      <c r="A8213" t="s">
        <v>13</v>
      </c>
      <c r="B8213" t="s">
        <v>234</v>
      </c>
      <c r="C8213" t="s">
        <v>846</v>
      </c>
      <c r="D8213" t="s">
        <v>2017</v>
      </c>
      <c r="E8213" t="s">
        <v>1340</v>
      </c>
      <c r="F8213">
        <v>1213</v>
      </c>
    </row>
    <row r="8214" spans="1:6">
      <c r="A8214" t="s">
        <v>13</v>
      </c>
      <c r="B8214" t="s">
        <v>234</v>
      </c>
      <c r="C8214" t="s">
        <v>846</v>
      </c>
      <c r="D8214" t="s">
        <v>2017</v>
      </c>
      <c r="E8214" t="s">
        <v>1341</v>
      </c>
      <c r="F8214">
        <v>614</v>
      </c>
    </row>
    <row r="8215" spans="1:6">
      <c r="A8215" t="s">
        <v>13</v>
      </c>
      <c r="B8215" t="s">
        <v>234</v>
      </c>
      <c r="C8215" t="s">
        <v>846</v>
      </c>
      <c r="D8215" t="s">
        <v>2017</v>
      </c>
      <c r="E8215" t="s">
        <v>1342</v>
      </c>
      <c r="F8215">
        <v>216</v>
      </c>
    </row>
    <row r="8216" spans="1:6">
      <c r="A8216" t="s">
        <v>13</v>
      </c>
      <c r="B8216" t="s">
        <v>234</v>
      </c>
      <c r="C8216" t="s">
        <v>846</v>
      </c>
      <c r="D8216" t="s">
        <v>2017</v>
      </c>
      <c r="E8216" t="s">
        <v>1343</v>
      </c>
      <c r="F8216">
        <v>33</v>
      </c>
    </row>
    <row r="8217" spans="1:6">
      <c r="A8217" t="s">
        <v>13</v>
      </c>
      <c r="B8217" t="s">
        <v>234</v>
      </c>
      <c r="C8217" t="s">
        <v>846</v>
      </c>
      <c r="D8217" t="s">
        <v>2017</v>
      </c>
      <c r="E8217" t="s">
        <v>1344</v>
      </c>
      <c r="F8217">
        <v>69</v>
      </c>
    </row>
    <row r="8218" spans="1:6">
      <c r="A8218" t="s">
        <v>13</v>
      </c>
      <c r="B8218" t="s">
        <v>234</v>
      </c>
      <c r="C8218" t="s">
        <v>846</v>
      </c>
      <c r="D8218" t="s">
        <v>2017</v>
      </c>
      <c r="E8218" t="s">
        <v>1345</v>
      </c>
      <c r="F8218">
        <v>133</v>
      </c>
    </row>
    <row r="8219" spans="1:6">
      <c r="A8219" t="s">
        <v>13</v>
      </c>
      <c r="B8219" t="s">
        <v>234</v>
      </c>
      <c r="C8219" t="s">
        <v>846</v>
      </c>
      <c r="D8219" t="s">
        <v>2017</v>
      </c>
      <c r="E8219" t="s">
        <v>1780</v>
      </c>
      <c r="F8219">
        <v>2042</v>
      </c>
    </row>
    <row r="8220" spans="1:6">
      <c r="A8220" t="s">
        <v>13</v>
      </c>
      <c r="B8220" t="s">
        <v>234</v>
      </c>
      <c r="C8220" t="s">
        <v>846</v>
      </c>
      <c r="D8220" t="s">
        <v>2017</v>
      </c>
      <c r="E8220" t="s">
        <v>1781</v>
      </c>
      <c r="F8220">
        <v>1045</v>
      </c>
    </row>
    <row r="8221" spans="1:6">
      <c r="A8221" t="s">
        <v>13</v>
      </c>
      <c r="B8221" t="s">
        <v>234</v>
      </c>
      <c r="C8221" t="s">
        <v>846</v>
      </c>
      <c r="D8221" t="s">
        <v>2017</v>
      </c>
      <c r="E8221" t="s">
        <v>2106</v>
      </c>
      <c r="F8221">
        <v>117</v>
      </c>
    </row>
    <row r="8222" spans="1:6">
      <c r="A8222" t="s">
        <v>13</v>
      </c>
      <c r="B8222" t="s">
        <v>234</v>
      </c>
      <c r="C8222" t="s">
        <v>846</v>
      </c>
      <c r="D8222" t="s">
        <v>2017</v>
      </c>
      <c r="E8222" t="s">
        <v>2107</v>
      </c>
      <c r="F8222">
        <v>252</v>
      </c>
    </row>
    <row r="8223" spans="1:6">
      <c r="A8223" t="s">
        <v>13</v>
      </c>
      <c r="B8223" t="s">
        <v>234</v>
      </c>
      <c r="C8223" t="s">
        <v>846</v>
      </c>
      <c r="D8223" t="s">
        <v>2017</v>
      </c>
      <c r="E8223" t="s">
        <v>2108</v>
      </c>
      <c r="F8223">
        <v>77</v>
      </c>
    </row>
    <row r="8224" spans="1:6">
      <c r="A8224" t="s">
        <v>13</v>
      </c>
      <c r="B8224" t="s">
        <v>234</v>
      </c>
      <c r="C8224" t="s">
        <v>846</v>
      </c>
      <c r="D8224" t="s">
        <v>2017</v>
      </c>
      <c r="E8224" t="s">
        <v>2109</v>
      </c>
      <c r="F8224">
        <v>147</v>
      </c>
    </row>
    <row r="8225" spans="1:6">
      <c r="A8225" t="s">
        <v>13</v>
      </c>
      <c r="B8225" t="s">
        <v>234</v>
      </c>
      <c r="C8225" t="s">
        <v>846</v>
      </c>
      <c r="D8225" t="s">
        <v>2017</v>
      </c>
      <c r="E8225" t="s">
        <v>2110</v>
      </c>
      <c r="F8225">
        <v>60</v>
      </c>
    </row>
    <row r="8226" spans="1:6">
      <c r="A8226" t="s">
        <v>13</v>
      </c>
      <c r="B8226" t="s">
        <v>234</v>
      </c>
      <c r="C8226" t="s">
        <v>846</v>
      </c>
      <c r="D8226" t="s">
        <v>2017</v>
      </c>
      <c r="E8226" t="s">
        <v>2111</v>
      </c>
      <c r="F8226">
        <v>160</v>
      </c>
    </row>
    <row r="8227" spans="1:6">
      <c r="A8227" t="s">
        <v>13</v>
      </c>
      <c r="B8227" t="s">
        <v>234</v>
      </c>
      <c r="C8227" t="s">
        <v>846</v>
      </c>
      <c r="D8227" t="s">
        <v>2017</v>
      </c>
      <c r="E8227" t="s">
        <v>1099</v>
      </c>
      <c r="F8227" t="s">
        <v>2112</v>
      </c>
    </row>
    <row r="8228" spans="1:6">
      <c r="A8228" t="s">
        <v>13</v>
      </c>
      <c r="B8228" t="s">
        <v>234</v>
      </c>
      <c r="C8228" t="s">
        <v>846</v>
      </c>
      <c r="D8228" t="s">
        <v>2017</v>
      </c>
      <c r="E8228" t="s">
        <v>1100</v>
      </c>
      <c r="F8228" t="s">
        <v>2068</v>
      </c>
    </row>
    <row r="8229" spans="1:6">
      <c r="A8229" t="s">
        <v>13</v>
      </c>
      <c r="B8229" t="s">
        <v>234</v>
      </c>
      <c r="C8229" t="s">
        <v>846</v>
      </c>
      <c r="D8229" t="s">
        <v>2017</v>
      </c>
      <c r="E8229" t="s">
        <v>1101</v>
      </c>
      <c r="F8229">
        <v>223419.5700000033</v>
      </c>
    </row>
    <row r="8230" spans="1:6">
      <c r="A8230" t="s">
        <v>13</v>
      </c>
      <c r="B8230" t="s">
        <v>234</v>
      </c>
      <c r="C8230" t="s">
        <v>846</v>
      </c>
      <c r="D8230" t="s">
        <v>2017</v>
      </c>
      <c r="E8230" t="s">
        <v>1512</v>
      </c>
      <c r="F8230">
        <v>1266650.52999994</v>
      </c>
    </row>
    <row r="8231" spans="1:6">
      <c r="A8231" t="s">
        <v>13</v>
      </c>
      <c r="B8231" t="s">
        <v>234</v>
      </c>
      <c r="C8231" t="s">
        <v>846</v>
      </c>
      <c r="D8231" t="s">
        <v>2017</v>
      </c>
      <c r="E8231" t="s">
        <v>1513</v>
      </c>
      <c r="F8231">
        <v>335010.0400000123</v>
      </c>
    </row>
    <row r="8232" spans="1:6">
      <c r="A8232" t="s">
        <v>13</v>
      </c>
      <c r="B8232" t="s">
        <v>234</v>
      </c>
      <c r="C8232" t="s">
        <v>846</v>
      </c>
      <c r="D8232" t="s">
        <v>2017</v>
      </c>
      <c r="E8232" t="s">
        <v>1514</v>
      </c>
      <c r="F8232">
        <v>186031.0300000018</v>
      </c>
    </row>
    <row r="8233" spans="1:6">
      <c r="A8233" t="s">
        <v>13</v>
      </c>
      <c r="B8233" t="s">
        <v>234</v>
      </c>
      <c r="C8233" t="s">
        <v>846</v>
      </c>
      <c r="D8233" t="s">
        <v>2017</v>
      </c>
      <c r="E8233" t="s">
        <v>1515</v>
      </c>
      <c r="F8233">
        <v>410473.7700000005</v>
      </c>
    </row>
    <row r="8234" spans="1:6">
      <c r="A8234" t="s">
        <v>13</v>
      </c>
      <c r="B8234" t="s">
        <v>234</v>
      </c>
      <c r="C8234" t="s">
        <v>846</v>
      </c>
      <c r="D8234" t="s">
        <v>2017</v>
      </c>
      <c r="E8234" t="s">
        <v>1516</v>
      </c>
      <c r="F8234">
        <v>134260.9299999995</v>
      </c>
    </row>
    <row r="8235" spans="1:6">
      <c r="A8235" t="s">
        <v>13</v>
      </c>
      <c r="B8235" t="s">
        <v>234</v>
      </c>
      <c r="C8235" t="s">
        <v>846</v>
      </c>
      <c r="D8235" t="s">
        <v>2017</v>
      </c>
      <c r="E8235" t="s">
        <v>1517</v>
      </c>
      <c r="F8235">
        <v>225528.7000000011</v>
      </c>
    </row>
    <row r="8236" spans="1:6">
      <c r="A8236" t="s">
        <v>13</v>
      </c>
      <c r="B8236" t="s">
        <v>234</v>
      </c>
      <c r="C8236" t="s">
        <v>846</v>
      </c>
      <c r="D8236" t="s">
        <v>2017</v>
      </c>
      <c r="E8236" t="s">
        <v>1518</v>
      </c>
      <c r="F8236">
        <v>113314.6299999996</v>
      </c>
    </row>
    <row r="8237" spans="1:6">
      <c r="A8237" t="s">
        <v>13</v>
      </c>
      <c r="B8237" t="s">
        <v>234</v>
      </c>
      <c r="C8237" t="s">
        <v>846</v>
      </c>
      <c r="D8237" t="s">
        <v>2017</v>
      </c>
      <c r="E8237" t="s">
        <v>1519</v>
      </c>
      <c r="F8237">
        <v>137431.1399999998</v>
      </c>
    </row>
    <row r="8238" spans="1:6">
      <c r="A8238" t="s">
        <v>13</v>
      </c>
      <c r="B8238" t="s">
        <v>234</v>
      </c>
      <c r="C8238" t="s">
        <v>846</v>
      </c>
      <c r="D8238" t="s">
        <v>2017</v>
      </c>
      <c r="E8238" t="s">
        <v>1520</v>
      </c>
      <c r="F8238">
        <v>110732.1299999996</v>
      </c>
    </row>
    <row r="8239" spans="1:6">
      <c r="A8239" t="s">
        <v>13</v>
      </c>
      <c r="B8239" t="s">
        <v>234</v>
      </c>
      <c r="C8239" t="s">
        <v>846</v>
      </c>
      <c r="D8239" t="s">
        <v>2017</v>
      </c>
      <c r="E8239" t="s">
        <v>1785</v>
      </c>
      <c r="F8239">
        <v>329924.9599999999</v>
      </c>
    </row>
    <row r="8240" spans="1:6">
      <c r="A8240" t="s">
        <v>13</v>
      </c>
      <c r="B8240" t="s">
        <v>234</v>
      </c>
      <c r="C8240" t="s">
        <v>846</v>
      </c>
      <c r="D8240" t="s">
        <v>2017</v>
      </c>
      <c r="E8240" t="s">
        <v>1786</v>
      </c>
      <c r="F8240">
        <v>183126.5000000004</v>
      </c>
    </row>
    <row r="8241" spans="1:6">
      <c r="A8241" t="s">
        <v>13</v>
      </c>
      <c r="B8241" t="s">
        <v>234</v>
      </c>
      <c r="C8241" t="s">
        <v>846</v>
      </c>
      <c r="D8241" t="s">
        <v>2017</v>
      </c>
      <c r="E8241" t="s">
        <v>2113</v>
      </c>
      <c r="F8241">
        <v>178780.4299999999</v>
      </c>
    </row>
    <row r="8242" spans="1:6">
      <c r="A8242" t="s">
        <v>13</v>
      </c>
      <c r="B8242" t="s">
        <v>234</v>
      </c>
      <c r="C8242" t="s">
        <v>846</v>
      </c>
      <c r="D8242" t="s">
        <v>2017</v>
      </c>
      <c r="E8242" t="s">
        <v>2114</v>
      </c>
      <c r="F8242">
        <v>71362.26999999992</v>
      </c>
    </row>
    <row r="8243" spans="1:6">
      <c r="A8243" t="s">
        <v>13</v>
      </c>
      <c r="B8243" t="s">
        <v>234</v>
      </c>
      <c r="C8243" t="s">
        <v>846</v>
      </c>
      <c r="D8243" t="s">
        <v>2017</v>
      </c>
      <c r="E8243" t="s">
        <v>2115</v>
      </c>
      <c r="F8243">
        <v>142934.96</v>
      </c>
    </row>
    <row r="8244" spans="1:6">
      <c r="A8244" t="s">
        <v>13</v>
      </c>
      <c r="B8244" t="s">
        <v>234</v>
      </c>
      <c r="C8244" t="s">
        <v>846</v>
      </c>
      <c r="D8244" t="s">
        <v>2017</v>
      </c>
      <c r="E8244" t="s">
        <v>2116</v>
      </c>
      <c r="F8244">
        <v>160913.0099999998</v>
      </c>
    </row>
    <row r="8245" spans="1:6">
      <c r="A8245" t="s">
        <v>13</v>
      </c>
      <c r="B8245" t="s">
        <v>234</v>
      </c>
      <c r="C8245" t="s">
        <v>846</v>
      </c>
      <c r="D8245" t="s">
        <v>2017</v>
      </c>
      <c r="E8245" t="s">
        <v>2117</v>
      </c>
      <c r="F8245">
        <v>27911417.85999849</v>
      </c>
    </row>
    <row r="8246" spans="1:6">
      <c r="A8246" t="s">
        <v>13</v>
      </c>
      <c r="B8246" t="s">
        <v>234</v>
      </c>
      <c r="C8246" t="s">
        <v>846</v>
      </c>
      <c r="D8246" t="s">
        <v>2017</v>
      </c>
      <c r="E8246" t="s">
        <v>2118</v>
      </c>
      <c r="F8246">
        <v>150862.4499999985</v>
      </c>
    </row>
    <row r="8247" spans="1:6">
      <c r="A8247" t="s">
        <v>13</v>
      </c>
      <c r="B8247" t="s">
        <v>234</v>
      </c>
      <c r="C8247" t="s">
        <v>846</v>
      </c>
      <c r="D8247" t="s">
        <v>2017</v>
      </c>
      <c r="E8247" t="s">
        <v>1104</v>
      </c>
      <c r="F8247" t="s">
        <v>2084</v>
      </c>
    </row>
    <row r="8248" spans="1:6">
      <c r="A8248" t="s">
        <v>13</v>
      </c>
      <c r="B8248" t="s">
        <v>234</v>
      </c>
      <c r="C8248" t="s">
        <v>846</v>
      </c>
      <c r="D8248" t="s">
        <v>2017</v>
      </c>
      <c r="E8248" t="s">
        <v>1105</v>
      </c>
      <c r="F8248">
        <v>95044</v>
      </c>
    </row>
    <row r="8249" spans="1:6">
      <c r="A8249" t="s">
        <v>13</v>
      </c>
      <c r="B8249" t="s">
        <v>234</v>
      </c>
      <c r="C8249" t="s">
        <v>846</v>
      </c>
      <c r="D8249" t="s">
        <v>2017</v>
      </c>
      <c r="E8249" t="s">
        <v>1346</v>
      </c>
      <c r="F8249">
        <v>128028</v>
      </c>
    </row>
    <row r="8250" spans="1:6">
      <c r="A8250" t="s">
        <v>13</v>
      </c>
      <c r="B8250" t="s">
        <v>234</v>
      </c>
      <c r="C8250" t="s">
        <v>846</v>
      </c>
      <c r="D8250" t="s">
        <v>2017</v>
      </c>
      <c r="E8250" t="s">
        <v>1347</v>
      </c>
      <c r="F8250">
        <v>109784</v>
      </c>
    </row>
    <row r="8251" spans="1:6">
      <c r="A8251" t="s">
        <v>13</v>
      </c>
      <c r="B8251" t="s">
        <v>234</v>
      </c>
      <c r="C8251" t="s">
        <v>846</v>
      </c>
      <c r="D8251" t="s">
        <v>2017</v>
      </c>
      <c r="E8251" t="s">
        <v>1348</v>
      </c>
      <c r="F8251">
        <v>5136</v>
      </c>
    </row>
    <row r="8252" spans="1:6">
      <c r="A8252" t="s">
        <v>13</v>
      </c>
      <c r="B8252" t="s">
        <v>234</v>
      </c>
      <c r="C8252" t="s">
        <v>846</v>
      </c>
      <c r="D8252" t="s">
        <v>2017</v>
      </c>
      <c r="E8252" t="s">
        <v>1349</v>
      </c>
      <c r="F8252">
        <v>2987</v>
      </c>
    </row>
    <row r="8253" spans="1:6">
      <c r="A8253" t="s">
        <v>13</v>
      </c>
      <c r="B8253" t="s">
        <v>234</v>
      </c>
      <c r="C8253" t="s">
        <v>846</v>
      </c>
      <c r="D8253" t="s">
        <v>2017</v>
      </c>
      <c r="E8253" t="s">
        <v>1350</v>
      </c>
      <c r="F8253">
        <v>2882</v>
      </c>
    </row>
    <row r="8254" spans="1:6">
      <c r="A8254" t="s">
        <v>13</v>
      </c>
      <c r="B8254" t="s">
        <v>234</v>
      </c>
      <c r="C8254" t="s">
        <v>846</v>
      </c>
      <c r="D8254" t="s">
        <v>2017</v>
      </c>
      <c r="E8254" t="s">
        <v>1351</v>
      </c>
      <c r="F8254">
        <v>3978</v>
      </c>
    </row>
    <row r="8255" spans="1:6">
      <c r="A8255" t="s">
        <v>13</v>
      </c>
      <c r="B8255" t="s">
        <v>234</v>
      </c>
      <c r="C8255" t="s">
        <v>846</v>
      </c>
      <c r="D8255" t="s">
        <v>2017</v>
      </c>
      <c r="E8255" t="s">
        <v>1352</v>
      </c>
      <c r="F8255">
        <v>2472</v>
      </c>
    </row>
    <row r="8256" spans="1:6">
      <c r="A8256" t="s">
        <v>13</v>
      </c>
      <c r="B8256" t="s">
        <v>234</v>
      </c>
      <c r="C8256" t="s">
        <v>846</v>
      </c>
      <c r="D8256" t="s">
        <v>2017</v>
      </c>
      <c r="E8256" t="s">
        <v>1353</v>
      </c>
      <c r="F8256">
        <v>2404</v>
      </c>
    </row>
    <row r="8257" spans="1:6">
      <c r="A8257" t="s">
        <v>13</v>
      </c>
      <c r="B8257" t="s">
        <v>234</v>
      </c>
      <c r="C8257" t="s">
        <v>846</v>
      </c>
      <c r="D8257" t="s">
        <v>2017</v>
      </c>
      <c r="E8257" t="s">
        <v>1354</v>
      </c>
      <c r="F8257">
        <v>2118</v>
      </c>
    </row>
    <row r="8258" spans="1:6">
      <c r="A8258" t="s">
        <v>13</v>
      </c>
      <c r="B8258" t="s">
        <v>234</v>
      </c>
      <c r="C8258" t="s">
        <v>846</v>
      </c>
      <c r="D8258" t="s">
        <v>2017</v>
      </c>
      <c r="E8258" t="s">
        <v>1788</v>
      </c>
      <c r="F8258">
        <v>1857</v>
      </c>
    </row>
    <row r="8259" spans="1:6">
      <c r="A8259" t="s">
        <v>13</v>
      </c>
      <c r="B8259" t="s">
        <v>234</v>
      </c>
      <c r="C8259" t="s">
        <v>846</v>
      </c>
      <c r="D8259" t="s">
        <v>2017</v>
      </c>
      <c r="E8259" t="s">
        <v>1789</v>
      </c>
      <c r="F8259">
        <v>2846</v>
      </c>
    </row>
    <row r="8260" spans="1:6">
      <c r="A8260" t="s">
        <v>13</v>
      </c>
      <c r="B8260" t="s">
        <v>234</v>
      </c>
      <c r="C8260" t="s">
        <v>846</v>
      </c>
      <c r="D8260" t="s">
        <v>2017</v>
      </c>
      <c r="E8260" t="s">
        <v>2119</v>
      </c>
      <c r="F8260">
        <v>3037</v>
      </c>
    </row>
    <row r="8261" spans="1:6">
      <c r="A8261" t="s">
        <v>13</v>
      </c>
      <c r="B8261" t="s">
        <v>234</v>
      </c>
      <c r="C8261" t="s">
        <v>846</v>
      </c>
      <c r="D8261" t="s">
        <v>2017</v>
      </c>
      <c r="E8261" t="s">
        <v>2120</v>
      </c>
      <c r="F8261">
        <v>1340</v>
      </c>
    </row>
    <row r="8262" spans="1:6">
      <c r="A8262" t="s">
        <v>13</v>
      </c>
      <c r="B8262" t="s">
        <v>234</v>
      </c>
      <c r="C8262" t="s">
        <v>846</v>
      </c>
      <c r="D8262" t="s">
        <v>2017</v>
      </c>
      <c r="E8262" t="s">
        <v>2121</v>
      </c>
      <c r="F8262">
        <v>2537</v>
      </c>
    </row>
    <row r="8263" spans="1:6">
      <c r="A8263" t="s">
        <v>13</v>
      </c>
      <c r="B8263" t="s">
        <v>234</v>
      </c>
      <c r="C8263" t="s">
        <v>846</v>
      </c>
      <c r="D8263" t="s">
        <v>2017</v>
      </c>
      <c r="E8263" t="s">
        <v>2122</v>
      </c>
      <c r="F8263">
        <v>3315</v>
      </c>
    </row>
    <row r="8264" spans="1:6">
      <c r="A8264" t="s">
        <v>13</v>
      </c>
      <c r="B8264" t="s">
        <v>234</v>
      </c>
      <c r="C8264" t="s">
        <v>846</v>
      </c>
      <c r="D8264" t="s">
        <v>2017</v>
      </c>
      <c r="E8264" t="s">
        <v>2123</v>
      </c>
      <c r="F8264">
        <v>269002</v>
      </c>
    </row>
    <row r="8265" spans="1:6">
      <c r="A8265" t="s">
        <v>13</v>
      </c>
      <c r="B8265" t="s">
        <v>234</v>
      </c>
      <c r="C8265" t="s">
        <v>846</v>
      </c>
      <c r="D8265" t="s">
        <v>2017</v>
      </c>
      <c r="E8265" t="s">
        <v>2124</v>
      </c>
      <c r="F8265">
        <v>2498</v>
      </c>
    </row>
    <row r="8266" spans="1:6">
      <c r="A8266" t="s">
        <v>13</v>
      </c>
      <c r="B8266" t="s">
        <v>234</v>
      </c>
      <c r="C8266" t="s">
        <v>846</v>
      </c>
      <c r="D8266" t="s">
        <v>2017</v>
      </c>
      <c r="E8266" t="s">
        <v>1109</v>
      </c>
      <c r="F8266" t="s">
        <v>2125</v>
      </c>
    </row>
    <row r="8267" spans="1:6">
      <c r="A8267" t="s">
        <v>13</v>
      </c>
      <c r="B8267" t="s">
        <v>234</v>
      </c>
      <c r="C8267" t="s">
        <v>846</v>
      </c>
      <c r="D8267" t="s">
        <v>2017</v>
      </c>
      <c r="E8267" t="s">
        <v>1110</v>
      </c>
      <c r="F8267">
        <v>53009819.96999805</v>
      </c>
    </row>
    <row r="8268" spans="1:6">
      <c r="A8268" t="s">
        <v>13</v>
      </c>
      <c r="B8268" t="s">
        <v>234</v>
      </c>
      <c r="C8268" t="s">
        <v>846</v>
      </c>
      <c r="D8268" t="s">
        <v>2017</v>
      </c>
      <c r="E8268" t="s">
        <v>1521</v>
      </c>
      <c r="F8268">
        <v>51814365.25999805</v>
      </c>
    </row>
    <row r="8269" spans="1:6">
      <c r="A8269" t="s">
        <v>13</v>
      </c>
      <c r="B8269" t="s">
        <v>234</v>
      </c>
      <c r="C8269" t="s">
        <v>846</v>
      </c>
      <c r="D8269" t="s">
        <v>2017</v>
      </c>
      <c r="E8269" t="s">
        <v>1522</v>
      </c>
      <c r="F8269">
        <v>51520730.09999806</v>
      </c>
    </row>
    <row r="8270" spans="1:6">
      <c r="A8270" t="s">
        <v>13</v>
      </c>
      <c r="B8270" t="s">
        <v>234</v>
      </c>
      <c r="C8270" t="s">
        <v>846</v>
      </c>
      <c r="D8270" t="s">
        <v>2017</v>
      </c>
      <c r="E8270" t="s">
        <v>1523</v>
      </c>
      <c r="F8270">
        <v>51437309.58999805</v>
      </c>
    </row>
    <row r="8271" spans="1:6">
      <c r="A8271" t="s">
        <v>13</v>
      </c>
      <c r="B8271" t="s">
        <v>234</v>
      </c>
      <c r="C8271" t="s">
        <v>846</v>
      </c>
      <c r="D8271" t="s">
        <v>2017</v>
      </c>
      <c r="E8271" t="s">
        <v>1524</v>
      </c>
      <c r="F8271">
        <v>51197050.92999806</v>
      </c>
    </row>
    <row r="8272" spans="1:6">
      <c r="A8272" t="s">
        <v>13</v>
      </c>
      <c r="B8272" t="s">
        <v>234</v>
      </c>
      <c r="C8272" t="s">
        <v>846</v>
      </c>
      <c r="D8272" t="s">
        <v>2017</v>
      </c>
      <c r="E8272" t="s">
        <v>1525</v>
      </c>
      <c r="F8272">
        <v>51152204.37999806</v>
      </c>
    </row>
    <row r="8273" spans="1:6">
      <c r="A8273" t="s">
        <v>13</v>
      </c>
      <c r="B8273" t="s">
        <v>234</v>
      </c>
      <c r="C8273" t="s">
        <v>846</v>
      </c>
      <c r="D8273" t="s">
        <v>2017</v>
      </c>
      <c r="E8273" t="s">
        <v>1526</v>
      </c>
      <c r="F8273">
        <v>50942568.92999806</v>
      </c>
    </row>
    <row r="8274" spans="1:6">
      <c r="A8274" t="s">
        <v>13</v>
      </c>
      <c r="B8274" t="s">
        <v>234</v>
      </c>
      <c r="C8274" t="s">
        <v>846</v>
      </c>
      <c r="D8274" t="s">
        <v>2017</v>
      </c>
      <c r="E8274" t="s">
        <v>1527</v>
      </c>
      <c r="F8274">
        <v>50831097.50999805</v>
      </c>
    </row>
    <row r="8275" spans="1:6">
      <c r="A8275" t="s">
        <v>13</v>
      </c>
      <c r="B8275" t="s">
        <v>234</v>
      </c>
      <c r="C8275" t="s">
        <v>846</v>
      </c>
      <c r="D8275" t="s">
        <v>2017</v>
      </c>
      <c r="E8275" t="s">
        <v>1528</v>
      </c>
      <c r="F8275">
        <v>50701338.91999806</v>
      </c>
    </row>
    <row r="8276" spans="1:6">
      <c r="A8276" t="s">
        <v>13</v>
      </c>
      <c r="B8276" t="s">
        <v>234</v>
      </c>
      <c r="C8276" t="s">
        <v>846</v>
      </c>
      <c r="D8276" t="s">
        <v>2017</v>
      </c>
      <c r="E8276" t="s">
        <v>1529</v>
      </c>
      <c r="F8276">
        <v>51076117.92999981</v>
      </c>
    </row>
    <row r="8277" spans="1:6">
      <c r="A8277" t="s">
        <v>13</v>
      </c>
      <c r="B8277" t="s">
        <v>234</v>
      </c>
      <c r="C8277" t="s">
        <v>846</v>
      </c>
      <c r="D8277" t="s">
        <v>2017</v>
      </c>
      <c r="E8277" t="s">
        <v>2126</v>
      </c>
      <c r="F8277">
        <v>50846990.9099998</v>
      </c>
    </row>
    <row r="8278" spans="1:6">
      <c r="A8278" t="s">
        <v>13</v>
      </c>
      <c r="B8278" t="s">
        <v>234</v>
      </c>
      <c r="C8278" t="s">
        <v>846</v>
      </c>
      <c r="D8278" t="s">
        <v>2017</v>
      </c>
      <c r="E8278" t="s">
        <v>2127</v>
      </c>
      <c r="F8278">
        <v>50719239.5099998</v>
      </c>
    </row>
    <row r="8279" spans="1:6">
      <c r="A8279" t="s">
        <v>13</v>
      </c>
      <c r="B8279" t="s">
        <v>234</v>
      </c>
      <c r="C8279" t="s">
        <v>846</v>
      </c>
      <c r="D8279" t="s">
        <v>2017</v>
      </c>
      <c r="E8279" t="s">
        <v>2128</v>
      </c>
      <c r="F8279">
        <v>50619224.08000208</v>
      </c>
    </row>
    <row r="8280" spans="1:6">
      <c r="A8280" t="s">
        <v>13</v>
      </c>
      <c r="B8280" t="s">
        <v>234</v>
      </c>
      <c r="C8280" t="s">
        <v>846</v>
      </c>
      <c r="D8280" t="s">
        <v>2017</v>
      </c>
      <c r="E8280" t="s">
        <v>2129</v>
      </c>
      <c r="F8280">
        <v>50571226.82000208</v>
      </c>
    </row>
    <row r="8281" spans="1:6">
      <c r="A8281" t="s">
        <v>13</v>
      </c>
      <c r="B8281" t="s">
        <v>234</v>
      </c>
      <c r="C8281" t="s">
        <v>846</v>
      </c>
      <c r="D8281" t="s">
        <v>2017</v>
      </c>
      <c r="E8281" t="s">
        <v>2130</v>
      </c>
      <c r="F8281">
        <v>50433072.81000207</v>
      </c>
    </row>
    <row r="8282" spans="1:6">
      <c r="A8282" t="s">
        <v>13</v>
      </c>
      <c r="B8282" t="s">
        <v>234</v>
      </c>
      <c r="C8282" t="s">
        <v>846</v>
      </c>
      <c r="D8282" t="s">
        <v>2017</v>
      </c>
      <c r="E8282" t="s">
        <v>2131</v>
      </c>
      <c r="F8282">
        <v>50373696.94000211</v>
      </c>
    </row>
    <row r="8283" spans="1:6">
      <c r="A8283" t="s">
        <v>13</v>
      </c>
      <c r="B8283" t="s">
        <v>234</v>
      </c>
      <c r="C8283" t="s">
        <v>846</v>
      </c>
      <c r="D8283" t="s">
        <v>2017</v>
      </c>
      <c r="E8283" t="s">
        <v>2132</v>
      </c>
      <c r="F8283">
        <v>22474628.84000267</v>
      </c>
    </row>
    <row r="8284" spans="1:6">
      <c r="A8284" t="s">
        <v>13</v>
      </c>
      <c r="B8284" t="s">
        <v>234</v>
      </c>
      <c r="C8284" t="s">
        <v>846</v>
      </c>
      <c r="D8284" t="s">
        <v>2017</v>
      </c>
      <c r="E8284" t="s">
        <v>2133</v>
      </c>
      <c r="F8284">
        <v>22338552.44000267</v>
      </c>
    </row>
    <row r="8285" spans="1:6">
      <c r="A8285" t="s">
        <v>13</v>
      </c>
      <c r="B8285" t="s">
        <v>234</v>
      </c>
      <c r="C8285" t="s">
        <v>846</v>
      </c>
      <c r="D8285" t="s">
        <v>2017</v>
      </c>
      <c r="E8285" t="s">
        <v>1115</v>
      </c>
      <c r="F8285">
        <v>2002</v>
      </c>
    </row>
    <row r="8286" spans="1:6">
      <c r="A8286" t="s">
        <v>13</v>
      </c>
      <c r="B8286" t="s">
        <v>234</v>
      </c>
      <c r="C8286" t="s">
        <v>846</v>
      </c>
      <c r="D8286" t="s">
        <v>2017</v>
      </c>
      <c r="E8286" t="s">
        <v>1116</v>
      </c>
      <c r="F8286">
        <v>32.64</v>
      </c>
    </row>
    <row r="8287" spans="1:6">
      <c r="A8287" t="s">
        <v>13</v>
      </c>
      <c r="B8287" t="s">
        <v>234</v>
      </c>
      <c r="C8287" t="s">
        <v>846</v>
      </c>
      <c r="D8287" t="s">
        <v>2017</v>
      </c>
      <c r="E8287" t="s">
        <v>1857</v>
      </c>
      <c r="F8287">
        <v>32.64</v>
      </c>
    </row>
    <row r="8288" spans="1:6">
      <c r="A8288" t="s">
        <v>13</v>
      </c>
      <c r="B8288" t="s">
        <v>234</v>
      </c>
      <c r="C8288" t="s">
        <v>846</v>
      </c>
      <c r="D8288" t="s">
        <v>2017</v>
      </c>
      <c r="E8288" t="s">
        <v>1750</v>
      </c>
      <c r="F8288">
        <v>32.64</v>
      </c>
    </row>
    <row r="8289" spans="1:6">
      <c r="A8289" t="s">
        <v>13</v>
      </c>
      <c r="B8289" t="s">
        <v>234</v>
      </c>
      <c r="C8289" t="s">
        <v>846</v>
      </c>
      <c r="D8289" t="s">
        <v>2017</v>
      </c>
      <c r="E8289" t="s">
        <v>2134</v>
      </c>
      <c r="F8289">
        <v>32.64</v>
      </c>
    </row>
    <row r="8290" spans="1:6">
      <c r="A8290" t="s">
        <v>13</v>
      </c>
      <c r="B8290" t="s">
        <v>234</v>
      </c>
      <c r="C8290" t="s">
        <v>846</v>
      </c>
      <c r="D8290" t="s">
        <v>2017</v>
      </c>
      <c r="E8290" t="s">
        <v>2135</v>
      </c>
      <c r="F8290">
        <v>32.64</v>
      </c>
    </row>
    <row r="8291" spans="1:6">
      <c r="A8291" t="s">
        <v>13</v>
      </c>
      <c r="B8291" t="s">
        <v>234</v>
      </c>
      <c r="C8291" t="s">
        <v>846</v>
      </c>
      <c r="D8291" t="s">
        <v>2017</v>
      </c>
      <c r="E8291" t="s">
        <v>1790</v>
      </c>
      <c r="F8291">
        <v>32.64</v>
      </c>
    </row>
    <row r="8292" spans="1:6">
      <c r="A8292" t="s">
        <v>13</v>
      </c>
      <c r="B8292" t="s">
        <v>234</v>
      </c>
      <c r="C8292" t="s">
        <v>846</v>
      </c>
      <c r="D8292" t="s">
        <v>2017</v>
      </c>
      <c r="E8292" t="s">
        <v>1791</v>
      </c>
      <c r="F8292">
        <v>32.64</v>
      </c>
    </row>
    <row r="8293" spans="1:6">
      <c r="A8293" t="s">
        <v>13</v>
      </c>
      <c r="B8293" t="s">
        <v>234</v>
      </c>
      <c r="C8293" t="s">
        <v>846</v>
      </c>
      <c r="D8293" t="s">
        <v>2017</v>
      </c>
      <c r="E8293" t="s">
        <v>1792</v>
      </c>
      <c r="F8293">
        <v>32.64</v>
      </c>
    </row>
    <row r="8294" spans="1:6">
      <c r="A8294" t="s">
        <v>13</v>
      </c>
      <c r="B8294" t="s">
        <v>234</v>
      </c>
      <c r="C8294" t="s">
        <v>846</v>
      </c>
      <c r="D8294" t="s">
        <v>2017</v>
      </c>
      <c r="E8294" t="s">
        <v>2136</v>
      </c>
      <c r="F8294">
        <v>32.64</v>
      </c>
    </row>
    <row r="8295" spans="1:6">
      <c r="A8295" t="s">
        <v>13</v>
      </c>
      <c r="B8295" t="s">
        <v>234</v>
      </c>
      <c r="C8295" t="s">
        <v>846</v>
      </c>
      <c r="D8295" t="s">
        <v>2017</v>
      </c>
      <c r="E8295" t="s">
        <v>2137</v>
      </c>
      <c r="F8295">
        <v>32.64</v>
      </c>
    </row>
    <row r="8296" spans="1:6">
      <c r="A8296" t="s">
        <v>13</v>
      </c>
      <c r="B8296" t="s">
        <v>234</v>
      </c>
      <c r="C8296" t="s">
        <v>846</v>
      </c>
      <c r="D8296" t="s">
        <v>2017</v>
      </c>
      <c r="E8296" t="s">
        <v>2138</v>
      </c>
      <c r="F8296">
        <v>32.64</v>
      </c>
    </row>
    <row r="8297" spans="1:6">
      <c r="A8297" t="s">
        <v>13</v>
      </c>
      <c r="B8297" t="s">
        <v>234</v>
      </c>
      <c r="C8297" t="s">
        <v>846</v>
      </c>
      <c r="D8297" t="s">
        <v>2017</v>
      </c>
      <c r="E8297" t="s">
        <v>2139</v>
      </c>
      <c r="F8297">
        <v>32.64</v>
      </c>
    </row>
    <row r="8298" spans="1:6">
      <c r="A8298" t="s">
        <v>13</v>
      </c>
      <c r="B8298" t="s">
        <v>234</v>
      </c>
      <c r="C8298" t="s">
        <v>846</v>
      </c>
      <c r="D8298" t="s">
        <v>2017</v>
      </c>
      <c r="E8298" t="s">
        <v>2140</v>
      </c>
      <c r="F8298">
        <v>32.64</v>
      </c>
    </row>
    <row r="8299" spans="1:6">
      <c r="A8299" t="s">
        <v>13</v>
      </c>
      <c r="B8299" t="s">
        <v>234</v>
      </c>
      <c r="C8299" t="s">
        <v>846</v>
      </c>
      <c r="D8299" t="s">
        <v>2017</v>
      </c>
      <c r="E8299" t="s">
        <v>2141</v>
      </c>
      <c r="F8299">
        <v>32.64</v>
      </c>
    </row>
    <row r="8300" spans="1:6">
      <c r="A8300" t="s">
        <v>13</v>
      </c>
      <c r="B8300" t="s">
        <v>234</v>
      </c>
      <c r="C8300" t="s">
        <v>846</v>
      </c>
      <c r="D8300" t="s">
        <v>2017</v>
      </c>
      <c r="E8300" t="s">
        <v>2142</v>
      </c>
      <c r="F8300">
        <v>32.64</v>
      </c>
    </row>
    <row r="8301" spans="1:6">
      <c r="A8301" t="s">
        <v>13</v>
      </c>
      <c r="B8301" t="s">
        <v>234</v>
      </c>
      <c r="C8301" t="s">
        <v>846</v>
      </c>
      <c r="D8301" t="s">
        <v>2017</v>
      </c>
      <c r="E8301" t="s">
        <v>2143</v>
      </c>
      <c r="F8301">
        <v>32.64</v>
      </c>
    </row>
    <row r="8302" spans="1:6">
      <c r="A8302" t="s">
        <v>13</v>
      </c>
      <c r="B8302" t="s">
        <v>234</v>
      </c>
      <c r="C8302" t="s">
        <v>846</v>
      </c>
      <c r="D8302" t="s">
        <v>2017</v>
      </c>
      <c r="E8302" t="s">
        <v>2144</v>
      </c>
      <c r="F8302">
        <v>32.64</v>
      </c>
    </row>
    <row r="8303" spans="1:6">
      <c r="A8303" t="s">
        <v>13</v>
      </c>
      <c r="B8303" t="s">
        <v>234</v>
      </c>
      <c r="C8303" t="s">
        <v>846</v>
      </c>
      <c r="D8303" t="s">
        <v>2017</v>
      </c>
      <c r="E8303" t="s">
        <v>2145</v>
      </c>
      <c r="F8303">
        <v>32.64</v>
      </c>
    </row>
    <row r="8304" spans="1:6">
      <c r="A8304" t="s">
        <v>13</v>
      </c>
      <c r="B8304" t="s">
        <v>234</v>
      </c>
      <c r="C8304" t="s">
        <v>846</v>
      </c>
      <c r="D8304" t="s">
        <v>2017</v>
      </c>
      <c r="E8304" t="s">
        <v>1120</v>
      </c>
      <c r="F8304">
        <v>2003</v>
      </c>
    </row>
    <row r="8305" spans="1:6">
      <c r="A8305" t="s">
        <v>13</v>
      </c>
      <c r="B8305" t="s">
        <v>234</v>
      </c>
      <c r="C8305" t="s">
        <v>846</v>
      </c>
      <c r="D8305" t="s">
        <v>2017</v>
      </c>
      <c r="E8305" t="s">
        <v>1121</v>
      </c>
      <c r="F8305">
        <v>11750.67</v>
      </c>
    </row>
    <row r="8306" spans="1:6">
      <c r="A8306" t="s">
        <v>13</v>
      </c>
      <c r="B8306" t="s">
        <v>234</v>
      </c>
      <c r="C8306" t="s">
        <v>846</v>
      </c>
      <c r="D8306" t="s">
        <v>2017</v>
      </c>
      <c r="E8306" t="s">
        <v>1858</v>
      </c>
      <c r="F8306">
        <v>11749.01</v>
      </c>
    </row>
    <row r="8307" spans="1:6">
      <c r="A8307" t="s">
        <v>13</v>
      </c>
      <c r="B8307" t="s">
        <v>234</v>
      </c>
      <c r="C8307" t="s">
        <v>846</v>
      </c>
      <c r="D8307" t="s">
        <v>2017</v>
      </c>
      <c r="E8307" t="s">
        <v>2146</v>
      </c>
      <c r="F8307">
        <v>11748.78</v>
      </c>
    </row>
    <row r="8308" spans="1:6">
      <c r="A8308" t="s">
        <v>13</v>
      </c>
      <c r="B8308" t="s">
        <v>234</v>
      </c>
      <c r="C8308" t="s">
        <v>846</v>
      </c>
      <c r="D8308" t="s">
        <v>2017</v>
      </c>
      <c r="E8308" t="s">
        <v>2147</v>
      </c>
      <c r="F8308">
        <v>11748.78</v>
      </c>
    </row>
    <row r="8309" spans="1:6">
      <c r="A8309" t="s">
        <v>13</v>
      </c>
      <c r="B8309" t="s">
        <v>234</v>
      </c>
      <c r="C8309" t="s">
        <v>846</v>
      </c>
      <c r="D8309" t="s">
        <v>2017</v>
      </c>
      <c r="E8309" t="s">
        <v>2148</v>
      </c>
      <c r="F8309">
        <v>11748.78</v>
      </c>
    </row>
    <row r="8310" spans="1:6">
      <c r="A8310" t="s">
        <v>13</v>
      </c>
      <c r="B8310" t="s">
        <v>234</v>
      </c>
      <c r="C8310" t="s">
        <v>846</v>
      </c>
      <c r="D8310" t="s">
        <v>2017</v>
      </c>
      <c r="E8310" t="s">
        <v>1793</v>
      </c>
      <c r="F8310">
        <v>11748.78</v>
      </c>
    </row>
    <row r="8311" spans="1:6">
      <c r="A8311" t="s">
        <v>13</v>
      </c>
      <c r="B8311" t="s">
        <v>234</v>
      </c>
      <c r="C8311" t="s">
        <v>846</v>
      </c>
      <c r="D8311" t="s">
        <v>2017</v>
      </c>
      <c r="E8311" t="s">
        <v>1794</v>
      </c>
      <c r="F8311">
        <v>11748.78</v>
      </c>
    </row>
    <row r="8312" spans="1:6">
      <c r="A8312" t="s">
        <v>13</v>
      </c>
      <c r="B8312" t="s">
        <v>234</v>
      </c>
      <c r="C8312" t="s">
        <v>846</v>
      </c>
      <c r="D8312" t="s">
        <v>2017</v>
      </c>
      <c r="E8312" t="s">
        <v>1795</v>
      </c>
      <c r="F8312">
        <v>11748.78</v>
      </c>
    </row>
    <row r="8313" spans="1:6">
      <c r="A8313" t="s">
        <v>13</v>
      </c>
      <c r="B8313" t="s">
        <v>234</v>
      </c>
      <c r="C8313" t="s">
        <v>846</v>
      </c>
      <c r="D8313" t="s">
        <v>2017</v>
      </c>
      <c r="E8313" t="s">
        <v>2149</v>
      </c>
      <c r="F8313">
        <v>11748.78</v>
      </c>
    </row>
    <row r="8314" spans="1:6">
      <c r="A8314" t="s">
        <v>13</v>
      </c>
      <c r="B8314" t="s">
        <v>234</v>
      </c>
      <c r="C8314" t="s">
        <v>846</v>
      </c>
      <c r="D8314" t="s">
        <v>2017</v>
      </c>
      <c r="E8314" t="s">
        <v>2150</v>
      </c>
      <c r="F8314">
        <v>11748.78</v>
      </c>
    </row>
    <row r="8315" spans="1:6">
      <c r="A8315" t="s">
        <v>13</v>
      </c>
      <c r="B8315" t="s">
        <v>234</v>
      </c>
      <c r="C8315" t="s">
        <v>846</v>
      </c>
      <c r="D8315" t="s">
        <v>2017</v>
      </c>
      <c r="E8315" t="s">
        <v>2151</v>
      </c>
      <c r="F8315">
        <v>11748.78</v>
      </c>
    </row>
    <row r="8316" spans="1:6">
      <c r="A8316" t="s">
        <v>13</v>
      </c>
      <c r="B8316" t="s">
        <v>234</v>
      </c>
      <c r="C8316" t="s">
        <v>846</v>
      </c>
      <c r="D8316" t="s">
        <v>2017</v>
      </c>
      <c r="E8316" t="s">
        <v>2152</v>
      </c>
      <c r="F8316">
        <v>11748.78</v>
      </c>
    </row>
    <row r="8317" spans="1:6">
      <c r="A8317" t="s">
        <v>13</v>
      </c>
      <c r="B8317" t="s">
        <v>234</v>
      </c>
      <c r="C8317" t="s">
        <v>846</v>
      </c>
      <c r="D8317" t="s">
        <v>2017</v>
      </c>
      <c r="E8317" t="s">
        <v>2153</v>
      </c>
      <c r="F8317">
        <v>11748.78</v>
      </c>
    </row>
    <row r="8318" spans="1:6">
      <c r="A8318" t="s">
        <v>13</v>
      </c>
      <c r="B8318" t="s">
        <v>234</v>
      </c>
      <c r="C8318" t="s">
        <v>846</v>
      </c>
      <c r="D8318" t="s">
        <v>2017</v>
      </c>
      <c r="E8318" t="s">
        <v>2154</v>
      </c>
      <c r="F8318">
        <v>11748.78</v>
      </c>
    </row>
    <row r="8319" spans="1:6">
      <c r="A8319" t="s">
        <v>13</v>
      </c>
      <c r="B8319" t="s">
        <v>234</v>
      </c>
      <c r="C8319" t="s">
        <v>846</v>
      </c>
      <c r="D8319" t="s">
        <v>2017</v>
      </c>
      <c r="E8319" t="s">
        <v>2155</v>
      </c>
      <c r="F8319">
        <v>11748.78</v>
      </c>
    </row>
    <row r="8320" spans="1:6">
      <c r="A8320" t="s">
        <v>13</v>
      </c>
      <c r="B8320" t="s">
        <v>234</v>
      </c>
      <c r="C8320" t="s">
        <v>846</v>
      </c>
      <c r="D8320" t="s">
        <v>2017</v>
      </c>
      <c r="E8320" t="s">
        <v>2156</v>
      </c>
      <c r="F8320">
        <v>11748.78</v>
      </c>
    </row>
    <row r="8321" spans="1:6">
      <c r="A8321" t="s">
        <v>13</v>
      </c>
      <c r="B8321" t="s">
        <v>234</v>
      </c>
      <c r="C8321" t="s">
        <v>846</v>
      </c>
      <c r="D8321" t="s">
        <v>2017</v>
      </c>
      <c r="E8321" t="s">
        <v>2157</v>
      </c>
      <c r="F8321">
        <v>11158.26</v>
      </c>
    </row>
    <row r="8322" spans="1:6">
      <c r="A8322" t="s">
        <v>13</v>
      </c>
      <c r="B8322" t="s">
        <v>234</v>
      </c>
      <c r="C8322" t="s">
        <v>846</v>
      </c>
      <c r="D8322" t="s">
        <v>2017</v>
      </c>
      <c r="E8322" t="s">
        <v>2158</v>
      </c>
      <c r="F8322">
        <v>11158.26</v>
      </c>
    </row>
    <row r="8323" spans="1:6">
      <c r="A8323" t="s">
        <v>13</v>
      </c>
      <c r="B8323" t="s">
        <v>234</v>
      </c>
      <c r="C8323" t="s">
        <v>846</v>
      </c>
      <c r="D8323" t="s">
        <v>2017</v>
      </c>
      <c r="E8323" t="s">
        <v>1127</v>
      </c>
      <c r="F8323">
        <v>2004</v>
      </c>
    </row>
    <row r="8324" spans="1:6">
      <c r="A8324" t="s">
        <v>13</v>
      </c>
      <c r="B8324" t="s">
        <v>234</v>
      </c>
      <c r="C8324" t="s">
        <v>846</v>
      </c>
      <c r="D8324" t="s">
        <v>2017</v>
      </c>
      <c r="E8324" t="s">
        <v>1128</v>
      </c>
      <c r="F8324">
        <v>83611.75999999995</v>
      </c>
    </row>
    <row r="8325" spans="1:6">
      <c r="A8325" t="s">
        <v>13</v>
      </c>
      <c r="B8325" t="s">
        <v>234</v>
      </c>
      <c r="C8325" t="s">
        <v>846</v>
      </c>
      <c r="D8325" t="s">
        <v>2017</v>
      </c>
      <c r="E8325" t="s">
        <v>1355</v>
      </c>
      <c r="F8325">
        <v>83605.01999999995</v>
      </c>
    </row>
    <row r="8326" spans="1:6">
      <c r="A8326" t="s">
        <v>13</v>
      </c>
      <c r="B8326" t="s">
        <v>234</v>
      </c>
      <c r="C8326" t="s">
        <v>846</v>
      </c>
      <c r="D8326" t="s">
        <v>2017</v>
      </c>
      <c r="E8326" t="s">
        <v>1356</v>
      </c>
      <c r="F8326">
        <v>83604.43999999994</v>
      </c>
    </row>
    <row r="8327" spans="1:6">
      <c r="A8327" t="s">
        <v>13</v>
      </c>
      <c r="B8327" t="s">
        <v>234</v>
      </c>
      <c r="C8327" t="s">
        <v>846</v>
      </c>
      <c r="D8327" t="s">
        <v>2017</v>
      </c>
      <c r="E8327" t="s">
        <v>1357</v>
      </c>
      <c r="F8327">
        <v>83604.43999999994</v>
      </c>
    </row>
    <row r="8328" spans="1:6">
      <c r="A8328" t="s">
        <v>13</v>
      </c>
      <c r="B8328" t="s">
        <v>234</v>
      </c>
      <c r="C8328" t="s">
        <v>846</v>
      </c>
      <c r="D8328" t="s">
        <v>2017</v>
      </c>
      <c r="E8328" t="s">
        <v>1358</v>
      </c>
      <c r="F8328">
        <v>83604.43999999994</v>
      </c>
    </row>
    <row r="8329" spans="1:6">
      <c r="A8329" t="s">
        <v>13</v>
      </c>
      <c r="B8329" t="s">
        <v>234</v>
      </c>
      <c r="C8329" t="s">
        <v>846</v>
      </c>
      <c r="D8329" t="s">
        <v>2017</v>
      </c>
      <c r="E8329" t="s">
        <v>1359</v>
      </c>
      <c r="F8329">
        <v>83604.43999999994</v>
      </c>
    </row>
    <row r="8330" spans="1:6">
      <c r="A8330" t="s">
        <v>13</v>
      </c>
      <c r="B8330" t="s">
        <v>234</v>
      </c>
      <c r="C8330" t="s">
        <v>846</v>
      </c>
      <c r="D8330" t="s">
        <v>2017</v>
      </c>
      <c r="E8330" t="s">
        <v>1360</v>
      </c>
      <c r="F8330">
        <v>83604.43999999994</v>
      </c>
    </row>
    <row r="8331" spans="1:6">
      <c r="A8331" t="s">
        <v>13</v>
      </c>
      <c r="B8331" t="s">
        <v>234</v>
      </c>
      <c r="C8331" t="s">
        <v>846</v>
      </c>
      <c r="D8331" t="s">
        <v>2017</v>
      </c>
      <c r="E8331" t="s">
        <v>1361</v>
      </c>
      <c r="F8331">
        <v>83604.43999999994</v>
      </c>
    </row>
    <row r="8332" spans="1:6">
      <c r="A8332" t="s">
        <v>13</v>
      </c>
      <c r="B8332" t="s">
        <v>234</v>
      </c>
      <c r="C8332" t="s">
        <v>846</v>
      </c>
      <c r="D8332" t="s">
        <v>2017</v>
      </c>
      <c r="E8332" t="s">
        <v>1362</v>
      </c>
      <c r="F8332">
        <v>83604.43999999994</v>
      </c>
    </row>
    <row r="8333" spans="1:6">
      <c r="A8333" t="s">
        <v>13</v>
      </c>
      <c r="B8333" t="s">
        <v>234</v>
      </c>
      <c r="C8333" t="s">
        <v>846</v>
      </c>
      <c r="D8333" t="s">
        <v>2017</v>
      </c>
      <c r="E8333" t="s">
        <v>1363</v>
      </c>
      <c r="F8333">
        <v>83604.43999999999</v>
      </c>
    </row>
    <row r="8334" spans="1:6">
      <c r="A8334" t="s">
        <v>13</v>
      </c>
      <c r="B8334" t="s">
        <v>234</v>
      </c>
      <c r="C8334" t="s">
        <v>846</v>
      </c>
      <c r="D8334" t="s">
        <v>2017</v>
      </c>
      <c r="E8334" t="s">
        <v>2159</v>
      </c>
      <c r="F8334">
        <v>83604.43999999999</v>
      </c>
    </row>
    <row r="8335" spans="1:6">
      <c r="A8335" t="s">
        <v>13</v>
      </c>
      <c r="B8335" t="s">
        <v>234</v>
      </c>
      <c r="C8335" t="s">
        <v>846</v>
      </c>
      <c r="D8335" t="s">
        <v>2017</v>
      </c>
      <c r="E8335" t="s">
        <v>2160</v>
      </c>
      <c r="F8335">
        <v>83604.43999999999</v>
      </c>
    </row>
    <row r="8336" spans="1:6">
      <c r="A8336" t="s">
        <v>13</v>
      </c>
      <c r="B8336" t="s">
        <v>234</v>
      </c>
      <c r="C8336" t="s">
        <v>846</v>
      </c>
      <c r="D8336" t="s">
        <v>2017</v>
      </c>
      <c r="E8336" t="s">
        <v>2161</v>
      </c>
      <c r="F8336">
        <v>83604.43999999997</v>
      </c>
    </row>
    <row r="8337" spans="1:6">
      <c r="A8337" t="s">
        <v>13</v>
      </c>
      <c r="B8337" t="s">
        <v>234</v>
      </c>
      <c r="C8337" t="s">
        <v>846</v>
      </c>
      <c r="D8337" t="s">
        <v>2017</v>
      </c>
      <c r="E8337" t="s">
        <v>2162</v>
      </c>
      <c r="F8337">
        <v>83604.43999999997</v>
      </c>
    </row>
    <row r="8338" spans="1:6">
      <c r="A8338" t="s">
        <v>13</v>
      </c>
      <c r="B8338" t="s">
        <v>234</v>
      </c>
      <c r="C8338" t="s">
        <v>846</v>
      </c>
      <c r="D8338" t="s">
        <v>2017</v>
      </c>
      <c r="E8338" t="s">
        <v>2163</v>
      </c>
      <c r="F8338">
        <v>83604.43999999997</v>
      </c>
    </row>
    <row r="8339" spans="1:6">
      <c r="A8339" t="s">
        <v>13</v>
      </c>
      <c r="B8339" t="s">
        <v>234</v>
      </c>
      <c r="C8339" t="s">
        <v>846</v>
      </c>
      <c r="D8339" t="s">
        <v>2017</v>
      </c>
      <c r="E8339" t="s">
        <v>2164</v>
      </c>
      <c r="F8339">
        <v>83604.43999999997</v>
      </c>
    </row>
    <row r="8340" spans="1:6">
      <c r="A8340" t="s">
        <v>13</v>
      </c>
      <c r="B8340" t="s">
        <v>234</v>
      </c>
      <c r="C8340" t="s">
        <v>846</v>
      </c>
      <c r="D8340" t="s">
        <v>2017</v>
      </c>
      <c r="E8340" t="s">
        <v>2165</v>
      </c>
      <c r="F8340">
        <v>76013.92999999996</v>
      </c>
    </row>
    <row r="8341" spans="1:6">
      <c r="A8341" t="s">
        <v>13</v>
      </c>
      <c r="B8341" t="s">
        <v>234</v>
      </c>
      <c r="C8341" t="s">
        <v>846</v>
      </c>
      <c r="D8341" t="s">
        <v>2017</v>
      </c>
      <c r="E8341" t="s">
        <v>1578</v>
      </c>
      <c r="F8341">
        <v>76013.92999999996</v>
      </c>
    </row>
    <row r="8342" spans="1:6">
      <c r="A8342" t="s">
        <v>13</v>
      </c>
      <c r="B8342" t="s">
        <v>234</v>
      </c>
      <c r="C8342" t="s">
        <v>846</v>
      </c>
      <c r="D8342" t="s">
        <v>2017</v>
      </c>
      <c r="E8342" t="s">
        <v>1059</v>
      </c>
      <c r="F8342">
        <v>2005</v>
      </c>
    </row>
    <row r="8343" spans="1:6">
      <c r="A8343" t="s">
        <v>13</v>
      </c>
      <c r="B8343" t="s">
        <v>234</v>
      </c>
      <c r="C8343" t="s">
        <v>846</v>
      </c>
      <c r="D8343" t="s">
        <v>2017</v>
      </c>
      <c r="E8343" t="s">
        <v>1060</v>
      </c>
      <c r="F8343">
        <v>27334.56999999998</v>
      </c>
    </row>
    <row r="8344" spans="1:6">
      <c r="A8344" t="s">
        <v>13</v>
      </c>
      <c r="B8344" t="s">
        <v>234</v>
      </c>
      <c r="C8344" t="s">
        <v>846</v>
      </c>
      <c r="D8344" t="s">
        <v>2017</v>
      </c>
      <c r="E8344" t="s">
        <v>1061</v>
      </c>
      <c r="F8344">
        <v>27255.77999999998</v>
      </c>
    </row>
    <row r="8345" spans="1:6">
      <c r="A8345" t="s">
        <v>13</v>
      </c>
      <c r="B8345" t="s">
        <v>234</v>
      </c>
      <c r="C8345" t="s">
        <v>846</v>
      </c>
      <c r="D8345" t="s">
        <v>2017</v>
      </c>
      <c r="E8345" t="s">
        <v>1062</v>
      </c>
      <c r="F8345">
        <v>27253.39999999998</v>
      </c>
    </row>
    <row r="8346" spans="1:6">
      <c r="A8346" t="s">
        <v>13</v>
      </c>
      <c r="B8346" t="s">
        <v>234</v>
      </c>
      <c r="C8346" t="s">
        <v>846</v>
      </c>
      <c r="D8346" t="s">
        <v>2017</v>
      </c>
      <c r="E8346" t="s">
        <v>1063</v>
      </c>
      <c r="F8346">
        <v>27253.27999999998</v>
      </c>
    </row>
    <row r="8347" spans="1:6">
      <c r="A8347" t="s">
        <v>13</v>
      </c>
      <c r="B8347" t="s">
        <v>234</v>
      </c>
      <c r="C8347" t="s">
        <v>846</v>
      </c>
      <c r="D8347" t="s">
        <v>2017</v>
      </c>
      <c r="E8347" t="s">
        <v>1064</v>
      </c>
      <c r="F8347">
        <v>27253.27999999998</v>
      </c>
    </row>
    <row r="8348" spans="1:6">
      <c r="A8348" t="s">
        <v>13</v>
      </c>
      <c r="B8348" t="s">
        <v>234</v>
      </c>
      <c r="C8348" t="s">
        <v>846</v>
      </c>
      <c r="D8348" t="s">
        <v>2017</v>
      </c>
      <c r="E8348" t="s">
        <v>1065</v>
      </c>
      <c r="F8348">
        <v>27141.30999999998</v>
      </c>
    </row>
    <row r="8349" spans="1:6">
      <c r="A8349" t="s">
        <v>13</v>
      </c>
      <c r="B8349" t="s">
        <v>234</v>
      </c>
      <c r="C8349" t="s">
        <v>846</v>
      </c>
      <c r="D8349" t="s">
        <v>2017</v>
      </c>
      <c r="E8349" t="s">
        <v>1067</v>
      </c>
      <c r="F8349">
        <v>27141.30999999998</v>
      </c>
    </row>
    <row r="8350" spans="1:6">
      <c r="A8350" t="s">
        <v>13</v>
      </c>
      <c r="B8350" t="s">
        <v>234</v>
      </c>
      <c r="C8350" t="s">
        <v>846</v>
      </c>
      <c r="D8350" t="s">
        <v>2017</v>
      </c>
      <c r="E8350" t="s">
        <v>1068</v>
      </c>
      <c r="F8350">
        <v>27141.30999999998</v>
      </c>
    </row>
    <row r="8351" spans="1:6">
      <c r="A8351" t="s">
        <v>13</v>
      </c>
      <c r="B8351" t="s">
        <v>234</v>
      </c>
      <c r="C8351" t="s">
        <v>846</v>
      </c>
      <c r="D8351" t="s">
        <v>2017</v>
      </c>
      <c r="E8351" t="s">
        <v>1069</v>
      </c>
      <c r="F8351">
        <v>27141.30999999998</v>
      </c>
    </row>
    <row r="8352" spans="1:6">
      <c r="A8352" t="s">
        <v>13</v>
      </c>
      <c r="B8352" t="s">
        <v>234</v>
      </c>
      <c r="C8352" t="s">
        <v>846</v>
      </c>
      <c r="D8352" t="s">
        <v>2017</v>
      </c>
      <c r="E8352" t="s">
        <v>1070</v>
      </c>
      <c r="F8352">
        <v>27141.31</v>
      </c>
    </row>
    <row r="8353" spans="1:6">
      <c r="A8353" t="s">
        <v>13</v>
      </c>
      <c r="B8353" t="s">
        <v>234</v>
      </c>
      <c r="C8353" t="s">
        <v>846</v>
      </c>
      <c r="D8353" t="s">
        <v>2017</v>
      </c>
      <c r="E8353" t="s">
        <v>2166</v>
      </c>
      <c r="F8353">
        <v>27072.71</v>
      </c>
    </row>
    <row r="8354" spans="1:6">
      <c r="A8354" t="s">
        <v>13</v>
      </c>
      <c r="B8354" t="s">
        <v>234</v>
      </c>
      <c r="C8354" t="s">
        <v>846</v>
      </c>
      <c r="D8354" t="s">
        <v>2017</v>
      </c>
      <c r="E8354" t="s">
        <v>2167</v>
      </c>
      <c r="F8354">
        <v>27070.72</v>
      </c>
    </row>
    <row r="8355" spans="1:6">
      <c r="A8355" t="s">
        <v>13</v>
      </c>
      <c r="B8355" t="s">
        <v>234</v>
      </c>
      <c r="C8355" t="s">
        <v>846</v>
      </c>
      <c r="D8355" t="s">
        <v>2017</v>
      </c>
      <c r="E8355" t="s">
        <v>2168</v>
      </c>
      <c r="F8355">
        <v>27070.71999999999</v>
      </c>
    </row>
    <row r="8356" spans="1:6">
      <c r="A8356" t="s">
        <v>13</v>
      </c>
      <c r="B8356" t="s">
        <v>234</v>
      </c>
      <c r="C8356" t="s">
        <v>846</v>
      </c>
      <c r="D8356" t="s">
        <v>2017</v>
      </c>
      <c r="E8356" t="s">
        <v>2169</v>
      </c>
      <c r="F8356">
        <v>27070.71999999999</v>
      </c>
    </row>
    <row r="8357" spans="1:6">
      <c r="A8357" t="s">
        <v>13</v>
      </c>
      <c r="B8357" t="s">
        <v>234</v>
      </c>
      <c r="C8357" t="s">
        <v>846</v>
      </c>
      <c r="D8357" t="s">
        <v>2017</v>
      </c>
      <c r="E8357" t="s">
        <v>2170</v>
      </c>
      <c r="F8357">
        <v>27068.72999999999</v>
      </c>
    </row>
    <row r="8358" spans="1:6">
      <c r="A8358" t="s">
        <v>13</v>
      </c>
      <c r="B8358" t="s">
        <v>234</v>
      </c>
      <c r="C8358" t="s">
        <v>846</v>
      </c>
      <c r="D8358" t="s">
        <v>2017</v>
      </c>
      <c r="E8358" t="s">
        <v>2171</v>
      </c>
      <c r="F8358">
        <v>27068.72999999999</v>
      </c>
    </row>
    <row r="8359" spans="1:6">
      <c r="A8359" t="s">
        <v>13</v>
      </c>
      <c r="B8359" t="s">
        <v>234</v>
      </c>
      <c r="C8359" t="s">
        <v>846</v>
      </c>
      <c r="D8359" t="s">
        <v>2017</v>
      </c>
      <c r="E8359" t="s">
        <v>2172</v>
      </c>
      <c r="F8359">
        <v>17936.30999999999</v>
      </c>
    </row>
    <row r="8360" spans="1:6">
      <c r="A8360" t="s">
        <v>13</v>
      </c>
      <c r="B8360" t="s">
        <v>234</v>
      </c>
      <c r="C8360" t="s">
        <v>846</v>
      </c>
      <c r="D8360" t="s">
        <v>2017</v>
      </c>
      <c r="E8360" t="s">
        <v>1580</v>
      </c>
      <c r="F8360">
        <v>17936.30999999999</v>
      </c>
    </row>
    <row r="8361" spans="1:6">
      <c r="A8361" t="s">
        <v>13</v>
      </c>
      <c r="B8361" t="s">
        <v>234</v>
      </c>
      <c r="C8361" t="s">
        <v>846</v>
      </c>
      <c r="D8361" t="s">
        <v>2017</v>
      </c>
      <c r="E8361" t="s">
        <v>1134</v>
      </c>
      <c r="F8361">
        <v>2006</v>
      </c>
    </row>
    <row r="8362" spans="1:6">
      <c r="A8362" t="s">
        <v>13</v>
      </c>
      <c r="B8362" t="s">
        <v>234</v>
      </c>
      <c r="C8362" t="s">
        <v>846</v>
      </c>
      <c r="D8362" t="s">
        <v>2017</v>
      </c>
      <c r="E8362" t="s">
        <v>1135</v>
      </c>
      <c r="F8362">
        <v>248797.3000000009</v>
      </c>
    </row>
    <row r="8363" spans="1:6">
      <c r="A8363" t="s">
        <v>13</v>
      </c>
      <c r="B8363" t="s">
        <v>234</v>
      </c>
      <c r="C8363" t="s">
        <v>846</v>
      </c>
      <c r="D8363" t="s">
        <v>2017</v>
      </c>
      <c r="E8363" t="s">
        <v>1414</v>
      </c>
      <c r="F8363">
        <v>248373.5800000009</v>
      </c>
    </row>
    <row r="8364" spans="1:6">
      <c r="A8364" t="s">
        <v>13</v>
      </c>
      <c r="B8364" t="s">
        <v>234</v>
      </c>
      <c r="C8364" t="s">
        <v>846</v>
      </c>
      <c r="D8364" t="s">
        <v>2017</v>
      </c>
      <c r="E8364" t="s">
        <v>1530</v>
      </c>
      <c r="F8364">
        <v>248373.3600000009</v>
      </c>
    </row>
    <row r="8365" spans="1:6">
      <c r="A8365" t="s">
        <v>13</v>
      </c>
      <c r="B8365" t="s">
        <v>234</v>
      </c>
      <c r="C8365" t="s">
        <v>846</v>
      </c>
      <c r="D8365" t="s">
        <v>2017</v>
      </c>
      <c r="E8365" t="s">
        <v>1531</v>
      </c>
      <c r="F8365">
        <v>248373.3400000009</v>
      </c>
    </row>
    <row r="8366" spans="1:6">
      <c r="A8366" t="s">
        <v>13</v>
      </c>
      <c r="B8366" t="s">
        <v>234</v>
      </c>
      <c r="C8366" t="s">
        <v>846</v>
      </c>
      <c r="D8366" t="s">
        <v>2017</v>
      </c>
      <c r="E8366" t="s">
        <v>1532</v>
      </c>
      <c r="F8366">
        <v>246956.8600000009</v>
      </c>
    </row>
    <row r="8367" spans="1:6">
      <c r="A8367" t="s">
        <v>13</v>
      </c>
      <c r="B8367" t="s">
        <v>234</v>
      </c>
      <c r="C8367" t="s">
        <v>846</v>
      </c>
      <c r="D8367" t="s">
        <v>2017</v>
      </c>
      <c r="E8367" t="s">
        <v>1533</v>
      </c>
      <c r="F8367">
        <v>246956.8600000009</v>
      </c>
    </row>
    <row r="8368" spans="1:6">
      <c r="A8368" t="s">
        <v>13</v>
      </c>
      <c r="B8368" t="s">
        <v>234</v>
      </c>
      <c r="C8368" t="s">
        <v>846</v>
      </c>
      <c r="D8368" t="s">
        <v>2017</v>
      </c>
      <c r="E8368" t="s">
        <v>1534</v>
      </c>
      <c r="F8368">
        <v>245678.8000000009</v>
      </c>
    </row>
    <row r="8369" spans="1:6">
      <c r="A8369" t="s">
        <v>13</v>
      </c>
      <c r="B8369" t="s">
        <v>234</v>
      </c>
      <c r="C8369" t="s">
        <v>846</v>
      </c>
      <c r="D8369" t="s">
        <v>2017</v>
      </c>
      <c r="E8369" t="s">
        <v>1535</v>
      </c>
      <c r="F8369">
        <v>245678.8000000009</v>
      </c>
    </row>
    <row r="8370" spans="1:6">
      <c r="A8370" t="s">
        <v>13</v>
      </c>
      <c r="B8370" t="s">
        <v>234</v>
      </c>
      <c r="C8370" t="s">
        <v>846</v>
      </c>
      <c r="D8370" t="s">
        <v>2017</v>
      </c>
      <c r="E8370" t="s">
        <v>1536</v>
      </c>
      <c r="F8370">
        <v>245678.8000000009</v>
      </c>
    </row>
    <row r="8371" spans="1:6">
      <c r="A8371" t="s">
        <v>13</v>
      </c>
      <c r="B8371" t="s">
        <v>234</v>
      </c>
      <c r="C8371" t="s">
        <v>846</v>
      </c>
      <c r="D8371" t="s">
        <v>2017</v>
      </c>
      <c r="E8371" t="s">
        <v>1537</v>
      </c>
      <c r="F8371">
        <v>245414.8400000003</v>
      </c>
    </row>
    <row r="8372" spans="1:6">
      <c r="A8372" t="s">
        <v>13</v>
      </c>
      <c r="B8372" t="s">
        <v>234</v>
      </c>
      <c r="C8372" t="s">
        <v>846</v>
      </c>
      <c r="D8372" t="s">
        <v>2017</v>
      </c>
      <c r="E8372" t="s">
        <v>2173</v>
      </c>
      <c r="F8372">
        <v>244495.8600000004</v>
      </c>
    </row>
    <row r="8373" spans="1:6">
      <c r="A8373" t="s">
        <v>13</v>
      </c>
      <c r="B8373" t="s">
        <v>234</v>
      </c>
      <c r="C8373" t="s">
        <v>846</v>
      </c>
      <c r="D8373" t="s">
        <v>2017</v>
      </c>
      <c r="E8373" t="s">
        <v>2174</v>
      </c>
      <c r="F8373">
        <v>244495.8600000004</v>
      </c>
    </row>
    <row r="8374" spans="1:6">
      <c r="A8374" t="s">
        <v>13</v>
      </c>
      <c r="B8374" t="s">
        <v>234</v>
      </c>
      <c r="C8374" t="s">
        <v>846</v>
      </c>
      <c r="D8374" t="s">
        <v>2017</v>
      </c>
      <c r="E8374" t="s">
        <v>2175</v>
      </c>
      <c r="F8374">
        <v>244495.8600000006</v>
      </c>
    </row>
    <row r="8375" spans="1:6">
      <c r="A8375" t="s">
        <v>13</v>
      </c>
      <c r="B8375" t="s">
        <v>234</v>
      </c>
      <c r="C8375" t="s">
        <v>846</v>
      </c>
      <c r="D8375" t="s">
        <v>2017</v>
      </c>
      <c r="E8375" t="s">
        <v>2176</v>
      </c>
      <c r="F8375">
        <v>244495.8600000006</v>
      </c>
    </row>
    <row r="8376" spans="1:6">
      <c r="A8376" t="s">
        <v>13</v>
      </c>
      <c r="B8376" t="s">
        <v>234</v>
      </c>
      <c r="C8376" t="s">
        <v>846</v>
      </c>
      <c r="D8376" t="s">
        <v>2017</v>
      </c>
      <c r="E8376" t="s">
        <v>2177</v>
      </c>
      <c r="F8376">
        <v>244495.8600000006</v>
      </c>
    </row>
    <row r="8377" spans="1:6">
      <c r="A8377" t="s">
        <v>13</v>
      </c>
      <c r="B8377" t="s">
        <v>234</v>
      </c>
      <c r="C8377" t="s">
        <v>846</v>
      </c>
      <c r="D8377" t="s">
        <v>2017</v>
      </c>
      <c r="E8377" t="s">
        <v>2178</v>
      </c>
      <c r="F8377">
        <v>244495.8600000006</v>
      </c>
    </row>
    <row r="8378" spans="1:6">
      <c r="A8378" t="s">
        <v>13</v>
      </c>
      <c r="B8378" t="s">
        <v>234</v>
      </c>
      <c r="C8378" t="s">
        <v>846</v>
      </c>
      <c r="D8378" t="s">
        <v>2017</v>
      </c>
      <c r="E8378" t="s">
        <v>2179</v>
      </c>
      <c r="F8378">
        <v>143913.4600000003</v>
      </c>
    </row>
    <row r="8379" spans="1:6">
      <c r="A8379" t="s">
        <v>13</v>
      </c>
      <c r="B8379" t="s">
        <v>234</v>
      </c>
      <c r="C8379" t="s">
        <v>846</v>
      </c>
      <c r="D8379" t="s">
        <v>2017</v>
      </c>
      <c r="E8379" t="s">
        <v>2180</v>
      </c>
      <c r="F8379">
        <v>143447.0600000003</v>
      </c>
    </row>
    <row r="8380" spans="1:6">
      <c r="A8380" t="s">
        <v>13</v>
      </c>
      <c r="B8380" t="s">
        <v>234</v>
      </c>
      <c r="C8380" t="s">
        <v>846</v>
      </c>
      <c r="D8380" t="s">
        <v>2017</v>
      </c>
      <c r="E8380" t="s">
        <v>1297</v>
      </c>
      <c r="F8380">
        <v>2007</v>
      </c>
    </row>
    <row r="8381" spans="1:6">
      <c r="A8381" t="s">
        <v>13</v>
      </c>
      <c r="B8381" t="s">
        <v>234</v>
      </c>
      <c r="C8381" t="s">
        <v>846</v>
      </c>
      <c r="D8381" t="s">
        <v>2017</v>
      </c>
      <c r="E8381" t="s">
        <v>1364</v>
      </c>
      <c r="F8381">
        <v>1090916.270000001</v>
      </c>
    </row>
    <row r="8382" spans="1:6">
      <c r="A8382" t="s">
        <v>13</v>
      </c>
      <c r="B8382" t="s">
        <v>234</v>
      </c>
      <c r="C8382" t="s">
        <v>846</v>
      </c>
      <c r="D8382" t="s">
        <v>2017</v>
      </c>
      <c r="E8382" t="s">
        <v>1365</v>
      </c>
      <c r="F8382">
        <v>1090411.660000001</v>
      </c>
    </row>
    <row r="8383" spans="1:6">
      <c r="A8383" t="s">
        <v>13</v>
      </c>
      <c r="B8383" t="s">
        <v>234</v>
      </c>
      <c r="C8383" t="s">
        <v>846</v>
      </c>
      <c r="D8383" t="s">
        <v>2017</v>
      </c>
      <c r="E8383" t="s">
        <v>1366</v>
      </c>
      <c r="F8383">
        <v>1090410.930000001</v>
      </c>
    </row>
    <row r="8384" spans="1:6">
      <c r="A8384" t="s">
        <v>13</v>
      </c>
      <c r="B8384" t="s">
        <v>234</v>
      </c>
      <c r="C8384" t="s">
        <v>846</v>
      </c>
      <c r="D8384" t="s">
        <v>2017</v>
      </c>
      <c r="E8384" t="s">
        <v>1367</v>
      </c>
      <c r="F8384">
        <v>1090260.290000001</v>
      </c>
    </row>
    <row r="8385" spans="1:6">
      <c r="A8385" t="s">
        <v>13</v>
      </c>
      <c r="B8385" t="s">
        <v>234</v>
      </c>
      <c r="C8385" t="s">
        <v>846</v>
      </c>
      <c r="D8385" t="s">
        <v>2017</v>
      </c>
      <c r="E8385" t="s">
        <v>1368</v>
      </c>
      <c r="F8385">
        <v>1026522.070000001</v>
      </c>
    </row>
    <row r="8386" spans="1:6">
      <c r="A8386" t="s">
        <v>13</v>
      </c>
      <c r="B8386" t="s">
        <v>234</v>
      </c>
      <c r="C8386" t="s">
        <v>846</v>
      </c>
      <c r="D8386" t="s">
        <v>2017</v>
      </c>
      <c r="E8386" t="s">
        <v>1369</v>
      </c>
      <c r="F8386">
        <v>1026522.070000001</v>
      </c>
    </row>
    <row r="8387" spans="1:6">
      <c r="A8387" t="s">
        <v>13</v>
      </c>
      <c r="B8387" t="s">
        <v>234</v>
      </c>
      <c r="C8387" t="s">
        <v>846</v>
      </c>
      <c r="D8387" t="s">
        <v>2017</v>
      </c>
      <c r="E8387" t="s">
        <v>1370</v>
      </c>
      <c r="F8387">
        <v>1025914.750000001</v>
      </c>
    </row>
    <row r="8388" spans="1:6">
      <c r="A8388" t="s">
        <v>13</v>
      </c>
      <c r="B8388" t="s">
        <v>234</v>
      </c>
      <c r="C8388" t="s">
        <v>846</v>
      </c>
      <c r="D8388" t="s">
        <v>2017</v>
      </c>
      <c r="E8388" t="s">
        <v>1371</v>
      </c>
      <c r="F8388">
        <v>1023692.800000001</v>
      </c>
    </row>
    <row r="8389" spans="1:6">
      <c r="A8389" t="s">
        <v>13</v>
      </c>
      <c r="B8389" t="s">
        <v>234</v>
      </c>
      <c r="C8389" t="s">
        <v>846</v>
      </c>
      <c r="D8389" t="s">
        <v>2017</v>
      </c>
      <c r="E8389" t="s">
        <v>1372</v>
      </c>
      <c r="F8389">
        <v>1023132.060000001</v>
      </c>
    </row>
    <row r="8390" spans="1:6">
      <c r="A8390" t="s">
        <v>13</v>
      </c>
      <c r="B8390" t="s">
        <v>234</v>
      </c>
      <c r="C8390" t="s">
        <v>846</v>
      </c>
      <c r="D8390" t="s">
        <v>2017</v>
      </c>
      <c r="E8390" t="s">
        <v>1373</v>
      </c>
      <c r="F8390">
        <v>1020672.08</v>
      </c>
    </row>
    <row r="8391" spans="1:6">
      <c r="A8391" t="s">
        <v>13</v>
      </c>
      <c r="B8391" t="s">
        <v>234</v>
      </c>
      <c r="C8391" t="s">
        <v>846</v>
      </c>
      <c r="D8391" t="s">
        <v>2017</v>
      </c>
      <c r="E8391" t="s">
        <v>2181</v>
      </c>
      <c r="F8391">
        <v>1008286.3</v>
      </c>
    </row>
    <row r="8392" spans="1:6">
      <c r="A8392" t="s">
        <v>13</v>
      </c>
      <c r="B8392" t="s">
        <v>234</v>
      </c>
      <c r="C8392" t="s">
        <v>846</v>
      </c>
      <c r="D8392" t="s">
        <v>2017</v>
      </c>
      <c r="E8392" t="s">
        <v>2182</v>
      </c>
      <c r="F8392">
        <v>1006805.55</v>
      </c>
    </row>
    <row r="8393" spans="1:6">
      <c r="A8393" t="s">
        <v>13</v>
      </c>
      <c r="B8393" t="s">
        <v>234</v>
      </c>
      <c r="C8393" t="s">
        <v>846</v>
      </c>
      <c r="D8393" t="s">
        <v>2017</v>
      </c>
      <c r="E8393" t="s">
        <v>2183</v>
      </c>
      <c r="F8393">
        <v>1006815.270000005</v>
      </c>
    </row>
    <row r="8394" spans="1:6">
      <c r="A8394" t="s">
        <v>13</v>
      </c>
      <c r="B8394" t="s">
        <v>234</v>
      </c>
      <c r="C8394" t="s">
        <v>846</v>
      </c>
      <c r="D8394" t="s">
        <v>2017</v>
      </c>
      <c r="E8394" t="s">
        <v>2184</v>
      </c>
      <c r="F8394">
        <v>1006765.010000005</v>
      </c>
    </row>
    <row r="8395" spans="1:6">
      <c r="A8395" t="s">
        <v>13</v>
      </c>
      <c r="B8395" t="s">
        <v>234</v>
      </c>
      <c r="C8395" t="s">
        <v>846</v>
      </c>
      <c r="D8395" t="s">
        <v>2017</v>
      </c>
      <c r="E8395" t="s">
        <v>2185</v>
      </c>
      <c r="F8395">
        <v>1005880.630000005</v>
      </c>
    </row>
    <row r="8396" spans="1:6">
      <c r="A8396" t="s">
        <v>13</v>
      </c>
      <c r="B8396" t="s">
        <v>234</v>
      </c>
      <c r="C8396" t="s">
        <v>846</v>
      </c>
      <c r="D8396" t="s">
        <v>2017</v>
      </c>
      <c r="E8396" t="s">
        <v>2186</v>
      </c>
      <c r="F8396">
        <v>1005524.800000005</v>
      </c>
    </row>
    <row r="8397" spans="1:6">
      <c r="A8397" t="s">
        <v>13</v>
      </c>
      <c r="B8397" t="s">
        <v>234</v>
      </c>
      <c r="C8397" t="s">
        <v>846</v>
      </c>
      <c r="D8397" t="s">
        <v>2017</v>
      </c>
      <c r="E8397" t="s">
        <v>2187</v>
      </c>
      <c r="F8397">
        <v>674011.5700000048</v>
      </c>
    </row>
    <row r="8398" spans="1:6">
      <c r="A8398" t="s">
        <v>13</v>
      </c>
      <c r="B8398" t="s">
        <v>234</v>
      </c>
      <c r="C8398" t="s">
        <v>846</v>
      </c>
      <c r="D8398" t="s">
        <v>2017</v>
      </c>
      <c r="E8398" t="s">
        <v>1581</v>
      </c>
      <c r="F8398">
        <v>669872.0600000048</v>
      </c>
    </row>
    <row r="8399" spans="1:6">
      <c r="A8399" t="s">
        <v>13</v>
      </c>
      <c r="B8399" t="s">
        <v>234</v>
      </c>
      <c r="C8399" t="s">
        <v>846</v>
      </c>
      <c r="D8399" t="s">
        <v>2017</v>
      </c>
      <c r="E8399" t="s">
        <v>1078</v>
      </c>
      <c r="F8399">
        <v>2008</v>
      </c>
    </row>
    <row r="8400" spans="1:6">
      <c r="A8400" t="s">
        <v>13</v>
      </c>
      <c r="B8400" t="s">
        <v>234</v>
      </c>
      <c r="C8400" t="s">
        <v>846</v>
      </c>
      <c r="D8400" t="s">
        <v>2017</v>
      </c>
      <c r="E8400" t="s">
        <v>1079</v>
      </c>
      <c r="F8400">
        <v>1479550.250000006</v>
      </c>
    </row>
    <row r="8401" spans="1:6">
      <c r="A8401" t="s">
        <v>13</v>
      </c>
      <c r="B8401" t="s">
        <v>234</v>
      </c>
      <c r="C8401" t="s">
        <v>846</v>
      </c>
      <c r="D8401" t="s">
        <v>2017</v>
      </c>
      <c r="E8401" t="s">
        <v>1080</v>
      </c>
      <c r="F8401">
        <v>1472733.400000005</v>
      </c>
    </row>
    <row r="8402" spans="1:6">
      <c r="A8402" t="s">
        <v>13</v>
      </c>
      <c r="B8402" t="s">
        <v>234</v>
      </c>
      <c r="C8402" t="s">
        <v>846</v>
      </c>
      <c r="D8402" t="s">
        <v>2017</v>
      </c>
      <c r="E8402" t="s">
        <v>1081</v>
      </c>
      <c r="F8402">
        <v>1472731.210000006</v>
      </c>
    </row>
    <row r="8403" spans="1:6">
      <c r="A8403" t="s">
        <v>13</v>
      </c>
      <c r="B8403" t="s">
        <v>234</v>
      </c>
      <c r="C8403" t="s">
        <v>846</v>
      </c>
      <c r="D8403" t="s">
        <v>2017</v>
      </c>
      <c r="E8403" t="s">
        <v>1082</v>
      </c>
      <c r="F8403">
        <v>1472719.900000005</v>
      </c>
    </row>
    <row r="8404" spans="1:6">
      <c r="A8404" t="s">
        <v>13</v>
      </c>
      <c r="B8404" t="s">
        <v>234</v>
      </c>
      <c r="C8404" t="s">
        <v>846</v>
      </c>
      <c r="D8404" t="s">
        <v>2017</v>
      </c>
      <c r="E8404" t="s">
        <v>1083</v>
      </c>
      <c r="F8404">
        <v>1455714.380000005</v>
      </c>
    </row>
    <row r="8405" spans="1:6">
      <c r="A8405" t="s">
        <v>13</v>
      </c>
      <c r="B8405" t="s">
        <v>234</v>
      </c>
      <c r="C8405" t="s">
        <v>846</v>
      </c>
      <c r="D8405" t="s">
        <v>2017</v>
      </c>
      <c r="E8405" t="s">
        <v>1084</v>
      </c>
      <c r="F8405">
        <v>1455572.350000005</v>
      </c>
    </row>
    <row r="8406" spans="1:6">
      <c r="A8406" t="s">
        <v>13</v>
      </c>
      <c r="B8406" t="s">
        <v>234</v>
      </c>
      <c r="C8406" t="s">
        <v>846</v>
      </c>
      <c r="D8406" t="s">
        <v>2017</v>
      </c>
      <c r="E8406" t="s">
        <v>1085</v>
      </c>
      <c r="F8406">
        <v>1447842.540000005</v>
      </c>
    </row>
    <row r="8407" spans="1:6">
      <c r="A8407" t="s">
        <v>13</v>
      </c>
      <c r="B8407" t="s">
        <v>234</v>
      </c>
      <c r="C8407" t="s">
        <v>846</v>
      </c>
      <c r="D8407" t="s">
        <v>2017</v>
      </c>
      <c r="E8407" t="s">
        <v>1086</v>
      </c>
      <c r="F8407">
        <v>1444904.490000005</v>
      </c>
    </row>
    <row r="8408" spans="1:6">
      <c r="A8408" t="s">
        <v>13</v>
      </c>
      <c r="B8408" t="s">
        <v>234</v>
      </c>
      <c r="C8408" t="s">
        <v>846</v>
      </c>
      <c r="D8408" t="s">
        <v>2017</v>
      </c>
      <c r="E8408" t="s">
        <v>1087</v>
      </c>
      <c r="F8408">
        <v>1434102.560000005</v>
      </c>
    </row>
    <row r="8409" spans="1:6">
      <c r="A8409" t="s">
        <v>13</v>
      </c>
      <c r="B8409" t="s">
        <v>234</v>
      </c>
      <c r="C8409" t="s">
        <v>846</v>
      </c>
      <c r="D8409" t="s">
        <v>2017</v>
      </c>
      <c r="E8409" t="s">
        <v>1088</v>
      </c>
      <c r="F8409">
        <v>1405416.829999988</v>
      </c>
    </row>
    <row r="8410" spans="1:6">
      <c r="A8410" t="s">
        <v>13</v>
      </c>
      <c r="B8410" t="s">
        <v>234</v>
      </c>
      <c r="C8410" t="s">
        <v>846</v>
      </c>
      <c r="D8410" t="s">
        <v>2017</v>
      </c>
      <c r="E8410" t="s">
        <v>2188</v>
      </c>
      <c r="F8410">
        <v>1381908.489999988</v>
      </c>
    </row>
    <row r="8411" spans="1:6">
      <c r="A8411" t="s">
        <v>13</v>
      </c>
      <c r="B8411" t="s">
        <v>234</v>
      </c>
      <c r="C8411" t="s">
        <v>846</v>
      </c>
      <c r="D8411" t="s">
        <v>2017</v>
      </c>
      <c r="E8411" t="s">
        <v>2189</v>
      </c>
      <c r="F8411">
        <v>1374658.139999988</v>
      </c>
    </row>
    <row r="8412" spans="1:6">
      <c r="A8412" t="s">
        <v>13</v>
      </c>
      <c r="B8412" t="s">
        <v>234</v>
      </c>
      <c r="C8412" t="s">
        <v>846</v>
      </c>
      <c r="D8412" t="s">
        <v>2017</v>
      </c>
      <c r="E8412" t="s">
        <v>2190</v>
      </c>
      <c r="F8412">
        <v>1372309.069999986</v>
      </c>
    </row>
    <row r="8413" spans="1:6">
      <c r="A8413" t="s">
        <v>13</v>
      </c>
      <c r="B8413" t="s">
        <v>234</v>
      </c>
      <c r="C8413" t="s">
        <v>846</v>
      </c>
      <c r="D8413" t="s">
        <v>2017</v>
      </c>
      <c r="E8413" t="s">
        <v>2191</v>
      </c>
      <c r="F8413">
        <v>1371430.519999987</v>
      </c>
    </row>
    <row r="8414" spans="1:6">
      <c r="A8414" t="s">
        <v>13</v>
      </c>
      <c r="B8414" t="s">
        <v>234</v>
      </c>
      <c r="C8414" t="s">
        <v>846</v>
      </c>
      <c r="D8414" t="s">
        <v>2017</v>
      </c>
      <c r="E8414" t="s">
        <v>2192</v>
      </c>
      <c r="F8414">
        <v>1369870.159999986</v>
      </c>
    </row>
    <row r="8415" spans="1:6">
      <c r="A8415" t="s">
        <v>13</v>
      </c>
      <c r="B8415" t="s">
        <v>234</v>
      </c>
      <c r="C8415" t="s">
        <v>846</v>
      </c>
      <c r="D8415" t="s">
        <v>2017</v>
      </c>
      <c r="E8415" t="s">
        <v>2193</v>
      </c>
      <c r="F8415">
        <v>1370171.799999986</v>
      </c>
    </row>
    <row r="8416" spans="1:6">
      <c r="A8416" t="s">
        <v>13</v>
      </c>
      <c r="B8416" t="s">
        <v>234</v>
      </c>
      <c r="C8416" t="s">
        <v>846</v>
      </c>
      <c r="D8416" t="s">
        <v>2017</v>
      </c>
      <c r="E8416" t="s">
        <v>2194</v>
      </c>
      <c r="F8416">
        <v>535666.2699999979</v>
      </c>
    </row>
    <row r="8417" spans="1:6">
      <c r="A8417" t="s">
        <v>13</v>
      </c>
      <c r="B8417" t="s">
        <v>234</v>
      </c>
      <c r="C8417" t="s">
        <v>846</v>
      </c>
      <c r="D8417" t="s">
        <v>2017</v>
      </c>
      <c r="E8417" t="s">
        <v>2195</v>
      </c>
      <c r="F8417">
        <v>532396.829999998</v>
      </c>
    </row>
    <row r="8418" spans="1:6">
      <c r="A8418" t="s">
        <v>13</v>
      </c>
      <c r="B8418" t="s">
        <v>234</v>
      </c>
      <c r="C8418" t="s">
        <v>846</v>
      </c>
      <c r="D8418" t="s">
        <v>2017</v>
      </c>
      <c r="E8418" t="s">
        <v>1140</v>
      </c>
      <c r="F8418">
        <v>2009</v>
      </c>
    </row>
    <row r="8419" spans="1:6">
      <c r="A8419" t="s">
        <v>13</v>
      </c>
      <c r="B8419" t="s">
        <v>234</v>
      </c>
      <c r="C8419" t="s">
        <v>846</v>
      </c>
      <c r="D8419" t="s">
        <v>2017</v>
      </c>
      <c r="E8419" t="s">
        <v>1141</v>
      </c>
      <c r="F8419">
        <v>1293406.700000012</v>
      </c>
    </row>
    <row r="8420" spans="1:6">
      <c r="A8420" t="s">
        <v>13</v>
      </c>
      <c r="B8420" t="s">
        <v>234</v>
      </c>
      <c r="C8420" t="s">
        <v>846</v>
      </c>
      <c r="D8420" t="s">
        <v>2017</v>
      </c>
      <c r="E8420" t="s">
        <v>1423</v>
      </c>
      <c r="F8420">
        <v>1289753.610000012</v>
      </c>
    </row>
    <row r="8421" spans="1:6">
      <c r="A8421" t="s">
        <v>13</v>
      </c>
      <c r="B8421" t="s">
        <v>234</v>
      </c>
      <c r="C8421" t="s">
        <v>846</v>
      </c>
      <c r="D8421" t="s">
        <v>2017</v>
      </c>
      <c r="E8421" t="s">
        <v>1538</v>
      </c>
      <c r="F8421">
        <v>1289687.630000012</v>
      </c>
    </row>
    <row r="8422" spans="1:6">
      <c r="A8422" t="s">
        <v>13</v>
      </c>
      <c r="B8422" t="s">
        <v>234</v>
      </c>
      <c r="C8422" t="s">
        <v>846</v>
      </c>
      <c r="D8422" t="s">
        <v>2017</v>
      </c>
      <c r="E8422" t="s">
        <v>1539</v>
      </c>
      <c r="F8422">
        <v>1289588.570000012</v>
      </c>
    </row>
    <row r="8423" spans="1:6">
      <c r="A8423" t="s">
        <v>13</v>
      </c>
      <c r="B8423" t="s">
        <v>234</v>
      </c>
      <c r="C8423" t="s">
        <v>846</v>
      </c>
      <c r="D8423" t="s">
        <v>2017</v>
      </c>
      <c r="E8423" t="s">
        <v>1540</v>
      </c>
      <c r="F8423">
        <v>1281812.010000012</v>
      </c>
    </row>
    <row r="8424" spans="1:6">
      <c r="A8424" t="s">
        <v>13</v>
      </c>
      <c r="B8424" t="s">
        <v>234</v>
      </c>
      <c r="C8424" t="s">
        <v>846</v>
      </c>
      <c r="D8424" t="s">
        <v>2017</v>
      </c>
      <c r="E8424" t="s">
        <v>1541</v>
      </c>
      <c r="F8424">
        <v>1281555.190000012</v>
      </c>
    </row>
    <row r="8425" spans="1:6">
      <c r="A8425" t="s">
        <v>13</v>
      </c>
      <c r="B8425" t="s">
        <v>234</v>
      </c>
      <c r="C8425" t="s">
        <v>846</v>
      </c>
      <c r="D8425" t="s">
        <v>2017</v>
      </c>
      <c r="E8425" t="s">
        <v>1542</v>
      </c>
      <c r="F8425">
        <v>1273008.500000012</v>
      </c>
    </row>
    <row r="8426" spans="1:6">
      <c r="A8426" t="s">
        <v>13</v>
      </c>
      <c r="B8426" t="s">
        <v>234</v>
      </c>
      <c r="C8426" t="s">
        <v>846</v>
      </c>
      <c r="D8426" t="s">
        <v>2017</v>
      </c>
      <c r="E8426" t="s">
        <v>1543</v>
      </c>
      <c r="F8426">
        <v>1271329.610000012</v>
      </c>
    </row>
    <row r="8427" spans="1:6">
      <c r="A8427" t="s">
        <v>13</v>
      </c>
      <c r="B8427" t="s">
        <v>234</v>
      </c>
      <c r="C8427" t="s">
        <v>846</v>
      </c>
      <c r="D8427" t="s">
        <v>2017</v>
      </c>
      <c r="E8427" t="s">
        <v>1544</v>
      </c>
      <c r="F8427">
        <v>1270351.530000012</v>
      </c>
    </row>
    <row r="8428" spans="1:6">
      <c r="A8428" t="s">
        <v>13</v>
      </c>
      <c r="B8428" t="s">
        <v>234</v>
      </c>
      <c r="C8428" t="s">
        <v>846</v>
      </c>
      <c r="D8428" t="s">
        <v>2017</v>
      </c>
      <c r="E8428" t="s">
        <v>1545</v>
      </c>
      <c r="F8428">
        <v>1252552.239999998</v>
      </c>
    </row>
    <row r="8429" spans="1:6">
      <c r="A8429" t="s">
        <v>13</v>
      </c>
      <c r="B8429" t="s">
        <v>234</v>
      </c>
      <c r="C8429" t="s">
        <v>846</v>
      </c>
      <c r="D8429" t="s">
        <v>2017</v>
      </c>
      <c r="E8429" t="s">
        <v>2196</v>
      </c>
      <c r="F8429">
        <v>1234675.589999999</v>
      </c>
    </row>
    <row r="8430" spans="1:6">
      <c r="A8430" t="s">
        <v>13</v>
      </c>
      <c r="B8430" t="s">
        <v>234</v>
      </c>
      <c r="C8430" t="s">
        <v>846</v>
      </c>
      <c r="D8430" t="s">
        <v>2017</v>
      </c>
      <c r="E8430" t="s">
        <v>2197</v>
      </c>
      <c r="F8430">
        <v>1226175.079999999</v>
      </c>
    </row>
    <row r="8431" spans="1:6">
      <c r="A8431" t="s">
        <v>13</v>
      </c>
      <c r="B8431" t="s">
        <v>234</v>
      </c>
      <c r="C8431" t="s">
        <v>846</v>
      </c>
      <c r="D8431" t="s">
        <v>2017</v>
      </c>
      <c r="E8431" t="s">
        <v>2198</v>
      </c>
      <c r="F8431">
        <v>1222968.590000003</v>
      </c>
    </row>
    <row r="8432" spans="1:6">
      <c r="A8432" t="s">
        <v>13</v>
      </c>
      <c r="B8432" t="s">
        <v>234</v>
      </c>
      <c r="C8432" t="s">
        <v>846</v>
      </c>
      <c r="D8432" t="s">
        <v>2017</v>
      </c>
      <c r="E8432" t="s">
        <v>2199</v>
      </c>
      <c r="F8432">
        <v>1222291.460000003</v>
      </c>
    </row>
    <row r="8433" spans="1:6">
      <c r="A8433" t="s">
        <v>13</v>
      </c>
      <c r="B8433" t="s">
        <v>234</v>
      </c>
      <c r="C8433" t="s">
        <v>846</v>
      </c>
      <c r="D8433" t="s">
        <v>2017</v>
      </c>
      <c r="E8433" t="s">
        <v>2200</v>
      </c>
      <c r="F8433">
        <v>1220445.620000003</v>
      </c>
    </row>
    <row r="8434" spans="1:6">
      <c r="A8434" t="s">
        <v>13</v>
      </c>
      <c r="B8434" t="s">
        <v>234</v>
      </c>
      <c r="C8434" t="s">
        <v>846</v>
      </c>
      <c r="D8434" t="s">
        <v>2017</v>
      </c>
      <c r="E8434" t="s">
        <v>2201</v>
      </c>
      <c r="F8434">
        <v>1220147.090000003</v>
      </c>
    </row>
    <row r="8435" spans="1:6">
      <c r="A8435" t="s">
        <v>13</v>
      </c>
      <c r="B8435" t="s">
        <v>234</v>
      </c>
      <c r="C8435" t="s">
        <v>846</v>
      </c>
      <c r="D8435" t="s">
        <v>2017</v>
      </c>
      <c r="E8435" t="s">
        <v>2202</v>
      </c>
      <c r="F8435">
        <v>660251.4800000041</v>
      </c>
    </row>
    <row r="8436" spans="1:6">
      <c r="A8436" t="s">
        <v>13</v>
      </c>
      <c r="B8436" t="s">
        <v>234</v>
      </c>
      <c r="C8436" t="s">
        <v>846</v>
      </c>
      <c r="D8436" t="s">
        <v>2017</v>
      </c>
      <c r="E8436" t="s">
        <v>2203</v>
      </c>
      <c r="F8436">
        <v>654096.840000004</v>
      </c>
    </row>
    <row r="8437" spans="1:6">
      <c r="A8437" t="s">
        <v>13</v>
      </c>
      <c r="B8437" t="s">
        <v>234</v>
      </c>
      <c r="C8437" t="s">
        <v>846</v>
      </c>
      <c r="D8437" t="s">
        <v>2017</v>
      </c>
      <c r="E8437" t="s">
        <v>1300</v>
      </c>
      <c r="F8437">
        <v>2010</v>
      </c>
    </row>
    <row r="8438" spans="1:6">
      <c r="A8438" t="s">
        <v>13</v>
      </c>
      <c r="B8438" t="s">
        <v>234</v>
      </c>
      <c r="C8438" t="s">
        <v>846</v>
      </c>
      <c r="D8438" t="s">
        <v>2017</v>
      </c>
      <c r="E8438" t="s">
        <v>1426</v>
      </c>
      <c r="F8438">
        <v>1608612.390000062</v>
      </c>
    </row>
    <row r="8439" spans="1:6">
      <c r="A8439" t="s">
        <v>13</v>
      </c>
      <c r="B8439" t="s">
        <v>234</v>
      </c>
      <c r="C8439" t="s">
        <v>846</v>
      </c>
      <c r="D8439" t="s">
        <v>2017</v>
      </c>
      <c r="E8439" t="s">
        <v>1400</v>
      </c>
      <c r="F8439">
        <v>1606392.070000062</v>
      </c>
    </row>
    <row r="8440" spans="1:6">
      <c r="A8440" t="s">
        <v>13</v>
      </c>
      <c r="B8440" t="s">
        <v>234</v>
      </c>
      <c r="C8440" t="s">
        <v>846</v>
      </c>
      <c r="D8440" t="s">
        <v>2017</v>
      </c>
      <c r="E8440" t="s">
        <v>1846</v>
      </c>
      <c r="F8440">
        <v>1606064.210000062</v>
      </c>
    </row>
    <row r="8441" spans="1:6">
      <c r="A8441" t="s">
        <v>13</v>
      </c>
      <c r="B8441" t="s">
        <v>234</v>
      </c>
      <c r="C8441" t="s">
        <v>846</v>
      </c>
      <c r="D8441" t="s">
        <v>2017</v>
      </c>
      <c r="E8441" t="s">
        <v>1847</v>
      </c>
      <c r="F8441">
        <v>1605714.810000062</v>
      </c>
    </row>
    <row r="8442" spans="1:6">
      <c r="A8442" t="s">
        <v>13</v>
      </c>
      <c r="B8442" t="s">
        <v>234</v>
      </c>
      <c r="C8442" t="s">
        <v>846</v>
      </c>
      <c r="D8442" t="s">
        <v>2017</v>
      </c>
      <c r="E8442" t="s">
        <v>1848</v>
      </c>
      <c r="F8442">
        <v>1586092.540000062</v>
      </c>
    </row>
    <row r="8443" spans="1:6">
      <c r="A8443" t="s">
        <v>13</v>
      </c>
      <c r="B8443" t="s">
        <v>234</v>
      </c>
      <c r="C8443" t="s">
        <v>846</v>
      </c>
      <c r="D8443" t="s">
        <v>2017</v>
      </c>
      <c r="E8443" t="s">
        <v>1796</v>
      </c>
      <c r="F8443">
        <v>1585947.960000062</v>
      </c>
    </row>
    <row r="8444" spans="1:6">
      <c r="A8444" t="s">
        <v>13</v>
      </c>
      <c r="B8444" t="s">
        <v>234</v>
      </c>
      <c r="C8444" t="s">
        <v>846</v>
      </c>
      <c r="D8444" t="s">
        <v>2017</v>
      </c>
      <c r="E8444" t="s">
        <v>1797</v>
      </c>
      <c r="F8444">
        <v>1578408.750000062</v>
      </c>
    </row>
    <row r="8445" spans="1:6">
      <c r="A8445" t="s">
        <v>13</v>
      </c>
      <c r="B8445" t="s">
        <v>234</v>
      </c>
      <c r="C8445" t="s">
        <v>846</v>
      </c>
      <c r="D8445" t="s">
        <v>2017</v>
      </c>
      <c r="E8445" t="s">
        <v>1582</v>
      </c>
      <c r="F8445">
        <v>1575785.750000062</v>
      </c>
    </row>
    <row r="8446" spans="1:6">
      <c r="A8446" t="s">
        <v>13</v>
      </c>
      <c r="B8446" t="s">
        <v>234</v>
      </c>
      <c r="C8446" t="s">
        <v>846</v>
      </c>
      <c r="D8446" t="s">
        <v>2017</v>
      </c>
      <c r="E8446" t="s">
        <v>1584</v>
      </c>
      <c r="F8446">
        <v>1574535.710000062</v>
      </c>
    </row>
    <row r="8447" spans="1:6">
      <c r="A8447" t="s">
        <v>13</v>
      </c>
      <c r="B8447" t="s">
        <v>234</v>
      </c>
      <c r="C8447" t="s">
        <v>846</v>
      </c>
      <c r="D8447" t="s">
        <v>2017</v>
      </c>
      <c r="E8447" t="s">
        <v>1586</v>
      </c>
      <c r="F8447">
        <v>1549769.059999999</v>
      </c>
    </row>
    <row r="8448" spans="1:6">
      <c r="A8448" t="s">
        <v>13</v>
      </c>
      <c r="B8448" t="s">
        <v>234</v>
      </c>
      <c r="C8448" t="s">
        <v>846</v>
      </c>
      <c r="D8448" t="s">
        <v>2017</v>
      </c>
      <c r="E8448" t="s">
        <v>1588</v>
      </c>
      <c r="F8448">
        <v>1526170.329999999</v>
      </c>
    </row>
    <row r="8449" spans="1:6">
      <c r="A8449" t="s">
        <v>13</v>
      </c>
      <c r="B8449" t="s">
        <v>234</v>
      </c>
      <c r="C8449" t="s">
        <v>846</v>
      </c>
      <c r="D8449" t="s">
        <v>2017</v>
      </c>
      <c r="E8449" t="s">
        <v>1590</v>
      </c>
      <c r="F8449">
        <v>1518925.419999999</v>
      </c>
    </row>
    <row r="8450" spans="1:6">
      <c r="A8450" t="s">
        <v>13</v>
      </c>
      <c r="B8450" t="s">
        <v>234</v>
      </c>
      <c r="C8450" t="s">
        <v>846</v>
      </c>
      <c r="D8450" t="s">
        <v>2017</v>
      </c>
      <c r="E8450" t="s">
        <v>1592</v>
      </c>
      <c r="F8450">
        <v>1516853.870000044</v>
      </c>
    </row>
    <row r="8451" spans="1:6">
      <c r="A8451" t="s">
        <v>13</v>
      </c>
      <c r="B8451" t="s">
        <v>234</v>
      </c>
      <c r="C8451" t="s">
        <v>846</v>
      </c>
      <c r="D8451" t="s">
        <v>2017</v>
      </c>
      <c r="E8451" t="s">
        <v>1594</v>
      </c>
      <c r="F8451">
        <v>1515305.020000044</v>
      </c>
    </row>
    <row r="8452" spans="1:6">
      <c r="A8452" t="s">
        <v>13</v>
      </c>
      <c r="B8452" t="s">
        <v>234</v>
      </c>
      <c r="C8452" t="s">
        <v>846</v>
      </c>
      <c r="D8452" t="s">
        <v>2017</v>
      </c>
      <c r="E8452" t="s">
        <v>1595</v>
      </c>
      <c r="F8452">
        <v>1513728.470000044</v>
      </c>
    </row>
    <row r="8453" spans="1:6">
      <c r="A8453" t="s">
        <v>13</v>
      </c>
      <c r="B8453" t="s">
        <v>234</v>
      </c>
      <c r="C8453" t="s">
        <v>846</v>
      </c>
      <c r="D8453" t="s">
        <v>2017</v>
      </c>
      <c r="E8453" t="s">
        <v>1597</v>
      </c>
      <c r="F8453">
        <v>1511781.450000044</v>
      </c>
    </row>
    <row r="8454" spans="1:6">
      <c r="A8454" t="s">
        <v>13</v>
      </c>
      <c r="B8454" t="s">
        <v>234</v>
      </c>
      <c r="C8454" t="s">
        <v>846</v>
      </c>
      <c r="D8454" t="s">
        <v>2017</v>
      </c>
      <c r="E8454" t="s">
        <v>1599</v>
      </c>
      <c r="F8454">
        <v>900946.0100000466</v>
      </c>
    </row>
    <row r="8455" spans="1:6">
      <c r="A8455" t="s">
        <v>13</v>
      </c>
      <c r="B8455" t="s">
        <v>234</v>
      </c>
      <c r="C8455" t="s">
        <v>846</v>
      </c>
      <c r="D8455" t="s">
        <v>2017</v>
      </c>
      <c r="E8455" t="s">
        <v>1600</v>
      </c>
      <c r="F8455">
        <v>890743.0300000466</v>
      </c>
    </row>
    <row r="8456" spans="1:6">
      <c r="A8456" t="s">
        <v>13</v>
      </c>
      <c r="B8456" t="s">
        <v>234</v>
      </c>
      <c r="C8456" t="s">
        <v>846</v>
      </c>
      <c r="D8456" t="s">
        <v>2017</v>
      </c>
      <c r="E8456" t="s">
        <v>1303</v>
      </c>
      <c r="F8456">
        <v>2011</v>
      </c>
    </row>
    <row r="8457" spans="1:6">
      <c r="A8457" t="s">
        <v>13</v>
      </c>
      <c r="B8457" t="s">
        <v>234</v>
      </c>
      <c r="C8457" t="s">
        <v>846</v>
      </c>
      <c r="D8457" t="s">
        <v>2017</v>
      </c>
      <c r="E8457" t="s">
        <v>1429</v>
      </c>
      <c r="F8457">
        <v>1675023.590000017</v>
      </c>
    </row>
    <row r="8458" spans="1:6">
      <c r="A8458" t="s">
        <v>13</v>
      </c>
      <c r="B8458" t="s">
        <v>234</v>
      </c>
      <c r="C8458" t="s">
        <v>846</v>
      </c>
      <c r="D8458" t="s">
        <v>2017</v>
      </c>
      <c r="E8458" t="s">
        <v>1145</v>
      </c>
      <c r="F8458">
        <v>1671865.060000017</v>
      </c>
    </row>
    <row r="8459" spans="1:6">
      <c r="A8459" t="s">
        <v>13</v>
      </c>
      <c r="B8459" t="s">
        <v>234</v>
      </c>
      <c r="C8459" t="s">
        <v>846</v>
      </c>
      <c r="D8459" t="s">
        <v>2017</v>
      </c>
      <c r="E8459" t="s">
        <v>2204</v>
      </c>
      <c r="F8459">
        <v>1671740.430000017</v>
      </c>
    </row>
    <row r="8460" spans="1:6">
      <c r="A8460" t="s">
        <v>13</v>
      </c>
      <c r="B8460" t="s">
        <v>234</v>
      </c>
      <c r="C8460" t="s">
        <v>846</v>
      </c>
      <c r="D8460" t="s">
        <v>2017</v>
      </c>
      <c r="E8460" t="s">
        <v>2205</v>
      </c>
      <c r="F8460">
        <v>1671139.620000017</v>
      </c>
    </row>
    <row r="8461" spans="1:6">
      <c r="A8461" t="s">
        <v>13</v>
      </c>
      <c r="B8461" t="s">
        <v>234</v>
      </c>
      <c r="C8461" t="s">
        <v>846</v>
      </c>
      <c r="D8461" t="s">
        <v>2017</v>
      </c>
      <c r="E8461" t="s">
        <v>2206</v>
      </c>
      <c r="F8461">
        <v>1663563.590000017</v>
      </c>
    </row>
    <row r="8462" spans="1:6">
      <c r="A8462" t="s">
        <v>13</v>
      </c>
      <c r="B8462" t="s">
        <v>234</v>
      </c>
      <c r="C8462" t="s">
        <v>846</v>
      </c>
      <c r="D8462" t="s">
        <v>2017</v>
      </c>
      <c r="E8462" t="s">
        <v>1798</v>
      </c>
      <c r="F8462">
        <v>1663403.370000017</v>
      </c>
    </row>
    <row r="8463" spans="1:6">
      <c r="A8463" t="s">
        <v>13</v>
      </c>
      <c r="B8463" t="s">
        <v>234</v>
      </c>
      <c r="C8463" t="s">
        <v>846</v>
      </c>
      <c r="D8463" t="s">
        <v>2017</v>
      </c>
      <c r="E8463" t="s">
        <v>1799</v>
      </c>
      <c r="F8463">
        <v>1660596.920000017</v>
      </c>
    </row>
    <row r="8464" spans="1:6">
      <c r="A8464" t="s">
        <v>13</v>
      </c>
      <c r="B8464" t="s">
        <v>234</v>
      </c>
      <c r="C8464" t="s">
        <v>846</v>
      </c>
      <c r="D8464" t="s">
        <v>2017</v>
      </c>
      <c r="E8464" t="s">
        <v>1602</v>
      </c>
      <c r="F8464">
        <v>1656060.200000017</v>
      </c>
    </row>
    <row r="8465" spans="1:6">
      <c r="A8465" t="s">
        <v>13</v>
      </c>
      <c r="B8465" t="s">
        <v>234</v>
      </c>
      <c r="C8465" t="s">
        <v>846</v>
      </c>
      <c r="D8465" t="s">
        <v>2017</v>
      </c>
      <c r="E8465" t="s">
        <v>1604</v>
      </c>
      <c r="F8465">
        <v>1655045.120000017</v>
      </c>
    </row>
    <row r="8466" spans="1:6">
      <c r="A8466" t="s">
        <v>13</v>
      </c>
      <c r="B8466" t="s">
        <v>234</v>
      </c>
      <c r="C8466" t="s">
        <v>846</v>
      </c>
      <c r="D8466" t="s">
        <v>2017</v>
      </c>
      <c r="E8466" t="s">
        <v>1605</v>
      </c>
      <c r="F8466">
        <v>1632929.269999999</v>
      </c>
    </row>
    <row r="8467" spans="1:6">
      <c r="A8467" t="s">
        <v>13</v>
      </c>
      <c r="B8467" t="s">
        <v>234</v>
      </c>
      <c r="C8467" t="s">
        <v>846</v>
      </c>
      <c r="D8467" t="s">
        <v>2017</v>
      </c>
      <c r="E8467" t="s">
        <v>1606</v>
      </c>
      <c r="F8467">
        <v>1594604.359999999</v>
      </c>
    </row>
    <row r="8468" spans="1:6">
      <c r="A8468" t="s">
        <v>13</v>
      </c>
      <c r="B8468" t="s">
        <v>234</v>
      </c>
      <c r="C8468" t="s">
        <v>846</v>
      </c>
      <c r="D8468" t="s">
        <v>2017</v>
      </c>
      <c r="E8468" t="s">
        <v>1607</v>
      </c>
      <c r="F8468">
        <v>1584539.649999999</v>
      </c>
    </row>
    <row r="8469" spans="1:6">
      <c r="A8469" t="s">
        <v>13</v>
      </c>
      <c r="B8469" t="s">
        <v>234</v>
      </c>
      <c r="C8469" t="s">
        <v>846</v>
      </c>
      <c r="D8469" t="s">
        <v>2017</v>
      </c>
      <c r="E8469" t="s">
        <v>1608</v>
      </c>
      <c r="F8469">
        <v>1580905.420000017</v>
      </c>
    </row>
    <row r="8470" spans="1:6">
      <c r="A8470" t="s">
        <v>13</v>
      </c>
      <c r="B8470" t="s">
        <v>234</v>
      </c>
      <c r="C8470" t="s">
        <v>846</v>
      </c>
      <c r="D8470" t="s">
        <v>2017</v>
      </c>
      <c r="E8470" t="s">
        <v>1609</v>
      </c>
      <c r="F8470">
        <v>1579853.530000017</v>
      </c>
    </row>
    <row r="8471" spans="1:6">
      <c r="A8471" t="s">
        <v>13</v>
      </c>
      <c r="B8471" t="s">
        <v>234</v>
      </c>
      <c r="C8471" t="s">
        <v>846</v>
      </c>
      <c r="D8471" t="s">
        <v>2017</v>
      </c>
      <c r="E8471" t="s">
        <v>1610</v>
      </c>
      <c r="F8471">
        <v>1577967.600000017</v>
      </c>
    </row>
    <row r="8472" spans="1:6">
      <c r="A8472" t="s">
        <v>13</v>
      </c>
      <c r="B8472" t="s">
        <v>234</v>
      </c>
      <c r="C8472" t="s">
        <v>846</v>
      </c>
      <c r="D8472" t="s">
        <v>2017</v>
      </c>
      <c r="E8472" t="s">
        <v>1611</v>
      </c>
      <c r="F8472">
        <v>1575021.750000017</v>
      </c>
    </row>
    <row r="8473" spans="1:6">
      <c r="A8473" t="s">
        <v>13</v>
      </c>
      <c r="B8473" t="s">
        <v>234</v>
      </c>
      <c r="C8473" t="s">
        <v>846</v>
      </c>
      <c r="D8473" t="s">
        <v>2017</v>
      </c>
      <c r="E8473" t="s">
        <v>1612</v>
      </c>
      <c r="F8473">
        <v>1033597.680000018</v>
      </c>
    </row>
    <row r="8474" spans="1:6">
      <c r="A8474" t="s">
        <v>13</v>
      </c>
      <c r="B8474" t="s">
        <v>234</v>
      </c>
      <c r="C8474" t="s">
        <v>846</v>
      </c>
      <c r="D8474" t="s">
        <v>2017</v>
      </c>
      <c r="E8474" t="s">
        <v>1613</v>
      </c>
      <c r="F8474">
        <v>1026959.910000018</v>
      </c>
    </row>
    <row r="8475" spans="1:6">
      <c r="A8475" t="s">
        <v>13</v>
      </c>
      <c r="B8475" t="s">
        <v>234</v>
      </c>
      <c r="C8475" t="s">
        <v>846</v>
      </c>
      <c r="D8475" t="s">
        <v>2017</v>
      </c>
      <c r="E8475" t="s">
        <v>1394</v>
      </c>
      <c r="F8475">
        <v>2012</v>
      </c>
    </row>
    <row r="8476" spans="1:6">
      <c r="A8476" t="s">
        <v>13</v>
      </c>
      <c r="B8476" t="s">
        <v>234</v>
      </c>
      <c r="C8476" t="s">
        <v>846</v>
      </c>
      <c r="D8476" t="s">
        <v>2017</v>
      </c>
      <c r="E8476" t="s">
        <v>1432</v>
      </c>
      <c r="F8476">
        <v>14470590.27999989</v>
      </c>
    </row>
    <row r="8477" spans="1:6">
      <c r="A8477" t="s">
        <v>13</v>
      </c>
      <c r="B8477" t="s">
        <v>234</v>
      </c>
      <c r="C8477" t="s">
        <v>846</v>
      </c>
      <c r="D8477" t="s">
        <v>2017</v>
      </c>
      <c r="E8477" t="s">
        <v>1434</v>
      </c>
      <c r="F8477">
        <v>14464724.41999989</v>
      </c>
    </row>
    <row r="8478" spans="1:6">
      <c r="A8478" t="s">
        <v>13</v>
      </c>
      <c r="B8478" t="s">
        <v>234</v>
      </c>
      <c r="C8478" t="s">
        <v>846</v>
      </c>
      <c r="D8478" t="s">
        <v>2017</v>
      </c>
      <c r="E8478" t="s">
        <v>2207</v>
      </c>
      <c r="F8478">
        <v>14463852.80999989</v>
      </c>
    </row>
    <row r="8479" spans="1:6">
      <c r="A8479" t="s">
        <v>13</v>
      </c>
      <c r="B8479" t="s">
        <v>234</v>
      </c>
      <c r="C8479" t="s">
        <v>846</v>
      </c>
      <c r="D8479" t="s">
        <v>2017</v>
      </c>
      <c r="E8479" t="s">
        <v>2208</v>
      </c>
      <c r="F8479">
        <v>14460788.85999989</v>
      </c>
    </row>
    <row r="8480" spans="1:6">
      <c r="A8480" t="s">
        <v>13</v>
      </c>
      <c r="B8480" t="s">
        <v>234</v>
      </c>
      <c r="C8480" t="s">
        <v>846</v>
      </c>
      <c r="D8480" t="s">
        <v>2017</v>
      </c>
      <c r="E8480" t="s">
        <v>2209</v>
      </c>
      <c r="F8480">
        <v>14417126.82999989</v>
      </c>
    </row>
    <row r="8481" spans="1:6">
      <c r="A8481" t="s">
        <v>13</v>
      </c>
      <c r="B8481" t="s">
        <v>234</v>
      </c>
      <c r="C8481" t="s">
        <v>846</v>
      </c>
      <c r="D8481" t="s">
        <v>2017</v>
      </c>
      <c r="E8481" t="s">
        <v>1800</v>
      </c>
      <c r="F8481">
        <v>14416938.93999989</v>
      </c>
    </row>
    <row r="8482" spans="1:6">
      <c r="A8482" t="s">
        <v>13</v>
      </c>
      <c r="B8482" t="s">
        <v>234</v>
      </c>
      <c r="C8482" t="s">
        <v>846</v>
      </c>
      <c r="D8482" t="s">
        <v>2017</v>
      </c>
      <c r="E8482" t="s">
        <v>1801</v>
      </c>
      <c r="F8482">
        <v>14414026.92999989</v>
      </c>
    </row>
    <row r="8483" spans="1:6">
      <c r="A8483" t="s">
        <v>13</v>
      </c>
      <c r="B8483" t="s">
        <v>234</v>
      </c>
      <c r="C8483" t="s">
        <v>846</v>
      </c>
      <c r="D8483" t="s">
        <v>2017</v>
      </c>
      <c r="E8483" t="s">
        <v>1802</v>
      </c>
      <c r="F8483">
        <v>14412860.61999989</v>
      </c>
    </row>
    <row r="8484" spans="1:6">
      <c r="A8484" t="s">
        <v>13</v>
      </c>
      <c r="B8484" t="s">
        <v>234</v>
      </c>
      <c r="C8484" t="s">
        <v>846</v>
      </c>
      <c r="D8484" t="s">
        <v>2017</v>
      </c>
      <c r="E8484" t="s">
        <v>2210</v>
      </c>
      <c r="F8484">
        <v>14411335.43999989</v>
      </c>
    </row>
    <row r="8485" spans="1:6">
      <c r="A8485" t="s">
        <v>13</v>
      </c>
      <c r="B8485" t="s">
        <v>234</v>
      </c>
      <c r="C8485" t="s">
        <v>846</v>
      </c>
      <c r="D8485" t="s">
        <v>2017</v>
      </c>
      <c r="E8485" t="s">
        <v>2211</v>
      </c>
      <c r="F8485">
        <v>14283776.13999985</v>
      </c>
    </row>
    <row r="8486" spans="1:6">
      <c r="A8486" t="s">
        <v>13</v>
      </c>
      <c r="B8486" t="s">
        <v>234</v>
      </c>
      <c r="C8486" t="s">
        <v>846</v>
      </c>
      <c r="D8486" t="s">
        <v>2017</v>
      </c>
      <c r="E8486" t="s">
        <v>2212</v>
      </c>
      <c r="F8486">
        <v>14263075.23999985</v>
      </c>
    </row>
    <row r="8487" spans="1:6">
      <c r="A8487" t="s">
        <v>13</v>
      </c>
      <c r="B8487" t="s">
        <v>234</v>
      </c>
      <c r="C8487" t="s">
        <v>846</v>
      </c>
      <c r="D8487" t="s">
        <v>2017</v>
      </c>
      <c r="E8487" t="s">
        <v>2213</v>
      </c>
      <c r="F8487">
        <v>14255741.47999985</v>
      </c>
    </row>
    <row r="8488" spans="1:6">
      <c r="A8488" t="s">
        <v>13</v>
      </c>
      <c r="B8488" t="s">
        <v>234</v>
      </c>
      <c r="C8488" t="s">
        <v>846</v>
      </c>
      <c r="D8488" t="s">
        <v>2017</v>
      </c>
      <c r="E8488" t="s">
        <v>2214</v>
      </c>
      <c r="F8488">
        <v>14254244.64999986</v>
      </c>
    </row>
    <row r="8489" spans="1:6">
      <c r="A8489" t="s">
        <v>13</v>
      </c>
      <c r="B8489" t="s">
        <v>234</v>
      </c>
      <c r="C8489" t="s">
        <v>846</v>
      </c>
      <c r="D8489" t="s">
        <v>2017</v>
      </c>
      <c r="E8489" t="s">
        <v>2215</v>
      </c>
      <c r="F8489">
        <v>14253600.77999986</v>
      </c>
    </row>
    <row r="8490" spans="1:6">
      <c r="A8490" t="s">
        <v>13</v>
      </c>
      <c r="B8490" t="s">
        <v>234</v>
      </c>
      <c r="C8490" t="s">
        <v>846</v>
      </c>
      <c r="D8490" t="s">
        <v>2017</v>
      </c>
      <c r="E8490" t="s">
        <v>2216</v>
      </c>
      <c r="F8490">
        <v>14248732.35999986</v>
      </c>
    </row>
    <row r="8491" spans="1:6">
      <c r="A8491" t="s">
        <v>13</v>
      </c>
      <c r="B8491" t="s">
        <v>234</v>
      </c>
      <c r="C8491" t="s">
        <v>846</v>
      </c>
      <c r="D8491" t="s">
        <v>2017</v>
      </c>
      <c r="E8491" t="s">
        <v>2217</v>
      </c>
      <c r="F8491">
        <v>14244296.75999986</v>
      </c>
    </row>
    <row r="8492" spans="1:6">
      <c r="A8492" t="s">
        <v>13</v>
      </c>
      <c r="B8492" t="s">
        <v>234</v>
      </c>
      <c r="C8492" t="s">
        <v>846</v>
      </c>
      <c r="D8492" t="s">
        <v>2017</v>
      </c>
      <c r="E8492" t="s">
        <v>2218</v>
      </c>
      <c r="F8492">
        <v>716074.2800000089</v>
      </c>
    </row>
    <row r="8493" spans="1:6">
      <c r="A8493" t="s">
        <v>13</v>
      </c>
      <c r="B8493" t="s">
        <v>234</v>
      </c>
      <c r="C8493" t="s">
        <v>846</v>
      </c>
      <c r="D8493" t="s">
        <v>2017</v>
      </c>
      <c r="E8493" t="s">
        <v>2219</v>
      </c>
      <c r="F8493">
        <v>703962.4500000089</v>
      </c>
    </row>
    <row r="8494" spans="1:6">
      <c r="A8494" t="s">
        <v>13</v>
      </c>
      <c r="B8494" t="s">
        <v>234</v>
      </c>
      <c r="C8494" t="s">
        <v>846</v>
      </c>
      <c r="D8494" t="s">
        <v>2017</v>
      </c>
      <c r="E8494" t="s">
        <v>1438</v>
      </c>
      <c r="F8494">
        <v>2013</v>
      </c>
    </row>
    <row r="8495" spans="1:6">
      <c r="A8495" t="s">
        <v>13</v>
      </c>
      <c r="B8495" t="s">
        <v>234</v>
      </c>
      <c r="C8495" t="s">
        <v>846</v>
      </c>
      <c r="D8495" t="s">
        <v>2017</v>
      </c>
      <c r="E8495" t="s">
        <v>1439</v>
      </c>
      <c r="F8495">
        <v>1212745.310000002</v>
      </c>
    </row>
    <row r="8496" spans="1:6">
      <c r="A8496" t="s">
        <v>13</v>
      </c>
      <c r="B8496" t="s">
        <v>234</v>
      </c>
      <c r="C8496" t="s">
        <v>846</v>
      </c>
      <c r="D8496" t="s">
        <v>2017</v>
      </c>
      <c r="E8496" t="s">
        <v>1441</v>
      </c>
      <c r="F8496">
        <v>1197324.300000002</v>
      </c>
    </row>
    <row r="8497" spans="1:6">
      <c r="A8497" t="s">
        <v>13</v>
      </c>
      <c r="B8497" t="s">
        <v>234</v>
      </c>
      <c r="C8497" t="s">
        <v>846</v>
      </c>
      <c r="D8497" t="s">
        <v>2017</v>
      </c>
      <c r="E8497" t="s">
        <v>2220</v>
      </c>
      <c r="F8497">
        <v>1192761.550000002</v>
      </c>
    </row>
    <row r="8498" spans="1:6">
      <c r="A8498" t="s">
        <v>13</v>
      </c>
      <c r="B8498" t="s">
        <v>234</v>
      </c>
      <c r="C8498" t="s">
        <v>846</v>
      </c>
      <c r="D8498" t="s">
        <v>2017</v>
      </c>
      <c r="E8498" t="s">
        <v>2221</v>
      </c>
      <c r="F8498">
        <v>1190794.590000002</v>
      </c>
    </row>
    <row r="8499" spans="1:6">
      <c r="A8499" t="s">
        <v>13</v>
      </c>
      <c r="B8499" t="s">
        <v>234</v>
      </c>
      <c r="C8499" t="s">
        <v>846</v>
      </c>
      <c r="D8499" t="s">
        <v>2017</v>
      </c>
      <c r="E8499" t="s">
        <v>2222</v>
      </c>
      <c r="F8499">
        <v>1121412.900000002</v>
      </c>
    </row>
    <row r="8500" spans="1:6">
      <c r="A8500" t="s">
        <v>13</v>
      </c>
      <c r="B8500" t="s">
        <v>234</v>
      </c>
      <c r="C8500" t="s">
        <v>846</v>
      </c>
      <c r="D8500" t="s">
        <v>2017</v>
      </c>
      <c r="E8500" t="s">
        <v>1803</v>
      </c>
      <c r="F8500">
        <v>1120799.770000003</v>
      </c>
    </row>
    <row r="8501" spans="1:6">
      <c r="A8501" t="s">
        <v>13</v>
      </c>
      <c r="B8501" t="s">
        <v>234</v>
      </c>
      <c r="C8501" t="s">
        <v>846</v>
      </c>
      <c r="D8501" t="s">
        <v>2017</v>
      </c>
      <c r="E8501" t="s">
        <v>1804</v>
      </c>
      <c r="F8501">
        <v>1112013.330000003</v>
      </c>
    </row>
    <row r="8502" spans="1:6">
      <c r="A8502" t="s">
        <v>13</v>
      </c>
      <c r="B8502" t="s">
        <v>234</v>
      </c>
      <c r="C8502" t="s">
        <v>846</v>
      </c>
      <c r="D8502" t="s">
        <v>2017</v>
      </c>
      <c r="E8502" t="s">
        <v>1614</v>
      </c>
      <c r="F8502">
        <v>1111490.140000003</v>
      </c>
    </row>
    <row r="8503" spans="1:6">
      <c r="A8503" t="s">
        <v>13</v>
      </c>
      <c r="B8503" t="s">
        <v>234</v>
      </c>
      <c r="C8503" t="s">
        <v>846</v>
      </c>
      <c r="D8503" t="s">
        <v>2017</v>
      </c>
      <c r="E8503" t="s">
        <v>1616</v>
      </c>
      <c r="F8503">
        <v>1064106.720000003</v>
      </c>
    </row>
    <row r="8504" spans="1:6">
      <c r="A8504" t="s">
        <v>13</v>
      </c>
      <c r="B8504" t="s">
        <v>234</v>
      </c>
      <c r="C8504" t="s">
        <v>846</v>
      </c>
      <c r="D8504" t="s">
        <v>2017</v>
      </c>
      <c r="E8504" t="s">
        <v>1617</v>
      </c>
      <c r="F8504">
        <v>1036686.070000001</v>
      </c>
    </row>
    <row r="8505" spans="1:6">
      <c r="A8505" t="s">
        <v>13</v>
      </c>
      <c r="B8505" t="s">
        <v>234</v>
      </c>
      <c r="C8505" t="s">
        <v>846</v>
      </c>
      <c r="D8505" t="s">
        <v>2017</v>
      </c>
      <c r="E8505" t="s">
        <v>1618</v>
      </c>
      <c r="F8505">
        <v>1007603.640000001</v>
      </c>
    </row>
    <row r="8506" spans="1:6">
      <c r="A8506" t="s">
        <v>13</v>
      </c>
      <c r="B8506" t="s">
        <v>234</v>
      </c>
      <c r="C8506" t="s">
        <v>846</v>
      </c>
      <c r="D8506" t="s">
        <v>2017</v>
      </c>
      <c r="E8506" t="s">
        <v>1619</v>
      </c>
      <c r="F8506">
        <v>998211.2700000007</v>
      </c>
    </row>
    <row r="8507" spans="1:6">
      <c r="A8507" t="s">
        <v>13</v>
      </c>
      <c r="B8507" t="s">
        <v>234</v>
      </c>
      <c r="C8507" t="s">
        <v>846</v>
      </c>
      <c r="D8507" t="s">
        <v>2017</v>
      </c>
      <c r="E8507" t="s">
        <v>1620</v>
      </c>
      <c r="F8507">
        <v>993391.3000000014</v>
      </c>
    </row>
    <row r="8508" spans="1:6">
      <c r="A8508" t="s">
        <v>13</v>
      </c>
      <c r="B8508" t="s">
        <v>234</v>
      </c>
      <c r="C8508" t="s">
        <v>846</v>
      </c>
      <c r="D8508" t="s">
        <v>2017</v>
      </c>
      <c r="E8508" t="s">
        <v>1621</v>
      </c>
      <c r="F8508">
        <v>992103.5500000014</v>
      </c>
    </row>
    <row r="8509" spans="1:6">
      <c r="A8509" t="s">
        <v>13</v>
      </c>
      <c r="B8509" t="s">
        <v>234</v>
      </c>
      <c r="C8509" t="s">
        <v>846</v>
      </c>
      <c r="D8509" t="s">
        <v>2017</v>
      </c>
      <c r="E8509" t="s">
        <v>1622</v>
      </c>
      <c r="F8509">
        <v>988784.8200000015</v>
      </c>
    </row>
    <row r="8510" spans="1:6">
      <c r="A8510" t="s">
        <v>13</v>
      </c>
      <c r="B8510" t="s">
        <v>234</v>
      </c>
      <c r="C8510" t="s">
        <v>846</v>
      </c>
      <c r="D8510" t="s">
        <v>2017</v>
      </c>
      <c r="E8510" t="s">
        <v>1623</v>
      </c>
      <c r="F8510">
        <v>986619.9800000014</v>
      </c>
    </row>
    <row r="8511" spans="1:6">
      <c r="A8511" t="s">
        <v>13</v>
      </c>
      <c r="B8511" t="s">
        <v>234</v>
      </c>
      <c r="C8511" t="s">
        <v>846</v>
      </c>
      <c r="D8511" t="s">
        <v>2017</v>
      </c>
      <c r="E8511" t="s">
        <v>1624</v>
      </c>
      <c r="F8511">
        <v>523812.620000001</v>
      </c>
    </row>
    <row r="8512" spans="1:6">
      <c r="A8512" t="s">
        <v>13</v>
      </c>
      <c r="B8512" t="s">
        <v>234</v>
      </c>
      <c r="C8512" t="s">
        <v>846</v>
      </c>
      <c r="D8512" t="s">
        <v>2017</v>
      </c>
      <c r="E8512" t="s">
        <v>1625</v>
      </c>
      <c r="F8512">
        <v>519130.660000001</v>
      </c>
    </row>
    <row r="8513" spans="1:6">
      <c r="A8513" t="s">
        <v>13</v>
      </c>
      <c r="B8513" t="s">
        <v>234</v>
      </c>
      <c r="C8513" t="s">
        <v>846</v>
      </c>
      <c r="D8513" t="s">
        <v>2017</v>
      </c>
      <c r="E8513" t="s">
        <v>1154</v>
      </c>
      <c r="F8513">
        <v>2014</v>
      </c>
    </row>
    <row r="8514" spans="1:6">
      <c r="A8514" t="s">
        <v>13</v>
      </c>
      <c r="B8514" t="s">
        <v>234</v>
      </c>
      <c r="C8514" t="s">
        <v>846</v>
      </c>
      <c r="D8514" t="s">
        <v>2017</v>
      </c>
      <c r="E8514" t="s">
        <v>1156</v>
      </c>
      <c r="F8514">
        <v>566818.9700000023</v>
      </c>
    </row>
    <row r="8515" spans="1:6">
      <c r="A8515" t="s">
        <v>13</v>
      </c>
      <c r="B8515" t="s">
        <v>234</v>
      </c>
      <c r="C8515" t="s">
        <v>846</v>
      </c>
      <c r="D8515" t="s">
        <v>2017</v>
      </c>
      <c r="E8515" t="s">
        <v>1158</v>
      </c>
      <c r="F8515">
        <v>545881.7200000023</v>
      </c>
    </row>
    <row r="8516" spans="1:6">
      <c r="A8516" t="s">
        <v>13</v>
      </c>
      <c r="B8516" t="s">
        <v>234</v>
      </c>
      <c r="C8516" t="s">
        <v>846</v>
      </c>
      <c r="D8516" t="s">
        <v>2017</v>
      </c>
      <c r="E8516" t="s">
        <v>1160</v>
      </c>
      <c r="F8516">
        <v>538608.7300000023</v>
      </c>
    </row>
    <row r="8517" spans="1:6">
      <c r="A8517" t="s">
        <v>13</v>
      </c>
      <c r="B8517" t="s">
        <v>234</v>
      </c>
      <c r="C8517" t="s">
        <v>846</v>
      </c>
      <c r="D8517" t="s">
        <v>2017</v>
      </c>
      <c r="E8517" t="s">
        <v>1162</v>
      </c>
      <c r="F8517">
        <v>538577.5200000023</v>
      </c>
    </row>
    <row r="8518" spans="1:6">
      <c r="A8518" t="s">
        <v>13</v>
      </c>
      <c r="B8518" t="s">
        <v>234</v>
      </c>
      <c r="C8518" t="s">
        <v>846</v>
      </c>
      <c r="D8518" t="s">
        <v>2017</v>
      </c>
      <c r="E8518" t="s">
        <v>2223</v>
      </c>
      <c r="F8518">
        <v>524463.6100000023</v>
      </c>
    </row>
    <row r="8519" spans="1:6">
      <c r="A8519" t="s">
        <v>13</v>
      </c>
      <c r="B8519" t="s">
        <v>234</v>
      </c>
      <c r="C8519" t="s">
        <v>846</v>
      </c>
      <c r="D8519" t="s">
        <v>2017</v>
      </c>
      <c r="E8519" t="s">
        <v>1805</v>
      </c>
      <c r="F8519">
        <v>522222.4500000023</v>
      </c>
    </row>
    <row r="8520" spans="1:6">
      <c r="A8520" t="s">
        <v>13</v>
      </c>
      <c r="B8520" t="s">
        <v>234</v>
      </c>
      <c r="C8520" t="s">
        <v>846</v>
      </c>
      <c r="D8520" t="s">
        <v>2017</v>
      </c>
      <c r="E8520" t="s">
        <v>1806</v>
      </c>
      <c r="F8520">
        <v>519693.8600000023</v>
      </c>
    </row>
    <row r="8521" spans="1:6">
      <c r="A8521" t="s">
        <v>13</v>
      </c>
      <c r="B8521" t="s">
        <v>234</v>
      </c>
      <c r="C8521" t="s">
        <v>846</v>
      </c>
      <c r="D8521" t="s">
        <v>2017</v>
      </c>
      <c r="E8521" t="s">
        <v>1807</v>
      </c>
      <c r="F8521">
        <v>519669.3600000023</v>
      </c>
    </row>
    <row r="8522" spans="1:6">
      <c r="A8522" t="s">
        <v>13</v>
      </c>
      <c r="B8522" t="s">
        <v>234</v>
      </c>
      <c r="C8522" t="s">
        <v>846</v>
      </c>
      <c r="D8522" t="s">
        <v>2017</v>
      </c>
      <c r="E8522" t="s">
        <v>2224</v>
      </c>
      <c r="F8522">
        <v>519222.0700000023</v>
      </c>
    </row>
    <row r="8523" spans="1:6">
      <c r="A8523" t="s">
        <v>13</v>
      </c>
      <c r="B8523" t="s">
        <v>234</v>
      </c>
      <c r="C8523" t="s">
        <v>846</v>
      </c>
      <c r="D8523" t="s">
        <v>2017</v>
      </c>
      <c r="E8523" t="s">
        <v>2225</v>
      </c>
      <c r="F8523">
        <v>517221.5000000001</v>
      </c>
    </row>
    <row r="8524" spans="1:6">
      <c r="A8524" t="s">
        <v>13</v>
      </c>
      <c r="B8524" t="s">
        <v>234</v>
      </c>
      <c r="C8524" t="s">
        <v>846</v>
      </c>
      <c r="D8524" t="s">
        <v>2017</v>
      </c>
      <c r="E8524" t="s">
        <v>2226</v>
      </c>
      <c r="F8524">
        <v>506165.91</v>
      </c>
    </row>
    <row r="8525" spans="1:6">
      <c r="A8525" t="s">
        <v>13</v>
      </c>
      <c r="B8525" t="s">
        <v>234</v>
      </c>
      <c r="C8525" t="s">
        <v>846</v>
      </c>
      <c r="D8525" t="s">
        <v>2017</v>
      </c>
      <c r="E8525" t="s">
        <v>2227</v>
      </c>
      <c r="F8525">
        <v>504435.91</v>
      </c>
    </row>
    <row r="8526" spans="1:6">
      <c r="A8526" t="s">
        <v>13</v>
      </c>
      <c r="B8526" t="s">
        <v>234</v>
      </c>
      <c r="C8526" t="s">
        <v>846</v>
      </c>
      <c r="D8526" t="s">
        <v>2017</v>
      </c>
      <c r="E8526" t="s">
        <v>2228</v>
      </c>
      <c r="F8526">
        <v>504261.2900000022</v>
      </c>
    </row>
    <row r="8527" spans="1:6">
      <c r="A8527" t="s">
        <v>13</v>
      </c>
      <c r="B8527" t="s">
        <v>234</v>
      </c>
      <c r="C8527" t="s">
        <v>846</v>
      </c>
      <c r="D8527" t="s">
        <v>2017</v>
      </c>
      <c r="E8527" t="s">
        <v>2229</v>
      </c>
      <c r="F8527">
        <v>504172.1900000023</v>
      </c>
    </row>
    <row r="8528" spans="1:6">
      <c r="A8528" t="s">
        <v>13</v>
      </c>
      <c r="B8528" t="s">
        <v>234</v>
      </c>
      <c r="C8528" t="s">
        <v>846</v>
      </c>
      <c r="D8528" t="s">
        <v>2017</v>
      </c>
      <c r="E8528" t="s">
        <v>2230</v>
      </c>
      <c r="F8528">
        <v>503865.1200000022</v>
      </c>
    </row>
    <row r="8529" spans="1:6">
      <c r="A8529" t="s">
        <v>13</v>
      </c>
      <c r="B8529" t="s">
        <v>234</v>
      </c>
      <c r="C8529" t="s">
        <v>846</v>
      </c>
      <c r="D8529" t="s">
        <v>2017</v>
      </c>
      <c r="E8529" t="s">
        <v>2231</v>
      </c>
      <c r="F8529">
        <v>503891.0100000021</v>
      </c>
    </row>
    <row r="8530" spans="1:6">
      <c r="A8530" t="s">
        <v>13</v>
      </c>
      <c r="B8530" t="s">
        <v>234</v>
      </c>
      <c r="C8530" t="s">
        <v>846</v>
      </c>
      <c r="D8530" t="s">
        <v>2017</v>
      </c>
      <c r="E8530" t="s">
        <v>2232</v>
      </c>
      <c r="F8530">
        <v>199740.7500000013</v>
      </c>
    </row>
    <row r="8531" spans="1:6">
      <c r="A8531" t="s">
        <v>13</v>
      </c>
      <c r="B8531" t="s">
        <v>234</v>
      </c>
      <c r="C8531" t="s">
        <v>846</v>
      </c>
      <c r="D8531" t="s">
        <v>2017</v>
      </c>
      <c r="E8531" t="s">
        <v>2233</v>
      </c>
      <c r="F8531">
        <v>196328.6000000013</v>
      </c>
    </row>
    <row r="8532" spans="1:6">
      <c r="A8532" t="s">
        <v>13</v>
      </c>
      <c r="B8532" t="s">
        <v>234</v>
      </c>
      <c r="C8532" t="s">
        <v>846</v>
      </c>
      <c r="D8532" t="s">
        <v>2017</v>
      </c>
      <c r="E8532" t="s">
        <v>1168</v>
      </c>
      <c r="F8532">
        <v>2015</v>
      </c>
    </row>
    <row r="8533" spans="1:6">
      <c r="A8533" t="s">
        <v>13</v>
      </c>
      <c r="B8533" t="s">
        <v>234</v>
      </c>
      <c r="C8533" t="s">
        <v>846</v>
      </c>
      <c r="D8533" t="s">
        <v>2017</v>
      </c>
      <c r="E8533" t="s">
        <v>1169</v>
      </c>
      <c r="F8533">
        <v>3382016.239999622</v>
      </c>
    </row>
    <row r="8534" spans="1:6">
      <c r="A8534" t="s">
        <v>13</v>
      </c>
      <c r="B8534" t="s">
        <v>234</v>
      </c>
      <c r="C8534" t="s">
        <v>846</v>
      </c>
      <c r="D8534" t="s">
        <v>2017</v>
      </c>
      <c r="E8534" t="s">
        <v>1170</v>
      </c>
      <c r="F8534">
        <v>3357959.239999622</v>
      </c>
    </row>
    <row r="8535" spans="1:6">
      <c r="A8535" t="s">
        <v>13</v>
      </c>
      <c r="B8535" t="s">
        <v>234</v>
      </c>
      <c r="C8535" t="s">
        <v>846</v>
      </c>
      <c r="D8535" t="s">
        <v>2017</v>
      </c>
      <c r="E8535" t="s">
        <v>1171</v>
      </c>
      <c r="F8535">
        <v>3347381.659999622</v>
      </c>
    </row>
    <row r="8536" spans="1:6">
      <c r="A8536" t="s">
        <v>13</v>
      </c>
      <c r="B8536" t="s">
        <v>234</v>
      </c>
      <c r="C8536" t="s">
        <v>846</v>
      </c>
      <c r="D8536" t="s">
        <v>2017</v>
      </c>
      <c r="E8536" t="s">
        <v>1172</v>
      </c>
      <c r="F8536">
        <v>3221822.199999621</v>
      </c>
    </row>
    <row r="8537" spans="1:6">
      <c r="A8537" t="s">
        <v>13</v>
      </c>
      <c r="B8537" t="s">
        <v>234</v>
      </c>
      <c r="C8537" t="s">
        <v>846</v>
      </c>
      <c r="D8537" t="s">
        <v>2017</v>
      </c>
      <c r="E8537" t="s">
        <v>2234</v>
      </c>
      <c r="F8537">
        <v>3218085.839999621</v>
      </c>
    </row>
    <row r="8538" spans="1:6">
      <c r="A8538" t="s">
        <v>13</v>
      </c>
      <c r="B8538" t="s">
        <v>234</v>
      </c>
      <c r="C8538" t="s">
        <v>846</v>
      </c>
      <c r="D8538" t="s">
        <v>2017</v>
      </c>
      <c r="E8538" t="s">
        <v>1808</v>
      </c>
      <c r="F8538">
        <v>3202268.509999621</v>
      </c>
    </row>
    <row r="8539" spans="1:6">
      <c r="A8539" t="s">
        <v>13</v>
      </c>
      <c r="B8539" t="s">
        <v>234</v>
      </c>
      <c r="C8539" t="s">
        <v>846</v>
      </c>
      <c r="D8539" t="s">
        <v>2017</v>
      </c>
      <c r="E8539" t="s">
        <v>1809</v>
      </c>
      <c r="F8539">
        <v>3183507.359999621</v>
      </c>
    </row>
    <row r="8540" spans="1:6">
      <c r="A8540" t="s">
        <v>13</v>
      </c>
      <c r="B8540" t="s">
        <v>234</v>
      </c>
      <c r="C8540" t="s">
        <v>846</v>
      </c>
      <c r="D8540" t="s">
        <v>2017</v>
      </c>
      <c r="E8540" t="s">
        <v>1626</v>
      </c>
      <c r="F8540">
        <v>3170541.229999621</v>
      </c>
    </row>
    <row r="8541" spans="1:6">
      <c r="A8541" t="s">
        <v>13</v>
      </c>
      <c r="B8541" t="s">
        <v>234</v>
      </c>
      <c r="C8541" t="s">
        <v>846</v>
      </c>
      <c r="D8541" t="s">
        <v>2017</v>
      </c>
      <c r="E8541" t="s">
        <v>1628</v>
      </c>
      <c r="F8541">
        <v>3163006.249999621</v>
      </c>
    </row>
    <row r="8542" spans="1:6">
      <c r="A8542" t="s">
        <v>13</v>
      </c>
      <c r="B8542" t="s">
        <v>234</v>
      </c>
      <c r="C8542" t="s">
        <v>846</v>
      </c>
      <c r="D8542" t="s">
        <v>2017</v>
      </c>
      <c r="E8542" t="s">
        <v>1629</v>
      </c>
      <c r="F8542">
        <v>3156082.699999996</v>
      </c>
    </row>
    <row r="8543" spans="1:6">
      <c r="A8543" t="s">
        <v>13</v>
      </c>
      <c r="B8543" t="s">
        <v>234</v>
      </c>
      <c r="C8543" t="s">
        <v>846</v>
      </c>
      <c r="D8543" t="s">
        <v>2017</v>
      </c>
      <c r="E8543" t="s">
        <v>1630</v>
      </c>
      <c r="F8543">
        <v>3146351.609999996</v>
      </c>
    </row>
    <row r="8544" spans="1:6">
      <c r="A8544" t="s">
        <v>13</v>
      </c>
      <c r="B8544" t="s">
        <v>234</v>
      </c>
      <c r="C8544" t="s">
        <v>846</v>
      </c>
      <c r="D8544" t="s">
        <v>2017</v>
      </c>
      <c r="E8544" t="s">
        <v>1631</v>
      </c>
      <c r="F8544">
        <v>3128480.049999997</v>
      </c>
    </row>
    <row r="8545" spans="1:6">
      <c r="A8545" t="s">
        <v>13</v>
      </c>
      <c r="B8545" t="s">
        <v>234</v>
      </c>
      <c r="C8545" t="s">
        <v>846</v>
      </c>
      <c r="D8545" t="s">
        <v>2017</v>
      </c>
      <c r="E8545" t="s">
        <v>1632</v>
      </c>
      <c r="F8545">
        <v>3115426.710000068</v>
      </c>
    </row>
    <row r="8546" spans="1:6">
      <c r="A8546" t="s">
        <v>13</v>
      </c>
      <c r="B8546" t="s">
        <v>234</v>
      </c>
      <c r="C8546" t="s">
        <v>846</v>
      </c>
      <c r="D8546" t="s">
        <v>2017</v>
      </c>
      <c r="E8546" t="s">
        <v>1633</v>
      </c>
      <c r="F8546">
        <v>3109426.200000068</v>
      </c>
    </row>
    <row r="8547" spans="1:6">
      <c r="A8547" t="s">
        <v>13</v>
      </c>
      <c r="B8547" t="s">
        <v>234</v>
      </c>
      <c r="C8547" t="s">
        <v>846</v>
      </c>
      <c r="D8547" t="s">
        <v>2017</v>
      </c>
      <c r="E8547" t="s">
        <v>1634</v>
      </c>
      <c r="F8547">
        <v>3096570.700000068</v>
      </c>
    </row>
    <row r="8548" spans="1:6">
      <c r="A8548" t="s">
        <v>13</v>
      </c>
      <c r="B8548" t="s">
        <v>234</v>
      </c>
      <c r="C8548" t="s">
        <v>846</v>
      </c>
      <c r="D8548" t="s">
        <v>2017</v>
      </c>
      <c r="E8548" t="s">
        <v>1635</v>
      </c>
      <c r="F8548">
        <v>3085863.040000072</v>
      </c>
    </row>
    <row r="8549" spans="1:6">
      <c r="A8549" t="s">
        <v>13</v>
      </c>
      <c r="B8549" t="s">
        <v>234</v>
      </c>
      <c r="C8549" t="s">
        <v>846</v>
      </c>
      <c r="D8549" t="s">
        <v>2017</v>
      </c>
      <c r="E8549" t="s">
        <v>1636</v>
      </c>
      <c r="F8549">
        <v>2448336.320000074</v>
      </c>
    </row>
    <row r="8550" spans="1:6">
      <c r="A8550" t="s">
        <v>13</v>
      </c>
      <c r="B8550" t="s">
        <v>234</v>
      </c>
      <c r="C8550" t="s">
        <v>846</v>
      </c>
      <c r="D8550" t="s">
        <v>2017</v>
      </c>
      <c r="E8550" t="s">
        <v>1637</v>
      </c>
      <c r="F8550">
        <v>2430891.580000074</v>
      </c>
    </row>
    <row r="8551" spans="1:6">
      <c r="A8551" t="s">
        <v>13</v>
      </c>
      <c r="B8551" t="s">
        <v>234</v>
      </c>
      <c r="C8551" t="s">
        <v>846</v>
      </c>
      <c r="D8551" t="s">
        <v>2017</v>
      </c>
      <c r="E8551" t="s">
        <v>1177</v>
      </c>
      <c r="F8551">
        <v>2016</v>
      </c>
    </row>
    <row r="8552" spans="1:6">
      <c r="A8552" t="s">
        <v>13</v>
      </c>
      <c r="B8552" t="s">
        <v>234</v>
      </c>
      <c r="C8552" t="s">
        <v>846</v>
      </c>
      <c r="D8552" t="s">
        <v>2017</v>
      </c>
      <c r="E8552" t="s">
        <v>1178</v>
      </c>
      <c r="F8552">
        <v>2338804.489999052</v>
      </c>
    </row>
    <row r="8553" spans="1:6">
      <c r="A8553" t="s">
        <v>13</v>
      </c>
      <c r="B8553" t="s">
        <v>234</v>
      </c>
      <c r="C8553" t="s">
        <v>846</v>
      </c>
      <c r="D8553" t="s">
        <v>2017</v>
      </c>
      <c r="E8553" t="s">
        <v>1179</v>
      </c>
      <c r="F8553">
        <v>2298565.989999052</v>
      </c>
    </row>
    <row r="8554" spans="1:6">
      <c r="A8554" t="s">
        <v>13</v>
      </c>
      <c r="B8554" t="s">
        <v>234</v>
      </c>
      <c r="C8554" t="s">
        <v>846</v>
      </c>
      <c r="D8554" t="s">
        <v>2017</v>
      </c>
      <c r="E8554" t="s">
        <v>1180</v>
      </c>
      <c r="F8554">
        <v>2288180.789999051</v>
      </c>
    </row>
    <row r="8555" spans="1:6">
      <c r="A8555" t="s">
        <v>13</v>
      </c>
      <c r="B8555" t="s">
        <v>234</v>
      </c>
      <c r="C8555" t="s">
        <v>846</v>
      </c>
      <c r="D8555" t="s">
        <v>2017</v>
      </c>
      <c r="E8555" t="s">
        <v>1181</v>
      </c>
      <c r="F8555">
        <v>2286330.759999051</v>
      </c>
    </row>
    <row r="8556" spans="1:6">
      <c r="A8556" t="s">
        <v>13</v>
      </c>
      <c r="B8556" t="s">
        <v>234</v>
      </c>
      <c r="C8556" t="s">
        <v>846</v>
      </c>
      <c r="D8556" t="s">
        <v>2017</v>
      </c>
      <c r="E8556" t="s">
        <v>1849</v>
      </c>
      <c r="F8556">
        <v>2279928.839999051</v>
      </c>
    </row>
    <row r="8557" spans="1:6">
      <c r="A8557" t="s">
        <v>13</v>
      </c>
      <c r="B8557" t="s">
        <v>234</v>
      </c>
      <c r="C8557" t="s">
        <v>846</v>
      </c>
      <c r="D8557" t="s">
        <v>2017</v>
      </c>
      <c r="E8557" t="s">
        <v>1810</v>
      </c>
      <c r="F8557">
        <v>2276767.179999051</v>
      </c>
    </row>
    <row r="8558" spans="1:6">
      <c r="A8558" t="s">
        <v>13</v>
      </c>
      <c r="B8558" t="s">
        <v>234</v>
      </c>
      <c r="C8558" t="s">
        <v>846</v>
      </c>
      <c r="D8558" t="s">
        <v>2017</v>
      </c>
      <c r="E8558" t="s">
        <v>1811</v>
      </c>
      <c r="F8558">
        <v>2272349.789999051</v>
      </c>
    </row>
    <row r="8559" spans="1:6">
      <c r="A8559" t="s">
        <v>13</v>
      </c>
      <c r="B8559" t="s">
        <v>234</v>
      </c>
      <c r="C8559" t="s">
        <v>846</v>
      </c>
      <c r="D8559" t="s">
        <v>2017</v>
      </c>
      <c r="E8559" t="s">
        <v>1812</v>
      </c>
      <c r="F8559">
        <v>2268112.539999051</v>
      </c>
    </row>
    <row r="8560" spans="1:6">
      <c r="A8560" t="s">
        <v>13</v>
      </c>
      <c r="B8560" t="s">
        <v>234</v>
      </c>
      <c r="C8560" t="s">
        <v>846</v>
      </c>
      <c r="D8560" t="s">
        <v>2017</v>
      </c>
      <c r="E8560" t="s">
        <v>1850</v>
      </c>
      <c r="F8560">
        <v>2266562.409999051</v>
      </c>
    </row>
    <row r="8561" spans="1:6">
      <c r="A8561" t="s">
        <v>13</v>
      </c>
      <c r="B8561" t="s">
        <v>234</v>
      </c>
      <c r="C8561" t="s">
        <v>846</v>
      </c>
      <c r="D8561" t="s">
        <v>2017</v>
      </c>
      <c r="E8561" t="s">
        <v>1851</v>
      </c>
      <c r="F8561">
        <v>2263618.649999998</v>
      </c>
    </row>
    <row r="8562" spans="1:6">
      <c r="A8562" t="s">
        <v>13</v>
      </c>
      <c r="B8562" t="s">
        <v>234</v>
      </c>
      <c r="C8562" t="s">
        <v>846</v>
      </c>
      <c r="D8562" t="s">
        <v>2017</v>
      </c>
      <c r="E8562" t="s">
        <v>2235</v>
      </c>
      <c r="F8562">
        <v>2253299.279999998</v>
      </c>
    </row>
    <row r="8563" spans="1:6">
      <c r="A8563" t="s">
        <v>13</v>
      </c>
      <c r="B8563" t="s">
        <v>234</v>
      </c>
      <c r="C8563" t="s">
        <v>846</v>
      </c>
      <c r="D8563" t="s">
        <v>2017</v>
      </c>
      <c r="E8563" t="s">
        <v>2236</v>
      </c>
      <c r="F8563">
        <v>2251797.959999998</v>
      </c>
    </row>
    <row r="8564" spans="1:6">
      <c r="A8564" t="s">
        <v>13</v>
      </c>
      <c r="B8564" t="s">
        <v>234</v>
      </c>
      <c r="C8564" t="s">
        <v>846</v>
      </c>
      <c r="D8564" t="s">
        <v>2017</v>
      </c>
      <c r="E8564" t="s">
        <v>2237</v>
      </c>
      <c r="F8564">
        <v>2245716.410000011</v>
      </c>
    </row>
    <row r="8565" spans="1:6">
      <c r="A8565" t="s">
        <v>13</v>
      </c>
      <c r="B8565" t="s">
        <v>234</v>
      </c>
      <c r="C8565" t="s">
        <v>846</v>
      </c>
      <c r="D8565" t="s">
        <v>2017</v>
      </c>
      <c r="E8565" t="s">
        <v>2238</v>
      </c>
      <c r="F8565">
        <v>2245072.300000011</v>
      </c>
    </row>
    <row r="8566" spans="1:6">
      <c r="A8566" t="s">
        <v>13</v>
      </c>
      <c r="B8566" t="s">
        <v>234</v>
      </c>
      <c r="C8566" t="s">
        <v>846</v>
      </c>
      <c r="D8566" t="s">
        <v>2017</v>
      </c>
      <c r="E8566" t="s">
        <v>2239</v>
      </c>
      <c r="F8566">
        <v>2244448.300000011</v>
      </c>
    </row>
    <row r="8567" spans="1:6">
      <c r="A8567" t="s">
        <v>13</v>
      </c>
      <c r="B8567" t="s">
        <v>234</v>
      </c>
      <c r="C8567" t="s">
        <v>846</v>
      </c>
      <c r="D8567" t="s">
        <v>2017</v>
      </c>
      <c r="E8567" t="s">
        <v>2240</v>
      </c>
      <c r="F8567">
        <v>2244014.990000011</v>
      </c>
    </row>
    <row r="8568" spans="1:6">
      <c r="A8568" t="s">
        <v>13</v>
      </c>
      <c r="B8568" t="s">
        <v>234</v>
      </c>
      <c r="C8568" t="s">
        <v>846</v>
      </c>
      <c r="D8568" t="s">
        <v>2017</v>
      </c>
      <c r="E8568" t="s">
        <v>2241</v>
      </c>
      <c r="F8568">
        <v>1301123.670000002</v>
      </c>
    </row>
    <row r="8569" spans="1:6">
      <c r="A8569" t="s">
        <v>13</v>
      </c>
      <c r="B8569" t="s">
        <v>234</v>
      </c>
      <c r="C8569" t="s">
        <v>846</v>
      </c>
      <c r="D8569" t="s">
        <v>2017</v>
      </c>
      <c r="E8569" t="s">
        <v>2242</v>
      </c>
      <c r="F8569">
        <v>1292551.320000001</v>
      </c>
    </row>
    <row r="8570" spans="1:6">
      <c r="A8570" t="s">
        <v>13</v>
      </c>
      <c r="B8570" t="s">
        <v>234</v>
      </c>
      <c r="C8570" t="s">
        <v>846</v>
      </c>
      <c r="D8570" t="s">
        <v>2017</v>
      </c>
      <c r="E8570" t="s">
        <v>1455</v>
      </c>
      <c r="F8570">
        <v>2017</v>
      </c>
    </row>
    <row r="8571" spans="1:6">
      <c r="A8571" t="s">
        <v>13</v>
      </c>
      <c r="B8571" t="s">
        <v>234</v>
      </c>
      <c r="C8571" t="s">
        <v>846</v>
      </c>
      <c r="D8571" t="s">
        <v>2017</v>
      </c>
      <c r="E8571" t="s">
        <v>1456</v>
      </c>
      <c r="F8571">
        <v>2582928.75999923</v>
      </c>
    </row>
    <row r="8572" spans="1:6">
      <c r="A8572" t="s">
        <v>13</v>
      </c>
      <c r="B8572" t="s">
        <v>234</v>
      </c>
      <c r="C8572" t="s">
        <v>846</v>
      </c>
      <c r="D8572" t="s">
        <v>2017</v>
      </c>
      <c r="E8572" t="s">
        <v>1458</v>
      </c>
      <c r="F8572">
        <v>2504440.789999229</v>
      </c>
    </row>
    <row r="8573" spans="1:6">
      <c r="A8573" t="s">
        <v>13</v>
      </c>
      <c r="B8573" t="s">
        <v>234</v>
      </c>
      <c r="C8573" t="s">
        <v>846</v>
      </c>
      <c r="D8573" t="s">
        <v>2017</v>
      </c>
      <c r="E8573" t="s">
        <v>1557</v>
      </c>
      <c r="F8573">
        <v>2497833.099999229</v>
      </c>
    </row>
    <row r="8574" spans="1:6">
      <c r="A8574" t="s">
        <v>13</v>
      </c>
      <c r="B8574" t="s">
        <v>234</v>
      </c>
      <c r="C8574" t="s">
        <v>846</v>
      </c>
      <c r="D8574" t="s">
        <v>2017</v>
      </c>
      <c r="E8574" t="s">
        <v>1558</v>
      </c>
      <c r="F8574">
        <v>2497474.769999229</v>
      </c>
    </row>
    <row r="8575" spans="1:6">
      <c r="A8575" t="s">
        <v>13</v>
      </c>
      <c r="B8575" t="s">
        <v>234</v>
      </c>
      <c r="C8575" t="s">
        <v>846</v>
      </c>
      <c r="D8575" t="s">
        <v>2017</v>
      </c>
      <c r="E8575" t="s">
        <v>2243</v>
      </c>
      <c r="F8575">
        <v>2496877.049999229</v>
      </c>
    </row>
    <row r="8576" spans="1:6">
      <c r="A8576" t="s">
        <v>13</v>
      </c>
      <c r="B8576" t="s">
        <v>234</v>
      </c>
      <c r="C8576" t="s">
        <v>846</v>
      </c>
      <c r="D8576" t="s">
        <v>2017</v>
      </c>
      <c r="E8576" t="s">
        <v>1813</v>
      </c>
      <c r="F8576">
        <v>2494161.949999229</v>
      </c>
    </row>
    <row r="8577" spans="1:6">
      <c r="A8577" t="s">
        <v>13</v>
      </c>
      <c r="B8577" t="s">
        <v>234</v>
      </c>
      <c r="C8577" t="s">
        <v>846</v>
      </c>
      <c r="D8577" t="s">
        <v>2017</v>
      </c>
      <c r="E8577" t="s">
        <v>1814</v>
      </c>
      <c r="F8577">
        <v>2486013.189999229</v>
      </c>
    </row>
    <row r="8578" spans="1:6">
      <c r="A8578" t="s">
        <v>13</v>
      </c>
      <c r="B8578" t="s">
        <v>234</v>
      </c>
      <c r="C8578" t="s">
        <v>846</v>
      </c>
      <c r="D8578" t="s">
        <v>2017</v>
      </c>
      <c r="E8578" t="s">
        <v>1638</v>
      </c>
      <c r="F8578">
        <v>2482946.249999229</v>
      </c>
    </row>
    <row r="8579" spans="1:6">
      <c r="A8579" t="s">
        <v>13</v>
      </c>
      <c r="B8579" t="s">
        <v>234</v>
      </c>
      <c r="C8579" t="s">
        <v>846</v>
      </c>
      <c r="D8579" t="s">
        <v>2017</v>
      </c>
      <c r="E8579" t="s">
        <v>1640</v>
      </c>
      <c r="F8579">
        <v>2482316.259999229</v>
      </c>
    </row>
    <row r="8580" spans="1:6">
      <c r="A8580" t="s">
        <v>13</v>
      </c>
      <c r="B8580" t="s">
        <v>234</v>
      </c>
      <c r="C8580" t="s">
        <v>846</v>
      </c>
      <c r="D8580" t="s">
        <v>2017</v>
      </c>
      <c r="E8580" t="s">
        <v>1641</v>
      </c>
      <c r="F8580">
        <v>2479142.180000003</v>
      </c>
    </row>
    <row r="8581" spans="1:6">
      <c r="A8581" t="s">
        <v>13</v>
      </c>
      <c r="B8581" t="s">
        <v>234</v>
      </c>
      <c r="C8581" t="s">
        <v>846</v>
      </c>
      <c r="D8581" t="s">
        <v>2017</v>
      </c>
      <c r="E8581" t="s">
        <v>1642</v>
      </c>
      <c r="F8581">
        <v>2457072.750000003</v>
      </c>
    </row>
    <row r="8582" spans="1:6">
      <c r="A8582" t="s">
        <v>13</v>
      </c>
      <c r="B8582" t="s">
        <v>234</v>
      </c>
      <c r="C8582" t="s">
        <v>846</v>
      </c>
      <c r="D8582" t="s">
        <v>2017</v>
      </c>
      <c r="E8582" t="s">
        <v>1643</v>
      </c>
      <c r="F8582">
        <v>2438997.770000002</v>
      </c>
    </row>
    <row r="8583" spans="1:6">
      <c r="A8583" t="s">
        <v>13</v>
      </c>
      <c r="B8583" t="s">
        <v>234</v>
      </c>
      <c r="C8583" t="s">
        <v>846</v>
      </c>
      <c r="D8583" t="s">
        <v>2017</v>
      </c>
      <c r="E8583" t="s">
        <v>1644</v>
      </c>
      <c r="F8583">
        <v>2420112.769999709</v>
      </c>
    </row>
    <row r="8584" spans="1:6">
      <c r="A8584" t="s">
        <v>13</v>
      </c>
      <c r="B8584" t="s">
        <v>234</v>
      </c>
      <c r="C8584" t="s">
        <v>846</v>
      </c>
      <c r="D8584" t="s">
        <v>2017</v>
      </c>
      <c r="E8584" t="s">
        <v>1645</v>
      </c>
      <c r="F8584">
        <v>2406300.789999709</v>
      </c>
    </row>
    <row r="8585" spans="1:6">
      <c r="A8585" t="s">
        <v>13</v>
      </c>
      <c r="B8585" t="s">
        <v>234</v>
      </c>
      <c r="C8585" t="s">
        <v>846</v>
      </c>
      <c r="D8585" t="s">
        <v>2017</v>
      </c>
      <c r="E8585" t="s">
        <v>1646</v>
      </c>
      <c r="F8585">
        <v>2391777.779999708</v>
      </c>
    </row>
    <row r="8586" spans="1:6">
      <c r="A8586" t="s">
        <v>13</v>
      </c>
      <c r="B8586" t="s">
        <v>234</v>
      </c>
      <c r="C8586" t="s">
        <v>846</v>
      </c>
      <c r="D8586" t="s">
        <v>2017</v>
      </c>
      <c r="E8586" t="s">
        <v>1647</v>
      </c>
      <c r="F8586">
        <v>2379093.529999703</v>
      </c>
    </row>
    <row r="8587" spans="1:6">
      <c r="A8587" t="s">
        <v>13</v>
      </c>
      <c r="B8587" t="s">
        <v>234</v>
      </c>
      <c r="C8587" t="s">
        <v>846</v>
      </c>
      <c r="D8587" t="s">
        <v>2017</v>
      </c>
      <c r="E8587" t="s">
        <v>1648</v>
      </c>
      <c r="F8587">
        <v>1307036.279999684</v>
      </c>
    </row>
    <row r="8588" spans="1:6">
      <c r="A8588" t="s">
        <v>13</v>
      </c>
      <c r="B8588" t="s">
        <v>234</v>
      </c>
      <c r="C8588" t="s">
        <v>846</v>
      </c>
      <c r="D8588" t="s">
        <v>2017</v>
      </c>
      <c r="E8588" t="s">
        <v>1649</v>
      </c>
      <c r="F8588">
        <v>1290443.449999684</v>
      </c>
    </row>
    <row r="8589" spans="1:6">
      <c r="A8589" t="s">
        <v>13</v>
      </c>
      <c r="B8589" t="s">
        <v>234</v>
      </c>
      <c r="C8589" t="s">
        <v>846</v>
      </c>
      <c r="D8589" t="s">
        <v>2017</v>
      </c>
      <c r="E8589" t="s">
        <v>1186</v>
      </c>
      <c r="F8589">
        <v>2018</v>
      </c>
    </row>
    <row r="8590" spans="1:6">
      <c r="A8590" t="s">
        <v>13</v>
      </c>
      <c r="B8590" t="s">
        <v>234</v>
      </c>
      <c r="C8590" t="s">
        <v>846</v>
      </c>
      <c r="D8590" t="s">
        <v>2017</v>
      </c>
      <c r="E8590" t="s">
        <v>1187</v>
      </c>
      <c r="F8590">
        <v>2400215.669999573</v>
      </c>
    </row>
    <row r="8591" spans="1:6">
      <c r="A8591" t="s">
        <v>13</v>
      </c>
      <c r="B8591" t="s">
        <v>234</v>
      </c>
      <c r="C8591" t="s">
        <v>846</v>
      </c>
      <c r="D8591" t="s">
        <v>2017</v>
      </c>
      <c r="E8591" t="s">
        <v>1188</v>
      </c>
      <c r="F8591">
        <v>2339315.079999573</v>
      </c>
    </row>
    <row r="8592" spans="1:6">
      <c r="A8592" t="s">
        <v>13</v>
      </c>
      <c r="B8592" t="s">
        <v>234</v>
      </c>
      <c r="C8592" t="s">
        <v>846</v>
      </c>
      <c r="D8592" t="s">
        <v>2017</v>
      </c>
      <c r="E8592" t="s">
        <v>1189</v>
      </c>
      <c r="F8592">
        <v>2329438.159999573</v>
      </c>
    </row>
    <row r="8593" spans="1:6">
      <c r="A8593" t="s">
        <v>13</v>
      </c>
      <c r="B8593" t="s">
        <v>234</v>
      </c>
      <c r="C8593" t="s">
        <v>846</v>
      </c>
      <c r="D8593" t="s">
        <v>2017</v>
      </c>
      <c r="E8593" t="s">
        <v>1190</v>
      </c>
      <c r="F8593">
        <v>2328671.559999573</v>
      </c>
    </row>
    <row r="8594" spans="1:6">
      <c r="A8594" t="s">
        <v>13</v>
      </c>
      <c r="B8594" t="s">
        <v>234</v>
      </c>
      <c r="C8594" t="s">
        <v>846</v>
      </c>
      <c r="D8594" t="s">
        <v>2017</v>
      </c>
      <c r="E8594" t="s">
        <v>2244</v>
      </c>
      <c r="F8594">
        <v>2324702.759999573</v>
      </c>
    </row>
    <row r="8595" spans="1:6">
      <c r="A8595" t="s">
        <v>13</v>
      </c>
      <c r="B8595" t="s">
        <v>234</v>
      </c>
      <c r="C8595" t="s">
        <v>846</v>
      </c>
      <c r="D8595" t="s">
        <v>2017</v>
      </c>
      <c r="E8595" t="s">
        <v>1815</v>
      </c>
      <c r="F8595">
        <v>2321356.229999573</v>
      </c>
    </row>
    <row r="8596" spans="1:6">
      <c r="A8596" t="s">
        <v>13</v>
      </c>
      <c r="B8596" t="s">
        <v>234</v>
      </c>
      <c r="C8596" t="s">
        <v>846</v>
      </c>
      <c r="D8596" t="s">
        <v>2017</v>
      </c>
      <c r="E8596" t="s">
        <v>1816</v>
      </c>
      <c r="F8596">
        <v>2312724.989999573</v>
      </c>
    </row>
    <row r="8597" spans="1:6">
      <c r="A8597" t="s">
        <v>13</v>
      </c>
      <c r="B8597" t="s">
        <v>234</v>
      </c>
      <c r="C8597" t="s">
        <v>846</v>
      </c>
      <c r="D8597" t="s">
        <v>2017</v>
      </c>
      <c r="E8597" t="s">
        <v>1817</v>
      </c>
      <c r="F8597">
        <v>2311435.439999573</v>
      </c>
    </row>
    <row r="8598" spans="1:6">
      <c r="A8598" t="s">
        <v>13</v>
      </c>
      <c r="B8598" t="s">
        <v>234</v>
      </c>
      <c r="C8598" t="s">
        <v>846</v>
      </c>
      <c r="D8598" t="s">
        <v>2017</v>
      </c>
      <c r="E8598" t="s">
        <v>2245</v>
      </c>
      <c r="F8598">
        <v>2310557.249999573</v>
      </c>
    </row>
    <row r="8599" spans="1:6">
      <c r="A8599" t="s">
        <v>13</v>
      </c>
      <c r="B8599" t="s">
        <v>234</v>
      </c>
      <c r="C8599" t="s">
        <v>846</v>
      </c>
      <c r="D8599" t="s">
        <v>2017</v>
      </c>
      <c r="E8599" t="s">
        <v>2246</v>
      </c>
      <c r="F8599">
        <v>2307245.050000005</v>
      </c>
    </row>
    <row r="8600" spans="1:6">
      <c r="A8600" t="s">
        <v>13</v>
      </c>
      <c r="B8600" t="s">
        <v>234</v>
      </c>
      <c r="C8600" t="s">
        <v>846</v>
      </c>
      <c r="D8600" t="s">
        <v>2017</v>
      </c>
      <c r="E8600" t="s">
        <v>2247</v>
      </c>
      <c r="F8600">
        <v>2266837.760000004</v>
      </c>
    </row>
    <row r="8601" spans="1:6">
      <c r="A8601" t="s">
        <v>13</v>
      </c>
      <c r="B8601" t="s">
        <v>234</v>
      </c>
      <c r="C8601" t="s">
        <v>846</v>
      </c>
      <c r="D8601" t="s">
        <v>2017</v>
      </c>
      <c r="E8601" t="s">
        <v>2248</v>
      </c>
      <c r="F8601">
        <v>2261783.470000006</v>
      </c>
    </row>
    <row r="8602" spans="1:6">
      <c r="A8602" t="s">
        <v>13</v>
      </c>
      <c r="B8602" t="s">
        <v>234</v>
      </c>
      <c r="C8602" t="s">
        <v>846</v>
      </c>
      <c r="D8602" t="s">
        <v>2017</v>
      </c>
      <c r="E8602" t="s">
        <v>2249</v>
      </c>
      <c r="F8602">
        <v>2262707.730000023</v>
      </c>
    </row>
    <row r="8603" spans="1:6">
      <c r="A8603" t="s">
        <v>13</v>
      </c>
      <c r="B8603" t="s">
        <v>234</v>
      </c>
      <c r="C8603" t="s">
        <v>846</v>
      </c>
      <c r="D8603" t="s">
        <v>2017</v>
      </c>
      <c r="E8603" t="s">
        <v>2250</v>
      </c>
      <c r="F8603">
        <v>2261334.590000023</v>
      </c>
    </row>
    <row r="8604" spans="1:6">
      <c r="A8604" t="s">
        <v>13</v>
      </c>
      <c r="B8604" t="s">
        <v>234</v>
      </c>
      <c r="C8604" t="s">
        <v>846</v>
      </c>
      <c r="D8604" t="s">
        <v>2017</v>
      </c>
      <c r="E8604" t="s">
        <v>2251</v>
      </c>
      <c r="F8604">
        <v>2256613.590000023</v>
      </c>
    </row>
    <row r="8605" spans="1:6">
      <c r="A8605" t="s">
        <v>13</v>
      </c>
      <c r="B8605" t="s">
        <v>234</v>
      </c>
      <c r="C8605" t="s">
        <v>846</v>
      </c>
      <c r="D8605" t="s">
        <v>2017</v>
      </c>
      <c r="E8605" t="s">
        <v>2252</v>
      </c>
      <c r="F8605">
        <v>2254716.00000002</v>
      </c>
    </row>
    <row r="8606" spans="1:6">
      <c r="A8606" t="s">
        <v>13</v>
      </c>
      <c r="B8606" t="s">
        <v>234</v>
      </c>
      <c r="C8606" t="s">
        <v>846</v>
      </c>
      <c r="D8606" t="s">
        <v>2017</v>
      </c>
      <c r="E8606" t="s">
        <v>2253</v>
      </c>
      <c r="F8606">
        <v>1213343.530000023</v>
      </c>
    </row>
    <row r="8607" spans="1:6">
      <c r="A8607" t="s">
        <v>13</v>
      </c>
      <c r="B8607" t="s">
        <v>234</v>
      </c>
      <c r="C8607" t="s">
        <v>846</v>
      </c>
      <c r="D8607" t="s">
        <v>2017</v>
      </c>
      <c r="E8607" t="s">
        <v>2254</v>
      </c>
      <c r="F8607">
        <v>1211495.900000023</v>
      </c>
    </row>
    <row r="8608" spans="1:6">
      <c r="A8608" t="s">
        <v>13</v>
      </c>
      <c r="B8608" t="s">
        <v>234</v>
      </c>
      <c r="C8608" t="s">
        <v>846</v>
      </c>
      <c r="D8608" t="s">
        <v>2017</v>
      </c>
      <c r="E8608" t="s">
        <v>1194</v>
      </c>
      <c r="F8608">
        <v>2019</v>
      </c>
    </row>
    <row r="8609" spans="1:6">
      <c r="A8609" t="s">
        <v>13</v>
      </c>
      <c r="B8609" t="s">
        <v>234</v>
      </c>
      <c r="C8609" t="s">
        <v>846</v>
      </c>
      <c r="D8609" t="s">
        <v>2017</v>
      </c>
      <c r="E8609" t="s">
        <v>1195</v>
      </c>
      <c r="F8609">
        <v>2226359.169999797</v>
      </c>
    </row>
    <row r="8610" spans="1:6">
      <c r="A8610" t="s">
        <v>13</v>
      </c>
      <c r="B8610" t="s">
        <v>234</v>
      </c>
      <c r="C8610" t="s">
        <v>846</v>
      </c>
      <c r="D8610" t="s">
        <v>2017</v>
      </c>
      <c r="E8610" t="s">
        <v>1196</v>
      </c>
      <c r="F8610">
        <v>2181849.129999797</v>
      </c>
    </row>
    <row r="8611" spans="1:6">
      <c r="A8611" t="s">
        <v>13</v>
      </c>
      <c r="B8611" t="s">
        <v>234</v>
      </c>
      <c r="C8611" t="s">
        <v>846</v>
      </c>
      <c r="D8611" t="s">
        <v>2017</v>
      </c>
      <c r="E8611" t="s">
        <v>1197</v>
      </c>
      <c r="F8611">
        <v>2170976.549999796</v>
      </c>
    </row>
    <row r="8612" spans="1:6">
      <c r="A8612" t="s">
        <v>13</v>
      </c>
      <c r="B8612" t="s">
        <v>234</v>
      </c>
      <c r="C8612" t="s">
        <v>846</v>
      </c>
      <c r="D8612" t="s">
        <v>2017</v>
      </c>
      <c r="E8612" t="s">
        <v>1198</v>
      </c>
      <c r="F8612">
        <v>2170505.759999796</v>
      </c>
    </row>
    <row r="8613" spans="1:6">
      <c r="A8613" t="s">
        <v>13</v>
      </c>
      <c r="B8613" t="s">
        <v>234</v>
      </c>
      <c r="C8613" t="s">
        <v>846</v>
      </c>
      <c r="D8613" t="s">
        <v>2017</v>
      </c>
      <c r="E8613" t="s">
        <v>1852</v>
      </c>
      <c r="F8613">
        <v>2163647.129999796</v>
      </c>
    </row>
    <row r="8614" spans="1:6">
      <c r="A8614" t="s">
        <v>13</v>
      </c>
      <c r="B8614" t="s">
        <v>234</v>
      </c>
      <c r="C8614" t="s">
        <v>846</v>
      </c>
      <c r="D8614" t="s">
        <v>2017</v>
      </c>
      <c r="E8614" t="s">
        <v>1818</v>
      </c>
      <c r="F8614">
        <v>2161583.889999796</v>
      </c>
    </row>
    <row r="8615" spans="1:6">
      <c r="A8615" t="s">
        <v>13</v>
      </c>
      <c r="B8615" t="s">
        <v>234</v>
      </c>
      <c r="C8615" t="s">
        <v>846</v>
      </c>
      <c r="D8615" t="s">
        <v>2017</v>
      </c>
      <c r="E8615" t="s">
        <v>1819</v>
      </c>
      <c r="F8615">
        <v>2152721.209999796</v>
      </c>
    </row>
    <row r="8616" spans="1:6">
      <c r="A8616" t="s">
        <v>13</v>
      </c>
      <c r="B8616" t="s">
        <v>234</v>
      </c>
      <c r="C8616" t="s">
        <v>846</v>
      </c>
      <c r="D8616" t="s">
        <v>2017</v>
      </c>
      <c r="E8616" t="s">
        <v>1650</v>
      </c>
      <c r="F8616">
        <v>2151559.329999796</v>
      </c>
    </row>
    <row r="8617" spans="1:6">
      <c r="A8617" t="s">
        <v>13</v>
      </c>
      <c r="B8617" t="s">
        <v>234</v>
      </c>
      <c r="C8617" t="s">
        <v>846</v>
      </c>
      <c r="D8617" t="s">
        <v>2017</v>
      </c>
      <c r="E8617" t="s">
        <v>1652</v>
      </c>
      <c r="F8617">
        <v>2140926.009999796</v>
      </c>
    </row>
    <row r="8618" spans="1:6">
      <c r="A8618" t="s">
        <v>13</v>
      </c>
      <c r="B8618" t="s">
        <v>234</v>
      </c>
      <c r="C8618" t="s">
        <v>846</v>
      </c>
      <c r="D8618" t="s">
        <v>2017</v>
      </c>
      <c r="E8618" t="s">
        <v>1653</v>
      </c>
      <c r="F8618">
        <v>2139123.59</v>
      </c>
    </row>
    <row r="8619" spans="1:6">
      <c r="A8619" t="s">
        <v>13</v>
      </c>
      <c r="B8619" t="s">
        <v>234</v>
      </c>
      <c r="C8619" t="s">
        <v>846</v>
      </c>
      <c r="D8619" t="s">
        <v>2017</v>
      </c>
      <c r="E8619" t="s">
        <v>1654</v>
      </c>
      <c r="F8619">
        <v>2107227.45</v>
      </c>
    </row>
    <row r="8620" spans="1:6">
      <c r="A8620" t="s">
        <v>13</v>
      </c>
      <c r="B8620" t="s">
        <v>234</v>
      </c>
      <c r="C8620" t="s">
        <v>846</v>
      </c>
      <c r="D8620" t="s">
        <v>2017</v>
      </c>
      <c r="E8620" t="s">
        <v>1655</v>
      </c>
      <c r="F8620">
        <v>2104353.49</v>
      </c>
    </row>
    <row r="8621" spans="1:6">
      <c r="A8621" t="s">
        <v>13</v>
      </c>
      <c r="B8621" t="s">
        <v>234</v>
      </c>
      <c r="C8621" t="s">
        <v>846</v>
      </c>
      <c r="D8621" t="s">
        <v>2017</v>
      </c>
      <c r="E8621" t="s">
        <v>1656</v>
      </c>
      <c r="F8621">
        <v>2103385.300000027</v>
      </c>
    </row>
    <row r="8622" spans="1:6">
      <c r="A8622" t="s">
        <v>13</v>
      </c>
      <c r="B8622" t="s">
        <v>234</v>
      </c>
      <c r="C8622" t="s">
        <v>846</v>
      </c>
      <c r="D8622" t="s">
        <v>2017</v>
      </c>
      <c r="E8622" t="s">
        <v>1657</v>
      </c>
      <c r="F8622">
        <v>2101462.040000027</v>
      </c>
    </row>
    <row r="8623" spans="1:6">
      <c r="A8623" t="s">
        <v>13</v>
      </c>
      <c r="B8623" t="s">
        <v>234</v>
      </c>
      <c r="C8623" t="s">
        <v>846</v>
      </c>
      <c r="D8623" t="s">
        <v>2017</v>
      </c>
      <c r="E8623" t="s">
        <v>1658</v>
      </c>
      <c r="F8623">
        <v>2099460.550000027</v>
      </c>
    </row>
    <row r="8624" spans="1:6">
      <c r="A8624" t="s">
        <v>13</v>
      </c>
      <c r="B8624" t="s">
        <v>234</v>
      </c>
      <c r="C8624" t="s">
        <v>846</v>
      </c>
      <c r="D8624" t="s">
        <v>2017</v>
      </c>
      <c r="E8624" t="s">
        <v>1659</v>
      </c>
      <c r="F8624">
        <v>2097458.750000027</v>
      </c>
    </row>
    <row r="8625" spans="1:6">
      <c r="A8625" t="s">
        <v>13</v>
      </c>
      <c r="B8625" t="s">
        <v>234</v>
      </c>
      <c r="C8625" t="s">
        <v>846</v>
      </c>
      <c r="D8625" t="s">
        <v>2017</v>
      </c>
      <c r="E8625" t="s">
        <v>1660</v>
      </c>
      <c r="F8625">
        <v>1173939.740000023</v>
      </c>
    </row>
    <row r="8626" spans="1:6">
      <c r="A8626" t="s">
        <v>13</v>
      </c>
      <c r="B8626" t="s">
        <v>234</v>
      </c>
      <c r="C8626" t="s">
        <v>846</v>
      </c>
      <c r="D8626" t="s">
        <v>2017</v>
      </c>
      <c r="E8626" t="s">
        <v>1661</v>
      </c>
      <c r="F8626">
        <v>1173346.680000023</v>
      </c>
    </row>
    <row r="8627" spans="1:6">
      <c r="A8627" t="s">
        <v>13</v>
      </c>
      <c r="B8627" t="s">
        <v>234</v>
      </c>
      <c r="C8627" t="s">
        <v>846</v>
      </c>
      <c r="D8627" t="s">
        <v>2017</v>
      </c>
      <c r="E8627" t="s">
        <v>1469</v>
      </c>
      <c r="F8627">
        <v>2020</v>
      </c>
    </row>
    <row r="8628" spans="1:6">
      <c r="A8628" t="s">
        <v>13</v>
      </c>
      <c r="B8628" t="s">
        <v>234</v>
      </c>
      <c r="C8628" t="s">
        <v>846</v>
      </c>
      <c r="D8628" t="s">
        <v>2017</v>
      </c>
      <c r="E8628" t="s">
        <v>1470</v>
      </c>
      <c r="F8628">
        <v>3238232.839999497</v>
      </c>
    </row>
    <row r="8629" spans="1:6">
      <c r="A8629" t="s">
        <v>13</v>
      </c>
      <c r="B8629" t="s">
        <v>234</v>
      </c>
      <c r="C8629" t="s">
        <v>846</v>
      </c>
      <c r="D8629" t="s">
        <v>2017</v>
      </c>
      <c r="E8629" t="s">
        <v>1472</v>
      </c>
      <c r="F8629">
        <v>3195324.799999497</v>
      </c>
    </row>
    <row r="8630" spans="1:6">
      <c r="A8630" t="s">
        <v>13</v>
      </c>
      <c r="B8630" t="s">
        <v>234</v>
      </c>
      <c r="C8630" t="s">
        <v>846</v>
      </c>
      <c r="D8630" t="s">
        <v>2017</v>
      </c>
      <c r="E8630" t="s">
        <v>1559</v>
      </c>
      <c r="F8630">
        <v>3186213.069999497</v>
      </c>
    </row>
    <row r="8631" spans="1:6">
      <c r="A8631" t="s">
        <v>13</v>
      </c>
      <c r="B8631" t="s">
        <v>234</v>
      </c>
      <c r="C8631" t="s">
        <v>846</v>
      </c>
      <c r="D8631" t="s">
        <v>2017</v>
      </c>
      <c r="E8631" t="s">
        <v>1560</v>
      </c>
      <c r="F8631">
        <v>3185901.819999497</v>
      </c>
    </row>
    <row r="8632" spans="1:6">
      <c r="A8632" t="s">
        <v>13</v>
      </c>
      <c r="B8632" t="s">
        <v>234</v>
      </c>
      <c r="C8632" t="s">
        <v>846</v>
      </c>
      <c r="D8632" t="s">
        <v>2017</v>
      </c>
      <c r="E8632" t="s">
        <v>1853</v>
      </c>
      <c r="F8632">
        <v>3151923.379999497</v>
      </c>
    </row>
    <row r="8633" spans="1:6">
      <c r="A8633" t="s">
        <v>13</v>
      </c>
      <c r="B8633" t="s">
        <v>234</v>
      </c>
      <c r="C8633" t="s">
        <v>846</v>
      </c>
      <c r="D8633" t="s">
        <v>2017</v>
      </c>
      <c r="E8633" t="s">
        <v>1820</v>
      </c>
      <c r="F8633">
        <v>3118314.139999497</v>
      </c>
    </row>
    <row r="8634" spans="1:6">
      <c r="A8634" t="s">
        <v>13</v>
      </c>
      <c r="B8634" t="s">
        <v>234</v>
      </c>
      <c r="C8634" t="s">
        <v>846</v>
      </c>
      <c r="D8634" t="s">
        <v>2017</v>
      </c>
      <c r="E8634" t="s">
        <v>1821</v>
      </c>
      <c r="F8634">
        <v>3078855.169999497</v>
      </c>
    </row>
    <row r="8635" spans="1:6">
      <c r="A8635" t="s">
        <v>13</v>
      </c>
      <c r="B8635" t="s">
        <v>234</v>
      </c>
      <c r="C8635" t="s">
        <v>846</v>
      </c>
      <c r="D8635" t="s">
        <v>2017</v>
      </c>
      <c r="E8635" t="s">
        <v>1822</v>
      </c>
      <c r="F8635">
        <v>3069895.819999497</v>
      </c>
    </row>
    <row r="8636" spans="1:6">
      <c r="A8636" t="s">
        <v>13</v>
      </c>
      <c r="B8636" t="s">
        <v>234</v>
      </c>
      <c r="C8636" t="s">
        <v>846</v>
      </c>
      <c r="D8636" t="s">
        <v>2017</v>
      </c>
      <c r="E8636" t="s">
        <v>1854</v>
      </c>
      <c r="F8636">
        <v>3065331.229999497</v>
      </c>
    </row>
    <row r="8637" spans="1:6">
      <c r="A8637" t="s">
        <v>13</v>
      </c>
      <c r="B8637" t="s">
        <v>234</v>
      </c>
      <c r="C8637" t="s">
        <v>846</v>
      </c>
      <c r="D8637" t="s">
        <v>2017</v>
      </c>
      <c r="E8637" t="s">
        <v>1855</v>
      </c>
      <c r="F8637">
        <v>3146629.009999984</v>
      </c>
    </row>
    <row r="8638" spans="1:6">
      <c r="A8638" t="s">
        <v>13</v>
      </c>
      <c r="B8638" t="s">
        <v>234</v>
      </c>
      <c r="C8638" t="s">
        <v>846</v>
      </c>
      <c r="D8638" t="s">
        <v>2017</v>
      </c>
      <c r="E8638" t="s">
        <v>2255</v>
      </c>
      <c r="F8638">
        <v>3140942.509999986</v>
      </c>
    </row>
    <row r="8639" spans="1:6">
      <c r="A8639" t="s">
        <v>13</v>
      </c>
      <c r="B8639" t="s">
        <v>234</v>
      </c>
      <c r="C8639" t="s">
        <v>846</v>
      </c>
      <c r="D8639" t="s">
        <v>2017</v>
      </c>
      <c r="E8639" t="s">
        <v>2256</v>
      </c>
      <c r="F8639">
        <v>3118543.509999986</v>
      </c>
    </row>
    <row r="8640" spans="1:6">
      <c r="A8640" t="s">
        <v>13</v>
      </c>
      <c r="B8640" t="s">
        <v>234</v>
      </c>
      <c r="C8640" t="s">
        <v>846</v>
      </c>
      <c r="D8640" t="s">
        <v>2017</v>
      </c>
      <c r="E8640" t="s">
        <v>2257</v>
      </c>
      <c r="F8640">
        <v>3113177.979999652</v>
      </c>
    </row>
    <row r="8641" spans="1:6">
      <c r="A8641" t="s">
        <v>13</v>
      </c>
      <c r="B8641" t="s">
        <v>234</v>
      </c>
      <c r="C8641" t="s">
        <v>846</v>
      </c>
      <c r="D8641" t="s">
        <v>2017</v>
      </c>
      <c r="E8641" t="s">
        <v>2258</v>
      </c>
      <c r="F8641">
        <v>3110068.509999652</v>
      </c>
    </row>
    <row r="8642" spans="1:6">
      <c r="A8642" t="s">
        <v>13</v>
      </c>
      <c r="B8642" t="s">
        <v>234</v>
      </c>
      <c r="C8642" t="s">
        <v>846</v>
      </c>
      <c r="D8642" t="s">
        <v>2017</v>
      </c>
      <c r="E8642" t="s">
        <v>2259</v>
      </c>
      <c r="F8642">
        <v>3105278.769999652</v>
      </c>
    </row>
    <row r="8643" spans="1:6">
      <c r="A8643" t="s">
        <v>13</v>
      </c>
      <c r="B8643" t="s">
        <v>234</v>
      </c>
      <c r="C8643" t="s">
        <v>846</v>
      </c>
      <c r="D8643" t="s">
        <v>2017</v>
      </c>
      <c r="E8643" t="s">
        <v>2260</v>
      </c>
      <c r="F8643">
        <v>3100707.099999658</v>
      </c>
    </row>
    <row r="8644" spans="1:6">
      <c r="A8644" t="s">
        <v>13</v>
      </c>
      <c r="B8644" t="s">
        <v>234</v>
      </c>
      <c r="C8644" t="s">
        <v>846</v>
      </c>
      <c r="D8644" t="s">
        <v>2017</v>
      </c>
      <c r="E8644" t="s">
        <v>2261</v>
      </c>
      <c r="F8644">
        <v>1828881.419999621</v>
      </c>
    </row>
    <row r="8645" spans="1:6">
      <c r="A8645" t="s">
        <v>13</v>
      </c>
      <c r="B8645" t="s">
        <v>234</v>
      </c>
      <c r="C8645" t="s">
        <v>846</v>
      </c>
      <c r="D8645" t="s">
        <v>2017</v>
      </c>
      <c r="E8645" t="s">
        <v>2262</v>
      </c>
      <c r="F8645">
        <v>1826170.719999621</v>
      </c>
    </row>
    <row r="8646" spans="1:6">
      <c r="A8646" t="s">
        <v>13</v>
      </c>
      <c r="B8646" t="s">
        <v>234</v>
      </c>
      <c r="C8646" t="s">
        <v>846</v>
      </c>
      <c r="D8646" t="s">
        <v>2017</v>
      </c>
      <c r="E8646" t="s">
        <v>1204</v>
      </c>
      <c r="F8646">
        <v>2021</v>
      </c>
    </row>
    <row r="8647" spans="1:6">
      <c r="A8647" t="s">
        <v>13</v>
      </c>
      <c r="B8647" t="s">
        <v>234</v>
      </c>
      <c r="C8647" t="s">
        <v>846</v>
      </c>
      <c r="D8647" t="s">
        <v>2017</v>
      </c>
      <c r="E8647" t="s">
        <v>1205</v>
      </c>
      <c r="F8647">
        <v>3428313.609999548</v>
      </c>
    </row>
    <row r="8648" spans="1:6">
      <c r="A8648" t="s">
        <v>13</v>
      </c>
      <c r="B8648" t="s">
        <v>234</v>
      </c>
      <c r="C8648" t="s">
        <v>846</v>
      </c>
      <c r="D8648" t="s">
        <v>2017</v>
      </c>
      <c r="E8648" t="s">
        <v>1206</v>
      </c>
      <c r="F8648">
        <v>3316979.219999547</v>
      </c>
    </row>
    <row r="8649" spans="1:6">
      <c r="A8649" t="s">
        <v>13</v>
      </c>
      <c r="B8649" t="s">
        <v>234</v>
      </c>
      <c r="C8649" t="s">
        <v>846</v>
      </c>
      <c r="D8649" t="s">
        <v>2017</v>
      </c>
      <c r="E8649" t="s">
        <v>1207</v>
      </c>
      <c r="F8649">
        <v>3276535.199999545</v>
      </c>
    </row>
    <row r="8650" spans="1:6">
      <c r="A8650" t="s">
        <v>13</v>
      </c>
      <c r="B8650" t="s">
        <v>234</v>
      </c>
      <c r="C8650" t="s">
        <v>846</v>
      </c>
      <c r="D8650" t="s">
        <v>2017</v>
      </c>
      <c r="E8650" t="s">
        <v>1208</v>
      </c>
      <c r="F8650">
        <v>3274958.979999545</v>
      </c>
    </row>
    <row r="8651" spans="1:6">
      <c r="A8651" t="s">
        <v>13</v>
      </c>
      <c r="B8651" t="s">
        <v>234</v>
      </c>
      <c r="C8651" t="s">
        <v>846</v>
      </c>
      <c r="D8651" t="s">
        <v>2017</v>
      </c>
      <c r="E8651" t="s">
        <v>2263</v>
      </c>
      <c r="F8651">
        <v>3268344.209999545</v>
      </c>
    </row>
    <row r="8652" spans="1:6">
      <c r="A8652" t="s">
        <v>13</v>
      </c>
      <c r="B8652" t="s">
        <v>234</v>
      </c>
      <c r="C8652" t="s">
        <v>846</v>
      </c>
      <c r="D8652" t="s">
        <v>2017</v>
      </c>
      <c r="E8652" t="s">
        <v>1823</v>
      </c>
      <c r="F8652">
        <v>3265054.069999544</v>
      </c>
    </row>
    <row r="8653" spans="1:6">
      <c r="A8653" t="s">
        <v>13</v>
      </c>
      <c r="B8653" t="s">
        <v>234</v>
      </c>
      <c r="C8653" t="s">
        <v>846</v>
      </c>
      <c r="D8653" t="s">
        <v>2017</v>
      </c>
      <c r="E8653" t="s">
        <v>1824</v>
      </c>
      <c r="F8653">
        <v>3259313.199999544</v>
      </c>
    </row>
    <row r="8654" spans="1:6">
      <c r="A8654" t="s">
        <v>13</v>
      </c>
      <c r="B8654" t="s">
        <v>234</v>
      </c>
      <c r="C8654" t="s">
        <v>846</v>
      </c>
      <c r="D8654" t="s">
        <v>2017</v>
      </c>
      <c r="E8654" t="s">
        <v>1662</v>
      </c>
      <c r="F8654">
        <v>3256138.309999544</v>
      </c>
    </row>
    <row r="8655" spans="1:6">
      <c r="A8655" t="s">
        <v>13</v>
      </c>
      <c r="B8655" t="s">
        <v>234</v>
      </c>
      <c r="C8655" t="s">
        <v>846</v>
      </c>
      <c r="D8655" t="s">
        <v>2017</v>
      </c>
      <c r="E8655" t="s">
        <v>1664</v>
      </c>
      <c r="F8655">
        <v>3251243.459999544</v>
      </c>
    </row>
    <row r="8656" spans="1:6">
      <c r="A8656" t="s">
        <v>13</v>
      </c>
      <c r="B8656" t="s">
        <v>234</v>
      </c>
      <c r="C8656" t="s">
        <v>846</v>
      </c>
      <c r="D8656" t="s">
        <v>2017</v>
      </c>
      <c r="E8656" t="s">
        <v>1665</v>
      </c>
      <c r="F8656">
        <v>3439906.989999999</v>
      </c>
    </row>
    <row r="8657" spans="1:6">
      <c r="A8657" t="s">
        <v>13</v>
      </c>
      <c r="B8657" t="s">
        <v>234</v>
      </c>
      <c r="C8657" t="s">
        <v>846</v>
      </c>
      <c r="D8657" t="s">
        <v>2017</v>
      </c>
      <c r="E8657" t="s">
        <v>1666</v>
      </c>
      <c r="F8657">
        <v>3438276.299999998</v>
      </c>
    </row>
    <row r="8658" spans="1:6">
      <c r="A8658" t="s">
        <v>13</v>
      </c>
      <c r="B8658" t="s">
        <v>234</v>
      </c>
      <c r="C8658" t="s">
        <v>846</v>
      </c>
      <c r="D8658" t="s">
        <v>2017</v>
      </c>
      <c r="E8658" t="s">
        <v>1667</v>
      </c>
      <c r="F8658">
        <v>3430832.699999998</v>
      </c>
    </row>
    <row r="8659" spans="1:6">
      <c r="A8659" t="s">
        <v>13</v>
      </c>
      <c r="B8659" t="s">
        <v>234</v>
      </c>
      <c r="C8659" t="s">
        <v>846</v>
      </c>
      <c r="D8659" t="s">
        <v>2017</v>
      </c>
      <c r="E8659" t="s">
        <v>1668</v>
      </c>
      <c r="F8659">
        <v>3426653.750000156</v>
      </c>
    </row>
    <row r="8660" spans="1:6">
      <c r="A8660" t="s">
        <v>13</v>
      </c>
      <c r="B8660" t="s">
        <v>234</v>
      </c>
      <c r="C8660" t="s">
        <v>846</v>
      </c>
      <c r="D8660" t="s">
        <v>2017</v>
      </c>
      <c r="E8660" t="s">
        <v>1669</v>
      </c>
      <c r="F8660">
        <v>3423420.330000156</v>
      </c>
    </row>
    <row r="8661" spans="1:6">
      <c r="A8661" t="s">
        <v>13</v>
      </c>
      <c r="B8661" t="s">
        <v>234</v>
      </c>
      <c r="C8661" t="s">
        <v>846</v>
      </c>
      <c r="D8661" t="s">
        <v>2017</v>
      </c>
      <c r="E8661" t="s">
        <v>1670</v>
      </c>
      <c r="F8661">
        <v>3418406.080000156</v>
      </c>
    </row>
    <row r="8662" spans="1:6">
      <c r="A8662" t="s">
        <v>13</v>
      </c>
      <c r="B8662" t="s">
        <v>234</v>
      </c>
      <c r="C8662" t="s">
        <v>846</v>
      </c>
      <c r="D8662" t="s">
        <v>2017</v>
      </c>
      <c r="E8662" t="s">
        <v>1671</v>
      </c>
      <c r="F8662">
        <v>3414213.680000157</v>
      </c>
    </row>
    <row r="8663" spans="1:6">
      <c r="A8663" t="s">
        <v>13</v>
      </c>
      <c r="B8663" t="s">
        <v>234</v>
      </c>
      <c r="C8663" t="s">
        <v>846</v>
      </c>
      <c r="D8663" t="s">
        <v>2017</v>
      </c>
      <c r="E8663" t="s">
        <v>1672</v>
      </c>
      <c r="F8663">
        <v>2268053.120000161</v>
      </c>
    </row>
    <row r="8664" spans="1:6">
      <c r="A8664" t="s">
        <v>13</v>
      </c>
      <c r="B8664" t="s">
        <v>234</v>
      </c>
      <c r="C8664" t="s">
        <v>846</v>
      </c>
      <c r="D8664" t="s">
        <v>2017</v>
      </c>
      <c r="E8664" t="s">
        <v>1673</v>
      </c>
      <c r="F8664">
        <v>2266165.230000161</v>
      </c>
    </row>
    <row r="8665" spans="1:6">
      <c r="A8665" t="s">
        <v>13</v>
      </c>
      <c r="B8665" t="s">
        <v>234</v>
      </c>
      <c r="C8665" t="s">
        <v>846</v>
      </c>
      <c r="D8665" t="s">
        <v>2017</v>
      </c>
      <c r="E8665" t="s">
        <v>1212</v>
      </c>
      <c r="F8665">
        <v>2022</v>
      </c>
    </row>
    <row r="8666" spans="1:6">
      <c r="A8666" t="s">
        <v>13</v>
      </c>
      <c r="B8666" t="s">
        <v>234</v>
      </c>
      <c r="C8666" t="s">
        <v>846</v>
      </c>
      <c r="D8666" t="s">
        <v>2017</v>
      </c>
      <c r="E8666" t="s">
        <v>1213</v>
      </c>
      <c r="F8666">
        <v>1690428.160000164</v>
      </c>
    </row>
    <row r="8667" spans="1:6">
      <c r="A8667" t="s">
        <v>13</v>
      </c>
      <c r="B8667" t="s">
        <v>234</v>
      </c>
      <c r="C8667" t="s">
        <v>846</v>
      </c>
      <c r="D8667" t="s">
        <v>2017</v>
      </c>
      <c r="E8667" t="s">
        <v>1214</v>
      </c>
      <c r="F8667">
        <v>1660687.000000164</v>
      </c>
    </row>
    <row r="8668" spans="1:6">
      <c r="A8668" t="s">
        <v>13</v>
      </c>
      <c r="B8668" t="s">
        <v>234</v>
      </c>
      <c r="C8668" t="s">
        <v>846</v>
      </c>
      <c r="D8668" t="s">
        <v>2017</v>
      </c>
      <c r="E8668" t="s">
        <v>1215</v>
      </c>
      <c r="F8668">
        <v>1585365.220000167</v>
      </c>
    </row>
    <row r="8669" spans="1:6">
      <c r="A8669" t="s">
        <v>13</v>
      </c>
      <c r="B8669" t="s">
        <v>234</v>
      </c>
      <c r="C8669" t="s">
        <v>846</v>
      </c>
      <c r="D8669" t="s">
        <v>2017</v>
      </c>
      <c r="E8669" t="s">
        <v>1216</v>
      </c>
      <c r="F8669">
        <v>1584848.850000167</v>
      </c>
    </row>
    <row r="8670" spans="1:6">
      <c r="A8670" t="s">
        <v>13</v>
      </c>
      <c r="B8670" t="s">
        <v>234</v>
      </c>
      <c r="C8670" t="s">
        <v>846</v>
      </c>
      <c r="D8670" t="s">
        <v>2017</v>
      </c>
      <c r="E8670" t="s">
        <v>2264</v>
      </c>
      <c r="F8670">
        <v>1579849.220000167</v>
      </c>
    </row>
    <row r="8671" spans="1:6">
      <c r="A8671" t="s">
        <v>13</v>
      </c>
      <c r="B8671" t="s">
        <v>234</v>
      </c>
      <c r="C8671" t="s">
        <v>846</v>
      </c>
      <c r="D8671" t="s">
        <v>2017</v>
      </c>
      <c r="E8671" t="s">
        <v>1825</v>
      </c>
      <c r="F8671">
        <v>1578150.700000167</v>
      </c>
    </row>
    <row r="8672" spans="1:6">
      <c r="A8672" t="s">
        <v>13</v>
      </c>
      <c r="B8672" t="s">
        <v>234</v>
      </c>
      <c r="C8672" t="s">
        <v>846</v>
      </c>
      <c r="D8672" t="s">
        <v>2017</v>
      </c>
      <c r="E8672" t="s">
        <v>1826</v>
      </c>
      <c r="F8672">
        <v>1569001.620000167</v>
      </c>
    </row>
    <row r="8673" spans="1:6">
      <c r="A8673" t="s">
        <v>13</v>
      </c>
      <c r="B8673" t="s">
        <v>234</v>
      </c>
      <c r="C8673" t="s">
        <v>846</v>
      </c>
      <c r="D8673" t="s">
        <v>2017</v>
      </c>
      <c r="E8673" t="s">
        <v>1827</v>
      </c>
      <c r="F8673">
        <v>1568020.240000167</v>
      </c>
    </row>
    <row r="8674" spans="1:6">
      <c r="A8674" t="s">
        <v>13</v>
      </c>
      <c r="B8674" t="s">
        <v>234</v>
      </c>
      <c r="C8674" t="s">
        <v>846</v>
      </c>
      <c r="D8674" t="s">
        <v>2017</v>
      </c>
      <c r="E8674" t="s">
        <v>2265</v>
      </c>
      <c r="F8674">
        <v>1566960.810000167</v>
      </c>
    </row>
    <row r="8675" spans="1:6">
      <c r="A8675" t="s">
        <v>13</v>
      </c>
      <c r="B8675" t="s">
        <v>234</v>
      </c>
      <c r="C8675" t="s">
        <v>846</v>
      </c>
      <c r="D8675" t="s">
        <v>2017</v>
      </c>
      <c r="E8675" t="s">
        <v>2266</v>
      </c>
      <c r="F8675">
        <v>1599118.9</v>
      </c>
    </row>
    <row r="8676" spans="1:6">
      <c r="A8676" t="s">
        <v>13</v>
      </c>
      <c r="B8676" t="s">
        <v>234</v>
      </c>
      <c r="C8676" t="s">
        <v>846</v>
      </c>
      <c r="D8676" t="s">
        <v>2017</v>
      </c>
      <c r="E8676" t="s">
        <v>2267</v>
      </c>
      <c r="F8676">
        <v>1596774.09</v>
      </c>
    </row>
    <row r="8677" spans="1:6">
      <c r="A8677" t="s">
        <v>13</v>
      </c>
      <c r="B8677" t="s">
        <v>234</v>
      </c>
      <c r="C8677" t="s">
        <v>846</v>
      </c>
      <c r="D8677" t="s">
        <v>2017</v>
      </c>
      <c r="E8677" t="s">
        <v>2268</v>
      </c>
      <c r="F8677">
        <v>1593677.449999999</v>
      </c>
    </row>
    <row r="8678" spans="1:6">
      <c r="A8678" t="s">
        <v>13</v>
      </c>
      <c r="B8678" t="s">
        <v>234</v>
      </c>
      <c r="C8678" t="s">
        <v>846</v>
      </c>
      <c r="D8678" t="s">
        <v>2017</v>
      </c>
      <c r="E8678" t="s">
        <v>2269</v>
      </c>
      <c r="F8678">
        <v>1590006.260000082</v>
      </c>
    </row>
    <row r="8679" spans="1:6">
      <c r="A8679" t="s">
        <v>13</v>
      </c>
      <c r="B8679" t="s">
        <v>234</v>
      </c>
      <c r="C8679" t="s">
        <v>846</v>
      </c>
      <c r="D8679" t="s">
        <v>2017</v>
      </c>
      <c r="E8679" t="s">
        <v>2270</v>
      </c>
      <c r="F8679">
        <v>1589362.640000082</v>
      </c>
    </row>
    <row r="8680" spans="1:6">
      <c r="A8680" t="s">
        <v>13</v>
      </c>
      <c r="B8680" t="s">
        <v>234</v>
      </c>
      <c r="C8680" t="s">
        <v>846</v>
      </c>
      <c r="D8680" t="s">
        <v>2017</v>
      </c>
      <c r="E8680" t="s">
        <v>2271</v>
      </c>
      <c r="F8680">
        <v>1588344.520000082</v>
      </c>
    </row>
    <row r="8681" spans="1:6">
      <c r="A8681" t="s">
        <v>13</v>
      </c>
      <c r="B8681" t="s">
        <v>234</v>
      </c>
      <c r="C8681" t="s">
        <v>846</v>
      </c>
      <c r="D8681" t="s">
        <v>2017</v>
      </c>
      <c r="E8681" t="s">
        <v>2272</v>
      </c>
      <c r="F8681">
        <v>1588267.600000082</v>
      </c>
    </row>
    <row r="8682" spans="1:6">
      <c r="A8682" t="s">
        <v>13</v>
      </c>
      <c r="B8682" t="s">
        <v>234</v>
      </c>
      <c r="C8682" t="s">
        <v>846</v>
      </c>
      <c r="D8682" t="s">
        <v>2017</v>
      </c>
      <c r="E8682" t="s">
        <v>2273</v>
      </c>
      <c r="F8682">
        <v>1020602.010000086</v>
      </c>
    </row>
    <row r="8683" spans="1:6">
      <c r="A8683" t="s">
        <v>13</v>
      </c>
      <c r="B8683" t="s">
        <v>234</v>
      </c>
      <c r="C8683" t="s">
        <v>846</v>
      </c>
      <c r="D8683" t="s">
        <v>2017</v>
      </c>
      <c r="E8683" t="s">
        <v>2274</v>
      </c>
      <c r="F8683">
        <v>1018876.380000086</v>
      </c>
    </row>
    <row r="8684" spans="1:6">
      <c r="A8684" t="s">
        <v>13</v>
      </c>
      <c r="B8684" t="s">
        <v>234</v>
      </c>
      <c r="C8684" t="s">
        <v>846</v>
      </c>
      <c r="D8684" t="s">
        <v>2017</v>
      </c>
      <c r="E8684" t="s">
        <v>1220</v>
      </c>
      <c r="F8684">
        <v>2023</v>
      </c>
    </row>
    <row r="8685" spans="1:6">
      <c r="A8685" t="s">
        <v>13</v>
      </c>
      <c r="B8685" t="s">
        <v>234</v>
      </c>
      <c r="C8685" t="s">
        <v>846</v>
      </c>
      <c r="D8685" t="s">
        <v>2017</v>
      </c>
      <c r="E8685" t="s">
        <v>1221</v>
      </c>
      <c r="F8685">
        <v>3357738.540001581</v>
      </c>
    </row>
    <row r="8686" spans="1:6">
      <c r="A8686" t="s">
        <v>13</v>
      </c>
      <c r="B8686" t="s">
        <v>234</v>
      </c>
      <c r="C8686" t="s">
        <v>846</v>
      </c>
      <c r="D8686" t="s">
        <v>2017</v>
      </c>
      <c r="E8686" t="s">
        <v>1222</v>
      </c>
      <c r="F8686">
        <v>3186189.130001581</v>
      </c>
    </row>
    <row r="8687" spans="1:6">
      <c r="A8687" t="s">
        <v>13</v>
      </c>
      <c r="B8687" t="s">
        <v>234</v>
      </c>
      <c r="C8687" t="s">
        <v>846</v>
      </c>
      <c r="D8687" t="s">
        <v>2017</v>
      </c>
      <c r="E8687" t="s">
        <v>1223</v>
      </c>
      <c r="F8687">
        <v>3129771.480001581</v>
      </c>
    </row>
    <row r="8688" spans="1:6">
      <c r="A8688" t="s">
        <v>13</v>
      </c>
      <c r="B8688" t="s">
        <v>234</v>
      </c>
      <c r="C8688" t="s">
        <v>846</v>
      </c>
      <c r="D8688" t="s">
        <v>2017</v>
      </c>
      <c r="E8688" t="s">
        <v>1224</v>
      </c>
      <c r="F8688">
        <v>3117390.180001581</v>
      </c>
    </row>
    <row r="8689" spans="1:6">
      <c r="A8689" t="s">
        <v>13</v>
      </c>
      <c r="B8689" t="s">
        <v>234</v>
      </c>
      <c r="C8689" t="s">
        <v>846</v>
      </c>
      <c r="D8689" t="s">
        <v>2017</v>
      </c>
      <c r="E8689" t="s">
        <v>2275</v>
      </c>
      <c r="F8689">
        <v>3113560.240001581</v>
      </c>
    </row>
    <row r="8690" spans="1:6">
      <c r="A8690" t="s">
        <v>13</v>
      </c>
      <c r="B8690" t="s">
        <v>234</v>
      </c>
      <c r="C8690" t="s">
        <v>846</v>
      </c>
      <c r="D8690" t="s">
        <v>2017</v>
      </c>
      <c r="E8690" t="s">
        <v>1828</v>
      </c>
      <c r="F8690">
        <v>3108891.400001581</v>
      </c>
    </row>
    <row r="8691" spans="1:6">
      <c r="A8691" t="s">
        <v>13</v>
      </c>
      <c r="B8691" t="s">
        <v>234</v>
      </c>
      <c r="C8691" t="s">
        <v>846</v>
      </c>
      <c r="D8691" t="s">
        <v>2017</v>
      </c>
      <c r="E8691" t="s">
        <v>1829</v>
      </c>
      <c r="F8691">
        <v>3098506.410001581</v>
      </c>
    </row>
    <row r="8692" spans="1:6">
      <c r="A8692" t="s">
        <v>13</v>
      </c>
      <c r="B8692" t="s">
        <v>234</v>
      </c>
      <c r="C8692" t="s">
        <v>846</v>
      </c>
      <c r="D8692" t="s">
        <v>2017</v>
      </c>
      <c r="E8692" t="s">
        <v>1674</v>
      </c>
      <c r="F8692">
        <v>3094043.250001581</v>
      </c>
    </row>
    <row r="8693" spans="1:6">
      <c r="A8693" t="s">
        <v>13</v>
      </c>
      <c r="B8693" t="s">
        <v>234</v>
      </c>
      <c r="C8693" t="s">
        <v>846</v>
      </c>
      <c r="D8693" t="s">
        <v>2017</v>
      </c>
      <c r="E8693" t="s">
        <v>1676</v>
      </c>
      <c r="F8693">
        <v>3079139.410001581</v>
      </c>
    </row>
    <row r="8694" spans="1:6">
      <c r="A8694" t="s">
        <v>13</v>
      </c>
      <c r="B8694" t="s">
        <v>234</v>
      </c>
      <c r="C8694" t="s">
        <v>846</v>
      </c>
      <c r="D8694" t="s">
        <v>2017</v>
      </c>
      <c r="E8694" t="s">
        <v>1677</v>
      </c>
      <c r="F8694">
        <v>3129777.46</v>
      </c>
    </row>
    <row r="8695" spans="1:6">
      <c r="A8695" t="s">
        <v>13</v>
      </c>
      <c r="B8695" t="s">
        <v>234</v>
      </c>
      <c r="C8695" t="s">
        <v>846</v>
      </c>
      <c r="D8695" t="s">
        <v>2017</v>
      </c>
      <c r="E8695" t="s">
        <v>1678</v>
      </c>
      <c r="F8695">
        <v>3123085.52</v>
      </c>
    </row>
    <row r="8696" spans="1:6">
      <c r="A8696" t="s">
        <v>13</v>
      </c>
      <c r="B8696" t="s">
        <v>234</v>
      </c>
      <c r="C8696" t="s">
        <v>846</v>
      </c>
      <c r="D8696" t="s">
        <v>2017</v>
      </c>
      <c r="E8696" t="s">
        <v>1679</v>
      </c>
      <c r="F8696">
        <v>3113961.720000002</v>
      </c>
    </row>
    <row r="8697" spans="1:6">
      <c r="A8697" t="s">
        <v>13</v>
      </c>
      <c r="B8697" t="s">
        <v>234</v>
      </c>
      <c r="C8697" t="s">
        <v>846</v>
      </c>
      <c r="D8697" t="s">
        <v>2017</v>
      </c>
      <c r="E8697" t="s">
        <v>1680</v>
      </c>
      <c r="F8697">
        <v>3098067.520002091</v>
      </c>
    </row>
    <row r="8698" spans="1:6">
      <c r="A8698" t="s">
        <v>13</v>
      </c>
      <c r="B8698" t="s">
        <v>234</v>
      </c>
      <c r="C8698" t="s">
        <v>846</v>
      </c>
      <c r="D8698" t="s">
        <v>2017</v>
      </c>
      <c r="E8698" t="s">
        <v>1681</v>
      </c>
      <c r="F8698">
        <v>3092489.520002091</v>
      </c>
    </row>
    <row r="8699" spans="1:6">
      <c r="A8699" t="s">
        <v>13</v>
      </c>
      <c r="B8699" t="s">
        <v>234</v>
      </c>
      <c r="C8699" t="s">
        <v>846</v>
      </c>
      <c r="D8699" t="s">
        <v>2017</v>
      </c>
      <c r="E8699" t="s">
        <v>1682</v>
      </c>
      <c r="F8699">
        <v>3068673.240002091</v>
      </c>
    </row>
    <row r="8700" spans="1:6">
      <c r="A8700" t="s">
        <v>13</v>
      </c>
      <c r="B8700" t="s">
        <v>234</v>
      </c>
      <c r="C8700" t="s">
        <v>846</v>
      </c>
      <c r="D8700" t="s">
        <v>2017</v>
      </c>
      <c r="E8700" t="s">
        <v>1683</v>
      </c>
      <c r="F8700">
        <v>3061823.070002098</v>
      </c>
    </row>
    <row r="8701" spans="1:6">
      <c r="A8701" t="s">
        <v>13</v>
      </c>
      <c r="B8701" t="s">
        <v>234</v>
      </c>
      <c r="C8701" t="s">
        <v>846</v>
      </c>
      <c r="D8701" t="s">
        <v>2017</v>
      </c>
      <c r="E8701" t="s">
        <v>1684</v>
      </c>
      <c r="F8701">
        <v>1570177.20000213</v>
      </c>
    </row>
    <row r="8702" spans="1:6">
      <c r="A8702" t="s">
        <v>13</v>
      </c>
      <c r="B8702" t="s">
        <v>234</v>
      </c>
      <c r="C8702" t="s">
        <v>846</v>
      </c>
      <c r="D8702" t="s">
        <v>2017</v>
      </c>
      <c r="E8702" t="s">
        <v>1685</v>
      </c>
      <c r="F8702">
        <v>1566070.45000213</v>
      </c>
    </row>
    <row r="8703" spans="1:6">
      <c r="A8703" t="s">
        <v>13</v>
      </c>
      <c r="B8703" t="s">
        <v>234</v>
      </c>
      <c r="C8703" t="s">
        <v>846</v>
      </c>
      <c r="D8703" t="s">
        <v>2017</v>
      </c>
      <c r="E8703" t="s">
        <v>1228</v>
      </c>
      <c r="F8703">
        <v>2024</v>
      </c>
    </row>
    <row r="8704" spans="1:6">
      <c r="A8704" t="s">
        <v>13</v>
      </c>
      <c r="B8704" t="s">
        <v>234</v>
      </c>
      <c r="C8704" t="s">
        <v>846</v>
      </c>
      <c r="D8704" t="s">
        <v>2017</v>
      </c>
      <c r="E8704" t="s">
        <v>1230</v>
      </c>
      <c r="F8704">
        <v>4467785.180000004</v>
      </c>
    </row>
    <row r="8705" spans="1:6">
      <c r="A8705" t="s">
        <v>13</v>
      </c>
      <c r="B8705" t="s">
        <v>234</v>
      </c>
      <c r="C8705" t="s">
        <v>846</v>
      </c>
      <c r="D8705" t="s">
        <v>2017</v>
      </c>
      <c r="E8705" t="s">
        <v>1231</v>
      </c>
      <c r="F8705">
        <v>3871652.750000007</v>
      </c>
    </row>
    <row r="8706" spans="1:6">
      <c r="A8706" t="s">
        <v>13</v>
      </c>
      <c r="B8706" t="s">
        <v>234</v>
      </c>
      <c r="C8706" t="s">
        <v>846</v>
      </c>
      <c r="D8706" t="s">
        <v>2017</v>
      </c>
      <c r="E8706" t="s">
        <v>1233</v>
      </c>
      <c r="F8706">
        <v>3779498.900000007</v>
      </c>
    </row>
    <row r="8707" spans="1:6">
      <c r="A8707" t="s">
        <v>13</v>
      </c>
      <c r="B8707" t="s">
        <v>234</v>
      </c>
      <c r="C8707" t="s">
        <v>846</v>
      </c>
      <c r="D8707" t="s">
        <v>2017</v>
      </c>
      <c r="E8707" t="s">
        <v>1234</v>
      </c>
      <c r="F8707">
        <v>3756165.350000008</v>
      </c>
    </row>
    <row r="8708" spans="1:6">
      <c r="A8708" t="s">
        <v>13</v>
      </c>
      <c r="B8708" t="s">
        <v>234</v>
      </c>
      <c r="C8708" t="s">
        <v>846</v>
      </c>
      <c r="D8708" t="s">
        <v>2017</v>
      </c>
      <c r="E8708" t="s">
        <v>2276</v>
      </c>
      <c r="F8708">
        <v>3706021.080000008</v>
      </c>
    </row>
    <row r="8709" spans="1:6">
      <c r="A8709" t="s">
        <v>13</v>
      </c>
      <c r="B8709" t="s">
        <v>234</v>
      </c>
      <c r="C8709" t="s">
        <v>846</v>
      </c>
      <c r="D8709" t="s">
        <v>2017</v>
      </c>
      <c r="E8709" t="s">
        <v>1830</v>
      </c>
      <c r="F8709">
        <v>3666327.610000007</v>
      </c>
    </row>
    <row r="8710" spans="1:6">
      <c r="A8710" t="s">
        <v>13</v>
      </c>
      <c r="B8710" t="s">
        <v>234</v>
      </c>
      <c r="C8710" t="s">
        <v>846</v>
      </c>
      <c r="D8710" t="s">
        <v>2017</v>
      </c>
      <c r="E8710" t="s">
        <v>1831</v>
      </c>
      <c r="F8710">
        <v>3617609.650000007</v>
      </c>
    </row>
    <row r="8711" spans="1:6">
      <c r="A8711" t="s">
        <v>13</v>
      </c>
      <c r="B8711" t="s">
        <v>234</v>
      </c>
      <c r="C8711" t="s">
        <v>846</v>
      </c>
      <c r="D8711" t="s">
        <v>2017</v>
      </c>
      <c r="E8711" t="s">
        <v>1832</v>
      </c>
      <c r="F8711">
        <v>3582600.330000008</v>
      </c>
    </row>
    <row r="8712" spans="1:6">
      <c r="A8712" t="s">
        <v>13</v>
      </c>
      <c r="B8712" t="s">
        <v>234</v>
      </c>
      <c r="C8712" t="s">
        <v>846</v>
      </c>
      <c r="D8712" t="s">
        <v>2017</v>
      </c>
      <c r="E8712" t="s">
        <v>2277</v>
      </c>
      <c r="F8712">
        <v>3556244.420000007</v>
      </c>
    </row>
    <row r="8713" spans="1:6">
      <c r="A8713" t="s">
        <v>13</v>
      </c>
      <c r="B8713" t="s">
        <v>234</v>
      </c>
      <c r="C8713" t="s">
        <v>846</v>
      </c>
      <c r="D8713" t="s">
        <v>2017</v>
      </c>
      <c r="E8713" t="s">
        <v>2278</v>
      </c>
      <c r="F8713">
        <v>3801600.28999999</v>
      </c>
    </row>
    <row r="8714" spans="1:6">
      <c r="A8714" t="s">
        <v>13</v>
      </c>
      <c r="B8714" t="s">
        <v>234</v>
      </c>
      <c r="C8714" t="s">
        <v>846</v>
      </c>
      <c r="D8714" t="s">
        <v>2017</v>
      </c>
      <c r="E8714" t="s">
        <v>2279</v>
      </c>
      <c r="F8714">
        <v>3784467.329999993</v>
      </c>
    </row>
    <row r="8715" spans="1:6">
      <c r="A8715" t="s">
        <v>13</v>
      </c>
      <c r="B8715" t="s">
        <v>234</v>
      </c>
      <c r="C8715" t="s">
        <v>846</v>
      </c>
      <c r="D8715" t="s">
        <v>2017</v>
      </c>
      <c r="E8715" t="s">
        <v>2280</v>
      </c>
      <c r="F8715">
        <v>3749109.169999981</v>
      </c>
    </row>
    <row r="8716" spans="1:6">
      <c r="A8716" t="s">
        <v>13</v>
      </c>
      <c r="B8716" t="s">
        <v>234</v>
      </c>
      <c r="C8716" t="s">
        <v>846</v>
      </c>
      <c r="D8716" t="s">
        <v>2017</v>
      </c>
      <c r="E8716" t="s">
        <v>2281</v>
      </c>
      <c r="F8716">
        <v>3700881.310000343</v>
      </c>
    </row>
    <row r="8717" spans="1:6">
      <c r="A8717" t="s">
        <v>13</v>
      </c>
      <c r="B8717" t="s">
        <v>234</v>
      </c>
      <c r="C8717" t="s">
        <v>846</v>
      </c>
      <c r="D8717" t="s">
        <v>2017</v>
      </c>
      <c r="E8717" t="s">
        <v>2282</v>
      </c>
      <c r="F8717">
        <v>3675397.640000345</v>
      </c>
    </row>
    <row r="8718" spans="1:6">
      <c r="A8718" t="s">
        <v>13</v>
      </c>
      <c r="B8718" t="s">
        <v>234</v>
      </c>
      <c r="C8718" t="s">
        <v>846</v>
      </c>
      <c r="D8718" t="s">
        <v>2017</v>
      </c>
      <c r="E8718" t="s">
        <v>2283</v>
      </c>
      <c r="F8718">
        <v>3631568.510000343</v>
      </c>
    </row>
    <row r="8719" spans="1:6">
      <c r="A8719" t="s">
        <v>13</v>
      </c>
      <c r="B8719" t="s">
        <v>234</v>
      </c>
      <c r="C8719" t="s">
        <v>846</v>
      </c>
      <c r="D8719" t="s">
        <v>2017</v>
      </c>
      <c r="E8719" t="s">
        <v>2284</v>
      </c>
      <c r="F8719">
        <v>3614431.580000347</v>
      </c>
    </row>
    <row r="8720" spans="1:6">
      <c r="A8720" t="s">
        <v>13</v>
      </c>
      <c r="B8720" t="s">
        <v>234</v>
      </c>
      <c r="C8720" t="s">
        <v>846</v>
      </c>
      <c r="D8720" t="s">
        <v>2017</v>
      </c>
      <c r="E8720" t="s">
        <v>2285</v>
      </c>
      <c r="F8720">
        <v>2113335.150000781</v>
      </c>
    </row>
    <row r="8721" spans="1:6">
      <c r="A8721" t="s">
        <v>13</v>
      </c>
      <c r="B8721" t="s">
        <v>234</v>
      </c>
      <c r="C8721" t="s">
        <v>846</v>
      </c>
      <c r="D8721" t="s">
        <v>2017</v>
      </c>
      <c r="E8721" t="s">
        <v>2286</v>
      </c>
      <c r="F8721">
        <v>2079340.85000078</v>
      </c>
    </row>
    <row r="8722" spans="1:6">
      <c r="A8722" t="s">
        <v>13</v>
      </c>
      <c r="B8722" t="s">
        <v>234</v>
      </c>
      <c r="C8722" t="s">
        <v>846</v>
      </c>
      <c r="D8722" t="s">
        <v>2017</v>
      </c>
      <c r="E8722" t="s">
        <v>1238</v>
      </c>
      <c r="F8722">
        <v>2025</v>
      </c>
    </row>
    <row r="8723" spans="1:6">
      <c r="A8723" t="s">
        <v>13</v>
      </c>
      <c r="B8723" t="s">
        <v>234</v>
      </c>
      <c r="C8723" t="s">
        <v>846</v>
      </c>
      <c r="D8723" t="s">
        <v>2017</v>
      </c>
      <c r="E8723" t="s">
        <v>1240</v>
      </c>
      <c r="F8723">
        <v>127806.6100000002</v>
      </c>
    </row>
    <row r="8724" spans="1:6">
      <c r="A8724" t="s">
        <v>13</v>
      </c>
      <c r="B8724" t="s">
        <v>234</v>
      </c>
      <c r="C8724" t="s">
        <v>846</v>
      </c>
      <c r="D8724" t="s">
        <v>2017</v>
      </c>
      <c r="E8724" t="s">
        <v>1241</v>
      </c>
      <c r="F8724">
        <v>191299.8600000002</v>
      </c>
    </row>
    <row r="8725" spans="1:6">
      <c r="A8725" t="s">
        <v>13</v>
      </c>
      <c r="B8725" t="s">
        <v>234</v>
      </c>
      <c r="C8725" t="s">
        <v>846</v>
      </c>
      <c r="D8725" t="s">
        <v>2017</v>
      </c>
      <c r="E8725" t="s">
        <v>1243</v>
      </c>
      <c r="F8725">
        <v>232665.8500000003</v>
      </c>
    </row>
    <row r="8726" spans="1:6">
      <c r="A8726" t="s">
        <v>13</v>
      </c>
      <c r="B8726" t="s">
        <v>234</v>
      </c>
      <c r="C8726" t="s">
        <v>846</v>
      </c>
      <c r="D8726" t="s">
        <v>2017</v>
      </c>
      <c r="E8726" t="s">
        <v>1244</v>
      </c>
      <c r="F8726">
        <v>322642.7200000004</v>
      </c>
    </row>
    <row r="8727" spans="1:6">
      <c r="A8727" t="s">
        <v>13</v>
      </c>
      <c r="B8727" t="s">
        <v>234</v>
      </c>
      <c r="C8727" t="s">
        <v>846</v>
      </c>
      <c r="D8727" t="s">
        <v>2017</v>
      </c>
      <c r="E8727" t="s">
        <v>2287</v>
      </c>
      <c r="F8727">
        <v>447807.2500000003</v>
      </c>
    </row>
    <row r="8728" spans="1:6">
      <c r="A8728" t="s">
        <v>13</v>
      </c>
      <c r="B8728" t="s">
        <v>234</v>
      </c>
      <c r="C8728" t="s">
        <v>846</v>
      </c>
      <c r="D8728" t="s">
        <v>2017</v>
      </c>
      <c r="E8728" t="s">
        <v>1833</v>
      </c>
      <c r="F8728">
        <v>516882.5700000004</v>
      </c>
    </row>
    <row r="8729" spans="1:6">
      <c r="A8729" t="s">
        <v>13</v>
      </c>
      <c r="B8729" t="s">
        <v>234</v>
      </c>
      <c r="C8729" t="s">
        <v>846</v>
      </c>
      <c r="D8729" t="s">
        <v>2017</v>
      </c>
      <c r="E8729" t="s">
        <v>1834</v>
      </c>
      <c r="F8729">
        <v>512254.7900000004</v>
      </c>
    </row>
    <row r="8730" spans="1:6">
      <c r="A8730" t="s">
        <v>13</v>
      </c>
      <c r="B8730" t="s">
        <v>234</v>
      </c>
      <c r="C8730" t="s">
        <v>846</v>
      </c>
      <c r="D8730" t="s">
        <v>2017</v>
      </c>
      <c r="E8730" t="s">
        <v>1687</v>
      </c>
      <c r="F8730">
        <v>491805.8300000004</v>
      </c>
    </row>
    <row r="8731" spans="1:6">
      <c r="A8731" t="s">
        <v>13</v>
      </c>
      <c r="B8731" t="s">
        <v>234</v>
      </c>
      <c r="C8731" t="s">
        <v>846</v>
      </c>
      <c r="D8731" t="s">
        <v>2017</v>
      </c>
      <c r="E8731" t="s">
        <v>1689</v>
      </c>
      <c r="F8731">
        <v>499014.2300000004</v>
      </c>
    </row>
    <row r="8732" spans="1:6">
      <c r="A8732" t="s">
        <v>13</v>
      </c>
      <c r="B8732" t="s">
        <v>234</v>
      </c>
      <c r="C8732" t="s">
        <v>846</v>
      </c>
      <c r="D8732" t="s">
        <v>2017</v>
      </c>
      <c r="E8732" t="s">
        <v>1690</v>
      </c>
      <c r="F8732">
        <v>546907.91</v>
      </c>
    </row>
    <row r="8733" spans="1:6">
      <c r="A8733" t="s">
        <v>13</v>
      </c>
      <c r="B8733" t="s">
        <v>234</v>
      </c>
      <c r="C8733" t="s">
        <v>846</v>
      </c>
      <c r="D8733" t="s">
        <v>2017</v>
      </c>
      <c r="E8733" t="s">
        <v>1691</v>
      </c>
      <c r="F8733">
        <v>643212.02</v>
      </c>
    </row>
    <row r="8734" spans="1:6">
      <c r="A8734" t="s">
        <v>13</v>
      </c>
      <c r="B8734" t="s">
        <v>234</v>
      </c>
      <c r="C8734" t="s">
        <v>846</v>
      </c>
      <c r="D8734" t="s">
        <v>2017</v>
      </c>
      <c r="E8734" t="s">
        <v>1692</v>
      </c>
      <c r="F8734">
        <v>691257.2800000003</v>
      </c>
    </row>
    <row r="8735" spans="1:6">
      <c r="A8735" t="s">
        <v>13</v>
      </c>
      <c r="B8735" t="s">
        <v>234</v>
      </c>
      <c r="C8735" t="s">
        <v>846</v>
      </c>
      <c r="D8735" t="s">
        <v>2017</v>
      </c>
      <c r="E8735" t="s">
        <v>1693</v>
      </c>
      <c r="F8735">
        <v>713319.3400000015</v>
      </c>
    </row>
    <row r="8736" spans="1:6">
      <c r="A8736" t="s">
        <v>13</v>
      </c>
      <c r="B8736" t="s">
        <v>234</v>
      </c>
      <c r="C8736" t="s">
        <v>846</v>
      </c>
      <c r="D8736" t="s">
        <v>2017</v>
      </c>
      <c r="E8736" t="s">
        <v>1694</v>
      </c>
      <c r="F8736">
        <v>711815.2400000015</v>
      </c>
    </row>
    <row r="8737" spans="1:6">
      <c r="A8737" t="s">
        <v>13</v>
      </c>
      <c r="B8737" t="s">
        <v>234</v>
      </c>
      <c r="C8737" t="s">
        <v>846</v>
      </c>
      <c r="D8737" t="s">
        <v>2017</v>
      </c>
      <c r="E8737" t="s">
        <v>1695</v>
      </c>
      <c r="F8737">
        <v>700191.3700000015</v>
      </c>
    </row>
    <row r="8738" spans="1:6">
      <c r="A8738" t="s">
        <v>13</v>
      </c>
      <c r="B8738" t="s">
        <v>234</v>
      </c>
      <c r="C8738" t="s">
        <v>846</v>
      </c>
      <c r="D8738" t="s">
        <v>2017</v>
      </c>
      <c r="E8738" t="s">
        <v>1696</v>
      </c>
      <c r="F8738">
        <v>688112.2300000015</v>
      </c>
    </row>
    <row r="8739" spans="1:6">
      <c r="A8739" t="s">
        <v>13</v>
      </c>
      <c r="B8739" t="s">
        <v>234</v>
      </c>
      <c r="C8739" t="s">
        <v>846</v>
      </c>
      <c r="D8739" t="s">
        <v>2017</v>
      </c>
      <c r="E8739" t="s">
        <v>1697</v>
      </c>
      <c r="F8739">
        <v>670728.9900000015</v>
      </c>
    </row>
    <row r="8740" spans="1:6">
      <c r="A8740" t="s">
        <v>13</v>
      </c>
      <c r="B8740" t="s">
        <v>234</v>
      </c>
      <c r="C8740" t="s">
        <v>846</v>
      </c>
      <c r="D8740" t="s">
        <v>2017</v>
      </c>
      <c r="E8740" t="s">
        <v>1698</v>
      </c>
      <c r="F8740">
        <v>675883.9200000016</v>
      </c>
    </row>
    <row r="8741" spans="1:6">
      <c r="A8741" t="s">
        <v>13</v>
      </c>
      <c r="B8741" t="s">
        <v>234</v>
      </c>
      <c r="C8741" t="s">
        <v>846</v>
      </c>
      <c r="D8741" t="s">
        <v>2017</v>
      </c>
      <c r="E8741" t="s">
        <v>1249</v>
      </c>
      <c r="F8741">
        <v>2026</v>
      </c>
    </row>
    <row r="8742" spans="1:6">
      <c r="A8742" t="s">
        <v>13</v>
      </c>
      <c r="B8742" t="s">
        <v>234</v>
      </c>
      <c r="C8742" t="s">
        <v>846</v>
      </c>
      <c r="D8742" t="s">
        <v>2017</v>
      </c>
      <c r="E8742" t="s">
        <v>1250</v>
      </c>
      <c r="F8742">
        <v>0</v>
      </c>
    </row>
    <row r="8743" spans="1:6">
      <c r="A8743" t="s">
        <v>13</v>
      </c>
      <c r="B8743" t="s">
        <v>234</v>
      </c>
      <c r="C8743" t="s">
        <v>846</v>
      </c>
      <c r="D8743" t="s">
        <v>2017</v>
      </c>
      <c r="E8743" t="s">
        <v>1251</v>
      </c>
      <c r="F8743">
        <v>0</v>
      </c>
    </row>
    <row r="8744" spans="1:6">
      <c r="A8744" t="s">
        <v>13</v>
      </c>
      <c r="B8744" t="s">
        <v>234</v>
      </c>
      <c r="C8744" t="s">
        <v>846</v>
      </c>
      <c r="D8744" t="s">
        <v>2017</v>
      </c>
      <c r="E8744" t="s">
        <v>1252</v>
      </c>
      <c r="F8744">
        <v>0</v>
      </c>
    </row>
    <row r="8745" spans="1:6">
      <c r="A8745" t="s">
        <v>13</v>
      </c>
      <c r="B8745" t="s">
        <v>234</v>
      </c>
      <c r="C8745" t="s">
        <v>846</v>
      </c>
      <c r="D8745" t="s">
        <v>2017</v>
      </c>
      <c r="E8745" t="s">
        <v>1253</v>
      </c>
      <c r="F8745">
        <v>0</v>
      </c>
    </row>
    <row r="8746" spans="1:6">
      <c r="A8746" t="s">
        <v>13</v>
      </c>
      <c r="B8746" t="s">
        <v>234</v>
      </c>
      <c r="C8746" t="s">
        <v>846</v>
      </c>
      <c r="D8746" t="s">
        <v>2017</v>
      </c>
      <c r="E8746" t="s">
        <v>2288</v>
      </c>
      <c r="F8746">
        <v>0</v>
      </c>
    </row>
    <row r="8747" spans="1:6">
      <c r="A8747" t="s">
        <v>13</v>
      </c>
      <c r="B8747" t="s">
        <v>234</v>
      </c>
      <c r="C8747" t="s">
        <v>846</v>
      </c>
      <c r="D8747" t="s">
        <v>2017</v>
      </c>
      <c r="E8747" t="s">
        <v>2289</v>
      </c>
      <c r="F8747">
        <v>0</v>
      </c>
    </row>
    <row r="8748" spans="1:6">
      <c r="A8748" t="s">
        <v>13</v>
      </c>
      <c r="B8748" t="s">
        <v>234</v>
      </c>
      <c r="C8748" t="s">
        <v>846</v>
      </c>
      <c r="D8748" t="s">
        <v>2017</v>
      </c>
      <c r="E8748" t="s">
        <v>2290</v>
      </c>
      <c r="F8748">
        <v>0</v>
      </c>
    </row>
    <row r="8749" spans="1:6">
      <c r="A8749" t="s">
        <v>13</v>
      </c>
      <c r="B8749" t="s">
        <v>234</v>
      </c>
      <c r="C8749" t="s">
        <v>846</v>
      </c>
      <c r="D8749" t="s">
        <v>2017</v>
      </c>
      <c r="E8749" t="s">
        <v>2291</v>
      </c>
      <c r="F8749">
        <v>0</v>
      </c>
    </row>
    <row r="8750" spans="1:6">
      <c r="A8750" t="s">
        <v>13</v>
      </c>
      <c r="B8750" t="s">
        <v>234</v>
      </c>
      <c r="C8750" t="s">
        <v>846</v>
      </c>
      <c r="D8750" t="s">
        <v>2017</v>
      </c>
      <c r="E8750" t="s">
        <v>2292</v>
      </c>
      <c r="F8750">
        <v>0</v>
      </c>
    </row>
    <row r="8751" spans="1:6">
      <c r="A8751" t="s">
        <v>13</v>
      </c>
      <c r="B8751" t="s">
        <v>234</v>
      </c>
      <c r="C8751" t="s">
        <v>846</v>
      </c>
      <c r="D8751" t="s">
        <v>2017</v>
      </c>
      <c r="E8751" t="s">
        <v>2293</v>
      </c>
      <c r="F8751">
        <v>0</v>
      </c>
    </row>
    <row r="8752" spans="1:6">
      <c r="A8752" t="s">
        <v>13</v>
      </c>
      <c r="B8752" t="s">
        <v>234</v>
      </c>
      <c r="C8752" t="s">
        <v>846</v>
      </c>
      <c r="D8752" t="s">
        <v>2017</v>
      </c>
      <c r="E8752" t="s">
        <v>2294</v>
      </c>
      <c r="F8752">
        <v>0</v>
      </c>
    </row>
    <row r="8753" spans="1:6">
      <c r="A8753" t="s">
        <v>13</v>
      </c>
      <c r="B8753" t="s">
        <v>234</v>
      </c>
      <c r="C8753" t="s">
        <v>846</v>
      </c>
      <c r="D8753" t="s">
        <v>2017</v>
      </c>
      <c r="E8753" t="s">
        <v>2295</v>
      </c>
      <c r="F8753">
        <v>0</v>
      </c>
    </row>
    <row r="8754" spans="1:6">
      <c r="A8754" t="s">
        <v>13</v>
      </c>
      <c r="B8754" t="s">
        <v>234</v>
      </c>
      <c r="C8754" t="s">
        <v>846</v>
      </c>
      <c r="D8754" t="s">
        <v>2017</v>
      </c>
      <c r="E8754" t="s">
        <v>2296</v>
      </c>
      <c r="F8754">
        <v>11067.09999999995</v>
      </c>
    </row>
    <row r="8755" spans="1:6">
      <c r="A8755" t="s">
        <v>13</v>
      </c>
      <c r="B8755" t="s">
        <v>234</v>
      </c>
      <c r="C8755" t="s">
        <v>846</v>
      </c>
      <c r="D8755" t="s">
        <v>2017</v>
      </c>
      <c r="E8755" t="s">
        <v>2297</v>
      </c>
      <c r="F8755">
        <v>32602.51999999994</v>
      </c>
    </row>
    <row r="8756" spans="1:6">
      <c r="A8756" t="s">
        <v>13</v>
      </c>
      <c r="B8756" t="s">
        <v>234</v>
      </c>
      <c r="C8756" t="s">
        <v>846</v>
      </c>
      <c r="D8756" t="s">
        <v>2017</v>
      </c>
      <c r="E8756" t="s">
        <v>2298</v>
      </c>
      <c r="F8756">
        <v>35514.16999999994</v>
      </c>
    </row>
    <row r="8757" spans="1:6">
      <c r="A8757" t="s">
        <v>13</v>
      </c>
      <c r="B8757" t="s">
        <v>234</v>
      </c>
      <c r="C8757" t="s">
        <v>846</v>
      </c>
      <c r="D8757" t="s">
        <v>2017</v>
      </c>
      <c r="E8757" t="s">
        <v>2299</v>
      </c>
      <c r="F8757">
        <v>60590.27999999943</v>
      </c>
    </row>
    <row r="8758" spans="1:6">
      <c r="A8758" t="s">
        <v>13</v>
      </c>
      <c r="B8758" t="s">
        <v>234</v>
      </c>
      <c r="C8758" t="s">
        <v>846</v>
      </c>
      <c r="D8758" t="s">
        <v>2017</v>
      </c>
      <c r="E8758" t="s">
        <v>2300</v>
      </c>
      <c r="F8758">
        <v>65916.14999999943</v>
      </c>
    </row>
    <row r="8759" spans="1:6">
      <c r="A8759" t="s">
        <v>13</v>
      </c>
      <c r="B8759" t="s">
        <v>234</v>
      </c>
      <c r="C8759" t="s">
        <v>846</v>
      </c>
      <c r="D8759" t="s">
        <v>2017</v>
      </c>
      <c r="E8759" t="s">
        <v>2301</v>
      </c>
      <c r="F8759">
        <v>65237.37999999942</v>
      </c>
    </row>
    <row r="8760" spans="1:6">
      <c r="A8760" t="s">
        <v>13</v>
      </c>
      <c r="B8760" t="s">
        <v>234</v>
      </c>
      <c r="C8760" t="s">
        <v>846</v>
      </c>
      <c r="D8760" t="s">
        <v>2017</v>
      </c>
      <c r="E8760" t="s">
        <v>1258</v>
      </c>
      <c r="F8760">
        <v>2027</v>
      </c>
    </row>
    <row r="8761" spans="1:6">
      <c r="A8761" t="s">
        <v>13</v>
      </c>
      <c r="B8761" t="s">
        <v>234</v>
      </c>
      <c r="C8761" t="s">
        <v>846</v>
      </c>
      <c r="D8761" t="s">
        <v>2017</v>
      </c>
      <c r="E8761" t="s">
        <v>1266</v>
      </c>
      <c r="F8761">
        <v>2028</v>
      </c>
    </row>
    <row r="8762" spans="1:6">
      <c r="A8762" t="s">
        <v>13</v>
      </c>
      <c r="B8762" t="s">
        <v>234</v>
      </c>
      <c r="C8762" t="s">
        <v>846</v>
      </c>
      <c r="D8762" t="s">
        <v>2017</v>
      </c>
      <c r="E8762" t="s">
        <v>1564</v>
      </c>
      <c r="F8762">
        <v>2029</v>
      </c>
    </row>
    <row r="8763" spans="1:6">
      <c r="A8763" t="s">
        <v>13</v>
      </c>
      <c r="B8763" t="s">
        <v>234</v>
      </c>
      <c r="C8763" t="s">
        <v>846</v>
      </c>
      <c r="D8763" t="s">
        <v>2017</v>
      </c>
      <c r="E8763" t="s">
        <v>1739</v>
      </c>
      <c r="F8763">
        <v>2030</v>
      </c>
    </row>
    <row r="8764" spans="1:6">
      <c r="A8764" t="s">
        <v>13</v>
      </c>
      <c r="B8764" t="s">
        <v>234</v>
      </c>
      <c r="C8764" t="s">
        <v>846</v>
      </c>
      <c r="D8764" t="s">
        <v>2017</v>
      </c>
      <c r="E8764" t="s">
        <v>1879</v>
      </c>
      <c r="F8764" t="s">
        <v>2302</v>
      </c>
    </row>
    <row r="8765" spans="1:6">
      <c r="A8765" t="s">
        <v>13</v>
      </c>
      <c r="B8765" t="s">
        <v>234</v>
      </c>
      <c r="C8765" t="s">
        <v>846</v>
      </c>
      <c r="D8765" t="s">
        <v>2017</v>
      </c>
      <c r="E8765" t="s">
        <v>1880</v>
      </c>
      <c r="F8765">
        <v>854085</v>
      </c>
    </row>
    <row r="8766" spans="1:6">
      <c r="A8766" t="s">
        <v>13</v>
      </c>
      <c r="B8766" t="s">
        <v>234</v>
      </c>
      <c r="C8766" t="s">
        <v>846</v>
      </c>
      <c r="D8766" t="s">
        <v>2017</v>
      </c>
      <c r="E8766" t="s">
        <v>1881</v>
      </c>
      <c r="F8766">
        <v>727218</v>
      </c>
    </row>
    <row r="8767" spans="1:6">
      <c r="A8767" t="s">
        <v>13</v>
      </c>
      <c r="B8767" t="s">
        <v>234</v>
      </c>
      <c r="C8767" t="s">
        <v>846</v>
      </c>
      <c r="D8767" t="s">
        <v>2017</v>
      </c>
      <c r="E8767" t="s">
        <v>1882</v>
      </c>
      <c r="F8767">
        <v>618332</v>
      </c>
    </row>
    <row r="8768" spans="1:6">
      <c r="A8768" t="s">
        <v>13</v>
      </c>
      <c r="B8768" t="s">
        <v>234</v>
      </c>
      <c r="C8768" t="s">
        <v>846</v>
      </c>
      <c r="D8768" t="s">
        <v>2017</v>
      </c>
      <c r="E8768" t="s">
        <v>1883</v>
      </c>
      <c r="F8768">
        <v>614139</v>
      </c>
    </row>
    <row r="8769" spans="1:6">
      <c r="A8769" t="s">
        <v>13</v>
      </c>
      <c r="B8769" t="s">
        <v>234</v>
      </c>
      <c r="C8769" t="s">
        <v>846</v>
      </c>
      <c r="D8769" t="s">
        <v>2017</v>
      </c>
      <c r="E8769" t="s">
        <v>2303</v>
      </c>
      <c r="F8769">
        <v>612365</v>
      </c>
    </row>
    <row r="8770" spans="1:6">
      <c r="A8770" t="s">
        <v>13</v>
      </c>
      <c r="B8770" t="s">
        <v>234</v>
      </c>
      <c r="C8770" t="s">
        <v>846</v>
      </c>
      <c r="D8770" t="s">
        <v>2017</v>
      </c>
      <c r="E8770" t="s">
        <v>2304</v>
      </c>
      <c r="F8770">
        <v>610097</v>
      </c>
    </row>
    <row r="8771" spans="1:6">
      <c r="A8771" t="s">
        <v>13</v>
      </c>
      <c r="B8771" t="s">
        <v>234</v>
      </c>
      <c r="C8771" t="s">
        <v>846</v>
      </c>
      <c r="D8771" t="s">
        <v>2017</v>
      </c>
      <c r="E8771" t="s">
        <v>2305</v>
      </c>
      <c r="F8771">
        <v>606335</v>
      </c>
    </row>
    <row r="8772" spans="1:6">
      <c r="A8772" t="s">
        <v>13</v>
      </c>
      <c r="B8772" t="s">
        <v>234</v>
      </c>
      <c r="C8772" t="s">
        <v>846</v>
      </c>
      <c r="D8772" t="s">
        <v>2017</v>
      </c>
      <c r="E8772" t="s">
        <v>2306</v>
      </c>
      <c r="F8772">
        <v>603896</v>
      </c>
    </row>
    <row r="8773" spans="1:6">
      <c r="A8773" t="s">
        <v>13</v>
      </c>
      <c r="B8773" t="s">
        <v>234</v>
      </c>
      <c r="C8773" t="s">
        <v>846</v>
      </c>
      <c r="D8773" t="s">
        <v>2017</v>
      </c>
      <c r="E8773" t="s">
        <v>2307</v>
      </c>
      <c r="F8773">
        <v>601561</v>
      </c>
    </row>
    <row r="8774" spans="1:6">
      <c r="A8774" t="s">
        <v>13</v>
      </c>
      <c r="B8774" t="s">
        <v>234</v>
      </c>
      <c r="C8774" t="s">
        <v>846</v>
      </c>
      <c r="D8774" t="s">
        <v>2017</v>
      </c>
      <c r="E8774" t="s">
        <v>2308</v>
      </c>
      <c r="F8774">
        <v>617159</v>
      </c>
    </row>
    <row r="8775" spans="1:6">
      <c r="A8775" t="s">
        <v>13</v>
      </c>
      <c r="B8775" t="s">
        <v>234</v>
      </c>
      <c r="C8775" t="s">
        <v>846</v>
      </c>
      <c r="D8775" t="s">
        <v>2017</v>
      </c>
      <c r="E8775" t="s">
        <v>2309</v>
      </c>
      <c r="F8775">
        <v>617335</v>
      </c>
    </row>
    <row r="8776" spans="1:6">
      <c r="A8776" t="s">
        <v>13</v>
      </c>
      <c r="B8776" t="s">
        <v>234</v>
      </c>
      <c r="C8776" t="s">
        <v>846</v>
      </c>
      <c r="D8776" t="s">
        <v>2017</v>
      </c>
      <c r="E8776" t="s">
        <v>2310</v>
      </c>
      <c r="F8776">
        <v>615534</v>
      </c>
    </row>
    <row r="8777" spans="1:6">
      <c r="A8777" t="s">
        <v>13</v>
      </c>
      <c r="B8777" t="s">
        <v>234</v>
      </c>
      <c r="C8777" t="s">
        <v>846</v>
      </c>
      <c r="D8777" t="s">
        <v>2017</v>
      </c>
      <c r="E8777" t="s">
        <v>2311</v>
      </c>
      <c r="F8777">
        <v>613684</v>
      </c>
    </row>
    <row r="8778" spans="1:6">
      <c r="A8778" t="s">
        <v>13</v>
      </c>
      <c r="B8778" t="s">
        <v>234</v>
      </c>
      <c r="C8778" t="s">
        <v>846</v>
      </c>
      <c r="D8778" t="s">
        <v>2017</v>
      </c>
      <c r="E8778" t="s">
        <v>2312</v>
      </c>
      <c r="F8778">
        <v>612344</v>
      </c>
    </row>
    <row r="8779" spans="1:6">
      <c r="A8779" t="s">
        <v>13</v>
      </c>
      <c r="B8779" t="s">
        <v>234</v>
      </c>
      <c r="C8779" t="s">
        <v>846</v>
      </c>
      <c r="D8779" t="s">
        <v>2017</v>
      </c>
      <c r="E8779" t="s">
        <v>2313</v>
      </c>
      <c r="F8779">
        <v>609807</v>
      </c>
    </row>
    <row r="8780" spans="1:6">
      <c r="A8780" t="s">
        <v>13</v>
      </c>
      <c r="B8780" t="s">
        <v>234</v>
      </c>
      <c r="C8780" t="s">
        <v>846</v>
      </c>
      <c r="D8780" t="s">
        <v>2017</v>
      </c>
      <c r="E8780" t="s">
        <v>2314</v>
      </c>
      <c r="F8780">
        <v>607567</v>
      </c>
    </row>
    <row r="8781" spans="1:6">
      <c r="A8781" t="s">
        <v>13</v>
      </c>
      <c r="B8781" t="s">
        <v>234</v>
      </c>
      <c r="C8781" t="s">
        <v>846</v>
      </c>
      <c r="D8781" t="s">
        <v>2017</v>
      </c>
      <c r="E8781" t="s">
        <v>2315</v>
      </c>
      <c r="F8781">
        <v>338565</v>
      </c>
    </row>
    <row r="8782" spans="1:6">
      <c r="A8782" t="s">
        <v>13</v>
      </c>
      <c r="B8782" t="s">
        <v>234</v>
      </c>
      <c r="C8782" t="s">
        <v>846</v>
      </c>
      <c r="D8782" t="s">
        <v>2017</v>
      </c>
      <c r="E8782" t="s">
        <v>2316</v>
      </c>
      <c r="F8782">
        <v>336552</v>
      </c>
    </row>
    <row r="8783" spans="1:6">
      <c r="A8783" t="s">
        <v>13</v>
      </c>
      <c r="B8783" t="s">
        <v>234</v>
      </c>
      <c r="C8783" t="s">
        <v>846</v>
      </c>
      <c r="D8783" t="s">
        <v>2017</v>
      </c>
      <c r="E8783" t="s">
        <v>1887</v>
      </c>
      <c r="F8783">
        <v>2002</v>
      </c>
    </row>
    <row r="8784" spans="1:6">
      <c r="A8784" t="s">
        <v>13</v>
      </c>
      <c r="B8784" t="s">
        <v>234</v>
      </c>
      <c r="C8784" t="s">
        <v>846</v>
      </c>
      <c r="D8784" t="s">
        <v>2017</v>
      </c>
      <c r="E8784" t="s">
        <v>1888</v>
      </c>
      <c r="F8784">
        <v>2</v>
      </c>
    </row>
    <row r="8785" spans="1:6">
      <c r="A8785" t="s">
        <v>13</v>
      </c>
      <c r="B8785" t="s">
        <v>234</v>
      </c>
      <c r="C8785" t="s">
        <v>846</v>
      </c>
      <c r="D8785" t="s">
        <v>2017</v>
      </c>
      <c r="E8785" t="s">
        <v>1889</v>
      </c>
      <c r="F8785">
        <v>2</v>
      </c>
    </row>
    <row r="8786" spans="1:6">
      <c r="A8786" t="s">
        <v>13</v>
      </c>
      <c r="B8786" t="s">
        <v>234</v>
      </c>
      <c r="C8786" t="s">
        <v>846</v>
      </c>
      <c r="D8786" t="s">
        <v>2017</v>
      </c>
      <c r="E8786" t="s">
        <v>1745</v>
      </c>
      <c r="F8786">
        <v>2</v>
      </c>
    </row>
    <row r="8787" spans="1:6">
      <c r="A8787" t="s">
        <v>13</v>
      </c>
      <c r="B8787" t="s">
        <v>234</v>
      </c>
      <c r="C8787" t="s">
        <v>846</v>
      </c>
      <c r="D8787" t="s">
        <v>2017</v>
      </c>
      <c r="E8787" t="s">
        <v>1890</v>
      </c>
      <c r="F8787">
        <v>2</v>
      </c>
    </row>
    <row r="8788" spans="1:6">
      <c r="A8788" t="s">
        <v>13</v>
      </c>
      <c r="B8788" t="s">
        <v>234</v>
      </c>
      <c r="C8788" t="s">
        <v>846</v>
      </c>
      <c r="D8788" t="s">
        <v>2017</v>
      </c>
      <c r="E8788" t="s">
        <v>2317</v>
      </c>
      <c r="F8788">
        <v>2</v>
      </c>
    </row>
    <row r="8789" spans="1:6">
      <c r="A8789" t="s">
        <v>13</v>
      </c>
      <c r="B8789" t="s">
        <v>234</v>
      </c>
      <c r="C8789" t="s">
        <v>846</v>
      </c>
      <c r="D8789" t="s">
        <v>2017</v>
      </c>
      <c r="E8789" t="s">
        <v>2318</v>
      </c>
      <c r="F8789">
        <v>2</v>
      </c>
    </row>
    <row r="8790" spans="1:6">
      <c r="A8790" t="s">
        <v>13</v>
      </c>
      <c r="B8790" t="s">
        <v>234</v>
      </c>
      <c r="C8790" t="s">
        <v>846</v>
      </c>
      <c r="D8790" t="s">
        <v>2017</v>
      </c>
      <c r="E8790" t="s">
        <v>2319</v>
      </c>
      <c r="F8790">
        <v>2</v>
      </c>
    </row>
    <row r="8791" spans="1:6">
      <c r="A8791" t="s">
        <v>13</v>
      </c>
      <c r="B8791" t="s">
        <v>234</v>
      </c>
      <c r="C8791" t="s">
        <v>846</v>
      </c>
      <c r="D8791" t="s">
        <v>2017</v>
      </c>
      <c r="E8791" t="s">
        <v>2320</v>
      </c>
      <c r="F8791">
        <v>2</v>
      </c>
    </row>
    <row r="8792" spans="1:6">
      <c r="A8792" t="s">
        <v>13</v>
      </c>
      <c r="B8792" t="s">
        <v>234</v>
      </c>
      <c r="C8792" t="s">
        <v>846</v>
      </c>
      <c r="D8792" t="s">
        <v>2017</v>
      </c>
      <c r="E8792" t="s">
        <v>2321</v>
      </c>
      <c r="F8792">
        <v>2</v>
      </c>
    </row>
    <row r="8793" spans="1:6">
      <c r="A8793" t="s">
        <v>13</v>
      </c>
      <c r="B8793" t="s">
        <v>234</v>
      </c>
      <c r="C8793" t="s">
        <v>846</v>
      </c>
      <c r="D8793" t="s">
        <v>2017</v>
      </c>
      <c r="E8793" t="s">
        <v>2322</v>
      </c>
      <c r="F8793">
        <v>2</v>
      </c>
    </row>
    <row r="8794" spans="1:6">
      <c r="A8794" t="s">
        <v>13</v>
      </c>
      <c r="B8794" t="s">
        <v>234</v>
      </c>
      <c r="C8794" t="s">
        <v>846</v>
      </c>
      <c r="D8794" t="s">
        <v>2017</v>
      </c>
      <c r="E8794" t="s">
        <v>2323</v>
      </c>
      <c r="F8794">
        <v>2</v>
      </c>
    </row>
    <row r="8795" spans="1:6">
      <c r="A8795" t="s">
        <v>13</v>
      </c>
      <c r="B8795" t="s">
        <v>234</v>
      </c>
      <c r="C8795" t="s">
        <v>846</v>
      </c>
      <c r="D8795" t="s">
        <v>2017</v>
      </c>
      <c r="E8795" t="s">
        <v>2324</v>
      </c>
      <c r="F8795">
        <v>2</v>
      </c>
    </row>
    <row r="8796" spans="1:6">
      <c r="A8796" t="s">
        <v>13</v>
      </c>
      <c r="B8796" t="s">
        <v>234</v>
      </c>
      <c r="C8796" t="s">
        <v>846</v>
      </c>
      <c r="D8796" t="s">
        <v>2017</v>
      </c>
      <c r="E8796" t="s">
        <v>2325</v>
      </c>
      <c r="F8796">
        <v>2</v>
      </c>
    </row>
    <row r="8797" spans="1:6">
      <c r="A8797" t="s">
        <v>13</v>
      </c>
      <c r="B8797" t="s">
        <v>234</v>
      </c>
      <c r="C8797" t="s">
        <v>846</v>
      </c>
      <c r="D8797" t="s">
        <v>2017</v>
      </c>
      <c r="E8797" t="s">
        <v>2326</v>
      </c>
      <c r="F8797">
        <v>2</v>
      </c>
    </row>
    <row r="8798" spans="1:6">
      <c r="A8798" t="s">
        <v>13</v>
      </c>
      <c r="B8798" t="s">
        <v>234</v>
      </c>
      <c r="C8798" t="s">
        <v>846</v>
      </c>
      <c r="D8798" t="s">
        <v>2017</v>
      </c>
      <c r="E8798" t="s">
        <v>2327</v>
      </c>
      <c r="F8798">
        <v>2</v>
      </c>
    </row>
    <row r="8799" spans="1:6">
      <c r="A8799" t="s">
        <v>13</v>
      </c>
      <c r="B8799" t="s">
        <v>234</v>
      </c>
      <c r="C8799" t="s">
        <v>846</v>
      </c>
      <c r="D8799" t="s">
        <v>2017</v>
      </c>
      <c r="E8799" t="s">
        <v>2328</v>
      </c>
      <c r="F8799">
        <v>2</v>
      </c>
    </row>
    <row r="8800" spans="1:6">
      <c r="A8800" t="s">
        <v>13</v>
      </c>
      <c r="B8800" t="s">
        <v>234</v>
      </c>
      <c r="C8800" t="s">
        <v>846</v>
      </c>
      <c r="D8800" t="s">
        <v>2017</v>
      </c>
      <c r="E8800" t="s">
        <v>2329</v>
      </c>
      <c r="F8800">
        <v>2</v>
      </c>
    </row>
    <row r="8801" spans="1:6">
      <c r="A8801" t="s">
        <v>13</v>
      </c>
      <c r="B8801" t="s">
        <v>234</v>
      </c>
      <c r="C8801" t="s">
        <v>846</v>
      </c>
      <c r="D8801" t="s">
        <v>2017</v>
      </c>
      <c r="E8801" t="s">
        <v>2330</v>
      </c>
      <c r="F8801">
        <v>2</v>
      </c>
    </row>
    <row r="8802" spans="1:6">
      <c r="A8802" t="s">
        <v>13</v>
      </c>
      <c r="B8802" t="s">
        <v>234</v>
      </c>
      <c r="C8802" t="s">
        <v>846</v>
      </c>
      <c r="D8802" t="s">
        <v>2017</v>
      </c>
      <c r="E8802" t="s">
        <v>1894</v>
      </c>
      <c r="F8802">
        <v>2003</v>
      </c>
    </row>
    <row r="8803" spans="1:6">
      <c r="A8803" t="s">
        <v>13</v>
      </c>
      <c r="B8803" t="s">
        <v>234</v>
      </c>
      <c r="C8803" t="s">
        <v>846</v>
      </c>
      <c r="D8803" t="s">
        <v>2017</v>
      </c>
      <c r="E8803" t="s">
        <v>1895</v>
      </c>
      <c r="F8803">
        <v>248</v>
      </c>
    </row>
    <row r="8804" spans="1:6">
      <c r="A8804" t="s">
        <v>13</v>
      </c>
      <c r="B8804" t="s">
        <v>234</v>
      </c>
      <c r="C8804" t="s">
        <v>846</v>
      </c>
      <c r="D8804" t="s">
        <v>2017</v>
      </c>
      <c r="E8804" t="s">
        <v>1896</v>
      </c>
      <c r="F8804">
        <v>246</v>
      </c>
    </row>
    <row r="8805" spans="1:6">
      <c r="A8805" t="s">
        <v>13</v>
      </c>
      <c r="B8805" t="s">
        <v>234</v>
      </c>
      <c r="C8805" t="s">
        <v>846</v>
      </c>
      <c r="D8805" t="s">
        <v>2017</v>
      </c>
      <c r="E8805" t="s">
        <v>1746</v>
      </c>
      <c r="F8805">
        <v>244</v>
      </c>
    </row>
    <row r="8806" spans="1:6">
      <c r="A8806" t="s">
        <v>13</v>
      </c>
      <c r="B8806" t="s">
        <v>234</v>
      </c>
      <c r="C8806" t="s">
        <v>846</v>
      </c>
      <c r="D8806" t="s">
        <v>2017</v>
      </c>
      <c r="E8806" t="s">
        <v>1897</v>
      </c>
      <c r="F8806">
        <v>244</v>
      </c>
    </row>
    <row r="8807" spans="1:6">
      <c r="A8807" t="s">
        <v>13</v>
      </c>
      <c r="B8807" t="s">
        <v>234</v>
      </c>
      <c r="C8807" t="s">
        <v>846</v>
      </c>
      <c r="D8807" t="s">
        <v>2017</v>
      </c>
      <c r="E8807" t="s">
        <v>2331</v>
      </c>
      <c r="F8807">
        <v>244</v>
      </c>
    </row>
    <row r="8808" spans="1:6">
      <c r="A8808" t="s">
        <v>13</v>
      </c>
      <c r="B8808" t="s">
        <v>234</v>
      </c>
      <c r="C8808" t="s">
        <v>846</v>
      </c>
      <c r="D8808" t="s">
        <v>2017</v>
      </c>
      <c r="E8808" t="s">
        <v>2332</v>
      </c>
      <c r="F8808">
        <v>244</v>
      </c>
    </row>
    <row r="8809" spans="1:6">
      <c r="A8809" t="s">
        <v>13</v>
      </c>
      <c r="B8809" t="s">
        <v>234</v>
      </c>
      <c r="C8809" t="s">
        <v>846</v>
      </c>
      <c r="D8809" t="s">
        <v>2017</v>
      </c>
      <c r="E8809" t="s">
        <v>2333</v>
      </c>
      <c r="F8809">
        <v>244</v>
      </c>
    </row>
    <row r="8810" spans="1:6">
      <c r="A8810" t="s">
        <v>13</v>
      </c>
      <c r="B8810" t="s">
        <v>234</v>
      </c>
      <c r="C8810" t="s">
        <v>846</v>
      </c>
      <c r="D8810" t="s">
        <v>2017</v>
      </c>
      <c r="E8810" t="s">
        <v>2334</v>
      </c>
      <c r="F8810">
        <v>244</v>
      </c>
    </row>
    <row r="8811" spans="1:6">
      <c r="A8811" t="s">
        <v>13</v>
      </c>
      <c r="B8811" t="s">
        <v>234</v>
      </c>
      <c r="C8811" t="s">
        <v>846</v>
      </c>
      <c r="D8811" t="s">
        <v>2017</v>
      </c>
      <c r="E8811" t="s">
        <v>2335</v>
      </c>
      <c r="F8811">
        <v>244</v>
      </c>
    </row>
    <row r="8812" spans="1:6">
      <c r="A8812" t="s">
        <v>13</v>
      </c>
      <c r="B8812" t="s">
        <v>234</v>
      </c>
      <c r="C8812" t="s">
        <v>846</v>
      </c>
      <c r="D8812" t="s">
        <v>2017</v>
      </c>
      <c r="E8812" t="s">
        <v>2336</v>
      </c>
      <c r="F8812">
        <v>244</v>
      </c>
    </row>
    <row r="8813" spans="1:6">
      <c r="A8813" t="s">
        <v>13</v>
      </c>
      <c r="B8813" t="s">
        <v>234</v>
      </c>
      <c r="C8813" t="s">
        <v>846</v>
      </c>
      <c r="D8813" t="s">
        <v>2017</v>
      </c>
      <c r="E8813" t="s">
        <v>2337</v>
      </c>
      <c r="F8813">
        <v>244</v>
      </c>
    </row>
    <row r="8814" spans="1:6">
      <c r="A8814" t="s">
        <v>13</v>
      </c>
      <c r="B8814" t="s">
        <v>234</v>
      </c>
      <c r="C8814" t="s">
        <v>846</v>
      </c>
      <c r="D8814" t="s">
        <v>2017</v>
      </c>
      <c r="E8814" t="s">
        <v>2338</v>
      </c>
      <c r="F8814">
        <v>244</v>
      </c>
    </row>
    <row r="8815" spans="1:6">
      <c r="A8815" t="s">
        <v>13</v>
      </c>
      <c r="B8815" t="s">
        <v>234</v>
      </c>
      <c r="C8815" t="s">
        <v>846</v>
      </c>
      <c r="D8815" t="s">
        <v>2017</v>
      </c>
      <c r="E8815" t="s">
        <v>2339</v>
      </c>
      <c r="F8815">
        <v>244</v>
      </c>
    </row>
    <row r="8816" spans="1:6">
      <c r="A8816" t="s">
        <v>13</v>
      </c>
      <c r="B8816" t="s">
        <v>234</v>
      </c>
      <c r="C8816" t="s">
        <v>846</v>
      </c>
      <c r="D8816" t="s">
        <v>2017</v>
      </c>
      <c r="E8816" t="s">
        <v>2340</v>
      </c>
      <c r="F8816">
        <v>244</v>
      </c>
    </row>
    <row r="8817" spans="1:6">
      <c r="A8817" t="s">
        <v>13</v>
      </c>
      <c r="B8817" t="s">
        <v>234</v>
      </c>
      <c r="C8817" t="s">
        <v>846</v>
      </c>
      <c r="D8817" t="s">
        <v>2017</v>
      </c>
      <c r="E8817" t="s">
        <v>2341</v>
      </c>
      <c r="F8817">
        <v>244</v>
      </c>
    </row>
    <row r="8818" spans="1:6">
      <c r="A8818" t="s">
        <v>13</v>
      </c>
      <c r="B8818" t="s">
        <v>234</v>
      </c>
      <c r="C8818" t="s">
        <v>846</v>
      </c>
      <c r="D8818" t="s">
        <v>2017</v>
      </c>
      <c r="E8818" t="s">
        <v>2342</v>
      </c>
      <c r="F8818">
        <v>244</v>
      </c>
    </row>
    <row r="8819" spans="1:6">
      <c r="A8819" t="s">
        <v>13</v>
      </c>
      <c r="B8819" t="s">
        <v>234</v>
      </c>
      <c r="C8819" t="s">
        <v>846</v>
      </c>
      <c r="D8819" t="s">
        <v>2017</v>
      </c>
      <c r="E8819" t="s">
        <v>2343</v>
      </c>
      <c r="F8819">
        <v>232</v>
      </c>
    </row>
    <row r="8820" spans="1:6">
      <c r="A8820" t="s">
        <v>13</v>
      </c>
      <c r="B8820" t="s">
        <v>234</v>
      </c>
      <c r="C8820" t="s">
        <v>846</v>
      </c>
      <c r="D8820" t="s">
        <v>2017</v>
      </c>
      <c r="E8820" t="s">
        <v>2344</v>
      </c>
      <c r="F8820">
        <v>232</v>
      </c>
    </row>
    <row r="8821" spans="1:6">
      <c r="A8821" t="s">
        <v>13</v>
      </c>
      <c r="B8821" t="s">
        <v>234</v>
      </c>
      <c r="C8821" t="s">
        <v>846</v>
      </c>
      <c r="D8821" t="s">
        <v>2017</v>
      </c>
      <c r="E8821" t="s">
        <v>1901</v>
      </c>
      <c r="F8821">
        <v>2004</v>
      </c>
    </row>
    <row r="8822" spans="1:6">
      <c r="A8822" t="s">
        <v>13</v>
      </c>
      <c r="B8822" t="s">
        <v>234</v>
      </c>
      <c r="C8822" t="s">
        <v>846</v>
      </c>
      <c r="D8822" t="s">
        <v>2017</v>
      </c>
      <c r="E8822" t="s">
        <v>1902</v>
      </c>
      <c r="F8822">
        <v>908</v>
      </c>
    </row>
    <row r="8823" spans="1:6">
      <c r="A8823" t="s">
        <v>13</v>
      </c>
      <c r="B8823" t="s">
        <v>234</v>
      </c>
      <c r="C8823" t="s">
        <v>846</v>
      </c>
      <c r="D8823" t="s">
        <v>2017</v>
      </c>
      <c r="E8823" t="s">
        <v>1903</v>
      </c>
      <c r="F8823">
        <v>893</v>
      </c>
    </row>
    <row r="8824" spans="1:6">
      <c r="A8824" t="s">
        <v>13</v>
      </c>
      <c r="B8824" t="s">
        <v>234</v>
      </c>
      <c r="C8824" t="s">
        <v>846</v>
      </c>
      <c r="D8824" t="s">
        <v>2017</v>
      </c>
      <c r="E8824" t="s">
        <v>1747</v>
      </c>
      <c r="F8824">
        <v>887</v>
      </c>
    </row>
    <row r="8825" spans="1:6">
      <c r="A8825" t="s">
        <v>13</v>
      </c>
      <c r="B8825" t="s">
        <v>234</v>
      </c>
      <c r="C8825" t="s">
        <v>846</v>
      </c>
      <c r="D8825" t="s">
        <v>2017</v>
      </c>
      <c r="E8825" t="s">
        <v>1904</v>
      </c>
      <c r="F8825">
        <v>887</v>
      </c>
    </row>
    <row r="8826" spans="1:6">
      <c r="A8826" t="s">
        <v>13</v>
      </c>
      <c r="B8826" t="s">
        <v>234</v>
      </c>
      <c r="C8826" t="s">
        <v>846</v>
      </c>
      <c r="D8826" t="s">
        <v>2017</v>
      </c>
      <c r="E8826" t="s">
        <v>2345</v>
      </c>
      <c r="F8826">
        <v>887</v>
      </c>
    </row>
    <row r="8827" spans="1:6">
      <c r="A8827" t="s">
        <v>13</v>
      </c>
      <c r="B8827" t="s">
        <v>234</v>
      </c>
      <c r="C8827" t="s">
        <v>846</v>
      </c>
      <c r="D8827" t="s">
        <v>2017</v>
      </c>
      <c r="E8827" t="s">
        <v>2346</v>
      </c>
      <c r="F8827">
        <v>887</v>
      </c>
    </row>
    <row r="8828" spans="1:6">
      <c r="A8828" t="s">
        <v>13</v>
      </c>
      <c r="B8828" t="s">
        <v>234</v>
      </c>
      <c r="C8828" t="s">
        <v>846</v>
      </c>
      <c r="D8828" t="s">
        <v>2017</v>
      </c>
      <c r="E8828" t="s">
        <v>2347</v>
      </c>
      <c r="F8828">
        <v>887</v>
      </c>
    </row>
    <row r="8829" spans="1:6">
      <c r="A8829" t="s">
        <v>13</v>
      </c>
      <c r="B8829" t="s">
        <v>234</v>
      </c>
      <c r="C8829" t="s">
        <v>846</v>
      </c>
      <c r="D8829" t="s">
        <v>2017</v>
      </c>
      <c r="E8829" t="s">
        <v>2348</v>
      </c>
      <c r="F8829">
        <v>887</v>
      </c>
    </row>
    <row r="8830" spans="1:6">
      <c r="A8830" t="s">
        <v>13</v>
      </c>
      <c r="B8830" t="s">
        <v>234</v>
      </c>
      <c r="C8830" t="s">
        <v>846</v>
      </c>
      <c r="D8830" t="s">
        <v>2017</v>
      </c>
      <c r="E8830" t="s">
        <v>2349</v>
      </c>
      <c r="F8830">
        <v>887</v>
      </c>
    </row>
    <row r="8831" spans="1:6">
      <c r="A8831" t="s">
        <v>13</v>
      </c>
      <c r="B8831" t="s">
        <v>234</v>
      </c>
      <c r="C8831" t="s">
        <v>846</v>
      </c>
      <c r="D8831" t="s">
        <v>2017</v>
      </c>
      <c r="E8831" t="s">
        <v>2350</v>
      </c>
      <c r="F8831">
        <v>887</v>
      </c>
    </row>
    <row r="8832" spans="1:6">
      <c r="A8832" t="s">
        <v>13</v>
      </c>
      <c r="B8832" t="s">
        <v>234</v>
      </c>
      <c r="C8832" t="s">
        <v>846</v>
      </c>
      <c r="D8832" t="s">
        <v>2017</v>
      </c>
      <c r="E8832" t="s">
        <v>2351</v>
      </c>
      <c r="F8832">
        <v>887</v>
      </c>
    </row>
    <row r="8833" spans="1:6">
      <c r="A8833" t="s">
        <v>13</v>
      </c>
      <c r="B8833" t="s">
        <v>234</v>
      </c>
      <c r="C8833" t="s">
        <v>846</v>
      </c>
      <c r="D8833" t="s">
        <v>2017</v>
      </c>
      <c r="E8833" t="s">
        <v>2352</v>
      </c>
      <c r="F8833">
        <v>887</v>
      </c>
    </row>
    <row r="8834" spans="1:6">
      <c r="A8834" t="s">
        <v>13</v>
      </c>
      <c r="B8834" t="s">
        <v>234</v>
      </c>
      <c r="C8834" t="s">
        <v>846</v>
      </c>
      <c r="D8834" t="s">
        <v>2017</v>
      </c>
      <c r="E8834" t="s">
        <v>2353</v>
      </c>
      <c r="F8834">
        <v>887</v>
      </c>
    </row>
    <row r="8835" spans="1:6">
      <c r="A8835" t="s">
        <v>13</v>
      </c>
      <c r="B8835" t="s">
        <v>234</v>
      </c>
      <c r="C8835" t="s">
        <v>846</v>
      </c>
      <c r="D8835" t="s">
        <v>2017</v>
      </c>
      <c r="E8835" t="s">
        <v>2354</v>
      </c>
      <c r="F8835">
        <v>887</v>
      </c>
    </row>
    <row r="8836" spans="1:6">
      <c r="A8836" t="s">
        <v>13</v>
      </c>
      <c r="B8836" t="s">
        <v>234</v>
      </c>
      <c r="C8836" t="s">
        <v>846</v>
      </c>
      <c r="D8836" t="s">
        <v>2017</v>
      </c>
      <c r="E8836" t="s">
        <v>2355</v>
      </c>
      <c r="F8836">
        <v>887</v>
      </c>
    </row>
    <row r="8837" spans="1:6">
      <c r="A8837" t="s">
        <v>13</v>
      </c>
      <c r="B8837" t="s">
        <v>234</v>
      </c>
      <c r="C8837" t="s">
        <v>846</v>
      </c>
      <c r="D8837" t="s">
        <v>2017</v>
      </c>
      <c r="E8837" t="s">
        <v>2356</v>
      </c>
      <c r="F8837">
        <v>887</v>
      </c>
    </row>
    <row r="8838" spans="1:6">
      <c r="A8838" t="s">
        <v>13</v>
      </c>
      <c r="B8838" t="s">
        <v>234</v>
      </c>
      <c r="C8838" t="s">
        <v>846</v>
      </c>
      <c r="D8838" t="s">
        <v>2017</v>
      </c>
      <c r="E8838" t="s">
        <v>2357</v>
      </c>
      <c r="F8838">
        <v>851</v>
      </c>
    </row>
    <row r="8839" spans="1:6">
      <c r="A8839" t="s">
        <v>13</v>
      </c>
      <c r="B8839" t="s">
        <v>234</v>
      </c>
      <c r="C8839" t="s">
        <v>846</v>
      </c>
      <c r="D8839" t="s">
        <v>2017</v>
      </c>
      <c r="E8839" t="s">
        <v>2358</v>
      </c>
      <c r="F8839">
        <v>851</v>
      </c>
    </row>
    <row r="8840" spans="1:6">
      <c r="A8840" t="s">
        <v>13</v>
      </c>
      <c r="B8840" t="s">
        <v>234</v>
      </c>
      <c r="C8840" t="s">
        <v>846</v>
      </c>
      <c r="D8840" t="s">
        <v>2017</v>
      </c>
      <c r="E8840" t="s">
        <v>1908</v>
      </c>
      <c r="F8840">
        <v>2005</v>
      </c>
    </row>
    <row r="8841" spans="1:6">
      <c r="A8841" t="s">
        <v>13</v>
      </c>
      <c r="B8841" t="s">
        <v>234</v>
      </c>
      <c r="C8841" t="s">
        <v>846</v>
      </c>
      <c r="D8841" t="s">
        <v>2017</v>
      </c>
      <c r="E8841" t="s">
        <v>1909</v>
      </c>
      <c r="F8841">
        <v>579</v>
      </c>
    </row>
    <row r="8842" spans="1:6">
      <c r="A8842" t="s">
        <v>13</v>
      </c>
      <c r="B8842" t="s">
        <v>234</v>
      </c>
      <c r="C8842" t="s">
        <v>846</v>
      </c>
      <c r="D8842" t="s">
        <v>2017</v>
      </c>
      <c r="E8842" t="s">
        <v>1910</v>
      </c>
      <c r="F8842">
        <v>533</v>
      </c>
    </row>
    <row r="8843" spans="1:6">
      <c r="A8843" t="s">
        <v>13</v>
      </c>
      <c r="B8843" t="s">
        <v>234</v>
      </c>
      <c r="C8843" t="s">
        <v>846</v>
      </c>
      <c r="D8843" t="s">
        <v>2017</v>
      </c>
      <c r="E8843" t="s">
        <v>1911</v>
      </c>
      <c r="F8843">
        <v>499</v>
      </c>
    </row>
    <row r="8844" spans="1:6">
      <c r="A8844" t="s">
        <v>13</v>
      </c>
      <c r="B8844" t="s">
        <v>234</v>
      </c>
      <c r="C8844" t="s">
        <v>846</v>
      </c>
      <c r="D8844" t="s">
        <v>2017</v>
      </c>
      <c r="E8844" t="s">
        <v>1912</v>
      </c>
      <c r="F8844">
        <v>497</v>
      </c>
    </row>
    <row r="8845" spans="1:6">
      <c r="A8845" t="s">
        <v>13</v>
      </c>
      <c r="B8845" t="s">
        <v>234</v>
      </c>
      <c r="C8845" t="s">
        <v>846</v>
      </c>
      <c r="D8845" t="s">
        <v>2017</v>
      </c>
      <c r="E8845" t="s">
        <v>2359</v>
      </c>
      <c r="F8845">
        <v>497</v>
      </c>
    </row>
    <row r="8846" spans="1:6">
      <c r="A8846" t="s">
        <v>13</v>
      </c>
      <c r="B8846" t="s">
        <v>234</v>
      </c>
      <c r="C8846" t="s">
        <v>846</v>
      </c>
      <c r="D8846" t="s">
        <v>2017</v>
      </c>
      <c r="E8846" t="s">
        <v>2360</v>
      </c>
      <c r="F8846">
        <v>494</v>
      </c>
    </row>
    <row r="8847" spans="1:6">
      <c r="A8847" t="s">
        <v>13</v>
      </c>
      <c r="B8847" t="s">
        <v>234</v>
      </c>
      <c r="C8847" t="s">
        <v>846</v>
      </c>
      <c r="D8847" t="s">
        <v>2017</v>
      </c>
      <c r="E8847" t="s">
        <v>2361</v>
      </c>
      <c r="F8847">
        <v>494</v>
      </c>
    </row>
    <row r="8848" spans="1:6">
      <c r="A8848" t="s">
        <v>13</v>
      </c>
      <c r="B8848" t="s">
        <v>234</v>
      </c>
      <c r="C8848" t="s">
        <v>846</v>
      </c>
      <c r="D8848" t="s">
        <v>2017</v>
      </c>
      <c r="E8848" t="s">
        <v>2362</v>
      </c>
      <c r="F8848">
        <v>494</v>
      </c>
    </row>
    <row r="8849" spans="1:6">
      <c r="A8849" t="s">
        <v>13</v>
      </c>
      <c r="B8849" t="s">
        <v>234</v>
      </c>
      <c r="C8849" t="s">
        <v>846</v>
      </c>
      <c r="D8849" t="s">
        <v>2017</v>
      </c>
      <c r="E8849" t="s">
        <v>2363</v>
      </c>
      <c r="F8849">
        <v>494</v>
      </c>
    </row>
    <row r="8850" spans="1:6">
      <c r="A8850" t="s">
        <v>13</v>
      </c>
      <c r="B8850" t="s">
        <v>234</v>
      </c>
      <c r="C8850" t="s">
        <v>846</v>
      </c>
      <c r="D8850" t="s">
        <v>2017</v>
      </c>
      <c r="E8850" t="s">
        <v>2364</v>
      </c>
      <c r="F8850">
        <v>494</v>
      </c>
    </row>
    <row r="8851" spans="1:6">
      <c r="A8851" t="s">
        <v>13</v>
      </c>
      <c r="B8851" t="s">
        <v>234</v>
      </c>
      <c r="C8851" t="s">
        <v>846</v>
      </c>
      <c r="D8851" t="s">
        <v>2017</v>
      </c>
      <c r="E8851" t="s">
        <v>2365</v>
      </c>
      <c r="F8851">
        <v>493</v>
      </c>
    </row>
    <row r="8852" spans="1:6">
      <c r="A8852" t="s">
        <v>13</v>
      </c>
      <c r="B8852" t="s">
        <v>234</v>
      </c>
      <c r="C8852" t="s">
        <v>846</v>
      </c>
      <c r="D8852" t="s">
        <v>2017</v>
      </c>
      <c r="E8852" t="s">
        <v>2366</v>
      </c>
      <c r="F8852">
        <v>492</v>
      </c>
    </row>
    <row r="8853" spans="1:6">
      <c r="A8853" t="s">
        <v>13</v>
      </c>
      <c r="B8853" t="s">
        <v>234</v>
      </c>
      <c r="C8853" t="s">
        <v>846</v>
      </c>
      <c r="D8853" t="s">
        <v>2017</v>
      </c>
      <c r="E8853" t="s">
        <v>2367</v>
      </c>
      <c r="F8853">
        <v>492</v>
      </c>
    </row>
    <row r="8854" spans="1:6">
      <c r="A8854" t="s">
        <v>13</v>
      </c>
      <c r="B8854" t="s">
        <v>234</v>
      </c>
      <c r="C8854" t="s">
        <v>846</v>
      </c>
      <c r="D8854" t="s">
        <v>2017</v>
      </c>
      <c r="E8854" t="s">
        <v>2368</v>
      </c>
      <c r="F8854">
        <v>492</v>
      </c>
    </row>
    <row r="8855" spans="1:6">
      <c r="A8855" t="s">
        <v>13</v>
      </c>
      <c r="B8855" t="s">
        <v>234</v>
      </c>
      <c r="C8855" t="s">
        <v>846</v>
      </c>
      <c r="D8855" t="s">
        <v>2017</v>
      </c>
      <c r="E8855" t="s">
        <v>2369</v>
      </c>
      <c r="F8855">
        <v>491</v>
      </c>
    </row>
    <row r="8856" spans="1:6">
      <c r="A8856" t="s">
        <v>13</v>
      </c>
      <c r="B8856" t="s">
        <v>234</v>
      </c>
      <c r="C8856" t="s">
        <v>846</v>
      </c>
      <c r="D8856" t="s">
        <v>2017</v>
      </c>
      <c r="E8856" t="s">
        <v>2370</v>
      </c>
      <c r="F8856">
        <v>491</v>
      </c>
    </row>
    <row r="8857" spans="1:6">
      <c r="A8857" t="s">
        <v>13</v>
      </c>
      <c r="B8857" t="s">
        <v>234</v>
      </c>
      <c r="C8857" t="s">
        <v>846</v>
      </c>
      <c r="D8857" t="s">
        <v>2017</v>
      </c>
      <c r="E8857" t="s">
        <v>2371</v>
      </c>
      <c r="F8857">
        <v>299</v>
      </c>
    </row>
    <row r="8858" spans="1:6">
      <c r="A8858" t="s">
        <v>13</v>
      </c>
      <c r="B8858" t="s">
        <v>234</v>
      </c>
      <c r="C8858" t="s">
        <v>846</v>
      </c>
      <c r="D8858" t="s">
        <v>2017</v>
      </c>
      <c r="E8858" t="s">
        <v>2372</v>
      </c>
      <c r="F8858">
        <v>299</v>
      </c>
    </row>
    <row r="8859" spans="1:6">
      <c r="A8859" t="s">
        <v>13</v>
      </c>
      <c r="B8859" t="s">
        <v>234</v>
      </c>
      <c r="C8859" t="s">
        <v>846</v>
      </c>
      <c r="D8859" t="s">
        <v>2017</v>
      </c>
      <c r="E8859" t="s">
        <v>1916</v>
      </c>
      <c r="F8859">
        <v>2006</v>
      </c>
    </row>
    <row r="8860" spans="1:6">
      <c r="A8860" t="s">
        <v>13</v>
      </c>
      <c r="B8860" t="s">
        <v>234</v>
      </c>
      <c r="C8860" t="s">
        <v>846</v>
      </c>
      <c r="D8860" t="s">
        <v>2017</v>
      </c>
      <c r="E8860" t="s">
        <v>1917</v>
      </c>
      <c r="F8860">
        <v>1409</v>
      </c>
    </row>
    <row r="8861" spans="1:6">
      <c r="A8861" t="s">
        <v>13</v>
      </c>
      <c r="B8861" t="s">
        <v>234</v>
      </c>
      <c r="C8861" t="s">
        <v>846</v>
      </c>
      <c r="D8861" t="s">
        <v>2017</v>
      </c>
      <c r="E8861" t="s">
        <v>1918</v>
      </c>
      <c r="F8861">
        <v>1393</v>
      </c>
    </row>
    <row r="8862" spans="1:6">
      <c r="A8862" t="s">
        <v>13</v>
      </c>
      <c r="B8862" t="s">
        <v>234</v>
      </c>
      <c r="C8862" t="s">
        <v>846</v>
      </c>
      <c r="D8862" t="s">
        <v>2017</v>
      </c>
      <c r="E8862" t="s">
        <v>1919</v>
      </c>
      <c r="F8862">
        <v>1390</v>
      </c>
    </row>
    <row r="8863" spans="1:6">
      <c r="A8863" t="s">
        <v>13</v>
      </c>
      <c r="B8863" t="s">
        <v>234</v>
      </c>
      <c r="C8863" t="s">
        <v>846</v>
      </c>
      <c r="D8863" t="s">
        <v>2017</v>
      </c>
      <c r="E8863" t="s">
        <v>1920</v>
      </c>
      <c r="F8863">
        <v>1389</v>
      </c>
    </row>
    <row r="8864" spans="1:6">
      <c r="A8864" t="s">
        <v>13</v>
      </c>
      <c r="B8864" t="s">
        <v>234</v>
      </c>
      <c r="C8864" t="s">
        <v>846</v>
      </c>
      <c r="D8864" t="s">
        <v>2017</v>
      </c>
      <c r="E8864" t="s">
        <v>2373</v>
      </c>
      <c r="F8864">
        <v>1380</v>
      </c>
    </row>
    <row r="8865" spans="1:6">
      <c r="A8865" t="s">
        <v>13</v>
      </c>
      <c r="B8865" t="s">
        <v>234</v>
      </c>
      <c r="C8865" t="s">
        <v>846</v>
      </c>
      <c r="D8865" t="s">
        <v>2017</v>
      </c>
      <c r="E8865" t="s">
        <v>2374</v>
      </c>
      <c r="F8865">
        <v>1380</v>
      </c>
    </row>
    <row r="8866" spans="1:6">
      <c r="A8866" t="s">
        <v>13</v>
      </c>
      <c r="B8866" t="s">
        <v>234</v>
      </c>
      <c r="C8866" t="s">
        <v>846</v>
      </c>
      <c r="D8866" t="s">
        <v>2017</v>
      </c>
      <c r="E8866" t="s">
        <v>2375</v>
      </c>
      <c r="F8866">
        <v>1379</v>
      </c>
    </row>
    <row r="8867" spans="1:6">
      <c r="A8867" t="s">
        <v>13</v>
      </c>
      <c r="B8867" t="s">
        <v>234</v>
      </c>
      <c r="C8867" t="s">
        <v>846</v>
      </c>
      <c r="D8867" t="s">
        <v>2017</v>
      </c>
      <c r="E8867" t="s">
        <v>2376</v>
      </c>
      <c r="F8867">
        <v>1379</v>
      </c>
    </row>
    <row r="8868" spans="1:6">
      <c r="A8868" t="s">
        <v>13</v>
      </c>
      <c r="B8868" t="s">
        <v>234</v>
      </c>
      <c r="C8868" t="s">
        <v>846</v>
      </c>
      <c r="D8868" t="s">
        <v>2017</v>
      </c>
      <c r="E8868" t="s">
        <v>2377</v>
      </c>
      <c r="F8868">
        <v>1379</v>
      </c>
    </row>
    <row r="8869" spans="1:6">
      <c r="A8869" t="s">
        <v>13</v>
      </c>
      <c r="B8869" t="s">
        <v>234</v>
      </c>
      <c r="C8869" t="s">
        <v>846</v>
      </c>
      <c r="D8869" t="s">
        <v>2017</v>
      </c>
      <c r="E8869" t="s">
        <v>2378</v>
      </c>
      <c r="F8869">
        <v>1404</v>
      </c>
    </row>
    <row r="8870" spans="1:6">
      <c r="A8870" t="s">
        <v>13</v>
      </c>
      <c r="B8870" t="s">
        <v>234</v>
      </c>
      <c r="C8870" t="s">
        <v>846</v>
      </c>
      <c r="D8870" t="s">
        <v>2017</v>
      </c>
      <c r="E8870" t="s">
        <v>2379</v>
      </c>
      <c r="F8870">
        <v>1400</v>
      </c>
    </row>
    <row r="8871" spans="1:6">
      <c r="A8871" t="s">
        <v>13</v>
      </c>
      <c r="B8871" t="s">
        <v>234</v>
      </c>
      <c r="C8871" t="s">
        <v>846</v>
      </c>
      <c r="D8871" t="s">
        <v>2017</v>
      </c>
      <c r="E8871" t="s">
        <v>2380</v>
      </c>
      <c r="F8871">
        <v>1400</v>
      </c>
    </row>
    <row r="8872" spans="1:6">
      <c r="A8872" t="s">
        <v>13</v>
      </c>
      <c r="B8872" t="s">
        <v>234</v>
      </c>
      <c r="C8872" t="s">
        <v>846</v>
      </c>
      <c r="D8872" t="s">
        <v>2017</v>
      </c>
      <c r="E8872" t="s">
        <v>2381</v>
      </c>
      <c r="F8872">
        <v>1400</v>
      </c>
    </row>
    <row r="8873" spans="1:6">
      <c r="A8873" t="s">
        <v>13</v>
      </c>
      <c r="B8873" t="s">
        <v>234</v>
      </c>
      <c r="C8873" t="s">
        <v>846</v>
      </c>
      <c r="D8873" t="s">
        <v>2017</v>
      </c>
      <c r="E8873" t="s">
        <v>2382</v>
      </c>
      <c r="F8873">
        <v>1400</v>
      </c>
    </row>
    <row r="8874" spans="1:6">
      <c r="A8874" t="s">
        <v>13</v>
      </c>
      <c r="B8874" t="s">
        <v>234</v>
      </c>
      <c r="C8874" t="s">
        <v>846</v>
      </c>
      <c r="D8874" t="s">
        <v>2017</v>
      </c>
      <c r="E8874" t="s">
        <v>2383</v>
      </c>
      <c r="F8874">
        <v>1400</v>
      </c>
    </row>
    <row r="8875" spans="1:6">
      <c r="A8875" t="s">
        <v>13</v>
      </c>
      <c r="B8875" t="s">
        <v>234</v>
      </c>
      <c r="C8875" t="s">
        <v>846</v>
      </c>
      <c r="D8875" t="s">
        <v>2017</v>
      </c>
      <c r="E8875" t="s">
        <v>2384</v>
      </c>
      <c r="F8875">
        <v>1400</v>
      </c>
    </row>
    <row r="8876" spans="1:6">
      <c r="A8876" t="s">
        <v>13</v>
      </c>
      <c r="B8876" t="s">
        <v>234</v>
      </c>
      <c r="C8876" t="s">
        <v>846</v>
      </c>
      <c r="D8876" t="s">
        <v>2017</v>
      </c>
      <c r="E8876" t="s">
        <v>2385</v>
      </c>
      <c r="F8876">
        <v>494</v>
      </c>
    </row>
    <row r="8877" spans="1:6">
      <c r="A8877" t="s">
        <v>13</v>
      </c>
      <c r="B8877" t="s">
        <v>234</v>
      </c>
      <c r="C8877" t="s">
        <v>846</v>
      </c>
      <c r="D8877" t="s">
        <v>2017</v>
      </c>
      <c r="E8877" t="s">
        <v>2386</v>
      </c>
      <c r="F8877">
        <v>493</v>
      </c>
    </row>
    <row r="8878" spans="1:6">
      <c r="A8878" t="s">
        <v>13</v>
      </c>
      <c r="B8878" t="s">
        <v>234</v>
      </c>
      <c r="C8878" t="s">
        <v>846</v>
      </c>
      <c r="D8878" t="s">
        <v>2017</v>
      </c>
      <c r="E8878" t="s">
        <v>1924</v>
      </c>
      <c r="F8878">
        <v>2007</v>
      </c>
    </row>
    <row r="8879" spans="1:6">
      <c r="A8879" t="s">
        <v>13</v>
      </c>
      <c r="B8879" t="s">
        <v>234</v>
      </c>
      <c r="C8879" t="s">
        <v>846</v>
      </c>
      <c r="D8879" t="s">
        <v>2017</v>
      </c>
      <c r="E8879" t="s">
        <v>1925</v>
      </c>
      <c r="F8879">
        <v>3933</v>
      </c>
    </row>
    <row r="8880" spans="1:6">
      <c r="A8880" t="s">
        <v>13</v>
      </c>
      <c r="B8880" t="s">
        <v>234</v>
      </c>
      <c r="C8880" t="s">
        <v>846</v>
      </c>
      <c r="D8880" t="s">
        <v>2017</v>
      </c>
      <c r="E8880" t="s">
        <v>1926</v>
      </c>
      <c r="F8880">
        <v>3912</v>
      </c>
    </row>
    <row r="8881" spans="1:6">
      <c r="A8881" t="s">
        <v>13</v>
      </c>
      <c r="B8881" t="s">
        <v>234</v>
      </c>
      <c r="C8881" t="s">
        <v>846</v>
      </c>
      <c r="D8881" t="s">
        <v>2017</v>
      </c>
      <c r="E8881" t="s">
        <v>1927</v>
      </c>
      <c r="F8881">
        <v>3898</v>
      </c>
    </row>
    <row r="8882" spans="1:6">
      <c r="A8882" t="s">
        <v>13</v>
      </c>
      <c r="B8882" t="s">
        <v>234</v>
      </c>
      <c r="C8882" t="s">
        <v>846</v>
      </c>
      <c r="D8882" t="s">
        <v>2017</v>
      </c>
      <c r="E8882" t="s">
        <v>1928</v>
      </c>
      <c r="F8882">
        <v>3894</v>
      </c>
    </row>
    <row r="8883" spans="1:6">
      <c r="A8883" t="s">
        <v>13</v>
      </c>
      <c r="B8883" t="s">
        <v>234</v>
      </c>
      <c r="C8883" t="s">
        <v>846</v>
      </c>
      <c r="D8883" t="s">
        <v>2017</v>
      </c>
      <c r="E8883" t="s">
        <v>2387</v>
      </c>
      <c r="F8883">
        <v>3848</v>
      </c>
    </row>
    <row r="8884" spans="1:6">
      <c r="A8884" t="s">
        <v>13</v>
      </c>
      <c r="B8884" t="s">
        <v>234</v>
      </c>
      <c r="C8884" t="s">
        <v>846</v>
      </c>
      <c r="D8884" t="s">
        <v>2017</v>
      </c>
      <c r="E8884" t="s">
        <v>2388</v>
      </c>
      <c r="F8884">
        <v>3848</v>
      </c>
    </row>
    <row r="8885" spans="1:6">
      <c r="A8885" t="s">
        <v>13</v>
      </c>
      <c r="B8885" t="s">
        <v>234</v>
      </c>
      <c r="C8885" t="s">
        <v>846</v>
      </c>
      <c r="D8885" t="s">
        <v>2017</v>
      </c>
      <c r="E8885" t="s">
        <v>2389</v>
      </c>
      <c r="F8885">
        <v>3843</v>
      </c>
    </row>
    <row r="8886" spans="1:6">
      <c r="A8886" t="s">
        <v>13</v>
      </c>
      <c r="B8886" t="s">
        <v>234</v>
      </c>
      <c r="C8886" t="s">
        <v>846</v>
      </c>
      <c r="D8886" t="s">
        <v>2017</v>
      </c>
      <c r="E8886" t="s">
        <v>2390</v>
      </c>
      <c r="F8886">
        <v>3838</v>
      </c>
    </row>
    <row r="8887" spans="1:6">
      <c r="A8887" t="s">
        <v>13</v>
      </c>
      <c r="B8887" t="s">
        <v>234</v>
      </c>
      <c r="C8887" t="s">
        <v>846</v>
      </c>
      <c r="D8887" t="s">
        <v>2017</v>
      </c>
      <c r="E8887" t="s">
        <v>2391</v>
      </c>
      <c r="F8887">
        <v>3835</v>
      </c>
    </row>
    <row r="8888" spans="1:6">
      <c r="A8888" t="s">
        <v>13</v>
      </c>
      <c r="B8888" t="s">
        <v>234</v>
      </c>
      <c r="C8888" t="s">
        <v>846</v>
      </c>
      <c r="D8888" t="s">
        <v>2017</v>
      </c>
      <c r="E8888" t="s">
        <v>2392</v>
      </c>
      <c r="F8888">
        <v>6856</v>
      </c>
    </row>
    <row r="8889" spans="1:6">
      <c r="A8889" t="s">
        <v>13</v>
      </c>
      <c r="B8889" t="s">
        <v>234</v>
      </c>
      <c r="C8889" t="s">
        <v>846</v>
      </c>
      <c r="D8889" t="s">
        <v>2017</v>
      </c>
      <c r="E8889" t="s">
        <v>2393</v>
      </c>
      <c r="F8889">
        <v>6834</v>
      </c>
    </row>
    <row r="8890" spans="1:6">
      <c r="A8890" t="s">
        <v>13</v>
      </c>
      <c r="B8890" t="s">
        <v>234</v>
      </c>
      <c r="C8890" t="s">
        <v>846</v>
      </c>
      <c r="D8890" t="s">
        <v>2017</v>
      </c>
      <c r="E8890" t="s">
        <v>2394</v>
      </c>
      <c r="F8890">
        <v>6819</v>
      </c>
    </row>
    <row r="8891" spans="1:6">
      <c r="A8891" t="s">
        <v>13</v>
      </c>
      <c r="B8891" t="s">
        <v>234</v>
      </c>
      <c r="C8891" t="s">
        <v>846</v>
      </c>
      <c r="D8891" t="s">
        <v>2017</v>
      </c>
      <c r="E8891" t="s">
        <v>2395</v>
      </c>
      <c r="F8891">
        <v>6813</v>
      </c>
    </row>
    <row r="8892" spans="1:6">
      <c r="A8892" t="s">
        <v>13</v>
      </c>
      <c r="B8892" t="s">
        <v>234</v>
      </c>
      <c r="C8892" t="s">
        <v>846</v>
      </c>
      <c r="D8892" t="s">
        <v>2017</v>
      </c>
      <c r="E8892" t="s">
        <v>2396</v>
      </c>
      <c r="F8892">
        <v>6811</v>
      </c>
    </row>
    <row r="8893" spans="1:6">
      <c r="A8893" t="s">
        <v>13</v>
      </c>
      <c r="B8893" t="s">
        <v>234</v>
      </c>
      <c r="C8893" t="s">
        <v>846</v>
      </c>
      <c r="D8893" t="s">
        <v>2017</v>
      </c>
      <c r="E8893" t="s">
        <v>2397</v>
      </c>
      <c r="F8893">
        <v>6807</v>
      </c>
    </row>
    <row r="8894" spans="1:6">
      <c r="A8894" t="s">
        <v>13</v>
      </c>
      <c r="B8894" t="s">
        <v>234</v>
      </c>
      <c r="C8894" t="s">
        <v>846</v>
      </c>
      <c r="D8894" t="s">
        <v>2017</v>
      </c>
      <c r="E8894" t="s">
        <v>2398</v>
      </c>
      <c r="F8894">
        <v>6805</v>
      </c>
    </row>
    <row r="8895" spans="1:6">
      <c r="A8895" t="s">
        <v>13</v>
      </c>
      <c r="B8895" t="s">
        <v>234</v>
      </c>
      <c r="C8895" t="s">
        <v>846</v>
      </c>
      <c r="D8895" t="s">
        <v>2017</v>
      </c>
      <c r="E8895" t="s">
        <v>2399</v>
      </c>
      <c r="F8895">
        <v>4404</v>
      </c>
    </row>
    <row r="8896" spans="1:6">
      <c r="A8896" t="s">
        <v>13</v>
      </c>
      <c r="B8896" t="s">
        <v>234</v>
      </c>
      <c r="C8896" t="s">
        <v>846</v>
      </c>
      <c r="D8896" t="s">
        <v>2017</v>
      </c>
      <c r="E8896" t="s">
        <v>2400</v>
      </c>
      <c r="F8896">
        <v>4397</v>
      </c>
    </row>
    <row r="8897" spans="1:6">
      <c r="A8897" t="s">
        <v>13</v>
      </c>
      <c r="B8897" t="s">
        <v>234</v>
      </c>
      <c r="C8897" t="s">
        <v>846</v>
      </c>
      <c r="D8897" t="s">
        <v>2017</v>
      </c>
      <c r="E8897" t="s">
        <v>1932</v>
      </c>
      <c r="F8897">
        <v>2008</v>
      </c>
    </row>
    <row r="8898" spans="1:6">
      <c r="A8898" t="s">
        <v>13</v>
      </c>
      <c r="B8898" t="s">
        <v>234</v>
      </c>
      <c r="C8898" t="s">
        <v>846</v>
      </c>
      <c r="D8898" t="s">
        <v>2017</v>
      </c>
      <c r="E8898" t="s">
        <v>1933</v>
      </c>
      <c r="F8898">
        <v>10029</v>
      </c>
    </row>
    <row r="8899" spans="1:6">
      <c r="A8899" t="s">
        <v>13</v>
      </c>
      <c r="B8899" t="s">
        <v>234</v>
      </c>
      <c r="C8899" t="s">
        <v>846</v>
      </c>
      <c r="D8899" t="s">
        <v>2017</v>
      </c>
      <c r="E8899" t="s">
        <v>1934</v>
      </c>
      <c r="F8899">
        <v>9933</v>
      </c>
    </row>
    <row r="8900" spans="1:6">
      <c r="A8900" t="s">
        <v>13</v>
      </c>
      <c r="B8900" t="s">
        <v>234</v>
      </c>
      <c r="C8900" t="s">
        <v>846</v>
      </c>
      <c r="D8900" t="s">
        <v>2017</v>
      </c>
      <c r="E8900" t="s">
        <v>1935</v>
      </c>
      <c r="F8900">
        <v>9906</v>
      </c>
    </row>
    <row r="8901" spans="1:6">
      <c r="A8901" t="s">
        <v>13</v>
      </c>
      <c r="B8901" t="s">
        <v>234</v>
      </c>
      <c r="C8901" t="s">
        <v>846</v>
      </c>
      <c r="D8901" t="s">
        <v>2017</v>
      </c>
      <c r="E8901" t="s">
        <v>1936</v>
      </c>
      <c r="F8901">
        <v>9905</v>
      </c>
    </row>
    <row r="8902" spans="1:6">
      <c r="A8902" t="s">
        <v>13</v>
      </c>
      <c r="B8902" t="s">
        <v>234</v>
      </c>
      <c r="C8902" t="s">
        <v>846</v>
      </c>
      <c r="D8902" t="s">
        <v>2017</v>
      </c>
      <c r="E8902" t="s">
        <v>2401</v>
      </c>
      <c r="F8902">
        <v>9881</v>
      </c>
    </row>
    <row r="8903" spans="1:6">
      <c r="A8903" t="s">
        <v>13</v>
      </c>
      <c r="B8903" t="s">
        <v>234</v>
      </c>
      <c r="C8903" t="s">
        <v>846</v>
      </c>
      <c r="D8903" t="s">
        <v>2017</v>
      </c>
      <c r="E8903" t="s">
        <v>2402</v>
      </c>
      <c r="F8903">
        <v>9879</v>
      </c>
    </row>
    <row r="8904" spans="1:6">
      <c r="A8904" t="s">
        <v>13</v>
      </c>
      <c r="B8904" t="s">
        <v>234</v>
      </c>
      <c r="C8904" t="s">
        <v>846</v>
      </c>
      <c r="D8904" t="s">
        <v>2017</v>
      </c>
      <c r="E8904" t="s">
        <v>2403</v>
      </c>
      <c r="F8904">
        <v>9869</v>
      </c>
    </row>
    <row r="8905" spans="1:6">
      <c r="A8905" t="s">
        <v>13</v>
      </c>
      <c r="B8905" t="s">
        <v>234</v>
      </c>
      <c r="C8905" t="s">
        <v>846</v>
      </c>
      <c r="D8905" t="s">
        <v>2017</v>
      </c>
      <c r="E8905" t="s">
        <v>2404</v>
      </c>
      <c r="F8905">
        <v>9857</v>
      </c>
    </row>
    <row r="8906" spans="1:6">
      <c r="A8906" t="s">
        <v>13</v>
      </c>
      <c r="B8906" t="s">
        <v>234</v>
      </c>
      <c r="C8906" t="s">
        <v>846</v>
      </c>
      <c r="D8906" t="s">
        <v>2017</v>
      </c>
      <c r="E8906" t="s">
        <v>2405</v>
      </c>
      <c r="F8906">
        <v>9849</v>
      </c>
    </row>
    <row r="8907" spans="1:6">
      <c r="A8907" t="s">
        <v>13</v>
      </c>
      <c r="B8907" t="s">
        <v>234</v>
      </c>
      <c r="C8907" t="s">
        <v>846</v>
      </c>
      <c r="D8907" t="s">
        <v>2017</v>
      </c>
      <c r="E8907" t="s">
        <v>2406</v>
      </c>
      <c r="F8907">
        <v>10226</v>
      </c>
    </row>
    <row r="8908" spans="1:6">
      <c r="A8908" t="s">
        <v>13</v>
      </c>
      <c r="B8908" t="s">
        <v>234</v>
      </c>
      <c r="C8908" t="s">
        <v>846</v>
      </c>
      <c r="D8908" t="s">
        <v>2017</v>
      </c>
      <c r="E8908" t="s">
        <v>2407</v>
      </c>
      <c r="F8908">
        <v>10169</v>
      </c>
    </row>
    <row r="8909" spans="1:6">
      <c r="A8909" t="s">
        <v>13</v>
      </c>
      <c r="B8909" t="s">
        <v>234</v>
      </c>
      <c r="C8909" t="s">
        <v>846</v>
      </c>
      <c r="D8909" t="s">
        <v>2017</v>
      </c>
      <c r="E8909" t="s">
        <v>2408</v>
      </c>
      <c r="F8909">
        <v>10096</v>
      </c>
    </row>
    <row r="8910" spans="1:6">
      <c r="A8910" t="s">
        <v>13</v>
      </c>
      <c r="B8910" t="s">
        <v>234</v>
      </c>
      <c r="C8910" t="s">
        <v>846</v>
      </c>
      <c r="D8910" t="s">
        <v>2017</v>
      </c>
      <c r="E8910" t="s">
        <v>2409</v>
      </c>
      <c r="F8910">
        <v>10079</v>
      </c>
    </row>
    <row r="8911" spans="1:6">
      <c r="A8911" t="s">
        <v>13</v>
      </c>
      <c r="B8911" t="s">
        <v>234</v>
      </c>
      <c r="C8911" t="s">
        <v>846</v>
      </c>
      <c r="D8911" t="s">
        <v>2017</v>
      </c>
      <c r="E8911" t="s">
        <v>2410</v>
      </c>
      <c r="F8911">
        <v>10056</v>
      </c>
    </row>
    <row r="8912" spans="1:6">
      <c r="A8912" t="s">
        <v>13</v>
      </c>
      <c r="B8912" t="s">
        <v>234</v>
      </c>
      <c r="C8912" t="s">
        <v>846</v>
      </c>
      <c r="D8912" t="s">
        <v>2017</v>
      </c>
      <c r="E8912" t="s">
        <v>2411</v>
      </c>
      <c r="F8912">
        <v>10038</v>
      </c>
    </row>
    <row r="8913" spans="1:6">
      <c r="A8913" t="s">
        <v>13</v>
      </c>
      <c r="B8913" t="s">
        <v>234</v>
      </c>
      <c r="C8913" t="s">
        <v>846</v>
      </c>
      <c r="D8913" t="s">
        <v>2017</v>
      </c>
      <c r="E8913" t="s">
        <v>2412</v>
      </c>
      <c r="F8913">
        <v>10027</v>
      </c>
    </row>
    <row r="8914" spans="1:6">
      <c r="A8914" t="s">
        <v>13</v>
      </c>
      <c r="B8914" t="s">
        <v>234</v>
      </c>
      <c r="C8914" t="s">
        <v>846</v>
      </c>
      <c r="D8914" t="s">
        <v>2017</v>
      </c>
      <c r="E8914" t="s">
        <v>2413</v>
      </c>
      <c r="F8914">
        <v>3106</v>
      </c>
    </row>
    <row r="8915" spans="1:6">
      <c r="A8915" t="s">
        <v>13</v>
      </c>
      <c r="B8915" t="s">
        <v>234</v>
      </c>
      <c r="C8915" t="s">
        <v>846</v>
      </c>
      <c r="D8915" t="s">
        <v>2017</v>
      </c>
      <c r="E8915" t="s">
        <v>2414</v>
      </c>
      <c r="F8915">
        <v>3096</v>
      </c>
    </row>
    <row r="8916" spans="1:6">
      <c r="A8916" t="s">
        <v>13</v>
      </c>
      <c r="B8916" t="s">
        <v>234</v>
      </c>
      <c r="C8916" t="s">
        <v>846</v>
      </c>
      <c r="D8916" t="s">
        <v>2017</v>
      </c>
      <c r="E8916" t="s">
        <v>1939</v>
      </c>
      <c r="F8916">
        <v>2009</v>
      </c>
    </row>
    <row r="8917" spans="1:6">
      <c r="A8917" t="s">
        <v>13</v>
      </c>
      <c r="B8917" t="s">
        <v>234</v>
      </c>
      <c r="C8917" t="s">
        <v>846</v>
      </c>
      <c r="D8917" t="s">
        <v>2017</v>
      </c>
      <c r="E8917" t="s">
        <v>1940</v>
      </c>
      <c r="F8917">
        <v>11891</v>
      </c>
    </row>
    <row r="8918" spans="1:6">
      <c r="A8918" t="s">
        <v>13</v>
      </c>
      <c r="B8918" t="s">
        <v>234</v>
      </c>
      <c r="C8918" t="s">
        <v>846</v>
      </c>
      <c r="D8918" t="s">
        <v>2017</v>
      </c>
      <c r="E8918" t="s">
        <v>1941</v>
      </c>
      <c r="F8918">
        <v>11670</v>
      </c>
    </row>
    <row r="8919" spans="1:6">
      <c r="A8919" t="s">
        <v>13</v>
      </c>
      <c r="B8919" t="s">
        <v>234</v>
      </c>
      <c r="C8919" t="s">
        <v>846</v>
      </c>
      <c r="D8919" t="s">
        <v>2017</v>
      </c>
      <c r="E8919" t="s">
        <v>1942</v>
      </c>
      <c r="F8919">
        <v>11551</v>
      </c>
    </row>
    <row r="8920" spans="1:6">
      <c r="A8920" t="s">
        <v>13</v>
      </c>
      <c r="B8920" t="s">
        <v>234</v>
      </c>
      <c r="C8920" t="s">
        <v>846</v>
      </c>
      <c r="D8920" t="s">
        <v>2017</v>
      </c>
      <c r="E8920" t="s">
        <v>1943</v>
      </c>
      <c r="F8920">
        <v>11547</v>
      </c>
    </row>
    <row r="8921" spans="1:6">
      <c r="A8921" t="s">
        <v>13</v>
      </c>
      <c r="B8921" t="s">
        <v>234</v>
      </c>
      <c r="C8921" t="s">
        <v>846</v>
      </c>
      <c r="D8921" t="s">
        <v>2017</v>
      </c>
      <c r="E8921" t="s">
        <v>2415</v>
      </c>
      <c r="F8921">
        <v>11532</v>
      </c>
    </row>
    <row r="8922" spans="1:6">
      <c r="A8922" t="s">
        <v>13</v>
      </c>
      <c r="B8922" t="s">
        <v>234</v>
      </c>
      <c r="C8922" t="s">
        <v>846</v>
      </c>
      <c r="D8922" t="s">
        <v>2017</v>
      </c>
      <c r="E8922" t="s">
        <v>2416</v>
      </c>
      <c r="F8922">
        <v>11526</v>
      </c>
    </row>
    <row r="8923" spans="1:6">
      <c r="A8923" t="s">
        <v>13</v>
      </c>
      <c r="B8923" t="s">
        <v>234</v>
      </c>
      <c r="C8923" t="s">
        <v>846</v>
      </c>
      <c r="D8923" t="s">
        <v>2017</v>
      </c>
      <c r="E8923" t="s">
        <v>2417</v>
      </c>
      <c r="F8923">
        <v>11514</v>
      </c>
    </row>
    <row r="8924" spans="1:6">
      <c r="A8924" t="s">
        <v>13</v>
      </c>
      <c r="B8924" t="s">
        <v>234</v>
      </c>
      <c r="C8924" t="s">
        <v>846</v>
      </c>
      <c r="D8924" t="s">
        <v>2017</v>
      </c>
      <c r="E8924" t="s">
        <v>2418</v>
      </c>
      <c r="F8924">
        <v>11503</v>
      </c>
    </row>
    <row r="8925" spans="1:6">
      <c r="A8925" t="s">
        <v>13</v>
      </c>
      <c r="B8925" t="s">
        <v>234</v>
      </c>
      <c r="C8925" t="s">
        <v>846</v>
      </c>
      <c r="D8925" t="s">
        <v>2017</v>
      </c>
      <c r="E8925" t="s">
        <v>2419</v>
      </c>
      <c r="F8925">
        <v>11494</v>
      </c>
    </row>
    <row r="8926" spans="1:6">
      <c r="A8926" t="s">
        <v>13</v>
      </c>
      <c r="B8926" t="s">
        <v>234</v>
      </c>
      <c r="C8926" t="s">
        <v>846</v>
      </c>
      <c r="D8926" t="s">
        <v>2017</v>
      </c>
      <c r="E8926" t="s">
        <v>2420</v>
      </c>
      <c r="F8926">
        <v>12539</v>
      </c>
    </row>
    <row r="8927" spans="1:6">
      <c r="A8927" t="s">
        <v>13</v>
      </c>
      <c r="B8927" t="s">
        <v>234</v>
      </c>
      <c r="C8927" t="s">
        <v>846</v>
      </c>
      <c r="D8927" t="s">
        <v>2017</v>
      </c>
      <c r="E8927" t="s">
        <v>2421</v>
      </c>
      <c r="F8927">
        <v>12491</v>
      </c>
    </row>
    <row r="8928" spans="1:6">
      <c r="A8928" t="s">
        <v>13</v>
      </c>
      <c r="B8928" t="s">
        <v>234</v>
      </c>
      <c r="C8928" t="s">
        <v>846</v>
      </c>
      <c r="D8928" t="s">
        <v>2017</v>
      </c>
      <c r="E8928" t="s">
        <v>2422</v>
      </c>
      <c r="F8928">
        <v>12425</v>
      </c>
    </row>
    <row r="8929" spans="1:6">
      <c r="A8929" t="s">
        <v>13</v>
      </c>
      <c r="B8929" t="s">
        <v>234</v>
      </c>
      <c r="C8929" t="s">
        <v>846</v>
      </c>
      <c r="D8929" t="s">
        <v>2017</v>
      </c>
      <c r="E8929" t="s">
        <v>2423</v>
      </c>
      <c r="F8929">
        <v>12393</v>
      </c>
    </row>
    <row r="8930" spans="1:6">
      <c r="A8930" t="s">
        <v>13</v>
      </c>
      <c r="B8930" t="s">
        <v>234</v>
      </c>
      <c r="C8930" t="s">
        <v>846</v>
      </c>
      <c r="D8930" t="s">
        <v>2017</v>
      </c>
      <c r="E8930" t="s">
        <v>2424</v>
      </c>
      <c r="F8930">
        <v>12379</v>
      </c>
    </row>
    <row r="8931" spans="1:6">
      <c r="A8931" t="s">
        <v>13</v>
      </c>
      <c r="B8931" t="s">
        <v>234</v>
      </c>
      <c r="C8931" t="s">
        <v>846</v>
      </c>
      <c r="D8931" t="s">
        <v>2017</v>
      </c>
      <c r="E8931" t="s">
        <v>2425</v>
      </c>
      <c r="F8931">
        <v>12359</v>
      </c>
    </row>
    <row r="8932" spans="1:6">
      <c r="A8932" t="s">
        <v>13</v>
      </c>
      <c r="B8932" t="s">
        <v>234</v>
      </c>
      <c r="C8932" t="s">
        <v>846</v>
      </c>
      <c r="D8932" t="s">
        <v>2017</v>
      </c>
      <c r="E8932" t="s">
        <v>2426</v>
      </c>
      <c r="F8932">
        <v>12347</v>
      </c>
    </row>
    <row r="8933" spans="1:6">
      <c r="A8933" t="s">
        <v>13</v>
      </c>
      <c r="B8933" t="s">
        <v>234</v>
      </c>
      <c r="C8933" t="s">
        <v>846</v>
      </c>
      <c r="D8933" t="s">
        <v>2017</v>
      </c>
      <c r="E8933" t="s">
        <v>2427</v>
      </c>
      <c r="F8933">
        <v>4302</v>
      </c>
    </row>
    <row r="8934" spans="1:6">
      <c r="A8934" t="s">
        <v>13</v>
      </c>
      <c r="B8934" t="s">
        <v>234</v>
      </c>
      <c r="C8934" t="s">
        <v>846</v>
      </c>
      <c r="D8934" t="s">
        <v>2017</v>
      </c>
      <c r="E8934" t="s">
        <v>2428</v>
      </c>
      <c r="F8934">
        <v>4292</v>
      </c>
    </row>
    <row r="8935" spans="1:6">
      <c r="A8935" t="s">
        <v>13</v>
      </c>
      <c r="B8935" t="s">
        <v>234</v>
      </c>
      <c r="C8935" t="s">
        <v>846</v>
      </c>
      <c r="D8935" t="s">
        <v>2017</v>
      </c>
      <c r="E8935" t="s">
        <v>1946</v>
      </c>
      <c r="F8935">
        <v>2010</v>
      </c>
    </row>
    <row r="8936" spans="1:6">
      <c r="A8936" t="s">
        <v>13</v>
      </c>
      <c r="B8936" t="s">
        <v>234</v>
      </c>
      <c r="C8936" t="s">
        <v>846</v>
      </c>
      <c r="D8936" t="s">
        <v>2017</v>
      </c>
      <c r="E8936" t="s">
        <v>1947</v>
      </c>
      <c r="F8936">
        <v>21493</v>
      </c>
    </row>
    <row r="8937" spans="1:6">
      <c r="A8937" t="s">
        <v>13</v>
      </c>
      <c r="B8937" t="s">
        <v>234</v>
      </c>
      <c r="C8937" t="s">
        <v>846</v>
      </c>
      <c r="D8937" t="s">
        <v>2017</v>
      </c>
      <c r="E8937" t="s">
        <v>1948</v>
      </c>
      <c r="F8937">
        <v>20591</v>
      </c>
    </row>
    <row r="8938" spans="1:6">
      <c r="A8938" t="s">
        <v>13</v>
      </c>
      <c r="B8938" t="s">
        <v>234</v>
      </c>
      <c r="C8938" t="s">
        <v>846</v>
      </c>
      <c r="D8938" t="s">
        <v>2017</v>
      </c>
      <c r="E8938" t="s">
        <v>1949</v>
      </c>
      <c r="F8938">
        <v>18704</v>
      </c>
    </row>
    <row r="8939" spans="1:6">
      <c r="A8939" t="s">
        <v>13</v>
      </c>
      <c r="B8939" t="s">
        <v>234</v>
      </c>
      <c r="C8939" t="s">
        <v>846</v>
      </c>
      <c r="D8939" t="s">
        <v>2017</v>
      </c>
      <c r="E8939" t="s">
        <v>1950</v>
      </c>
      <c r="F8939">
        <v>18699</v>
      </c>
    </row>
    <row r="8940" spans="1:6">
      <c r="A8940" t="s">
        <v>13</v>
      </c>
      <c r="B8940" t="s">
        <v>234</v>
      </c>
      <c r="C8940" t="s">
        <v>846</v>
      </c>
      <c r="D8940" t="s">
        <v>2017</v>
      </c>
      <c r="E8940" t="s">
        <v>2429</v>
      </c>
      <c r="F8940">
        <v>18682</v>
      </c>
    </row>
    <row r="8941" spans="1:6">
      <c r="A8941" t="s">
        <v>13</v>
      </c>
      <c r="B8941" t="s">
        <v>234</v>
      </c>
      <c r="C8941" t="s">
        <v>846</v>
      </c>
      <c r="D8941" t="s">
        <v>2017</v>
      </c>
      <c r="E8941" t="s">
        <v>2430</v>
      </c>
      <c r="F8941">
        <v>18672</v>
      </c>
    </row>
    <row r="8942" spans="1:6">
      <c r="A8942" t="s">
        <v>13</v>
      </c>
      <c r="B8942" t="s">
        <v>234</v>
      </c>
      <c r="C8942" t="s">
        <v>846</v>
      </c>
      <c r="D8942" t="s">
        <v>2017</v>
      </c>
      <c r="E8942" t="s">
        <v>2431</v>
      </c>
      <c r="F8942">
        <v>18656</v>
      </c>
    </row>
    <row r="8943" spans="1:6">
      <c r="A8943" t="s">
        <v>13</v>
      </c>
      <c r="B8943" t="s">
        <v>234</v>
      </c>
      <c r="C8943" t="s">
        <v>846</v>
      </c>
      <c r="D8943" t="s">
        <v>2017</v>
      </c>
      <c r="E8943" t="s">
        <v>2432</v>
      </c>
      <c r="F8943">
        <v>18639</v>
      </c>
    </row>
    <row r="8944" spans="1:6">
      <c r="A8944" t="s">
        <v>13</v>
      </c>
      <c r="B8944" t="s">
        <v>234</v>
      </c>
      <c r="C8944" t="s">
        <v>846</v>
      </c>
      <c r="D8944" t="s">
        <v>2017</v>
      </c>
      <c r="E8944" t="s">
        <v>2433</v>
      </c>
      <c r="F8944">
        <v>18630</v>
      </c>
    </row>
    <row r="8945" spans="1:6">
      <c r="A8945" t="s">
        <v>13</v>
      </c>
      <c r="B8945" t="s">
        <v>234</v>
      </c>
      <c r="C8945" t="s">
        <v>846</v>
      </c>
      <c r="D8945" t="s">
        <v>2017</v>
      </c>
      <c r="E8945" t="s">
        <v>2434</v>
      </c>
      <c r="F8945">
        <v>21317</v>
      </c>
    </row>
    <row r="8946" spans="1:6">
      <c r="A8946" t="s">
        <v>13</v>
      </c>
      <c r="B8946" t="s">
        <v>234</v>
      </c>
      <c r="C8946" t="s">
        <v>846</v>
      </c>
      <c r="D8946" t="s">
        <v>2017</v>
      </c>
      <c r="E8946" t="s">
        <v>2435</v>
      </c>
      <c r="F8946">
        <v>21229</v>
      </c>
    </row>
    <row r="8947" spans="1:6">
      <c r="A8947" t="s">
        <v>13</v>
      </c>
      <c r="B8947" t="s">
        <v>234</v>
      </c>
      <c r="C8947" t="s">
        <v>846</v>
      </c>
      <c r="D8947" t="s">
        <v>2017</v>
      </c>
      <c r="E8947" t="s">
        <v>2436</v>
      </c>
      <c r="F8947">
        <v>21171</v>
      </c>
    </row>
    <row r="8948" spans="1:6">
      <c r="A8948" t="s">
        <v>13</v>
      </c>
      <c r="B8948" t="s">
        <v>234</v>
      </c>
      <c r="C8948" t="s">
        <v>846</v>
      </c>
      <c r="D8948" t="s">
        <v>2017</v>
      </c>
      <c r="E8948" t="s">
        <v>2437</v>
      </c>
      <c r="F8948">
        <v>21140</v>
      </c>
    </row>
    <row r="8949" spans="1:6">
      <c r="A8949" t="s">
        <v>13</v>
      </c>
      <c r="B8949" t="s">
        <v>234</v>
      </c>
      <c r="C8949" t="s">
        <v>846</v>
      </c>
      <c r="D8949" t="s">
        <v>2017</v>
      </c>
      <c r="E8949" t="s">
        <v>2438</v>
      </c>
      <c r="F8949">
        <v>21123</v>
      </c>
    </row>
    <row r="8950" spans="1:6">
      <c r="A8950" t="s">
        <v>13</v>
      </c>
      <c r="B8950" t="s">
        <v>234</v>
      </c>
      <c r="C8950" t="s">
        <v>846</v>
      </c>
      <c r="D8950" t="s">
        <v>2017</v>
      </c>
      <c r="E8950" t="s">
        <v>2439</v>
      </c>
      <c r="F8950">
        <v>21104</v>
      </c>
    </row>
    <row r="8951" spans="1:6">
      <c r="A8951" t="s">
        <v>13</v>
      </c>
      <c r="B8951" t="s">
        <v>234</v>
      </c>
      <c r="C8951" t="s">
        <v>846</v>
      </c>
      <c r="D8951" t="s">
        <v>2017</v>
      </c>
      <c r="E8951" t="s">
        <v>2440</v>
      </c>
      <c r="F8951">
        <v>21094</v>
      </c>
    </row>
    <row r="8952" spans="1:6">
      <c r="A8952" t="s">
        <v>13</v>
      </c>
      <c r="B8952" t="s">
        <v>234</v>
      </c>
      <c r="C8952" t="s">
        <v>846</v>
      </c>
      <c r="D8952" t="s">
        <v>2017</v>
      </c>
      <c r="E8952" t="s">
        <v>2441</v>
      </c>
      <c r="F8952">
        <v>6604</v>
      </c>
    </row>
    <row r="8953" spans="1:6">
      <c r="A8953" t="s">
        <v>13</v>
      </c>
      <c r="B8953" t="s">
        <v>234</v>
      </c>
      <c r="C8953" t="s">
        <v>846</v>
      </c>
      <c r="D8953" t="s">
        <v>2017</v>
      </c>
      <c r="E8953" t="s">
        <v>2442</v>
      </c>
      <c r="F8953">
        <v>6587</v>
      </c>
    </row>
    <row r="8954" spans="1:6">
      <c r="A8954" t="s">
        <v>13</v>
      </c>
      <c r="B8954" t="s">
        <v>234</v>
      </c>
      <c r="C8954" t="s">
        <v>846</v>
      </c>
      <c r="D8954" t="s">
        <v>2017</v>
      </c>
      <c r="E8954" t="s">
        <v>1955</v>
      </c>
      <c r="F8954">
        <v>2011</v>
      </c>
    </row>
    <row r="8955" spans="1:6">
      <c r="A8955" t="s">
        <v>13</v>
      </c>
      <c r="B8955" t="s">
        <v>234</v>
      </c>
      <c r="C8955" t="s">
        <v>846</v>
      </c>
      <c r="D8955" t="s">
        <v>2017</v>
      </c>
      <c r="E8955" t="s">
        <v>1956</v>
      </c>
      <c r="F8955">
        <v>12228</v>
      </c>
    </row>
    <row r="8956" spans="1:6">
      <c r="A8956" t="s">
        <v>13</v>
      </c>
      <c r="B8956" t="s">
        <v>234</v>
      </c>
      <c r="C8956" t="s">
        <v>846</v>
      </c>
      <c r="D8956" t="s">
        <v>2017</v>
      </c>
      <c r="E8956" t="s">
        <v>1957</v>
      </c>
      <c r="F8956">
        <v>11805</v>
      </c>
    </row>
    <row r="8957" spans="1:6">
      <c r="A8957" t="s">
        <v>13</v>
      </c>
      <c r="B8957" t="s">
        <v>234</v>
      </c>
      <c r="C8957" t="s">
        <v>846</v>
      </c>
      <c r="D8957" t="s">
        <v>2017</v>
      </c>
      <c r="E8957" t="s">
        <v>1958</v>
      </c>
      <c r="F8957">
        <v>10744</v>
      </c>
    </row>
    <row r="8958" spans="1:6">
      <c r="A8958" t="s">
        <v>13</v>
      </c>
      <c r="B8958" t="s">
        <v>234</v>
      </c>
      <c r="C8958" t="s">
        <v>846</v>
      </c>
      <c r="D8958" t="s">
        <v>2017</v>
      </c>
      <c r="E8958" t="s">
        <v>1959</v>
      </c>
      <c r="F8958">
        <v>10735</v>
      </c>
    </row>
    <row r="8959" spans="1:6">
      <c r="A8959" t="s">
        <v>13</v>
      </c>
      <c r="B8959" t="s">
        <v>234</v>
      </c>
      <c r="C8959" t="s">
        <v>846</v>
      </c>
      <c r="D8959" t="s">
        <v>2017</v>
      </c>
      <c r="E8959" t="s">
        <v>2443</v>
      </c>
      <c r="F8959">
        <v>10723</v>
      </c>
    </row>
    <row r="8960" spans="1:6">
      <c r="A8960" t="s">
        <v>13</v>
      </c>
      <c r="B8960" t="s">
        <v>234</v>
      </c>
      <c r="C8960" t="s">
        <v>846</v>
      </c>
      <c r="D8960" t="s">
        <v>2017</v>
      </c>
      <c r="E8960" t="s">
        <v>2444</v>
      </c>
      <c r="F8960">
        <v>10718</v>
      </c>
    </row>
    <row r="8961" spans="1:6">
      <c r="A8961" t="s">
        <v>13</v>
      </c>
      <c r="B8961" t="s">
        <v>234</v>
      </c>
      <c r="C8961" t="s">
        <v>846</v>
      </c>
      <c r="D8961" t="s">
        <v>2017</v>
      </c>
      <c r="E8961" t="s">
        <v>2445</v>
      </c>
      <c r="F8961">
        <v>10707</v>
      </c>
    </row>
    <row r="8962" spans="1:6">
      <c r="A8962" t="s">
        <v>13</v>
      </c>
      <c r="B8962" t="s">
        <v>234</v>
      </c>
      <c r="C8962" t="s">
        <v>846</v>
      </c>
      <c r="D8962" t="s">
        <v>2017</v>
      </c>
      <c r="E8962" t="s">
        <v>2446</v>
      </c>
      <c r="F8962">
        <v>10686</v>
      </c>
    </row>
    <row r="8963" spans="1:6">
      <c r="A8963" t="s">
        <v>13</v>
      </c>
      <c r="B8963" t="s">
        <v>234</v>
      </c>
      <c r="C8963" t="s">
        <v>846</v>
      </c>
      <c r="D8963" t="s">
        <v>2017</v>
      </c>
      <c r="E8963" t="s">
        <v>2447</v>
      </c>
      <c r="F8963">
        <v>10679</v>
      </c>
    </row>
    <row r="8964" spans="1:6">
      <c r="A8964" t="s">
        <v>13</v>
      </c>
      <c r="B8964" t="s">
        <v>234</v>
      </c>
      <c r="C8964" t="s">
        <v>846</v>
      </c>
      <c r="D8964" t="s">
        <v>2017</v>
      </c>
      <c r="E8964" t="s">
        <v>2448</v>
      </c>
      <c r="F8964">
        <v>15057</v>
      </c>
    </row>
    <row r="8965" spans="1:6">
      <c r="A8965" t="s">
        <v>13</v>
      </c>
      <c r="B8965" t="s">
        <v>234</v>
      </c>
      <c r="C8965" t="s">
        <v>846</v>
      </c>
      <c r="D8965" t="s">
        <v>2017</v>
      </c>
      <c r="E8965" t="s">
        <v>2449</v>
      </c>
      <c r="F8965">
        <v>14981</v>
      </c>
    </row>
    <row r="8966" spans="1:6">
      <c r="A8966" t="s">
        <v>13</v>
      </c>
      <c r="B8966" t="s">
        <v>234</v>
      </c>
      <c r="C8966" t="s">
        <v>846</v>
      </c>
      <c r="D8966" t="s">
        <v>2017</v>
      </c>
      <c r="E8966" t="s">
        <v>2450</v>
      </c>
      <c r="F8966">
        <v>14906</v>
      </c>
    </row>
    <row r="8967" spans="1:6">
      <c r="A8967" t="s">
        <v>13</v>
      </c>
      <c r="B8967" t="s">
        <v>234</v>
      </c>
      <c r="C8967" t="s">
        <v>846</v>
      </c>
      <c r="D8967" t="s">
        <v>2017</v>
      </c>
      <c r="E8967" t="s">
        <v>2451</v>
      </c>
      <c r="F8967">
        <v>14869</v>
      </c>
    </row>
    <row r="8968" spans="1:6">
      <c r="A8968" t="s">
        <v>13</v>
      </c>
      <c r="B8968" t="s">
        <v>234</v>
      </c>
      <c r="C8968" t="s">
        <v>846</v>
      </c>
      <c r="D8968" t="s">
        <v>2017</v>
      </c>
      <c r="E8968" t="s">
        <v>2452</v>
      </c>
      <c r="F8968">
        <v>14852</v>
      </c>
    </row>
    <row r="8969" spans="1:6">
      <c r="A8969" t="s">
        <v>13</v>
      </c>
      <c r="B8969" t="s">
        <v>234</v>
      </c>
      <c r="C8969" t="s">
        <v>846</v>
      </c>
      <c r="D8969" t="s">
        <v>2017</v>
      </c>
      <c r="E8969" t="s">
        <v>2453</v>
      </c>
      <c r="F8969">
        <v>14831</v>
      </c>
    </row>
    <row r="8970" spans="1:6">
      <c r="A8970" t="s">
        <v>13</v>
      </c>
      <c r="B8970" t="s">
        <v>234</v>
      </c>
      <c r="C8970" t="s">
        <v>846</v>
      </c>
      <c r="D8970" t="s">
        <v>2017</v>
      </c>
      <c r="E8970" t="s">
        <v>2454</v>
      </c>
      <c r="F8970">
        <v>14814</v>
      </c>
    </row>
    <row r="8971" spans="1:6">
      <c r="A8971" t="s">
        <v>13</v>
      </c>
      <c r="B8971" t="s">
        <v>234</v>
      </c>
      <c r="C8971" t="s">
        <v>846</v>
      </c>
      <c r="D8971" t="s">
        <v>2017</v>
      </c>
      <c r="E8971" t="s">
        <v>2455</v>
      </c>
      <c r="F8971">
        <v>6613</v>
      </c>
    </row>
    <row r="8972" spans="1:6">
      <c r="A8972" t="s">
        <v>13</v>
      </c>
      <c r="B8972" t="s">
        <v>234</v>
      </c>
      <c r="C8972" t="s">
        <v>846</v>
      </c>
      <c r="D8972" t="s">
        <v>2017</v>
      </c>
      <c r="E8972" t="s">
        <v>2456</v>
      </c>
      <c r="F8972">
        <v>6592</v>
      </c>
    </row>
    <row r="8973" spans="1:6">
      <c r="A8973" t="s">
        <v>13</v>
      </c>
      <c r="B8973" t="s">
        <v>234</v>
      </c>
      <c r="C8973" t="s">
        <v>846</v>
      </c>
      <c r="D8973" t="s">
        <v>2017</v>
      </c>
      <c r="E8973" t="s">
        <v>1963</v>
      </c>
      <c r="F8973">
        <v>2012</v>
      </c>
    </row>
    <row r="8974" spans="1:6">
      <c r="A8974" t="s">
        <v>13</v>
      </c>
      <c r="B8974" t="s">
        <v>234</v>
      </c>
      <c r="C8974" t="s">
        <v>846</v>
      </c>
      <c r="D8974" t="s">
        <v>2017</v>
      </c>
      <c r="E8974" t="s">
        <v>1964</v>
      </c>
      <c r="F8974">
        <v>57627</v>
      </c>
    </row>
    <row r="8975" spans="1:6">
      <c r="A8975" t="s">
        <v>13</v>
      </c>
      <c r="B8975" t="s">
        <v>234</v>
      </c>
      <c r="C8975" t="s">
        <v>846</v>
      </c>
      <c r="D8975" t="s">
        <v>2017</v>
      </c>
      <c r="E8975" t="s">
        <v>1965</v>
      </c>
      <c r="F8975">
        <v>57153</v>
      </c>
    </row>
    <row r="8976" spans="1:6">
      <c r="A8976" t="s">
        <v>13</v>
      </c>
      <c r="B8976" t="s">
        <v>234</v>
      </c>
      <c r="C8976" t="s">
        <v>846</v>
      </c>
      <c r="D8976" t="s">
        <v>2017</v>
      </c>
      <c r="E8976" t="s">
        <v>1966</v>
      </c>
      <c r="F8976">
        <v>56433</v>
      </c>
    </row>
    <row r="8977" spans="1:6">
      <c r="A8977" t="s">
        <v>13</v>
      </c>
      <c r="B8977" t="s">
        <v>234</v>
      </c>
      <c r="C8977" t="s">
        <v>846</v>
      </c>
      <c r="D8977" t="s">
        <v>2017</v>
      </c>
      <c r="E8977" t="s">
        <v>1967</v>
      </c>
      <c r="F8977">
        <v>56414</v>
      </c>
    </row>
    <row r="8978" spans="1:6">
      <c r="A8978" t="s">
        <v>13</v>
      </c>
      <c r="B8978" t="s">
        <v>234</v>
      </c>
      <c r="C8978" t="s">
        <v>846</v>
      </c>
      <c r="D8978" t="s">
        <v>2017</v>
      </c>
      <c r="E8978" t="s">
        <v>2457</v>
      </c>
      <c r="F8978">
        <v>56401</v>
      </c>
    </row>
    <row r="8979" spans="1:6">
      <c r="A8979" t="s">
        <v>13</v>
      </c>
      <c r="B8979" t="s">
        <v>234</v>
      </c>
      <c r="C8979" t="s">
        <v>846</v>
      </c>
      <c r="D8979" t="s">
        <v>2017</v>
      </c>
      <c r="E8979" t="s">
        <v>2458</v>
      </c>
      <c r="F8979">
        <v>56397</v>
      </c>
    </row>
    <row r="8980" spans="1:6">
      <c r="A8980" t="s">
        <v>13</v>
      </c>
      <c r="B8980" t="s">
        <v>234</v>
      </c>
      <c r="C8980" t="s">
        <v>846</v>
      </c>
      <c r="D8980" t="s">
        <v>2017</v>
      </c>
      <c r="E8980" t="s">
        <v>2459</v>
      </c>
      <c r="F8980">
        <v>56379</v>
      </c>
    </row>
    <row r="8981" spans="1:6">
      <c r="A8981" t="s">
        <v>13</v>
      </c>
      <c r="B8981" t="s">
        <v>234</v>
      </c>
      <c r="C8981" t="s">
        <v>846</v>
      </c>
      <c r="D8981" t="s">
        <v>2017</v>
      </c>
      <c r="E8981" t="s">
        <v>2460</v>
      </c>
      <c r="F8981">
        <v>56372</v>
      </c>
    </row>
    <row r="8982" spans="1:6">
      <c r="A8982" t="s">
        <v>13</v>
      </c>
      <c r="B8982" t="s">
        <v>234</v>
      </c>
      <c r="C8982" t="s">
        <v>846</v>
      </c>
      <c r="D8982" t="s">
        <v>2017</v>
      </c>
      <c r="E8982" t="s">
        <v>2461</v>
      </c>
      <c r="F8982">
        <v>56365</v>
      </c>
    </row>
    <row r="8983" spans="1:6">
      <c r="A8983" t="s">
        <v>13</v>
      </c>
      <c r="B8983" t="s">
        <v>234</v>
      </c>
      <c r="C8983" t="s">
        <v>846</v>
      </c>
      <c r="D8983" t="s">
        <v>2017</v>
      </c>
      <c r="E8983" t="s">
        <v>2462</v>
      </c>
      <c r="F8983">
        <v>57243</v>
      </c>
    </row>
    <row r="8984" spans="1:6">
      <c r="A8984" t="s">
        <v>13</v>
      </c>
      <c r="B8984" t="s">
        <v>234</v>
      </c>
      <c r="C8984" t="s">
        <v>846</v>
      </c>
      <c r="D8984" t="s">
        <v>2017</v>
      </c>
      <c r="E8984" t="s">
        <v>2463</v>
      </c>
      <c r="F8984">
        <v>57174</v>
      </c>
    </row>
    <row r="8985" spans="1:6">
      <c r="A8985" t="s">
        <v>13</v>
      </c>
      <c r="B8985" t="s">
        <v>234</v>
      </c>
      <c r="C8985" t="s">
        <v>846</v>
      </c>
      <c r="D8985" t="s">
        <v>2017</v>
      </c>
      <c r="E8985" t="s">
        <v>2464</v>
      </c>
      <c r="F8985">
        <v>57116</v>
      </c>
    </row>
    <row r="8986" spans="1:6">
      <c r="A8986" t="s">
        <v>13</v>
      </c>
      <c r="B8986" t="s">
        <v>234</v>
      </c>
      <c r="C8986" t="s">
        <v>846</v>
      </c>
      <c r="D8986" t="s">
        <v>2017</v>
      </c>
      <c r="E8986" t="s">
        <v>2465</v>
      </c>
      <c r="F8986">
        <v>57084</v>
      </c>
    </row>
    <row r="8987" spans="1:6">
      <c r="A8987" t="s">
        <v>13</v>
      </c>
      <c r="B8987" t="s">
        <v>234</v>
      </c>
      <c r="C8987" t="s">
        <v>846</v>
      </c>
      <c r="D8987" t="s">
        <v>2017</v>
      </c>
      <c r="E8987" t="s">
        <v>2466</v>
      </c>
      <c r="F8987">
        <v>57067</v>
      </c>
    </row>
    <row r="8988" spans="1:6">
      <c r="A8988" t="s">
        <v>13</v>
      </c>
      <c r="B8988" t="s">
        <v>234</v>
      </c>
      <c r="C8988" t="s">
        <v>846</v>
      </c>
      <c r="D8988" t="s">
        <v>2017</v>
      </c>
      <c r="E8988" t="s">
        <v>2467</v>
      </c>
      <c r="F8988">
        <v>57047</v>
      </c>
    </row>
    <row r="8989" spans="1:6">
      <c r="A8989" t="s">
        <v>13</v>
      </c>
      <c r="B8989" t="s">
        <v>234</v>
      </c>
      <c r="C8989" t="s">
        <v>846</v>
      </c>
      <c r="D8989" t="s">
        <v>2017</v>
      </c>
      <c r="E8989" t="s">
        <v>2468</v>
      </c>
      <c r="F8989">
        <v>57040</v>
      </c>
    </row>
    <row r="8990" spans="1:6">
      <c r="A8990" t="s">
        <v>13</v>
      </c>
      <c r="B8990" t="s">
        <v>234</v>
      </c>
      <c r="C8990" t="s">
        <v>846</v>
      </c>
      <c r="D8990" t="s">
        <v>2017</v>
      </c>
      <c r="E8990" t="s">
        <v>2469</v>
      </c>
      <c r="F8990">
        <v>3342</v>
      </c>
    </row>
    <row r="8991" spans="1:6">
      <c r="A8991" t="s">
        <v>13</v>
      </c>
      <c r="B8991" t="s">
        <v>234</v>
      </c>
      <c r="C8991" t="s">
        <v>846</v>
      </c>
      <c r="D8991" t="s">
        <v>2017</v>
      </c>
      <c r="E8991" t="s">
        <v>2470</v>
      </c>
      <c r="F8991">
        <v>3317</v>
      </c>
    </row>
    <row r="8992" spans="1:6">
      <c r="A8992" t="s">
        <v>13</v>
      </c>
      <c r="B8992" t="s">
        <v>234</v>
      </c>
      <c r="C8992" t="s">
        <v>846</v>
      </c>
      <c r="D8992" t="s">
        <v>2017</v>
      </c>
      <c r="E8992" t="s">
        <v>1971</v>
      </c>
      <c r="F8992">
        <v>2013</v>
      </c>
    </row>
    <row r="8993" spans="1:6">
      <c r="A8993" t="s">
        <v>13</v>
      </c>
      <c r="B8993" t="s">
        <v>234</v>
      </c>
      <c r="C8993" t="s">
        <v>846</v>
      </c>
      <c r="D8993" t="s">
        <v>2017</v>
      </c>
      <c r="E8993" t="s">
        <v>1972</v>
      </c>
      <c r="F8993">
        <v>13410</v>
      </c>
    </row>
    <row r="8994" spans="1:6">
      <c r="A8994" t="s">
        <v>13</v>
      </c>
      <c r="B8994" t="s">
        <v>234</v>
      </c>
      <c r="C8994" t="s">
        <v>846</v>
      </c>
      <c r="D8994" t="s">
        <v>2017</v>
      </c>
      <c r="E8994" t="s">
        <v>1973</v>
      </c>
      <c r="F8994">
        <v>12934</v>
      </c>
    </row>
    <row r="8995" spans="1:6">
      <c r="A8995" t="s">
        <v>13</v>
      </c>
      <c r="B8995" t="s">
        <v>234</v>
      </c>
      <c r="C8995" t="s">
        <v>846</v>
      </c>
      <c r="D8995" t="s">
        <v>2017</v>
      </c>
      <c r="E8995" t="s">
        <v>1974</v>
      </c>
      <c r="F8995">
        <v>12261</v>
      </c>
    </row>
    <row r="8996" spans="1:6">
      <c r="A8996" t="s">
        <v>13</v>
      </c>
      <c r="B8996" t="s">
        <v>234</v>
      </c>
      <c r="C8996" t="s">
        <v>846</v>
      </c>
      <c r="D8996" t="s">
        <v>2017</v>
      </c>
      <c r="E8996" t="s">
        <v>1975</v>
      </c>
      <c r="F8996">
        <v>12256</v>
      </c>
    </row>
    <row r="8997" spans="1:6">
      <c r="A8997" t="s">
        <v>13</v>
      </c>
      <c r="B8997" t="s">
        <v>234</v>
      </c>
      <c r="C8997" t="s">
        <v>846</v>
      </c>
      <c r="D8997" t="s">
        <v>2017</v>
      </c>
      <c r="E8997" t="s">
        <v>2471</v>
      </c>
      <c r="F8997">
        <v>12237</v>
      </c>
    </row>
    <row r="8998" spans="1:6">
      <c r="A8998" t="s">
        <v>13</v>
      </c>
      <c r="B8998" t="s">
        <v>234</v>
      </c>
      <c r="C8998" t="s">
        <v>846</v>
      </c>
      <c r="D8998" t="s">
        <v>2017</v>
      </c>
      <c r="E8998" t="s">
        <v>2472</v>
      </c>
      <c r="F8998">
        <v>12228</v>
      </c>
    </row>
    <row r="8999" spans="1:6">
      <c r="A8999" t="s">
        <v>13</v>
      </c>
      <c r="B8999" t="s">
        <v>234</v>
      </c>
      <c r="C8999" t="s">
        <v>846</v>
      </c>
      <c r="D8999" t="s">
        <v>2017</v>
      </c>
      <c r="E8999" t="s">
        <v>2473</v>
      </c>
      <c r="F8999">
        <v>12207</v>
      </c>
    </row>
    <row r="9000" spans="1:6">
      <c r="A9000" t="s">
        <v>13</v>
      </c>
      <c r="B9000" t="s">
        <v>234</v>
      </c>
      <c r="C9000" t="s">
        <v>846</v>
      </c>
      <c r="D9000" t="s">
        <v>2017</v>
      </c>
      <c r="E9000" t="s">
        <v>2474</v>
      </c>
      <c r="F9000">
        <v>12201</v>
      </c>
    </row>
    <row r="9001" spans="1:6">
      <c r="A9001" t="s">
        <v>13</v>
      </c>
      <c r="B9001" t="s">
        <v>234</v>
      </c>
      <c r="C9001" t="s">
        <v>846</v>
      </c>
      <c r="D9001" t="s">
        <v>2017</v>
      </c>
      <c r="E9001" t="s">
        <v>2475</v>
      </c>
      <c r="F9001">
        <v>11621</v>
      </c>
    </row>
    <row r="9002" spans="1:6">
      <c r="A9002" t="s">
        <v>13</v>
      </c>
      <c r="B9002" t="s">
        <v>234</v>
      </c>
      <c r="C9002" t="s">
        <v>846</v>
      </c>
      <c r="D9002" t="s">
        <v>2017</v>
      </c>
      <c r="E9002" t="s">
        <v>2476</v>
      </c>
      <c r="F9002">
        <v>10684</v>
      </c>
    </row>
    <row r="9003" spans="1:6">
      <c r="A9003" t="s">
        <v>13</v>
      </c>
      <c r="B9003" t="s">
        <v>234</v>
      </c>
      <c r="C9003" t="s">
        <v>846</v>
      </c>
      <c r="D9003" t="s">
        <v>2017</v>
      </c>
      <c r="E9003" t="s">
        <v>2477</v>
      </c>
      <c r="F9003">
        <v>10438</v>
      </c>
    </row>
    <row r="9004" spans="1:6">
      <c r="A9004" t="s">
        <v>13</v>
      </c>
      <c r="B9004" t="s">
        <v>234</v>
      </c>
      <c r="C9004" t="s">
        <v>846</v>
      </c>
      <c r="D9004" t="s">
        <v>2017</v>
      </c>
      <c r="E9004" t="s">
        <v>2478</v>
      </c>
      <c r="F9004">
        <v>10366</v>
      </c>
    </row>
    <row r="9005" spans="1:6">
      <c r="A9005" t="s">
        <v>13</v>
      </c>
      <c r="B9005" t="s">
        <v>234</v>
      </c>
      <c r="C9005" t="s">
        <v>846</v>
      </c>
      <c r="D9005" t="s">
        <v>2017</v>
      </c>
      <c r="E9005" t="s">
        <v>2479</v>
      </c>
      <c r="F9005">
        <v>10308</v>
      </c>
    </row>
    <row r="9006" spans="1:6">
      <c r="A9006" t="s">
        <v>13</v>
      </c>
      <c r="B9006" t="s">
        <v>234</v>
      </c>
      <c r="C9006" t="s">
        <v>846</v>
      </c>
      <c r="D9006" t="s">
        <v>2017</v>
      </c>
      <c r="E9006" t="s">
        <v>2480</v>
      </c>
      <c r="F9006">
        <v>10274</v>
      </c>
    </row>
    <row r="9007" spans="1:6">
      <c r="A9007" t="s">
        <v>13</v>
      </c>
      <c r="B9007" t="s">
        <v>234</v>
      </c>
      <c r="C9007" t="s">
        <v>846</v>
      </c>
      <c r="D9007" t="s">
        <v>2017</v>
      </c>
      <c r="E9007" t="s">
        <v>2481</v>
      </c>
      <c r="F9007">
        <v>10223</v>
      </c>
    </row>
    <row r="9008" spans="1:6">
      <c r="A9008" t="s">
        <v>13</v>
      </c>
      <c r="B9008" t="s">
        <v>234</v>
      </c>
      <c r="C9008" t="s">
        <v>846</v>
      </c>
      <c r="D9008" t="s">
        <v>2017</v>
      </c>
      <c r="E9008" t="s">
        <v>2482</v>
      </c>
      <c r="F9008">
        <v>10203</v>
      </c>
    </row>
    <row r="9009" spans="1:6">
      <c r="A9009" t="s">
        <v>13</v>
      </c>
      <c r="B9009" t="s">
        <v>234</v>
      </c>
      <c r="C9009" t="s">
        <v>846</v>
      </c>
      <c r="D9009" t="s">
        <v>2017</v>
      </c>
      <c r="E9009" t="s">
        <v>2483</v>
      </c>
      <c r="F9009">
        <v>5400</v>
      </c>
    </row>
    <row r="9010" spans="1:6">
      <c r="A9010" t="s">
        <v>13</v>
      </c>
      <c r="B9010" t="s">
        <v>234</v>
      </c>
      <c r="C9010" t="s">
        <v>846</v>
      </c>
      <c r="D9010" t="s">
        <v>2017</v>
      </c>
      <c r="E9010" t="s">
        <v>2484</v>
      </c>
      <c r="F9010">
        <v>5378</v>
      </c>
    </row>
    <row r="9011" spans="1:6">
      <c r="A9011" t="s">
        <v>13</v>
      </c>
      <c r="B9011" t="s">
        <v>234</v>
      </c>
      <c r="C9011" t="s">
        <v>846</v>
      </c>
      <c r="D9011" t="s">
        <v>2017</v>
      </c>
      <c r="E9011" t="s">
        <v>2485</v>
      </c>
      <c r="F9011">
        <v>2014</v>
      </c>
    </row>
    <row r="9012" spans="1:6">
      <c r="A9012" t="s">
        <v>13</v>
      </c>
      <c r="B9012" t="s">
        <v>234</v>
      </c>
      <c r="C9012" t="s">
        <v>846</v>
      </c>
      <c r="D9012" t="s">
        <v>2017</v>
      </c>
      <c r="E9012" t="s">
        <v>2486</v>
      </c>
      <c r="F9012">
        <v>5832</v>
      </c>
    </row>
    <row r="9013" spans="1:6">
      <c r="A9013" t="s">
        <v>13</v>
      </c>
      <c r="B9013" t="s">
        <v>234</v>
      </c>
      <c r="C9013" t="s">
        <v>846</v>
      </c>
      <c r="D9013" t="s">
        <v>2017</v>
      </c>
      <c r="E9013" t="s">
        <v>2487</v>
      </c>
      <c r="F9013">
        <v>4959</v>
      </c>
    </row>
    <row r="9014" spans="1:6">
      <c r="A9014" t="s">
        <v>13</v>
      </c>
      <c r="B9014" t="s">
        <v>234</v>
      </c>
      <c r="C9014" t="s">
        <v>846</v>
      </c>
      <c r="D9014" t="s">
        <v>2017</v>
      </c>
      <c r="E9014" t="s">
        <v>2488</v>
      </c>
      <c r="F9014">
        <v>3995</v>
      </c>
    </row>
    <row r="9015" spans="1:6">
      <c r="A9015" t="s">
        <v>13</v>
      </c>
      <c r="B9015" t="s">
        <v>234</v>
      </c>
      <c r="C9015" t="s">
        <v>846</v>
      </c>
      <c r="D9015" t="s">
        <v>2017</v>
      </c>
      <c r="E9015" t="s">
        <v>2489</v>
      </c>
      <c r="F9015">
        <v>3993</v>
      </c>
    </row>
    <row r="9016" spans="1:6">
      <c r="A9016" t="s">
        <v>13</v>
      </c>
      <c r="B9016" t="s">
        <v>234</v>
      </c>
      <c r="C9016" t="s">
        <v>846</v>
      </c>
      <c r="D9016" t="s">
        <v>2017</v>
      </c>
      <c r="E9016" t="s">
        <v>2490</v>
      </c>
      <c r="F9016">
        <v>3985</v>
      </c>
    </row>
    <row r="9017" spans="1:6">
      <c r="A9017" t="s">
        <v>13</v>
      </c>
      <c r="B9017" t="s">
        <v>234</v>
      </c>
      <c r="C9017" t="s">
        <v>846</v>
      </c>
      <c r="D9017" t="s">
        <v>2017</v>
      </c>
      <c r="E9017" t="s">
        <v>2491</v>
      </c>
      <c r="F9017">
        <v>3981</v>
      </c>
    </row>
    <row r="9018" spans="1:6">
      <c r="A9018" t="s">
        <v>13</v>
      </c>
      <c r="B9018" t="s">
        <v>234</v>
      </c>
      <c r="C9018" t="s">
        <v>846</v>
      </c>
      <c r="D9018" t="s">
        <v>2017</v>
      </c>
      <c r="E9018" t="s">
        <v>2492</v>
      </c>
      <c r="F9018">
        <v>3969</v>
      </c>
    </row>
    <row r="9019" spans="1:6">
      <c r="A9019" t="s">
        <v>13</v>
      </c>
      <c r="B9019" t="s">
        <v>234</v>
      </c>
      <c r="C9019" t="s">
        <v>846</v>
      </c>
      <c r="D9019" t="s">
        <v>2017</v>
      </c>
      <c r="E9019" t="s">
        <v>2493</v>
      </c>
      <c r="F9019">
        <v>3968</v>
      </c>
    </row>
    <row r="9020" spans="1:6">
      <c r="A9020" t="s">
        <v>13</v>
      </c>
      <c r="B9020" t="s">
        <v>234</v>
      </c>
      <c r="C9020" t="s">
        <v>846</v>
      </c>
      <c r="D9020" t="s">
        <v>2017</v>
      </c>
      <c r="E9020" t="s">
        <v>2494</v>
      </c>
      <c r="F9020">
        <v>3965</v>
      </c>
    </row>
    <row r="9021" spans="1:6">
      <c r="A9021" t="s">
        <v>13</v>
      </c>
      <c r="B9021" t="s">
        <v>234</v>
      </c>
      <c r="C9021" t="s">
        <v>846</v>
      </c>
      <c r="D9021" t="s">
        <v>2017</v>
      </c>
      <c r="E9021" t="s">
        <v>2495</v>
      </c>
      <c r="F9021">
        <v>3937</v>
      </c>
    </row>
    <row r="9022" spans="1:6">
      <c r="A9022" t="s">
        <v>13</v>
      </c>
      <c r="B9022" t="s">
        <v>234</v>
      </c>
      <c r="C9022" t="s">
        <v>846</v>
      </c>
      <c r="D9022" t="s">
        <v>2017</v>
      </c>
      <c r="E9022" t="s">
        <v>2496</v>
      </c>
      <c r="F9022">
        <v>3925</v>
      </c>
    </row>
    <row r="9023" spans="1:6">
      <c r="A9023" t="s">
        <v>13</v>
      </c>
      <c r="B9023" t="s">
        <v>234</v>
      </c>
      <c r="C9023" t="s">
        <v>846</v>
      </c>
      <c r="D9023" t="s">
        <v>2017</v>
      </c>
      <c r="E9023" t="s">
        <v>2497</v>
      </c>
      <c r="F9023">
        <v>3913</v>
      </c>
    </row>
    <row r="9024" spans="1:6">
      <c r="A9024" t="s">
        <v>13</v>
      </c>
      <c r="B9024" t="s">
        <v>234</v>
      </c>
      <c r="C9024" t="s">
        <v>846</v>
      </c>
      <c r="D9024" t="s">
        <v>2017</v>
      </c>
      <c r="E9024" t="s">
        <v>2498</v>
      </c>
      <c r="F9024">
        <v>3911</v>
      </c>
    </row>
    <row r="9025" spans="1:6">
      <c r="A9025" t="s">
        <v>13</v>
      </c>
      <c r="B9025" t="s">
        <v>234</v>
      </c>
      <c r="C9025" t="s">
        <v>846</v>
      </c>
      <c r="D9025" t="s">
        <v>2017</v>
      </c>
      <c r="E9025" t="s">
        <v>2499</v>
      </c>
      <c r="F9025">
        <v>3908</v>
      </c>
    </row>
    <row r="9026" spans="1:6">
      <c r="A9026" t="s">
        <v>13</v>
      </c>
      <c r="B9026" t="s">
        <v>234</v>
      </c>
      <c r="C9026" t="s">
        <v>846</v>
      </c>
      <c r="D9026" t="s">
        <v>2017</v>
      </c>
      <c r="E9026" t="s">
        <v>2500</v>
      </c>
      <c r="F9026">
        <v>3901</v>
      </c>
    </row>
    <row r="9027" spans="1:6">
      <c r="A9027" t="s">
        <v>13</v>
      </c>
      <c r="B9027" t="s">
        <v>234</v>
      </c>
      <c r="C9027" t="s">
        <v>846</v>
      </c>
      <c r="D9027" t="s">
        <v>2017</v>
      </c>
      <c r="E9027" t="s">
        <v>2501</v>
      </c>
      <c r="F9027">
        <v>3900</v>
      </c>
    </row>
    <row r="9028" spans="1:6">
      <c r="A9028" t="s">
        <v>13</v>
      </c>
      <c r="B9028" t="s">
        <v>234</v>
      </c>
      <c r="C9028" t="s">
        <v>846</v>
      </c>
      <c r="D9028" t="s">
        <v>2017</v>
      </c>
      <c r="E9028" t="s">
        <v>2502</v>
      </c>
      <c r="F9028">
        <v>680</v>
      </c>
    </row>
    <row r="9029" spans="1:6">
      <c r="A9029" t="s">
        <v>13</v>
      </c>
      <c r="B9029" t="s">
        <v>234</v>
      </c>
      <c r="C9029" t="s">
        <v>846</v>
      </c>
      <c r="D9029" t="s">
        <v>2017</v>
      </c>
      <c r="E9029" t="s">
        <v>2503</v>
      </c>
      <c r="F9029">
        <v>671</v>
      </c>
    </row>
    <row r="9030" spans="1:6">
      <c r="A9030" t="s">
        <v>13</v>
      </c>
      <c r="B9030" t="s">
        <v>234</v>
      </c>
      <c r="C9030" t="s">
        <v>846</v>
      </c>
      <c r="D9030" t="s">
        <v>2017</v>
      </c>
      <c r="E9030" t="s">
        <v>2504</v>
      </c>
      <c r="F9030">
        <v>2015</v>
      </c>
    </row>
    <row r="9031" spans="1:6">
      <c r="A9031" t="s">
        <v>13</v>
      </c>
      <c r="B9031" t="s">
        <v>234</v>
      </c>
      <c r="C9031" t="s">
        <v>846</v>
      </c>
      <c r="D9031" t="s">
        <v>2017</v>
      </c>
      <c r="E9031" t="s">
        <v>2505</v>
      </c>
      <c r="F9031">
        <v>150261</v>
      </c>
    </row>
    <row r="9032" spans="1:6">
      <c r="A9032" t="s">
        <v>13</v>
      </c>
      <c r="B9032" t="s">
        <v>234</v>
      </c>
      <c r="C9032" t="s">
        <v>846</v>
      </c>
      <c r="D9032" t="s">
        <v>2017</v>
      </c>
      <c r="E9032" t="s">
        <v>2506</v>
      </c>
      <c r="F9032">
        <v>143576</v>
      </c>
    </row>
    <row r="9033" spans="1:6">
      <c r="A9033" t="s">
        <v>13</v>
      </c>
      <c r="B9033" t="s">
        <v>234</v>
      </c>
      <c r="C9033" t="s">
        <v>846</v>
      </c>
      <c r="D9033" t="s">
        <v>2017</v>
      </c>
      <c r="E9033" t="s">
        <v>2507</v>
      </c>
      <c r="F9033">
        <v>135539</v>
      </c>
    </row>
    <row r="9034" spans="1:6">
      <c r="A9034" t="s">
        <v>13</v>
      </c>
      <c r="B9034" t="s">
        <v>234</v>
      </c>
      <c r="C9034" t="s">
        <v>846</v>
      </c>
      <c r="D9034" t="s">
        <v>2017</v>
      </c>
      <c r="E9034" t="s">
        <v>2508</v>
      </c>
      <c r="F9034">
        <v>131915</v>
      </c>
    </row>
    <row r="9035" spans="1:6">
      <c r="A9035" t="s">
        <v>13</v>
      </c>
      <c r="B9035" t="s">
        <v>234</v>
      </c>
      <c r="C9035" t="s">
        <v>846</v>
      </c>
      <c r="D9035" t="s">
        <v>2017</v>
      </c>
      <c r="E9035" t="s">
        <v>2509</v>
      </c>
      <c r="F9035">
        <v>130391</v>
      </c>
    </row>
    <row r="9036" spans="1:6">
      <c r="A9036" t="s">
        <v>13</v>
      </c>
      <c r="B9036" t="s">
        <v>234</v>
      </c>
      <c r="C9036" t="s">
        <v>846</v>
      </c>
      <c r="D9036" t="s">
        <v>2017</v>
      </c>
      <c r="E9036" t="s">
        <v>2510</v>
      </c>
      <c r="F9036">
        <v>129586</v>
      </c>
    </row>
    <row r="9037" spans="1:6">
      <c r="A9037" t="s">
        <v>13</v>
      </c>
      <c r="B9037" t="s">
        <v>234</v>
      </c>
      <c r="C9037" t="s">
        <v>846</v>
      </c>
      <c r="D9037" t="s">
        <v>2017</v>
      </c>
      <c r="E9037" t="s">
        <v>2511</v>
      </c>
      <c r="F9037">
        <v>128906</v>
      </c>
    </row>
    <row r="9038" spans="1:6">
      <c r="A9038" t="s">
        <v>13</v>
      </c>
      <c r="B9038" t="s">
        <v>234</v>
      </c>
      <c r="C9038" t="s">
        <v>846</v>
      </c>
      <c r="D9038" t="s">
        <v>2017</v>
      </c>
      <c r="E9038" t="s">
        <v>2512</v>
      </c>
      <c r="F9038">
        <v>128303</v>
      </c>
    </row>
    <row r="9039" spans="1:6">
      <c r="A9039" t="s">
        <v>13</v>
      </c>
      <c r="B9039" t="s">
        <v>234</v>
      </c>
      <c r="C9039" t="s">
        <v>846</v>
      </c>
      <c r="D9039" t="s">
        <v>2017</v>
      </c>
      <c r="E9039" t="s">
        <v>2513</v>
      </c>
      <c r="F9039">
        <v>127911</v>
      </c>
    </row>
    <row r="9040" spans="1:6">
      <c r="A9040" t="s">
        <v>13</v>
      </c>
      <c r="B9040" t="s">
        <v>234</v>
      </c>
      <c r="C9040" t="s">
        <v>846</v>
      </c>
      <c r="D9040" t="s">
        <v>2017</v>
      </c>
      <c r="E9040" t="s">
        <v>2514</v>
      </c>
      <c r="F9040">
        <v>127752</v>
      </c>
    </row>
    <row r="9041" spans="1:6">
      <c r="A9041" t="s">
        <v>13</v>
      </c>
      <c r="B9041" t="s">
        <v>234</v>
      </c>
      <c r="C9041" t="s">
        <v>846</v>
      </c>
      <c r="D9041" t="s">
        <v>2017</v>
      </c>
      <c r="E9041" t="s">
        <v>2515</v>
      </c>
      <c r="F9041">
        <v>127350</v>
      </c>
    </row>
    <row r="9042" spans="1:6">
      <c r="A9042" t="s">
        <v>13</v>
      </c>
      <c r="B9042" t="s">
        <v>234</v>
      </c>
      <c r="C9042" t="s">
        <v>846</v>
      </c>
      <c r="D9042" t="s">
        <v>2017</v>
      </c>
      <c r="E9042" t="s">
        <v>2516</v>
      </c>
      <c r="F9042">
        <v>126549</v>
      </c>
    </row>
    <row r="9043" spans="1:6">
      <c r="A9043" t="s">
        <v>13</v>
      </c>
      <c r="B9043" t="s">
        <v>234</v>
      </c>
      <c r="C9043" t="s">
        <v>846</v>
      </c>
      <c r="D9043" t="s">
        <v>2017</v>
      </c>
      <c r="E9043" t="s">
        <v>2517</v>
      </c>
      <c r="F9043">
        <v>125835</v>
      </c>
    </row>
    <row r="9044" spans="1:6">
      <c r="A9044" t="s">
        <v>13</v>
      </c>
      <c r="B9044" t="s">
        <v>234</v>
      </c>
      <c r="C9044" t="s">
        <v>846</v>
      </c>
      <c r="D9044" t="s">
        <v>2017</v>
      </c>
      <c r="E9044" t="s">
        <v>2518</v>
      </c>
      <c r="F9044">
        <v>125523</v>
      </c>
    </row>
    <row r="9045" spans="1:6">
      <c r="A9045" t="s">
        <v>13</v>
      </c>
      <c r="B9045" t="s">
        <v>234</v>
      </c>
      <c r="C9045" t="s">
        <v>846</v>
      </c>
      <c r="D9045" t="s">
        <v>2017</v>
      </c>
      <c r="E9045" t="s">
        <v>2519</v>
      </c>
      <c r="F9045">
        <v>124856</v>
      </c>
    </row>
    <row r="9046" spans="1:6">
      <c r="A9046" t="s">
        <v>13</v>
      </c>
      <c r="B9046" t="s">
        <v>234</v>
      </c>
      <c r="C9046" t="s">
        <v>846</v>
      </c>
      <c r="D9046" t="s">
        <v>2017</v>
      </c>
      <c r="E9046" t="s">
        <v>2520</v>
      </c>
      <c r="F9046">
        <v>124308</v>
      </c>
    </row>
    <row r="9047" spans="1:6">
      <c r="A9047" t="s">
        <v>13</v>
      </c>
      <c r="B9047" t="s">
        <v>234</v>
      </c>
      <c r="C9047" t="s">
        <v>846</v>
      </c>
      <c r="D9047" t="s">
        <v>2017</v>
      </c>
      <c r="E9047" t="s">
        <v>2521</v>
      </c>
      <c r="F9047">
        <v>112571</v>
      </c>
    </row>
    <row r="9048" spans="1:6">
      <c r="A9048" t="s">
        <v>13</v>
      </c>
      <c r="B9048" t="s">
        <v>234</v>
      </c>
      <c r="C9048" t="s">
        <v>846</v>
      </c>
      <c r="D9048" t="s">
        <v>2017</v>
      </c>
      <c r="E9048" t="s">
        <v>2522</v>
      </c>
      <c r="F9048">
        <v>111970</v>
      </c>
    </row>
    <row r="9049" spans="1:6">
      <c r="A9049" t="s">
        <v>13</v>
      </c>
      <c r="B9049" t="s">
        <v>234</v>
      </c>
      <c r="C9049" t="s">
        <v>846</v>
      </c>
      <c r="D9049" t="s">
        <v>2017</v>
      </c>
      <c r="E9049" t="s">
        <v>2523</v>
      </c>
      <c r="F9049">
        <v>2016</v>
      </c>
    </row>
    <row r="9050" spans="1:6">
      <c r="A9050" t="s">
        <v>13</v>
      </c>
      <c r="B9050" t="s">
        <v>234</v>
      </c>
      <c r="C9050" t="s">
        <v>846</v>
      </c>
      <c r="D9050" t="s">
        <v>2017</v>
      </c>
      <c r="E9050" t="s">
        <v>2524</v>
      </c>
      <c r="F9050">
        <v>47298</v>
      </c>
    </row>
    <row r="9051" spans="1:6">
      <c r="A9051" t="s">
        <v>13</v>
      </c>
      <c r="B9051" t="s">
        <v>234</v>
      </c>
      <c r="C9051" t="s">
        <v>846</v>
      </c>
      <c r="D9051" t="s">
        <v>2017</v>
      </c>
      <c r="E9051" t="s">
        <v>2525</v>
      </c>
      <c r="F9051">
        <v>35923</v>
      </c>
    </row>
    <row r="9052" spans="1:6">
      <c r="A9052" t="s">
        <v>13</v>
      </c>
      <c r="B9052" t="s">
        <v>234</v>
      </c>
      <c r="C9052" t="s">
        <v>846</v>
      </c>
      <c r="D9052" t="s">
        <v>2017</v>
      </c>
      <c r="E9052" t="s">
        <v>2526</v>
      </c>
      <c r="F9052">
        <v>22384</v>
      </c>
    </row>
    <row r="9053" spans="1:6">
      <c r="A9053" t="s">
        <v>13</v>
      </c>
      <c r="B9053" t="s">
        <v>234</v>
      </c>
      <c r="C9053" t="s">
        <v>846</v>
      </c>
      <c r="D9053" t="s">
        <v>2017</v>
      </c>
      <c r="E9053" t="s">
        <v>2527</v>
      </c>
      <c r="F9053">
        <v>22376</v>
      </c>
    </row>
    <row r="9054" spans="1:6">
      <c r="A9054" t="s">
        <v>13</v>
      </c>
      <c r="B9054" t="s">
        <v>234</v>
      </c>
      <c r="C9054" t="s">
        <v>846</v>
      </c>
      <c r="D9054" t="s">
        <v>2017</v>
      </c>
      <c r="E9054" t="s">
        <v>2528</v>
      </c>
      <c r="F9054">
        <v>22349</v>
      </c>
    </row>
    <row r="9055" spans="1:6">
      <c r="A9055" t="s">
        <v>13</v>
      </c>
      <c r="B9055" t="s">
        <v>234</v>
      </c>
      <c r="C9055" t="s">
        <v>846</v>
      </c>
      <c r="D9055" t="s">
        <v>2017</v>
      </c>
      <c r="E9055" t="s">
        <v>2529</v>
      </c>
      <c r="F9055">
        <v>22324</v>
      </c>
    </row>
    <row r="9056" spans="1:6">
      <c r="A9056" t="s">
        <v>13</v>
      </c>
      <c r="B9056" t="s">
        <v>234</v>
      </c>
      <c r="C9056" t="s">
        <v>846</v>
      </c>
      <c r="D9056" t="s">
        <v>2017</v>
      </c>
      <c r="E9056" t="s">
        <v>2530</v>
      </c>
      <c r="F9056">
        <v>22265</v>
      </c>
    </row>
    <row r="9057" spans="1:6">
      <c r="A9057" t="s">
        <v>13</v>
      </c>
      <c r="B9057" t="s">
        <v>234</v>
      </c>
      <c r="C9057" t="s">
        <v>846</v>
      </c>
      <c r="D9057" t="s">
        <v>2017</v>
      </c>
      <c r="E9057" t="s">
        <v>2531</v>
      </c>
      <c r="F9057">
        <v>22226</v>
      </c>
    </row>
    <row r="9058" spans="1:6">
      <c r="A9058" t="s">
        <v>13</v>
      </c>
      <c r="B9058" t="s">
        <v>234</v>
      </c>
      <c r="C9058" t="s">
        <v>846</v>
      </c>
      <c r="D9058" t="s">
        <v>2017</v>
      </c>
      <c r="E9058" t="s">
        <v>2532</v>
      </c>
      <c r="F9058">
        <v>22202</v>
      </c>
    </row>
    <row r="9059" spans="1:6">
      <c r="A9059" t="s">
        <v>13</v>
      </c>
      <c r="B9059" t="s">
        <v>234</v>
      </c>
      <c r="C9059" t="s">
        <v>846</v>
      </c>
      <c r="D9059" t="s">
        <v>2017</v>
      </c>
      <c r="E9059" t="s">
        <v>2533</v>
      </c>
      <c r="F9059">
        <v>22530</v>
      </c>
    </row>
    <row r="9060" spans="1:6">
      <c r="A9060" t="s">
        <v>13</v>
      </c>
      <c r="B9060" t="s">
        <v>234</v>
      </c>
      <c r="C9060" t="s">
        <v>846</v>
      </c>
      <c r="D9060" t="s">
        <v>2017</v>
      </c>
      <c r="E9060" t="s">
        <v>2534</v>
      </c>
      <c r="F9060">
        <v>22490</v>
      </c>
    </row>
    <row r="9061" spans="1:6">
      <c r="A9061" t="s">
        <v>13</v>
      </c>
      <c r="B9061" t="s">
        <v>234</v>
      </c>
      <c r="C9061" t="s">
        <v>846</v>
      </c>
      <c r="D9061" t="s">
        <v>2017</v>
      </c>
      <c r="E9061" t="s">
        <v>2535</v>
      </c>
      <c r="F9061">
        <v>22440</v>
      </c>
    </row>
    <row r="9062" spans="1:6">
      <c r="A9062" t="s">
        <v>13</v>
      </c>
      <c r="B9062" t="s">
        <v>234</v>
      </c>
      <c r="C9062" t="s">
        <v>846</v>
      </c>
      <c r="D9062" t="s">
        <v>2017</v>
      </c>
      <c r="E9062" t="s">
        <v>2536</v>
      </c>
      <c r="F9062">
        <v>22390</v>
      </c>
    </row>
    <row r="9063" spans="1:6">
      <c r="A9063" t="s">
        <v>13</v>
      </c>
      <c r="B9063" t="s">
        <v>234</v>
      </c>
      <c r="C9063" t="s">
        <v>846</v>
      </c>
      <c r="D9063" t="s">
        <v>2017</v>
      </c>
      <c r="E9063" t="s">
        <v>2537</v>
      </c>
      <c r="F9063">
        <v>22371</v>
      </c>
    </row>
    <row r="9064" spans="1:6">
      <c r="A9064" t="s">
        <v>13</v>
      </c>
      <c r="B9064" t="s">
        <v>234</v>
      </c>
      <c r="C9064" t="s">
        <v>846</v>
      </c>
      <c r="D9064" t="s">
        <v>2017</v>
      </c>
      <c r="E9064" t="s">
        <v>2538</v>
      </c>
      <c r="F9064">
        <v>22339</v>
      </c>
    </row>
    <row r="9065" spans="1:6">
      <c r="A9065" t="s">
        <v>13</v>
      </c>
      <c r="B9065" t="s">
        <v>234</v>
      </c>
      <c r="C9065" t="s">
        <v>846</v>
      </c>
      <c r="D9065" t="s">
        <v>2017</v>
      </c>
      <c r="E9065" t="s">
        <v>2539</v>
      </c>
      <c r="F9065">
        <v>22307</v>
      </c>
    </row>
    <row r="9066" spans="1:6">
      <c r="A9066" t="s">
        <v>13</v>
      </c>
      <c r="B9066" t="s">
        <v>234</v>
      </c>
      <c r="C9066" t="s">
        <v>846</v>
      </c>
      <c r="D9066" t="s">
        <v>2017</v>
      </c>
      <c r="E9066" t="s">
        <v>2540</v>
      </c>
      <c r="F9066">
        <v>4514</v>
      </c>
    </row>
    <row r="9067" spans="1:6">
      <c r="A9067" t="s">
        <v>13</v>
      </c>
      <c r="B9067" t="s">
        <v>234</v>
      </c>
      <c r="C9067" t="s">
        <v>846</v>
      </c>
      <c r="D9067" t="s">
        <v>2017</v>
      </c>
      <c r="E9067" t="s">
        <v>2541</v>
      </c>
      <c r="F9067">
        <v>4486</v>
      </c>
    </row>
    <row r="9068" spans="1:6">
      <c r="A9068" t="s">
        <v>13</v>
      </c>
      <c r="B9068" t="s">
        <v>234</v>
      </c>
      <c r="C9068" t="s">
        <v>846</v>
      </c>
      <c r="D9068" t="s">
        <v>2017</v>
      </c>
      <c r="E9068" t="s">
        <v>2542</v>
      </c>
      <c r="F9068">
        <v>2017</v>
      </c>
    </row>
    <row r="9069" spans="1:6">
      <c r="A9069" t="s">
        <v>13</v>
      </c>
      <c r="B9069" t="s">
        <v>234</v>
      </c>
      <c r="C9069" t="s">
        <v>846</v>
      </c>
      <c r="D9069" t="s">
        <v>2017</v>
      </c>
      <c r="E9069" t="s">
        <v>2543</v>
      </c>
      <c r="F9069">
        <v>90644</v>
      </c>
    </row>
    <row r="9070" spans="1:6">
      <c r="A9070" t="s">
        <v>13</v>
      </c>
      <c r="B9070" t="s">
        <v>234</v>
      </c>
      <c r="C9070" t="s">
        <v>846</v>
      </c>
      <c r="D9070" t="s">
        <v>2017</v>
      </c>
      <c r="E9070" t="s">
        <v>2544</v>
      </c>
      <c r="F9070">
        <v>80111</v>
      </c>
    </row>
    <row r="9071" spans="1:6">
      <c r="A9071" t="s">
        <v>13</v>
      </c>
      <c r="B9071" t="s">
        <v>234</v>
      </c>
      <c r="C9071" t="s">
        <v>846</v>
      </c>
      <c r="D9071" t="s">
        <v>2017</v>
      </c>
      <c r="E9071" t="s">
        <v>2545</v>
      </c>
      <c r="F9071">
        <v>71598</v>
      </c>
    </row>
    <row r="9072" spans="1:6">
      <c r="A9072" t="s">
        <v>13</v>
      </c>
      <c r="B9072" t="s">
        <v>234</v>
      </c>
      <c r="C9072" t="s">
        <v>846</v>
      </c>
      <c r="D9072" t="s">
        <v>2017</v>
      </c>
      <c r="E9072" t="s">
        <v>2546</v>
      </c>
      <c r="F9072">
        <v>71593</v>
      </c>
    </row>
    <row r="9073" spans="1:6">
      <c r="A9073" t="s">
        <v>13</v>
      </c>
      <c r="B9073" t="s">
        <v>234</v>
      </c>
      <c r="C9073" t="s">
        <v>846</v>
      </c>
      <c r="D9073" t="s">
        <v>2017</v>
      </c>
      <c r="E9073" t="s">
        <v>2547</v>
      </c>
      <c r="F9073">
        <v>71574</v>
      </c>
    </row>
    <row r="9074" spans="1:6">
      <c r="A9074" t="s">
        <v>13</v>
      </c>
      <c r="B9074" t="s">
        <v>234</v>
      </c>
      <c r="C9074" t="s">
        <v>846</v>
      </c>
      <c r="D9074" t="s">
        <v>2017</v>
      </c>
      <c r="E9074" t="s">
        <v>2548</v>
      </c>
      <c r="F9074">
        <v>71542</v>
      </c>
    </row>
    <row r="9075" spans="1:6">
      <c r="A9075" t="s">
        <v>13</v>
      </c>
      <c r="B9075" t="s">
        <v>234</v>
      </c>
      <c r="C9075" t="s">
        <v>846</v>
      </c>
      <c r="D9075" t="s">
        <v>2017</v>
      </c>
      <c r="E9075" t="s">
        <v>2549</v>
      </c>
      <c r="F9075">
        <v>71485</v>
      </c>
    </row>
    <row r="9076" spans="1:6">
      <c r="A9076" t="s">
        <v>13</v>
      </c>
      <c r="B9076" t="s">
        <v>234</v>
      </c>
      <c r="C9076" t="s">
        <v>846</v>
      </c>
      <c r="D9076" t="s">
        <v>2017</v>
      </c>
      <c r="E9076" t="s">
        <v>2550</v>
      </c>
      <c r="F9076">
        <v>71448</v>
      </c>
    </row>
    <row r="9077" spans="1:6">
      <c r="A9077" t="s">
        <v>13</v>
      </c>
      <c r="B9077" t="s">
        <v>234</v>
      </c>
      <c r="C9077" t="s">
        <v>846</v>
      </c>
      <c r="D9077" t="s">
        <v>2017</v>
      </c>
      <c r="E9077" t="s">
        <v>2551</v>
      </c>
      <c r="F9077">
        <v>71432</v>
      </c>
    </row>
    <row r="9078" spans="1:6">
      <c r="A9078" t="s">
        <v>13</v>
      </c>
      <c r="B9078" t="s">
        <v>234</v>
      </c>
      <c r="C9078" t="s">
        <v>846</v>
      </c>
      <c r="D9078" t="s">
        <v>2017</v>
      </c>
      <c r="E9078" t="s">
        <v>2552</v>
      </c>
      <c r="F9078">
        <v>71740</v>
      </c>
    </row>
    <row r="9079" spans="1:6">
      <c r="A9079" t="s">
        <v>13</v>
      </c>
      <c r="B9079" t="s">
        <v>234</v>
      </c>
      <c r="C9079" t="s">
        <v>846</v>
      </c>
      <c r="D9079" t="s">
        <v>2017</v>
      </c>
      <c r="E9079" t="s">
        <v>2553</v>
      </c>
      <c r="F9079">
        <v>71642</v>
      </c>
    </row>
    <row r="9080" spans="1:6">
      <c r="A9080" t="s">
        <v>13</v>
      </c>
      <c r="B9080" t="s">
        <v>234</v>
      </c>
      <c r="C9080" t="s">
        <v>846</v>
      </c>
      <c r="D9080" t="s">
        <v>2017</v>
      </c>
      <c r="E9080" t="s">
        <v>2554</v>
      </c>
      <c r="F9080">
        <v>71432</v>
      </c>
    </row>
    <row r="9081" spans="1:6">
      <c r="A9081" t="s">
        <v>13</v>
      </c>
      <c r="B9081" t="s">
        <v>234</v>
      </c>
      <c r="C9081" t="s">
        <v>846</v>
      </c>
      <c r="D9081" t="s">
        <v>2017</v>
      </c>
      <c r="E9081" t="s">
        <v>2555</v>
      </c>
      <c r="F9081">
        <v>71060</v>
      </c>
    </row>
    <row r="9082" spans="1:6">
      <c r="A9082" t="s">
        <v>13</v>
      </c>
      <c r="B9082" t="s">
        <v>234</v>
      </c>
      <c r="C9082" t="s">
        <v>846</v>
      </c>
      <c r="D9082" t="s">
        <v>2017</v>
      </c>
      <c r="E9082" t="s">
        <v>2556</v>
      </c>
      <c r="F9082">
        <v>70671</v>
      </c>
    </row>
    <row r="9083" spans="1:6">
      <c r="A9083" t="s">
        <v>13</v>
      </c>
      <c r="B9083" t="s">
        <v>234</v>
      </c>
      <c r="C9083" t="s">
        <v>846</v>
      </c>
      <c r="D9083" t="s">
        <v>2017</v>
      </c>
      <c r="E9083" t="s">
        <v>2557</v>
      </c>
      <c r="F9083">
        <v>70093</v>
      </c>
    </row>
    <row r="9084" spans="1:6">
      <c r="A9084" t="s">
        <v>13</v>
      </c>
      <c r="B9084" t="s">
        <v>234</v>
      </c>
      <c r="C9084" t="s">
        <v>846</v>
      </c>
      <c r="D9084" t="s">
        <v>2017</v>
      </c>
      <c r="E9084" t="s">
        <v>2558</v>
      </c>
      <c r="F9084">
        <v>69272</v>
      </c>
    </row>
    <row r="9085" spans="1:6">
      <c r="A9085" t="s">
        <v>13</v>
      </c>
      <c r="B9085" t="s">
        <v>234</v>
      </c>
      <c r="C9085" t="s">
        <v>846</v>
      </c>
      <c r="D9085" t="s">
        <v>2017</v>
      </c>
      <c r="E9085" t="s">
        <v>2559</v>
      </c>
      <c r="F9085">
        <v>52562</v>
      </c>
    </row>
    <row r="9086" spans="1:6">
      <c r="A9086" t="s">
        <v>13</v>
      </c>
      <c r="B9086" t="s">
        <v>234</v>
      </c>
      <c r="C9086" t="s">
        <v>846</v>
      </c>
      <c r="D9086" t="s">
        <v>2017</v>
      </c>
      <c r="E9086" t="s">
        <v>2560</v>
      </c>
      <c r="F9086">
        <v>51745</v>
      </c>
    </row>
    <row r="9087" spans="1:6">
      <c r="A9087" t="s">
        <v>13</v>
      </c>
      <c r="B9087" t="s">
        <v>234</v>
      </c>
      <c r="C9087" t="s">
        <v>846</v>
      </c>
      <c r="D9087" t="s">
        <v>2017</v>
      </c>
      <c r="E9087" t="s">
        <v>2561</v>
      </c>
      <c r="F9087">
        <v>2018</v>
      </c>
    </row>
    <row r="9088" spans="1:6">
      <c r="A9088" t="s">
        <v>13</v>
      </c>
      <c r="B9088" t="s">
        <v>234</v>
      </c>
      <c r="C9088" t="s">
        <v>846</v>
      </c>
      <c r="D9088" t="s">
        <v>2017</v>
      </c>
      <c r="E9088" t="s">
        <v>2562</v>
      </c>
      <c r="F9088">
        <v>32463</v>
      </c>
    </row>
    <row r="9089" spans="1:6">
      <c r="A9089" t="s">
        <v>13</v>
      </c>
      <c r="B9089" t="s">
        <v>234</v>
      </c>
      <c r="C9089" t="s">
        <v>846</v>
      </c>
      <c r="D9089" t="s">
        <v>2017</v>
      </c>
      <c r="E9089" t="s">
        <v>2563</v>
      </c>
      <c r="F9089">
        <v>26548</v>
      </c>
    </row>
    <row r="9090" spans="1:6">
      <c r="A9090" t="s">
        <v>13</v>
      </c>
      <c r="B9090" t="s">
        <v>234</v>
      </c>
      <c r="C9090" t="s">
        <v>846</v>
      </c>
      <c r="D9090" t="s">
        <v>2017</v>
      </c>
      <c r="E9090" t="s">
        <v>2564</v>
      </c>
      <c r="F9090">
        <v>20527</v>
      </c>
    </row>
    <row r="9091" spans="1:6">
      <c r="A9091" t="s">
        <v>13</v>
      </c>
      <c r="B9091" t="s">
        <v>234</v>
      </c>
      <c r="C9091" t="s">
        <v>846</v>
      </c>
      <c r="D9091" t="s">
        <v>2017</v>
      </c>
      <c r="E9091" t="s">
        <v>2565</v>
      </c>
      <c r="F9091">
        <v>20522</v>
      </c>
    </row>
    <row r="9092" spans="1:6">
      <c r="A9092" t="s">
        <v>13</v>
      </c>
      <c r="B9092" t="s">
        <v>234</v>
      </c>
      <c r="C9092" t="s">
        <v>846</v>
      </c>
      <c r="D9092" t="s">
        <v>2017</v>
      </c>
      <c r="E9092" t="s">
        <v>2566</v>
      </c>
      <c r="F9092">
        <v>20512</v>
      </c>
    </row>
    <row r="9093" spans="1:6">
      <c r="A9093" t="s">
        <v>13</v>
      </c>
      <c r="B9093" t="s">
        <v>234</v>
      </c>
      <c r="C9093" t="s">
        <v>846</v>
      </c>
      <c r="D9093" t="s">
        <v>2017</v>
      </c>
      <c r="E9093" t="s">
        <v>2567</v>
      </c>
      <c r="F9093">
        <v>20500</v>
      </c>
    </row>
    <row r="9094" spans="1:6">
      <c r="A9094" t="s">
        <v>13</v>
      </c>
      <c r="B9094" t="s">
        <v>234</v>
      </c>
      <c r="C9094" t="s">
        <v>846</v>
      </c>
      <c r="D9094" t="s">
        <v>2017</v>
      </c>
      <c r="E9094" t="s">
        <v>2568</v>
      </c>
      <c r="F9094">
        <v>20417</v>
      </c>
    </row>
    <row r="9095" spans="1:6">
      <c r="A9095" t="s">
        <v>13</v>
      </c>
      <c r="B9095" t="s">
        <v>234</v>
      </c>
      <c r="C9095" t="s">
        <v>846</v>
      </c>
      <c r="D9095" t="s">
        <v>2017</v>
      </c>
      <c r="E9095" t="s">
        <v>2569</v>
      </c>
      <c r="F9095">
        <v>20392</v>
      </c>
    </row>
    <row r="9096" spans="1:6">
      <c r="A9096" t="s">
        <v>13</v>
      </c>
      <c r="B9096" t="s">
        <v>234</v>
      </c>
      <c r="C9096" t="s">
        <v>846</v>
      </c>
      <c r="D9096" t="s">
        <v>2017</v>
      </c>
      <c r="E9096" t="s">
        <v>2570</v>
      </c>
      <c r="F9096">
        <v>20379</v>
      </c>
    </row>
    <row r="9097" spans="1:6">
      <c r="A9097" t="s">
        <v>13</v>
      </c>
      <c r="B9097" t="s">
        <v>234</v>
      </c>
      <c r="C9097" t="s">
        <v>846</v>
      </c>
      <c r="D9097" t="s">
        <v>2017</v>
      </c>
      <c r="E9097" t="s">
        <v>2571</v>
      </c>
      <c r="F9097">
        <v>20809</v>
      </c>
    </row>
    <row r="9098" spans="1:6">
      <c r="A9098" t="s">
        <v>13</v>
      </c>
      <c r="B9098" t="s">
        <v>234</v>
      </c>
      <c r="C9098" t="s">
        <v>846</v>
      </c>
      <c r="D9098" t="s">
        <v>2017</v>
      </c>
      <c r="E9098" t="s">
        <v>2572</v>
      </c>
      <c r="F9098">
        <v>20690</v>
      </c>
    </row>
    <row r="9099" spans="1:6">
      <c r="A9099" t="s">
        <v>13</v>
      </c>
      <c r="B9099" t="s">
        <v>234</v>
      </c>
      <c r="C9099" t="s">
        <v>846</v>
      </c>
      <c r="D9099" t="s">
        <v>2017</v>
      </c>
      <c r="E9099" t="s">
        <v>2573</v>
      </c>
      <c r="F9099">
        <v>20621</v>
      </c>
    </row>
    <row r="9100" spans="1:6">
      <c r="A9100" t="s">
        <v>13</v>
      </c>
      <c r="B9100" t="s">
        <v>234</v>
      </c>
      <c r="C9100" t="s">
        <v>846</v>
      </c>
      <c r="D9100" t="s">
        <v>2017</v>
      </c>
      <c r="E9100" t="s">
        <v>2574</v>
      </c>
      <c r="F9100">
        <v>20583</v>
      </c>
    </row>
    <row r="9101" spans="1:6">
      <c r="A9101" t="s">
        <v>13</v>
      </c>
      <c r="B9101" t="s">
        <v>234</v>
      </c>
      <c r="C9101" t="s">
        <v>846</v>
      </c>
      <c r="D9101" t="s">
        <v>2017</v>
      </c>
      <c r="E9101" t="s">
        <v>2575</v>
      </c>
      <c r="F9101">
        <v>20559</v>
      </c>
    </row>
    <row r="9102" spans="1:6">
      <c r="A9102" t="s">
        <v>13</v>
      </c>
      <c r="B9102" t="s">
        <v>234</v>
      </c>
      <c r="C9102" t="s">
        <v>846</v>
      </c>
      <c r="D9102" t="s">
        <v>2017</v>
      </c>
      <c r="E9102" t="s">
        <v>2576</v>
      </c>
      <c r="F9102">
        <v>20509</v>
      </c>
    </row>
    <row r="9103" spans="1:6">
      <c r="A9103" t="s">
        <v>13</v>
      </c>
      <c r="B9103" t="s">
        <v>234</v>
      </c>
      <c r="C9103" t="s">
        <v>846</v>
      </c>
      <c r="D9103" t="s">
        <v>2017</v>
      </c>
      <c r="E9103" t="s">
        <v>2577</v>
      </c>
      <c r="F9103">
        <v>20456</v>
      </c>
    </row>
    <row r="9104" spans="1:6">
      <c r="A9104" t="s">
        <v>13</v>
      </c>
      <c r="B9104" t="s">
        <v>234</v>
      </c>
      <c r="C9104" t="s">
        <v>846</v>
      </c>
      <c r="D9104" t="s">
        <v>2017</v>
      </c>
      <c r="E9104" t="s">
        <v>2578</v>
      </c>
      <c r="F9104">
        <v>7901</v>
      </c>
    </row>
    <row r="9105" spans="1:6">
      <c r="A9105" t="s">
        <v>13</v>
      </c>
      <c r="B9105" t="s">
        <v>234</v>
      </c>
      <c r="C9105" t="s">
        <v>846</v>
      </c>
      <c r="D9105" t="s">
        <v>2017</v>
      </c>
      <c r="E9105" t="s">
        <v>2579</v>
      </c>
      <c r="F9105">
        <v>7874</v>
      </c>
    </row>
    <row r="9106" spans="1:6">
      <c r="A9106" t="s">
        <v>13</v>
      </c>
      <c r="B9106" t="s">
        <v>234</v>
      </c>
      <c r="C9106" t="s">
        <v>846</v>
      </c>
      <c r="D9106" t="s">
        <v>2017</v>
      </c>
      <c r="E9106" t="s">
        <v>2580</v>
      </c>
      <c r="F9106">
        <v>2019</v>
      </c>
    </row>
    <row r="9107" spans="1:6">
      <c r="A9107" t="s">
        <v>13</v>
      </c>
      <c r="B9107" t="s">
        <v>234</v>
      </c>
      <c r="C9107" t="s">
        <v>846</v>
      </c>
      <c r="D9107" t="s">
        <v>2017</v>
      </c>
      <c r="E9107" t="s">
        <v>2581</v>
      </c>
      <c r="F9107">
        <v>27785</v>
      </c>
    </row>
    <row r="9108" spans="1:6">
      <c r="A9108" t="s">
        <v>13</v>
      </c>
      <c r="B9108" t="s">
        <v>234</v>
      </c>
      <c r="C9108" t="s">
        <v>846</v>
      </c>
      <c r="D9108" t="s">
        <v>2017</v>
      </c>
      <c r="E9108" t="s">
        <v>2582</v>
      </c>
      <c r="F9108">
        <v>21756</v>
      </c>
    </row>
    <row r="9109" spans="1:6">
      <c r="A9109" t="s">
        <v>13</v>
      </c>
      <c r="B9109" t="s">
        <v>234</v>
      </c>
      <c r="C9109" t="s">
        <v>846</v>
      </c>
      <c r="D9109" t="s">
        <v>2017</v>
      </c>
      <c r="E9109" t="s">
        <v>2583</v>
      </c>
      <c r="F9109">
        <v>17599</v>
      </c>
    </row>
    <row r="9110" spans="1:6">
      <c r="A9110" t="s">
        <v>13</v>
      </c>
      <c r="B9110" t="s">
        <v>234</v>
      </c>
      <c r="C9110" t="s">
        <v>846</v>
      </c>
      <c r="D9110" t="s">
        <v>2017</v>
      </c>
      <c r="E9110" t="s">
        <v>2584</v>
      </c>
      <c r="F9110">
        <v>17594</v>
      </c>
    </row>
    <row r="9111" spans="1:6">
      <c r="A9111" t="s">
        <v>13</v>
      </c>
      <c r="B9111" t="s">
        <v>234</v>
      </c>
      <c r="C9111" t="s">
        <v>846</v>
      </c>
      <c r="D9111" t="s">
        <v>2017</v>
      </c>
      <c r="E9111" t="s">
        <v>2585</v>
      </c>
      <c r="F9111">
        <v>17584</v>
      </c>
    </row>
    <row r="9112" spans="1:6">
      <c r="A9112" t="s">
        <v>13</v>
      </c>
      <c r="B9112" t="s">
        <v>234</v>
      </c>
      <c r="C9112" t="s">
        <v>846</v>
      </c>
      <c r="D9112" t="s">
        <v>2017</v>
      </c>
      <c r="E9112" t="s">
        <v>2586</v>
      </c>
      <c r="F9112">
        <v>17568</v>
      </c>
    </row>
    <row r="9113" spans="1:6">
      <c r="A9113" t="s">
        <v>13</v>
      </c>
      <c r="B9113" t="s">
        <v>234</v>
      </c>
      <c r="C9113" t="s">
        <v>846</v>
      </c>
      <c r="D9113" t="s">
        <v>2017</v>
      </c>
      <c r="E9113" t="s">
        <v>2587</v>
      </c>
      <c r="F9113">
        <v>17529</v>
      </c>
    </row>
    <row r="9114" spans="1:6">
      <c r="A9114" t="s">
        <v>13</v>
      </c>
      <c r="B9114" t="s">
        <v>234</v>
      </c>
      <c r="C9114" t="s">
        <v>846</v>
      </c>
      <c r="D9114" t="s">
        <v>2017</v>
      </c>
      <c r="E9114" t="s">
        <v>2588</v>
      </c>
      <c r="F9114">
        <v>17504</v>
      </c>
    </row>
    <row r="9115" spans="1:6">
      <c r="A9115" t="s">
        <v>13</v>
      </c>
      <c r="B9115" t="s">
        <v>234</v>
      </c>
      <c r="C9115" t="s">
        <v>846</v>
      </c>
      <c r="D9115" t="s">
        <v>2017</v>
      </c>
      <c r="E9115" t="s">
        <v>2589</v>
      </c>
      <c r="F9115">
        <v>17492</v>
      </c>
    </row>
    <row r="9116" spans="1:6">
      <c r="A9116" t="s">
        <v>13</v>
      </c>
      <c r="B9116" t="s">
        <v>234</v>
      </c>
      <c r="C9116" t="s">
        <v>846</v>
      </c>
      <c r="D9116" t="s">
        <v>2017</v>
      </c>
      <c r="E9116" t="s">
        <v>2590</v>
      </c>
      <c r="F9116">
        <v>17707</v>
      </c>
    </row>
    <row r="9117" spans="1:6">
      <c r="A9117" t="s">
        <v>13</v>
      </c>
      <c r="B9117" t="s">
        <v>234</v>
      </c>
      <c r="C9117" t="s">
        <v>846</v>
      </c>
      <c r="D9117" t="s">
        <v>2017</v>
      </c>
      <c r="E9117" t="s">
        <v>2591</v>
      </c>
      <c r="F9117">
        <v>17664</v>
      </c>
    </row>
    <row r="9118" spans="1:6">
      <c r="A9118" t="s">
        <v>13</v>
      </c>
      <c r="B9118" t="s">
        <v>234</v>
      </c>
      <c r="C9118" t="s">
        <v>846</v>
      </c>
      <c r="D9118" t="s">
        <v>2017</v>
      </c>
      <c r="E9118" t="s">
        <v>2592</v>
      </c>
      <c r="F9118">
        <v>17619</v>
      </c>
    </row>
    <row r="9119" spans="1:6">
      <c r="A9119" t="s">
        <v>13</v>
      </c>
      <c r="B9119" t="s">
        <v>234</v>
      </c>
      <c r="C9119" t="s">
        <v>846</v>
      </c>
      <c r="D9119" t="s">
        <v>2017</v>
      </c>
      <c r="E9119" t="s">
        <v>2593</v>
      </c>
      <c r="F9119">
        <v>17595</v>
      </c>
    </row>
    <row r="9120" spans="1:6">
      <c r="A9120" t="s">
        <v>13</v>
      </c>
      <c r="B9120" t="s">
        <v>234</v>
      </c>
      <c r="C9120" t="s">
        <v>846</v>
      </c>
      <c r="D9120" t="s">
        <v>2017</v>
      </c>
      <c r="E9120" t="s">
        <v>2594</v>
      </c>
      <c r="F9120">
        <v>17577</v>
      </c>
    </row>
    <row r="9121" spans="1:6">
      <c r="A9121" t="s">
        <v>13</v>
      </c>
      <c r="B9121" t="s">
        <v>234</v>
      </c>
      <c r="C9121" t="s">
        <v>846</v>
      </c>
      <c r="D9121" t="s">
        <v>2017</v>
      </c>
      <c r="E9121" t="s">
        <v>2595</v>
      </c>
      <c r="F9121">
        <v>17548</v>
      </c>
    </row>
    <row r="9122" spans="1:6">
      <c r="A9122" t="s">
        <v>13</v>
      </c>
      <c r="B9122" t="s">
        <v>234</v>
      </c>
      <c r="C9122" t="s">
        <v>846</v>
      </c>
      <c r="D9122" t="s">
        <v>2017</v>
      </c>
      <c r="E9122" t="s">
        <v>2596</v>
      </c>
      <c r="F9122">
        <v>17532</v>
      </c>
    </row>
    <row r="9123" spans="1:6">
      <c r="A9123" t="s">
        <v>13</v>
      </c>
      <c r="B9123" t="s">
        <v>234</v>
      </c>
      <c r="C9123" t="s">
        <v>846</v>
      </c>
      <c r="D9123" t="s">
        <v>2017</v>
      </c>
      <c r="E9123" t="s">
        <v>2597</v>
      </c>
      <c r="F9123">
        <v>5056</v>
      </c>
    </row>
    <row r="9124" spans="1:6">
      <c r="A9124" t="s">
        <v>13</v>
      </c>
      <c r="B9124" t="s">
        <v>234</v>
      </c>
      <c r="C9124" t="s">
        <v>846</v>
      </c>
      <c r="D9124" t="s">
        <v>2017</v>
      </c>
      <c r="E9124" t="s">
        <v>2598</v>
      </c>
      <c r="F9124">
        <v>5045</v>
      </c>
    </row>
    <row r="9125" spans="1:6">
      <c r="A9125" t="s">
        <v>13</v>
      </c>
      <c r="B9125" t="s">
        <v>234</v>
      </c>
      <c r="C9125" t="s">
        <v>846</v>
      </c>
      <c r="D9125" t="s">
        <v>2017</v>
      </c>
      <c r="E9125" t="s">
        <v>2599</v>
      </c>
      <c r="F9125">
        <v>2020</v>
      </c>
    </row>
    <row r="9126" spans="1:6">
      <c r="A9126" t="s">
        <v>13</v>
      </c>
      <c r="B9126" t="s">
        <v>234</v>
      </c>
      <c r="C9126" t="s">
        <v>846</v>
      </c>
      <c r="D9126" t="s">
        <v>2017</v>
      </c>
      <c r="E9126" t="s">
        <v>2600</v>
      </c>
      <c r="F9126">
        <v>88751</v>
      </c>
    </row>
    <row r="9127" spans="1:6">
      <c r="A9127" t="s">
        <v>13</v>
      </c>
      <c r="B9127" t="s">
        <v>234</v>
      </c>
      <c r="C9127" t="s">
        <v>846</v>
      </c>
      <c r="D9127" t="s">
        <v>2017</v>
      </c>
      <c r="E9127" t="s">
        <v>2601</v>
      </c>
      <c r="F9127">
        <v>81256</v>
      </c>
    </row>
    <row r="9128" spans="1:6">
      <c r="A9128" t="s">
        <v>13</v>
      </c>
      <c r="B9128" t="s">
        <v>234</v>
      </c>
      <c r="C9128" t="s">
        <v>846</v>
      </c>
      <c r="D9128" t="s">
        <v>2017</v>
      </c>
      <c r="E9128" t="s">
        <v>2602</v>
      </c>
      <c r="F9128">
        <v>71253</v>
      </c>
    </row>
    <row r="9129" spans="1:6">
      <c r="A9129" t="s">
        <v>13</v>
      </c>
      <c r="B9129" t="s">
        <v>234</v>
      </c>
      <c r="C9129" t="s">
        <v>846</v>
      </c>
      <c r="D9129" t="s">
        <v>2017</v>
      </c>
      <c r="E9129" t="s">
        <v>2603</v>
      </c>
      <c r="F9129">
        <v>71245</v>
      </c>
    </row>
    <row r="9130" spans="1:6">
      <c r="A9130" t="s">
        <v>13</v>
      </c>
      <c r="B9130" t="s">
        <v>234</v>
      </c>
      <c r="C9130" t="s">
        <v>846</v>
      </c>
      <c r="D9130" t="s">
        <v>2017</v>
      </c>
      <c r="E9130" t="s">
        <v>2604</v>
      </c>
      <c r="F9130">
        <v>71231</v>
      </c>
    </row>
    <row r="9131" spans="1:6">
      <c r="A9131" t="s">
        <v>13</v>
      </c>
      <c r="B9131" t="s">
        <v>234</v>
      </c>
      <c r="C9131" t="s">
        <v>846</v>
      </c>
      <c r="D9131" t="s">
        <v>2017</v>
      </c>
      <c r="E9131" t="s">
        <v>2605</v>
      </c>
      <c r="F9131">
        <v>69993</v>
      </c>
    </row>
    <row r="9132" spans="1:6">
      <c r="A9132" t="s">
        <v>13</v>
      </c>
      <c r="B9132" t="s">
        <v>234</v>
      </c>
      <c r="C9132" t="s">
        <v>846</v>
      </c>
      <c r="D9132" t="s">
        <v>2017</v>
      </c>
      <c r="E9132" t="s">
        <v>2606</v>
      </c>
      <c r="F9132">
        <v>67936</v>
      </c>
    </row>
    <row r="9133" spans="1:6">
      <c r="A9133" t="s">
        <v>13</v>
      </c>
      <c r="B9133" t="s">
        <v>234</v>
      </c>
      <c r="C9133" t="s">
        <v>846</v>
      </c>
      <c r="D9133" t="s">
        <v>2017</v>
      </c>
      <c r="E9133" t="s">
        <v>2607</v>
      </c>
      <c r="F9133">
        <v>66725</v>
      </c>
    </row>
    <row r="9134" spans="1:6">
      <c r="A9134" t="s">
        <v>13</v>
      </c>
      <c r="B9134" t="s">
        <v>234</v>
      </c>
      <c r="C9134" t="s">
        <v>846</v>
      </c>
      <c r="D9134" t="s">
        <v>2017</v>
      </c>
      <c r="E9134" t="s">
        <v>2608</v>
      </c>
      <c r="F9134">
        <v>65730</v>
      </c>
    </row>
    <row r="9135" spans="1:6">
      <c r="A9135" t="s">
        <v>13</v>
      </c>
      <c r="B9135" t="s">
        <v>234</v>
      </c>
      <c r="C9135" t="s">
        <v>846</v>
      </c>
      <c r="D9135" t="s">
        <v>2017</v>
      </c>
      <c r="E9135" t="s">
        <v>2609</v>
      </c>
      <c r="F9135">
        <v>66505</v>
      </c>
    </row>
    <row r="9136" spans="1:6">
      <c r="A9136" t="s">
        <v>13</v>
      </c>
      <c r="B9136" t="s">
        <v>234</v>
      </c>
      <c r="C9136" t="s">
        <v>846</v>
      </c>
      <c r="D9136" t="s">
        <v>2017</v>
      </c>
      <c r="E9136" t="s">
        <v>2610</v>
      </c>
      <c r="F9136">
        <v>66350</v>
      </c>
    </row>
    <row r="9137" spans="1:6">
      <c r="A9137" t="s">
        <v>13</v>
      </c>
      <c r="B9137" t="s">
        <v>234</v>
      </c>
      <c r="C9137" t="s">
        <v>846</v>
      </c>
      <c r="D9137" t="s">
        <v>2017</v>
      </c>
      <c r="E9137" t="s">
        <v>2611</v>
      </c>
      <c r="F9137">
        <v>65700</v>
      </c>
    </row>
    <row r="9138" spans="1:6">
      <c r="A9138" t="s">
        <v>13</v>
      </c>
      <c r="B9138" t="s">
        <v>234</v>
      </c>
      <c r="C9138" t="s">
        <v>846</v>
      </c>
      <c r="D9138" t="s">
        <v>2017</v>
      </c>
      <c r="E9138" t="s">
        <v>2612</v>
      </c>
      <c r="F9138">
        <v>65310</v>
      </c>
    </row>
    <row r="9139" spans="1:6">
      <c r="A9139" t="s">
        <v>13</v>
      </c>
      <c r="B9139" t="s">
        <v>234</v>
      </c>
      <c r="C9139" t="s">
        <v>846</v>
      </c>
      <c r="D9139" t="s">
        <v>2017</v>
      </c>
      <c r="E9139" t="s">
        <v>2613</v>
      </c>
      <c r="F9139">
        <v>65141</v>
      </c>
    </row>
    <row r="9140" spans="1:6">
      <c r="A9140" t="s">
        <v>13</v>
      </c>
      <c r="B9140" t="s">
        <v>234</v>
      </c>
      <c r="C9140" t="s">
        <v>846</v>
      </c>
      <c r="D9140" t="s">
        <v>2017</v>
      </c>
      <c r="E9140" t="s">
        <v>2614</v>
      </c>
      <c r="F9140">
        <v>64727</v>
      </c>
    </row>
    <row r="9141" spans="1:6">
      <c r="A9141" t="s">
        <v>13</v>
      </c>
      <c r="B9141" t="s">
        <v>234</v>
      </c>
      <c r="C9141" t="s">
        <v>846</v>
      </c>
      <c r="D9141" t="s">
        <v>2017</v>
      </c>
      <c r="E9141" t="s">
        <v>2615</v>
      </c>
      <c r="F9141">
        <v>64450</v>
      </c>
    </row>
    <row r="9142" spans="1:6">
      <c r="A9142" t="s">
        <v>13</v>
      </c>
      <c r="B9142" t="s">
        <v>234</v>
      </c>
      <c r="C9142" t="s">
        <v>846</v>
      </c>
      <c r="D9142" t="s">
        <v>2017</v>
      </c>
      <c r="E9142" t="s">
        <v>2616</v>
      </c>
      <c r="F9142">
        <v>48608</v>
      </c>
    </row>
    <row r="9143" spans="1:6">
      <c r="A9143" t="s">
        <v>13</v>
      </c>
      <c r="B9143" t="s">
        <v>234</v>
      </c>
      <c r="C9143" t="s">
        <v>846</v>
      </c>
      <c r="D9143" t="s">
        <v>2017</v>
      </c>
      <c r="E9143" t="s">
        <v>2617</v>
      </c>
      <c r="F9143">
        <v>48309</v>
      </c>
    </row>
    <row r="9144" spans="1:6">
      <c r="A9144" t="s">
        <v>13</v>
      </c>
      <c r="B9144" t="s">
        <v>234</v>
      </c>
      <c r="C9144" t="s">
        <v>846</v>
      </c>
      <c r="D9144" t="s">
        <v>2017</v>
      </c>
      <c r="E9144" t="s">
        <v>2618</v>
      </c>
      <c r="F9144">
        <v>2021</v>
      </c>
    </row>
    <row r="9145" spans="1:6">
      <c r="A9145" t="s">
        <v>13</v>
      </c>
      <c r="B9145" t="s">
        <v>234</v>
      </c>
      <c r="C9145" t="s">
        <v>846</v>
      </c>
      <c r="D9145" t="s">
        <v>2017</v>
      </c>
      <c r="E9145" t="s">
        <v>2619</v>
      </c>
      <c r="F9145">
        <v>111951</v>
      </c>
    </row>
    <row r="9146" spans="1:6">
      <c r="A9146" t="s">
        <v>13</v>
      </c>
      <c r="B9146" t="s">
        <v>234</v>
      </c>
      <c r="C9146" t="s">
        <v>846</v>
      </c>
      <c r="D9146" t="s">
        <v>2017</v>
      </c>
      <c r="E9146" t="s">
        <v>2620</v>
      </c>
      <c r="F9146">
        <v>75569</v>
      </c>
    </row>
    <row r="9147" spans="1:6">
      <c r="A9147" t="s">
        <v>13</v>
      </c>
      <c r="B9147" t="s">
        <v>234</v>
      </c>
      <c r="C9147" t="s">
        <v>846</v>
      </c>
      <c r="D9147" t="s">
        <v>2017</v>
      </c>
      <c r="E9147" t="s">
        <v>2621</v>
      </c>
      <c r="F9147">
        <v>53885</v>
      </c>
    </row>
    <row r="9148" spans="1:6">
      <c r="A9148" t="s">
        <v>13</v>
      </c>
      <c r="B9148" t="s">
        <v>234</v>
      </c>
      <c r="C9148" t="s">
        <v>846</v>
      </c>
      <c r="D9148" t="s">
        <v>2017</v>
      </c>
      <c r="E9148" t="s">
        <v>2622</v>
      </c>
      <c r="F9148">
        <v>53761</v>
      </c>
    </row>
    <row r="9149" spans="1:6">
      <c r="A9149" t="s">
        <v>13</v>
      </c>
      <c r="B9149" t="s">
        <v>234</v>
      </c>
      <c r="C9149" t="s">
        <v>846</v>
      </c>
      <c r="D9149" t="s">
        <v>2017</v>
      </c>
      <c r="E9149" t="s">
        <v>2623</v>
      </c>
      <c r="F9149">
        <v>52953</v>
      </c>
    </row>
    <row r="9150" spans="1:6">
      <c r="A9150" t="s">
        <v>13</v>
      </c>
      <c r="B9150" t="s">
        <v>234</v>
      </c>
      <c r="C9150" t="s">
        <v>846</v>
      </c>
      <c r="D9150" t="s">
        <v>2017</v>
      </c>
      <c r="E9150" t="s">
        <v>2624</v>
      </c>
      <c r="F9150">
        <v>52829</v>
      </c>
    </row>
    <row r="9151" spans="1:6">
      <c r="A9151" t="s">
        <v>13</v>
      </c>
      <c r="B9151" t="s">
        <v>234</v>
      </c>
      <c r="C9151" t="s">
        <v>846</v>
      </c>
      <c r="D9151" t="s">
        <v>2017</v>
      </c>
      <c r="E9151" t="s">
        <v>2625</v>
      </c>
      <c r="F9151">
        <v>52715</v>
      </c>
    </row>
    <row r="9152" spans="1:6">
      <c r="A9152" t="s">
        <v>13</v>
      </c>
      <c r="B9152" t="s">
        <v>234</v>
      </c>
      <c r="C9152" t="s">
        <v>846</v>
      </c>
      <c r="D9152" t="s">
        <v>2017</v>
      </c>
      <c r="E9152" t="s">
        <v>2626</v>
      </c>
      <c r="F9152">
        <v>52603</v>
      </c>
    </row>
    <row r="9153" spans="1:6">
      <c r="A9153" t="s">
        <v>13</v>
      </c>
      <c r="B9153" t="s">
        <v>234</v>
      </c>
      <c r="C9153" t="s">
        <v>846</v>
      </c>
      <c r="D9153" t="s">
        <v>2017</v>
      </c>
      <c r="E9153" t="s">
        <v>2627</v>
      </c>
      <c r="F9153">
        <v>52524</v>
      </c>
    </row>
    <row r="9154" spans="1:6">
      <c r="A9154" t="s">
        <v>13</v>
      </c>
      <c r="B9154" t="s">
        <v>234</v>
      </c>
      <c r="C9154" t="s">
        <v>846</v>
      </c>
      <c r="D9154" t="s">
        <v>2017</v>
      </c>
      <c r="E9154" t="s">
        <v>2628</v>
      </c>
      <c r="F9154">
        <v>53313</v>
      </c>
    </row>
    <row r="9155" spans="1:6">
      <c r="A9155" t="s">
        <v>13</v>
      </c>
      <c r="B9155" t="s">
        <v>234</v>
      </c>
      <c r="C9155" t="s">
        <v>846</v>
      </c>
      <c r="D9155" t="s">
        <v>2017</v>
      </c>
      <c r="E9155" t="s">
        <v>2629</v>
      </c>
      <c r="F9155">
        <v>53249</v>
      </c>
    </row>
    <row r="9156" spans="1:6">
      <c r="A9156" t="s">
        <v>13</v>
      </c>
      <c r="B9156" t="s">
        <v>234</v>
      </c>
      <c r="C9156" t="s">
        <v>846</v>
      </c>
      <c r="D9156" t="s">
        <v>2017</v>
      </c>
      <c r="E9156" t="s">
        <v>2630</v>
      </c>
      <c r="F9156">
        <v>53122</v>
      </c>
    </row>
    <row r="9157" spans="1:6">
      <c r="A9157" t="s">
        <v>13</v>
      </c>
      <c r="B9157" t="s">
        <v>234</v>
      </c>
      <c r="C9157" t="s">
        <v>846</v>
      </c>
      <c r="D9157" t="s">
        <v>2017</v>
      </c>
      <c r="E9157" t="s">
        <v>2631</v>
      </c>
      <c r="F9157">
        <v>52997</v>
      </c>
    </row>
    <row r="9158" spans="1:6">
      <c r="A9158" t="s">
        <v>13</v>
      </c>
      <c r="B9158" t="s">
        <v>234</v>
      </c>
      <c r="C9158" t="s">
        <v>846</v>
      </c>
      <c r="D9158" t="s">
        <v>2017</v>
      </c>
      <c r="E9158" t="s">
        <v>2632</v>
      </c>
      <c r="F9158">
        <v>52939</v>
      </c>
    </row>
    <row r="9159" spans="1:6">
      <c r="A9159" t="s">
        <v>13</v>
      </c>
      <c r="B9159" t="s">
        <v>234</v>
      </c>
      <c r="C9159" t="s">
        <v>846</v>
      </c>
      <c r="D9159" t="s">
        <v>2017</v>
      </c>
      <c r="E9159" t="s">
        <v>2633</v>
      </c>
      <c r="F9159">
        <v>52809</v>
      </c>
    </row>
    <row r="9160" spans="1:6">
      <c r="A9160" t="s">
        <v>13</v>
      </c>
      <c r="B9160" t="s">
        <v>234</v>
      </c>
      <c r="C9160" t="s">
        <v>846</v>
      </c>
      <c r="D9160" t="s">
        <v>2017</v>
      </c>
      <c r="E9160" t="s">
        <v>2634</v>
      </c>
      <c r="F9160">
        <v>52692</v>
      </c>
    </row>
    <row r="9161" spans="1:6">
      <c r="A9161" t="s">
        <v>13</v>
      </c>
      <c r="B9161" t="s">
        <v>234</v>
      </c>
      <c r="C9161" t="s">
        <v>846</v>
      </c>
      <c r="D9161" t="s">
        <v>2017</v>
      </c>
      <c r="E9161" t="s">
        <v>2635</v>
      </c>
      <c r="F9161">
        <v>21519</v>
      </c>
    </row>
    <row r="9162" spans="1:6">
      <c r="A9162" t="s">
        <v>13</v>
      </c>
      <c r="B9162" t="s">
        <v>234</v>
      </c>
      <c r="C9162" t="s">
        <v>846</v>
      </c>
      <c r="D9162" t="s">
        <v>2017</v>
      </c>
      <c r="E9162" t="s">
        <v>2636</v>
      </c>
      <c r="F9162">
        <v>21435</v>
      </c>
    </row>
    <row r="9163" spans="1:6">
      <c r="A9163" t="s">
        <v>13</v>
      </c>
      <c r="B9163" t="s">
        <v>234</v>
      </c>
      <c r="C9163" t="s">
        <v>846</v>
      </c>
      <c r="D9163" t="s">
        <v>2017</v>
      </c>
      <c r="E9163" t="s">
        <v>2637</v>
      </c>
      <c r="F9163">
        <v>2022</v>
      </c>
    </row>
    <row r="9164" spans="1:6">
      <c r="A9164" t="s">
        <v>13</v>
      </c>
      <c r="B9164" t="s">
        <v>234</v>
      </c>
      <c r="C9164" t="s">
        <v>846</v>
      </c>
      <c r="D9164" t="s">
        <v>2017</v>
      </c>
      <c r="E9164" t="s">
        <v>2638</v>
      </c>
      <c r="F9164">
        <v>40885</v>
      </c>
    </row>
    <row r="9165" spans="1:6">
      <c r="A9165" t="s">
        <v>13</v>
      </c>
      <c r="B9165" t="s">
        <v>234</v>
      </c>
      <c r="C9165" t="s">
        <v>846</v>
      </c>
      <c r="D9165" t="s">
        <v>2017</v>
      </c>
      <c r="E9165" t="s">
        <v>2639</v>
      </c>
      <c r="F9165">
        <v>27643</v>
      </c>
    </row>
    <row r="9166" spans="1:6">
      <c r="A9166" t="s">
        <v>13</v>
      </c>
      <c r="B9166" t="s">
        <v>234</v>
      </c>
      <c r="C9166" t="s">
        <v>846</v>
      </c>
      <c r="D9166" t="s">
        <v>2017</v>
      </c>
      <c r="E9166" t="s">
        <v>2640</v>
      </c>
      <c r="F9166">
        <v>19013</v>
      </c>
    </row>
    <row r="9167" spans="1:6">
      <c r="A9167" t="s">
        <v>13</v>
      </c>
      <c r="B9167" t="s">
        <v>234</v>
      </c>
      <c r="C9167" t="s">
        <v>846</v>
      </c>
      <c r="D9167" t="s">
        <v>2017</v>
      </c>
      <c r="E9167" t="s">
        <v>2641</v>
      </c>
      <c r="F9167">
        <v>19007</v>
      </c>
    </row>
    <row r="9168" spans="1:6">
      <c r="A9168" t="s">
        <v>13</v>
      </c>
      <c r="B9168" t="s">
        <v>234</v>
      </c>
      <c r="C9168" t="s">
        <v>846</v>
      </c>
      <c r="D9168" t="s">
        <v>2017</v>
      </c>
      <c r="E9168" t="s">
        <v>2642</v>
      </c>
      <c r="F9168">
        <v>18984</v>
      </c>
    </row>
    <row r="9169" spans="1:6">
      <c r="A9169" t="s">
        <v>13</v>
      </c>
      <c r="B9169" t="s">
        <v>234</v>
      </c>
      <c r="C9169" t="s">
        <v>846</v>
      </c>
      <c r="D9169" t="s">
        <v>2017</v>
      </c>
      <c r="E9169" t="s">
        <v>2643</v>
      </c>
      <c r="F9169">
        <v>18957</v>
      </c>
    </row>
    <row r="9170" spans="1:6">
      <c r="A9170" t="s">
        <v>13</v>
      </c>
      <c r="B9170" t="s">
        <v>234</v>
      </c>
      <c r="C9170" t="s">
        <v>846</v>
      </c>
      <c r="D9170" t="s">
        <v>2017</v>
      </c>
      <c r="E9170" t="s">
        <v>2644</v>
      </c>
      <c r="F9170">
        <v>18891</v>
      </c>
    </row>
    <row r="9171" spans="1:6">
      <c r="A9171" t="s">
        <v>13</v>
      </c>
      <c r="B9171" t="s">
        <v>234</v>
      </c>
      <c r="C9171" t="s">
        <v>846</v>
      </c>
      <c r="D9171" t="s">
        <v>2017</v>
      </c>
      <c r="E9171" t="s">
        <v>2645</v>
      </c>
      <c r="F9171">
        <v>18860</v>
      </c>
    </row>
    <row r="9172" spans="1:6">
      <c r="A9172" t="s">
        <v>13</v>
      </c>
      <c r="B9172" t="s">
        <v>234</v>
      </c>
      <c r="C9172" t="s">
        <v>846</v>
      </c>
      <c r="D9172" t="s">
        <v>2017</v>
      </c>
      <c r="E9172" t="s">
        <v>2646</v>
      </c>
      <c r="F9172">
        <v>18845</v>
      </c>
    </row>
    <row r="9173" spans="1:6">
      <c r="A9173" t="s">
        <v>13</v>
      </c>
      <c r="B9173" t="s">
        <v>234</v>
      </c>
      <c r="C9173" t="s">
        <v>846</v>
      </c>
      <c r="D9173" t="s">
        <v>2017</v>
      </c>
      <c r="E9173" t="s">
        <v>2647</v>
      </c>
      <c r="F9173">
        <v>19038</v>
      </c>
    </row>
    <row r="9174" spans="1:6">
      <c r="A9174" t="s">
        <v>13</v>
      </c>
      <c r="B9174" t="s">
        <v>234</v>
      </c>
      <c r="C9174" t="s">
        <v>846</v>
      </c>
      <c r="D9174" t="s">
        <v>2017</v>
      </c>
      <c r="E9174" t="s">
        <v>2648</v>
      </c>
      <c r="F9174">
        <v>19013</v>
      </c>
    </row>
    <row r="9175" spans="1:6">
      <c r="A9175" t="s">
        <v>13</v>
      </c>
      <c r="B9175" t="s">
        <v>234</v>
      </c>
      <c r="C9175" t="s">
        <v>846</v>
      </c>
      <c r="D9175" t="s">
        <v>2017</v>
      </c>
      <c r="E9175" t="s">
        <v>2649</v>
      </c>
      <c r="F9175">
        <v>18975</v>
      </c>
    </row>
    <row r="9176" spans="1:6">
      <c r="A9176" t="s">
        <v>13</v>
      </c>
      <c r="B9176" t="s">
        <v>234</v>
      </c>
      <c r="C9176" t="s">
        <v>846</v>
      </c>
      <c r="D9176" t="s">
        <v>2017</v>
      </c>
      <c r="E9176" t="s">
        <v>2650</v>
      </c>
      <c r="F9176">
        <v>18931</v>
      </c>
    </row>
    <row r="9177" spans="1:6">
      <c r="A9177" t="s">
        <v>13</v>
      </c>
      <c r="B9177" t="s">
        <v>234</v>
      </c>
      <c r="C9177" t="s">
        <v>846</v>
      </c>
      <c r="D9177" t="s">
        <v>2017</v>
      </c>
      <c r="E9177" t="s">
        <v>2651</v>
      </c>
      <c r="F9177">
        <v>18914</v>
      </c>
    </row>
    <row r="9178" spans="1:6">
      <c r="A9178" t="s">
        <v>13</v>
      </c>
      <c r="B9178" t="s">
        <v>234</v>
      </c>
      <c r="C9178" t="s">
        <v>846</v>
      </c>
      <c r="D9178" t="s">
        <v>2017</v>
      </c>
      <c r="E9178" t="s">
        <v>2652</v>
      </c>
      <c r="F9178">
        <v>18883</v>
      </c>
    </row>
    <row r="9179" spans="1:6">
      <c r="A9179" t="s">
        <v>13</v>
      </c>
      <c r="B9179" t="s">
        <v>234</v>
      </c>
      <c r="C9179" t="s">
        <v>846</v>
      </c>
      <c r="D9179" t="s">
        <v>2017</v>
      </c>
      <c r="E9179" t="s">
        <v>2653</v>
      </c>
      <c r="F9179">
        <v>18863</v>
      </c>
    </row>
    <row r="9180" spans="1:6">
      <c r="A9180" t="s">
        <v>13</v>
      </c>
      <c r="B9180" t="s">
        <v>234</v>
      </c>
      <c r="C9180" t="s">
        <v>846</v>
      </c>
      <c r="D9180" t="s">
        <v>2017</v>
      </c>
      <c r="E9180" t="s">
        <v>2654</v>
      </c>
      <c r="F9180">
        <v>5437</v>
      </c>
    </row>
    <row r="9181" spans="1:6">
      <c r="A9181" t="s">
        <v>13</v>
      </c>
      <c r="B9181" t="s">
        <v>234</v>
      </c>
      <c r="C9181" t="s">
        <v>846</v>
      </c>
      <c r="D9181" t="s">
        <v>2017</v>
      </c>
      <c r="E9181" t="s">
        <v>2655</v>
      </c>
      <c r="F9181">
        <v>5402</v>
      </c>
    </row>
    <row r="9182" spans="1:6">
      <c r="A9182" t="s">
        <v>13</v>
      </c>
      <c r="B9182" t="s">
        <v>234</v>
      </c>
      <c r="C9182" t="s">
        <v>846</v>
      </c>
      <c r="D9182" t="s">
        <v>2017</v>
      </c>
      <c r="E9182" t="s">
        <v>2656</v>
      </c>
      <c r="F9182">
        <v>2023</v>
      </c>
    </row>
    <row r="9183" spans="1:6">
      <c r="A9183" t="s">
        <v>13</v>
      </c>
      <c r="B9183" t="s">
        <v>234</v>
      </c>
      <c r="C9183" t="s">
        <v>846</v>
      </c>
      <c r="D9183" t="s">
        <v>2017</v>
      </c>
      <c r="E9183" t="s">
        <v>2657</v>
      </c>
      <c r="F9183">
        <v>86649</v>
      </c>
    </row>
    <row r="9184" spans="1:6">
      <c r="A9184" t="s">
        <v>13</v>
      </c>
      <c r="B9184" t="s">
        <v>234</v>
      </c>
      <c r="C9184" t="s">
        <v>846</v>
      </c>
      <c r="D9184" t="s">
        <v>2017</v>
      </c>
      <c r="E9184" t="s">
        <v>2658</v>
      </c>
      <c r="F9184">
        <v>69211</v>
      </c>
    </row>
    <row r="9185" spans="1:6">
      <c r="A9185" t="s">
        <v>13</v>
      </c>
      <c r="B9185" t="s">
        <v>234</v>
      </c>
      <c r="C9185" t="s">
        <v>846</v>
      </c>
      <c r="D9185" t="s">
        <v>2017</v>
      </c>
      <c r="E9185" t="s">
        <v>2659</v>
      </c>
      <c r="F9185">
        <v>51379</v>
      </c>
    </row>
    <row r="9186" spans="1:6">
      <c r="A9186" t="s">
        <v>13</v>
      </c>
      <c r="B9186" t="s">
        <v>234</v>
      </c>
      <c r="C9186" t="s">
        <v>846</v>
      </c>
      <c r="D9186" t="s">
        <v>2017</v>
      </c>
      <c r="E9186" t="s">
        <v>2660</v>
      </c>
      <c r="F9186">
        <v>50468</v>
      </c>
    </row>
    <row r="9187" spans="1:6">
      <c r="A9187" t="s">
        <v>13</v>
      </c>
      <c r="B9187" t="s">
        <v>234</v>
      </c>
      <c r="C9187" t="s">
        <v>846</v>
      </c>
      <c r="D9187" t="s">
        <v>2017</v>
      </c>
      <c r="E9187" t="s">
        <v>2661</v>
      </c>
      <c r="F9187">
        <v>50440</v>
      </c>
    </row>
    <row r="9188" spans="1:6">
      <c r="A9188" t="s">
        <v>13</v>
      </c>
      <c r="B9188" t="s">
        <v>234</v>
      </c>
      <c r="C9188" t="s">
        <v>846</v>
      </c>
      <c r="D9188" t="s">
        <v>2017</v>
      </c>
      <c r="E9188" t="s">
        <v>2662</v>
      </c>
      <c r="F9188">
        <v>50273</v>
      </c>
    </row>
    <row r="9189" spans="1:6">
      <c r="A9189" t="s">
        <v>13</v>
      </c>
      <c r="B9189" t="s">
        <v>234</v>
      </c>
      <c r="C9189" t="s">
        <v>846</v>
      </c>
      <c r="D9189" t="s">
        <v>2017</v>
      </c>
      <c r="E9189" t="s">
        <v>2663</v>
      </c>
      <c r="F9189">
        <v>50043</v>
      </c>
    </row>
    <row r="9190" spans="1:6">
      <c r="A9190" t="s">
        <v>13</v>
      </c>
      <c r="B9190" t="s">
        <v>234</v>
      </c>
      <c r="C9190" t="s">
        <v>846</v>
      </c>
      <c r="D9190" t="s">
        <v>2017</v>
      </c>
      <c r="E9190" t="s">
        <v>2664</v>
      </c>
      <c r="F9190">
        <v>49883</v>
      </c>
    </row>
    <row r="9191" spans="1:6">
      <c r="A9191" t="s">
        <v>13</v>
      </c>
      <c r="B9191" t="s">
        <v>234</v>
      </c>
      <c r="C9191" t="s">
        <v>846</v>
      </c>
      <c r="D9191" t="s">
        <v>2017</v>
      </c>
      <c r="E9191" t="s">
        <v>2665</v>
      </c>
      <c r="F9191">
        <v>49773</v>
      </c>
    </row>
    <row r="9192" spans="1:6">
      <c r="A9192" t="s">
        <v>13</v>
      </c>
      <c r="B9192" t="s">
        <v>234</v>
      </c>
      <c r="C9192" t="s">
        <v>846</v>
      </c>
      <c r="D9192" t="s">
        <v>2017</v>
      </c>
      <c r="E9192" t="s">
        <v>2666</v>
      </c>
      <c r="F9192">
        <v>49855</v>
      </c>
    </row>
    <row r="9193" spans="1:6">
      <c r="A9193" t="s">
        <v>13</v>
      </c>
      <c r="B9193" t="s">
        <v>234</v>
      </c>
      <c r="C9193" t="s">
        <v>846</v>
      </c>
      <c r="D9193" t="s">
        <v>2017</v>
      </c>
      <c r="E9193" t="s">
        <v>2667</v>
      </c>
      <c r="F9193">
        <v>49727</v>
      </c>
    </row>
    <row r="9194" spans="1:6">
      <c r="A9194" t="s">
        <v>13</v>
      </c>
      <c r="B9194" t="s">
        <v>234</v>
      </c>
      <c r="C9194" t="s">
        <v>846</v>
      </c>
      <c r="D9194" t="s">
        <v>2017</v>
      </c>
      <c r="E9194" t="s">
        <v>2668</v>
      </c>
      <c r="F9194">
        <v>49518</v>
      </c>
    </row>
    <row r="9195" spans="1:6">
      <c r="A9195" t="s">
        <v>13</v>
      </c>
      <c r="B9195" t="s">
        <v>234</v>
      </c>
      <c r="C9195" t="s">
        <v>846</v>
      </c>
      <c r="D9195" t="s">
        <v>2017</v>
      </c>
      <c r="E9195" t="s">
        <v>2669</v>
      </c>
      <c r="F9195">
        <v>49331</v>
      </c>
    </row>
    <row r="9196" spans="1:6">
      <c r="A9196" t="s">
        <v>13</v>
      </c>
      <c r="B9196" t="s">
        <v>234</v>
      </c>
      <c r="C9196" t="s">
        <v>846</v>
      </c>
      <c r="D9196" t="s">
        <v>2017</v>
      </c>
      <c r="E9196" t="s">
        <v>2670</v>
      </c>
      <c r="F9196">
        <v>49255</v>
      </c>
    </row>
    <row r="9197" spans="1:6">
      <c r="A9197" t="s">
        <v>13</v>
      </c>
      <c r="B9197" t="s">
        <v>234</v>
      </c>
      <c r="C9197" t="s">
        <v>846</v>
      </c>
      <c r="D9197" t="s">
        <v>2017</v>
      </c>
      <c r="E9197" t="s">
        <v>2671</v>
      </c>
      <c r="F9197">
        <v>49071</v>
      </c>
    </row>
    <row r="9198" spans="1:6">
      <c r="A9198" t="s">
        <v>13</v>
      </c>
      <c r="B9198" t="s">
        <v>234</v>
      </c>
      <c r="C9198" t="s">
        <v>846</v>
      </c>
      <c r="D9198" t="s">
        <v>2017</v>
      </c>
      <c r="E9198" t="s">
        <v>2672</v>
      </c>
      <c r="F9198">
        <v>48882</v>
      </c>
    </row>
    <row r="9199" spans="1:6">
      <c r="A9199" t="s">
        <v>13</v>
      </c>
      <c r="B9199" t="s">
        <v>234</v>
      </c>
      <c r="C9199" t="s">
        <v>846</v>
      </c>
      <c r="D9199" t="s">
        <v>2017</v>
      </c>
      <c r="E9199" t="s">
        <v>2673</v>
      </c>
      <c r="F9199">
        <v>24066</v>
      </c>
    </row>
    <row r="9200" spans="1:6">
      <c r="A9200" t="s">
        <v>13</v>
      </c>
      <c r="B9200" t="s">
        <v>234</v>
      </c>
      <c r="C9200" t="s">
        <v>846</v>
      </c>
      <c r="D9200" t="s">
        <v>2017</v>
      </c>
      <c r="E9200" t="s">
        <v>2674</v>
      </c>
      <c r="F9200">
        <v>23925</v>
      </c>
    </row>
    <row r="9201" spans="1:6">
      <c r="A9201" t="s">
        <v>13</v>
      </c>
      <c r="B9201" t="s">
        <v>234</v>
      </c>
      <c r="C9201" t="s">
        <v>846</v>
      </c>
      <c r="D9201" t="s">
        <v>2017</v>
      </c>
      <c r="E9201" t="s">
        <v>2675</v>
      </c>
      <c r="F9201">
        <v>2024</v>
      </c>
    </row>
    <row r="9202" spans="1:6">
      <c r="A9202" t="s">
        <v>13</v>
      </c>
      <c r="B9202" t="s">
        <v>234</v>
      </c>
      <c r="C9202" t="s">
        <v>846</v>
      </c>
      <c r="D9202" t="s">
        <v>2017</v>
      </c>
      <c r="E9202" t="s">
        <v>2676</v>
      </c>
      <c r="F9202">
        <v>36438</v>
      </c>
    </row>
    <row r="9203" spans="1:6">
      <c r="A9203" t="s">
        <v>13</v>
      </c>
      <c r="B9203" t="s">
        <v>234</v>
      </c>
      <c r="C9203" t="s">
        <v>846</v>
      </c>
      <c r="D9203" t="s">
        <v>2017</v>
      </c>
      <c r="E9203" t="s">
        <v>2677</v>
      </c>
      <c r="F9203">
        <v>27346</v>
      </c>
    </row>
    <row r="9204" spans="1:6">
      <c r="A9204" t="s">
        <v>13</v>
      </c>
      <c r="B9204" t="s">
        <v>234</v>
      </c>
      <c r="C9204" t="s">
        <v>846</v>
      </c>
      <c r="D9204" t="s">
        <v>2017</v>
      </c>
      <c r="E9204" t="s">
        <v>2678</v>
      </c>
      <c r="F9204">
        <v>21578</v>
      </c>
    </row>
    <row r="9205" spans="1:6">
      <c r="A9205" t="s">
        <v>13</v>
      </c>
      <c r="B9205" t="s">
        <v>234</v>
      </c>
      <c r="C9205" t="s">
        <v>846</v>
      </c>
      <c r="D9205" t="s">
        <v>2017</v>
      </c>
      <c r="E9205" t="s">
        <v>2679</v>
      </c>
      <c r="F9205">
        <v>21491</v>
      </c>
    </row>
    <row r="9206" spans="1:6">
      <c r="A9206" t="s">
        <v>13</v>
      </c>
      <c r="B9206" t="s">
        <v>234</v>
      </c>
      <c r="C9206" t="s">
        <v>846</v>
      </c>
      <c r="D9206" t="s">
        <v>2017</v>
      </c>
      <c r="E9206" t="s">
        <v>2680</v>
      </c>
      <c r="F9206">
        <v>21369</v>
      </c>
    </row>
    <row r="9207" spans="1:6">
      <c r="A9207" t="s">
        <v>13</v>
      </c>
      <c r="B9207" t="s">
        <v>234</v>
      </c>
      <c r="C9207" t="s">
        <v>846</v>
      </c>
      <c r="D9207" t="s">
        <v>2017</v>
      </c>
      <c r="E9207" t="s">
        <v>2681</v>
      </c>
      <c r="F9207">
        <v>21223</v>
      </c>
    </row>
    <row r="9208" spans="1:6">
      <c r="A9208" t="s">
        <v>13</v>
      </c>
      <c r="B9208" t="s">
        <v>234</v>
      </c>
      <c r="C9208" t="s">
        <v>846</v>
      </c>
      <c r="D9208" t="s">
        <v>2017</v>
      </c>
      <c r="E9208" t="s">
        <v>2682</v>
      </c>
      <c r="F9208">
        <v>20892</v>
      </c>
    </row>
    <row r="9209" spans="1:6">
      <c r="A9209" t="s">
        <v>13</v>
      </c>
      <c r="B9209" t="s">
        <v>234</v>
      </c>
      <c r="C9209" t="s">
        <v>846</v>
      </c>
      <c r="D9209" t="s">
        <v>2017</v>
      </c>
      <c r="E9209" t="s">
        <v>2683</v>
      </c>
      <c r="F9209">
        <v>20759</v>
      </c>
    </row>
    <row r="9210" spans="1:6">
      <c r="A9210" t="s">
        <v>13</v>
      </c>
      <c r="B9210" t="s">
        <v>234</v>
      </c>
      <c r="C9210" t="s">
        <v>846</v>
      </c>
      <c r="D9210" t="s">
        <v>2017</v>
      </c>
      <c r="E9210" t="s">
        <v>2684</v>
      </c>
      <c r="F9210">
        <v>20645</v>
      </c>
    </row>
    <row r="9211" spans="1:6">
      <c r="A9211" t="s">
        <v>13</v>
      </c>
      <c r="B9211" t="s">
        <v>234</v>
      </c>
      <c r="C9211" t="s">
        <v>846</v>
      </c>
      <c r="D9211" t="s">
        <v>2017</v>
      </c>
      <c r="E9211" t="s">
        <v>2685</v>
      </c>
      <c r="F9211">
        <v>21443</v>
      </c>
    </row>
    <row r="9212" spans="1:6">
      <c r="A9212" t="s">
        <v>13</v>
      </c>
      <c r="B9212" t="s">
        <v>234</v>
      </c>
      <c r="C9212" t="s">
        <v>846</v>
      </c>
      <c r="D9212" t="s">
        <v>2017</v>
      </c>
      <c r="E9212" t="s">
        <v>2686</v>
      </c>
      <c r="F9212">
        <v>21339</v>
      </c>
    </row>
    <row r="9213" spans="1:6">
      <c r="A9213" t="s">
        <v>13</v>
      </c>
      <c r="B9213" t="s">
        <v>234</v>
      </c>
      <c r="C9213" t="s">
        <v>846</v>
      </c>
      <c r="D9213" t="s">
        <v>2017</v>
      </c>
      <c r="E9213" t="s">
        <v>2687</v>
      </c>
      <c r="F9213">
        <v>21174</v>
      </c>
    </row>
    <row r="9214" spans="1:6">
      <c r="A9214" t="s">
        <v>13</v>
      </c>
      <c r="B9214" t="s">
        <v>234</v>
      </c>
      <c r="C9214" t="s">
        <v>846</v>
      </c>
      <c r="D9214" t="s">
        <v>2017</v>
      </c>
      <c r="E9214" t="s">
        <v>2688</v>
      </c>
      <c r="F9214">
        <v>21018</v>
      </c>
    </row>
    <row r="9215" spans="1:6">
      <c r="A9215" t="s">
        <v>13</v>
      </c>
      <c r="B9215" t="s">
        <v>234</v>
      </c>
      <c r="C9215" t="s">
        <v>846</v>
      </c>
      <c r="D9215" t="s">
        <v>2017</v>
      </c>
      <c r="E9215" t="s">
        <v>2689</v>
      </c>
      <c r="F9215">
        <v>20915</v>
      </c>
    </row>
    <row r="9216" spans="1:6">
      <c r="A9216" t="s">
        <v>13</v>
      </c>
      <c r="B9216" t="s">
        <v>234</v>
      </c>
      <c r="C9216" t="s">
        <v>846</v>
      </c>
      <c r="D9216" t="s">
        <v>2017</v>
      </c>
      <c r="E9216" t="s">
        <v>2690</v>
      </c>
      <c r="F9216">
        <v>20752</v>
      </c>
    </row>
    <row r="9217" spans="1:6">
      <c r="A9217" t="s">
        <v>13</v>
      </c>
      <c r="B9217" t="s">
        <v>234</v>
      </c>
      <c r="C9217" t="s">
        <v>846</v>
      </c>
      <c r="D9217" t="s">
        <v>2017</v>
      </c>
      <c r="E9217" t="s">
        <v>2691</v>
      </c>
      <c r="F9217">
        <v>20654</v>
      </c>
    </row>
    <row r="9218" spans="1:6">
      <c r="A9218" t="s">
        <v>13</v>
      </c>
      <c r="B9218" t="s">
        <v>234</v>
      </c>
      <c r="C9218" t="s">
        <v>846</v>
      </c>
      <c r="D9218" t="s">
        <v>2017</v>
      </c>
      <c r="E9218" t="s">
        <v>2692</v>
      </c>
      <c r="F9218">
        <v>11320</v>
      </c>
    </row>
    <row r="9219" spans="1:6">
      <c r="A9219" t="s">
        <v>13</v>
      </c>
      <c r="B9219" t="s">
        <v>234</v>
      </c>
      <c r="C9219" t="s">
        <v>846</v>
      </c>
      <c r="D9219" t="s">
        <v>2017</v>
      </c>
      <c r="E9219" t="s">
        <v>2693</v>
      </c>
      <c r="F9219">
        <v>11188</v>
      </c>
    </row>
    <row r="9220" spans="1:6">
      <c r="A9220" t="s">
        <v>13</v>
      </c>
      <c r="B9220" t="s">
        <v>234</v>
      </c>
      <c r="C9220" t="s">
        <v>846</v>
      </c>
      <c r="D9220" t="s">
        <v>2017</v>
      </c>
      <c r="E9220" t="s">
        <v>2694</v>
      </c>
      <c r="F9220">
        <v>2025</v>
      </c>
    </row>
    <row r="9221" spans="1:6">
      <c r="A9221" t="s">
        <v>13</v>
      </c>
      <c r="B9221" t="s">
        <v>234</v>
      </c>
      <c r="C9221" t="s">
        <v>846</v>
      </c>
      <c r="D9221" t="s">
        <v>2017</v>
      </c>
      <c r="E9221" t="s">
        <v>2695</v>
      </c>
      <c r="F9221">
        <v>1371</v>
      </c>
    </row>
    <row r="9222" spans="1:6">
      <c r="A9222" t="s">
        <v>13</v>
      </c>
      <c r="B9222" t="s">
        <v>234</v>
      </c>
      <c r="C9222" t="s">
        <v>846</v>
      </c>
      <c r="D9222" t="s">
        <v>2017</v>
      </c>
      <c r="E9222" t="s">
        <v>2696</v>
      </c>
      <c r="F9222">
        <v>2255</v>
      </c>
    </row>
    <row r="9223" spans="1:6">
      <c r="A9223" t="s">
        <v>13</v>
      </c>
      <c r="B9223" t="s">
        <v>234</v>
      </c>
      <c r="C9223" t="s">
        <v>846</v>
      </c>
      <c r="D9223" t="s">
        <v>2017</v>
      </c>
      <c r="E9223" t="s">
        <v>2697</v>
      </c>
      <c r="F9223">
        <v>3063</v>
      </c>
    </row>
    <row r="9224" spans="1:6">
      <c r="A9224" t="s">
        <v>13</v>
      </c>
      <c r="B9224" t="s">
        <v>234</v>
      </c>
      <c r="C9224" t="s">
        <v>846</v>
      </c>
      <c r="D9224" t="s">
        <v>2017</v>
      </c>
      <c r="E9224" t="s">
        <v>2698</v>
      </c>
      <c r="F9224">
        <v>3705</v>
      </c>
    </row>
    <row r="9225" spans="1:6">
      <c r="A9225" t="s">
        <v>13</v>
      </c>
      <c r="B9225" t="s">
        <v>234</v>
      </c>
      <c r="C9225" t="s">
        <v>846</v>
      </c>
      <c r="D9225" t="s">
        <v>2017</v>
      </c>
      <c r="E9225" t="s">
        <v>2699</v>
      </c>
      <c r="F9225">
        <v>4679</v>
      </c>
    </row>
    <row r="9226" spans="1:6">
      <c r="A9226" t="s">
        <v>13</v>
      </c>
      <c r="B9226" t="s">
        <v>234</v>
      </c>
      <c r="C9226" t="s">
        <v>846</v>
      </c>
      <c r="D9226" t="s">
        <v>2017</v>
      </c>
      <c r="E9226" t="s">
        <v>2700</v>
      </c>
      <c r="F9226">
        <v>5046</v>
      </c>
    </row>
    <row r="9227" spans="1:6">
      <c r="A9227" t="s">
        <v>13</v>
      </c>
      <c r="B9227" t="s">
        <v>234</v>
      </c>
      <c r="C9227" t="s">
        <v>846</v>
      </c>
      <c r="D9227" t="s">
        <v>2017</v>
      </c>
      <c r="E9227" t="s">
        <v>2701</v>
      </c>
      <c r="F9227">
        <v>5106</v>
      </c>
    </row>
    <row r="9228" spans="1:6">
      <c r="A9228" t="s">
        <v>13</v>
      </c>
      <c r="B9228" t="s">
        <v>234</v>
      </c>
      <c r="C9228" t="s">
        <v>846</v>
      </c>
      <c r="D9228" t="s">
        <v>2017</v>
      </c>
      <c r="E9228" t="s">
        <v>2702</v>
      </c>
      <c r="F9228">
        <v>5123</v>
      </c>
    </row>
    <row r="9229" spans="1:6">
      <c r="A9229" t="s">
        <v>13</v>
      </c>
      <c r="B9229" t="s">
        <v>234</v>
      </c>
      <c r="C9229" t="s">
        <v>846</v>
      </c>
      <c r="D9229" t="s">
        <v>2017</v>
      </c>
      <c r="E9229" t="s">
        <v>2703</v>
      </c>
      <c r="F9229">
        <v>5184</v>
      </c>
    </row>
    <row r="9230" spans="1:6">
      <c r="A9230" t="s">
        <v>13</v>
      </c>
      <c r="B9230" t="s">
        <v>234</v>
      </c>
      <c r="C9230" t="s">
        <v>846</v>
      </c>
      <c r="D9230" t="s">
        <v>2017</v>
      </c>
      <c r="E9230" t="s">
        <v>2704</v>
      </c>
      <c r="F9230">
        <v>5577</v>
      </c>
    </row>
    <row r="9231" spans="1:6">
      <c r="A9231" t="s">
        <v>13</v>
      </c>
      <c r="B9231" t="s">
        <v>234</v>
      </c>
      <c r="C9231" t="s">
        <v>846</v>
      </c>
      <c r="D9231" t="s">
        <v>2017</v>
      </c>
      <c r="E9231" t="s">
        <v>2705</v>
      </c>
      <c r="F9231">
        <v>7554</v>
      </c>
    </row>
    <row r="9232" spans="1:6">
      <c r="A9232" t="s">
        <v>13</v>
      </c>
      <c r="B9232" t="s">
        <v>234</v>
      </c>
      <c r="C9232" t="s">
        <v>846</v>
      </c>
      <c r="D9232" t="s">
        <v>2017</v>
      </c>
      <c r="E9232" t="s">
        <v>2706</v>
      </c>
      <c r="F9232">
        <v>8547</v>
      </c>
    </row>
    <row r="9233" spans="1:6">
      <c r="A9233" t="s">
        <v>13</v>
      </c>
      <c r="B9233" t="s">
        <v>234</v>
      </c>
      <c r="C9233" t="s">
        <v>846</v>
      </c>
      <c r="D9233" t="s">
        <v>2017</v>
      </c>
      <c r="E9233" t="s">
        <v>2707</v>
      </c>
      <c r="F9233">
        <v>8566</v>
      </c>
    </row>
    <row r="9234" spans="1:6">
      <c r="A9234" t="s">
        <v>13</v>
      </c>
      <c r="B9234" t="s">
        <v>234</v>
      </c>
      <c r="C9234" t="s">
        <v>846</v>
      </c>
      <c r="D9234" t="s">
        <v>2017</v>
      </c>
      <c r="E9234" t="s">
        <v>2708</v>
      </c>
      <c r="F9234">
        <v>8542</v>
      </c>
    </row>
    <row r="9235" spans="1:6">
      <c r="A9235" t="s">
        <v>13</v>
      </c>
      <c r="B9235" t="s">
        <v>234</v>
      </c>
      <c r="C9235" t="s">
        <v>846</v>
      </c>
      <c r="D9235" t="s">
        <v>2017</v>
      </c>
      <c r="E9235" t="s">
        <v>2709</v>
      </c>
      <c r="F9235">
        <v>8460</v>
      </c>
    </row>
    <row r="9236" spans="1:6">
      <c r="A9236" t="s">
        <v>13</v>
      </c>
      <c r="B9236" t="s">
        <v>234</v>
      </c>
      <c r="C9236" t="s">
        <v>846</v>
      </c>
      <c r="D9236" t="s">
        <v>2017</v>
      </c>
      <c r="E9236" t="s">
        <v>2710</v>
      </c>
      <c r="F9236">
        <v>8490</v>
      </c>
    </row>
    <row r="9237" spans="1:6">
      <c r="A9237" t="s">
        <v>13</v>
      </c>
      <c r="B9237" t="s">
        <v>234</v>
      </c>
      <c r="C9237" t="s">
        <v>846</v>
      </c>
      <c r="D9237" t="s">
        <v>2017</v>
      </c>
      <c r="E9237" t="s">
        <v>2711</v>
      </c>
      <c r="F9237">
        <v>8349</v>
      </c>
    </row>
    <row r="9238" spans="1:6">
      <c r="A9238" t="s">
        <v>13</v>
      </c>
      <c r="B9238" t="s">
        <v>234</v>
      </c>
      <c r="C9238" t="s">
        <v>846</v>
      </c>
      <c r="D9238" t="s">
        <v>2017</v>
      </c>
      <c r="E9238" t="s">
        <v>2712</v>
      </c>
      <c r="F9238">
        <v>8305</v>
      </c>
    </row>
    <row r="9239" spans="1:6">
      <c r="A9239" t="s">
        <v>13</v>
      </c>
      <c r="B9239" t="s">
        <v>234</v>
      </c>
      <c r="C9239" t="s">
        <v>846</v>
      </c>
      <c r="D9239" t="s">
        <v>2017</v>
      </c>
      <c r="E9239" t="s">
        <v>2713</v>
      </c>
      <c r="F9239">
        <v>2026</v>
      </c>
    </row>
    <row r="9240" spans="1:6">
      <c r="A9240" t="s">
        <v>13</v>
      </c>
      <c r="B9240" t="s">
        <v>234</v>
      </c>
      <c r="C9240" t="s">
        <v>846</v>
      </c>
      <c r="D9240" t="s">
        <v>2017</v>
      </c>
      <c r="E9240" t="s">
        <v>2714</v>
      </c>
      <c r="F9240">
        <v>0</v>
      </c>
    </row>
    <row r="9241" spans="1:6">
      <c r="A9241" t="s">
        <v>13</v>
      </c>
      <c r="B9241" t="s">
        <v>234</v>
      </c>
      <c r="C9241" t="s">
        <v>846</v>
      </c>
      <c r="D9241" t="s">
        <v>2017</v>
      </c>
      <c r="E9241" t="s">
        <v>2715</v>
      </c>
      <c r="F9241">
        <v>0</v>
      </c>
    </row>
    <row r="9242" spans="1:6">
      <c r="A9242" t="s">
        <v>13</v>
      </c>
      <c r="B9242" t="s">
        <v>234</v>
      </c>
      <c r="C9242" t="s">
        <v>846</v>
      </c>
      <c r="D9242" t="s">
        <v>2017</v>
      </c>
      <c r="E9242" t="s">
        <v>2716</v>
      </c>
      <c r="F9242">
        <v>0</v>
      </c>
    </row>
    <row r="9243" spans="1:6">
      <c r="A9243" t="s">
        <v>13</v>
      </c>
      <c r="B9243" t="s">
        <v>234</v>
      </c>
      <c r="C9243" t="s">
        <v>846</v>
      </c>
      <c r="D9243" t="s">
        <v>2017</v>
      </c>
      <c r="E9243" t="s">
        <v>2717</v>
      </c>
      <c r="F9243">
        <v>0</v>
      </c>
    </row>
    <row r="9244" spans="1:6">
      <c r="A9244" t="s">
        <v>13</v>
      </c>
      <c r="B9244" t="s">
        <v>234</v>
      </c>
      <c r="C9244" t="s">
        <v>846</v>
      </c>
      <c r="D9244" t="s">
        <v>2017</v>
      </c>
      <c r="E9244" t="s">
        <v>2718</v>
      </c>
      <c r="F9244">
        <v>0</v>
      </c>
    </row>
    <row r="9245" spans="1:6">
      <c r="A9245" t="s">
        <v>13</v>
      </c>
      <c r="B9245" t="s">
        <v>234</v>
      </c>
      <c r="C9245" t="s">
        <v>846</v>
      </c>
      <c r="D9245" t="s">
        <v>2017</v>
      </c>
      <c r="E9245" t="s">
        <v>2719</v>
      </c>
      <c r="F9245">
        <v>0</v>
      </c>
    </row>
    <row r="9246" spans="1:6">
      <c r="A9246" t="s">
        <v>13</v>
      </c>
      <c r="B9246" t="s">
        <v>234</v>
      </c>
      <c r="C9246" t="s">
        <v>846</v>
      </c>
      <c r="D9246" t="s">
        <v>2017</v>
      </c>
      <c r="E9246" t="s">
        <v>2720</v>
      </c>
      <c r="F9246">
        <v>0</v>
      </c>
    </row>
    <row r="9247" spans="1:6">
      <c r="A9247" t="s">
        <v>13</v>
      </c>
      <c r="B9247" t="s">
        <v>234</v>
      </c>
      <c r="C9247" t="s">
        <v>846</v>
      </c>
      <c r="D9247" t="s">
        <v>2017</v>
      </c>
      <c r="E9247" t="s">
        <v>2721</v>
      </c>
      <c r="F9247">
        <v>0</v>
      </c>
    </row>
    <row r="9248" spans="1:6">
      <c r="A9248" t="s">
        <v>13</v>
      </c>
      <c r="B9248" t="s">
        <v>234</v>
      </c>
      <c r="C9248" t="s">
        <v>846</v>
      </c>
      <c r="D9248" t="s">
        <v>2017</v>
      </c>
      <c r="E9248" t="s">
        <v>2722</v>
      </c>
      <c r="F9248">
        <v>0</v>
      </c>
    </row>
    <row r="9249" spans="1:6">
      <c r="A9249" t="s">
        <v>13</v>
      </c>
      <c r="B9249" t="s">
        <v>234</v>
      </c>
      <c r="C9249" t="s">
        <v>846</v>
      </c>
      <c r="D9249" t="s">
        <v>2017</v>
      </c>
      <c r="E9249" t="s">
        <v>2723</v>
      </c>
      <c r="F9249">
        <v>0</v>
      </c>
    </row>
    <row r="9250" spans="1:6">
      <c r="A9250" t="s">
        <v>13</v>
      </c>
      <c r="B9250" t="s">
        <v>234</v>
      </c>
      <c r="C9250" t="s">
        <v>846</v>
      </c>
      <c r="D9250" t="s">
        <v>2017</v>
      </c>
      <c r="E9250" t="s">
        <v>2724</v>
      </c>
      <c r="F9250">
        <v>0</v>
      </c>
    </row>
    <row r="9251" spans="1:6">
      <c r="A9251" t="s">
        <v>13</v>
      </c>
      <c r="B9251" t="s">
        <v>234</v>
      </c>
      <c r="C9251" t="s">
        <v>846</v>
      </c>
      <c r="D9251" t="s">
        <v>2017</v>
      </c>
      <c r="E9251" t="s">
        <v>2725</v>
      </c>
      <c r="F9251">
        <v>0</v>
      </c>
    </row>
    <row r="9252" spans="1:6">
      <c r="A9252" t="s">
        <v>13</v>
      </c>
      <c r="B9252" t="s">
        <v>234</v>
      </c>
      <c r="C9252" t="s">
        <v>846</v>
      </c>
      <c r="D9252" t="s">
        <v>2017</v>
      </c>
      <c r="E9252" t="s">
        <v>2726</v>
      </c>
      <c r="F9252">
        <v>446</v>
      </c>
    </row>
    <row r="9253" spans="1:6">
      <c r="A9253" t="s">
        <v>13</v>
      </c>
      <c r="B9253" t="s">
        <v>234</v>
      </c>
      <c r="C9253" t="s">
        <v>846</v>
      </c>
      <c r="D9253" t="s">
        <v>2017</v>
      </c>
      <c r="E9253" t="s">
        <v>2727</v>
      </c>
      <c r="F9253">
        <v>442</v>
      </c>
    </row>
    <row r="9254" spans="1:6">
      <c r="A9254" t="s">
        <v>13</v>
      </c>
      <c r="B9254" t="s">
        <v>234</v>
      </c>
      <c r="C9254" t="s">
        <v>846</v>
      </c>
      <c r="D9254" t="s">
        <v>2017</v>
      </c>
      <c r="E9254" t="s">
        <v>2728</v>
      </c>
      <c r="F9254">
        <v>426</v>
      </c>
    </row>
    <row r="9255" spans="1:6">
      <c r="A9255" t="s">
        <v>13</v>
      </c>
      <c r="B9255" t="s">
        <v>234</v>
      </c>
      <c r="C9255" t="s">
        <v>846</v>
      </c>
      <c r="D9255" t="s">
        <v>2017</v>
      </c>
      <c r="E9255" t="s">
        <v>2729</v>
      </c>
      <c r="F9255">
        <v>407</v>
      </c>
    </row>
    <row r="9256" spans="1:6">
      <c r="A9256" t="s">
        <v>13</v>
      </c>
      <c r="B9256" t="s">
        <v>234</v>
      </c>
      <c r="C9256" t="s">
        <v>846</v>
      </c>
      <c r="D9256" t="s">
        <v>2017</v>
      </c>
      <c r="E9256" t="s">
        <v>2730</v>
      </c>
      <c r="F9256">
        <v>333</v>
      </c>
    </row>
    <row r="9257" spans="1:6">
      <c r="A9257" t="s">
        <v>13</v>
      </c>
      <c r="B9257" t="s">
        <v>234</v>
      </c>
      <c r="C9257" t="s">
        <v>846</v>
      </c>
      <c r="D9257" t="s">
        <v>2017</v>
      </c>
      <c r="E9257" t="s">
        <v>2731</v>
      </c>
      <c r="F9257">
        <v>661</v>
      </c>
    </row>
    <row r="9258" spans="1:6">
      <c r="A9258" t="s">
        <v>13</v>
      </c>
      <c r="B9258" t="s">
        <v>234</v>
      </c>
      <c r="C9258" t="s">
        <v>846</v>
      </c>
      <c r="D9258" t="s">
        <v>2017</v>
      </c>
      <c r="E9258" t="s">
        <v>2732</v>
      </c>
      <c r="F9258">
        <v>2027</v>
      </c>
    </row>
    <row r="9259" spans="1:6">
      <c r="A9259" t="s">
        <v>13</v>
      </c>
      <c r="B9259" t="s">
        <v>234</v>
      </c>
      <c r="C9259" t="s">
        <v>846</v>
      </c>
      <c r="D9259" t="s">
        <v>2017</v>
      </c>
      <c r="E9259" t="s">
        <v>2733</v>
      </c>
      <c r="F9259">
        <v>2028</v>
      </c>
    </row>
    <row r="9260" spans="1:6">
      <c r="A9260" t="s">
        <v>13</v>
      </c>
      <c r="B9260" t="s">
        <v>234</v>
      </c>
      <c r="C9260" t="s">
        <v>846</v>
      </c>
      <c r="D9260" t="s">
        <v>2017</v>
      </c>
      <c r="E9260" t="s">
        <v>2734</v>
      </c>
      <c r="F9260">
        <v>2029</v>
      </c>
    </row>
    <row r="9261" spans="1:6">
      <c r="A9261" t="s">
        <v>13</v>
      </c>
      <c r="B9261" t="s">
        <v>234</v>
      </c>
      <c r="C9261" t="s">
        <v>846</v>
      </c>
      <c r="D9261" t="s">
        <v>2017</v>
      </c>
      <c r="E9261" t="s">
        <v>2735</v>
      </c>
      <c r="F9261">
        <v>2030</v>
      </c>
    </row>
    <row r="9262" spans="1:6">
      <c r="A9262" t="s">
        <v>27</v>
      </c>
      <c r="B9262" t="s">
        <v>234</v>
      </c>
      <c r="C9262" t="s">
        <v>861</v>
      </c>
      <c r="D9262" t="s">
        <v>2017</v>
      </c>
      <c r="E9262" t="s">
        <v>2018</v>
      </c>
      <c r="F9262">
        <v>2025</v>
      </c>
    </row>
    <row r="9263" spans="1:6">
      <c r="A9263" t="s">
        <v>27</v>
      </c>
      <c r="B9263" t="s">
        <v>234</v>
      </c>
      <c r="C9263" t="s">
        <v>861</v>
      </c>
      <c r="D9263" t="s">
        <v>2017</v>
      </c>
      <c r="E9263" t="s">
        <v>2019</v>
      </c>
      <c r="F9263">
        <v>2025</v>
      </c>
    </row>
    <row r="9264" spans="1:6">
      <c r="A9264" t="s">
        <v>27</v>
      </c>
      <c r="B9264" t="s">
        <v>234</v>
      </c>
      <c r="C9264" t="s">
        <v>861</v>
      </c>
      <c r="D9264" t="s">
        <v>2017</v>
      </c>
      <c r="E9264" t="s">
        <v>2020</v>
      </c>
      <c r="F9264">
        <v>2025</v>
      </c>
    </row>
    <row r="9265" spans="1:6">
      <c r="A9265" t="s">
        <v>27</v>
      </c>
      <c r="B9265" t="s">
        <v>234</v>
      </c>
      <c r="C9265" t="s">
        <v>861</v>
      </c>
      <c r="D9265" t="s">
        <v>2017</v>
      </c>
      <c r="E9265" t="s">
        <v>2021</v>
      </c>
      <c r="F9265">
        <v>2025</v>
      </c>
    </row>
    <row r="9266" spans="1:6">
      <c r="A9266" t="s">
        <v>27</v>
      </c>
      <c r="B9266" t="s">
        <v>234</v>
      </c>
      <c r="C9266" t="s">
        <v>861</v>
      </c>
      <c r="D9266" t="s">
        <v>2017</v>
      </c>
      <c r="E9266" t="s">
        <v>2022</v>
      </c>
      <c r="F9266">
        <v>2025</v>
      </c>
    </row>
    <row r="9267" spans="1:6">
      <c r="A9267" t="s">
        <v>27</v>
      </c>
      <c r="B9267" t="s">
        <v>234</v>
      </c>
      <c r="C9267" t="s">
        <v>861</v>
      </c>
      <c r="D9267" t="s">
        <v>2017</v>
      </c>
      <c r="E9267" t="s">
        <v>2023</v>
      </c>
      <c r="F9267">
        <v>2025</v>
      </c>
    </row>
    <row r="9268" spans="1:6">
      <c r="A9268" t="s">
        <v>27</v>
      </c>
      <c r="B9268" t="s">
        <v>234</v>
      </c>
      <c r="C9268" t="s">
        <v>861</v>
      </c>
      <c r="D9268" t="s">
        <v>2017</v>
      </c>
      <c r="E9268" t="s">
        <v>2024</v>
      </c>
      <c r="F9268">
        <v>2025</v>
      </c>
    </row>
    <row r="9269" spans="1:6">
      <c r="A9269" t="s">
        <v>27</v>
      </c>
      <c r="B9269" t="s">
        <v>234</v>
      </c>
      <c r="C9269" t="s">
        <v>861</v>
      </c>
      <c r="D9269" t="s">
        <v>2017</v>
      </c>
      <c r="E9269" t="s">
        <v>2025</v>
      </c>
      <c r="F9269">
        <v>2025</v>
      </c>
    </row>
    <row r="9270" spans="1:6">
      <c r="A9270" t="s">
        <v>27</v>
      </c>
      <c r="B9270" t="s">
        <v>234</v>
      </c>
      <c r="C9270" t="s">
        <v>861</v>
      </c>
      <c r="D9270" t="s">
        <v>2017</v>
      </c>
      <c r="E9270" t="s">
        <v>2026</v>
      </c>
      <c r="F9270">
        <v>2025</v>
      </c>
    </row>
    <row r="9271" spans="1:6">
      <c r="A9271" t="s">
        <v>27</v>
      </c>
      <c r="B9271" t="s">
        <v>234</v>
      </c>
      <c r="C9271" t="s">
        <v>861</v>
      </c>
      <c r="D9271" t="s">
        <v>2017</v>
      </c>
      <c r="E9271" t="s">
        <v>2027</v>
      </c>
      <c r="F9271">
        <v>2025</v>
      </c>
    </row>
    <row r="9272" spans="1:6">
      <c r="A9272" t="s">
        <v>27</v>
      </c>
      <c r="B9272" t="s">
        <v>234</v>
      </c>
      <c r="C9272" t="s">
        <v>861</v>
      </c>
      <c r="D9272" t="s">
        <v>2017</v>
      </c>
      <c r="E9272" t="s">
        <v>2028</v>
      </c>
      <c r="F9272">
        <v>2025</v>
      </c>
    </row>
    <row r="9273" spans="1:6">
      <c r="A9273" t="s">
        <v>27</v>
      </c>
      <c r="B9273" t="s">
        <v>234</v>
      </c>
      <c r="C9273" t="s">
        <v>861</v>
      </c>
      <c r="D9273" t="s">
        <v>2017</v>
      </c>
      <c r="E9273" t="s">
        <v>2029</v>
      </c>
      <c r="F9273">
        <v>2025</v>
      </c>
    </row>
    <row r="9274" spans="1:6">
      <c r="A9274" t="s">
        <v>27</v>
      </c>
      <c r="B9274" t="s">
        <v>234</v>
      </c>
      <c r="C9274" t="s">
        <v>861</v>
      </c>
      <c r="D9274" t="s">
        <v>2017</v>
      </c>
      <c r="E9274" t="s">
        <v>2030</v>
      </c>
      <c r="F9274">
        <v>2026</v>
      </c>
    </row>
    <row r="9275" spans="1:6">
      <c r="A9275" t="s">
        <v>27</v>
      </c>
      <c r="B9275" t="s">
        <v>234</v>
      </c>
      <c r="C9275" t="s">
        <v>861</v>
      </c>
      <c r="D9275" t="s">
        <v>2017</v>
      </c>
      <c r="E9275" t="s">
        <v>2031</v>
      </c>
      <c r="F9275">
        <v>2026</v>
      </c>
    </row>
    <row r="9276" spans="1:6">
      <c r="A9276" t="s">
        <v>27</v>
      </c>
      <c r="B9276" t="s">
        <v>234</v>
      </c>
      <c r="C9276" t="s">
        <v>861</v>
      </c>
      <c r="D9276" t="s">
        <v>2017</v>
      </c>
      <c r="E9276" t="s">
        <v>2032</v>
      </c>
      <c r="F9276">
        <v>2026</v>
      </c>
    </row>
    <row r="9277" spans="1:6">
      <c r="A9277" t="s">
        <v>27</v>
      </c>
      <c r="B9277" t="s">
        <v>234</v>
      </c>
      <c r="C9277" t="s">
        <v>861</v>
      </c>
      <c r="D9277" t="s">
        <v>2017</v>
      </c>
      <c r="E9277" t="s">
        <v>2033</v>
      </c>
      <c r="F9277">
        <v>2026</v>
      </c>
    </row>
    <row r="9278" spans="1:6">
      <c r="A9278" t="s">
        <v>27</v>
      </c>
      <c r="B9278" t="s">
        <v>234</v>
      </c>
      <c r="C9278" t="s">
        <v>861</v>
      </c>
      <c r="D9278" t="s">
        <v>2017</v>
      </c>
      <c r="E9278" t="s">
        <v>2034</v>
      </c>
      <c r="F9278">
        <v>2026</v>
      </c>
    </row>
    <row r="9279" spans="1:6">
      <c r="A9279" t="s">
        <v>27</v>
      </c>
      <c r="B9279" t="s">
        <v>234</v>
      </c>
      <c r="C9279" t="s">
        <v>861</v>
      </c>
      <c r="D9279" t="s">
        <v>2017</v>
      </c>
      <c r="E9279" t="s">
        <v>2035</v>
      </c>
      <c r="F9279">
        <v>2026</v>
      </c>
    </row>
    <row r="9280" spans="1:6">
      <c r="A9280" t="s">
        <v>27</v>
      </c>
      <c r="B9280" t="s">
        <v>234</v>
      </c>
      <c r="C9280" t="s">
        <v>861</v>
      </c>
      <c r="D9280" t="s">
        <v>2017</v>
      </c>
      <c r="E9280" t="s">
        <v>2736</v>
      </c>
      <c r="F9280">
        <v>2026</v>
      </c>
    </row>
    <row r="9281" spans="1:6">
      <c r="A9281" t="s">
        <v>27</v>
      </c>
      <c r="B9281" t="s">
        <v>234</v>
      </c>
      <c r="C9281" t="s">
        <v>861</v>
      </c>
      <c r="D9281" t="s">
        <v>2017</v>
      </c>
      <c r="E9281" t="s">
        <v>2737</v>
      </c>
      <c r="F9281">
        <v>2026</v>
      </c>
    </row>
    <row r="9282" spans="1:6">
      <c r="A9282" t="s">
        <v>27</v>
      </c>
      <c r="B9282" t="s">
        <v>234</v>
      </c>
      <c r="C9282" t="s">
        <v>861</v>
      </c>
      <c r="D9282" t="s">
        <v>2017</v>
      </c>
      <c r="E9282" t="s">
        <v>2738</v>
      </c>
      <c r="F9282">
        <v>2026</v>
      </c>
    </row>
    <row r="9283" spans="1:6">
      <c r="A9283" t="s">
        <v>27</v>
      </c>
      <c r="B9283" t="s">
        <v>234</v>
      </c>
      <c r="C9283" t="s">
        <v>861</v>
      </c>
      <c r="D9283" t="s">
        <v>2017</v>
      </c>
      <c r="E9283" t="s">
        <v>2036</v>
      </c>
      <c r="F9283">
        <v>1</v>
      </c>
    </row>
    <row r="9284" spans="1:6">
      <c r="A9284" t="s">
        <v>27</v>
      </c>
      <c r="B9284" t="s">
        <v>234</v>
      </c>
      <c r="C9284" t="s">
        <v>861</v>
      </c>
      <c r="D9284" t="s">
        <v>2017</v>
      </c>
      <c r="E9284" t="s">
        <v>1977</v>
      </c>
      <c r="F9284">
        <v>2</v>
      </c>
    </row>
    <row r="9285" spans="1:6">
      <c r="A9285" t="s">
        <v>27</v>
      </c>
      <c r="B9285" t="s">
        <v>234</v>
      </c>
      <c r="C9285" t="s">
        <v>861</v>
      </c>
      <c r="D9285" t="s">
        <v>2017</v>
      </c>
      <c r="E9285" t="s">
        <v>1979</v>
      </c>
      <c r="F9285">
        <v>3</v>
      </c>
    </row>
    <row r="9286" spans="1:6">
      <c r="A9286" t="s">
        <v>27</v>
      </c>
      <c r="B9286" t="s">
        <v>234</v>
      </c>
      <c r="C9286" t="s">
        <v>861</v>
      </c>
      <c r="D9286" t="s">
        <v>2017</v>
      </c>
      <c r="E9286" t="s">
        <v>2037</v>
      </c>
      <c r="F9286">
        <v>4</v>
      </c>
    </row>
    <row r="9287" spans="1:6">
      <c r="A9287" t="s">
        <v>27</v>
      </c>
      <c r="B9287" t="s">
        <v>234</v>
      </c>
      <c r="C9287" t="s">
        <v>861</v>
      </c>
      <c r="D9287" t="s">
        <v>2017</v>
      </c>
      <c r="E9287" t="s">
        <v>2038</v>
      </c>
      <c r="F9287">
        <v>5</v>
      </c>
    </row>
    <row r="9288" spans="1:6">
      <c r="A9288" t="s">
        <v>27</v>
      </c>
      <c r="B9288" t="s">
        <v>234</v>
      </c>
      <c r="C9288" t="s">
        <v>861</v>
      </c>
      <c r="D9288" t="s">
        <v>2017</v>
      </c>
      <c r="E9288" t="s">
        <v>2039</v>
      </c>
      <c r="F9288">
        <v>6</v>
      </c>
    </row>
    <row r="9289" spans="1:6">
      <c r="A9289" t="s">
        <v>27</v>
      </c>
      <c r="B9289" t="s">
        <v>234</v>
      </c>
      <c r="C9289" t="s">
        <v>861</v>
      </c>
      <c r="D9289" t="s">
        <v>2017</v>
      </c>
      <c r="E9289" t="s">
        <v>2040</v>
      </c>
      <c r="F9289">
        <v>7</v>
      </c>
    </row>
    <row r="9290" spans="1:6">
      <c r="A9290" t="s">
        <v>27</v>
      </c>
      <c r="B9290" t="s">
        <v>234</v>
      </c>
      <c r="C9290" t="s">
        <v>861</v>
      </c>
      <c r="D9290" t="s">
        <v>2017</v>
      </c>
      <c r="E9290" t="s">
        <v>2041</v>
      </c>
      <c r="F9290">
        <v>8</v>
      </c>
    </row>
    <row r="9291" spans="1:6">
      <c r="A9291" t="s">
        <v>27</v>
      </c>
      <c r="B9291" t="s">
        <v>234</v>
      </c>
      <c r="C9291" t="s">
        <v>861</v>
      </c>
      <c r="D9291" t="s">
        <v>2017</v>
      </c>
      <c r="E9291" t="s">
        <v>2042</v>
      </c>
      <c r="F9291">
        <v>9</v>
      </c>
    </row>
    <row r="9292" spans="1:6">
      <c r="A9292" t="s">
        <v>27</v>
      </c>
      <c r="B9292" t="s">
        <v>234</v>
      </c>
      <c r="C9292" t="s">
        <v>861</v>
      </c>
      <c r="D9292" t="s">
        <v>2017</v>
      </c>
      <c r="E9292" t="s">
        <v>2043</v>
      </c>
      <c r="F9292">
        <v>10</v>
      </c>
    </row>
    <row r="9293" spans="1:6">
      <c r="A9293" t="s">
        <v>27</v>
      </c>
      <c r="B9293" t="s">
        <v>234</v>
      </c>
      <c r="C9293" t="s">
        <v>861</v>
      </c>
      <c r="D9293" t="s">
        <v>2017</v>
      </c>
      <c r="E9293" t="s">
        <v>2044</v>
      </c>
      <c r="F9293">
        <v>11</v>
      </c>
    </row>
    <row r="9294" spans="1:6">
      <c r="A9294" t="s">
        <v>27</v>
      </c>
      <c r="B9294" t="s">
        <v>234</v>
      </c>
      <c r="C9294" t="s">
        <v>861</v>
      </c>
      <c r="D9294" t="s">
        <v>2017</v>
      </c>
      <c r="E9294" t="s">
        <v>2045</v>
      </c>
      <c r="F9294">
        <v>12</v>
      </c>
    </row>
    <row r="9295" spans="1:6">
      <c r="A9295" t="s">
        <v>27</v>
      </c>
      <c r="B9295" t="s">
        <v>234</v>
      </c>
      <c r="C9295" t="s">
        <v>861</v>
      </c>
      <c r="D9295" t="s">
        <v>2017</v>
      </c>
      <c r="E9295" t="s">
        <v>2046</v>
      </c>
      <c r="F9295">
        <v>1</v>
      </c>
    </row>
    <row r="9296" spans="1:6">
      <c r="A9296" t="s">
        <v>27</v>
      </c>
      <c r="B9296" t="s">
        <v>234</v>
      </c>
      <c r="C9296" t="s">
        <v>861</v>
      </c>
      <c r="D9296" t="s">
        <v>2017</v>
      </c>
      <c r="E9296" t="s">
        <v>2047</v>
      </c>
      <c r="F9296">
        <v>2</v>
      </c>
    </row>
    <row r="9297" spans="1:6">
      <c r="A9297" t="s">
        <v>27</v>
      </c>
      <c r="B9297" t="s">
        <v>234</v>
      </c>
      <c r="C9297" t="s">
        <v>861</v>
      </c>
      <c r="D9297" t="s">
        <v>2017</v>
      </c>
      <c r="E9297" t="s">
        <v>2048</v>
      </c>
      <c r="F9297">
        <v>3</v>
      </c>
    </row>
    <row r="9298" spans="1:6">
      <c r="A9298" t="s">
        <v>27</v>
      </c>
      <c r="B9298" t="s">
        <v>234</v>
      </c>
      <c r="C9298" t="s">
        <v>861</v>
      </c>
      <c r="D9298" t="s">
        <v>2017</v>
      </c>
      <c r="E9298" t="s">
        <v>2049</v>
      </c>
      <c r="F9298">
        <v>4</v>
      </c>
    </row>
    <row r="9299" spans="1:6">
      <c r="A9299" t="s">
        <v>27</v>
      </c>
      <c r="B9299" t="s">
        <v>234</v>
      </c>
      <c r="C9299" t="s">
        <v>861</v>
      </c>
      <c r="D9299" t="s">
        <v>2017</v>
      </c>
      <c r="E9299" t="s">
        <v>2050</v>
      </c>
      <c r="F9299">
        <v>5</v>
      </c>
    </row>
    <row r="9300" spans="1:6">
      <c r="A9300" t="s">
        <v>27</v>
      </c>
      <c r="B9300" t="s">
        <v>234</v>
      </c>
      <c r="C9300" t="s">
        <v>861</v>
      </c>
      <c r="D9300" t="s">
        <v>2017</v>
      </c>
      <c r="E9300" t="s">
        <v>2051</v>
      </c>
      <c r="F9300">
        <v>6</v>
      </c>
    </row>
    <row r="9301" spans="1:6">
      <c r="A9301" t="s">
        <v>27</v>
      </c>
      <c r="B9301" t="s">
        <v>234</v>
      </c>
      <c r="C9301" t="s">
        <v>861</v>
      </c>
      <c r="D9301" t="s">
        <v>2017</v>
      </c>
      <c r="E9301" t="s">
        <v>2739</v>
      </c>
      <c r="F9301">
        <v>7</v>
      </c>
    </row>
    <row r="9302" spans="1:6">
      <c r="A9302" t="s">
        <v>27</v>
      </c>
      <c r="B9302" t="s">
        <v>234</v>
      </c>
      <c r="C9302" t="s">
        <v>861</v>
      </c>
      <c r="D9302" t="s">
        <v>2017</v>
      </c>
      <c r="E9302" t="s">
        <v>2740</v>
      </c>
      <c r="F9302">
        <v>8</v>
      </c>
    </row>
    <row r="9303" spans="1:6">
      <c r="A9303" t="s">
        <v>27</v>
      </c>
      <c r="B9303" t="s">
        <v>234</v>
      </c>
      <c r="C9303" t="s">
        <v>861</v>
      </c>
      <c r="D9303" t="s">
        <v>2017</v>
      </c>
      <c r="E9303" t="s">
        <v>2741</v>
      </c>
      <c r="F9303">
        <v>9</v>
      </c>
    </row>
    <row r="9304" spans="1:6">
      <c r="A9304" t="s">
        <v>27</v>
      </c>
      <c r="B9304" t="s">
        <v>234</v>
      </c>
      <c r="C9304" t="s">
        <v>861</v>
      </c>
      <c r="D9304" t="s">
        <v>2017</v>
      </c>
      <c r="E9304" t="s">
        <v>1999</v>
      </c>
      <c r="F9304">
        <v>202501</v>
      </c>
    </row>
    <row r="9305" spans="1:6">
      <c r="A9305" t="s">
        <v>27</v>
      </c>
      <c r="B9305" t="s">
        <v>234</v>
      </c>
      <c r="C9305" t="s">
        <v>861</v>
      </c>
      <c r="D9305" t="s">
        <v>2017</v>
      </c>
      <c r="E9305" t="s">
        <v>1333</v>
      </c>
      <c r="F9305">
        <v>202502</v>
      </c>
    </row>
    <row r="9306" spans="1:6">
      <c r="A9306" t="s">
        <v>27</v>
      </c>
      <c r="B9306" t="s">
        <v>234</v>
      </c>
      <c r="C9306" t="s">
        <v>861</v>
      </c>
      <c r="D9306" t="s">
        <v>2017</v>
      </c>
      <c r="E9306" t="s">
        <v>1334</v>
      </c>
      <c r="F9306">
        <v>202503</v>
      </c>
    </row>
    <row r="9307" spans="1:6">
      <c r="A9307" t="s">
        <v>27</v>
      </c>
      <c r="B9307" t="s">
        <v>234</v>
      </c>
      <c r="C9307" t="s">
        <v>861</v>
      </c>
      <c r="D9307" t="s">
        <v>2017</v>
      </c>
      <c r="E9307" t="s">
        <v>2052</v>
      </c>
      <c r="F9307">
        <v>202504</v>
      </c>
    </row>
    <row r="9308" spans="1:6">
      <c r="A9308" t="s">
        <v>27</v>
      </c>
      <c r="B9308" t="s">
        <v>234</v>
      </c>
      <c r="C9308" t="s">
        <v>861</v>
      </c>
      <c r="D9308" t="s">
        <v>2017</v>
      </c>
      <c r="E9308" t="s">
        <v>2053</v>
      </c>
      <c r="F9308">
        <v>202505</v>
      </c>
    </row>
    <row r="9309" spans="1:6">
      <c r="A9309" t="s">
        <v>27</v>
      </c>
      <c r="B9309" t="s">
        <v>234</v>
      </c>
      <c r="C9309" t="s">
        <v>861</v>
      </c>
      <c r="D9309" t="s">
        <v>2017</v>
      </c>
      <c r="E9309" t="s">
        <v>2054</v>
      </c>
      <c r="F9309">
        <v>202506</v>
      </c>
    </row>
    <row r="9310" spans="1:6">
      <c r="A9310" t="s">
        <v>27</v>
      </c>
      <c r="B9310" t="s">
        <v>234</v>
      </c>
      <c r="C9310" t="s">
        <v>861</v>
      </c>
      <c r="D9310" t="s">
        <v>2017</v>
      </c>
      <c r="E9310" t="s">
        <v>2055</v>
      </c>
      <c r="F9310">
        <v>202507</v>
      </c>
    </row>
    <row r="9311" spans="1:6">
      <c r="A9311" t="s">
        <v>27</v>
      </c>
      <c r="B9311" t="s">
        <v>234</v>
      </c>
      <c r="C9311" t="s">
        <v>861</v>
      </c>
      <c r="D9311" t="s">
        <v>2017</v>
      </c>
      <c r="E9311" t="s">
        <v>2056</v>
      </c>
      <c r="F9311">
        <v>202508</v>
      </c>
    </row>
    <row r="9312" spans="1:6">
      <c r="A9312" t="s">
        <v>27</v>
      </c>
      <c r="B9312" t="s">
        <v>234</v>
      </c>
      <c r="C9312" t="s">
        <v>861</v>
      </c>
      <c r="D9312" t="s">
        <v>2017</v>
      </c>
      <c r="E9312" t="s">
        <v>2057</v>
      </c>
      <c r="F9312">
        <v>202509</v>
      </c>
    </row>
    <row r="9313" spans="1:6">
      <c r="A9313" t="s">
        <v>27</v>
      </c>
      <c r="B9313" t="s">
        <v>234</v>
      </c>
      <c r="C9313" t="s">
        <v>861</v>
      </c>
      <c r="D9313" t="s">
        <v>2017</v>
      </c>
      <c r="E9313" t="s">
        <v>2058</v>
      </c>
      <c r="F9313">
        <v>202510</v>
      </c>
    </row>
    <row r="9314" spans="1:6">
      <c r="A9314" t="s">
        <v>27</v>
      </c>
      <c r="B9314" t="s">
        <v>234</v>
      </c>
      <c r="C9314" t="s">
        <v>861</v>
      </c>
      <c r="D9314" t="s">
        <v>2017</v>
      </c>
      <c r="E9314" t="s">
        <v>2059</v>
      </c>
      <c r="F9314">
        <v>202511</v>
      </c>
    </row>
    <row r="9315" spans="1:6">
      <c r="A9315" t="s">
        <v>27</v>
      </c>
      <c r="B9315" t="s">
        <v>234</v>
      </c>
      <c r="C9315" t="s">
        <v>861</v>
      </c>
      <c r="D9315" t="s">
        <v>2017</v>
      </c>
      <c r="E9315" t="s">
        <v>2060</v>
      </c>
      <c r="F9315">
        <v>202512</v>
      </c>
    </row>
    <row r="9316" spans="1:6">
      <c r="A9316" t="s">
        <v>27</v>
      </c>
      <c r="B9316" t="s">
        <v>234</v>
      </c>
      <c r="C9316" t="s">
        <v>861</v>
      </c>
      <c r="D9316" t="s">
        <v>2017</v>
      </c>
      <c r="E9316" t="s">
        <v>2061</v>
      </c>
      <c r="F9316">
        <v>202601</v>
      </c>
    </row>
    <row r="9317" spans="1:6">
      <c r="A9317" t="s">
        <v>27</v>
      </c>
      <c r="B9317" t="s">
        <v>234</v>
      </c>
      <c r="C9317" t="s">
        <v>861</v>
      </c>
      <c r="D9317" t="s">
        <v>2017</v>
      </c>
      <c r="E9317" t="s">
        <v>2062</v>
      </c>
      <c r="F9317">
        <v>202602</v>
      </c>
    </row>
    <row r="9318" spans="1:6">
      <c r="A9318" t="s">
        <v>27</v>
      </c>
      <c r="B9318" t="s">
        <v>234</v>
      </c>
      <c r="C9318" t="s">
        <v>861</v>
      </c>
      <c r="D9318" t="s">
        <v>2017</v>
      </c>
      <c r="E9318" t="s">
        <v>2063</v>
      </c>
      <c r="F9318">
        <v>202603</v>
      </c>
    </row>
    <row r="9319" spans="1:6">
      <c r="A9319" t="s">
        <v>27</v>
      </c>
      <c r="B9319" t="s">
        <v>234</v>
      </c>
      <c r="C9319" t="s">
        <v>861</v>
      </c>
      <c r="D9319" t="s">
        <v>2017</v>
      </c>
      <c r="E9319" t="s">
        <v>2064</v>
      </c>
      <c r="F9319">
        <v>202604</v>
      </c>
    </row>
    <row r="9320" spans="1:6">
      <c r="A9320" t="s">
        <v>27</v>
      </c>
      <c r="B9320" t="s">
        <v>234</v>
      </c>
      <c r="C9320" t="s">
        <v>861</v>
      </c>
      <c r="D9320" t="s">
        <v>2017</v>
      </c>
      <c r="E9320" t="s">
        <v>2065</v>
      </c>
      <c r="F9320">
        <v>202605</v>
      </c>
    </row>
    <row r="9321" spans="1:6">
      <c r="A9321" t="s">
        <v>27</v>
      </c>
      <c r="B9321" t="s">
        <v>234</v>
      </c>
      <c r="C9321" t="s">
        <v>861</v>
      </c>
      <c r="D9321" t="s">
        <v>2017</v>
      </c>
      <c r="E9321" t="s">
        <v>2066</v>
      </c>
      <c r="F9321">
        <v>202606</v>
      </c>
    </row>
    <row r="9322" spans="1:6">
      <c r="A9322" t="s">
        <v>27</v>
      </c>
      <c r="B9322" t="s">
        <v>234</v>
      </c>
      <c r="C9322" t="s">
        <v>861</v>
      </c>
      <c r="D9322" t="s">
        <v>2017</v>
      </c>
      <c r="E9322" t="s">
        <v>2742</v>
      </c>
      <c r="F9322">
        <v>202607</v>
      </c>
    </row>
    <row r="9323" spans="1:6">
      <c r="A9323" t="s">
        <v>27</v>
      </c>
      <c r="B9323" t="s">
        <v>234</v>
      </c>
      <c r="C9323" t="s">
        <v>861</v>
      </c>
      <c r="D9323" t="s">
        <v>2017</v>
      </c>
      <c r="E9323" t="s">
        <v>2743</v>
      </c>
      <c r="F9323">
        <v>202608</v>
      </c>
    </row>
    <row r="9324" spans="1:6">
      <c r="A9324" t="s">
        <v>27</v>
      </c>
      <c r="B9324" t="s">
        <v>234</v>
      </c>
      <c r="C9324" t="s">
        <v>861</v>
      </c>
      <c r="D9324" t="s">
        <v>2017</v>
      </c>
      <c r="E9324" t="s">
        <v>2744</v>
      </c>
      <c r="F9324">
        <v>202609</v>
      </c>
    </row>
    <row r="9325" spans="1:6">
      <c r="A9325" t="s">
        <v>27</v>
      </c>
      <c r="B9325" t="s">
        <v>234</v>
      </c>
      <c r="C9325" t="s">
        <v>861</v>
      </c>
      <c r="D9325" t="s">
        <v>2017</v>
      </c>
      <c r="E9325" t="s">
        <v>1279</v>
      </c>
      <c r="F9325" t="s">
        <v>2067</v>
      </c>
    </row>
    <row r="9326" spans="1:6">
      <c r="A9326" t="s">
        <v>27</v>
      </c>
      <c r="B9326" t="s">
        <v>234</v>
      </c>
      <c r="C9326" t="s">
        <v>861</v>
      </c>
      <c r="D9326" t="s">
        <v>2017</v>
      </c>
      <c r="E9326" t="s">
        <v>1281</v>
      </c>
      <c r="F9326" t="s">
        <v>2068</v>
      </c>
    </row>
    <row r="9327" spans="1:6">
      <c r="A9327" t="s">
        <v>27</v>
      </c>
      <c r="B9327" t="s">
        <v>234</v>
      </c>
      <c r="C9327" t="s">
        <v>861</v>
      </c>
      <c r="D9327" t="s">
        <v>2017</v>
      </c>
      <c r="E9327" t="s">
        <v>2001</v>
      </c>
      <c r="F9327">
        <v>53009819.96999805</v>
      </c>
    </row>
    <row r="9328" spans="1:6">
      <c r="A9328" t="s">
        <v>27</v>
      </c>
      <c r="B9328" t="s">
        <v>234</v>
      </c>
      <c r="C9328" t="s">
        <v>861</v>
      </c>
      <c r="D9328" t="s">
        <v>2017</v>
      </c>
      <c r="E9328" t="s">
        <v>995</v>
      </c>
      <c r="F9328">
        <v>51814365.25999811</v>
      </c>
    </row>
    <row r="9329" spans="1:6">
      <c r="A9329" t="s">
        <v>27</v>
      </c>
      <c r="B9329" t="s">
        <v>234</v>
      </c>
      <c r="C9329" t="s">
        <v>861</v>
      </c>
      <c r="D9329" t="s">
        <v>2017</v>
      </c>
      <c r="E9329" t="s">
        <v>997</v>
      </c>
      <c r="F9329">
        <v>51520730.0999981</v>
      </c>
    </row>
    <row r="9330" spans="1:6">
      <c r="A9330" t="s">
        <v>27</v>
      </c>
      <c r="B9330" t="s">
        <v>234</v>
      </c>
      <c r="C9330" t="s">
        <v>861</v>
      </c>
      <c r="D9330" t="s">
        <v>2017</v>
      </c>
      <c r="E9330" t="s">
        <v>2069</v>
      </c>
      <c r="F9330">
        <v>51437309.5899981</v>
      </c>
    </row>
    <row r="9331" spans="1:6">
      <c r="A9331" t="s">
        <v>27</v>
      </c>
      <c r="B9331" t="s">
        <v>234</v>
      </c>
      <c r="C9331" t="s">
        <v>861</v>
      </c>
      <c r="D9331" t="s">
        <v>2017</v>
      </c>
      <c r="E9331" t="s">
        <v>2070</v>
      </c>
      <c r="F9331">
        <v>51197050.9299981</v>
      </c>
    </row>
    <row r="9332" spans="1:6">
      <c r="A9332" t="s">
        <v>27</v>
      </c>
      <c r="B9332" t="s">
        <v>234</v>
      </c>
      <c r="C9332" t="s">
        <v>861</v>
      </c>
      <c r="D9332" t="s">
        <v>2017</v>
      </c>
      <c r="E9332" t="s">
        <v>2071</v>
      </c>
      <c r="F9332">
        <v>51152204.3799981</v>
      </c>
    </row>
    <row r="9333" spans="1:6">
      <c r="A9333" t="s">
        <v>27</v>
      </c>
      <c r="B9333" t="s">
        <v>234</v>
      </c>
      <c r="C9333" t="s">
        <v>861</v>
      </c>
      <c r="D9333" t="s">
        <v>2017</v>
      </c>
      <c r="E9333" t="s">
        <v>2072</v>
      </c>
      <c r="F9333">
        <v>50942568.9299981</v>
      </c>
    </row>
    <row r="9334" spans="1:6">
      <c r="A9334" t="s">
        <v>27</v>
      </c>
      <c r="B9334" t="s">
        <v>234</v>
      </c>
      <c r="C9334" t="s">
        <v>861</v>
      </c>
      <c r="D9334" t="s">
        <v>2017</v>
      </c>
      <c r="E9334" t="s">
        <v>2073</v>
      </c>
      <c r="F9334">
        <v>50831097.5099981</v>
      </c>
    </row>
    <row r="9335" spans="1:6">
      <c r="A9335" t="s">
        <v>27</v>
      </c>
      <c r="B9335" t="s">
        <v>234</v>
      </c>
      <c r="C9335" t="s">
        <v>861</v>
      </c>
      <c r="D9335" t="s">
        <v>2017</v>
      </c>
      <c r="E9335" t="s">
        <v>2074</v>
      </c>
      <c r="F9335">
        <v>50701338.91999809</v>
      </c>
    </row>
    <row r="9336" spans="1:6">
      <c r="A9336" t="s">
        <v>27</v>
      </c>
      <c r="B9336" t="s">
        <v>234</v>
      </c>
      <c r="C9336" t="s">
        <v>861</v>
      </c>
      <c r="D9336" t="s">
        <v>2017</v>
      </c>
      <c r="E9336" t="s">
        <v>2075</v>
      </c>
      <c r="F9336">
        <v>50596191.00999809</v>
      </c>
    </row>
    <row r="9337" spans="1:6">
      <c r="A9337" t="s">
        <v>27</v>
      </c>
      <c r="B9337" t="s">
        <v>234</v>
      </c>
      <c r="C9337" t="s">
        <v>861</v>
      </c>
      <c r="D9337" t="s">
        <v>2017</v>
      </c>
      <c r="E9337" t="s">
        <v>2076</v>
      </c>
      <c r="F9337">
        <v>51076117.92999995</v>
      </c>
    </row>
    <row r="9338" spans="1:6">
      <c r="A9338" t="s">
        <v>27</v>
      </c>
      <c r="B9338" t="s">
        <v>234</v>
      </c>
      <c r="C9338" t="s">
        <v>861</v>
      </c>
      <c r="D9338" t="s">
        <v>2017</v>
      </c>
      <c r="E9338" t="s">
        <v>2077</v>
      </c>
      <c r="F9338">
        <v>50846990.90999997</v>
      </c>
    </row>
    <row r="9339" spans="1:6">
      <c r="A9339" t="s">
        <v>27</v>
      </c>
      <c r="B9339" t="s">
        <v>234</v>
      </c>
      <c r="C9339" t="s">
        <v>861</v>
      </c>
      <c r="D9339" t="s">
        <v>2017</v>
      </c>
      <c r="E9339" t="s">
        <v>2078</v>
      </c>
      <c r="F9339">
        <v>50619224.08000208</v>
      </c>
    </row>
    <row r="9340" spans="1:6">
      <c r="A9340" t="s">
        <v>27</v>
      </c>
      <c r="B9340" t="s">
        <v>234</v>
      </c>
      <c r="C9340" t="s">
        <v>861</v>
      </c>
      <c r="D9340" t="s">
        <v>2017</v>
      </c>
      <c r="E9340" t="s">
        <v>2079</v>
      </c>
      <c r="F9340">
        <v>50571226.82000208</v>
      </c>
    </row>
    <row r="9341" spans="1:6">
      <c r="A9341" t="s">
        <v>27</v>
      </c>
      <c r="B9341" t="s">
        <v>234</v>
      </c>
      <c r="C9341" t="s">
        <v>861</v>
      </c>
      <c r="D9341" t="s">
        <v>2017</v>
      </c>
      <c r="E9341" t="s">
        <v>2080</v>
      </c>
      <c r="F9341">
        <v>50433072.81000207</v>
      </c>
    </row>
    <row r="9342" spans="1:6">
      <c r="A9342" t="s">
        <v>27</v>
      </c>
      <c r="B9342" t="s">
        <v>234</v>
      </c>
      <c r="C9342" t="s">
        <v>861</v>
      </c>
      <c r="D9342" t="s">
        <v>2017</v>
      </c>
      <c r="E9342" t="s">
        <v>2081</v>
      </c>
      <c r="F9342">
        <v>50373696.94000211</v>
      </c>
    </row>
    <row r="9343" spans="1:6">
      <c r="A9343" t="s">
        <v>27</v>
      </c>
      <c r="B9343" t="s">
        <v>234</v>
      </c>
      <c r="C9343" t="s">
        <v>861</v>
      </c>
      <c r="D9343" t="s">
        <v>2017</v>
      </c>
      <c r="E9343" t="s">
        <v>2082</v>
      </c>
      <c r="F9343">
        <v>22474628.84000267</v>
      </c>
    </row>
    <row r="9344" spans="1:6">
      <c r="A9344" t="s">
        <v>27</v>
      </c>
      <c r="B9344" t="s">
        <v>234</v>
      </c>
      <c r="C9344" t="s">
        <v>861</v>
      </c>
      <c r="D9344" t="s">
        <v>2017</v>
      </c>
      <c r="E9344" t="s">
        <v>2083</v>
      </c>
      <c r="F9344">
        <v>22338552.44000267</v>
      </c>
    </row>
    <row r="9345" spans="1:6">
      <c r="A9345" t="s">
        <v>27</v>
      </c>
      <c r="B9345" t="s">
        <v>234</v>
      </c>
      <c r="C9345" t="s">
        <v>861</v>
      </c>
      <c r="D9345" t="s">
        <v>2017</v>
      </c>
      <c r="E9345" t="s">
        <v>2745</v>
      </c>
      <c r="F9345">
        <v>22214733.9400027</v>
      </c>
    </row>
    <row r="9346" spans="1:6">
      <c r="A9346" t="s">
        <v>27</v>
      </c>
      <c r="B9346" t="s">
        <v>234</v>
      </c>
      <c r="C9346" t="s">
        <v>861</v>
      </c>
      <c r="D9346" t="s">
        <v>2017</v>
      </c>
      <c r="E9346" t="s">
        <v>2746</v>
      </c>
      <c r="F9346">
        <v>22183792.6700027</v>
      </c>
    </row>
    <row r="9347" spans="1:6">
      <c r="A9347" t="s">
        <v>27</v>
      </c>
      <c r="B9347" t="s">
        <v>234</v>
      </c>
      <c r="C9347" t="s">
        <v>861</v>
      </c>
      <c r="D9347" t="s">
        <v>2017</v>
      </c>
      <c r="E9347" t="s">
        <v>2747</v>
      </c>
      <c r="F9347">
        <v>22106987.68000206</v>
      </c>
    </row>
    <row r="9348" spans="1:6">
      <c r="A9348" t="s">
        <v>27</v>
      </c>
      <c r="B9348" t="s">
        <v>234</v>
      </c>
      <c r="C9348" t="s">
        <v>861</v>
      </c>
      <c r="D9348" t="s">
        <v>2017</v>
      </c>
      <c r="E9348" t="s">
        <v>1577</v>
      </c>
      <c r="F9348" t="s">
        <v>2084</v>
      </c>
    </row>
    <row r="9349" spans="1:6">
      <c r="A9349" t="s">
        <v>27</v>
      </c>
      <c r="B9349" t="s">
        <v>234</v>
      </c>
      <c r="C9349" t="s">
        <v>861</v>
      </c>
      <c r="D9349" t="s">
        <v>2017</v>
      </c>
      <c r="E9349" t="s">
        <v>2085</v>
      </c>
      <c r="F9349">
        <v>854085</v>
      </c>
    </row>
    <row r="9350" spans="1:6">
      <c r="A9350" t="s">
        <v>27</v>
      </c>
      <c r="B9350" t="s">
        <v>234</v>
      </c>
      <c r="C9350" t="s">
        <v>861</v>
      </c>
      <c r="D9350" t="s">
        <v>2017</v>
      </c>
      <c r="E9350" t="s">
        <v>1509</v>
      </c>
      <c r="F9350">
        <v>727218</v>
      </c>
    </row>
    <row r="9351" spans="1:6">
      <c r="A9351" t="s">
        <v>27</v>
      </c>
      <c r="B9351" t="s">
        <v>234</v>
      </c>
      <c r="C9351" t="s">
        <v>861</v>
      </c>
      <c r="D9351" t="s">
        <v>2017</v>
      </c>
      <c r="E9351" t="s">
        <v>1510</v>
      </c>
      <c r="F9351">
        <v>618332</v>
      </c>
    </row>
    <row r="9352" spans="1:6">
      <c r="A9352" t="s">
        <v>27</v>
      </c>
      <c r="B9352" t="s">
        <v>234</v>
      </c>
      <c r="C9352" t="s">
        <v>861</v>
      </c>
      <c r="D9352" t="s">
        <v>2017</v>
      </c>
      <c r="E9352" t="s">
        <v>2086</v>
      </c>
      <c r="F9352">
        <v>614139</v>
      </c>
    </row>
    <row r="9353" spans="1:6">
      <c r="A9353" t="s">
        <v>27</v>
      </c>
      <c r="B9353" t="s">
        <v>234</v>
      </c>
      <c r="C9353" t="s">
        <v>861</v>
      </c>
      <c r="D9353" t="s">
        <v>2017</v>
      </c>
      <c r="E9353" t="s">
        <v>2087</v>
      </c>
      <c r="F9353">
        <v>612365</v>
      </c>
    </row>
    <row r="9354" spans="1:6">
      <c r="A9354" t="s">
        <v>27</v>
      </c>
      <c r="B9354" t="s">
        <v>234</v>
      </c>
      <c r="C9354" t="s">
        <v>861</v>
      </c>
      <c r="D9354" t="s">
        <v>2017</v>
      </c>
      <c r="E9354" t="s">
        <v>1758</v>
      </c>
      <c r="F9354">
        <v>610097</v>
      </c>
    </row>
    <row r="9355" spans="1:6">
      <c r="A9355" t="s">
        <v>27</v>
      </c>
      <c r="B9355" t="s">
        <v>234</v>
      </c>
      <c r="C9355" t="s">
        <v>861</v>
      </c>
      <c r="D9355" t="s">
        <v>2017</v>
      </c>
      <c r="E9355" t="s">
        <v>1760</v>
      </c>
      <c r="F9355">
        <v>606335</v>
      </c>
    </row>
    <row r="9356" spans="1:6">
      <c r="A9356" t="s">
        <v>27</v>
      </c>
      <c r="B9356" t="s">
        <v>234</v>
      </c>
      <c r="C9356" t="s">
        <v>861</v>
      </c>
      <c r="D9356" t="s">
        <v>2017</v>
      </c>
      <c r="E9356" t="s">
        <v>1762</v>
      </c>
      <c r="F9356">
        <v>603896</v>
      </c>
    </row>
    <row r="9357" spans="1:6">
      <c r="A9357" t="s">
        <v>27</v>
      </c>
      <c r="B9357" t="s">
        <v>234</v>
      </c>
      <c r="C9357" t="s">
        <v>861</v>
      </c>
      <c r="D9357" t="s">
        <v>2017</v>
      </c>
      <c r="E9357" t="s">
        <v>2088</v>
      </c>
      <c r="F9357">
        <v>601561</v>
      </c>
    </row>
    <row r="9358" spans="1:6">
      <c r="A9358" t="s">
        <v>27</v>
      </c>
      <c r="B9358" t="s">
        <v>234</v>
      </c>
      <c r="C9358" t="s">
        <v>861</v>
      </c>
      <c r="D9358" t="s">
        <v>2017</v>
      </c>
      <c r="E9358" t="s">
        <v>1764</v>
      </c>
      <c r="F9358">
        <v>599509</v>
      </c>
    </row>
    <row r="9359" spans="1:6">
      <c r="A9359" t="s">
        <v>27</v>
      </c>
      <c r="B9359" t="s">
        <v>234</v>
      </c>
      <c r="C9359" t="s">
        <v>861</v>
      </c>
      <c r="D9359" t="s">
        <v>2017</v>
      </c>
      <c r="E9359" t="s">
        <v>1765</v>
      </c>
      <c r="F9359">
        <v>617159</v>
      </c>
    </row>
    <row r="9360" spans="1:6">
      <c r="A9360" t="s">
        <v>27</v>
      </c>
      <c r="B9360" t="s">
        <v>234</v>
      </c>
      <c r="C9360" t="s">
        <v>861</v>
      </c>
      <c r="D9360" t="s">
        <v>2017</v>
      </c>
      <c r="E9360" t="s">
        <v>1766</v>
      </c>
      <c r="F9360">
        <v>617335</v>
      </c>
    </row>
    <row r="9361" spans="1:6">
      <c r="A9361" t="s">
        <v>27</v>
      </c>
      <c r="B9361" t="s">
        <v>234</v>
      </c>
      <c r="C9361" t="s">
        <v>861</v>
      </c>
      <c r="D9361" t="s">
        <v>2017</v>
      </c>
      <c r="E9361" t="s">
        <v>2089</v>
      </c>
      <c r="F9361">
        <v>613684</v>
      </c>
    </row>
    <row r="9362" spans="1:6">
      <c r="A9362" t="s">
        <v>27</v>
      </c>
      <c r="B9362" t="s">
        <v>234</v>
      </c>
      <c r="C9362" t="s">
        <v>861</v>
      </c>
      <c r="D9362" t="s">
        <v>2017</v>
      </c>
      <c r="E9362" t="s">
        <v>2090</v>
      </c>
      <c r="F9362">
        <v>612344</v>
      </c>
    </row>
    <row r="9363" spans="1:6">
      <c r="A9363" t="s">
        <v>27</v>
      </c>
      <c r="B9363" t="s">
        <v>234</v>
      </c>
      <c r="C9363" t="s">
        <v>861</v>
      </c>
      <c r="D9363" t="s">
        <v>2017</v>
      </c>
      <c r="E9363" t="s">
        <v>2091</v>
      </c>
      <c r="F9363">
        <v>609807</v>
      </c>
    </row>
    <row r="9364" spans="1:6">
      <c r="A9364" t="s">
        <v>27</v>
      </c>
      <c r="B9364" t="s">
        <v>234</v>
      </c>
      <c r="C9364" t="s">
        <v>861</v>
      </c>
      <c r="D9364" t="s">
        <v>2017</v>
      </c>
      <c r="E9364" t="s">
        <v>2092</v>
      </c>
      <c r="F9364">
        <v>606492</v>
      </c>
    </row>
    <row r="9365" spans="1:6">
      <c r="A9365" t="s">
        <v>27</v>
      </c>
      <c r="B9365" t="s">
        <v>234</v>
      </c>
      <c r="C9365" t="s">
        <v>861</v>
      </c>
      <c r="D9365" t="s">
        <v>2017</v>
      </c>
      <c r="E9365" t="s">
        <v>2093</v>
      </c>
      <c r="F9365">
        <v>338565</v>
      </c>
    </row>
    <row r="9366" spans="1:6">
      <c r="A9366" t="s">
        <v>27</v>
      </c>
      <c r="B9366" t="s">
        <v>234</v>
      </c>
      <c r="C9366" t="s">
        <v>861</v>
      </c>
      <c r="D9366" t="s">
        <v>2017</v>
      </c>
      <c r="E9366" t="s">
        <v>2094</v>
      </c>
      <c r="F9366">
        <v>336552</v>
      </c>
    </row>
    <row r="9367" spans="1:6">
      <c r="A9367" t="s">
        <v>27</v>
      </c>
      <c r="B9367" t="s">
        <v>234</v>
      </c>
      <c r="C9367" t="s">
        <v>861</v>
      </c>
      <c r="D9367" t="s">
        <v>2017</v>
      </c>
      <c r="E9367" t="s">
        <v>2748</v>
      </c>
      <c r="F9367">
        <v>333569</v>
      </c>
    </row>
    <row r="9368" spans="1:6">
      <c r="A9368" t="s">
        <v>27</v>
      </c>
      <c r="B9368" t="s">
        <v>234</v>
      </c>
      <c r="C9368" t="s">
        <v>861</v>
      </c>
      <c r="D9368" t="s">
        <v>2017</v>
      </c>
      <c r="E9368" t="s">
        <v>2749</v>
      </c>
      <c r="F9368">
        <v>332913</v>
      </c>
    </row>
    <row r="9369" spans="1:6">
      <c r="A9369" t="s">
        <v>27</v>
      </c>
      <c r="B9369" t="s">
        <v>234</v>
      </c>
      <c r="C9369" t="s">
        <v>861</v>
      </c>
      <c r="D9369" t="s">
        <v>2017</v>
      </c>
      <c r="E9369" t="s">
        <v>2750</v>
      </c>
      <c r="F9369">
        <v>330516</v>
      </c>
    </row>
    <row r="9370" spans="1:6">
      <c r="A9370" t="s">
        <v>27</v>
      </c>
      <c r="B9370" t="s">
        <v>234</v>
      </c>
      <c r="C9370" t="s">
        <v>861</v>
      </c>
      <c r="D9370" t="s">
        <v>2017</v>
      </c>
      <c r="E9370" t="s">
        <v>1096</v>
      </c>
      <c r="F9370" t="s">
        <v>2095</v>
      </c>
    </row>
    <row r="9371" spans="1:6">
      <c r="A9371" t="s">
        <v>27</v>
      </c>
      <c r="B9371" t="s">
        <v>234</v>
      </c>
      <c r="C9371" t="s">
        <v>861</v>
      </c>
      <c r="D9371" t="s">
        <v>2017</v>
      </c>
      <c r="E9371" t="s">
        <v>1004</v>
      </c>
      <c r="F9371" t="s">
        <v>2068</v>
      </c>
    </row>
    <row r="9372" spans="1:6">
      <c r="A9372" t="s">
        <v>27</v>
      </c>
      <c r="B9372" t="s">
        <v>234</v>
      </c>
      <c r="C9372" t="s">
        <v>861</v>
      </c>
      <c r="D9372" t="s">
        <v>2017</v>
      </c>
      <c r="E9372" t="s">
        <v>2007</v>
      </c>
      <c r="F9372">
        <v>127806.6100000002</v>
      </c>
    </row>
    <row r="9373" spans="1:6">
      <c r="A9373" t="s">
        <v>27</v>
      </c>
      <c r="B9373" t="s">
        <v>234</v>
      </c>
      <c r="C9373" t="s">
        <v>861</v>
      </c>
      <c r="D9373" t="s">
        <v>2017</v>
      </c>
      <c r="E9373" t="s">
        <v>2008</v>
      </c>
      <c r="F9373">
        <v>71195.82000000009</v>
      </c>
    </row>
    <row r="9374" spans="1:6">
      <c r="A9374" t="s">
        <v>27</v>
      </c>
      <c r="B9374" t="s">
        <v>234</v>
      </c>
      <c r="C9374" t="s">
        <v>861</v>
      </c>
      <c r="D9374" t="s">
        <v>2017</v>
      </c>
      <c r="E9374" t="s">
        <v>2096</v>
      </c>
      <c r="F9374">
        <v>41374.88000000008</v>
      </c>
    </row>
    <row r="9375" spans="1:6">
      <c r="A9375" t="s">
        <v>27</v>
      </c>
      <c r="B9375" t="s">
        <v>234</v>
      </c>
      <c r="C9375" t="s">
        <v>861</v>
      </c>
      <c r="D9375" t="s">
        <v>2017</v>
      </c>
      <c r="E9375" t="s">
        <v>2097</v>
      </c>
      <c r="F9375">
        <v>102610.5200000002</v>
      </c>
    </row>
    <row r="9376" spans="1:6">
      <c r="A9376" t="s">
        <v>27</v>
      </c>
      <c r="B9376" t="s">
        <v>234</v>
      </c>
      <c r="C9376" t="s">
        <v>861</v>
      </c>
      <c r="D9376" t="s">
        <v>2017</v>
      </c>
      <c r="E9376" t="s">
        <v>2098</v>
      </c>
      <c r="F9376">
        <v>170215.1099999998</v>
      </c>
    </row>
    <row r="9377" spans="1:6">
      <c r="A9377" t="s">
        <v>27</v>
      </c>
      <c r="B9377" t="s">
        <v>234</v>
      </c>
      <c r="C9377" t="s">
        <v>861</v>
      </c>
      <c r="D9377" t="s">
        <v>2017</v>
      </c>
      <c r="E9377" t="s">
        <v>1774</v>
      </c>
      <c r="F9377">
        <v>89414.38</v>
      </c>
    </row>
    <row r="9378" spans="1:6">
      <c r="A9378" t="s">
        <v>27</v>
      </c>
      <c r="B9378" t="s">
        <v>234</v>
      </c>
      <c r="C9378" t="s">
        <v>861</v>
      </c>
      <c r="D9378" t="s">
        <v>2017</v>
      </c>
      <c r="E9378" t="s">
        <v>1775</v>
      </c>
      <c r="F9378">
        <v>15893.25</v>
      </c>
    </row>
    <row r="9379" spans="1:6">
      <c r="A9379" t="s">
        <v>27</v>
      </c>
      <c r="B9379" t="s">
        <v>234</v>
      </c>
      <c r="C9379" t="s">
        <v>861</v>
      </c>
      <c r="D9379" t="s">
        <v>2017</v>
      </c>
      <c r="E9379" t="s">
        <v>1776</v>
      </c>
      <c r="F9379">
        <v>1843.21</v>
      </c>
    </row>
    <row r="9380" spans="1:6">
      <c r="A9380" t="s">
        <v>27</v>
      </c>
      <c r="B9380" t="s">
        <v>234</v>
      </c>
      <c r="C9380" t="s">
        <v>861</v>
      </c>
      <c r="D9380" t="s">
        <v>2017</v>
      </c>
      <c r="E9380" t="s">
        <v>2099</v>
      </c>
      <c r="F9380">
        <v>7672.549999999998</v>
      </c>
    </row>
    <row r="9381" spans="1:6">
      <c r="A9381" t="s">
        <v>27</v>
      </c>
      <c r="B9381" t="s">
        <v>234</v>
      </c>
      <c r="C9381" t="s">
        <v>861</v>
      </c>
      <c r="D9381" t="s">
        <v>2017</v>
      </c>
      <c r="E9381" t="s">
        <v>1777</v>
      </c>
      <c r="F9381">
        <v>14710.78</v>
      </c>
    </row>
    <row r="9382" spans="1:6">
      <c r="A9382" t="s">
        <v>27</v>
      </c>
      <c r="B9382" t="s">
        <v>234</v>
      </c>
      <c r="C9382" t="s">
        <v>861</v>
      </c>
      <c r="D9382" t="s">
        <v>2017</v>
      </c>
      <c r="E9382" t="s">
        <v>1778</v>
      </c>
      <c r="F9382">
        <v>101079.1399999999</v>
      </c>
    </row>
    <row r="9383" spans="1:6">
      <c r="A9383" t="s">
        <v>27</v>
      </c>
      <c r="B9383" t="s">
        <v>234</v>
      </c>
      <c r="C9383" t="s">
        <v>861</v>
      </c>
      <c r="D9383" t="s">
        <v>2017</v>
      </c>
      <c r="E9383" t="s">
        <v>1779</v>
      </c>
      <c r="F9383">
        <v>55375.09999999994</v>
      </c>
    </row>
    <row r="9384" spans="1:6">
      <c r="A9384" t="s">
        <v>27</v>
      </c>
      <c r="B9384" t="s">
        <v>234</v>
      </c>
      <c r="C9384" t="s">
        <v>861</v>
      </c>
      <c r="D9384" t="s">
        <v>2017</v>
      </c>
      <c r="E9384" t="s">
        <v>2100</v>
      </c>
      <c r="F9384">
        <v>11067.1</v>
      </c>
    </row>
    <row r="9385" spans="1:6">
      <c r="A9385" t="s">
        <v>27</v>
      </c>
      <c r="B9385" t="s">
        <v>234</v>
      </c>
      <c r="C9385" t="s">
        <v>861</v>
      </c>
      <c r="D9385" t="s">
        <v>2017</v>
      </c>
      <c r="E9385" t="s">
        <v>2101</v>
      </c>
      <c r="F9385">
        <v>23365.01</v>
      </c>
    </row>
    <row r="9386" spans="1:6">
      <c r="A9386" t="s">
        <v>27</v>
      </c>
      <c r="B9386" t="s">
        <v>234</v>
      </c>
      <c r="C9386" t="s">
        <v>861</v>
      </c>
      <c r="D9386" t="s">
        <v>2017</v>
      </c>
      <c r="E9386" t="s">
        <v>2102</v>
      </c>
      <c r="F9386">
        <v>4780.95</v>
      </c>
    </row>
    <row r="9387" spans="1:6">
      <c r="A9387" t="s">
        <v>27</v>
      </c>
      <c r="B9387" t="s">
        <v>234</v>
      </c>
      <c r="C9387" t="s">
        <v>861</v>
      </c>
      <c r="D9387" t="s">
        <v>2017</v>
      </c>
      <c r="E9387" t="s">
        <v>2103</v>
      </c>
      <c r="F9387">
        <v>22695.36</v>
      </c>
    </row>
    <row r="9388" spans="1:6">
      <c r="A9388" t="s">
        <v>27</v>
      </c>
      <c r="B9388" t="s">
        <v>234</v>
      </c>
      <c r="C9388" t="s">
        <v>861</v>
      </c>
      <c r="D9388" t="s">
        <v>2017</v>
      </c>
      <c r="E9388" t="s">
        <v>2104</v>
      </c>
      <c r="F9388">
        <v>14874.3</v>
      </c>
    </row>
    <row r="9389" spans="1:6">
      <c r="A9389" t="s">
        <v>27</v>
      </c>
      <c r="B9389" t="s">
        <v>234</v>
      </c>
      <c r="C9389" t="s">
        <v>861</v>
      </c>
      <c r="D9389" t="s">
        <v>2017</v>
      </c>
      <c r="E9389" t="s">
        <v>2105</v>
      </c>
      <c r="F9389">
        <v>9310.760000000026</v>
      </c>
    </row>
    <row r="9390" spans="1:6">
      <c r="A9390" t="s">
        <v>27</v>
      </c>
      <c r="B9390" t="s">
        <v>234</v>
      </c>
      <c r="C9390" t="s">
        <v>861</v>
      </c>
      <c r="D9390" t="s">
        <v>2017</v>
      </c>
      <c r="E9390" t="s">
        <v>2751</v>
      </c>
      <c r="F9390">
        <v>9959.560000000005</v>
      </c>
    </row>
    <row r="9391" spans="1:6">
      <c r="A9391" t="s">
        <v>27</v>
      </c>
      <c r="B9391" t="s">
        <v>234</v>
      </c>
      <c r="C9391" t="s">
        <v>861</v>
      </c>
      <c r="D9391" t="s">
        <v>2017</v>
      </c>
      <c r="E9391" t="s">
        <v>2752</v>
      </c>
      <c r="F9391">
        <v>1465.87</v>
      </c>
    </row>
    <row r="9392" spans="1:6">
      <c r="A9392" t="s">
        <v>27</v>
      </c>
      <c r="B9392" t="s">
        <v>234</v>
      </c>
      <c r="C9392" t="s">
        <v>861</v>
      </c>
      <c r="D9392" t="s">
        <v>2017</v>
      </c>
      <c r="E9392" t="s">
        <v>2753</v>
      </c>
      <c r="F9392">
        <v>15278.08</v>
      </c>
    </row>
    <row r="9393" spans="1:6">
      <c r="A9393" t="s">
        <v>27</v>
      </c>
      <c r="B9393" t="s">
        <v>234</v>
      </c>
      <c r="C9393" t="s">
        <v>861</v>
      </c>
      <c r="D9393" t="s">
        <v>2017</v>
      </c>
      <c r="E9393" t="s">
        <v>1291</v>
      </c>
      <c r="F9393" t="s">
        <v>2084</v>
      </c>
    </row>
    <row r="9394" spans="1:6">
      <c r="A9394" t="s">
        <v>27</v>
      </c>
      <c r="B9394" t="s">
        <v>234</v>
      </c>
      <c r="C9394" t="s">
        <v>861</v>
      </c>
      <c r="D9394" t="s">
        <v>2017</v>
      </c>
      <c r="E9394" t="s">
        <v>1336</v>
      </c>
      <c r="F9394">
        <v>1371</v>
      </c>
    </row>
    <row r="9395" spans="1:6">
      <c r="A9395" t="s">
        <v>27</v>
      </c>
      <c r="B9395" t="s">
        <v>234</v>
      </c>
      <c r="C9395" t="s">
        <v>861</v>
      </c>
      <c r="D9395" t="s">
        <v>2017</v>
      </c>
      <c r="E9395" t="s">
        <v>1337</v>
      </c>
      <c r="F9395">
        <v>1161</v>
      </c>
    </row>
    <row r="9396" spans="1:6">
      <c r="A9396" t="s">
        <v>27</v>
      </c>
      <c r="B9396" t="s">
        <v>234</v>
      </c>
      <c r="C9396" t="s">
        <v>861</v>
      </c>
      <c r="D9396" t="s">
        <v>2017</v>
      </c>
      <c r="E9396" t="s">
        <v>1338</v>
      </c>
      <c r="F9396">
        <v>898</v>
      </c>
    </row>
    <row r="9397" spans="1:6">
      <c r="A9397" t="s">
        <v>27</v>
      </c>
      <c r="B9397" t="s">
        <v>234</v>
      </c>
      <c r="C9397" t="s">
        <v>861</v>
      </c>
      <c r="D9397" t="s">
        <v>2017</v>
      </c>
      <c r="E9397" t="s">
        <v>1339</v>
      </c>
      <c r="F9397">
        <v>943</v>
      </c>
    </row>
    <row r="9398" spans="1:6">
      <c r="A9398" t="s">
        <v>27</v>
      </c>
      <c r="B9398" t="s">
        <v>234</v>
      </c>
      <c r="C9398" t="s">
        <v>861</v>
      </c>
      <c r="D9398" t="s">
        <v>2017</v>
      </c>
      <c r="E9398" t="s">
        <v>1340</v>
      </c>
      <c r="F9398">
        <v>1213</v>
      </c>
    </row>
    <row r="9399" spans="1:6">
      <c r="A9399" t="s">
        <v>27</v>
      </c>
      <c r="B9399" t="s">
        <v>234</v>
      </c>
      <c r="C9399" t="s">
        <v>861</v>
      </c>
      <c r="D9399" t="s">
        <v>2017</v>
      </c>
      <c r="E9399" t="s">
        <v>1341</v>
      </c>
      <c r="F9399">
        <v>614</v>
      </c>
    </row>
    <row r="9400" spans="1:6">
      <c r="A9400" t="s">
        <v>27</v>
      </c>
      <c r="B9400" t="s">
        <v>234</v>
      </c>
      <c r="C9400" t="s">
        <v>861</v>
      </c>
      <c r="D9400" t="s">
        <v>2017</v>
      </c>
      <c r="E9400" t="s">
        <v>1342</v>
      </c>
      <c r="F9400">
        <v>216</v>
      </c>
    </row>
    <row r="9401" spans="1:6">
      <c r="A9401" t="s">
        <v>27</v>
      </c>
      <c r="B9401" t="s">
        <v>234</v>
      </c>
      <c r="C9401" t="s">
        <v>861</v>
      </c>
      <c r="D9401" t="s">
        <v>2017</v>
      </c>
      <c r="E9401" t="s">
        <v>1343</v>
      </c>
      <c r="F9401">
        <v>33</v>
      </c>
    </row>
    <row r="9402" spans="1:6">
      <c r="A9402" t="s">
        <v>27</v>
      </c>
      <c r="B9402" t="s">
        <v>234</v>
      </c>
      <c r="C9402" t="s">
        <v>861</v>
      </c>
      <c r="D9402" t="s">
        <v>2017</v>
      </c>
      <c r="E9402" t="s">
        <v>1344</v>
      </c>
      <c r="F9402">
        <v>69</v>
      </c>
    </row>
    <row r="9403" spans="1:6">
      <c r="A9403" t="s">
        <v>27</v>
      </c>
      <c r="B9403" t="s">
        <v>234</v>
      </c>
      <c r="C9403" t="s">
        <v>861</v>
      </c>
      <c r="D9403" t="s">
        <v>2017</v>
      </c>
      <c r="E9403" t="s">
        <v>1345</v>
      </c>
      <c r="F9403">
        <v>133</v>
      </c>
    </row>
    <row r="9404" spans="1:6">
      <c r="A9404" t="s">
        <v>27</v>
      </c>
      <c r="B9404" t="s">
        <v>234</v>
      </c>
      <c r="C9404" t="s">
        <v>861</v>
      </c>
      <c r="D9404" t="s">
        <v>2017</v>
      </c>
      <c r="E9404" t="s">
        <v>1780</v>
      </c>
      <c r="F9404">
        <v>2042</v>
      </c>
    </row>
    <row r="9405" spans="1:6">
      <c r="A9405" t="s">
        <v>27</v>
      </c>
      <c r="B9405" t="s">
        <v>234</v>
      </c>
      <c r="C9405" t="s">
        <v>861</v>
      </c>
      <c r="D9405" t="s">
        <v>2017</v>
      </c>
      <c r="E9405" t="s">
        <v>1781</v>
      </c>
      <c r="F9405">
        <v>1045</v>
      </c>
    </row>
    <row r="9406" spans="1:6">
      <c r="A9406" t="s">
        <v>27</v>
      </c>
      <c r="B9406" t="s">
        <v>234</v>
      </c>
      <c r="C9406" t="s">
        <v>861</v>
      </c>
      <c r="D9406" t="s">
        <v>2017</v>
      </c>
      <c r="E9406" t="s">
        <v>2106</v>
      </c>
      <c r="F9406">
        <v>117</v>
      </c>
    </row>
    <row r="9407" spans="1:6">
      <c r="A9407" t="s">
        <v>27</v>
      </c>
      <c r="B9407" t="s">
        <v>234</v>
      </c>
      <c r="C9407" t="s">
        <v>861</v>
      </c>
      <c r="D9407" t="s">
        <v>2017</v>
      </c>
      <c r="E9407" t="s">
        <v>2107</v>
      </c>
      <c r="F9407">
        <v>252</v>
      </c>
    </row>
    <row r="9408" spans="1:6">
      <c r="A9408" t="s">
        <v>27</v>
      </c>
      <c r="B9408" t="s">
        <v>234</v>
      </c>
      <c r="C9408" t="s">
        <v>861</v>
      </c>
      <c r="D9408" t="s">
        <v>2017</v>
      </c>
      <c r="E9408" t="s">
        <v>2108</v>
      </c>
      <c r="F9408">
        <v>77</v>
      </c>
    </row>
    <row r="9409" spans="1:6">
      <c r="A9409" t="s">
        <v>27</v>
      </c>
      <c r="B9409" t="s">
        <v>234</v>
      </c>
      <c r="C9409" t="s">
        <v>861</v>
      </c>
      <c r="D9409" t="s">
        <v>2017</v>
      </c>
      <c r="E9409" t="s">
        <v>2109</v>
      </c>
      <c r="F9409">
        <v>189</v>
      </c>
    </row>
    <row r="9410" spans="1:6">
      <c r="A9410" t="s">
        <v>27</v>
      </c>
      <c r="B9410" t="s">
        <v>234</v>
      </c>
      <c r="C9410" t="s">
        <v>861</v>
      </c>
      <c r="D9410" t="s">
        <v>2017</v>
      </c>
      <c r="E9410" t="s">
        <v>2110</v>
      </c>
      <c r="F9410">
        <v>89</v>
      </c>
    </row>
    <row r="9411" spans="1:6">
      <c r="A9411" t="s">
        <v>27</v>
      </c>
      <c r="B9411" t="s">
        <v>234</v>
      </c>
      <c r="C9411" t="s">
        <v>861</v>
      </c>
      <c r="D9411" t="s">
        <v>2017</v>
      </c>
      <c r="E9411" t="s">
        <v>2111</v>
      </c>
      <c r="F9411">
        <v>238</v>
      </c>
    </row>
    <row r="9412" spans="1:6">
      <c r="A9412" t="s">
        <v>27</v>
      </c>
      <c r="B9412" t="s">
        <v>234</v>
      </c>
      <c r="C9412" t="s">
        <v>861</v>
      </c>
      <c r="D9412" t="s">
        <v>2017</v>
      </c>
      <c r="E9412" t="s">
        <v>2754</v>
      </c>
      <c r="F9412">
        <v>113</v>
      </c>
    </row>
    <row r="9413" spans="1:6">
      <c r="A9413" t="s">
        <v>27</v>
      </c>
      <c r="B9413" t="s">
        <v>234</v>
      </c>
      <c r="C9413" t="s">
        <v>861</v>
      </c>
      <c r="D9413" t="s">
        <v>2017</v>
      </c>
      <c r="E9413" t="s">
        <v>2755</v>
      </c>
      <c r="F9413">
        <v>13</v>
      </c>
    </row>
    <row r="9414" spans="1:6">
      <c r="A9414" t="s">
        <v>27</v>
      </c>
      <c r="B9414" t="s">
        <v>234</v>
      </c>
      <c r="C9414" t="s">
        <v>861</v>
      </c>
      <c r="D9414" t="s">
        <v>2017</v>
      </c>
      <c r="E9414" t="s">
        <v>2756</v>
      </c>
      <c r="F9414">
        <v>83</v>
      </c>
    </row>
    <row r="9415" spans="1:6">
      <c r="A9415" t="s">
        <v>27</v>
      </c>
      <c r="B9415" t="s">
        <v>234</v>
      </c>
      <c r="C9415" t="s">
        <v>861</v>
      </c>
      <c r="D9415" t="s">
        <v>2017</v>
      </c>
      <c r="E9415" t="s">
        <v>1099</v>
      </c>
      <c r="F9415" t="s">
        <v>2112</v>
      </c>
    </row>
    <row r="9416" spans="1:6">
      <c r="A9416" t="s">
        <v>27</v>
      </c>
      <c r="B9416" t="s">
        <v>234</v>
      </c>
      <c r="C9416" t="s">
        <v>861</v>
      </c>
      <c r="D9416" t="s">
        <v>2017</v>
      </c>
      <c r="E9416" t="s">
        <v>1100</v>
      </c>
      <c r="F9416" t="s">
        <v>2068</v>
      </c>
    </row>
    <row r="9417" spans="1:6">
      <c r="A9417" t="s">
        <v>27</v>
      </c>
      <c r="B9417" t="s">
        <v>234</v>
      </c>
      <c r="C9417" t="s">
        <v>861</v>
      </c>
      <c r="D9417" t="s">
        <v>2017</v>
      </c>
      <c r="E9417" t="s">
        <v>1101</v>
      </c>
      <c r="F9417">
        <v>223419.5700000033</v>
      </c>
    </row>
    <row r="9418" spans="1:6">
      <c r="A9418" t="s">
        <v>27</v>
      </c>
      <c r="B9418" t="s">
        <v>234</v>
      </c>
      <c r="C9418" t="s">
        <v>861</v>
      </c>
      <c r="D9418" t="s">
        <v>2017</v>
      </c>
      <c r="E9418" t="s">
        <v>1512</v>
      </c>
      <c r="F9418">
        <v>1266650.52999994</v>
      </c>
    </row>
    <row r="9419" spans="1:6">
      <c r="A9419" t="s">
        <v>27</v>
      </c>
      <c r="B9419" t="s">
        <v>234</v>
      </c>
      <c r="C9419" t="s">
        <v>861</v>
      </c>
      <c r="D9419" t="s">
        <v>2017</v>
      </c>
      <c r="E9419" t="s">
        <v>1513</v>
      </c>
      <c r="F9419">
        <v>335010.0400000123</v>
      </c>
    </row>
    <row r="9420" spans="1:6">
      <c r="A9420" t="s">
        <v>27</v>
      </c>
      <c r="B9420" t="s">
        <v>234</v>
      </c>
      <c r="C9420" t="s">
        <v>861</v>
      </c>
      <c r="D9420" t="s">
        <v>2017</v>
      </c>
      <c r="E9420" t="s">
        <v>1514</v>
      </c>
      <c r="F9420">
        <v>186031.0300000018</v>
      </c>
    </row>
    <row r="9421" spans="1:6">
      <c r="A9421" t="s">
        <v>27</v>
      </c>
      <c r="B9421" t="s">
        <v>234</v>
      </c>
      <c r="C9421" t="s">
        <v>861</v>
      </c>
      <c r="D9421" t="s">
        <v>2017</v>
      </c>
      <c r="E9421" t="s">
        <v>1515</v>
      </c>
      <c r="F9421">
        <v>410473.7700000005</v>
      </c>
    </row>
    <row r="9422" spans="1:6">
      <c r="A9422" t="s">
        <v>27</v>
      </c>
      <c r="B9422" t="s">
        <v>234</v>
      </c>
      <c r="C9422" t="s">
        <v>861</v>
      </c>
      <c r="D9422" t="s">
        <v>2017</v>
      </c>
      <c r="E9422" t="s">
        <v>1516</v>
      </c>
      <c r="F9422">
        <v>134260.9299999995</v>
      </c>
    </row>
    <row r="9423" spans="1:6">
      <c r="A9423" t="s">
        <v>27</v>
      </c>
      <c r="B9423" t="s">
        <v>234</v>
      </c>
      <c r="C9423" t="s">
        <v>861</v>
      </c>
      <c r="D9423" t="s">
        <v>2017</v>
      </c>
      <c r="E9423" t="s">
        <v>1517</v>
      </c>
      <c r="F9423">
        <v>225528.7000000011</v>
      </c>
    </row>
    <row r="9424" spans="1:6">
      <c r="A9424" t="s">
        <v>27</v>
      </c>
      <c r="B9424" t="s">
        <v>234</v>
      </c>
      <c r="C9424" t="s">
        <v>861</v>
      </c>
      <c r="D9424" t="s">
        <v>2017</v>
      </c>
      <c r="E9424" t="s">
        <v>1518</v>
      </c>
      <c r="F9424">
        <v>113314.6299999996</v>
      </c>
    </row>
    <row r="9425" spans="1:6">
      <c r="A9425" t="s">
        <v>27</v>
      </c>
      <c r="B9425" t="s">
        <v>234</v>
      </c>
      <c r="C9425" t="s">
        <v>861</v>
      </c>
      <c r="D9425" t="s">
        <v>2017</v>
      </c>
      <c r="E9425" t="s">
        <v>1519</v>
      </c>
      <c r="F9425">
        <v>137431.1399999998</v>
      </c>
    </row>
    <row r="9426" spans="1:6">
      <c r="A9426" t="s">
        <v>27</v>
      </c>
      <c r="B9426" t="s">
        <v>234</v>
      </c>
      <c r="C9426" t="s">
        <v>861</v>
      </c>
      <c r="D9426" t="s">
        <v>2017</v>
      </c>
      <c r="E9426" t="s">
        <v>1520</v>
      </c>
      <c r="F9426">
        <v>110732.1299999996</v>
      </c>
    </row>
    <row r="9427" spans="1:6">
      <c r="A9427" t="s">
        <v>27</v>
      </c>
      <c r="B9427" t="s">
        <v>234</v>
      </c>
      <c r="C9427" t="s">
        <v>861</v>
      </c>
      <c r="D9427" t="s">
        <v>2017</v>
      </c>
      <c r="E9427" t="s">
        <v>1785</v>
      </c>
      <c r="F9427">
        <v>329924.9599999999</v>
      </c>
    </row>
    <row r="9428" spans="1:6">
      <c r="A9428" t="s">
        <v>27</v>
      </c>
      <c r="B9428" t="s">
        <v>234</v>
      </c>
      <c r="C9428" t="s">
        <v>861</v>
      </c>
      <c r="D9428" t="s">
        <v>2017</v>
      </c>
      <c r="E9428" t="s">
        <v>1786</v>
      </c>
      <c r="F9428">
        <v>183126.5000000004</v>
      </c>
    </row>
    <row r="9429" spans="1:6">
      <c r="A9429" t="s">
        <v>27</v>
      </c>
      <c r="B9429" t="s">
        <v>234</v>
      </c>
      <c r="C9429" t="s">
        <v>861</v>
      </c>
      <c r="D9429" t="s">
        <v>2017</v>
      </c>
      <c r="E9429" t="s">
        <v>2113</v>
      </c>
      <c r="F9429">
        <v>178780.4299999999</v>
      </c>
    </row>
    <row r="9430" spans="1:6">
      <c r="A9430" t="s">
        <v>27</v>
      </c>
      <c r="B9430" t="s">
        <v>234</v>
      </c>
      <c r="C9430" t="s">
        <v>861</v>
      </c>
      <c r="D9430" t="s">
        <v>2017</v>
      </c>
      <c r="E9430" t="s">
        <v>2114</v>
      </c>
      <c r="F9430">
        <v>71362.26999999992</v>
      </c>
    </row>
    <row r="9431" spans="1:6">
      <c r="A9431" t="s">
        <v>27</v>
      </c>
      <c r="B9431" t="s">
        <v>234</v>
      </c>
      <c r="C9431" t="s">
        <v>861</v>
      </c>
      <c r="D9431" t="s">
        <v>2017</v>
      </c>
      <c r="E9431" t="s">
        <v>2115</v>
      </c>
      <c r="F9431">
        <v>142934.96</v>
      </c>
    </row>
    <row r="9432" spans="1:6">
      <c r="A9432" t="s">
        <v>27</v>
      </c>
      <c r="B9432" t="s">
        <v>234</v>
      </c>
      <c r="C9432" t="s">
        <v>861</v>
      </c>
      <c r="D9432" t="s">
        <v>2017</v>
      </c>
      <c r="E9432" t="s">
        <v>2116</v>
      </c>
      <c r="F9432">
        <v>160913.0099999998</v>
      </c>
    </row>
    <row r="9433" spans="1:6">
      <c r="A9433" t="s">
        <v>27</v>
      </c>
      <c r="B9433" t="s">
        <v>234</v>
      </c>
      <c r="C9433" t="s">
        <v>861</v>
      </c>
      <c r="D9433" t="s">
        <v>2017</v>
      </c>
      <c r="E9433" t="s">
        <v>2117</v>
      </c>
      <c r="F9433">
        <v>27911417.86</v>
      </c>
    </row>
    <row r="9434" spans="1:6">
      <c r="A9434" t="s">
        <v>27</v>
      </c>
      <c r="B9434" t="s">
        <v>234</v>
      </c>
      <c r="C9434" t="s">
        <v>861</v>
      </c>
      <c r="D9434" t="s">
        <v>2017</v>
      </c>
      <c r="E9434" t="s">
        <v>2118</v>
      </c>
      <c r="F9434">
        <v>150862.4499999985</v>
      </c>
    </row>
    <row r="9435" spans="1:6">
      <c r="A9435" t="s">
        <v>27</v>
      </c>
      <c r="B9435" t="s">
        <v>234</v>
      </c>
      <c r="C9435" t="s">
        <v>861</v>
      </c>
      <c r="D9435" t="s">
        <v>2017</v>
      </c>
      <c r="E9435" t="s">
        <v>2757</v>
      </c>
      <c r="F9435">
        <v>153314.4399984963</v>
      </c>
    </row>
    <row r="9436" spans="1:6">
      <c r="A9436" t="s">
        <v>27</v>
      </c>
      <c r="B9436" t="s">
        <v>234</v>
      </c>
      <c r="C9436" t="s">
        <v>861</v>
      </c>
      <c r="D9436" t="s">
        <v>2017</v>
      </c>
      <c r="E9436" t="s">
        <v>2758</v>
      </c>
      <c r="F9436">
        <v>62435.82999999993</v>
      </c>
    </row>
    <row r="9437" spans="1:6">
      <c r="A9437" t="s">
        <v>27</v>
      </c>
      <c r="B9437" t="s">
        <v>234</v>
      </c>
      <c r="C9437" t="s">
        <v>861</v>
      </c>
      <c r="D9437" t="s">
        <v>2017</v>
      </c>
      <c r="E9437" t="s">
        <v>2759</v>
      </c>
      <c r="F9437">
        <v>75514.03999999975</v>
      </c>
    </row>
    <row r="9438" spans="1:6">
      <c r="A9438" t="s">
        <v>27</v>
      </c>
      <c r="B9438" t="s">
        <v>234</v>
      </c>
      <c r="C9438" t="s">
        <v>861</v>
      </c>
      <c r="D9438" t="s">
        <v>2017</v>
      </c>
      <c r="E9438" t="s">
        <v>1104</v>
      </c>
      <c r="F9438" t="s">
        <v>2084</v>
      </c>
    </row>
    <row r="9439" spans="1:6">
      <c r="A9439" t="s">
        <v>27</v>
      </c>
      <c r="B9439" t="s">
        <v>234</v>
      </c>
      <c r="C9439" t="s">
        <v>861</v>
      </c>
      <c r="D9439" t="s">
        <v>2017</v>
      </c>
      <c r="E9439" t="s">
        <v>1105</v>
      </c>
      <c r="F9439">
        <v>95044</v>
      </c>
    </row>
    <row r="9440" spans="1:6">
      <c r="A9440" t="s">
        <v>27</v>
      </c>
      <c r="B9440" t="s">
        <v>234</v>
      </c>
      <c r="C9440" t="s">
        <v>861</v>
      </c>
      <c r="D9440" t="s">
        <v>2017</v>
      </c>
      <c r="E9440" t="s">
        <v>1346</v>
      </c>
      <c r="F9440">
        <v>128028</v>
      </c>
    </row>
    <row r="9441" spans="1:6">
      <c r="A9441" t="s">
        <v>27</v>
      </c>
      <c r="B9441" t="s">
        <v>234</v>
      </c>
      <c r="C9441" t="s">
        <v>861</v>
      </c>
      <c r="D9441" t="s">
        <v>2017</v>
      </c>
      <c r="E9441" t="s">
        <v>1347</v>
      </c>
      <c r="F9441">
        <v>109784</v>
      </c>
    </row>
    <row r="9442" spans="1:6">
      <c r="A9442" t="s">
        <v>27</v>
      </c>
      <c r="B9442" t="s">
        <v>234</v>
      </c>
      <c r="C9442" t="s">
        <v>861</v>
      </c>
      <c r="D9442" t="s">
        <v>2017</v>
      </c>
      <c r="E9442" t="s">
        <v>1348</v>
      </c>
      <c r="F9442">
        <v>5136</v>
      </c>
    </row>
    <row r="9443" spans="1:6">
      <c r="A9443" t="s">
        <v>27</v>
      </c>
      <c r="B9443" t="s">
        <v>234</v>
      </c>
      <c r="C9443" t="s">
        <v>861</v>
      </c>
      <c r="D9443" t="s">
        <v>2017</v>
      </c>
      <c r="E9443" t="s">
        <v>1349</v>
      </c>
      <c r="F9443">
        <v>2987</v>
      </c>
    </row>
    <row r="9444" spans="1:6">
      <c r="A9444" t="s">
        <v>27</v>
      </c>
      <c r="B9444" t="s">
        <v>234</v>
      </c>
      <c r="C9444" t="s">
        <v>861</v>
      </c>
      <c r="D9444" t="s">
        <v>2017</v>
      </c>
      <c r="E9444" t="s">
        <v>1350</v>
      </c>
      <c r="F9444">
        <v>2882</v>
      </c>
    </row>
    <row r="9445" spans="1:6">
      <c r="A9445" t="s">
        <v>27</v>
      </c>
      <c r="B9445" t="s">
        <v>234</v>
      </c>
      <c r="C9445" t="s">
        <v>861</v>
      </c>
      <c r="D9445" t="s">
        <v>2017</v>
      </c>
      <c r="E9445" t="s">
        <v>1351</v>
      </c>
      <c r="F9445">
        <v>3978</v>
      </c>
    </row>
    <row r="9446" spans="1:6">
      <c r="A9446" t="s">
        <v>27</v>
      </c>
      <c r="B9446" t="s">
        <v>234</v>
      </c>
      <c r="C9446" t="s">
        <v>861</v>
      </c>
      <c r="D9446" t="s">
        <v>2017</v>
      </c>
      <c r="E9446" t="s">
        <v>1352</v>
      </c>
      <c r="F9446">
        <v>2472</v>
      </c>
    </row>
    <row r="9447" spans="1:6">
      <c r="A9447" t="s">
        <v>27</v>
      </c>
      <c r="B9447" t="s">
        <v>234</v>
      </c>
      <c r="C9447" t="s">
        <v>861</v>
      </c>
      <c r="D9447" t="s">
        <v>2017</v>
      </c>
      <c r="E9447" t="s">
        <v>1353</v>
      </c>
      <c r="F9447">
        <v>2404</v>
      </c>
    </row>
    <row r="9448" spans="1:6">
      <c r="A9448" t="s">
        <v>27</v>
      </c>
      <c r="B9448" t="s">
        <v>234</v>
      </c>
      <c r="C9448" t="s">
        <v>861</v>
      </c>
      <c r="D9448" t="s">
        <v>2017</v>
      </c>
      <c r="E9448" t="s">
        <v>1354</v>
      </c>
      <c r="F9448">
        <v>2118</v>
      </c>
    </row>
    <row r="9449" spans="1:6">
      <c r="A9449" t="s">
        <v>27</v>
      </c>
      <c r="B9449" t="s">
        <v>234</v>
      </c>
      <c r="C9449" t="s">
        <v>861</v>
      </c>
      <c r="D9449" t="s">
        <v>2017</v>
      </c>
      <c r="E9449" t="s">
        <v>1788</v>
      </c>
      <c r="F9449">
        <v>1857</v>
      </c>
    </row>
    <row r="9450" spans="1:6">
      <c r="A9450" t="s">
        <v>27</v>
      </c>
      <c r="B9450" t="s">
        <v>234</v>
      </c>
      <c r="C9450" t="s">
        <v>861</v>
      </c>
      <c r="D9450" t="s">
        <v>2017</v>
      </c>
      <c r="E9450" t="s">
        <v>1789</v>
      </c>
      <c r="F9450">
        <v>2846</v>
      </c>
    </row>
    <row r="9451" spans="1:6">
      <c r="A9451" t="s">
        <v>27</v>
      </c>
      <c r="B9451" t="s">
        <v>234</v>
      </c>
      <c r="C9451" t="s">
        <v>861</v>
      </c>
      <c r="D9451" t="s">
        <v>2017</v>
      </c>
      <c r="E9451" t="s">
        <v>2119</v>
      </c>
      <c r="F9451">
        <v>3037</v>
      </c>
    </row>
    <row r="9452" spans="1:6">
      <c r="A9452" t="s">
        <v>27</v>
      </c>
      <c r="B9452" t="s">
        <v>234</v>
      </c>
      <c r="C9452" t="s">
        <v>861</v>
      </c>
      <c r="D9452" t="s">
        <v>2017</v>
      </c>
      <c r="E9452" t="s">
        <v>2120</v>
      </c>
      <c r="F9452">
        <v>1340</v>
      </c>
    </row>
    <row r="9453" spans="1:6">
      <c r="A9453" t="s">
        <v>27</v>
      </c>
      <c r="B9453" t="s">
        <v>234</v>
      </c>
      <c r="C9453" t="s">
        <v>861</v>
      </c>
      <c r="D9453" t="s">
        <v>2017</v>
      </c>
      <c r="E9453" t="s">
        <v>2121</v>
      </c>
      <c r="F9453">
        <v>2537</v>
      </c>
    </row>
    <row r="9454" spans="1:6">
      <c r="A9454" t="s">
        <v>27</v>
      </c>
      <c r="B9454" t="s">
        <v>234</v>
      </c>
      <c r="C9454" t="s">
        <v>861</v>
      </c>
      <c r="D9454" t="s">
        <v>2017</v>
      </c>
      <c r="E9454" t="s">
        <v>2122</v>
      </c>
      <c r="F9454">
        <v>3315</v>
      </c>
    </row>
    <row r="9455" spans="1:6">
      <c r="A9455" t="s">
        <v>27</v>
      </c>
      <c r="B9455" t="s">
        <v>234</v>
      </c>
      <c r="C9455" t="s">
        <v>861</v>
      </c>
      <c r="D9455" t="s">
        <v>2017</v>
      </c>
      <c r="E9455" t="s">
        <v>2123</v>
      </c>
      <c r="F9455">
        <v>269002</v>
      </c>
    </row>
    <row r="9456" spans="1:6">
      <c r="A9456" t="s">
        <v>27</v>
      </c>
      <c r="B9456" t="s">
        <v>234</v>
      </c>
      <c r="C9456" t="s">
        <v>861</v>
      </c>
      <c r="D9456" t="s">
        <v>2017</v>
      </c>
      <c r="E9456" t="s">
        <v>2124</v>
      </c>
      <c r="F9456">
        <v>2498</v>
      </c>
    </row>
    <row r="9457" spans="1:6">
      <c r="A9457" t="s">
        <v>27</v>
      </c>
      <c r="B9457" t="s">
        <v>234</v>
      </c>
      <c r="C9457" t="s">
        <v>861</v>
      </c>
      <c r="D9457" t="s">
        <v>2017</v>
      </c>
      <c r="E9457" t="s">
        <v>2760</v>
      </c>
      <c r="F9457">
        <v>2497</v>
      </c>
    </row>
    <row r="9458" spans="1:6">
      <c r="A9458" t="s">
        <v>27</v>
      </c>
      <c r="B9458" t="s">
        <v>234</v>
      </c>
      <c r="C9458" t="s">
        <v>861</v>
      </c>
      <c r="D9458" t="s">
        <v>2017</v>
      </c>
      <c r="E9458" t="s">
        <v>2761</v>
      </c>
      <c r="F9458">
        <v>1900</v>
      </c>
    </row>
    <row r="9459" spans="1:6">
      <c r="A9459" t="s">
        <v>27</v>
      </c>
      <c r="B9459" t="s">
        <v>234</v>
      </c>
      <c r="C9459" t="s">
        <v>861</v>
      </c>
      <c r="D9459" t="s">
        <v>2017</v>
      </c>
      <c r="E9459" t="s">
        <v>2762</v>
      </c>
      <c r="F9459">
        <v>2033</v>
      </c>
    </row>
    <row r="9460" spans="1:6">
      <c r="A9460" t="s">
        <v>27</v>
      </c>
      <c r="B9460" t="s">
        <v>234</v>
      </c>
      <c r="C9460" t="s">
        <v>861</v>
      </c>
      <c r="D9460" t="s">
        <v>2017</v>
      </c>
      <c r="E9460" t="s">
        <v>1109</v>
      </c>
      <c r="F9460" t="s">
        <v>2125</v>
      </c>
    </row>
    <row r="9461" spans="1:6">
      <c r="A9461" t="s">
        <v>27</v>
      </c>
      <c r="B9461" t="s">
        <v>234</v>
      </c>
      <c r="C9461" t="s">
        <v>861</v>
      </c>
      <c r="D9461" t="s">
        <v>2017</v>
      </c>
      <c r="E9461" t="s">
        <v>1110</v>
      </c>
      <c r="F9461">
        <v>53009819.96999805</v>
      </c>
    </row>
    <row r="9462" spans="1:6">
      <c r="A9462" t="s">
        <v>27</v>
      </c>
      <c r="B9462" t="s">
        <v>234</v>
      </c>
      <c r="C9462" t="s">
        <v>861</v>
      </c>
      <c r="D9462" t="s">
        <v>2017</v>
      </c>
      <c r="E9462" t="s">
        <v>1521</v>
      </c>
      <c r="F9462">
        <v>51814365.25999805</v>
      </c>
    </row>
    <row r="9463" spans="1:6">
      <c r="A9463" t="s">
        <v>27</v>
      </c>
      <c r="B9463" t="s">
        <v>234</v>
      </c>
      <c r="C9463" t="s">
        <v>861</v>
      </c>
      <c r="D9463" t="s">
        <v>2017</v>
      </c>
      <c r="E9463" t="s">
        <v>1522</v>
      </c>
      <c r="F9463">
        <v>51520730.09999806</v>
      </c>
    </row>
    <row r="9464" spans="1:6">
      <c r="A9464" t="s">
        <v>27</v>
      </c>
      <c r="B9464" t="s">
        <v>234</v>
      </c>
      <c r="C9464" t="s">
        <v>861</v>
      </c>
      <c r="D9464" t="s">
        <v>2017</v>
      </c>
      <c r="E9464" t="s">
        <v>1523</v>
      </c>
      <c r="F9464">
        <v>51437309.58999805</v>
      </c>
    </row>
    <row r="9465" spans="1:6">
      <c r="A9465" t="s">
        <v>27</v>
      </c>
      <c r="B9465" t="s">
        <v>234</v>
      </c>
      <c r="C9465" t="s">
        <v>861</v>
      </c>
      <c r="D9465" t="s">
        <v>2017</v>
      </c>
      <c r="E9465" t="s">
        <v>1524</v>
      </c>
      <c r="F9465">
        <v>51197050.92999806</v>
      </c>
    </row>
    <row r="9466" spans="1:6">
      <c r="A9466" t="s">
        <v>27</v>
      </c>
      <c r="B9466" t="s">
        <v>234</v>
      </c>
      <c r="C9466" t="s">
        <v>861</v>
      </c>
      <c r="D9466" t="s">
        <v>2017</v>
      </c>
      <c r="E9466" t="s">
        <v>1525</v>
      </c>
      <c r="F9466">
        <v>51152204.37999806</v>
      </c>
    </row>
    <row r="9467" spans="1:6">
      <c r="A9467" t="s">
        <v>27</v>
      </c>
      <c r="B9467" t="s">
        <v>234</v>
      </c>
      <c r="C9467" t="s">
        <v>861</v>
      </c>
      <c r="D9467" t="s">
        <v>2017</v>
      </c>
      <c r="E9467" t="s">
        <v>1526</v>
      </c>
      <c r="F9467">
        <v>50942568.92999806</v>
      </c>
    </row>
    <row r="9468" spans="1:6">
      <c r="A9468" t="s">
        <v>27</v>
      </c>
      <c r="B9468" t="s">
        <v>234</v>
      </c>
      <c r="C9468" t="s">
        <v>861</v>
      </c>
      <c r="D9468" t="s">
        <v>2017</v>
      </c>
      <c r="E9468" t="s">
        <v>1527</v>
      </c>
      <c r="F9468">
        <v>50831097.50999805</v>
      </c>
    </row>
    <row r="9469" spans="1:6">
      <c r="A9469" t="s">
        <v>27</v>
      </c>
      <c r="B9469" t="s">
        <v>234</v>
      </c>
      <c r="C9469" t="s">
        <v>861</v>
      </c>
      <c r="D9469" t="s">
        <v>2017</v>
      </c>
      <c r="E9469" t="s">
        <v>1528</v>
      </c>
      <c r="F9469">
        <v>50701338.91999806</v>
      </c>
    </row>
    <row r="9470" spans="1:6">
      <c r="A9470" t="s">
        <v>27</v>
      </c>
      <c r="B9470" t="s">
        <v>234</v>
      </c>
      <c r="C9470" t="s">
        <v>861</v>
      </c>
      <c r="D9470" t="s">
        <v>2017</v>
      </c>
      <c r="E9470" t="s">
        <v>1529</v>
      </c>
      <c r="F9470">
        <v>51076117.92999981</v>
      </c>
    </row>
    <row r="9471" spans="1:6">
      <c r="A9471" t="s">
        <v>27</v>
      </c>
      <c r="B9471" t="s">
        <v>234</v>
      </c>
      <c r="C9471" t="s">
        <v>861</v>
      </c>
      <c r="D9471" t="s">
        <v>2017</v>
      </c>
      <c r="E9471" t="s">
        <v>2126</v>
      </c>
      <c r="F9471">
        <v>50846990.9099998</v>
      </c>
    </row>
    <row r="9472" spans="1:6">
      <c r="A9472" t="s">
        <v>27</v>
      </c>
      <c r="B9472" t="s">
        <v>234</v>
      </c>
      <c r="C9472" t="s">
        <v>861</v>
      </c>
      <c r="D9472" t="s">
        <v>2017</v>
      </c>
      <c r="E9472" t="s">
        <v>2127</v>
      </c>
      <c r="F9472">
        <v>50719239.5099998</v>
      </c>
    </row>
    <row r="9473" spans="1:6">
      <c r="A9473" t="s">
        <v>27</v>
      </c>
      <c r="B9473" t="s">
        <v>234</v>
      </c>
      <c r="C9473" t="s">
        <v>861</v>
      </c>
      <c r="D9473" t="s">
        <v>2017</v>
      </c>
      <c r="E9473" t="s">
        <v>2128</v>
      </c>
      <c r="F9473">
        <v>50619224.08000208</v>
      </c>
    </row>
    <row r="9474" spans="1:6">
      <c r="A9474" t="s">
        <v>27</v>
      </c>
      <c r="B9474" t="s">
        <v>234</v>
      </c>
      <c r="C9474" t="s">
        <v>861</v>
      </c>
      <c r="D9474" t="s">
        <v>2017</v>
      </c>
      <c r="E9474" t="s">
        <v>2129</v>
      </c>
      <c r="F9474">
        <v>50571226.82000208</v>
      </c>
    </row>
    <row r="9475" spans="1:6">
      <c r="A9475" t="s">
        <v>27</v>
      </c>
      <c r="B9475" t="s">
        <v>234</v>
      </c>
      <c r="C9475" t="s">
        <v>861</v>
      </c>
      <c r="D9475" t="s">
        <v>2017</v>
      </c>
      <c r="E9475" t="s">
        <v>2130</v>
      </c>
      <c r="F9475">
        <v>50433072.81000207</v>
      </c>
    </row>
    <row r="9476" spans="1:6">
      <c r="A9476" t="s">
        <v>27</v>
      </c>
      <c r="B9476" t="s">
        <v>234</v>
      </c>
      <c r="C9476" t="s">
        <v>861</v>
      </c>
      <c r="D9476" t="s">
        <v>2017</v>
      </c>
      <c r="E9476" t="s">
        <v>2131</v>
      </c>
      <c r="F9476">
        <v>50373696.94000211</v>
      </c>
    </row>
    <row r="9477" spans="1:6">
      <c r="A9477" t="s">
        <v>27</v>
      </c>
      <c r="B9477" t="s">
        <v>234</v>
      </c>
      <c r="C9477" t="s">
        <v>861</v>
      </c>
      <c r="D9477" t="s">
        <v>2017</v>
      </c>
      <c r="E9477" t="s">
        <v>2132</v>
      </c>
      <c r="F9477">
        <v>22474628.84000267</v>
      </c>
    </row>
    <row r="9478" spans="1:6">
      <c r="A9478" t="s">
        <v>27</v>
      </c>
      <c r="B9478" t="s">
        <v>234</v>
      </c>
      <c r="C9478" t="s">
        <v>861</v>
      </c>
      <c r="D9478" t="s">
        <v>2017</v>
      </c>
      <c r="E9478" t="s">
        <v>2133</v>
      </c>
      <c r="F9478">
        <v>22338552.44000267</v>
      </c>
    </row>
    <row r="9479" spans="1:6">
      <c r="A9479" t="s">
        <v>27</v>
      </c>
      <c r="B9479" t="s">
        <v>234</v>
      </c>
      <c r="C9479" t="s">
        <v>861</v>
      </c>
      <c r="D9479" t="s">
        <v>2017</v>
      </c>
      <c r="E9479" t="s">
        <v>2763</v>
      </c>
      <c r="F9479">
        <v>22214733.9400027</v>
      </c>
    </row>
    <row r="9480" spans="1:6">
      <c r="A9480" t="s">
        <v>27</v>
      </c>
      <c r="B9480" t="s">
        <v>234</v>
      </c>
      <c r="C9480" t="s">
        <v>861</v>
      </c>
      <c r="D9480" t="s">
        <v>2017</v>
      </c>
      <c r="E9480" t="s">
        <v>2764</v>
      </c>
      <c r="F9480">
        <v>22183792.6700027</v>
      </c>
    </row>
    <row r="9481" spans="1:6">
      <c r="A9481" t="s">
        <v>27</v>
      </c>
      <c r="B9481" t="s">
        <v>234</v>
      </c>
      <c r="C9481" t="s">
        <v>861</v>
      </c>
      <c r="D9481" t="s">
        <v>2017</v>
      </c>
      <c r="E9481" t="s">
        <v>2765</v>
      </c>
      <c r="F9481">
        <v>22106987.68000206</v>
      </c>
    </row>
    <row r="9482" spans="1:6">
      <c r="A9482" t="s">
        <v>27</v>
      </c>
      <c r="B9482" t="s">
        <v>234</v>
      </c>
      <c r="C9482" t="s">
        <v>861</v>
      </c>
      <c r="D9482" t="s">
        <v>2017</v>
      </c>
      <c r="E9482" t="s">
        <v>1115</v>
      </c>
      <c r="F9482">
        <v>2002</v>
      </c>
    </row>
    <row r="9483" spans="1:6">
      <c r="A9483" t="s">
        <v>27</v>
      </c>
      <c r="B9483" t="s">
        <v>234</v>
      </c>
      <c r="C9483" t="s">
        <v>861</v>
      </c>
      <c r="D9483" t="s">
        <v>2017</v>
      </c>
      <c r="E9483" t="s">
        <v>1116</v>
      </c>
      <c r="F9483">
        <v>32.64</v>
      </c>
    </row>
    <row r="9484" spans="1:6">
      <c r="A9484" t="s">
        <v>27</v>
      </c>
      <c r="B9484" t="s">
        <v>234</v>
      </c>
      <c r="C9484" t="s">
        <v>861</v>
      </c>
      <c r="D9484" t="s">
        <v>2017</v>
      </c>
      <c r="E9484" t="s">
        <v>1857</v>
      </c>
      <c r="F9484">
        <v>32.64</v>
      </c>
    </row>
    <row r="9485" spans="1:6">
      <c r="A9485" t="s">
        <v>27</v>
      </c>
      <c r="B9485" t="s">
        <v>234</v>
      </c>
      <c r="C9485" t="s">
        <v>861</v>
      </c>
      <c r="D9485" t="s">
        <v>2017</v>
      </c>
      <c r="E9485" t="s">
        <v>1750</v>
      </c>
      <c r="F9485">
        <v>32.64</v>
      </c>
    </row>
    <row r="9486" spans="1:6">
      <c r="A9486" t="s">
        <v>27</v>
      </c>
      <c r="B9486" t="s">
        <v>234</v>
      </c>
      <c r="C9486" t="s">
        <v>861</v>
      </c>
      <c r="D9486" t="s">
        <v>2017</v>
      </c>
      <c r="E9486" t="s">
        <v>2134</v>
      </c>
      <c r="F9486">
        <v>32.64</v>
      </c>
    </row>
    <row r="9487" spans="1:6">
      <c r="A9487" t="s">
        <v>27</v>
      </c>
      <c r="B9487" t="s">
        <v>234</v>
      </c>
      <c r="C9487" t="s">
        <v>861</v>
      </c>
      <c r="D9487" t="s">
        <v>2017</v>
      </c>
      <c r="E9487" t="s">
        <v>2135</v>
      </c>
      <c r="F9487">
        <v>32.64</v>
      </c>
    </row>
    <row r="9488" spans="1:6">
      <c r="A9488" t="s">
        <v>27</v>
      </c>
      <c r="B9488" t="s">
        <v>234</v>
      </c>
      <c r="C9488" t="s">
        <v>861</v>
      </c>
      <c r="D9488" t="s">
        <v>2017</v>
      </c>
      <c r="E9488" t="s">
        <v>1790</v>
      </c>
      <c r="F9488">
        <v>32.64</v>
      </c>
    </row>
    <row r="9489" spans="1:6">
      <c r="A9489" t="s">
        <v>27</v>
      </c>
      <c r="B9489" t="s">
        <v>234</v>
      </c>
      <c r="C9489" t="s">
        <v>861</v>
      </c>
      <c r="D9489" t="s">
        <v>2017</v>
      </c>
      <c r="E9489" t="s">
        <v>1791</v>
      </c>
      <c r="F9489">
        <v>32.64</v>
      </c>
    </row>
    <row r="9490" spans="1:6">
      <c r="A9490" t="s">
        <v>27</v>
      </c>
      <c r="B9490" t="s">
        <v>234</v>
      </c>
      <c r="C9490" t="s">
        <v>861</v>
      </c>
      <c r="D9490" t="s">
        <v>2017</v>
      </c>
      <c r="E9490" t="s">
        <v>1792</v>
      </c>
      <c r="F9490">
        <v>32.64</v>
      </c>
    </row>
    <row r="9491" spans="1:6">
      <c r="A9491" t="s">
        <v>27</v>
      </c>
      <c r="B9491" t="s">
        <v>234</v>
      </c>
      <c r="C9491" t="s">
        <v>861</v>
      </c>
      <c r="D9491" t="s">
        <v>2017</v>
      </c>
      <c r="E9491" t="s">
        <v>2136</v>
      </c>
      <c r="F9491">
        <v>32.64</v>
      </c>
    </row>
    <row r="9492" spans="1:6">
      <c r="A9492" t="s">
        <v>27</v>
      </c>
      <c r="B9492" t="s">
        <v>234</v>
      </c>
      <c r="C9492" t="s">
        <v>861</v>
      </c>
      <c r="D9492" t="s">
        <v>2017</v>
      </c>
      <c r="E9492" t="s">
        <v>2137</v>
      </c>
      <c r="F9492">
        <v>32.64</v>
      </c>
    </row>
    <row r="9493" spans="1:6">
      <c r="A9493" t="s">
        <v>27</v>
      </c>
      <c r="B9493" t="s">
        <v>234</v>
      </c>
      <c r="C9493" t="s">
        <v>861</v>
      </c>
      <c r="D9493" t="s">
        <v>2017</v>
      </c>
      <c r="E9493" t="s">
        <v>2138</v>
      </c>
      <c r="F9493">
        <v>32.64</v>
      </c>
    </row>
    <row r="9494" spans="1:6">
      <c r="A9494" t="s">
        <v>27</v>
      </c>
      <c r="B9494" t="s">
        <v>234</v>
      </c>
      <c r="C9494" t="s">
        <v>861</v>
      </c>
      <c r="D9494" t="s">
        <v>2017</v>
      </c>
      <c r="E9494" t="s">
        <v>2139</v>
      </c>
      <c r="F9494">
        <v>32.64</v>
      </c>
    </row>
    <row r="9495" spans="1:6">
      <c r="A9495" t="s">
        <v>27</v>
      </c>
      <c r="B9495" t="s">
        <v>234</v>
      </c>
      <c r="C9495" t="s">
        <v>861</v>
      </c>
      <c r="D9495" t="s">
        <v>2017</v>
      </c>
      <c r="E9495" t="s">
        <v>2140</v>
      </c>
      <c r="F9495">
        <v>32.64</v>
      </c>
    </row>
    <row r="9496" spans="1:6">
      <c r="A9496" t="s">
        <v>27</v>
      </c>
      <c r="B9496" t="s">
        <v>234</v>
      </c>
      <c r="C9496" t="s">
        <v>861</v>
      </c>
      <c r="D9496" t="s">
        <v>2017</v>
      </c>
      <c r="E9496" t="s">
        <v>2141</v>
      </c>
      <c r="F9496">
        <v>32.64</v>
      </c>
    </row>
    <row r="9497" spans="1:6">
      <c r="A9497" t="s">
        <v>27</v>
      </c>
      <c r="B9497" t="s">
        <v>234</v>
      </c>
      <c r="C9497" t="s">
        <v>861</v>
      </c>
      <c r="D9497" t="s">
        <v>2017</v>
      </c>
      <c r="E9497" t="s">
        <v>2142</v>
      </c>
      <c r="F9497">
        <v>32.64</v>
      </c>
    </row>
    <row r="9498" spans="1:6">
      <c r="A9498" t="s">
        <v>27</v>
      </c>
      <c r="B9498" t="s">
        <v>234</v>
      </c>
      <c r="C9498" t="s">
        <v>861</v>
      </c>
      <c r="D9498" t="s">
        <v>2017</v>
      </c>
      <c r="E9498" t="s">
        <v>2143</v>
      </c>
      <c r="F9498">
        <v>32.64</v>
      </c>
    </row>
    <row r="9499" spans="1:6">
      <c r="A9499" t="s">
        <v>27</v>
      </c>
      <c r="B9499" t="s">
        <v>234</v>
      </c>
      <c r="C9499" t="s">
        <v>861</v>
      </c>
      <c r="D9499" t="s">
        <v>2017</v>
      </c>
      <c r="E9499" t="s">
        <v>2144</v>
      </c>
      <c r="F9499">
        <v>32.64</v>
      </c>
    </row>
    <row r="9500" spans="1:6">
      <c r="A9500" t="s">
        <v>27</v>
      </c>
      <c r="B9500" t="s">
        <v>234</v>
      </c>
      <c r="C9500" t="s">
        <v>861</v>
      </c>
      <c r="D9500" t="s">
        <v>2017</v>
      </c>
      <c r="E9500" t="s">
        <v>2145</v>
      </c>
      <c r="F9500">
        <v>32.64</v>
      </c>
    </row>
    <row r="9501" spans="1:6">
      <c r="A9501" t="s">
        <v>27</v>
      </c>
      <c r="B9501" t="s">
        <v>234</v>
      </c>
      <c r="C9501" t="s">
        <v>861</v>
      </c>
      <c r="D9501" t="s">
        <v>2017</v>
      </c>
      <c r="E9501" t="s">
        <v>2766</v>
      </c>
      <c r="F9501">
        <v>32.64</v>
      </c>
    </row>
    <row r="9502" spans="1:6">
      <c r="A9502" t="s">
        <v>27</v>
      </c>
      <c r="B9502" t="s">
        <v>234</v>
      </c>
      <c r="C9502" t="s">
        <v>861</v>
      </c>
      <c r="D9502" t="s">
        <v>2017</v>
      </c>
      <c r="E9502" t="s">
        <v>2767</v>
      </c>
      <c r="F9502">
        <v>32.64</v>
      </c>
    </row>
    <row r="9503" spans="1:6">
      <c r="A9503" t="s">
        <v>27</v>
      </c>
      <c r="B9503" t="s">
        <v>234</v>
      </c>
      <c r="C9503" t="s">
        <v>861</v>
      </c>
      <c r="D9503" t="s">
        <v>2017</v>
      </c>
      <c r="E9503" t="s">
        <v>2768</v>
      </c>
      <c r="F9503">
        <v>32.64</v>
      </c>
    </row>
    <row r="9504" spans="1:6">
      <c r="A9504" t="s">
        <v>27</v>
      </c>
      <c r="B9504" t="s">
        <v>234</v>
      </c>
      <c r="C9504" t="s">
        <v>861</v>
      </c>
      <c r="D9504" t="s">
        <v>2017</v>
      </c>
      <c r="E9504" t="s">
        <v>1120</v>
      </c>
      <c r="F9504">
        <v>2003</v>
      </c>
    </row>
    <row r="9505" spans="1:6">
      <c r="A9505" t="s">
        <v>27</v>
      </c>
      <c r="B9505" t="s">
        <v>234</v>
      </c>
      <c r="C9505" t="s">
        <v>861</v>
      </c>
      <c r="D9505" t="s">
        <v>2017</v>
      </c>
      <c r="E9505" t="s">
        <v>1121</v>
      </c>
      <c r="F9505">
        <v>11750.67</v>
      </c>
    </row>
    <row r="9506" spans="1:6">
      <c r="A9506" t="s">
        <v>27</v>
      </c>
      <c r="B9506" t="s">
        <v>234</v>
      </c>
      <c r="C9506" t="s">
        <v>861</v>
      </c>
      <c r="D9506" t="s">
        <v>2017</v>
      </c>
      <c r="E9506" t="s">
        <v>1858</v>
      </c>
      <c r="F9506">
        <v>11749.01</v>
      </c>
    </row>
    <row r="9507" spans="1:6">
      <c r="A9507" t="s">
        <v>27</v>
      </c>
      <c r="B9507" t="s">
        <v>234</v>
      </c>
      <c r="C9507" t="s">
        <v>861</v>
      </c>
      <c r="D9507" t="s">
        <v>2017</v>
      </c>
      <c r="E9507" t="s">
        <v>2146</v>
      </c>
      <c r="F9507">
        <v>11748.78</v>
      </c>
    </row>
    <row r="9508" spans="1:6">
      <c r="A9508" t="s">
        <v>27</v>
      </c>
      <c r="B9508" t="s">
        <v>234</v>
      </c>
      <c r="C9508" t="s">
        <v>861</v>
      </c>
      <c r="D9508" t="s">
        <v>2017</v>
      </c>
      <c r="E9508" t="s">
        <v>2147</v>
      </c>
      <c r="F9508">
        <v>11748.78</v>
      </c>
    </row>
    <row r="9509" spans="1:6">
      <c r="A9509" t="s">
        <v>27</v>
      </c>
      <c r="B9509" t="s">
        <v>234</v>
      </c>
      <c r="C9509" t="s">
        <v>861</v>
      </c>
      <c r="D9509" t="s">
        <v>2017</v>
      </c>
      <c r="E9509" t="s">
        <v>2148</v>
      </c>
      <c r="F9509">
        <v>11748.78</v>
      </c>
    </row>
    <row r="9510" spans="1:6">
      <c r="A9510" t="s">
        <v>27</v>
      </c>
      <c r="B9510" t="s">
        <v>234</v>
      </c>
      <c r="C9510" t="s">
        <v>861</v>
      </c>
      <c r="D9510" t="s">
        <v>2017</v>
      </c>
      <c r="E9510" t="s">
        <v>1793</v>
      </c>
      <c r="F9510">
        <v>11748.78</v>
      </c>
    </row>
    <row r="9511" spans="1:6">
      <c r="A9511" t="s">
        <v>27</v>
      </c>
      <c r="B9511" t="s">
        <v>234</v>
      </c>
      <c r="C9511" t="s">
        <v>861</v>
      </c>
      <c r="D9511" t="s">
        <v>2017</v>
      </c>
      <c r="E9511" t="s">
        <v>1794</v>
      </c>
      <c r="F9511">
        <v>11748.78</v>
      </c>
    </row>
    <row r="9512" spans="1:6">
      <c r="A9512" t="s">
        <v>27</v>
      </c>
      <c r="B9512" t="s">
        <v>234</v>
      </c>
      <c r="C9512" t="s">
        <v>861</v>
      </c>
      <c r="D9512" t="s">
        <v>2017</v>
      </c>
      <c r="E9512" t="s">
        <v>1795</v>
      </c>
      <c r="F9512">
        <v>11748.78</v>
      </c>
    </row>
    <row r="9513" spans="1:6">
      <c r="A9513" t="s">
        <v>27</v>
      </c>
      <c r="B9513" t="s">
        <v>234</v>
      </c>
      <c r="C9513" t="s">
        <v>861</v>
      </c>
      <c r="D9513" t="s">
        <v>2017</v>
      </c>
      <c r="E9513" t="s">
        <v>2149</v>
      </c>
      <c r="F9513">
        <v>11748.78</v>
      </c>
    </row>
    <row r="9514" spans="1:6">
      <c r="A9514" t="s">
        <v>27</v>
      </c>
      <c r="B9514" t="s">
        <v>234</v>
      </c>
      <c r="C9514" t="s">
        <v>861</v>
      </c>
      <c r="D9514" t="s">
        <v>2017</v>
      </c>
      <c r="E9514" t="s">
        <v>2150</v>
      </c>
      <c r="F9514">
        <v>11748.78</v>
      </c>
    </row>
    <row r="9515" spans="1:6">
      <c r="A9515" t="s">
        <v>27</v>
      </c>
      <c r="B9515" t="s">
        <v>234</v>
      </c>
      <c r="C9515" t="s">
        <v>861</v>
      </c>
      <c r="D9515" t="s">
        <v>2017</v>
      </c>
      <c r="E9515" t="s">
        <v>2151</v>
      </c>
      <c r="F9515">
        <v>11748.78</v>
      </c>
    </row>
    <row r="9516" spans="1:6">
      <c r="A9516" t="s">
        <v>27</v>
      </c>
      <c r="B9516" t="s">
        <v>234</v>
      </c>
      <c r="C9516" t="s">
        <v>861</v>
      </c>
      <c r="D9516" t="s">
        <v>2017</v>
      </c>
      <c r="E9516" t="s">
        <v>2152</v>
      </c>
      <c r="F9516">
        <v>11748.78</v>
      </c>
    </row>
    <row r="9517" spans="1:6">
      <c r="A9517" t="s">
        <v>27</v>
      </c>
      <c r="B9517" t="s">
        <v>234</v>
      </c>
      <c r="C9517" t="s">
        <v>861</v>
      </c>
      <c r="D9517" t="s">
        <v>2017</v>
      </c>
      <c r="E9517" t="s">
        <v>2153</v>
      </c>
      <c r="F9517">
        <v>11748.78</v>
      </c>
    </row>
    <row r="9518" spans="1:6">
      <c r="A9518" t="s">
        <v>27</v>
      </c>
      <c r="B9518" t="s">
        <v>234</v>
      </c>
      <c r="C9518" t="s">
        <v>861</v>
      </c>
      <c r="D9518" t="s">
        <v>2017</v>
      </c>
      <c r="E9518" t="s">
        <v>2154</v>
      </c>
      <c r="F9518">
        <v>11748.78</v>
      </c>
    </row>
    <row r="9519" spans="1:6">
      <c r="A9519" t="s">
        <v>27</v>
      </c>
      <c r="B9519" t="s">
        <v>234</v>
      </c>
      <c r="C9519" t="s">
        <v>861</v>
      </c>
      <c r="D9519" t="s">
        <v>2017</v>
      </c>
      <c r="E9519" t="s">
        <v>2155</v>
      </c>
      <c r="F9519">
        <v>11748.78</v>
      </c>
    </row>
    <row r="9520" spans="1:6">
      <c r="A9520" t="s">
        <v>27</v>
      </c>
      <c r="B9520" t="s">
        <v>234</v>
      </c>
      <c r="C9520" t="s">
        <v>861</v>
      </c>
      <c r="D9520" t="s">
        <v>2017</v>
      </c>
      <c r="E9520" t="s">
        <v>2156</v>
      </c>
      <c r="F9520">
        <v>11748.78</v>
      </c>
    </row>
    <row r="9521" spans="1:6">
      <c r="A9521" t="s">
        <v>27</v>
      </c>
      <c r="B9521" t="s">
        <v>234</v>
      </c>
      <c r="C9521" t="s">
        <v>861</v>
      </c>
      <c r="D9521" t="s">
        <v>2017</v>
      </c>
      <c r="E9521" t="s">
        <v>2157</v>
      </c>
      <c r="F9521">
        <v>11158.26</v>
      </c>
    </row>
    <row r="9522" spans="1:6">
      <c r="A9522" t="s">
        <v>27</v>
      </c>
      <c r="B9522" t="s">
        <v>234</v>
      </c>
      <c r="C9522" t="s">
        <v>861</v>
      </c>
      <c r="D9522" t="s">
        <v>2017</v>
      </c>
      <c r="E9522" t="s">
        <v>2158</v>
      </c>
      <c r="F9522">
        <v>11158.26</v>
      </c>
    </row>
    <row r="9523" spans="1:6">
      <c r="A9523" t="s">
        <v>27</v>
      </c>
      <c r="B9523" t="s">
        <v>234</v>
      </c>
      <c r="C9523" t="s">
        <v>861</v>
      </c>
      <c r="D9523" t="s">
        <v>2017</v>
      </c>
      <c r="E9523" t="s">
        <v>2769</v>
      </c>
      <c r="F9523">
        <v>11158.26</v>
      </c>
    </row>
    <row r="9524" spans="1:6">
      <c r="A9524" t="s">
        <v>27</v>
      </c>
      <c r="B9524" t="s">
        <v>234</v>
      </c>
      <c r="C9524" t="s">
        <v>861</v>
      </c>
      <c r="D9524" t="s">
        <v>2017</v>
      </c>
      <c r="E9524" t="s">
        <v>2770</v>
      </c>
      <c r="F9524">
        <v>11158.26</v>
      </c>
    </row>
    <row r="9525" spans="1:6">
      <c r="A9525" t="s">
        <v>27</v>
      </c>
      <c r="B9525" t="s">
        <v>234</v>
      </c>
      <c r="C9525" t="s">
        <v>861</v>
      </c>
      <c r="D9525" t="s">
        <v>2017</v>
      </c>
      <c r="E9525" t="s">
        <v>2771</v>
      </c>
      <c r="F9525">
        <v>11158.26</v>
      </c>
    </row>
    <row r="9526" spans="1:6">
      <c r="A9526" t="s">
        <v>27</v>
      </c>
      <c r="B9526" t="s">
        <v>234</v>
      </c>
      <c r="C9526" t="s">
        <v>861</v>
      </c>
      <c r="D9526" t="s">
        <v>2017</v>
      </c>
      <c r="E9526" t="s">
        <v>1127</v>
      </c>
      <c r="F9526">
        <v>2004</v>
      </c>
    </row>
    <row r="9527" spans="1:6">
      <c r="A9527" t="s">
        <v>27</v>
      </c>
      <c r="B9527" t="s">
        <v>234</v>
      </c>
      <c r="C9527" t="s">
        <v>861</v>
      </c>
      <c r="D9527" t="s">
        <v>2017</v>
      </c>
      <c r="E9527" t="s">
        <v>1128</v>
      </c>
      <c r="F9527">
        <v>83611.75999999995</v>
      </c>
    </row>
    <row r="9528" spans="1:6">
      <c r="A9528" t="s">
        <v>27</v>
      </c>
      <c r="B9528" t="s">
        <v>234</v>
      </c>
      <c r="C9528" t="s">
        <v>861</v>
      </c>
      <c r="D9528" t="s">
        <v>2017</v>
      </c>
      <c r="E9528" t="s">
        <v>1355</v>
      </c>
      <c r="F9528">
        <v>83605.01999999995</v>
      </c>
    </row>
    <row r="9529" spans="1:6">
      <c r="A9529" t="s">
        <v>27</v>
      </c>
      <c r="B9529" t="s">
        <v>234</v>
      </c>
      <c r="C9529" t="s">
        <v>861</v>
      </c>
      <c r="D9529" t="s">
        <v>2017</v>
      </c>
      <c r="E9529" t="s">
        <v>1356</v>
      </c>
      <c r="F9529">
        <v>83604.43999999994</v>
      </c>
    </row>
    <row r="9530" spans="1:6">
      <c r="A9530" t="s">
        <v>27</v>
      </c>
      <c r="B9530" t="s">
        <v>234</v>
      </c>
      <c r="C9530" t="s">
        <v>861</v>
      </c>
      <c r="D9530" t="s">
        <v>2017</v>
      </c>
      <c r="E9530" t="s">
        <v>1357</v>
      </c>
      <c r="F9530">
        <v>83604.43999999994</v>
      </c>
    </row>
    <row r="9531" spans="1:6">
      <c r="A9531" t="s">
        <v>27</v>
      </c>
      <c r="B9531" t="s">
        <v>234</v>
      </c>
      <c r="C9531" t="s">
        <v>861</v>
      </c>
      <c r="D9531" t="s">
        <v>2017</v>
      </c>
      <c r="E9531" t="s">
        <v>1358</v>
      </c>
      <c r="F9531">
        <v>83604.43999999994</v>
      </c>
    </row>
    <row r="9532" spans="1:6">
      <c r="A9532" t="s">
        <v>27</v>
      </c>
      <c r="B9532" t="s">
        <v>234</v>
      </c>
      <c r="C9532" t="s">
        <v>861</v>
      </c>
      <c r="D9532" t="s">
        <v>2017</v>
      </c>
      <c r="E9532" t="s">
        <v>1359</v>
      </c>
      <c r="F9532">
        <v>83604.43999999994</v>
      </c>
    </row>
    <row r="9533" spans="1:6">
      <c r="A9533" t="s">
        <v>27</v>
      </c>
      <c r="B9533" t="s">
        <v>234</v>
      </c>
      <c r="C9533" t="s">
        <v>861</v>
      </c>
      <c r="D9533" t="s">
        <v>2017</v>
      </c>
      <c r="E9533" t="s">
        <v>1360</v>
      </c>
      <c r="F9533">
        <v>83604.43999999994</v>
      </c>
    </row>
    <row r="9534" spans="1:6">
      <c r="A9534" t="s">
        <v>27</v>
      </c>
      <c r="B9534" t="s">
        <v>234</v>
      </c>
      <c r="C9534" t="s">
        <v>861</v>
      </c>
      <c r="D9534" t="s">
        <v>2017</v>
      </c>
      <c r="E9534" t="s">
        <v>1361</v>
      </c>
      <c r="F9534">
        <v>83604.43999999994</v>
      </c>
    </row>
    <row r="9535" spans="1:6">
      <c r="A9535" t="s">
        <v>27</v>
      </c>
      <c r="B9535" t="s">
        <v>234</v>
      </c>
      <c r="C9535" t="s">
        <v>861</v>
      </c>
      <c r="D9535" t="s">
        <v>2017</v>
      </c>
      <c r="E9535" t="s">
        <v>1362</v>
      </c>
      <c r="F9535">
        <v>83604.43999999994</v>
      </c>
    </row>
    <row r="9536" spans="1:6">
      <c r="A9536" t="s">
        <v>27</v>
      </c>
      <c r="B9536" t="s">
        <v>234</v>
      </c>
      <c r="C9536" t="s">
        <v>861</v>
      </c>
      <c r="D9536" t="s">
        <v>2017</v>
      </c>
      <c r="E9536" t="s">
        <v>1363</v>
      </c>
      <c r="F9536">
        <v>83604.43999999999</v>
      </c>
    </row>
    <row r="9537" spans="1:6">
      <c r="A9537" t="s">
        <v>27</v>
      </c>
      <c r="B9537" t="s">
        <v>234</v>
      </c>
      <c r="C9537" t="s">
        <v>861</v>
      </c>
      <c r="D9537" t="s">
        <v>2017</v>
      </c>
      <c r="E9537" t="s">
        <v>2159</v>
      </c>
      <c r="F9537">
        <v>83604.43999999999</v>
      </c>
    </row>
    <row r="9538" spans="1:6">
      <c r="A9538" t="s">
        <v>27</v>
      </c>
      <c r="B9538" t="s">
        <v>234</v>
      </c>
      <c r="C9538" t="s">
        <v>861</v>
      </c>
      <c r="D9538" t="s">
        <v>2017</v>
      </c>
      <c r="E9538" t="s">
        <v>2160</v>
      </c>
      <c r="F9538">
        <v>83604.43999999999</v>
      </c>
    </row>
    <row r="9539" spans="1:6">
      <c r="A9539" t="s">
        <v>27</v>
      </c>
      <c r="B9539" t="s">
        <v>234</v>
      </c>
      <c r="C9539" t="s">
        <v>861</v>
      </c>
      <c r="D9539" t="s">
        <v>2017</v>
      </c>
      <c r="E9539" t="s">
        <v>2161</v>
      </c>
      <c r="F9539">
        <v>83604.43999999997</v>
      </c>
    </row>
    <row r="9540" spans="1:6">
      <c r="A9540" t="s">
        <v>27</v>
      </c>
      <c r="B9540" t="s">
        <v>234</v>
      </c>
      <c r="C9540" t="s">
        <v>861</v>
      </c>
      <c r="D9540" t="s">
        <v>2017</v>
      </c>
      <c r="E9540" t="s">
        <v>2162</v>
      </c>
      <c r="F9540">
        <v>83604.43999999997</v>
      </c>
    </row>
    <row r="9541" spans="1:6">
      <c r="A9541" t="s">
        <v>27</v>
      </c>
      <c r="B9541" t="s">
        <v>234</v>
      </c>
      <c r="C9541" t="s">
        <v>861</v>
      </c>
      <c r="D9541" t="s">
        <v>2017</v>
      </c>
      <c r="E9541" t="s">
        <v>2163</v>
      </c>
      <c r="F9541">
        <v>83604.43999999997</v>
      </c>
    </row>
    <row r="9542" spans="1:6">
      <c r="A9542" t="s">
        <v>27</v>
      </c>
      <c r="B9542" t="s">
        <v>234</v>
      </c>
      <c r="C9542" t="s">
        <v>861</v>
      </c>
      <c r="D9542" t="s">
        <v>2017</v>
      </c>
      <c r="E9542" t="s">
        <v>2164</v>
      </c>
      <c r="F9542">
        <v>83604.43999999997</v>
      </c>
    </row>
    <row r="9543" spans="1:6">
      <c r="A9543" t="s">
        <v>27</v>
      </c>
      <c r="B9543" t="s">
        <v>234</v>
      </c>
      <c r="C9543" t="s">
        <v>861</v>
      </c>
      <c r="D9543" t="s">
        <v>2017</v>
      </c>
      <c r="E9543" t="s">
        <v>2165</v>
      </c>
      <c r="F9543">
        <v>76013.92999999996</v>
      </c>
    </row>
    <row r="9544" spans="1:6">
      <c r="A9544" t="s">
        <v>27</v>
      </c>
      <c r="B9544" t="s">
        <v>234</v>
      </c>
      <c r="C9544" t="s">
        <v>861</v>
      </c>
      <c r="D9544" t="s">
        <v>2017</v>
      </c>
      <c r="E9544" t="s">
        <v>1578</v>
      </c>
      <c r="F9544">
        <v>76013.92999999996</v>
      </c>
    </row>
    <row r="9545" spans="1:6">
      <c r="A9545" t="s">
        <v>27</v>
      </c>
      <c r="B9545" t="s">
        <v>234</v>
      </c>
      <c r="C9545" t="s">
        <v>861</v>
      </c>
      <c r="D9545" t="s">
        <v>2017</v>
      </c>
      <c r="E9545" t="s">
        <v>2772</v>
      </c>
      <c r="F9545">
        <v>76013.92999999996</v>
      </c>
    </row>
    <row r="9546" spans="1:6">
      <c r="A9546" t="s">
        <v>27</v>
      </c>
      <c r="B9546" t="s">
        <v>234</v>
      </c>
      <c r="C9546" t="s">
        <v>861</v>
      </c>
      <c r="D9546" t="s">
        <v>2017</v>
      </c>
      <c r="E9546" t="s">
        <v>2773</v>
      </c>
      <c r="F9546">
        <v>76013.92999999996</v>
      </c>
    </row>
    <row r="9547" spans="1:6">
      <c r="A9547" t="s">
        <v>27</v>
      </c>
      <c r="B9547" t="s">
        <v>234</v>
      </c>
      <c r="C9547" t="s">
        <v>861</v>
      </c>
      <c r="D9547" t="s">
        <v>2017</v>
      </c>
      <c r="E9547" t="s">
        <v>2774</v>
      </c>
      <c r="F9547">
        <v>75888.30999999997</v>
      </c>
    </row>
    <row r="9548" spans="1:6">
      <c r="A9548" t="s">
        <v>27</v>
      </c>
      <c r="B9548" t="s">
        <v>234</v>
      </c>
      <c r="C9548" t="s">
        <v>861</v>
      </c>
      <c r="D9548" t="s">
        <v>2017</v>
      </c>
      <c r="E9548" t="s">
        <v>1059</v>
      </c>
      <c r="F9548">
        <v>2005</v>
      </c>
    </row>
    <row r="9549" spans="1:6">
      <c r="A9549" t="s">
        <v>27</v>
      </c>
      <c r="B9549" t="s">
        <v>234</v>
      </c>
      <c r="C9549" t="s">
        <v>861</v>
      </c>
      <c r="D9549" t="s">
        <v>2017</v>
      </c>
      <c r="E9549" t="s">
        <v>1060</v>
      </c>
      <c r="F9549">
        <v>27334.56999999998</v>
      </c>
    </row>
    <row r="9550" spans="1:6">
      <c r="A9550" t="s">
        <v>27</v>
      </c>
      <c r="B9550" t="s">
        <v>234</v>
      </c>
      <c r="C9550" t="s">
        <v>861</v>
      </c>
      <c r="D9550" t="s">
        <v>2017</v>
      </c>
      <c r="E9550" t="s">
        <v>1061</v>
      </c>
      <c r="F9550">
        <v>27255.77999999998</v>
      </c>
    </row>
    <row r="9551" spans="1:6">
      <c r="A9551" t="s">
        <v>27</v>
      </c>
      <c r="B9551" t="s">
        <v>234</v>
      </c>
      <c r="C9551" t="s">
        <v>861</v>
      </c>
      <c r="D9551" t="s">
        <v>2017</v>
      </c>
      <c r="E9551" t="s">
        <v>1062</v>
      </c>
      <c r="F9551">
        <v>27253.39999999998</v>
      </c>
    </row>
    <row r="9552" spans="1:6">
      <c r="A9552" t="s">
        <v>27</v>
      </c>
      <c r="B9552" t="s">
        <v>234</v>
      </c>
      <c r="C9552" t="s">
        <v>861</v>
      </c>
      <c r="D9552" t="s">
        <v>2017</v>
      </c>
      <c r="E9552" t="s">
        <v>1063</v>
      </c>
      <c r="F9552">
        <v>27253.27999999998</v>
      </c>
    </row>
    <row r="9553" spans="1:6">
      <c r="A9553" t="s">
        <v>27</v>
      </c>
      <c r="B9553" t="s">
        <v>234</v>
      </c>
      <c r="C9553" t="s">
        <v>861</v>
      </c>
      <c r="D9553" t="s">
        <v>2017</v>
      </c>
      <c r="E9553" t="s">
        <v>1064</v>
      </c>
      <c r="F9553">
        <v>27253.27999999998</v>
      </c>
    </row>
    <row r="9554" spans="1:6">
      <c r="A9554" t="s">
        <v>27</v>
      </c>
      <c r="B9554" t="s">
        <v>234</v>
      </c>
      <c r="C9554" t="s">
        <v>861</v>
      </c>
      <c r="D9554" t="s">
        <v>2017</v>
      </c>
      <c r="E9554" t="s">
        <v>1065</v>
      </c>
      <c r="F9554">
        <v>27141.30999999998</v>
      </c>
    </row>
    <row r="9555" spans="1:6">
      <c r="A9555" t="s">
        <v>27</v>
      </c>
      <c r="B9555" t="s">
        <v>234</v>
      </c>
      <c r="C9555" t="s">
        <v>861</v>
      </c>
      <c r="D9555" t="s">
        <v>2017</v>
      </c>
      <c r="E9555" t="s">
        <v>1067</v>
      </c>
      <c r="F9555">
        <v>27141.30999999998</v>
      </c>
    </row>
    <row r="9556" spans="1:6">
      <c r="A9556" t="s">
        <v>27</v>
      </c>
      <c r="B9556" t="s">
        <v>234</v>
      </c>
      <c r="C9556" t="s">
        <v>861</v>
      </c>
      <c r="D9556" t="s">
        <v>2017</v>
      </c>
      <c r="E9556" t="s">
        <v>1068</v>
      </c>
      <c r="F9556">
        <v>27141.30999999998</v>
      </c>
    </row>
    <row r="9557" spans="1:6">
      <c r="A9557" t="s">
        <v>27</v>
      </c>
      <c r="B9557" t="s">
        <v>234</v>
      </c>
      <c r="C9557" t="s">
        <v>861</v>
      </c>
      <c r="D9557" t="s">
        <v>2017</v>
      </c>
      <c r="E9557" t="s">
        <v>1069</v>
      </c>
      <c r="F9557">
        <v>27141.30999999998</v>
      </c>
    </row>
    <row r="9558" spans="1:6">
      <c r="A9558" t="s">
        <v>27</v>
      </c>
      <c r="B9558" t="s">
        <v>234</v>
      </c>
      <c r="C9558" t="s">
        <v>861</v>
      </c>
      <c r="D9558" t="s">
        <v>2017</v>
      </c>
      <c r="E9558" t="s">
        <v>1070</v>
      </c>
      <c r="F9558">
        <v>27141.31</v>
      </c>
    </row>
    <row r="9559" spans="1:6">
      <c r="A9559" t="s">
        <v>27</v>
      </c>
      <c r="B9559" t="s">
        <v>234</v>
      </c>
      <c r="C9559" t="s">
        <v>861</v>
      </c>
      <c r="D9559" t="s">
        <v>2017</v>
      </c>
      <c r="E9559" t="s">
        <v>2166</v>
      </c>
      <c r="F9559">
        <v>27072.71</v>
      </c>
    </row>
    <row r="9560" spans="1:6">
      <c r="A9560" t="s">
        <v>27</v>
      </c>
      <c r="B9560" t="s">
        <v>234</v>
      </c>
      <c r="C9560" t="s">
        <v>861</v>
      </c>
      <c r="D9560" t="s">
        <v>2017</v>
      </c>
      <c r="E9560" t="s">
        <v>2167</v>
      </c>
      <c r="F9560">
        <v>27070.72</v>
      </c>
    </row>
    <row r="9561" spans="1:6">
      <c r="A9561" t="s">
        <v>27</v>
      </c>
      <c r="B9561" t="s">
        <v>234</v>
      </c>
      <c r="C9561" t="s">
        <v>861</v>
      </c>
      <c r="D9561" t="s">
        <v>2017</v>
      </c>
      <c r="E9561" t="s">
        <v>2168</v>
      </c>
      <c r="F9561">
        <v>27070.71999999999</v>
      </c>
    </row>
    <row r="9562" spans="1:6">
      <c r="A9562" t="s">
        <v>27</v>
      </c>
      <c r="B9562" t="s">
        <v>234</v>
      </c>
      <c r="C9562" t="s">
        <v>861</v>
      </c>
      <c r="D9562" t="s">
        <v>2017</v>
      </c>
      <c r="E9562" t="s">
        <v>2169</v>
      </c>
      <c r="F9562">
        <v>27070.71999999999</v>
      </c>
    </row>
    <row r="9563" spans="1:6">
      <c r="A9563" t="s">
        <v>27</v>
      </c>
      <c r="B9563" t="s">
        <v>234</v>
      </c>
      <c r="C9563" t="s">
        <v>861</v>
      </c>
      <c r="D9563" t="s">
        <v>2017</v>
      </c>
      <c r="E9563" t="s">
        <v>2170</v>
      </c>
      <c r="F9563">
        <v>27068.72999999999</v>
      </c>
    </row>
    <row r="9564" spans="1:6">
      <c r="A9564" t="s">
        <v>27</v>
      </c>
      <c r="B9564" t="s">
        <v>234</v>
      </c>
      <c r="C9564" t="s">
        <v>861</v>
      </c>
      <c r="D9564" t="s">
        <v>2017</v>
      </c>
      <c r="E9564" t="s">
        <v>2171</v>
      </c>
      <c r="F9564">
        <v>27068.72999999999</v>
      </c>
    </row>
    <row r="9565" spans="1:6">
      <c r="A9565" t="s">
        <v>27</v>
      </c>
      <c r="B9565" t="s">
        <v>234</v>
      </c>
      <c r="C9565" t="s">
        <v>861</v>
      </c>
      <c r="D9565" t="s">
        <v>2017</v>
      </c>
      <c r="E9565" t="s">
        <v>2172</v>
      </c>
      <c r="F9565">
        <v>17936.30999999999</v>
      </c>
    </row>
    <row r="9566" spans="1:6">
      <c r="A9566" t="s">
        <v>27</v>
      </c>
      <c r="B9566" t="s">
        <v>234</v>
      </c>
      <c r="C9566" t="s">
        <v>861</v>
      </c>
      <c r="D9566" t="s">
        <v>2017</v>
      </c>
      <c r="E9566" t="s">
        <v>1580</v>
      </c>
      <c r="F9566">
        <v>17936.30999999999</v>
      </c>
    </row>
    <row r="9567" spans="1:6">
      <c r="A9567" t="s">
        <v>27</v>
      </c>
      <c r="B9567" t="s">
        <v>234</v>
      </c>
      <c r="C9567" t="s">
        <v>861</v>
      </c>
      <c r="D9567" t="s">
        <v>2017</v>
      </c>
      <c r="E9567" t="s">
        <v>2775</v>
      </c>
      <c r="F9567">
        <v>17936.30999999999</v>
      </c>
    </row>
    <row r="9568" spans="1:6">
      <c r="A9568" t="s">
        <v>27</v>
      </c>
      <c r="B9568" t="s">
        <v>234</v>
      </c>
      <c r="C9568" t="s">
        <v>861</v>
      </c>
      <c r="D9568" t="s">
        <v>2017</v>
      </c>
      <c r="E9568" t="s">
        <v>2776</v>
      </c>
      <c r="F9568">
        <v>16751.59999999999</v>
      </c>
    </row>
    <row r="9569" spans="1:6">
      <c r="A9569" t="s">
        <v>27</v>
      </c>
      <c r="B9569" t="s">
        <v>234</v>
      </c>
      <c r="C9569" t="s">
        <v>861</v>
      </c>
      <c r="D9569" t="s">
        <v>2017</v>
      </c>
      <c r="E9569" t="s">
        <v>2777</v>
      </c>
      <c r="F9569">
        <v>16291.6</v>
      </c>
    </row>
    <row r="9570" spans="1:6">
      <c r="A9570" t="s">
        <v>27</v>
      </c>
      <c r="B9570" t="s">
        <v>234</v>
      </c>
      <c r="C9570" t="s">
        <v>861</v>
      </c>
      <c r="D9570" t="s">
        <v>2017</v>
      </c>
      <c r="E9570" t="s">
        <v>1134</v>
      </c>
      <c r="F9570">
        <v>2006</v>
      </c>
    </row>
    <row r="9571" spans="1:6">
      <c r="A9571" t="s">
        <v>27</v>
      </c>
      <c r="B9571" t="s">
        <v>234</v>
      </c>
      <c r="C9571" t="s">
        <v>861</v>
      </c>
      <c r="D9571" t="s">
        <v>2017</v>
      </c>
      <c r="E9571" t="s">
        <v>1135</v>
      </c>
      <c r="F9571">
        <v>248797.3000000009</v>
      </c>
    </row>
    <row r="9572" spans="1:6">
      <c r="A9572" t="s">
        <v>27</v>
      </c>
      <c r="B9572" t="s">
        <v>234</v>
      </c>
      <c r="C9572" t="s">
        <v>861</v>
      </c>
      <c r="D9572" t="s">
        <v>2017</v>
      </c>
      <c r="E9572" t="s">
        <v>1414</v>
      </c>
      <c r="F9572">
        <v>248373.5800000009</v>
      </c>
    </row>
    <row r="9573" spans="1:6">
      <c r="A9573" t="s">
        <v>27</v>
      </c>
      <c r="B9573" t="s">
        <v>234</v>
      </c>
      <c r="C9573" t="s">
        <v>861</v>
      </c>
      <c r="D9573" t="s">
        <v>2017</v>
      </c>
      <c r="E9573" t="s">
        <v>1530</v>
      </c>
      <c r="F9573">
        <v>248373.3600000009</v>
      </c>
    </row>
    <row r="9574" spans="1:6">
      <c r="A9574" t="s">
        <v>27</v>
      </c>
      <c r="B9574" t="s">
        <v>234</v>
      </c>
      <c r="C9574" t="s">
        <v>861</v>
      </c>
      <c r="D9574" t="s">
        <v>2017</v>
      </c>
      <c r="E9574" t="s">
        <v>1531</v>
      </c>
      <c r="F9574">
        <v>248373.3400000009</v>
      </c>
    </row>
    <row r="9575" spans="1:6">
      <c r="A9575" t="s">
        <v>27</v>
      </c>
      <c r="B9575" t="s">
        <v>234</v>
      </c>
      <c r="C9575" t="s">
        <v>861</v>
      </c>
      <c r="D9575" t="s">
        <v>2017</v>
      </c>
      <c r="E9575" t="s">
        <v>1532</v>
      </c>
      <c r="F9575">
        <v>246956.8600000009</v>
      </c>
    </row>
    <row r="9576" spans="1:6">
      <c r="A9576" t="s">
        <v>27</v>
      </c>
      <c r="B9576" t="s">
        <v>234</v>
      </c>
      <c r="C9576" t="s">
        <v>861</v>
      </c>
      <c r="D9576" t="s">
        <v>2017</v>
      </c>
      <c r="E9576" t="s">
        <v>1533</v>
      </c>
      <c r="F9576">
        <v>246956.8600000009</v>
      </c>
    </row>
    <row r="9577" spans="1:6">
      <c r="A9577" t="s">
        <v>27</v>
      </c>
      <c r="B9577" t="s">
        <v>234</v>
      </c>
      <c r="C9577" t="s">
        <v>861</v>
      </c>
      <c r="D9577" t="s">
        <v>2017</v>
      </c>
      <c r="E9577" t="s">
        <v>1534</v>
      </c>
      <c r="F9577">
        <v>245678.8000000009</v>
      </c>
    </row>
    <row r="9578" spans="1:6">
      <c r="A9578" t="s">
        <v>27</v>
      </c>
      <c r="B9578" t="s">
        <v>234</v>
      </c>
      <c r="C9578" t="s">
        <v>861</v>
      </c>
      <c r="D9578" t="s">
        <v>2017</v>
      </c>
      <c r="E9578" t="s">
        <v>1535</v>
      </c>
      <c r="F9578">
        <v>245678.8000000009</v>
      </c>
    </row>
    <row r="9579" spans="1:6">
      <c r="A9579" t="s">
        <v>27</v>
      </c>
      <c r="B9579" t="s">
        <v>234</v>
      </c>
      <c r="C9579" t="s">
        <v>861</v>
      </c>
      <c r="D9579" t="s">
        <v>2017</v>
      </c>
      <c r="E9579" t="s">
        <v>1536</v>
      </c>
      <c r="F9579">
        <v>245678.8000000009</v>
      </c>
    </row>
    <row r="9580" spans="1:6">
      <c r="A9580" t="s">
        <v>27</v>
      </c>
      <c r="B9580" t="s">
        <v>234</v>
      </c>
      <c r="C9580" t="s">
        <v>861</v>
      </c>
      <c r="D9580" t="s">
        <v>2017</v>
      </c>
      <c r="E9580" t="s">
        <v>1537</v>
      </c>
      <c r="F9580">
        <v>245414.8400000003</v>
      </c>
    </row>
    <row r="9581" spans="1:6">
      <c r="A9581" t="s">
        <v>27</v>
      </c>
      <c r="B9581" t="s">
        <v>234</v>
      </c>
      <c r="C9581" t="s">
        <v>861</v>
      </c>
      <c r="D9581" t="s">
        <v>2017</v>
      </c>
      <c r="E9581" t="s">
        <v>2173</v>
      </c>
      <c r="F9581">
        <v>244495.8600000004</v>
      </c>
    </row>
    <row r="9582" spans="1:6">
      <c r="A9582" t="s">
        <v>27</v>
      </c>
      <c r="B9582" t="s">
        <v>234</v>
      </c>
      <c r="C9582" t="s">
        <v>861</v>
      </c>
      <c r="D9582" t="s">
        <v>2017</v>
      </c>
      <c r="E9582" t="s">
        <v>2174</v>
      </c>
      <c r="F9582">
        <v>244495.8600000004</v>
      </c>
    </row>
    <row r="9583" spans="1:6">
      <c r="A9583" t="s">
        <v>27</v>
      </c>
      <c r="B9583" t="s">
        <v>234</v>
      </c>
      <c r="C9583" t="s">
        <v>861</v>
      </c>
      <c r="D9583" t="s">
        <v>2017</v>
      </c>
      <c r="E9583" t="s">
        <v>2175</v>
      </c>
      <c r="F9583">
        <v>244495.8600000006</v>
      </c>
    </row>
    <row r="9584" spans="1:6">
      <c r="A9584" t="s">
        <v>27</v>
      </c>
      <c r="B9584" t="s">
        <v>234</v>
      </c>
      <c r="C9584" t="s">
        <v>861</v>
      </c>
      <c r="D9584" t="s">
        <v>2017</v>
      </c>
      <c r="E9584" t="s">
        <v>2176</v>
      </c>
      <c r="F9584">
        <v>244495.8600000006</v>
      </c>
    </row>
    <row r="9585" spans="1:6">
      <c r="A9585" t="s">
        <v>27</v>
      </c>
      <c r="B9585" t="s">
        <v>234</v>
      </c>
      <c r="C9585" t="s">
        <v>861</v>
      </c>
      <c r="D9585" t="s">
        <v>2017</v>
      </c>
      <c r="E9585" t="s">
        <v>2177</v>
      </c>
      <c r="F9585">
        <v>244495.8600000006</v>
      </c>
    </row>
    <row r="9586" spans="1:6">
      <c r="A9586" t="s">
        <v>27</v>
      </c>
      <c r="B9586" t="s">
        <v>234</v>
      </c>
      <c r="C9586" t="s">
        <v>861</v>
      </c>
      <c r="D9586" t="s">
        <v>2017</v>
      </c>
      <c r="E9586" t="s">
        <v>2178</v>
      </c>
      <c r="F9586">
        <v>244495.8600000006</v>
      </c>
    </row>
    <row r="9587" spans="1:6">
      <c r="A9587" t="s">
        <v>27</v>
      </c>
      <c r="B9587" t="s">
        <v>234</v>
      </c>
      <c r="C9587" t="s">
        <v>861</v>
      </c>
      <c r="D9587" t="s">
        <v>2017</v>
      </c>
      <c r="E9587" t="s">
        <v>2179</v>
      </c>
      <c r="F9587">
        <v>143913.4600000003</v>
      </c>
    </row>
    <row r="9588" spans="1:6">
      <c r="A9588" t="s">
        <v>27</v>
      </c>
      <c r="B9588" t="s">
        <v>234</v>
      </c>
      <c r="C9588" t="s">
        <v>861</v>
      </c>
      <c r="D9588" t="s">
        <v>2017</v>
      </c>
      <c r="E9588" t="s">
        <v>2180</v>
      </c>
      <c r="F9588">
        <v>143447.0600000003</v>
      </c>
    </row>
    <row r="9589" spans="1:6">
      <c r="A9589" t="s">
        <v>27</v>
      </c>
      <c r="B9589" t="s">
        <v>234</v>
      </c>
      <c r="C9589" t="s">
        <v>861</v>
      </c>
      <c r="D9589" t="s">
        <v>2017</v>
      </c>
      <c r="E9589" t="s">
        <v>2778</v>
      </c>
      <c r="F9589">
        <v>143374.8900000003</v>
      </c>
    </row>
    <row r="9590" spans="1:6">
      <c r="A9590" t="s">
        <v>27</v>
      </c>
      <c r="B9590" t="s">
        <v>234</v>
      </c>
      <c r="C9590" t="s">
        <v>861</v>
      </c>
      <c r="D9590" t="s">
        <v>2017</v>
      </c>
      <c r="E9590" t="s">
        <v>2779</v>
      </c>
      <c r="F9590">
        <v>143374.8900000003</v>
      </c>
    </row>
    <row r="9591" spans="1:6">
      <c r="A9591" t="s">
        <v>27</v>
      </c>
      <c r="B9591" t="s">
        <v>234</v>
      </c>
      <c r="C9591" t="s">
        <v>861</v>
      </c>
      <c r="D9591" t="s">
        <v>2017</v>
      </c>
      <c r="E9591" t="s">
        <v>2780</v>
      </c>
      <c r="F9591">
        <v>143268.4900000003</v>
      </c>
    </row>
    <row r="9592" spans="1:6">
      <c r="A9592" t="s">
        <v>27</v>
      </c>
      <c r="B9592" t="s">
        <v>234</v>
      </c>
      <c r="C9592" t="s">
        <v>861</v>
      </c>
      <c r="D9592" t="s">
        <v>2017</v>
      </c>
      <c r="E9592" t="s">
        <v>1297</v>
      </c>
      <c r="F9592">
        <v>2007</v>
      </c>
    </row>
    <row r="9593" spans="1:6">
      <c r="A9593" t="s">
        <v>27</v>
      </c>
      <c r="B9593" t="s">
        <v>234</v>
      </c>
      <c r="C9593" t="s">
        <v>861</v>
      </c>
      <c r="D9593" t="s">
        <v>2017</v>
      </c>
      <c r="E9593" t="s">
        <v>1364</v>
      </c>
      <c r="F9593">
        <v>1090916.270000001</v>
      </c>
    </row>
    <row r="9594" spans="1:6">
      <c r="A9594" t="s">
        <v>27</v>
      </c>
      <c r="B9594" t="s">
        <v>234</v>
      </c>
      <c r="C9594" t="s">
        <v>861</v>
      </c>
      <c r="D9594" t="s">
        <v>2017</v>
      </c>
      <c r="E9594" t="s">
        <v>1365</v>
      </c>
      <c r="F9594">
        <v>1090411.660000001</v>
      </c>
    </row>
    <row r="9595" spans="1:6">
      <c r="A9595" t="s">
        <v>27</v>
      </c>
      <c r="B9595" t="s">
        <v>234</v>
      </c>
      <c r="C9595" t="s">
        <v>861</v>
      </c>
      <c r="D9595" t="s">
        <v>2017</v>
      </c>
      <c r="E9595" t="s">
        <v>1366</v>
      </c>
      <c r="F9595">
        <v>1090410.930000001</v>
      </c>
    </row>
    <row r="9596" spans="1:6">
      <c r="A9596" t="s">
        <v>27</v>
      </c>
      <c r="B9596" t="s">
        <v>234</v>
      </c>
      <c r="C9596" t="s">
        <v>861</v>
      </c>
      <c r="D9596" t="s">
        <v>2017</v>
      </c>
      <c r="E9596" t="s">
        <v>1367</v>
      </c>
      <c r="F9596">
        <v>1090260.290000001</v>
      </c>
    </row>
    <row r="9597" spans="1:6">
      <c r="A9597" t="s">
        <v>27</v>
      </c>
      <c r="B9597" t="s">
        <v>234</v>
      </c>
      <c r="C9597" t="s">
        <v>861</v>
      </c>
      <c r="D9597" t="s">
        <v>2017</v>
      </c>
      <c r="E9597" t="s">
        <v>1368</v>
      </c>
      <c r="F9597">
        <v>1026522.070000001</v>
      </c>
    </row>
    <row r="9598" spans="1:6">
      <c r="A9598" t="s">
        <v>27</v>
      </c>
      <c r="B9598" t="s">
        <v>234</v>
      </c>
      <c r="C9598" t="s">
        <v>861</v>
      </c>
      <c r="D9598" t="s">
        <v>2017</v>
      </c>
      <c r="E9598" t="s">
        <v>1369</v>
      </c>
      <c r="F9598">
        <v>1026522.070000001</v>
      </c>
    </row>
    <row r="9599" spans="1:6">
      <c r="A9599" t="s">
        <v>27</v>
      </c>
      <c r="B9599" t="s">
        <v>234</v>
      </c>
      <c r="C9599" t="s">
        <v>861</v>
      </c>
      <c r="D9599" t="s">
        <v>2017</v>
      </c>
      <c r="E9599" t="s">
        <v>1370</v>
      </c>
      <c r="F9599">
        <v>1025914.750000001</v>
      </c>
    </row>
    <row r="9600" spans="1:6">
      <c r="A9600" t="s">
        <v>27</v>
      </c>
      <c r="B9600" t="s">
        <v>234</v>
      </c>
      <c r="C9600" t="s">
        <v>861</v>
      </c>
      <c r="D9600" t="s">
        <v>2017</v>
      </c>
      <c r="E9600" t="s">
        <v>1371</v>
      </c>
      <c r="F9600">
        <v>1023692.800000001</v>
      </c>
    </row>
    <row r="9601" spans="1:6">
      <c r="A9601" t="s">
        <v>27</v>
      </c>
      <c r="B9601" t="s">
        <v>234</v>
      </c>
      <c r="C9601" t="s">
        <v>861</v>
      </c>
      <c r="D9601" t="s">
        <v>2017</v>
      </c>
      <c r="E9601" t="s">
        <v>1372</v>
      </c>
      <c r="F9601">
        <v>1023132.060000001</v>
      </c>
    </row>
    <row r="9602" spans="1:6">
      <c r="A9602" t="s">
        <v>27</v>
      </c>
      <c r="B9602" t="s">
        <v>234</v>
      </c>
      <c r="C9602" t="s">
        <v>861</v>
      </c>
      <c r="D9602" t="s">
        <v>2017</v>
      </c>
      <c r="E9602" t="s">
        <v>1373</v>
      </c>
      <c r="F9602">
        <v>1020672.08</v>
      </c>
    </row>
    <row r="9603" spans="1:6">
      <c r="A9603" t="s">
        <v>27</v>
      </c>
      <c r="B9603" t="s">
        <v>234</v>
      </c>
      <c r="C9603" t="s">
        <v>861</v>
      </c>
      <c r="D9603" t="s">
        <v>2017</v>
      </c>
      <c r="E9603" t="s">
        <v>2181</v>
      </c>
      <c r="F9603">
        <v>1008286.3</v>
      </c>
    </row>
    <row r="9604" spans="1:6">
      <c r="A9604" t="s">
        <v>27</v>
      </c>
      <c r="B9604" t="s">
        <v>234</v>
      </c>
      <c r="C9604" t="s">
        <v>861</v>
      </c>
      <c r="D9604" t="s">
        <v>2017</v>
      </c>
      <c r="E9604" t="s">
        <v>2182</v>
      </c>
      <c r="F9604">
        <v>1006805.55</v>
      </c>
    </row>
    <row r="9605" spans="1:6">
      <c r="A9605" t="s">
        <v>27</v>
      </c>
      <c r="B9605" t="s">
        <v>234</v>
      </c>
      <c r="C9605" t="s">
        <v>861</v>
      </c>
      <c r="D9605" t="s">
        <v>2017</v>
      </c>
      <c r="E9605" t="s">
        <v>2183</v>
      </c>
      <c r="F9605">
        <v>1006815.270000005</v>
      </c>
    </row>
    <row r="9606" spans="1:6">
      <c r="A9606" t="s">
        <v>27</v>
      </c>
      <c r="B9606" t="s">
        <v>234</v>
      </c>
      <c r="C9606" t="s">
        <v>861</v>
      </c>
      <c r="D9606" t="s">
        <v>2017</v>
      </c>
      <c r="E9606" t="s">
        <v>2184</v>
      </c>
      <c r="F9606">
        <v>1006765.010000005</v>
      </c>
    </row>
    <row r="9607" spans="1:6">
      <c r="A9607" t="s">
        <v>27</v>
      </c>
      <c r="B9607" t="s">
        <v>234</v>
      </c>
      <c r="C9607" t="s">
        <v>861</v>
      </c>
      <c r="D9607" t="s">
        <v>2017</v>
      </c>
      <c r="E9607" t="s">
        <v>2185</v>
      </c>
      <c r="F9607">
        <v>1005880.630000005</v>
      </c>
    </row>
    <row r="9608" spans="1:6">
      <c r="A9608" t="s">
        <v>27</v>
      </c>
      <c r="B9608" t="s">
        <v>234</v>
      </c>
      <c r="C9608" t="s">
        <v>861</v>
      </c>
      <c r="D9608" t="s">
        <v>2017</v>
      </c>
      <c r="E9608" t="s">
        <v>2186</v>
      </c>
      <c r="F9608">
        <v>1005524.800000005</v>
      </c>
    </row>
    <row r="9609" spans="1:6">
      <c r="A9609" t="s">
        <v>27</v>
      </c>
      <c r="B9609" t="s">
        <v>234</v>
      </c>
      <c r="C9609" t="s">
        <v>861</v>
      </c>
      <c r="D9609" t="s">
        <v>2017</v>
      </c>
      <c r="E9609" t="s">
        <v>2187</v>
      </c>
      <c r="F9609">
        <v>674011.5700000048</v>
      </c>
    </row>
    <row r="9610" spans="1:6">
      <c r="A9610" t="s">
        <v>27</v>
      </c>
      <c r="B9610" t="s">
        <v>234</v>
      </c>
      <c r="C9610" t="s">
        <v>861</v>
      </c>
      <c r="D9610" t="s">
        <v>2017</v>
      </c>
      <c r="E9610" t="s">
        <v>1581</v>
      </c>
      <c r="F9610">
        <v>669872.0600000048</v>
      </c>
    </row>
    <row r="9611" spans="1:6">
      <c r="A9611" t="s">
        <v>27</v>
      </c>
      <c r="B9611" t="s">
        <v>234</v>
      </c>
      <c r="C9611" t="s">
        <v>861</v>
      </c>
      <c r="D9611" t="s">
        <v>2017</v>
      </c>
      <c r="E9611" t="s">
        <v>2781</v>
      </c>
      <c r="F9611">
        <v>662951.9800000049</v>
      </c>
    </row>
    <row r="9612" spans="1:6">
      <c r="A9612" t="s">
        <v>27</v>
      </c>
      <c r="B9612" t="s">
        <v>234</v>
      </c>
      <c r="C9612" t="s">
        <v>861</v>
      </c>
      <c r="D9612" t="s">
        <v>2017</v>
      </c>
      <c r="E9612" t="s">
        <v>2782</v>
      </c>
      <c r="F9612">
        <v>662412.1300000048</v>
      </c>
    </row>
    <row r="9613" spans="1:6">
      <c r="A9613" t="s">
        <v>27</v>
      </c>
      <c r="B9613" t="s">
        <v>234</v>
      </c>
      <c r="C9613" t="s">
        <v>861</v>
      </c>
      <c r="D9613" t="s">
        <v>2017</v>
      </c>
      <c r="E9613" t="s">
        <v>2783</v>
      </c>
      <c r="F9613">
        <v>661326.8100000047</v>
      </c>
    </row>
    <row r="9614" spans="1:6">
      <c r="A9614" t="s">
        <v>27</v>
      </c>
      <c r="B9614" t="s">
        <v>234</v>
      </c>
      <c r="C9614" t="s">
        <v>861</v>
      </c>
      <c r="D9614" t="s">
        <v>2017</v>
      </c>
      <c r="E9614" t="s">
        <v>1078</v>
      </c>
      <c r="F9614">
        <v>2008</v>
      </c>
    </row>
    <row r="9615" spans="1:6">
      <c r="A9615" t="s">
        <v>27</v>
      </c>
      <c r="B9615" t="s">
        <v>234</v>
      </c>
      <c r="C9615" t="s">
        <v>861</v>
      </c>
      <c r="D9615" t="s">
        <v>2017</v>
      </c>
      <c r="E9615" t="s">
        <v>1079</v>
      </c>
      <c r="F9615">
        <v>1479550.250000006</v>
      </c>
    </row>
    <row r="9616" spans="1:6">
      <c r="A9616" t="s">
        <v>27</v>
      </c>
      <c r="B9616" t="s">
        <v>234</v>
      </c>
      <c r="C9616" t="s">
        <v>861</v>
      </c>
      <c r="D9616" t="s">
        <v>2017</v>
      </c>
      <c r="E9616" t="s">
        <v>1080</v>
      </c>
      <c r="F9616">
        <v>1472733.400000005</v>
      </c>
    </row>
    <row r="9617" spans="1:6">
      <c r="A9617" t="s">
        <v>27</v>
      </c>
      <c r="B9617" t="s">
        <v>234</v>
      </c>
      <c r="C9617" t="s">
        <v>861</v>
      </c>
      <c r="D9617" t="s">
        <v>2017</v>
      </c>
      <c r="E9617" t="s">
        <v>1081</v>
      </c>
      <c r="F9617">
        <v>1472731.210000006</v>
      </c>
    </row>
    <row r="9618" spans="1:6">
      <c r="A9618" t="s">
        <v>27</v>
      </c>
      <c r="B9618" t="s">
        <v>234</v>
      </c>
      <c r="C9618" t="s">
        <v>861</v>
      </c>
      <c r="D9618" t="s">
        <v>2017</v>
      </c>
      <c r="E9618" t="s">
        <v>1082</v>
      </c>
      <c r="F9618">
        <v>1472719.900000005</v>
      </c>
    </row>
    <row r="9619" spans="1:6">
      <c r="A9619" t="s">
        <v>27</v>
      </c>
      <c r="B9619" t="s">
        <v>234</v>
      </c>
      <c r="C9619" t="s">
        <v>861</v>
      </c>
      <c r="D9619" t="s">
        <v>2017</v>
      </c>
      <c r="E9619" t="s">
        <v>1083</v>
      </c>
      <c r="F9619">
        <v>1455714.380000005</v>
      </c>
    </row>
    <row r="9620" spans="1:6">
      <c r="A9620" t="s">
        <v>27</v>
      </c>
      <c r="B9620" t="s">
        <v>234</v>
      </c>
      <c r="C9620" t="s">
        <v>861</v>
      </c>
      <c r="D9620" t="s">
        <v>2017</v>
      </c>
      <c r="E9620" t="s">
        <v>1084</v>
      </c>
      <c r="F9620">
        <v>1455572.350000005</v>
      </c>
    </row>
    <row r="9621" spans="1:6">
      <c r="A9621" t="s">
        <v>27</v>
      </c>
      <c r="B9621" t="s">
        <v>234</v>
      </c>
      <c r="C9621" t="s">
        <v>861</v>
      </c>
      <c r="D9621" t="s">
        <v>2017</v>
      </c>
      <c r="E9621" t="s">
        <v>1085</v>
      </c>
      <c r="F9621">
        <v>1447842.540000005</v>
      </c>
    </row>
    <row r="9622" spans="1:6">
      <c r="A9622" t="s">
        <v>27</v>
      </c>
      <c r="B9622" t="s">
        <v>234</v>
      </c>
      <c r="C9622" t="s">
        <v>861</v>
      </c>
      <c r="D9622" t="s">
        <v>2017</v>
      </c>
      <c r="E9622" t="s">
        <v>1086</v>
      </c>
      <c r="F9622">
        <v>1444904.490000005</v>
      </c>
    </row>
    <row r="9623" spans="1:6">
      <c r="A9623" t="s">
        <v>27</v>
      </c>
      <c r="B9623" t="s">
        <v>234</v>
      </c>
      <c r="C9623" t="s">
        <v>861</v>
      </c>
      <c r="D9623" t="s">
        <v>2017</v>
      </c>
      <c r="E9623" t="s">
        <v>1087</v>
      </c>
      <c r="F9623">
        <v>1434102.560000005</v>
      </c>
    </row>
    <row r="9624" spans="1:6">
      <c r="A9624" t="s">
        <v>27</v>
      </c>
      <c r="B9624" t="s">
        <v>234</v>
      </c>
      <c r="C9624" t="s">
        <v>861</v>
      </c>
      <c r="D9624" t="s">
        <v>2017</v>
      </c>
      <c r="E9624" t="s">
        <v>1088</v>
      </c>
      <c r="F9624">
        <v>1405416.829999988</v>
      </c>
    </row>
    <row r="9625" spans="1:6">
      <c r="A9625" t="s">
        <v>27</v>
      </c>
      <c r="B9625" t="s">
        <v>234</v>
      </c>
      <c r="C9625" t="s">
        <v>861</v>
      </c>
      <c r="D9625" t="s">
        <v>2017</v>
      </c>
      <c r="E9625" t="s">
        <v>2188</v>
      </c>
      <c r="F9625">
        <v>1381908.489999988</v>
      </c>
    </row>
    <row r="9626" spans="1:6">
      <c r="A9626" t="s">
        <v>27</v>
      </c>
      <c r="B9626" t="s">
        <v>234</v>
      </c>
      <c r="C9626" t="s">
        <v>861</v>
      </c>
      <c r="D9626" t="s">
        <v>2017</v>
      </c>
      <c r="E9626" t="s">
        <v>2189</v>
      </c>
      <c r="F9626">
        <v>1374658.139999988</v>
      </c>
    </row>
    <row r="9627" spans="1:6">
      <c r="A9627" t="s">
        <v>27</v>
      </c>
      <c r="B9627" t="s">
        <v>234</v>
      </c>
      <c r="C9627" t="s">
        <v>861</v>
      </c>
      <c r="D9627" t="s">
        <v>2017</v>
      </c>
      <c r="E9627" t="s">
        <v>2190</v>
      </c>
      <c r="F9627">
        <v>1372309.069999986</v>
      </c>
    </row>
    <row r="9628" spans="1:6">
      <c r="A9628" t="s">
        <v>27</v>
      </c>
      <c r="B9628" t="s">
        <v>234</v>
      </c>
      <c r="C9628" t="s">
        <v>861</v>
      </c>
      <c r="D9628" t="s">
        <v>2017</v>
      </c>
      <c r="E9628" t="s">
        <v>2191</v>
      </c>
      <c r="F9628">
        <v>1371430.519999987</v>
      </c>
    </row>
    <row r="9629" spans="1:6">
      <c r="A9629" t="s">
        <v>27</v>
      </c>
      <c r="B9629" t="s">
        <v>234</v>
      </c>
      <c r="C9629" t="s">
        <v>861</v>
      </c>
      <c r="D9629" t="s">
        <v>2017</v>
      </c>
      <c r="E9629" t="s">
        <v>2192</v>
      </c>
      <c r="F9629">
        <v>1369870.159999986</v>
      </c>
    </row>
    <row r="9630" spans="1:6">
      <c r="A9630" t="s">
        <v>27</v>
      </c>
      <c r="B9630" t="s">
        <v>234</v>
      </c>
      <c r="C9630" t="s">
        <v>861</v>
      </c>
      <c r="D9630" t="s">
        <v>2017</v>
      </c>
      <c r="E9630" t="s">
        <v>2193</v>
      </c>
      <c r="F9630">
        <v>1370171.799999986</v>
      </c>
    </row>
    <row r="9631" spans="1:6">
      <c r="A9631" t="s">
        <v>27</v>
      </c>
      <c r="B9631" t="s">
        <v>234</v>
      </c>
      <c r="C9631" t="s">
        <v>861</v>
      </c>
      <c r="D9631" t="s">
        <v>2017</v>
      </c>
      <c r="E9631" t="s">
        <v>2194</v>
      </c>
      <c r="F9631">
        <v>535666.2699999979</v>
      </c>
    </row>
    <row r="9632" spans="1:6">
      <c r="A9632" t="s">
        <v>27</v>
      </c>
      <c r="B9632" t="s">
        <v>234</v>
      </c>
      <c r="C9632" t="s">
        <v>861</v>
      </c>
      <c r="D9632" t="s">
        <v>2017</v>
      </c>
      <c r="E9632" t="s">
        <v>2195</v>
      </c>
      <c r="F9632">
        <v>532396.829999998</v>
      </c>
    </row>
    <row r="9633" spans="1:6">
      <c r="A9633" t="s">
        <v>27</v>
      </c>
      <c r="B9633" t="s">
        <v>234</v>
      </c>
      <c r="C9633" t="s">
        <v>861</v>
      </c>
      <c r="D9633" t="s">
        <v>2017</v>
      </c>
      <c r="E9633" t="s">
        <v>2784</v>
      </c>
      <c r="F9633">
        <v>526861.7599999979</v>
      </c>
    </row>
    <row r="9634" spans="1:6">
      <c r="A9634" t="s">
        <v>27</v>
      </c>
      <c r="B9634" t="s">
        <v>234</v>
      </c>
      <c r="C9634" t="s">
        <v>861</v>
      </c>
      <c r="D9634" t="s">
        <v>2017</v>
      </c>
      <c r="E9634" t="s">
        <v>2785</v>
      </c>
      <c r="F9634">
        <v>524351.619999998</v>
      </c>
    </row>
    <row r="9635" spans="1:6">
      <c r="A9635" t="s">
        <v>27</v>
      </c>
      <c r="B9635" t="s">
        <v>234</v>
      </c>
      <c r="C9635" t="s">
        <v>861</v>
      </c>
      <c r="D9635" t="s">
        <v>2017</v>
      </c>
      <c r="E9635" t="s">
        <v>2786</v>
      </c>
      <c r="F9635">
        <v>519203.0899999979</v>
      </c>
    </row>
    <row r="9636" spans="1:6">
      <c r="A9636" t="s">
        <v>27</v>
      </c>
      <c r="B9636" t="s">
        <v>234</v>
      </c>
      <c r="C9636" t="s">
        <v>861</v>
      </c>
      <c r="D9636" t="s">
        <v>2017</v>
      </c>
      <c r="E9636" t="s">
        <v>1140</v>
      </c>
      <c r="F9636">
        <v>2009</v>
      </c>
    </row>
    <row r="9637" spans="1:6">
      <c r="A9637" t="s">
        <v>27</v>
      </c>
      <c r="B9637" t="s">
        <v>234</v>
      </c>
      <c r="C9637" t="s">
        <v>861</v>
      </c>
      <c r="D9637" t="s">
        <v>2017</v>
      </c>
      <c r="E9637" t="s">
        <v>1141</v>
      </c>
      <c r="F9637">
        <v>1293406.700000012</v>
      </c>
    </row>
    <row r="9638" spans="1:6">
      <c r="A9638" t="s">
        <v>27</v>
      </c>
      <c r="B9638" t="s">
        <v>234</v>
      </c>
      <c r="C9638" t="s">
        <v>861</v>
      </c>
      <c r="D9638" t="s">
        <v>2017</v>
      </c>
      <c r="E9638" t="s">
        <v>1423</v>
      </c>
      <c r="F9638">
        <v>1289753.610000012</v>
      </c>
    </row>
    <row r="9639" spans="1:6">
      <c r="A9639" t="s">
        <v>27</v>
      </c>
      <c r="B9639" t="s">
        <v>234</v>
      </c>
      <c r="C9639" t="s">
        <v>861</v>
      </c>
      <c r="D9639" t="s">
        <v>2017</v>
      </c>
      <c r="E9639" t="s">
        <v>1538</v>
      </c>
      <c r="F9639">
        <v>1289687.630000012</v>
      </c>
    </row>
    <row r="9640" spans="1:6">
      <c r="A9640" t="s">
        <v>27</v>
      </c>
      <c r="B9640" t="s">
        <v>234</v>
      </c>
      <c r="C9640" t="s">
        <v>861</v>
      </c>
      <c r="D9640" t="s">
        <v>2017</v>
      </c>
      <c r="E9640" t="s">
        <v>1539</v>
      </c>
      <c r="F9640">
        <v>1289588.570000012</v>
      </c>
    </row>
    <row r="9641" spans="1:6">
      <c r="A9641" t="s">
        <v>27</v>
      </c>
      <c r="B9641" t="s">
        <v>234</v>
      </c>
      <c r="C9641" t="s">
        <v>861</v>
      </c>
      <c r="D9641" t="s">
        <v>2017</v>
      </c>
      <c r="E9641" t="s">
        <v>1540</v>
      </c>
      <c r="F9641">
        <v>1281812.010000012</v>
      </c>
    </row>
    <row r="9642" spans="1:6">
      <c r="A9642" t="s">
        <v>27</v>
      </c>
      <c r="B9642" t="s">
        <v>234</v>
      </c>
      <c r="C9642" t="s">
        <v>861</v>
      </c>
      <c r="D9642" t="s">
        <v>2017</v>
      </c>
      <c r="E9642" t="s">
        <v>1541</v>
      </c>
      <c r="F9642">
        <v>1281555.190000012</v>
      </c>
    </row>
    <row r="9643" spans="1:6">
      <c r="A9643" t="s">
        <v>27</v>
      </c>
      <c r="B9643" t="s">
        <v>234</v>
      </c>
      <c r="C9643" t="s">
        <v>861</v>
      </c>
      <c r="D9643" t="s">
        <v>2017</v>
      </c>
      <c r="E9643" t="s">
        <v>1542</v>
      </c>
      <c r="F9643">
        <v>1273008.500000012</v>
      </c>
    </row>
    <row r="9644" spans="1:6">
      <c r="A9644" t="s">
        <v>27</v>
      </c>
      <c r="B9644" t="s">
        <v>234</v>
      </c>
      <c r="C9644" t="s">
        <v>861</v>
      </c>
      <c r="D9644" t="s">
        <v>2017</v>
      </c>
      <c r="E9644" t="s">
        <v>1543</v>
      </c>
      <c r="F9644">
        <v>1271329.610000012</v>
      </c>
    </row>
    <row r="9645" spans="1:6">
      <c r="A9645" t="s">
        <v>27</v>
      </c>
      <c r="B9645" t="s">
        <v>234</v>
      </c>
      <c r="C9645" t="s">
        <v>861</v>
      </c>
      <c r="D9645" t="s">
        <v>2017</v>
      </c>
      <c r="E9645" t="s">
        <v>1544</v>
      </c>
      <c r="F9645">
        <v>1270351.530000012</v>
      </c>
    </row>
    <row r="9646" spans="1:6">
      <c r="A9646" t="s">
        <v>27</v>
      </c>
      <c r="B9646" t="s">
        <v>234</v>
      </c>
      <c r="C9646" t="s">
        <v>861</v>
      </c>
      <c r="D9646" t="s">
        <v>2017</v>
      </c>
      <c r="E9646" t="s">
        <v>1545</v>
      </c>
      <c r="F9646">
        <v>1252552.239999998</v>
      </c>
    </row>
    <row r="9647" spans="1:6">
      <c r="A9647" t="s">
        <v>27</v>
      </c>
      <c r="B9647" t="s">
        <v>234</v>
      </c>
      <c r="C9647" t="s">
        <v>861</v>
      </c>
      <c r="D9647" t="s">
        <v>2017</v>
      </c>
      <c r="E9647" t="s">
        <v>2196</v>
      </c>
      <c r="F9647">
        <v>1234675.589999999</v>
      </c>
    </row>
    <row r="9648" spans="1:6">
      <c r="A9648" t="s">
        <v>27</v>
      </c>
      <c r="B9648" t="s">
        <v>234</v>
      </c>
      <c r="C9648" t="s">
        <v>861</v>
      </c>
      <c r="D9648" t="s">
        <v>2017</v>
      </c>
      <c r="E9648" t="s">
        <v>2197</v>
      </c>
      <c r="F9648">
        <v>1226175.079999999</v>
      </c>
    </row>
    <row r="9649" spans="1:6">
      <c r="A9649" t="s">
        <v>27</v>
      </c>
      <c r="B9649" t="s">
        <v>234</v>
      </c>
      <c r="C9649" t="s">
        <v>861</v>
      </c>
      <c r="D9649" t="s">
        <v>2017</v>
      </c>
      <c r="E9649" t="s">
        <v>2198</v>
      </c>
      <c r="F9649">
        <v>1222968.590000003</v>
      </c>
    </row>
    <row r="9650" spans="1:6">
      <c r="A9650" t="s">
        <v>27</v>
      </c>
      <c r="B9650" t="s">
        <v>234</v>
      </c>
      <c r="C9650" t="s">
        <v>861</v>
      </c>
      <c r="D9650" t="s">
        <v>2017</v>
      </c>
      <c r="E9650" t="s">
        <v>2199</v>
      </c>
      <c r="F9650">
        <v>1222291.460000003</v>
      </c>
    </row>
    <row r="9651" spans="1:6">
      <c r="A9651" t="s">
        <v>27</v>
      </c>
      <c r="B9651" t="s">
        <v>234</v>
      </c>
      <c r="C9651" t="s">
        <v>861</v>
      </c>
      <c r="D9651" t="s">
        <v>2017</v>
      </c>
      <c r="E9651" t="s">
        <v>2200</v>
      </c>
      <c r="F9651">
        <v>1220445.620000003</v>
      </c>
    </row>
    <row r="9652" spans="1:6">
      <c r="A9652" t="s">
        <v>27</v>
      </c>
      <c r="B9652" t="s">
        <v>234</v>
      </c>
      <c r="C9652" t="s">
        <v>861</v>
      </c>
      <c r="D9652" t="s">
        <v>2017</v>
      </c>
      <c r="E9652" t="s">
        <v>2201</v>
      </c>
      <c r="F9652">
        <v>1220147.090000003</v>
      </c>
    </row>
    <row r="9653" spans="1:6">
      <c r="A9653" t="s">
        <v>27</v>
      </c>
      <c r="B9653" t="s">
        <v>234</v>
      </c>
      <c r="C9653" t="s">
        <v>861</v>
      </c>
      <c r="D9653" t="s">
        <v>2017</v>
      </c>
      <c r="E9653" t="s">
        <v>2202</v>
      </c>
      <c r="F9653">
        <v>660251.4800000041</v>
      </c>
    </row>
    <row r="9654" spans="1:6">
      <c r="A9654" t="s">
        <v>27</v>
      </c>
      <c r="B9654" t="s">
        <v>234</v>
      </c>
      <c r="C9654" t="s">
        <v>861</v>
      </c>
      <c r="D9654" t="s">
        <v>2017</v>
      </c>
      <c r="E9654" t="s">
        <v>2203</v>
      </c>
      <c r="F9654">
        <v>654096.840000004</v>
      </c>
    </row>
    <row r="9655" spans="1:6">
      <c r="A9655" t="s">
        <v>27</v>
      </c>
      <c r="B9655" t="s">
        <v>234</v>
      </c>
      <c r="C9655" t="s">
        <v>861</v>
      </c>
      <c r="D9655" t="s">
        <v>2017</v>
      </c>
      <c r="E9655" t="s">
        <v>2787</v>
      </c>
      <c r="F9655">
        <v>622922.5500000041</v>
      </c>
    </row>
    <row r="9656" spans="1:6">
      <c r="A9656" t="s">
        <v>27</v>
      </c>
      <c r="B9656" t="s">
        <v>234</v>
      </c>
      <c r="C9656" t="s">
        <v>861</v>
      </c>
      <c r="D9656" t="s">
        <v>2017</v>
      </c>
      <c r="E9656" t="s">
        <v>2788</v>
      </c>
      <c r="F9656">
        <v>622396.330000004</v>
      </c>
    </row>
    <row r="9657" spans="1:6">
      <c r="A9657" t="s">
        <v>27</v>
      </c>
      <c r="B9657" t="s">
        <v>234</v>
      </c>
      <c r="C9657" t="s">
        <v>861</v>
      </c>
      <c r="D9657" t="s">
        <v>2017</v>
      </c>
      <c r="E9657" t="s">
        <v>2789</v>
      </c>
      <c r="F9657">
        <v>620292.5400000043</v>
      </c>
    </row>
    <row r="9658" spans="1:6">
      <c r="A9658" t="s">
        <v>27</v>
      </c>
      <c r="B9658" t="s">
        <v>234</v>
      </c>
      <c r="C9658" t="s">
        <v>861</v>
      </c>
      <c r="D9658" t="s">
        <v>2017</v>
      </c>
      <c r="E9658" t="s">
        <v>1300</v>
      </c>
      <c r="F9658">
        <v>2010</v>
      </c>
    </row>
    <row r="9659" spans="1:6">
      <c r="A9659" t="s">
        <v>27</v>
      </c>
      <c r="B9659" t="s">
        <v>234</v>
      </c>
      <c r="C9659" t="s">
        <v>861</v>
      </c>
      <c r="D9659" t="s">
        <v>2017</v>
      </c>
      <c r="E9659" t="s">
        <v>1426</v>
      </c>
      <c r="F9659">
        <v>1608612.390000062</v>
      </c>
    </row>
    <row r="9660" spans="1:6">
      <c r="A9660" t="s">
        <v>27</v>
      </c>
      <c r="B9660" t="s">
        <v>234</v>
      </c>
      <c r="C9660" t="s">
        <v>861</v>
      </c>
      <c r="D9660" t="s">
        <v>2017</v>
      </c>
      <c r="E9660" t="s">
        <v>1400</v>
      </c>
      <c r="F9660">
        <v>1606392.070000062</v>
      </c>
    </row>
    <row r="9661" spans="1:6">
      <c r="A9661" t="s">
        <v>27</v>
      </c>
      <c r="B9661" t="s">
        <v>234</v>
      </c>
      <c r="C9661" t="s">
        <v>861</v>
      </c>
      <c r="D9661" t="s">
        <v>2017</v>
      </c>
      <c r="E9661" t="s">
        <v>1846</v>
      </c>
      <c r="F9661">
        <v>1606064.210000062</v>
      </c>
    </row>
    <row r="9662" spans="1:6">
      <c r="A9662" t="s">
        <v>27</v>
      </c>
      <c r="B9662" t="s">
        <v>234</v>
      </c>
      <c r="C9662" t="s">
        <v>861</v>
      </c>
      <c r="D9662" t="s">
        <v>2017</v>
      </c>
      <c r="E9662" t="s">
        <v>1847</v>
      </c>
      <c r="F9662">
        <v>1605714.810000062</v>
      </c>
    </row>
    <row r="9663" spans="1:6">
      <c r="A9663" t="s">
        <v>27</v>
      </c>
      <c r="B9663" t="s">
        <v>234</v>
      </c>
      <c r="C9663" t="s">
        <v>861</v>
      </c>
      <c r="D9663" t="s">
        <v>2017</v>
      </c>
      <c r="E9663" t="s">
        <v>1848</v>
      </c>
      <c r="F9663">
        <v>1586092.540000062</v>
      </c>
    </row>
    <row r="9664" spans="1:6">
      <c r="A9664" t="s">
        <v>27</v>
      </c>
      <c r="B9664" t="s">
        <v>234</v>
      </c>
      <c r="C9664" t="s">
        <v>861</v>
      </c>
      <c r="D9664" t="s">
        <v>2017</v>
      </c>
      <c r="E9664" t="s">
        <v>1796</v>
      </c>
      <c r="F9664">
        <v>1585947.960000062</v>
      </c>
    </row>
    <row r="9665" spans="1:6">
      <c r="A9665" t="s">
        <v>27</v>
      </c>
      <c r="B9665" t="s">
        <v>234</v>
      </c>
      <c r="C9665" t="s">
        <v>861</v>
      </c>
      <c r="D9665" t="s">
        <v>2017</v>
      </c>
      <c r="E9665" t="s">
        <v>1797</v>
      </c>
      <c r="F9665">
        <v>1578408.750000062</v>
      </c>
    </row>
    <row r="9666" spans="1:6">
      <c r="A9666" t="s">
        <v>27</v>
      </c>
      <c r="B9666" t="s">
        <v>234</v>
      </c>
      <c r="C9666" t="s">
        <v>861</v>
      </c>
      <c r="D9666" t="s">
        <v>2017</v>
      </c>
      <c r="E9666" t="s">
        <v>1582</v>
      </c>
      <c r="F9666">
        <v>1575785.750000062</v>
      </c>
    </row>
    <row r="9667" spans="1:6">
      <c r="A9667" t="s">
        <v>27</v>
      </c>
      <c r="B9667" t="s">
        <v>234</v>
      </c>
      <c r="C9667" t="s">
        <v>861</v>
      </c>
      <c r="D9667" t="s">
        <v>2017</v>
      </c>
      <c r="E9667" t="s">
        <v>1584</v>
      </c>
      <c r="F9667">
        <v>1574535.710000062</v>
      </c>
    </row>
    <row r="9668" spans="1:6">
      <c r="A9668" t="s">
        <v>27</v>
      </c>
      <c r="B9668" t="s">
        <v>234</v>
      </c>
      <c r="C9668" t="s">
        <v>861</v>
      </c>
      <c r="D9668" t="s">
        <v>2017</v>
      </c>
      <c r="E9668" t="s">
        <v>1586</v>
      </c>
      <c r="F9668">
        <v>1549769.059999999</v>
      </c>
    </row>
    <row r="9669" spans="1:6">
      <c r="A9669" t="s">
        <v>27</v>
      </c>
      <c r="B9669" t="s">
        <v>234</v>
      </c>
      <c r="C9669" t="s">
        <v>861</v>
      </c>
      <c r="D9669" t="s">
        <v>2017</v>
      </c>
      <c r="E9669" t="s">
        <v>1588</v>
      </c>
      <c r="F9669">
        <v>1526170.329999999</v>
      </c>
    </row>
    <row r="9670" spans="1:6">
      <c r="A9670" t="s">
        <v>27</v>
      </c>
      <c r="B9670" t="s">
        <v>234</v>
      </c>
      <c r="C9670" t="s">
        <v>861</v>
      </c>
      <c r="D9670" t="s">
        <v>2017</v>
      </c>
      <c r="E9670" t="s">
        <v>1590</v>
      </c>
      <c r="F9670">
        <v>1518925.419999999</v>
      </c>
    </row>
    <row r="9671" spans="1:6">
      <c r="A9671" t="s">
        <v>27</v>
      </c>
      <c r="B9671" t="s">
        <v>234</v>
      </c>
      <c r="C9671" t="s">
        <v>861</v>
      </c>
      <c r="D9671" t="s">
        <v>2017</v>
      </c>
      <c r="E9671" t="s">
        <v>1592</v>
      </c>
      <c r="F9671">
        <v>1516853.870000044</v>
      </c>
    </row>
    <row r="9672" spans="1:6">
      <c r="A9672" t="s">
        <v>27</v>
      </c>
      <c r="B9672" t="s">
        <v>234</v>
      </c>
      <c r="C9672" t="s">
        <v>861</v>
      </c>
      <c r="D9672" t="s">
        <v>2017</v>
      </c>
      <c r="E9672" t="s">
        <v>1594</v>
      </c>
      <c r="F9672">
        <v>1515305.020000044</v>
      </c>
    </row>
    <row r="9673" spans="1:6">
      <c r="A9673" t="s">
        <v>27</v>
      </c>
      <c r="B9673" t="s">
        <v>234</v>
      </c>
      <c r="C9673" t="s">
        <v>861</v>
      </c>
      <c r="D9673" t="s">
        <v>2017</v>
      </c>
      <c r="E9673" t="s">
        <v>1595</v>
      </c>
      <c r="F9673">
        <v>1513728.470000044</v>
      </c>
    </row>
    <row r="9674" spans="1:6">
      <c r="A9674" t="s">
        <v>27</v>
      </c>
      <c r="B9674" t="s">
        <v>234</v>
      </c>
      <c r="C9674" t="s">
        <v>861</v>
      </c>
      <c r="D9674" t="s">
        <v>2017</v>
      </c>
      <c r="E9674" t="s">
        <v>1597</v>
      </c>
      <c r="F9674">
        <v>1511781.450000044</v>
      </c>
    </row>
    <row r="9675" spans="1:6">
      <c r="A9675" t="s">
        <v>27</v>
      </c>
      <c r="B9675" t="s">
        <v>234</v>
      </c>
      <c r="C9675" t="s">
        <v>861</v>
      </c>
      <c r="D9675" t="s">
        <v>2017</v>
      </c>
      <c r="E9675" t="s">
        <v>1599</v>
      </c>
      <c r="F9675">
        <v>900946.0100000466</v>
      </c>
    </row>
    <row r="9676" spans="1:6">
      <c r="A9676" t="s">
        <v>27</v>
      </c>
      <c r="B9676" t="s">
        <v>234</v>
      </c>
      <c r="C9676" t="s">
        <v>861</v>
      </c>
      <c r="D9676" t="s">
        <v>2017</v>
      </c>
      <c r="E9676" t="s">
        <v>1600</v>
      </c>
      <c r="F9676">
        <v>890743.0300000466</v>
      </c>
    </row>
    <row r="9677" spans="1:6">
      <c r="A9677" t="s">
        <v>27</v>
      </c>
      <c r="B9677" t="s">
        <v>234</v>
      </c>
      <c r="C9677" t="s">
        <v>861</v>
      </c>
      <c r="D9677" t="s">
        <v>2017</v>
      </c>
      <c r="E9677" t="s">
        <v>2790</v>
      </c>
      <c r="F9677">
        <v>883178.7200000465</v>
      </c>
    </row>
    <row r="9678" spans="1:6">
      <c r="A9678" t="s">
        <v>27</v>
      </c>
      <c r="B9678" t="s">
        <v>234</v>
      </c>
      <c r="C9678" t="s">
        <v>861</v>
      </c>
      <c r="D9678" t="s">
        <v>2017</v>
      </c>
      <c r="E9678" t="s">
        <v>2791</v>
      </c>
      <c r="F9678">
        <v>881379.7800000465</v>
      </c>
    </row>
    <row r="9679" spans="1:6">
      <c r="A9679" t="s">
        <v>27</v>
      </c>
      <c r="B9679" t="s">
        <v>234</v>
      </c>
      <c r="C9679" t="s">
        <v>861</v>
      </c>
      <c r="D9679" t="s">
        <v>2017</v>
      </c>
      <c r="E9679" t="s">
        <v>2792</v>
      </c>
      <c r="F9679">
        <v>878854.6900000412</v>
      </c>
    </row>
    <row r="9680" spans="1:6">
      <c r="A9680" t="s">
        <v>27</v>
      </c>
      <c r="B9680" t="s">
        <v>234</v>
      </c>
      <c r="C9680" t="s">
        <v>861</v>
      </c>
      <c r="D9680" t="s">
        <v>2017</v>
      </c>
      <c r="E9680" t="s">
        <v>1303</v>
      </c>
      <c r="F9680">
        <v>2011</v>
      </c>
    </row>
    <row r="9681" spans="1:6">
      <c r="A9681" t="s">
        <v>27</v>
      </c>
      <c r="B9681" t="s">
        <v>234</v>
      </c>
      <c r="C9681" t="s">
        <v>861</v>
      </c>
      <c r="D9681" t="s">
        <v>2017</v>
      </c>
      <c r="E9681" t="s">
        <v>1429</v>
      </c>
      <c r="F9681">
        <v>1675023.590000017</v>
      </c>
    </row>
    <row r="9682" spans="1:6">
      <c r="A9682" t="s">
        <v>27</v>
      </c>
      <c r="B9682" t="s">
        <v>234</v>
      </c>
      <c r="C9682" t="s">
        <v>861</v>
      </c>
      <c r="D9682" t="s">
        <v>2017</v>
      </c>
      <c r="E9682" t="s">
        <v>1145</v>
      </c>
      <c r="F9682">
        <v>1671865.060000017</v>
      </c>
    </row>
    <row r="9683" spans="1:6">
      <c r="A9683" t="s">
        <v>27</v>
      </c>
      <c r="B9683" t="s">
        <v>234</v>
      </c>
      <c r="C9683" t="s">
        <v>861</v>
      </c>
      <c r="D9683" t="s">
        <v>2017</v>
      </c>
      <c r="E9683" t="s">
        <v>2204</v>
      </c>
      <c r="F9683">
        <v>1671740.430000017</v>
      </c>
    </row>
    <row r="9684" spans="1:6">
      <c r="A9684" t="s">
        <v>27</v>
      </c>
      <c r="B9684" t="s">
        <v>234</v>
      </c>
      <c r="C9684" t="s">
        <v>861</v>
      </c>
      <c r="D9684" t="s">
        <v>2017</v>
      </c>
      <c r="E9684" t="s">
        <v>2205</v>
      </c>
      <c r="F9684">
        <v>1671139.620000017</v>
      </c>
    </row>
    <row r="9685" spans="1:6">
      <c r="A9685" t="s">
        <v>27</v>
      </c>
      <c r="B9685" t="s">
        <v>234</v>
      </c>
      <c r="C9685" t="s">
        <v>861</v>
      </c>
      <c r="D9685" t="s">
        <v>2017</v>
      </c>
      <c r="E9685" t="s">
        <v>2206</v>
      </c>
      <c r="F9685">
        <v>1663563.590000017</v>
      </c>
    </row>
    <row r="9686" spans="1:6">
      <c r="A9686" t="s">
        <v>27</v>
      </c>
      <c r="B9686" t="s">
        <v>234</v>
      </c>
      <c r="C9686" t="s">
        <v>861</v>
      </c>
      <c r="D9686" t="s">
        <v>2017</v>
      </c>
      <c r="E9686" t="s">
        <v>1798</v>
      </c>
      <c r="F9686">
        <v>1663403.370000017</v>
      </c>
    </row>
    <row r="9687" spans="1:6">
      <c r="A9687" t="s">
        <v>27</v>
      </c>
      <c r="B9687" t="s">
        <v>234</v>
      </c>
      <c r="C9687" t="s">
        <v>861</v>
      </c>
      <c r="D9687" t="s">
        <v>2017</v>
      </c>
      <c r="E9687" t="s">
        <v>1799</v>
      </c>
      <c r="F9687">
        <v>1660596.920000017</v>
      </c>
    </row>
    <row r="9688" spans="1:6">
      <c r="A9688" t="s">
        <v>27</v>
      </c>
      <c r="B9688" t="s">
        <v>234</v>
      </c>
      <c r="C9688" t="s">
        <v>861</v>
      </c>
      <c r="D9688" t="s">
        <v>2017</v>
      </c>
      <c r="E9688" t="s">
        <v>1602</v>
      </c>
      <c r="F9688">
        <v>1656060.200000017</v>
      </c>
    </row>
    <row r="9689" spans="1:6">
      <c r="A9689" t="s">
        <v>27</v>
      </c>
      <c r="B9689" t="s">
        <v>234</v>
      </c>
      <c r="C9689" t="s">
        <v>861</v>
      </c>
      <c r="D9689" t="s">
        <v>2017</v>
      </c>
      <c r="E9689" t="s">
        <v>1604</v>
      </c>
      <c r="F9689">
        <v>1655045.120000017</v>
      </c>
    </row>
    <row r="9690" spans="1:6">
      <c r="A9690" t="s">
        <v>27</v>
      </c>
      <c r="B9690" t="s">
        <v>234</v>
      </c>
      <c r="C9690" t="s">
        <v>861</v>
      </c>
      <c r="D9690" t="s">
        <v>2017</v>
      </c>
      <c r="E9690" t="s">
        <v>1605</v>
      </c>
      <c r="F9690">
        <v>1632929.269999999</v>
      </c>
    </row>
    <row r="9691" spans="1:6">
      <c r="A9691" t="s">
        <v>27</v>
      </c>
      <c r="B9691" t="s">
        <v>234</v>
      </c>
      <c r="C9691" t="s">
        <v>861</v>
      </c>
      <c r="D9691" t="s">
        <v>2017</v>
      </c>
      <c r="E9691" t="s">
        <v>1606</v>
      </c>
      <c r="F9691">
        <v>1594604.359999999</v>
      </c>
    </row>
    <row r="9692" spans="1:6">
      <c r="A9692" t="s">
        <v>27</v>
      </c>
      <c r="B9692" t="s">
        <v>234</v>
      </c>
      <c r="C9692" t="s">
        <v>861</v>
      </c>
      <c r="D9692" t="s">
        <v>2017</v>
      </c>
      <c r="E9692" t="s">
        <v>1607</v>
      </c>
      <c r="F9692">
        <v>1584539.649999999</v>
      </c>
    </row>
    <row r="9693" spans="1:6">
      <c r="A9693" t="s">
        <v>27</v>
      </c>
      <c r="B9693" t="s">
        <v>234</v>
      </c>
      <c r="C9693" t="s">
        <v>861</v>
      </c>
      <c r="D9693" t="s">
        <v>2017</v>
      </c>
      <c r="E9693" t="s">
        <v>1608</v>
      </c>
      <c r="F9693">
        <v>1580905.420000017</v>
      </c>
    </row>
    <row r="9694" spans="1:6">
      <c r="A9694" t="s">
        <v>27</v>
      </c>
      <c r="B9694" t="s">
        <v>234</v>
      </c>
      <c r="C9694" t="s">
        <v>861</v>
      </c>
      <c r="D9694" t="s">
        <v>2017</v>
      </c>
      <c r="E9694" t="s">
        <v>1609</v>
      </c>
      <c r="F9694">
        <v>1579853.530000017</v>
      </c>
    </row>
    <row r="9695" spans="1:6">
      <c r="A9695" t="s">
        <v>27</v>
      </c>
      <c r="B9695" t="s">
        <v>234</v>
      </c>
      <c r="C9695" t="s">
        <v>861</v>
      </c>
      <c r="D9695" t="s">
        <v>2017</v>
      </c>
      <c r="E9695" t="s">
        <v>1610</v>
      </c>
      <c r="F9695">
        <v>1577967.600000017</v>
      </c>
    </row>
    <row r="9696" spans="1:6">
      <c r="A9696" t="s">
        <v>27</v>
      </c>
      <c r="B9696" t="s">
        <v>234</v>
      </c>
      <c r="C9696" t="s">
        <v>861</v>
      </c>
      <c r="D9696" t="s">
        <v>2017</v>
      </c>
      <c r="E9696" t="s">
        <v>1611</v>
      </c>
      <c r="F9696">
        <v>1575021.750000017</v>
      </c>
    </row>
    <row r="9697" spans="1:6">
      <c r="A9697" t="s">
        <v>27</v>
      </c>
      <c r="B9697" t="s">
        <v>234</v>
      </c>
      <c r="C9697" t="s">
        <v>861</v>
      </c>
      <c r="D9697" t="s">
        <v>2017</v>
      </c>
      <c r="E9697" t="s">
        <v>1612</v>
      </c>
      <c r="F9697">
        <v>1033597.680000018</v>
      </c>
    </row>
    <row r="9698" spans="1:6">
      <c r="A9698" t="s">
        <v>27</v>
      </c>
      <c r="B9698" t="s">
        <v>234</v>
      </c>
      <c r="C9698" t="s">
        <v>861</v>
      </c>
      <c r="D9698" t="s">
        <v>2017</v>
      </c>
      <c r="E9698" t="s">
        <v>1613</v>
      </c>
      <c r="F9698">
        <v>1026959.910000018</v>
      </c>
    </row>
    <row r="9699" spans="1:6">
      <c r="A9699" t="s">
        <v>27</v>
      </c>
      <c r="B9699" t="s">
        <v>234</v>
      </c>
      <c r="C9699" t="s">
        <v>861</v>
      </c>
      <c r="D9699" t="s">
        <v>2017</v>
      </c>
      <c r="E9699" t="s">
        <v>2793</v>
      </c>
      <c r="F9699">
        <v>1016399.820000018</v>
      </c>
    </row>
    <row r="9700" spans="1:6">
      <c r="A9700" t="s">
        <v>27</v>
      </c>
      <c r="B9700" t="s">
        <v>234</v>
      </c>
      <c r="C9700" t="s">
        <v>861</v>
      </c>
      <c r="D9700" t="s">
        <v>2017</v>
      </c>
      <c r="E9700" t="s">
        <v>2794</v>
      </c>
      <c r="F9700">
        <v>1013928.510000018</v>
      </c>
    </row>
    <row r="9701" spans="1:6">
      <c r="A9701" t="s">
        <v>27</v>
      </c>
      <c r="B9701" t="s">
        <v>234</v>
      </c>
      <c r="C9701" t="s">
        <v>861</v>
      </c>
      <c r="D9701" t="s">
        <v>2017</v>
      </c>
      <c r="E9701" t="s">
        <v>2795</v>
      </c>
      <c r="F9701">
        <v>1013656.980000018</v>
      </c>
    </row>
    <row r="9702" spans="1:6">
      <c r="A9702" t="s">
        <v>27</v>
      </c>
      <c r="B9702" t="s">
        <v>234</v>
      </c>
      <c r="C9702" t="s">
        <v>861</v>
      </c>
      <c r="D9702" t="s">
        <v>2017</v>
      </c>
      <c r="E9702" t="s">
        <v>1394</v>
      </c>
      <c r="F9702">
        <v>2012</v>
      </c>
    </row>
    <row r="9703" spans="1:6">
      <c r="A9703" t="s">
        <v>27</v>
      </c>
      <c r="B9703" t="s">
        <v>234</v>
      </c>
      <c r="C9703" t="s">
        <v>861</v>
      </c>
      <c r="D9703" t="s">
        <v>2017</v>
      </c>
      <c r="E9703" t="s">
        <v>1432</v>
      </c>
      <c r="F9703">
        <v>14470590.27999989</v>
      </c>
    </row>
    <row r="9704" spans="1:6">
      <c r="A9704" t="s">
        <v>27</v>
      </c>
      <c r="B9704" t="s">
        <v>234</v>
      </c>
      <c r="C9704" t="s">
        <v>861</v>
      </c>
      <c r="D9704" t="s">
        <v>2017</v>
      </c>
      <c r="E9704" t="s">
        <v>1434</v>
      </c>
      <c r="F9704">
        <v>14464724.41999989</v>
      </c>
    </row>
    <row r="9705" spans="1:6">
      <c r="A9705" t="s">
        <v>27</v>
      </c>
      <c r="B9705" t="s">
        <v>234</v>
      </c>
      <c r="C9705" t="s">
        <v>861</v>
      </c>
      <c r="D9705" t="s">
        <v>2017</v>
      </c>
      <c r="E9705" t="s">
        <v>2207</v>
      </c>
      <c r="F9705">
        <v>14463852.80999989</v>
      </c>
    </row>
    <row r="9706" spans="1:6">
      <c r="A9706" t="s">
        <v>27</v>
      </c>
      <c r="B9706" t="s">
        <v>234</v>
      </c>
      <c r="C9706" t="s">
        <v>861</v>
      </c>
      <c r="D9706" t="s">
        <v>2017</v>
      </c>
      <c r="E9706" t="s">
        <v>2208</v>
      </c>
      <c r="F9706">
        <v>14460788.85999989</v>
      </c>
    </row>
    <row r="9707" spans="1:6">
      <c r="A9707" t="s">
        <v>27</v>
      </c>
      <c r="B9707" t="s">
        <v>234</v>
      </c>
      <c r="C9707" t="s">
        <v>861</v>
      </c>
      <c r="D9707" t="s">
        <v>2017</v>
      </c>
      <c r="E9707" t="s">
        <v>2209</v>
      </c>
      <c r="F9707">
        <v>14417126.82999989</v>
      </c>
    </row>
    <row r="9708" spans="1:6">
      <c r="A9708" t="s">
        <v>27</v>
      </c>
      <c r="B9708" t="s">
        <v>234</v>
      </c>
      <c r="C9708" t="s">
        <v>861</v>
      </c>
      <c r="D9708" t="s">
        <v>2017</v>
      </c>
      <c r="E9708" t="s">
        <v>1800</v>
      </c>
      <c r="F9708">
        <v>14416938.93999989</v>
      </c>
    </row>
    <row r="9709" spans="1:6">
      <c r="A9709" t="s">
        <v>27</v>
      </c>
      <c r="B9709" t="s">
        <v>234</v>
      </c>
      <c r="C9709" t="s">
        <v>861</v>
      </c>
      <c r="D9709" t="s">
        <v>2017</v>
      </c>
      <c r="E9709" t="s">
        <v>1801</v>
      </c>
      <c r="F9709">
        <v>14414026.92999989</v>
      </c>
    </row>
    <row r="9710" spans="1:6">
      <c r="A9710" t="s">
        <v>27</v>
      </c>
      <c r="B9710" t="s">
        <v>234</v>
      </c>
      <c r="C9710" t="s">
        <v>861</v>
      </c>
      <c r="D9710" t="s">
        <v>2017</v>
      </c>
      <c r="E9710" t="s">
        <v>1802</v>
      </c>
      <c r="F9710">
        <v>14412860.61999989</v>
      </c>
    </row>
    <row r="9711" spans="1:6">
      <c r="A9711" t="s">
        <v>27</v>
      </c>
      <c r="B9711" t="s">
        <v>234</v>
      </c>
      <c r="C9711" t="s">
        <v>861</v>
      </c>
      <c r="D9711" t="s">
        <v>2017</v>
      </c>
      <c r="E9711" t="s">
        <v>2210</v>
      </c>
      <c r="F9711">
        <v>14411335.43999989</v>
      </c>
    </row>
    <row r="9712" spans="1:6">
      <c r="A9712" t="s">
        <v>27</v>
      </c>
      <c r="B9712" t="s">
        <v>234</v>
      </c>
      <c r="C9712" t="s">
        <v>861</v>
      </c>
      <c r="D9712" t="s">
        <v>2017</v>
      </c>
      <c r="E9712" t="s">
        <v>2211</v>
      </c>
      <c r="F9712">
        <v>14283776.13999985</v>
      </c>
    </row>
    <row r="9713" spans="1:6">
      <c r="A9713" t="s">
        <v>27</v>
      </c>
      <c r="B9713" t="s">
        <v>234</v>
      </c>
      <c r="C9713" t="s">
        <v>861</v>
      </c>
      <c r="D9713" t="s">
        <v>2017</v>
      </c>
      <c r="E9713" t="s">
        <v>2212</v>
      </c>
      <c r="F9713">
        <v>14263075.23999985</v>
      </c>
    </row>
    <row r="9714" spans="1:6">
      <c r="A9714" t="s">
        <v>27</v>
      </c>
      <c r="B9714" t="s">
        <v>234</v>
      </c>
      <c r="C9714" t="s">
        <v>861</v>
      </c>
      <c r="D9714" t="s">
        <v>2017</v>
      </c>
      <c r="E9714" t="s">
        <v>2213</v>
      </c>
      <c r="F9714">
        <v>14255741.47999985</v>
      </c>
    </row>
    <row r="9715" spans="1:6">
      <c r="A9715" t="s">
        <v>27</v>
      </c>
      <c r="B9715" t="s">
        <v>234</v>
      </c>
      <c r="C9715" t="s">
        <v>861</v>
      </c>
      <c r="D9715" t="s">
        <v>2017</v>
      </c>
      <c r="E9715" t="s">
        <v>2214</v>
      </c>
      <c r="F9715">
        <v>14254244.64999986</v>
      </c>
    </row>
    <row r="9716" spans="1:6">
      <c r="A9716" t="s">
        <v>27</v>
      </c>
      <c r="B9716" t="s">
        <v>234</v>
      </c>
      <c r="C9716" t="s">
        <v>861</v>
      </c>
      <c r="D9716" t="s">
        <v>2017</v>
      </c>
      <c r="E9716" t="s">
        <v>2215</v>
      </c>
      <c r="F9716">
        <v>14253600.77999986</v>
      </c>
    </row>
    <row r="9717" spans="1:6">
      <c r="A9717" t="s">
        <v>27</v>
      </c>
      <c r="B9717" t="s">
        <v>234</v>
      </c>
      <c r="C9717" t="s">
        <v>861</v>
      </c>
      <c r="D9717" t="s">
        <v>2017</v>
      </c>
      <c r="E9717" t="s">
        <v>2216</v>
      </c>
      <c r="F9717">
        <v>14248732.35999986</v>
      </c>
    </row>
    <row r="9718" spans="1:6">
      <c r="A9718" t="s">
        <v>27</v>
      </c>
      <c r="B9718" t="s">
        <v>234</v>
      </c>
      <c r="C9718" t="s">
        <v>861</v>
      </c>
      <c r="D9718" t="s">
        <v>2017</v>
      </c>
      <c r="E9718" t="s">
        <v>2217</v>
      </c>
      <c r="F9718">
        <v>14244296.75999986</v>
      </c>
    </row>
    <row r="9719" spans="1:6">
      <c r="A9719" t="s">
        <v>27</v>
      </c>
      <c r="B9719" t="s">
        <v>234</v>
      </c>
      <c r="C9719" t="s">
        <v>861</v>
      </c>
      <c r="D9719" t="s">
        <v>2017</v>
      </c>
      <c r="E9719" t="s">
        <v>2218</v>
      </c>
      <c r="F9719">
        <v>716074.2800000089</v>
      </c>
    </row>
    <row r="9720" spans="1:6">
      <c r="A9720" t="s">
        <v>27</v>
      </c>
      <c r="B9720" t="s">
        <v>234</v>
      </c>
      <c r="C9720" t="s">
        <v>861</v>
      </c>
      <c r="D9720" t="s">
        <v>2017</v>
      </c>
      <c r="E9720" t="s">
        <v>2219</v>
      </c>
      <c r="F9720">
        <v>703962.4500000089</v>
      </c>
    </row>
    <row r="9721" spans="1:6">
      <c r="A9721" t="s">
        <v>27</v>
      </c>
      <c r="B9721" t="s">
        <v>234</v>
      </c>
      <c r="C9721" t="s">
        <v>861</v>
      </c>
      <c r="D9721" t="s">
        <v>2017</v>
      </c>
      <c r="E9721" t="s">
        <v>2796</v>
      </c>
      <c r="F9721">
        <v>694671.5900000092</v>
      </c>
    </row>
    <row r="9722" spans="1:6">
      <c r="A9722" t="s">
        <v>27</v>
      </c>
      <c r="B9722" t="s">
        <v>234</v>
      </c>
      <c r="C9722" t="s">
        <v>861</v>
      </c>
      <c r="D9722" t="s">
        <v>2017</v>
      </c>
      <c r="E9722" t="s">
        <v>2797</v>
      </c>
      <c r="F9722">
        <v>695244.460000009</v>
      </c>
    </row>
    <row r="9723" spans="1:6">
      <c r="A9723" t="s">
        <v>27</v>
      </c>
      <c r="B9723" t="s">
        <v>234</v>
      </c>
      <c r="C9723" t="s">
        <v>861</v>
      </c>
      <c r="D9723" t="s">
        <v>2017</v>
      </c>
      <c r="E9723" t="s">
        <v>2798</v>
      </c>
      <c r="F9723">
        <v>689516.1800000083</v>
      </c>
    </row>
    <row r="9724" spans="1:6">
      <c r="A9724" t="s">
        <v>27</v>
      </c>
      <c r="B9724" t="s">
        <v>234</v>
      </c>
      <c r="C9724" t="s">
        <v>861</v>
      </c>
      <c r="D9724" t="s">
        <v>2017</v>
      </c>
      <c r="E9724" t="s">
        <v>1438</v>
      </c>
      <c r="F9724">
        <v>2013</v>
      </c>
    </row>
    <row r="9725" spans="1:6">
      <c r="A9725" t="s">
        <v>27</v>
      </c>
      <c r="B9725" t="s">
        <v>234</v>
      </c>
      <c r="C9725" t="s">
        <v>861</v>
      </c>
      <c r="D9725" t="s">
        <v>2017</v>
      </c>
      <c r="E9725" t="s">
        <v>1439</v>
      </c>
      <c r="F9725">
        <v>1212745.310000002</v>
      </c>
    </row>
    <row r="9726" spans="1:6">
      <c r="A9726" t="s">
        <v>27</v>
      </c>
      <c r="B9726" t="s">
        <v>234</v>
      </c>
      <c r="C9726" t="s">
        <v>861</v>
      </c>
      <c r="D9726" t="s">
        <v>2017</v>
      </c>
      <c r="E9726" t="s">
        <v>1441</v>
      </c>
      <c r="F9726">
        <v>1197324.300000002</v>
      </c>
    </row>
    <row r="9727" spans="1:6">
      <c r="A9727" t="s">
        <v>27</v>
      </c>
      <c r="B9727" t="s">
        <v>234</v>
      </c>
      <c r="C9727" t="s">
        <v>861</v>
      </c>
      <c r="D9727" t="s">
        <v>2017</v>
      </c>
      <c r="E9727" t="s">
        <v>2220</v>
      </c>
      <c r="F9727">
        <v>1192761.550000002</v>
      </c>
    </row>
    <row r="9728" spans="1:6">
      <c r="A9728" t="s">
        <v>27</v>
      </c>
      <c r="B9728" t="s">
        <v>234</v>
      </c>
      <c r="C9728" t="s">
        <v>861</v>
      </c>
      <c r="D9728" t="s">
        <v>2017</v>
      </c>
      <c r="E9728" t="s">
        <v>2221</v>
      </c>
      <c r="F9728">
        <v>1190794.590000002</v>
      </c>
    </row>
    <row r="9729" spans="1:6">
      <c r="A9729" t="s">
        <v>27</v>
      </c>
      <c r="B9729" t="s">
        <v>234</v>
      </c>
      <c r="C9729" t="s">
        <v>861</v>
      </c>
      <c r="D9729" t="s">
        <v>2017</v>
      </c>
      <c r="E9729" t="s">
        <v>2222</v>
      </c>
      <c r="F9729">
        <v>1121412.900000002</v>
      </c>
    </row>
    <row r="9730" spans="1:6">
      <c r="A9730" t="s">
        <v>27</v>
      </c>
      <c r="B9730" t="s">
        <v>234</v>
      </c>
      <c r="C9730" t="s">
        <v>861</v>
      </c>
      <c r="D9730" t="s">
        <v>2017</v>
      </c>
      <c r="E9730" t="s">
        <v>1803</v>
      </c>
      <c r="F9730">
        <v>1120799.770000003</v>
      </c>
    </row>
    <row r="9731" spans="1:6">
      <c r="A9731" t="s">
        <v>27</v>
      </c>
      <c r="B9731" t="s">
        <v>234</v>
      </c>
      <c r="C9731" t="s">
        <v>861</v>
      </c>
      <c r="D9731" t="s">
        <v>2017</v>
      </c>
      <c r="E9731" t="s">
        <v>1804</v>
      </c>
      <c r="F9731">
        <v>1112013.330000003</v>
      </c>
    </row>
    <row r="9732" spans="1:6">
      <c r="A9732" t="s">
        <v>27</v>
      </c>
      <c r="B9732" t="s">
        <v>234</v>
      </c>
      <c r="C9732" t="s">
        <v>861</v>
      </c>
      <c r="D9732" t="s">
        <v>2017</v>
      </c>
      <c r="E9732" t="s">
        <v>1614</v>
      </c>
      <c r="F9732">
        <v>1111490.140000003</v>
      </c>
    </row>
    <row r="9733" spans="1:6">
      <c r="A9733" t="s">
        <v>27</v>
      </c>
      <c r="B9733" t="s">
        <v>234</v>
      </c>
      <c r="C9733" t="s">
        <v>861</v>
      </c>
      <c r="D9733" t="s">
        <v>2017</v>
      </c>
      <c r="E9733" t="s">
        <v>1616</v>
      </c>
      <c r="F9733">
        <v>1064106.720000003</v>
      </c>
    </row>
    <row r="9734" spans="1:6">
      <c r="A9734" t="s">
        <v>27</v>
      </c>
      <c r="B9734" t="s">
        <v>234</v>
      </c>
      <c r="C9734" t="s">
        <v>861</v>
      </c>
      <c r="D9734" t="s">
        <v>2017</v>
      </c>
      <c r="E9734" t="s">
        <v>1617</v>
      </c>
      <c r="F9734">
        <v>1036686.070000001</v>
      </c>
    </row>
    <row r="9735" spans="1:6">
      <c r="A9735" t="s">
        <v>27</v>
      </c>
      <c r="B9735" t="s">
        <v>234</v>
      </c>
      <c r="C9735" t="s">
        <v>861</v>
      </c>
      <c r="D9735" t="s">
        <v>2017</v>
      </c>
      <c r="E9735" t="s">
        <v>1618</v>
      </c>
      <c r="F9735">
        <v>1007603.640000001</v>
      </c>
    </row>
    <row r="9736" spans="1:6">
      <c r="A9736" t="s">
        <v>27</v>
      </c>
      <c r="B9736" t="s">
        <v>234</v>
      </c>
      <c r="C9736" t="s">
        <v>861</v>
      </c>
      <c r="D9736" t="s">
        <v>2017</v>
      </c>
      <c r="E9736" t="s">
        <v>1619</v>
      </c>
      <c r="F9736">
        <v>998211.2700000007</v>
      </c>
    </row>
    <row r="9737" spans="1:6">
      <c r="A9737" t="s">
        <v>27</v>
      </c>
      <c r="B9737" t="s">
        <v>234</v>
      </c>
      <c r="C9737" t="s">
        <v>861</v>
      </c>
      <c r="D9737" t="s">
        <v>2017</v>
      </c>
      <c r="E9737" t="s">
        <v>1620</v>
      </c>
      <c r="F9737">
        <v>993391.3000000014</v>
      </c>
    </row>
    <row r="9738" spans="1:6">
      <c r="A9738" t="s">
        <v>27</v>
      </c>
      <c r="B9738" t="s">
        <v>234</v>
      </c>
      <c r="C9738" t="s">
        <v>861</v>
      </c>
      <c r="D9738" t="s">
        <v>2017</v>
      </c>
      <c r="E9738" t="s">
        <v>1621</v>
      </c>
      <c r="F9738">
        <v>992103.5500000014</v>
      </c>
    </row>
    <row r="9739" spans="1:6">
      <c r="A9739" t="s">
        <v>27</v>
      </c>
      <c r="B9739" t="s">
        <v>234</v>
      </c>
      <c r="C9739" t="s">
        <v>861</v>
      </c>
      <c r="D9739" t="s">
        <v>2017</v>
      </c>
      <c r="E9739" t="s">
        <v>1622</v>
      </c>
      <c r="F9739">
        <v>988784.8200000015</v>
      </c>
    </row>
    <row r="9740" spans="1:6">
      <c r="A9740" t="s">
        <v>27</v>
      </c>
      <c r="B9740" t="s">
        <v>234</v>
      </c>
      <c r="C9740" t="s">
        <v>861</v>
      </c>
      <c r="D9740" t="s">
        <v>2017</v>
      </c>
      <c r="E9740" t="s">
        <v>1623</v>
      </c>
      <c r="F9740">
        <v>986619.9800000014</v>
      </c>
    </row>
    <row r="9741" spans="1:6">
      <c r="A9741" t="s">
        <v>27</v>
      </c>
      <c r="B9741" t="s">
        <v>234</v>
      </c>
      <c r="C9741" t="s">
        <v>861</v>
      </c>
      <c r="D9741" t="s">
        <v>2017</v>
      </c>
      <c r="E9741" t="s">
        <v>1624</v>
      </c>
      <c r="F9741">
        <v>523812.620000001</v>
      </c>
    </row>
    <row r="9742" spans="1:6">
      <c r="A9742" t="s">
        <v>27</v>
      </c>
      <c r="B9742" t="s">
        <v>234</v>
      </c>
      <c r="C9742" t="s">
        <v>861</v>
      </c>
      <c r="D9742" t="s">
        <v>2017</v>
      </c>
      <c r="E9742" t="s">
        <v>1625</v>
      </c>
      <c r="F9742">
        <v>519130.660000001</v>
      </c>
    </row>
    <row r="9743" spans="1:6">
      <c r="A9743" t="s">
        <v>27</v>
      </c>
      <c r="B9743" t="s">
        <v>234</v>
      </c>
      <c r="C9743" t="s">
        <v>861</v>
      </c>
      <c r="D9743" t="s">
        <v>2017</v>
      </c>
      <c r="E9743" t="s">
        <v>2799</v>
      </c>
      <c r="F9743">
        <v>515132.8900000012</v>
      </c>
    </row>
    <row r="9744" spans="1:6">
      <c r="A9744" t="s">
        <v>27</v>
      </c>
      <c r="B9744" t="s">
        <v>234</v>
      </c>
      <c r="C9744" t="s">
        <v>861</v>
      </c>
      <c r="D9744" t="s">
        <v>2017</v>
      </c>
      <c r="E9744" t="s">
        <v>2800</v>
      </c>
      <c r="F9744">
        <v>514153.0000000014</v>
      </c>
    </row>
    <row r="9745" spans="1:6">
      <c r="A9745" t="s">
        <v>27</v>
      </c>
      <c r="B9745" t="s">
        <v>234</v>
      </c>
      <c r="C9745" t="s">
        <v>861</v>
      </c>
      <c r="D9745" t="s">
        <v>2017</v>
      </c>
      <c r="E9745" t="s">
        <v>2801</v>
      </c>
      <c r="F9745">
        <v>511706.6800000002</v>
      </c>
    </row>
    <row r="9746" spans="1:6">
      <c r="A9746" t="s">
        <v>27</v>
      </c>
      <c r="B9746" t="s">
        <v>234</v>
      </c>
      <c r="C9746" t="s">
        <v>861</v>
      </c>
      <c r="D9746" t="s">
        <v>2017</v>
      </c>
      <c r="E9746" t="s">
        <v>1154</v>
      </c>
      <c r="F9746">
        <v>2014</v>
      </c>
    </row>
    <row r="9747" spans="1:6">
      <c r="A9747" t="s">
        <v>27</v>
      </c>
      <c r="B9747" t="s">
        <v>234</v>
      </c>
      <c r="C9747" t="s">
        <v>861</v>
      </c>
      <c r="D9747" t="s">
        <v>2017</v>
      </c>
      <c r="E9747" t="s">
        <v>1156</v>
      </c>
      <c r="F9747">
        <v>566818.9700000023</v>
      </c>
    </row>
    <row r="9748" spans="1:6">
      <c r="A9748" t="s">
        <v>27</v>
      </c>
      <c r="B9748" t="s">
        <v>234</v>
      </c>
      <c r="C9748" t="s">
        <v>861</v>
      </c>
      <c r="D9748" t="s">
        <v>2017</v>
      </c>
      <c r="E9748" t="s">
        <v>1158</v>
      </c>
      <c r="F9748">
        <v>545881.7200000023</v>
      </c>
    </row>
    <row r="9749" spans="1:6">
      <c r="A9749" t="s">
        <v>27</v>
      </c>
      <c r="B9749" t="s">
        <v>234</v>
      </c>
      <c r="C9749" t="s">
        <v>861</v>
      </c>
      <c r="D9749" t="s">
        <v>2017</v>
      </c>
      <c r="E9749" t="s">
        <v>1160</v>
      </c>
      <c r="F9749">
        <v>538608.7300000023</v>
      </c>
    </row>
    <row r="9750" spans="1:6">
      <c r="A9750" t="s">
        <v>27</v>
      </c>
      <c r="B9750" t="s">
        <v>234</v>
      </c>
      <c r="C9750" t="s">
        <v>861</v>
      </c>
      <c r="D9750" t="s">
        <v>2017</v>
      </c>
      <c r="E9750" t="s">
        <v>1162</v>
      </c>
      <c r="F9750">
        <v>538577.5200000023</v>
      </c>
    </row>
    <row r="9751" spans="1:6">
      <c r="A9751" t="s">
        <v>27</v>
      </c>
      <c r="B9751" t="s">
        <v>234</v>
      </c>
      <c r="C9751" t="s">
        <v>861</v>
      </c>
      <c r="D9751" t="s">
        <v>2017</v>
      </c>
      <c r="E9751" t="s">
        <v>2223</v>
      </c>
      <c r="F9751">
        <v>524463.6100000023</v>
      </c>
    </row>
    <row r="9752" spans="1:6">
      <c r="A9752" t="s">
        <v>27</v>
      </c>
      <c r="B9752" t="s">
        <v>234</v>
      </c>
      <c r="C9752" t="s">
        <v>861</v>
      </c>
      <c r="D9752" t="s">
        <v>2017</v>
      </c>
      <c r="E9752" t="s">
        <v>1805</v>
      </c>
      <c r="F9752">
        <v>522222.4500000023</v>
      </c>
    </row>
    <row r="9753" spans="1:6">
      <c r="A9753" t="s">
        <v>27</v>
      </c>
      <c r="B9753" t="s">
        <v>234</v>
      </c>
      <c r="C9753" t="s">
        <v>861</v>
      </c>
      <c r="D9753" t="s">
        <v>2017</v>
      </c>
      <c r="E9753" t="s">
        <v>1806</v>
      </c>
      <c r="F9753">
        <v>519693.8600000023</v>
      </c>
    </row>
    <row r="9754" spans="1:6">
      <c r="A9754" t="s">
        <v>27</v>
      </c>
      <c r="B9754" t="s">
        <v>234</v>
      </c>
      <c r="C9754" t="s">
        <v>861</v>
      </c>
      <c r="D9754" t="s">
        <v>2017</v>
      </c>
      <c r="E9754" t="s">
        <v>1807</v>
      </c>
      <c r="F9754">
        <v>519669.3600000023</v>
      </c>
    </row>
    <row r="9755" spans="1:6">
      <c r="A9755" t="s">
        <v>27</v>
      </c>
      <c r="B9755" t="s">
        <v>234</v>
      </c>
      <c r="C9755" t="s">
        <v>861</v>
      </c>
      <c r="D9755" t="s">
        <v>2017</v>
      </c>
      <c r="E9755" t="s">
        <v>2224</v>
      </c>
      <c r="F9755">
        <v>519222.0700000023</v>
      </c>
    </row>
    <row r="9756" spans="1:6">
      <c r="A9756" t="s">
        <v>27</v>
      </c>
      <c r="B9756" t="s">
        <v>234</v>
      </c>
      <c r="C9756" t="s">
        <v>861</v>
      </c>
      <c r="D9756" t="s">
        <v>2017</v>
      </c>
      <c r="E9756" t="s">
        <v>2225</v>
      </c>
      <c r="F9756">
        <v>517221.5000000001</v>
      </c>
    </row>
    <row r="9757" spans="1:6">
      <c r="A9757" t="s">
        <v>27</v>
      </c>
      <c r="B9757" t="s">
        <v>234</v>
      </c>
      <c r="C9757" t="s">
        <v>861</v>
      </c>
      <c r="D9757" t="s">
        <v>2017</v>
      </c>
      <c r="E9757" t="s">
        <v>2226</v>
      </c>
      <c r="F9757">
        <v>506165.91</v>
      </c>
    </row>
    <row r="9758" spans="1:6">
      <c r="A9758" t="s">
        <v>27</v>
      </c>
      <c r="B9758" t="s">
        <v>234</v>
      </c>
      <c r="C9758" t="s">
        <v>861</v>
      </c>
      <c r="D9758" t="s">
        <v>2017</v>
      </c>
      <c r="E9758" t="s">
        <v>2227</v>
      </c>
      <c r="F9758">
        <v>504435.91</v>
      </c>
    </row>
    <row r="9759" spans="1:6">
      <c r="A9759" t="s">
        <v>27</v>
      </c>
      <c r="B9759" t="s">
        <v>234</v>
      </c>
      <c r="C9759" t="s">
        <v>861</v>
      </c>
      <c r="D9759" t="s">
        <v>2017</v>
      </c>
      <c r="E9759" t="s">
        <v>2228</v>
      </c>
      <c r="F9759">
        <v>504261.2900000022</v>
      </c>
    </row>
    <row r="9760" spans="1:6">
      <c r="A9760" t="s">
        <v>27</v>
      </c>
      <c r="B9760" t="s">
        <v>234</v>
      </c>
      <c r="C9760" t="s">
        <v>861</v>
      </c>
      <c r="D9760" t="s">
        <v>2017</v>
      </c>
      <c r="E9760" t="s">
        <v>2229</v>
      </c>
      <c r="F9760">
        <v>504172.1900000023</v>
      </c>
    </row>
    <row r="9761" spans="1:6">
      <c r="A9761" t="s">
        <v>27</v>
      </c>
      <c r="B9761" t="s">
        <v>234</v>
      </c>
      <c r="C9761" t="s">
        <v>861</v>
      </c>
      <c r="D9761" t="s">
        <v>2017</v>
      </c>
      <c r="E9761" t="s">
        <v>2230</v>
      </c>
      <c r="F9761">
        <v>503865.1200000022</v>
      </c>
    </row>
    <row r="9762" spans="1:6">
      <c r="A9762" t="s">
        <v>27</v>
      </c>
      <c r="B9762" t="s">
        <v>234</v>
      </c>
      <c r="C9762" t="s">
        <v>861</v>
      </c>
      <c r="D9762" t="s">
        <v>2017</v>
      </c>
      <c r="E9762" t="s">
        <v>2231</v>
      </c>
      <c r="F9762">
        <v>503891.0100000021</v>
      </c>
    </row>
    <row r="9763" spans="1:6">
      <c r="A9763" t="s">
        <v>27</v>
      </c>
      <c r="B9763" t="s">
        <v>234</v>
      </c>
      <c r="C9763" t="s">
        <v>861</v>
      </c>
      <c r="D9763" t="s">
        <v>2017</v>
      </c>
      <c r="E9763" t="s">
        <v>2232</v>
      </c>
      <c r="F9763">
        <v>199740.7500000013</v>
      </c>
    </row>
    <row r="9764" spans="1:6">
      <c r="A9764" t="s">
        <v>27</v>
      </c>
      <c r="B9764" t="s">
        <v>234</v>
      </c>
      <c r="C9764" t="s">
        <v>861</v>
      </c>
      <c r="D9764" t="s">
        <v>2017</v>
      </c>
      <c r="E9764" t="s">
        <v>2233</v>
      </c>
      <c r="F9764">
        <v>196328.6000000013</v>
      </c>
    </row>
    <row r="9765" spans="1:6">
      <c r="A9765" t="s">
        <v>27</v>
      </c>
      <c r="B9765" t="s">
        <v>234</v>
      </c>
      <c r="C9765" t="s">
        <v>861</v>
      </c>
      <c r="D9765" t="s">
        <v>2017</v>
      </c>
      <c r="E9765" t="s">
        <v>2802</v>
      </c>
      <c r="F9765">
        <v>196114.6100000014</v>
      </c>
    </row>
    <row r="9766" spans="1:6">
      <c r="A9766" t="s">
        <v>27</v>
      </c>
      <c r="B9766" t="s">
        <v>234</v>
      </c>
      <c r="C9766" t="s">
        <v>861</v>
      </c>
      <c r="D9766" t="s">
        <v>2017</v>
      </c>
      <c r="E9766" t="s">
        <v>2803</v>
      </c>
      <c r="F9766">
        <v>195317.9500000014</v>
      </c>
    </row>
    <row r="9767" spans="1:6">
      <c r="A9767" t="s">
        <v>27</v>
      </c>
      <c r="B9767" t="s">
        <v>234</v>
      </c>
      <c r="C9767" t="s">
        <v>861</v>
      </c>
      <c r="D9767" t="s">
        <v>2017</v>
      </c>
      <c r="E9767" t="s">
        <v>2804</v>
      </c>
      <c r="F9767">
        <v>194927.54</v>
      </c>
    </row>
    <row r="9768" spans="1:6">
      <c r="A9768" t="s">
        <v>27</v>
      </c>
      <c r="B9768" t="s">
        <v>234</v>
      </c>
      <c r="C9768" t="s">
        <v>861</v>
      </c>
      <c r="D9768" t="s">
        <v>2017</v>
      </c>
      <c r="E9768" t="s">
        <v>1168</v>
      </c>
      <c r="F9768">
        <v>2015</v>
      </c>
    </row>
    <row r="9769" spans="1:6">
      <c r="A9769" t="s">
        <v>27</v>
      </c>
      <c r="B9769" t="s">
        <v>234</v>
      </c>
      <c r="C9769" t="s">
        <v>861</v>
      </c>
      <c r="D9769" t="s">
        <v>2017</v>
      </c>
      <c r="E9769" t="s">
        <v>1169</v>
      </c>
      <c r="F9769">
        <v>3382016.239999622</v>
      </c>
    </row>
    <row r="9770" spans="1:6">
      <c r="A9770" t="s">
        <v>27</v>
      </c>
      <c r="B9770" t="s">
        <v>234</v>
      </c>
      <c r="C9770" t="s">
        <v>861</v>
      </c>
      <c r="D9770" t="s">
        <v>2017</v>
      </c>
      <c r="E9770" t="s">
        <v>1170</v>
      </c>
      <c r="F9770">
        <v>3357959.239999622</v>
      </c>
    </row>
    <row r="9771" spans="1:6">
      <c r="A9771" t="s">
        <v>27</v>
      </c>
      <c r="B9771" t="s">
        <v>234</v>
      </c>
      <c r="C9771" t="s">
        <v>861</v>
      </c>
      <c r="D9771" t="s">
        <v>2017</v>
      </c>
      <c r="E9771" t="s">
        <v>1171</v>
      </c>
      <c r="F9771">
        <v>3347381.659999622</v>
      </c>
    </row>
    <row r="9772" spans="1:6">
      <c r="A9772" t="s">
        <v>27</v>
      </c>
      <c r="B9772" t="s">
        <v>234</v>
      </c>
      <c r="C9772" t="s">
        <v>861</v>
      </c>
      <c r="D9772" t="s">
        <v>2017</v>
      </c>
      <c r="E9772" t="s">
        <v>1172</v>
      </c>
      <c r="F9772">
        <v>3221822.199999621</v>
      </c>
    </row>
    <row r="9773" spans="1:6">
      <c r="A9773" t="s">
        <v>27</v>
      </c>
      <c r="B9773" t="s">
        <v>234</v>
      </c>
      <c r="C9773" t="s">
        <v>861</v>
      </c>
      <c r="D9773" t="s">
        <v>2017</v>
      </c>
      <c r="E9773" t="s">
        <v>2234</v>
      </c>
      <c r="F9773">
        <v>3218085.839999621</v>
      </c>
    </row>
    <row r="9774" spans="1:6">
      <c r="A9774" t="s">
        <v>27</v>
      </c>
      <c r="B9774" t="s">
        <v>234</v>
      </c>
      <c r="C9774" t="s">
        <v>861</v>
      </c>
      <c r="D9774" t="s">
        <v>2017</v>
      </c>
      <c r="E9774" t="s">
        <v>1808</v>
      </c>
      <c r="F9774">
        <v>3202268.509999621</v>
      </c>
    </row>
    <row r="9775" spans="1:6">
      <c r="A9775" t="s">
        <v>27</v>
      </c>
      <c r="B9775" t="s">
        <v>234</v>
      </c>
      <c r="C9775" t="s">
        <v>861</v>
      </c>
      <c r="D9775" t="s">
        <v>2017</v>
      </c>
      <c r="E9775" t="s">
        <v>1809</v>
      </c>
      <c r="F9775">
        <v>3183507.359999621</v>
      </c>
    </row>
    <row r="9776" spans="1:6">
      <c r="A9776" t="s">
        <v>27</v>
      </c>
      <c r="B9776" t="s">
        <v>234</v>
      </c>
      <c r="C9776" t="s">
        <v>861</v>
      </c>
      <c r="D9776" t="s">
        <v>2017</v>
      </c>
      <c r="E9776" t="s">
        <v>1626</v>
      </c>
      <c r="F9776">
        <v>3170541.229999621</v>
      </c>
    </row>
    <row r="9777" spans="1:6">
      <c r="A9777" t="s">
        <v>27</v>
      </c>
      <c r="B9777" t="s">
        <v>234</v>
      </c>
      <c r="C9777" t="s">
        <v>861</v>
      </c>
      <c r="D9777" t="s">
        <v>2017</v>
      </c>
      <c r="E9777" t="s">
        <v>1628</v>
      </c>
      <c r="F9777">
        <v>3163006.249999621</v>
      </c>
    </row>
    <row r="9778" spans="1:6">
      <c r="A9778" t="s">
        <v>27</v>
      </c>
      <c r="B9778" t="s">
        <v>234</v>
      </c>
      <c r="C9778" t="s">
        <v>861</v>
      </c>
      <c r="D9778" t="s">
        <v>2017</v>
      </c>
      <c r="E9778" t="s">
        <v>1629</v>
      </c>
      <c r="F9778">
        <v>3156082.699999996</v>
      </c>
    </row>
    <row r="9779" spans="1:6">
      <c r="A9779" t="s">
        <v>27</v>
      </c>
      <c r="B9779" t="s">
        <v>234</v>
      </c>
      <c r="C9779" t="s">
        <v>861</v>
      </c>
      <c r="D9779" t="s">
        <v>2017</v>
      </c>
      <c r="E9779" t="s">
        <v>1630</v>
      </c>
      <c r="F9779">
        <v>3146351.609999996</v>
      </c>
    </row>
    <row r="9780" spans="1:6">
      <c r="A9780" t="s">
        <v>27</v>
      </c>
      <c r="B9780" t="s">
        <v>234</v>
      </c>
      <c r="C9780" t="s">
        <v>861</v>
      </c>
      <c r="D9780" t="s">
        <v>2017</v>
      </c>
      <c r="E9780" t="s">
        <v>1631</v>
      </c>
      <c r="F9780">
        <v>3128480.049999997</v>
      </c>
    </row>
    <row r="9781" spans="1:6">
      <c r="A9781" t="s">
        <v>27</v>
      </c>
      <c r="B9781" t="s">
        <v>234</v>
      </c>
      <c r="C9781" t="s">
        <v>861</v>
      </c>
      <c r="D9781" t="s">
        <v>2017</v>
      </c>
      <c r="E9781" t="s">
        <v>1632</v>
      </c>
      <c r="F9781">
        <v>3115426.710000068</v>
      </c>
    </row>
    <row r="9782" spans="1:6">
      <c r="A9782" t="s">
        <v>27</v>
      </c>
      <c r="B9782" t="s">
        <v>234</v>
      </c>
      <c r="C9782" t="s">
        <v>861</v>
      </c>
      <c r="D9782" t="s">
        <v>2017</v>
      </c>
      <c r="E9782" t="s">
        <v>1633</v>
      </c>
      <c r="F9782">
        <v>3109426.200000068</v>
      </c>
    </row>
    <row r="9783" spans="1:6">
      <c r="A9783" t="s">
        <v>27</v>
      </c>
      <c r="B9783" t="s">
        <v>234</v>
      </c>
      <c r="C9783" t="s">
        <v>861</v>
      </c>
      <c r="D9783" t="s">
        <v>2017</v>
      </c>
      <c r="E9783" t="s">
        <v>1634</v>
      </c>
      <c r="F9783">
        <v>3096570.700000068</v>
      </c>
    </row>
    <row r="9784" spans="1:6">
      <c r="A9784" t="s">
        <v>27</v>
      </c>
      <c r="B9784" t="s">
        <v>234</v>
      </c>
      <c r="C9784" t="s">
        <v>861</v>
      </c>
      <c r="D9784" t="s">
        <v>2017</v>
      </c>
      <c r="E9784" t="s">
        <v>1635</v>
      </c>
      <c r="F9784">
        <v>3085863.040000072</v>
      </c>
    </row>
    <row r="9785" spans="1:6">
      <c r="A9785" t="s">
        <v>27</v>
      </c>
      <c r="B9785" t="s">
        <v>234</v>
      </c>
      <c r="C9785" t="s">
        <v>861</v>
      </c>
      <c r="D9785" t="s">
        <v>2017</v>
      </c>
      <c r="E9785" t="s">
        <v>1636</v>
      </c>
      <c r="F9785">
        <v>2448336.320000074</v>
      </c>
    </row>
    <row r="9786" spans="1:6">
      <c r="A9786" t="s">
        <v>27</v>
      </c>
      <c r="B9786" t="s">
        <v>234</v>
      </c>
      <c r="C9786" t="s">
        <v>861</v>
      </c>
      <c r="D9786" t="s">
        <v>2017</v>
      </c>
      <c r="E9786" t="s">
        <v>1637</v>
      </c>
      <c r="F9786">
        <v>2430891.580000074</v>
      </c>
    </row>
    <row r="9787" spans="1:6">
      <c r="A9787" t="s">
        <v>27</v>
      </c>
      <c r="B9787" t="s">
        <v>234</v>
      </c>
      <c r="C9787" t="s">
        <v>861</v>
      </c>
      <c r="D9787" t="s">
        <v>2017</v>
      </c>
      <c r="E9787" t="s">
        <v>2805</v>
      </c>
      <c r="F9787">
        <v>2413407.260000074</v>
      </c>
    </row>
    <row r="9788" spans="1:6">
      <c r="A9788" t="s">
        <v>27</v>
      </c>
      <c r="B9788" t="s">
        <v>234</v>
      </c>
      <c r="C9788" t="s">
        <v>861</v>
      </c>
      <c r="D9788" t="s">
        <v>2017</v>
      </c>
      <c r="E9788" t="s">
        <v>2806</v>
      </c>
      <c r="F9788">
        <v>2404369.650000077</v>
      </c>
    </row>
    <row r="9789" spans="1:6">
      <c r="A9789" t="s">
        <v>27</v>
      </c>
      <c r="B9789" t="s">
        <v>234</v>
      </c>
      <c r="C9789" t="s">
        <v>861</v>
      </c>
      <c r="D9789" t="s">
        <v>2017</v>
      </c>
      <c r="E9789" t="s">
        <v>2807</v>
      </c>
      <c r="F9789">
        <v>2392358.980000072</v>
      </c>
    </row>
    <row r="9790" spans="1:6">
      <c r="A9790" t="s">
        <v>27</v>
      </c>
      <c r="B9790" t="s">
        <v>234</v>
      </c>
      <c r="C9790" t="s">
        <v>861</v>
      </c>
      <c r="D9790" t="s">
        <v>2017</v>
      </c>
      <c r="E9790" t="s">
        <v>1177</v>
      </c>
      <c r="F9790">
        <v>2016</v>
      </c>
    </row>
    <row r="9791" spans="1:6">
      <c r="A9791" t="s">
        <v>27</v>
      </c>
      <c r="B9791" t="s">
        <v>234</v>
      </c>
      <c r="C9791" t="s">
        <v>861</v>
      </c>
      <c r="D9791" t="s">
        <v>2017</v>
      </c>
      <c r="E9791" t="s">
        <v>1178</v>
      </c>
      <c r="F9791">
        <v>2338804.489999052</v>
      </c>
    </row>
    <row r="9792" spans="1:6">
      <c r="A9792" t="s">
        <v>27</v>
      </c>
      <c r="B9792" t="s">
        <v>234</v>
      </c>
      <c r="C9792" t="s">
        <v>861</v>
      </c>
      <c r="D9792" t="s">
        <v>2017</v>
      </c>
      <c r="E9792" t="s">
        <v>1179</v>
      </c>
      <c r="F9792">
        <v>2298565.989999052</v>
      </c>
    </row>
    <row r="9793" spans="1:6">
      <c r="A9793" t="s">
        <v>27</v>
      </c>
      <c r="B9793" t="s">
        <v>234</v>
      </c>
      <c r="C9793" t="s">
        <v>861</v>
      </c>
      <c r="D9793" t="s">
        <v>2017</v>
      </c>
      <c r="E9793" t="s">
        <v>1180</v>
      </c>
      <c r="F9793">
        <v>2288180.789999051</v>
      </c>
    </row>
    <row r="9794" spans="1:6">
      <c r="A9794" t="s">
        <v>27</v>
      </c>
      <c r="B9794" t="s">
        <v>234</v>
      </c>
      <c r="C9794" t="s">
        <v>861</v>
      </c>
      <c r="D9794" t="s">
        <v>2017</v>
      </c>
      <c r="E9794" t="s">
        <v>1181</v>
      </c>
      <c r="F9794">
        <v>2286330.759999051</v>
      </c>
    </row>
    <row r="9795" spans="1:6">
      <c r="A9795" t="s">
        <v>27</v>
      </c>
      <c r="B9795" t="s">
        <v>234</v>
      </c>
      <c r="C9795" t="s">
        <v>861</v>
      </c>
      <c r="D9795" t="s">
        <v>2017</v>
      </c>
      <c r="E9795" t="s">
        <v>1849</v>
      </c>
      <c r="F9795">
        <v>2279928.839999051</v>
      </c>
    </row>
    <row r="9796" spans="1:6">
      <c r="A9796" t="s">
        <v>27</v>
      </c>
      <c r="B9796" t="s">
        <v>234</v>
      </c>
      <c r="C9796" t="s">
        <v>861</v>
      </c>
      <c r="D9796" t="s">
        <v>2017</v>
      </c>
      <c r="E9796" t="s">
        <v>1810</v>
      </c>
      <c r="F9796">
        <v>2276767.179999051</v>
      </c>
    </row>
    <row r="9797" spans="1:6">
      <c r="A9797" t="s">
        <v>27</v>
      </c>
      <c r="B9797" t="s">
        <v>234</v>
      </c>
      <c r="C9797" t="s">
        <v>861</v>
      </c>
      <c r="D9797" t="s">
        <v>2017</v>
      </c>
      <c r="E9797" t="s">
        <v>1811</v>
      </c>
      <c r="F9797">
        <v>2272349.789999051</v>
      </c>
    </row>
    <row r="9798" spans="1:6">
      <c r="A9798" t="s">
        <v>27</v>
      </c>
      <c r="B9798" t="s">
        <v>234</v>
      </c>
      <c r="C9798" t="s">
        <v>861</v>
      </c>
      <c r="D9798" t="s">
        <v>2017</v>
      </c>
      <c r="E9798" t="s">
        <v>1812</v>
      </c>
      <c r="F9798">
        <v>2268112.539999051</v>
      </c>
    </row>
    <row r="9799" spans="1:6">
      <c r="A9799" t="s">
        <v>27</v>
      </c>
      <c r="B9799" t="s">
        <v>234</v>
      </c>
      <c r="C9799" t="s">
        <v>861</v>
      </c>
      <c r="D9799" t="s">
        <v>2017</v>
      </c>
      <c r="E9799" t="s">
        <v>1850</v>
      </c>
      <c r="F9799">
        <v>2266562.409999051</v>
      </c>
    </row>
    <row r="9800" spans="1:6">
      <c r="A9800" t="s">
        <v>27</v>
      </c>
      <c r="B9800" t="s">
        <v>234</v>
      </c>
      <c r="C9800" t="s">
        <v>861</v>
      </c>
      <c r="D9800" t="s">
        <v>2017</v>
      </c>
      <c r="E9800" t="s">
        <v>1851</v>
      </c>
      <c r="F9800">
        <v>2263618.649999998</v>
      </c>
    </row>
    <row r="9801" spans="1:6">
      <c r="A9801" t="s">
        <v>27</v>
      </c>
      <c r="B9801" t="s">
        <v>234</v>
      </c>
      <c r="C9801" t="s">
        <v>861</v>
      </c>
      <c r="D9801" t="s">
        <v>2017</v>
      </c>
      <c r="E9801" t="s">
        <v>2235</v>
      </c>
      <c r="F9801">
        <v>2253299.279999998</v>
      </c>
    </row>
    <row r="9802" spans="1:6">
      <c r="A9802" t="s">
        <v>27</v>
      </c>
      <c r="B9802" t="s">
        <v>234</v>
      </c>
      <c r="C9802" t="s">
        <v>861</v>
      </c>
      <c r="D9802" t="s">
        <v>2017</v>
      </c>
      <c r="E9802" t="s">
        <v>2236</v>
      </c>
      <c r="F9802">
        <v>2251797.959999998</v>
      </c>
    </row>
    <row r="9803" spans="1:6">
      <c r="A9803" t="s">
        <v>27</v>
      </c>
      <c r="B9803" t="s">
        <v>234</v>
      </c>
      <c r="C9803" t="s">
        <v>861</v>
      </c>
      <c r="D9803" t="s">
        <v>2017</v>
      </c>
      <c r="E9803" t="s">
        <v>2237</v>
      </c>
      <c r="F9803">
        <v>2245716.410000011</v>
      </c>
    </row>
    <row r="9804" spans="1:6">
      <c r="A9804" t="s">
        <v>27</v>
      </c>
      <c r="B9804" t="s">
        <v>234</v>
      </c>
      <c r="C9804" t="s">
        <v>861</v>
      </c>
      <c r="D9804" t="s">
        <v>2017</v>
      </c>
      <c r="E9804" t="s">
        <v>2238</v>
      </c>
      <c r="F9804">
        <v>2245072.300000011</v>
      </c>
    </row>
    <row r="9805" spans="1:6">
      <c r="A9805" t="s">
        <v>27</v>
      </c>
      <c r="B9805" t="s">
        <v>234</v>
      </c>
      <c r="C9805" t="s">
        <v>861</v>
      </c>
      <c r="D9805" t="s">
        <v>2017</v>
      </c>
      <c r="E9805" t="s">
        <v>2239</v>
      </c>
      <c r="F9805">
        <v>2244448.300000011</v>
      </c>
    </row>
    <row r="9806" spans="1:6">
      <c r="A9806" t="s">
        <v>27</v>
      </c>
      <c r="B9806" t="s">
        <v>234</v>
      </c>
      <c r="C9806" t="s">
        <v>861</v>
      </c>
      <c r="D9806" t="s">
        <v>2017</v>
      </c>
      <c r="E9806" t="s">
        <v>2240</v>
      </c>
      <c r="F9806">
        <v>2244014.990000011</v>
      </c>
    </row>
    <row r="9807" spans="1:6">
      <c r="A9807" t="s">
        <v>27</v>
      </c>
      <c r="B9807" t="s">
        <v>234</v>
      </c>
      <c r="C9807" t="s">
        <v>861</v>
      </c>
      <c r="D9807" t="s">
        <v>2017</v>
      </c>
      <c r="E9807" t="s">
        <v>2241</v>
      </c>
      <c r="F9807">
        <v>1301123.670000002</v>
      </c>
    </row>
    <row r="9808" spans="1:6">
      <c r="A9808" t="s">
        <v>27</v>
      </c>
      <c r="B9808" t="s">
        <v>234</v>
      </c>
      <c r="C9808" t="s">
        <v>861</v>
      </c>
      <c r="D9808" t="s">
        <v>2017</v>
      </c>
      <c r="E9808" t="s">
        <v>2242</v>
      </c>
      <c r="F9808">
        <v>1292551.320000001</v>
      </c>
    </row>
    <row r="9809" spans="1:6">
      <c r="A9809" t="s">
        <v>27</v>
      </c>
      <c r="B9809" t="s">
        <v>234</v>
      </c>
      <c r="C9809" t="s">
        <v>861</v>
      </c>
      <c r="D9809" t="s">
        <v>2017</v>
      </c>
      <c r="E9809" t="s">
        <v>2808</v>
      </c>
      <c r="F9809">
        <v>1287742.360000002</v>
      </c>
    </row>
    <row r="9810" spans="1:6">
      <c r="A9810" t="s">
        <v>27</v>
      </c>
      <c r="B9810" t="s">
        <v>234</v>
      </c>
      <c r="C9810" t="s">
        <v>861</v>
      </c>
      <c r="D9810" t="s">
        <v>2017</v>
      </c>
      <c r="E9810" t="s">
        <v>2809</v>
      </c>
      <c r="F9810">
        <v>1287699.670000002</v>
      </c>
    </row>
    <row r="9811" spans="1:6">
      <c r="A9811" t="s">
        <v>27</v>
      </c>
      <c r="B9811" t="s">
        <v>234</v>
      </c>
      <c r="C9811" t="s">
        <v>861</v>
      </c>
      <c r="D9811" t="s">
        <v>2017</v>
      </c>
      <c r="E9811" t="s">
        <v>2810</v>
      </c>
      <c r="F9811">
        <v>1285132.259999954</v>
      </c>
    </row>
    <row r="9812" spans="1:6">
      <c r="A9812" t="s">
        <v>27</v>
      </c>
      <c r="B9812" t="s">
        <v>234</v>
      </c>
      <c r="C9812" t="s">
        <v>861</v>
      </c>
      <c r="D9812" t="s">
        <v>2017</v>
      </c>
      <c r="E9812" t="s">
        <v>1455</v>
      </c>
      <c r="F9812">
        <v>2017</v>
      </c>
    </row>
    <row r="9813" spans="1:6">
      <c r="A9813" t="s">
        <v>27</v>
      </c>
      <c r="B9813" t="s">
        <v>234</v>
      </c>
      <c r="C9813" t="s">
        <v>861</v>
      </c>
      <c r="D9813" t="s">
        <v>2017</v>
      </c>
      <c r="E9813" t="s">
        <v>1456</v>
      </c>
      <c r="F9813">
        <v>2582928.75999923</v>
      </c>
    </row>
    <row r="9814" spans="1:6">
      <c r="A9814" t="s">
        <v>27</v>
      </c>
      <c r="B9814" t="s">
        <v>234</v>
      </c>
      <c r="C9814" t="s">
        <v>861</v>
      </c>
      <c r="D9814" t="s">
        <v>2017</v>
      </c>
      <c r="E9814" t="s">
        <v>1458</v>
      </c>
      <c r="F9814">
        <v>2504440.789999229</v>
      </c>
    </row>
    <row r="9815" spans="1:6">
      <c r="A9815" t="s">
        <v>27</v>
      </c>
      <c r="B9815" t="s">
        <v>234</v>
      </c>
      <c r="C9815" t="s">
        <v>861</v>
      </c>
      <c r="D9815" t="s">
        <v>2017</v>
      </c>
      <c r="E9815" t="s">
        <v>1557</v>
      </c>
      <c r="F9815">
        <v>2497833.099999229</v>
      </c>
    </row>
    <row r="9816" spans="1:6">
      <c r="A9816" t="s">
        <v>27</v>
      </c>
      <c r="B9816" t="s">
        <v>234</v>
      </c>
      <c r="C9816" t="s">
        <v>861</v>
      </c>
      <c r="D9816" t="s">
        <v>2017</v>
      </c>
      <c r="E9816" t="s">
        <v>1558</v>
      </c>
      <c r="F9816">
        <v>2497474.769999229</v>
      </c>
    </row>
    <row r="9817" spans="1:6">
      <c r="A9817" t="s">
        <v>27</v>
      </c>
      <c r="B9817" t="s">
        <v>234</v>
      </c>
      <c r="C9817" t="s">
        <v>861</v>
      </c>
      <c r="D9817" t="s">
        <v>2017</v>
      </c>
      <c r="E9817" t="s">
        <v>2243</v>
      </c>
      <c r="F9817">
        <v>2496877.049999229</v>
      </c>
    </row>
    <row r="9818" spans="1:6">
      <c r="A9818" t="s">
        <v>27</v>
      </c>
      <c r="B9818" t="s">
        <v>234</v>
      </c>
      <c r="C9818" t="s">
        <v>861</v>
      </c>
      <c r="D9818" t="s">
        <v>2017</v>
      </c>
      <c r="E9818" t="s">
        <v>1813</v>
      </c>
      <c r="F9818">
        <v>2494161.949999229</v>
      </c>
    </row>
    <row r="9819" spans="1:6">
      <c r="A9819" t="s">
        <v>27</v>
      </c>
      <c r="B9819" t="s">
        <v>234</v>
      </c>
      <c r="C9819" t="s">
        <v>861</v>
      </c>
      <c r="D9819" t="s">
        <v>2017</v>
      </c>
      <c r="E9819" t="s">
        <v>1814</v>
      </c>
      <c r="F9819">
        <v>2486013.189999229</v>
      </c>
    </row>
    <row r="9820" spans="1:6">
      <c r="A9820" t="s">
        <v>27</v>
      </c>
      <c r="B9820" t="s">
        <v>234</v>
      </c>
      <c r="C9820" t="s">
        <v>861</v>
      </c>
      <c r="D9820" t="s">
        <v>2017</v>
      </c>
      <c r="E9820" t="s">
        <v>1638</v>
      </c>
      <c r="F9820">
        <v>2482946.249999229</v>
      </c>
    </row>
    <row r="9821" spans="1:6">
      <c r="A9821" t="s">
        <v>27</v>
      </c>
      <c r="B9821" t="s">
        <v>234</v>
      </c>
      <c r="C9821" t="s">
        <v>861</v>
      </c>
      <c r="D9821" t="s">
        <v>2017</v>
      </c>
      <c r="E9821" t="s">
        <v>1640</v>
      </c>
      <c r="F9821">
        <v>2482316.259999229</v>
      </c>
    </row>
    <row r="9822" spans="1:6">
      <c r="A9822" t="s">
        <v>27</v>
      </c>
      <c r="B9822" t="s">
        <v>234</v>
      </c>
      <c r="C9822" t="s">
        <v>861</v>
      </c>
      <c r="D9822" t="s">
        <v>2017</v>
      </c>
      <c r="E9822" t="s">
        <v>1641</v>
      </c>
      <c r="F9822">
        <v>2479142.180000003</v>
      </c>
    </row>
    <row r="9823" spans="1:6">
      <c r="A9823" t="s">
        <v>27</v>
      </c>
      <c r="B9823" t="s">
        <v>234</v>
      </c>
      <c r="C9823" t="s">
        <v>861</v>
      </c>
      <c r="D9823" t="s">
        <v>2017</v>
      </c>
      <c r="E9823" t="s">
        <v>1642</v>
      </c>
      <c r="F9823">
        <v>2457072.750000003</v>
      </c>
    </row>
    <row r="9824" spans="1:6">
      <c r="A9824" t="s">
        <v>27</v>
      </c>
      <c r="B9824" t="s">
        <v>234</v>
      </c>
      <c r="C9824" t="s">
        <v>861</v>
      </c>
      <c r="D9824" t="s">
        <v>2017</v>
      </c>
      <c r="E9824" t="s">
        <v>1643</v>
      </c>
      <c r="F9824">
        <v>2438997.770000002</v>
      </c>
    </row>
    <row r="9825" spans="1:6">
      <c r="A9825" t="s">
        <v>27</v>
      </c>
      <c r="B9825" t="s">
        <v>234</v>
      </c>
      <c r="C9825" t="s">
        <v>861</v>
      </c>
      <c r="D9825" t="s">
        <v>2017</v>
      </c>
      <c r="E9825" t="s">
        <v>1644</v>
      </c>
      <c r="F9825">
        <v>2420112.769999709</v>
      </c>
    </row>
    <row r="9826" spans="1:6">
      <c r="A9826" t="s">
        <v>27</v>
      </c>
      <c r="B9826" t="s">
        <v>234</v>
      </c>
      <c r="C9826" t="s">
        <v>861</v>
      </c>
      <c r="D9826" t="s">
        <v>2017</v>
      </c>
      <c r="E9826" t="s">
        <v>1645</v>
      </c>
      <c r="F9826">
        <v>2406300.789999709</v>
      </c>
    </row>
    <row r="9827" spans="1:6">
      <c r="A9827" t="s">
        <v>27</v>
      </c>
      <c r="B9827" t="s">
        <v>234</v>
      </c>
      <c r="C9827" t="s">
        <v>861</v>
      </c>
      <c r="D9827" t="s">
        <v>2017</v>
      </c>
      <c r="E9827" t="s">
        <v>1646</v>
      </c>
      <c r="F9827">
        <v>2391777.779999708</v>
      </c>
    </row>
    <row r="9828" spans="1:6">
      <c r="A9828" t="s">
        <v>27</v>
      </c>
      <c r="B9828" t="s">
        <v>234</v>
      </c>
      <c r="C9828" t="s">
        <v>861</v>
      </c>
      <c r="D9828" t="s">
        <v>2017</v>
      </c>
      <c r="E9828" t="s">
        <v>1647</v>
      </c>
      <c r="F9828">
        <v>2379093.529999703</v>
      </c>
    </row>
    <row r="9829" spans="1:6">
      <c r="A9829" t="s">
        <v>27</v>
      </c>
      <c r="B9829" t="s">
        <v>234</v>
      </c>
      <c r="C9829" t="s">
        <v>861</v>
      </c>
      <c r="D9829" t="s">
        <v>2017</v>
      </c>
      <c r="E9829" t="s">
        <v>1648</v>
      </c>
      <c r="F9829">
        <v>1307036.279999684</v>
      </c>
    </row>
    <row r="9830" spans="1:6">
      <c r="A9830" t="s">
        <v>27</v>
      </c>
      <c r="B9830" t="s">
        <v>234</v>
      </c>
      <c r="C9830" t="s">
        <v>861</v>
      </c>
      <c r="D9830" t="s">
        <v>2017</v>
      </c>
      <c r="E9830" t="s">
        <v>1649</v>
      </c>
      <c r="F9830">
        <v>1290443.449999684</v>
      </c>
    </row>
    <row r="9831" spans="1:6">
      <c r="A9831" t="s">
        <v>27</v>
      </c>
      <c r="B9831" t="s">
        <v>234</v>
      </c>
      <c r="C9831" t="s">
        <v>861</v>
      </c>
      <c r="D9831" t="s">
        <v>2017</v>
      </c>
      <c r="E9831" t="s">
        <v>2811</v>
      </c>
      <c r="F9831">
        <v>1284079.289999703</v>
      </c>
    </row>
    <row r="9832" spans="1:6">
      <c r="A9832" t="s">
        <v>27</v>
      </c>
      <c r="B9832" t="s">
        <v>234</v>
      </c>
      <c r="C9832" t="s">
        <v>861</v>
      </c>
      <c r="D9832" t="s">
        <v>2017</v>
      </c>
      <c r="E9832" t="s">
        <v>2812</v>
      </c>
      <c r="F9832">
        <v>1277724.819999703</v>
      </c>
    </row>
    <row r="9833" spans="1:6">
      <c r="A9833" t="s">
        <v>27</v>
      </c>
      <c r="B9833" t="s">
        <v>234</v>
      </c>
      <c r="C9833" t="s">
        <v>861</v>
      </c>
      <c r="D9833" t="s">
        <v>2017</v>
      </c>
      <c r="E9833" t="s">
        <v>2813</v>
      </c>
      <c r="F9833">
        <v>1272971.969999789</v>
      </c>
    </row>
    <row r="9834" spans="1:6">
      <c r="A9834" t="s">
        <v>27</v>
      </c>
      <c r="B9834" t="s">
        <v>234</v>
      </c>
      <c r="C9834" t="s">
        <v>861</v>
      </c>
      <c r="D9834" t="s">
        <v>2017</v>
      </c>
      <c r="E9834" t="s">
        <v>1186</v>
      </c>
      <c r="F9834">
        <v>2018</v>
      </c>
    </row>
    <row r="9835" spans="1:6">
      <c r="A9835" t="s">
        <v>27</v>
      </c>
      <c r="B9835" t="s">
        <v>234</v>
      </c>
      <c r="C9835" t="s">
        <v>861</v>
      </c>
      <c r="D9835" t="s">
        <v>2017</v>
      </c>
      <c r="E9835" t="s">
        <v>1187</v>
      </c>
      <c r="F9835">
        <v>2400215.669999573</v>
      </c>
    </row>
    <row r="9836" spans="1:6">
      <c r="A9836" t="s">
        <v>27</v>
      </c>
      <c r="B9836" t="s">
        <v>234</v>
      </c>
      <c r="C9836" t="s">
        <v>861</v>
      </c>
      <c r="D9836" t="s">
        <v>2017</v>
      </c>
      <c r="E9836" t="s">
        <v>1188</v>
      </c>
      <c r="F9836">
        <v>2339315.079999573</v>
      </c>
    </row>
    <row r="9837" spans="1:6">
      <c r="A9837" t="s">
        <v>27</v>
      </c>
      <c r="B9837" t="s">
        <v>234</v>
      </c>
      <c r="C9837" t="s">
        <v>861</v>
      </c>
      <c r="D9837" t="s">
        <v>2017</v>
      </c>
      <c r="E9837" t="s">
        <v>1189</v>
      </c>
      <c r="F9837">
        <v>2329438.159999573</v>
      </c>
    </row>
    <row r="9838" spans="1:6">
      <c r="A9838" t="s">
        <v>27</v>
      </c>
      <c r="B9838" t="s">
        <v>234</v>
      </c>
      <c r="C9838" t="s">
        <v>861</v>
      </c>
      <c r="D9838" t="s">
        <v>2017</v>
      </c>
      <c r="E9838" t="s">
        <v>1190</v>
      </c>
      <c r="F9838">
        <v>2328671.559999573</v>
      </c>
    </row>
    <row r="9839" spans="1:6">
      <c r="A9839" t="s">
        <v>27</v>
      </c>
      <c r="B9839" t="s">
        <v>234</v>
      </c>
      <c r="C9839" t="s">
        <v>861</v>
      </c>
      <c r="D9839" t="s">
        <v>2017</v>
      </c>
      <c r="E9839" t="s">
        <v>2244</v>
      </c>
      <c r="F9839">
        <v>2324702.759999573</v>
      </c>
    </row>
    <row r="9840" spans="1:6">
      <c r="A9840" t="s">
        <v>27</v>
      </c>
      <c r="B9840" t="s">
        <v>234</v>
      </c>
      <c r="C9840" t="s">
        <v>861</v>
      </c>
      <c r="D9840" t="s">
        <v>2017</v>
      </c>
      <c r="E9840" t="s">
        <v>1815</v>
      </c>
      <c r="F9840">
        <v>2321356.229999573</v>
      </c>
    </row>
    <row r="9841" spans="1:6">
      <c r="A9841" t="s">
        <v>27</v>
      </c>
      <c r="B9841" t="s">
        <v>234</v>
      </c>
      <c r="C9841" t="s">
        <v>861</v>
      </c>
      <c r="D9841" t="s">
        <v>2017</v>
      </c>
      <c r="E9841" t="s">
        <v>1816</v>
      </c>
      <c r="F9841">
        <v>2312724.989999573</v>
      </c>
    </row>
    <row r="9842" spans="1:6">
      <c r="A9842" t="s">
        <v>27</v>
      </c>
      <c r="B9842" t="s">
        <v>234</v>
      </c>
      <c r="C9842" t="s">
        <v>861</v>
      </c>
      <c r="D9842" t="s">
        <v>2017</v>
      </c>
      <c r="E9842" t="s">
        <v>1817</v>
      </c>
      <c r="F9842">
        <v>2311435.439999573</v>
      </c>
    </row>
    <row r="9843" spans="1:6">
      <c r="A9843" t="s">
        <v>27</v>
      </c>
      <c r="B9843" t="s">
        <v>234</v>
      </c>
      <c r="C9843" t="s">
        <v>861</v>
      </c>
      <c r="D9843" t="s">
        <v>2017</v>
      </c>
      <c r="E9843" t="s">
        <v>2245</v>
      </c>
      <c r="F9843">
        <v>2310557.249999573</v>
      </c>
    </row>
    <row r="9844" spans="1:6">
      <c r="A9844" t="s">
        <v>27</v>
      </c>
      <c r="B9844" t="s">
        <v>234</v>
      </c>
      <c r="C9844" t="s">
        <v>861</v>
      </c>
      <c r="D9844" t="s">
        <v>2017</v>
      </c>
      <c r="E9844" t="s">
        <v>2246</v>
      </c>
      <c r="F9844">
        <v>2307245.050000005</v>
      </c>
    </row>
    <row r="9845" spans="1:6">
      <c r="A9845" t="s">
        <v>27</v>
      </c>
      <c r="B9845" t="s">
        <v>234</v>
      </c>
      <c r="C9845" t="s">
        <v>861</v>
      </c>
      <c r="D9845" t="s">
        <v>2017</v>
      </c>
      <c r="E9845" t="s">
        <v>2247</v>
      </c>
      <c r="F9845">
        <v>2266837.760000004</v>
      </c>
    </row>
    <row r="9846" spans="1:6">
      <c r="A9846" t="s">
        <v>27</v>
      </c>
      <c r="B9846" t="s">
        <v>234</v>
      </c>
      <c r="C9846" t="s">
        <v>861</v>
      </c>
      <c r="D9846" t="s">
        <v>2017</v>
      </c>
      <c r="E9846" t="s">
        <v>2248</v>
      </c>
      <c r="F9846">
        <v>2261783.470000006</v>
      </c>
    </row>
    <row r="9847" spans="1:6">
      <c r="A9847" t="s">
        <v>27</v>
      </c>
      <c r="B9847" t="s">
        <v>234</v>
      </c>
      <c r="C9847" t="s">
        <v>861</v>
      </c>
      <c r="D9847" t="s">
        <v>2017</v>
      </c>
      <c r="E9847" t="s">
        <v>2249</v>
      </c>
      <c r="F9847">
        <v>2262707.730000023</v>
      </c>
    </row>
    <row r="9848" spans="1:6">
      <c r="A9848" t="s">
        <v>27</v>
      </c>
      <c r="B9848" t="s">
        <v>234</v>
      </c>
      <c r="C9848" t="s">
        <v>861</v>
      </c>
      <c r="D9848" t="s">
        <v>2017</v>
      </c>
      <c r="E9848" t="s">
        <v>2250</v>
      </c>
      <c r="F9848">
        <v>2261334.590000023</v>
      </c>
    </row>
    <row r="9849" spans="1:6">
      <c r="A9849" t="s">
        <v>27</v>
      </c>
      <c r="B9849" t="s">
        <v>234</v>
      </c>
      <c r="C9849" t="s">
        <v>861</v>
      </c>
      <c r="D9849" t="s">
        <v>2017</v>
      </c>
      <c r="E9849" t="s">
        <v>2251</v>
      </c>
      <c r="F9849">
        <v>2256613.590000023</v>
      </c>
    </row>
    <row r="9850" spans="1:6">
      <c r="A9850" t="s">
        <v>27</v>
      </c>
      <c r="B9850" t="s">
        <v>234</v>
      </c>
      <c r="C9850" t="s">
        <v>861</v>
      </c>
      <c r="D9850" t="s">
        <v>2017</v>
      </c>
      <c r="E9850" t="s">
        <v>2252</v>
      </c>
      <c r="F9850">
        <v>2254716.00000002</v>
      </c>
    </row>
    <row r="9851" spans="1:6">
      <c r="A9851" t="s">
        <v>27</v>
      </c>
      <c r="B9851" t="s">
        <v>234</v>
      </c>
      <c r="C9851" t="s">
        <v>861</v>
      </c>
      <c r="D9851" t="s">
        <v>2017</v>
      </c>
      <c r="E9851" t="s">
        <v>2253</v>
      </c>
      <c r="F9851">
        <v>1213343.530000023</v>
      </c>
    </row>
    <row r="9852" spans="1:6">
      <c r="A9852" t="s">
        <v>27</v>
      </c>
      <c r="B9852" t="s">
        <v>234</v>
      </c>
      <c r="C9852" t="s">
        <v>861</v>
      </c>
      <c r="D9852" t="s">
        <v>2017</v>
      </c>
      <c r="E9852" t="s">
        <v>2254</v>
      </c>
      <c r="F9852">
        <v>1211495.900000023</v>
      </c>
    </row>
    <row r="9853" spans="1:6">
      <c r="A9853" t="s">
        <v>27</v>
      </c>
      <c r="B9853" t="s">
        <v>234</v>
      </c>
      <c r="C9853" t="s">
        <v>861</v>
      </c>
      <c r="D9853" t="s">
        <v>2017</v>
      </c>
      <c r="E9853" t="s">
        <v>2814</v>
      </c>
      <c r="F9853">
        <v>1210108.190000023</v>
      </c>
    </row>
    <row r="9854" spans="1:6">
      <c r="A9854" t="s">
        <v>27</v>
      </c>
      <c r="B9854" t="s">
        <v>234</v>
      </c>
      <c r="C9854" t="s">
        <v>861</v>
      </c>
      <c r="D9854" t="s">
        <v>2017</v>
      </c>
      <c r="E9854" t="s">
        <v>2815</v>
      </c>
      <c r="F9854">
        <v>1208848.430000023</v>
      </c>
    </row>
    <row r="9855" spans="1:6">
      <c r="A9855" t="s">
        <v>27</v>
      </c>
      <c r="B9855" t="s">
        <v>234</v>
      </c>
      <c r="C9855" t="s">
        <v>861</v>
      </c>
      <c r="D9855" t="s">
        <v>2017</v>
      </c>
      <c r="E9855" t="s">
        <v>2816</v>
      </c>
      <c r="F9855">
        <v>1205925.600000004</v>
      </c>
    </row>
    <row r="9856" spans="1:6">
      <c r="A9856" t="s">
        <v>27</v>
      </c>
      <c r="B9856" t="s">
        <v>234</v>
      </c>
      <c r="C9856" t="s">
        <v>861</v>
      </c>
      <c r="D9856" t="s">
        <v>2017</v>
      </c>
      <c r="E9856" t="s">
        <v>1194</v>
      </c>
      <c r="F9856">
        <v>2019</v>
      </c>
    </row>
    <row r="9857" spans="1:6">
      <c r="A9857" t="s">
        <v>27</v>
      </c>
      <c r="B9857" t="s">
        <v>234</v>
      </c>
      <c r="C9857" t="s">
        <v>861</v>
      </c>
      <c r="D9857" t="s">
        <v>2017</v>
      </c>
      <c r="E9857" t="s">
        <v>1195</v>
      </c>
      <c r="F9857">
        <v>2226359.169999797</v>
      </c>
    </row>
    <row r="9858" spans="1:6">
      <c r="A9858" t="s">
        <v>27</v>
      </c>
      <c r="B9858" t="s">
        <v>234</v>
      </c>
      <c r="C9858" t="s">
        <v>861</v>
      </c>
      <c r="D9858" t="s">
        <v>2017</v>
      </c>
      <c r="E9858" t="s">
        <v>1196</v>
      </c>
      <c r="F9858">
        <v>2181849.129999797</v>
      </c>
    </row>
    <row r="9859" spans="1:6">
      <c r="A9859" t="s">
        <v>27</v>
      </c>
      <c r="B9859" t="s">
        <v>234</v>
      </c>
      <c r="C9859" t="s">
        <v>861</v>
      </c>
      <c r="D9859" t="s">
        <v>2017</v>
      </c>
      <c r="E9859" t="s">
        <v>1197</v>
      </c>
      <c r="F9859">
        <v>2170976.549999796</v>
      </c>
    </row>
    <row r="9860" spans="1:6">
      <c r="A9860" t="s">
        <v>27</v>
      </c>
      <c r="B9860" t="s">
        <v>234</v>
      </c>
      <c r="C9860" t="s">
        <v>861</v>
      </c>
      <c r="D9860" t="s">
        <v>2017</v>
      </c>
      <c r="E9860" t="s">
        <v>1198</v>
      </c>
      <c r="F9860">
        <v>2170505.759999796</v>
      </c>
    </row>
    <row r="9861" spans="1:6">
      <c r="A9861" t="s">
        <v>27</v>
      </c>
      <c r="B9861" t="s">
        <v>234</v>
      </c>
      <c r="C9861" t="s">
        <v>861</v>
      </c>
      <c r="D9861" t="s">
        <v>2017</v>
      </c>
      <c r="E9861" t="s">
        <v>1852</v>
      </c>
      <c r="F9861">
        <v>2163647.129999796</v>
      </c>
    </row>
    <row r="9862" spans="1:6">
      <c r="A9862" t="s">
        <v>27</v>
      </c>
      <c r="B9862" t="s">
        <v>234</v>
      </c>
      <c r="C9862" t="s">
        <v>861</v>
      </c>
      <c r="D9862" t="s">
        <v>2017</v>
      </c>
      <c r="E9862" t="s">
        <v>1818</v>
      </c>
      <c r="F9862">
        <v>2161583.889999796</v>
      </c>
    </row>
    <row r="9863" spans="1:6">
      <c r="A9863" t="s">
        <v>27</v>
      </c>
      <c r="B9863" t="s">
        <v>234</v>
      </c>
      <c r="C9863" t="s">
        <v>861</v>
      </c>
      <c r="D9863" t="s">
        <v>2017</v>
      </c>
      <c r="E9863" t="s">
        <v>1819</v>
      </c>
      <c r="F9863">
        <v>2152721.209999796</v>
      </c>
    </row>
    <row r="9864" spans="1:6">
      <c r="A9864" t="s">
        <v>27</v>
      </c>
      <c r="B9864" t="s">
        <v>234</v>
      </c>
      <c r="C9864" t="s">
        <v>861</v>
      </c>
      <c r="D9864" t="s">
        <v>2017</v>
      </c>
      <c r="E9864" t="s">
        <v>1650</v>
      </c>
      <c r="F9864">
        <v>2151559.329999796</v>
      </c>
    </row>
    <row r="9865" spans="1:6">
      <c r="A9865" t="s">
        <v>27</v>
      </c>
      <c r="B9865" t="s">
        <v>234</v>
      </c>
      <c r="C9865" t="s">
        <v>861</v>
      </c>
      <c r="D9865" t="s">
        <v>2017</v>
      </c>
      <c r="E9865" t="s">
        <v>1652</v>
      </c>
      <c r="F9865">
        <v>2140926.009999796</v>
      </c>
    </row>
    <row r="9866" spans="1:6">
      <c r="A9866" t="s">
        <v>27</v>
      </c>
      <c r="B9866" t="s">
        <v>234</v>
      </c>
      <c r="C9866" t="s">
        <v>861</v>
      </c>
      <c r="D9866" t="s">
        <v>2017</v>
      </c>
      <c r="E9866" t="s">
        <v>1653</v>
      </c>
      <c r="F9866">
        <v>2139123.59</v>
      </c>
    </row>
    <row r="9867" spans="1:6">
      <c r="A9867" t="s">
        <v>27</v>
      </c>
      <c r="B9867" t="s">
        <v>234</v>
      </c>
      <c r="C9867" t="s">
        <v>861</v>
      </c>
      <c r="D9867" t="s">
        <v>2017</v>
      </c>
      <c r="E9867" t="s">
        <v>1654</v>
      </c>
      <c r="F9867">
        <v>2107227.45</v>
      </c>
    </row>
    <row r="9868" spans="1:6">
      <c r="A9868" t="s">
        <v>27</v>
      </c>
      <c r="B9868" t="s">
        <v>234</v>
      </c>
      <c r="C9868" t="s">
        <v>861</v>
      </c>
      <c r="D9868" t="s">
        <v>2017</v>
      </c>
      <c r="E9868" t="s">
        <v>1655</v>
      </c>
      <c r="F9868">
        <v>2104353.49</v>
      </c>
    </row>
    <row r="9869" spans="1:6">
      <c r="A9869" t="s">
        <v>27</v>
      </c>
      <c r="B9869" t="s">
        <v>234</v>
      </c>
      <c r="C9869" t="s">
        <v>861</v>
      </c>
      <c r="D9869" t="s">
        <v>2017</v>
      </c>
      <c r="E9869" t="s">
        <v>1656</v>
      </c>
      <c r="F9869">
        <v>2103385.300000027</v>
      </c>
    </row>
    <row r="9870" spans="1:6">
      <c r="A9870" t="s">
        <v>27</v>
      </c>
      <c r="B9870" t="s">
        <v>234</v>
      </c>
      <c r="C9870" t="s">
        <v>861</v>
      </c>
      <c r="D9870" t="s">
        <v>2017</v>
      </c>
      <c r="E9870" t="s">
        <v>1657</v>
      </c>
      <c r="F9870">
        <v>2101462.040000027</v>
      </c>
    </row>
    <row r="9871" spans="1:6">
      <c r="A9871" t="s">
        <v>27</v>
      </c>
      <c r="B9871" t="s">
        <v>234</v>
      </c>
      <c r="C9871" t="s">
        <v>861</v>
      </c>
      <c r="D9871" t="s">
        <v>2017</v>
      </c>
      <c r="E9871" t="s">
        <v>1658</v>
      </c>
      <c r="F9871">
        <v>2099460.550000027</v>
      </c>
    </row>
    <row r="9872" spans="1:6">
      <c r="A9872" t="s">
        <v>27</v>
      </c>
      <c r="B9872" t="s">
        <v>234</v>
      </c>
      <c r="C9872" t="s">
        <v>861</v>
      </c>
      <c r="D9872" t="s">
        <v>2017</v>
      </c>
      <c r="E9872" t="s">
        <v>1659</v>
      </c>
      <c r="F9872">
        <v>2097458.750000027</v>
      </c>
    </row>
    <row r="9873" spans="1:6">
      <c r="A9873" t="s">
        <v>27</v>
      </c>
      <c r="B9873" t="s">
        <v>234</v>
      </c>
      <c r="C9873" t="s">
        <v>861</v>
      </c>
      <c r="D9873" t="s">
        <v>2017</v>
      </c>
      <c r="E9873" t="s">
        <v>1660</v>
      </c>
      <c r="F9873">
        <v>1173939.740000023</v>
      </c>
    </row>
    <row r="9874" spans="1:6">
      <c r="A9874" t="s">
        <v>27</v>
      </c>
      <c r="B9874" t="s">
        <v>234</v>
      </c>
      <c r="C9874" t="s">
        <v>861</v>
      </c>
      <c r="D9874" t="s">
        <v>2017</v>
      </c>
      <c r="E9874" t="s">
        <v>1661</v>
      </c>
      <c r="F9874">
        <v>1173346.680000023</v>
      </c>
    </row>
    <row r="9875" spans="1:6">
      <c r="A9875" t="s">
        <v>27</v>
      </c>
      <c r="B9875" t="s">
        <v>234</v>
      </c>
      <c r="C9875" t="s">
        <v>861</v>
      </c>
      <c r="D9875" t="s">
        <v>2017</v>
      </c>
      <c r="E9875" t="s">
        <v>2817</v>
      </c>
      <c r="F9875">
        <v>1171655.270000023</v>
      </c>
    </row>
    <row r="9876" spans="1:6">
      <c r="A9876" t="s">
        <v>27</v>
      </c>
      <c r="B9876" t="s">
        <v>234</v>
      </c>
      <c r="C9876" t="s">
        <v>861</v>
      </c>
      <c r="D9876" t="s">
        <v>2017</v>
      </c>
      <c r="E9876" t="s">
        <v>2818</v>
      </c>
      <c r="F9876">
        <v>1171398.870000023</v>
      </c>
    </row>
    <row r="9877" spans="1:6">
      <c r="A9877" t="s">
        <v>27</v>
      </c>
      <c r="B9877" t="s">
        <v>234</v>
      </c>
      <c r="C9877" t="s">
        <v>861</v>
      </c>
      <c r="D9877" t="s">
        <v>2017</v>
      </c>
      <c r="E9877" t="s">
        <v>2819</v>
      </c>
      <c r="F9877">
        <v>1171305.16000001</v>
      </c>
    </row>
    <row r="9878" spans="1:6">
      <c r="A9878" t="s">
        <v>27</v>
      </c>
      <c r="B9878" t="s">
        <v>234</v>
      </c>
      <c r="C9878" t="s">
        <v>861</v>
      </c>
      <c r="D9878" t="s">
        <v>2017</v>
      </c>
      <c r="E9878" t="s">
        <v>1469</v>
      </c>
      <c r="F9878">
        <v>2020</v>
      </c>
    </row>
    <row r="9879" spans="1:6">
      <c r="A9879" t="s">
        <v>27</v>
      </c>
      <c r="B9879" t="s">
        <v>234</v>
      </c>
      <c r="C9879" t="s">
        <v>861</v>
      </c>
      <c r="D9879" t="s">
        <v>2017</v>
      </c>
      <c r="E9879" t="s">
        <v>1470</v>
      </c>
      <c r="F9879">
        <v>3238232.839999497</v>
      </c>
    </row>
    <row r="9880" spans="1:6">
      <c r="A9880" t="s">
        <v>27</v>
      </c>
      <c r="B9880" t="s">
        <v>234</v>
      </c>
      <c r="C9880" t="s">
        <v>861</v>
      </c>
      <c r="D9880" t="s">
        <v>2017</v>
      </c>
      <c r="E9880" t="s">
        <v>1472</v>
      </c>
      <c r="F9880">
        <v>3195324.799999497</v>
      </c>
    </row>
    <row r="9881" spans="1:6">
      <c r="A9881" t="s">
        <v>27</v>
      </c>
      <c r="B9881" t="s">
        <v>234</v>
      </c>
      <c r="C9881" t="s">
        <v>861</v>
      </c>
      <c r="D9881" t="s">
        <v>2017</v>
      </c>
      <c r="E9881" t="s">
        <v>1559</v>
      </c>
      <c r="F9881">
        <v>3186213.069999497</v>
      </c>
    </row>
    <row r="9882" spans="1:6">
      <c r="A9882" t="s">
        <v>27</v>
      </c>
      <c r="B9882" t="s">
        <v>234</v>
      </c>
      <c r="C9882" t="s">
        <v>861</v>
      </c>
      <c r="D9882" t="s">
        <v>2017</v>
      </c>
      <c r="E9882" t="s">
        <v>1560</v>
      </c>
      <c r="F9882">
        <v>3185901.819999497</v>
      </c>
    </row>
    <row r="9883" spans="1:6">
      <c r="A9883" t="s">
        <v>27</v>
      </c>
      <c r="B9883" t="s">
        <v>234</v>
      </c>
      <c r="C9883" t="s">
        <v>861</v>
      </c>
      <c r="D9883" t="s">
        <v>2017</v>
      </c>
      <c r="E9883" t="s">
        <v>1853</v>
      </c>
      <c r="F9883">
        <v>3151923.379999497</v>
      </c>
    </row>
    <row r="9884" spans="1:6">
      <c r="A9884" t="s">
        <v>27</v>
      </c>
      <c r="B9884" t="s">
        <v>234</v>
      </c>
      <c r="C9884" t="s">
        <v>861</v>
      </c>
      <c r="D9884" t="s">
        <v>2017</v>
      </c>
      <c r="E9884" t="s">
        <v>1820</v>
      </c>
      <c r="F9884">
        <v>3118314.139999497</v>
      </c>
    </row>
    <row r="9885" spans="1:6">
      <c r="A9885" t="s">
        <v>27</v>
      </c>
      <c r="B9885" t="s">
        <v>234</v>
      </c>
      <c r="C9885" t="s">
        <v>861</v>
      </c>
      <c r="D9885" t="s">
        <v>2017</v>
      </c>
      <c r="E9885" t="s">
        <v>1821</v>
      </c>
      <c r="F9885">
        <v>3078855.169999497</v>
      </c>
    </row>
    <row r="9886" spans="1:6">
      <c r="A9886" t="s">
        <v>27</v>
      </c>
      <c r="B9886" t="s">
        <v>234</v>
      </c>
      <c r="C9886" t="s">
        <v>861</v>
      </c>
      <c r="D9886" t="s">
        <v>2017</v>
      </c>
      <c r="E9886" t="s">
        <v>1822</v>
      </c>
      <c r="F9886">
        <v>3069895.819999497</v>
      </c>
    </row>
    <row r="9887" spans="1:6">
      <c r="A9887" t="s">
        <v>27</v>
      </c>
      <c r="B9887" t="s">
        <v>234</v>
      </c>
      <c r="C9887" t="s">
        <v>861</v>
      </c>
      <c r="D9887" t="s">
        <v>2017</v>
      </c>
      <c r="E9887" t="s">
        <v>1854</v>
      </c>
      <c r="F9887">
        <v>3065331.229999497</v>
      </c>
    </row>
    <row r="9888" spans="1:6">
      <c r="A9888" t="s">
        <v>27</v>
      </c>
      <c r="B9888" t="s">
        <v>234</v>
      </c>
      <c r="C9888" t="s">
        <v>861</v>
      </c>
      <c r="D9888" t="s">
        <v>2017</v>
      </c>
      <c r="E9888" t="s">
        <v>1855</v>
      </c>
      <c r="F9888">
        <v>3146629.009999984</v>
      </c>
    </row>
    <row r="9889" spans="1:6">
      <c r="A9889" t="s">
        <v>27</v>
      </c>
      <c r="B9889" t="s">
        <v>234</v>
      </c>
      <c r="C9889" t="s">
        <v>861</v>
      </c>
      <c r="D9889" t="s">
        <v>2017</v>
      </c>
      <c r="E9889" t="s">
        <v>2255</v>
      </c>
      <c r="F9889">
        <v>3140942.509999986</v>
      </c>
    </row>
    <row r="9890" spans="1:6">
      <c r="A9890" t="s">
        <v>27</v>
      </c>
      <c r="B9890" t="s">
        <v>234</v>
      </c>
      <c r="C9890" t="s">
        <v>861</v>
      </c>
      <c r="D9890" t="s">
        <v>2017</v>
      </c>
      <c r="E9890" t="s">
        <v>2256</v>
      </c>
      <c r="F9890">
        <v>3118543.509999986</v>
      </c>
    </row>
    <row r="9891" spans="1:6">
      <c r="A9891" t="s">
        <v>27</v>
      </c>
      <c r="B9891" t="s">
        <v>234</v>
      </c>
      <c r="C9891" t="s">
        <v>861</v>
      </c>
      <c r="D9891" t="s">
        <v>2017</v>
      </c>
      <c r="E9891" t="s">
        <v>2257</v>
      </c>
      <c r="F9891">
        <v>3113177.979999652</v>
      </c>
    </row>
    <row r="9892" spans="1:6">
      <c r="A9892" t="s">
        <v>27</v>
      </c>
      <c r="B9892" t="s">
        <v>234</v>
      </c>
      <c r="C9892" t="s">
        <v>861</v>
      </c>
      <c r="D9892" t="s">
        <v>2017</v>
      </c>
      <c r="E9892" t="s">
        <v>2258</v>
      </c>
      <c r="F9892">
        <v>3110068.509999652</v>
      </c>
    </row>
    <row r="9893" spans="1:6">
      <c r="A9893" t="s">
        <v>27</v>
      </c>
      <c r="B9893" t="s">
        <v>234</v>
      </c>
      <c r="C9893" t="s">
        <v>861</v>
      </c>
      <c r="D9893" t="s">
        <v>2017</v>
      </c>
      <c r="E9893" t="s">
        <v>2259</v>
      </c>
      <c r="F9893">
        <v>3105278.769999652</v>
      </c>
    </row>
    <row r="9894" spans="1:6">
      <c r="A9894" t="s">
        <v>27</v>
      </c>
      <c r="B9894" t="s">
        <v>234</v>
      </c>
      <c r="C9894" t="s">
        <v>861</v>
      </c>
      <c r="D9894" t="s">
        <v>2017</v>
      </c>
      <c r="E9894" t="s">
        <v>2260</v>
      </c>
      <c r="F9894">
        <v>3100707.099999658</v>
      </c>
    </row>
    <row r="9895" spans="1:6">
      <c r="A9895" t="s">
        <v>27</v>
      </c>
      <c r="B9895" t="s">
        <v>234</v>
      </c>
      <c r="C9895" t="s">
        <v>861</v>
      </c>
      <c r="D9895" t="s">
        <v>2017</v>
      </c>
      <c r="E9895" t="s">
        <v>2261</v>
      </c>
      <c r="F9895">
        <v>1828881.419999621</v>
      </c>
    </row>
    <row r="9896" spans="1:6">
      <c r="A9896" t="s">
        <v>27</v>
      </c>
      <c r="B9896" t="s">
        <v>234</v>
      </c>
      <c r="C9896" t="s">
        <v>861</v>
      </c>
      <c r="D9896" t="s">
        <v>2017</v>
      </c>
      <c r="E9896" t="s">
        <v>2262</v>
      </c>
      <c r="F9896">
        <v>1826170.719999621</v>
      </c>
    </row>
    <row r="9897" spans="1:6">
      <c r="A9897" t="s">
        <v>27</v>
      </c>
      <c r="B9897" t="s">
        <v>234</v>
      </c>
      <c r="C9897" t="s">
        <v>861</v>
      </c>
      <c r="D9897" t="s">
        <v>2017</v>
      </c>
      <c r="E9897" t="s">
        <v>2820</v>
      </c>
      <c r="F9897">
        <v>1824523.479999624</v>
      </c>
    </row>
    <row r="9898" spans="1:6">
      <c r="A9898" t="s">
        <v>27</v>
      </c>
      <c r="B9898" t="s">
        <v>234</v>
      </c>
      <c r="C9898" t="s">
        <v>861</v>
      </c>
      <c r="D9898" t="s">
        <v>2017</v>
      </c>
      <c r="E9898" t="s">
        <v>2821</v>
      </c>
      <c r="F9898">
        <v>1827011.299999618</v>
      </c>
    </row>
    <row r="9899" spans="1:6">
      <c r="A9899" t="s">
        <v>27</v>
      </c>
      <c r="B9899" t="s">
        <v>234</v>
      </c>
      <c r="C9899" t="s">
        <v>861</v>
      </c>
      <c r="D9899" t="s">
        <v>2017</v>
      </c>
      <c r="E9899" t="s">
        <v>2822</v>
      </c>
      <c r="F9899">
        <v>1814453.939999312</v>
      </c>
    </row>
    <row r="9900" spans="1:6">
      <c r="A9900" t="s">
        <v>27</v>
      </c>
      <c r="B9900" t="s">
        <v>234</v>
      </c>
      <c r="C9900" t="s">
        <v>861</v>
      </c>
      <c r="D9900" t="s">
        <v>2017</v>
      </c>
      <c r="E9900" t="s">
        <v>1204</v>
      </c>
      <c r="F9900">
        <v>2021</v>
      </c>
    </row>
    <row r="9901" spans="1:6">
      <c r="A9901" t="s">
        <v>27</v>
      </c>
      <c r="B9901" t="s">
        <v>234</v>
      </c>
      <c r="C9901" t="s">
        <v>861</v>
      </c>
      <c r="D9901" t="s">
        <v>2017</v>
      </c>
      <c r="E9901" t="s">
        <v>1205</v>
      </c>
      <c r="F9901">
        <v>3428313.609999548</v>
      </c>
    </row>
    <row r="9902" spans="1:6">
      <c r="A9902" t="s">
        <v>27</v>
      </c>
      <c r="B9902" t="s">
        <v>234</v>
      </c>
      <c r="C9902" t="s">
        <v>861</v>
      </c>
      <c r="D9902" t="s">
        <v>2017</v>
      </c>
      <c r="E9902" t="s">
        <v>1206</v>
      </c>
      <c r="F9902">
        <v>3316979.219999547</v>
      </c>
    </row>
    <row r="9903" spans="1:6">
      <c r="A9903" t="s">
        <v>27</v>
      </c>
      <c r="B9903" t="s">
        <v>234</v>
      </c>
      <c r="C9903" t="s">
        <v>861</v>
      </c>
      <c r="D9903" t="s">
        <v>2017</v>
      </c>
      <c r="E9903" t="s">
        <v>1207</v>
      </c>
      <c r="F9903">
        <v>3276535.199999545</v>
      </c>
    </row>
    <row r="9904" spans="1:6">
      <c r="A9904" t="s">
        <v>27</v>
      </c>
      <c r="B9904" t="s">
        <v>234</v>
      </c>
      <c r="C9904" t="s">
        <v>861</v>
      </c>
      <c r="D9904" t="s">
        <v>2017</v>
      </c>
      <c r="E9904" t="s">
        <v>1208</v>
      </c>
      <c r="F9904">
        <v>3274958.979999545</v>
      </c>
    </row>
    <row r="9905" spans="1:6">
      <c r="A9905" t="s">
        <v>27</v>
      </c>
      <c r="B9905" t="s">
        <v>234</v>
      </c>
      <c r="C9905" t="s">
        <v>861</v>
      </c>
      <c r="D9905" t="s">
        <v>2017</v>
      </c>
      <c r="E9905" t="s">
        <v>2263</v>
      </c>
      <c r="F9905">
        <v>3268344.209999545</v>
      </c>
    </row>
    <row r="9906" spans="1:6">
      <c r="A9906" t="s">
        <v>27</v>
      </c>
      <c r="B9906" t="s">
        <v>234</v>
      </c>
      <c r="C9906" t="s">
        <v>861</v>
      </c>
      <c r="D9906" t="s">
        <v>2017</v>
      </c>
      <c r="E9906" t="s">
        <v>1823</v>
      </c>
      <c r="F9906">
        <v>3265054.069999544</v>
      </c>
    </row>
    <row r="9907" spans="1:6">
      <c r="A9907" t="s">
        <v>27</v>
      </c>
      <c r="B9907" t="s">
        <v>234</v>
      </c>
      <c r="C9907" t="s">
        <v>861</v>
      </c>
      <c r="D9907" t="s">
        <v>2017</v>
      </c>
      <c r="E9907" t="s">
        <v>1824</v>
      </c>
      <c r="F9907">
        <v>3259313.199999544</v>
      </c>
    </row>
    <row r="9908" spans="1:6">
      <c r="A9908" t="s">
        <v>27</v>
      </c>
      <c r="B9908" t="s">
        <v>234</v>
      </c>
      <c r="C9908" t="s">
        <v>861</v>
      </c>
      <c r="D9908" t="s">
        <v>2017</v>
      </c>
      <c r="E9908" t="s">
        <v>1662</v>
      </c>
      <c r="F9908">
        <v>3256138.309999544</v>
      </c>
    </row>
    <row r="9909" spans="1:6">
      <c r="A9909" t="s">
        <v>27</v>
      </c>
      <c r="B9909" t="s">
        <v>234</v>
      </c>
      <c r="C9909" t="s">
        <v>861</v>
      </c>
      <c r="D9909" t="s">
        <v>2017</v>
      </c>
      <c r="E9909" t="s">
        <v>1664</v>
      </c>
      <c r="F9909">
        <v>3251243.459999544</v>
      </c>
    </row>
    <row r="9910" spans="1:6">
      <c r="A9910" t="s">
        <v>27</v>
      </c>
      <c r="B9910" t="s">
        <v>234</v>
      </c>
      <c r="C9910" t="s">
        <v>861</v>
      </c>
      <c r="D9910" t="s">
        <v>2017</v>
      </c>
      <c r="E9910" t="s">
        <v>1665</v>
      </c>
      <c r="F9910">
        <v>3439906.989999999</v>
      </c>
    </row>
    <row r="9911" spans="1:6">
      <c r="A9911" t="s">
        <v>27</v>
      </c>
      <c r="B9911" t="s">
        <v>234</v>
      </c>
      <c r="C9911" t="s">
        <v>861</v>
      </c>
      <c r="D9911" t="s">
        <v>2017</v>
      </c>
      <c r="E9911" t="s">
        <v>1666</v>
      </c>
      <c r="F9911">
        <v>3438276.299999998</v>
      </c>
    </row>
    <row r="9912" spans="1:6">
      <c r="A9912" t="s">
        <v>27</v>
      </c>
      <c r="B9912" t="s">
        <v>234</v>
      </c>
      <c r="C9912" t="s">
        <v>861</v>
      </c>
      <c r="D9912" t="s">
        <v>2017</v>
      </c>
      <c r="E9912" t="s">
        <v>1667</v>
      </c>
      <c r="F9912">
        <v>3430832.699999998</v>
      </c>
    </row>
    <row r="9913" spans="1:6">
      <c r="A9913" t="s">
        <v>27</v>
      </c>
      <c r="B9913" t="s">
        <v>234</v>
      </c>
      <c r="C9913" t="s">
        <v>861</v>
      </c>
      <c r="D9913" t="s">
        <v>2017</v>
      </c>
      <c r="E9913" t="s">
        <v>1668</v>
      </c>
      <c r="F9913">
        <v>3426653.750000156</v>
      </c>
    </row>
    <row r="9914" spans="1:6">
      <c r="A9914" t="s">
        <v>27</v>
      </c>
      <c r="B9914" t="s">
        <v>234</v>
      </c>
      <c r="C9914" t="s">
        <v>861</v>
      </c>
      <c r="D9914" t="s">
        <v>2017</v>
      </c>
      <c r="E9914" t="s">
        <v>1669</v>
      </c>
      <c r="F9914">
        <v>3423420.330000156</v>
      </c>
    </row>
    <row r="9915" spans="1:6">
      <c r="A9915" t="s">
        <v>27</v>
      </c>
      <c r="B9915" t="s">
        <v>234</v>
      </c>
      <c r="C9915" t="s">
        <v>861</v>
      </c>
      <c r="D9915" t="s">
        <v>2017</v>
      </c>
      <c r="E9915" t="s">
        <v>1670</v>
      </c>
      <c r="F9915">
        <v>3418406.080000156</v>
      </c>
    </row>
    <row r="9916" spans="1:6">
      <c r="A9916" t="s">
        <v>27</v>
      </c>
      <c r="B9916" t="s">
        <v>234</v>
      </c>
      <c r="C9916" t="s">
        <v>861</v>
      </c>
      <c r="D9916" t="s">
        <v>2017</v>
      </c>
      <c r="E9916" t="s">
        <v>1671</v>
      </c>
      <c r="F9916">
        <v>3414213.680000157</v>
      </c>
    </row>
    <row r="9917" spans="1:6">
      <c r="A9917" t="s">
        <v>27</v>
      </c>
      <c r="B9917" t="s">
        <v>234</v>
      </c>
      <c r="C9917" t="s">
        <v>861</v>
      </c>
      <c r="D9917" t="s">
        <v>2017</v>
      </c>
      <c r="E9917" t="s">
        <v>1672</v>
      </c>
      <c r="F9917">
        <v>2268053.120000161</v>
      </c>
    </row>
    <row r="9918" spans="1:6">
      <c r="A9918" t="s">
        <v>27</v>
      </c>
      <c r="B9918" t="s">
        <v>234</v>
      </c>
      <c r="C9918" t="s">
        <v>861</v>
      </c>
      <c r="D9918" t="s">
        <v>2017</v>
      </c>
      <c r="E9918" t="s">
        <v>1673</v>
      </c>
      <c r="F9918">
        <v>2266165.230000161</v>
      </c>
    </row>
    <row r="9919" spans="1:6">
      <c r="A9919" t="s">
        <v>27</v>
      </c>
      <c r="B9919" t="s">
        <v>234</v>
      </c>
      <c r="C9919" t="s">
        <v>861</v>
      </c>
      <c r="D9919" t="s">
        <v>2017</v>
      </c>
      <c r="E9919" t="s">
        <v>2823</v>
      </c>
      <c r="F9919">
        <v>2261313.020000161</v>
      </c>
    </row>
    <row r="9920" spans="1:6">
      <c r="A9920" t="s">
        <v>27</v>
      </c>
      <c r="B9920" t="s">
        <v>234</v>
      </c>
      <c r="C9920" t="s">
        <v>861</v>
      </c>
      <c r="D9920" t="s">
        <v>2017</v>
      </c>
      <c r="E9920" t="s">
        <v>2824</v>
      </c>
      <c r="F9920">
        <v>2257051.30000016</v>
      </c>
    </row>
    <row r="9921" spans="1:6">
      <c r="A9921" t="s">
        <v>27</v>
      </c>
      <c r="B9921" t="s">
        <v>234</v>
      </c>
      <c r="C9921" t="s">
        <v>861</v>
      </c>
      <c r="D9921" t="s">
        <v>2017</v>
      </c>
      <c r="E9921" t="s">
        <v>2825</v>
      </c>
      <c r="F9921">
        <v>2252780.370000178</v>
      </c>
    </row>
    <row r="9922" spans="1:6">
      <c r="A9922" t="s">
        <v>27</v>
      </c>
      <c r="B9922" t="s">
        <v>234</v>
      </c>
      <c r="C9922" t="s">
        <v>861</v>
      </c>
      <c r="D9922" t="s">
        <v>2017</v>
      </c>
      <c r="E9922" t="s">
        <v>1212</v>
      </c>
      <c r="F9922">
        <v>2022</v>
      </c>
    </row>
    <row r="9923" spans="1:6">
      <c r="A9923" t="s">
        <v>27</v>
      </c>
      <c r="B9923" t="s">
        <v>234</v>
      </c>
      <c r="C9923" t="s">
        <v>861</v>
      </c>
      <c r="D9923" t="s">
        <v>2017</v>
      </c>
      <c r="E9923" t="s">
        <v>1213</v>
      </c>
      <c r="F9923">
        <v>1690428.160000164</v>
      </c>
    </row>
    <row r="9924" spans="1:6">
      <c r="A9924" t="s">
        <v>27</v>
      </c>
      <c r="B9924" t="s">
        <v>234</v>
      </c>
      <c r="C9924" t="s">
        <v>861</v>
      </c>
      <c r="D9924" t="s">
        <v>2017</v>
      </c>
      <c r="E9924" t="s">
        <v>1214</v>
      </c>
      <c r="F9924">
        <v>1660687.000000164</v>
      </c>
    </row>
    <row r="9925" spans="1:6">
      <c r="A9925" t="s">
        <v>27</v>
      </c>
      <c r="B9925" t="s">
        <v>234</v>
      </c>
      <c r="C9925" t="s">
        <v>861</v>
      </c>
      <c r="D9925" t="s">
        <v>2017</v>
      </c>
      <c r="E9925" t="s">
        <v>1215</v>
      </c>
      <c r="F9925">
        <v>1585365.220000167</v>
      </c>
    </row>
    <row r="9926" spans="1:6">
      <c r="A9926" t="s">
        <v>27</v>
      </c>
      <c r="B9926" t="s">
        <v>234</v>
      </c>
      <c r="C9926" t="s">
        <v>861</v>
      </c>
      <c r="D9926" t="s">
        <v>2017</v>
      </c>
      <c r="E9926" t="s">
        <v>1216</v>
      </c>
      <c r="F9926">
        <v>1584848.850000167</v>
      </c>
    </row>
    <row r="9927" spans="1:6">
      <c r="A9927" t="s">
        <v>27</v>
      </c>
      <c r="B9927" t="s">
        <v>234</v>
      </c>
      <c r="C9927" t="s">
        <v>861</v>
      </c>
      <c r="D9927" t="s">
        <v>2017</v>
      </c>
      <c r="E9927" t="s">
        <v>2264</v>
      </c>
      <c r="F9927">
        <v>1579849.220000167</v>
      </c>
    </row>
    <row r="9928" spans="1:6">
      <c r="A9928" t="s">
        <v>27</v>
      </c>
      <c r="B9928" t="s">
        <v>234</v>
      </c>
      <c r="C9928" t="s">
        <v>861</v>
      </c>
      <c r="D9928" t="s">
        <v>2017</v>
      </c>
      <c r="E9928" t="s">
        <v>1825</v>
      </c>
      <c r="F9928">
        <v>1578150.700000167</v>
      </c>
    </row>
    <row r="9929" spans="1:6">
      <c r="A9929" t="s">
        <v>27</v>
      </c>
      <c r="B9929" t="s">
        <v>234</v>
      </c>
      <c r="C9929" t="s">
        <v>861</v>
      </c>
      <c r="D9929" t="s">
        <v>2017</v>
      </c>
      <c r="E9929" t="s">
        <v>1826</v>
      </c>
      <c r="F9929">
        <v>1569001.620000167</v>
      </c>
    </row>
    <row r="9930" spans="1:6">
      <c r="A9930" t="s">
        <v>27</v>
      </c>
      <c r="B9930" t="s">
        <v>234</v>
      </c>
      <c r="C9930" t="s">
        <v>861</v>
      </c>
      <c r="D9930" t="s">
        <v>2017</v>
      </c>
      <c r="E9930" t="s">
        <v>1827</v>
      </c>
      <c r="F9930">
        <v>1568020.240000167</v>
      </c>
    </row>
    <row r="9931" spans="1:6">
      <c r="A9931" t="s">
        <v>27</v>
      </c>
      <c r="B9931" t="s">
        <v>234</v>
      </c>
      <c r="C9931" t="s">
        <v>861</v>
      </c>
      <c r="D9931" t="s">
        <v>2017</v>
      </c>
      <c r="E9931" t="s">
        <v>2265</v>
      </c>
      <c r="F9931">
        <v>1566960.810000167</v>
      </c>
    </row>
    <row r="9932" spans="1:6">
      <c r="A9932" t="s">
        <v>27</v>
      </c>
      <c r="B9932" t="s">
        <v>234</v>
      </c>
      <c r="C9932" t="s">
        <v>861</v>
      </c>
      <c r="D9932" t="s">
        <v>2017</v>
      </c>
      <c r="E9932" t="s">
        <v>2266</v>
      </c>
      <c r="F9932">
        <v>1599118.9</v>
      </c>
    </row>
    <row r="9933" spans="1:6">
      <c r="A9933" t="s">
        <v>27</v>
      </c>
      <c r="B9933" t="s">
        <v>234</v>
      </c>
      <c r="C9933" t="s">
        <v>861</v>
      </c>
      <c r="D9933" t="s">
        <v>2017</v>
      </c>
      <c r="E9933" t="s">
        <v>2267</v>
      </c>
      <c r="F9933">
        <v>1596774.09</v>
      </c>
    </row>
    <row r="9934" spans="1:6">
      <c r="A9934" t="s">
        <v>27</v>
      </c>
      <c r="B9934" t="s">
        <v>234</v>
      </c>
      <c r="C9934" t="s">
        <v>861</v>
      </c>
      <c r="D9934" t="s">
        <v>2017</v>
      </c>
      <c r="E9934" t="s">
        <v>2268</v>
      </c>
      <c r="F9934">
        <v>1593677.449999999</v>
      </c>
    </row>
    <row r="9935" spans="1:6">
      <c r="A9935" t="s">
        <v>27</v>
      </c>
      <c r="B9935" t="s">
        <v>234</v>
      </c>
      <c r="C9935" t="s">
        <v>861</v>
      </c>
      <c r="D9935" t="s">
        <v>2017</v>
      </c>
      <c r="E9935" t="s">
        <v>2269</v>
      </c>
      <c r="F9935">
        <v>1590006.260000082</v>
      </c>
    </row>
    <row r="9936" spans="1:6">
      <c r="A9936" t="s">
        <v>27</v>
      </c>
      <c r="B9936" t="s">
        <v>234</v>
      </c>
      <c r="C9936" t="s">
        <v>861</v>
      </c>
      <c r="D9936" t="s">
        <v>2017</v>
      </c>
      <c r="E9936" t="s">
        <v>2270</v>
      </c>
      <c r="F9936">
        <v>1589362.640000082</v>
      </c>
    </row>
    <row r="9937" spans="1:6">
      <c r="A9937" t="s">
        <v>27</v>
      </c>
      <c r="B9937" t="s">
        <v>234</v>
      </c>
      <c r="C9937" t="s">
        <v>861</v>
      </c>
      <c r="D9937" t="s">
        <v>2017</v>
      </c>
      <c r="E9937" t="s">
        <v>2271</v>
      </c>
      <c r="F9937">
        <v>1588344.520000082</v>
      </c>
    </row>
    <row r="9938" spans="1:6">
      <c r="A9938" t="s">
        <v>27</v>
      </c>
      <c r="B9938" t="s">
        <v>234</v>
      </c>
      <c r="C9938" t="s">
        <v>861</v>
      </c>
      <c r="D9938" t="s">
        <v>2017</v>
      </c>
      <c r="E9938" t="s">
        <v>2272</v>
      </c>
      <c r="F9938">
        <v>1588267.600000082</v>
      </c>
    </row>
    <row r="9939" spans="1:6">
      <c r="A9939" t="s">
        <v>27</v>
      </c>
      <c r="B9939" t="s">
        <v>234</v>
      </c>
      <c r="C9939" t="s">
        <v>861</v>
      </c>
      <c r="D9939" t="s">
        <v>2017</v>
      </c>
      <c r="E9939" t="s">
        <v>2273</v>
      </c>
      <c r="F9939">
        <v>1020602.010000086</v>
      </c>
    </row>
    <row r="9940" spans="1:6">
      <c r="A9940" t="s">
        <v>27</v>
      </c>
      <c r="B9940" t="s">
        <v>234</v>
      </c>
      <c r="C9940" t="s">
        <v>861</v>
      </c>
      <c r="D9940" t="s">
        <v>2017</v>
      </c>
      <c r="E9940" t="s">
        <v>2274</v>
      </c>
      <c r="F9940">
        <v>1018876.380000086</v>
      </c>
    </row>
    <row r="9941" spans="1:6">
      <c r="A9941" t="s">
        <v>27</v>
      </c>
      <c r="B9941" t="s">
        <v>234</v>
      </c>
      <c r="C9941" t="s">
        <v>861</v>
      </c>
      <c r="D9941" t="s">
        <v>2017</v>
      </c>
      <c r="E9941" t="s">
        <v>2826</v>
      </c>
      <c r="F9941">
        <v>1016722.770000086</v>
      </c>
    </row>
    <row r="9942" spans="1:6">
      <c r="A9942" t="s">
        <v>27</v>
      </c>
      <c r="B9942" t="s">
        <v>234</v>
      </c>
      <c r="C9942" t="s">
        <v>861</v>
      </c>
      <c r="D9942" t="s">
        <v>2017</v>
      </c>
      <c r="E9942" t="s">
        <v>2827</v>
      </c>
      <c r="F9942">
        <v>1017164.530000086</v>
      </c>
    </row>
    <row r="9943" spans="1:6">
      <c r="A9943" t="s">
        <v>27</v>
      </c>
      <c r="B9943" t="s">
        <v>234</v>
      </c>
      <c r="C9943" t="s">
        <v>861</v>
      </c>
      <c r="D9943" t="s">
        <v>2017</v>
      </c>
      <c r="E9943" t="s">
        <v>2828</v>
      </c>
      <c r="F9943">
        <v>1014366.430000069</v>
      </c>
    </row>
    <row r="9944" spans="1:6">
      <c r="A9944" t="s">
        <v>27</v>
      </c>
      <c r="B9944" t="s">
        <v>234</v>
      </c>
      <c r="C9944" t="s">
        <v>861</v>
      </c>
      <c r="D9944" t="s">
        <v>2017</v>
      </c>
      <c r="E9944" t="s">
        <v>1220</v>
      </c>
      <c r="F9944">
        <v>2023</v>
      </c>
    </row>
    <row r="9945" spans="1:6">
      <c r="A9945" t="s">
        <v>27</v>
      </c>
      <c r="B9945" t="s">
        <v>234</v>
      </c>
      <c r="C9945" t="s">
        <v>861</v>
      </c>
      <c r="D9945" t="s">
        <v>2017</v>
      </c>
      <c r="E9945" t="s">
        <v>1221</v>
      </c>
      <c r="F9945">
        <v>3357738.540001581</v>
      </c>
    </row>
    <row r="9946" spans="1:6">
      <c r="A9946" t="s">
        <v>27</v>
      </c>
      <c r="B9946" t="s">
        <v>234</v>
      </c>
      <c r="C9946" t="s">
        <v>861</v>
      </c>
      <c r="D9946" t="s">
        <v>2017</v>
      </c>
      <c r="E9946" t="s">
        <v>1222</v>
      </c>
      <c r="F9946">
        <v>3186189.130001581</v>
      </c>
    </row>
    <row r="9947" spans="1:6">
      <c r="A9947" t="s">
        <v>27</v>
      </c>
      <c r="B9947" t="s">
        <v>234</v>
      </c>
      <c r="C9947" t="s">
        <v>861</v>
      </c>
      <c r="D9947" t="s">
        <v>2017</v>
      </c>
      <c r="E9947" t="s">
        <v>1223</v>
      </c>
      <c r="F9947">
        <v>3129771.480001581</v>
      </c>
    </row>
    <row r="9948" spans="1:6">
      <c r="A9948" t="s">
        <v>27</v>
      </c>
      <c r="B9948" t="s">
        <v>234</v>
      </c>
      <c r="C9948" t="s">
        <v>861</v>
      </c>
      <c r="D9948" t="s">
        <v>2017</v>
      </c>
      <c r="E9948" t="s">
        <v>1224</v>
      </c>
      <c r="F9948">
        <v>3117390.180001581</v>
      </c>
    </row>
    <row r="9949" spans="1:6">
      <c r="A9949" t="s">
        <v>27</v>
      </c>
      <c r="B9949" t="s">
        <v>234</v>
      </c>
      <c r="C9949" t="s">
        <v>861</v>
      </c>
      <c r="D9949" t="s">
        <v>2017</v>
      </c>
      <c r="E9949" t="s">
        <v>2275</v>
      </c>
      <c r="F9949">
        <v>3113560.240001581</v>
      </c>
    </row>
    <row r="9950" spans="1:6">
      <c r="A9950" t="s">
        <v>27</v>
      </c>
      <c r="B9950" t="s">
        <v>234</v>
      </c>
      <c r="C9950" t="s">
        <v>861</v>
      </c>
      <c r="D9950" t="s">
        <v>2017</v>
      </c>
      <c r="E9950" t="s">
        <v>1828</v>
      </c>
      <c r="F9950">
        <v>3108891.400001581</v>
      </c>
    </row>
    <row r="9951" spans="1:6">
      <c r="A9951" t="s">
        <v>27</v>
      </c>
      <c r="B9951" t="s">
        <v>234</v>
      </c>
      <c r="C9951" t="s">
        <v>861</v>
      </c>
      <c r="D9951" t="s">
        <v>2017</v>
      </c>
      <c r="E9951" t="s">
        <v>1829</v>
      </c>
      <c r="F9951">
        <v>3098506.410001581</v>
      </c>
    </row>
    <row r="9952" spans="1:6">
      <c r="A9952" t="s">
        <v>27</v>
      </c>
      <c r="B9952" t="s">
        <v>234</v>
      </c>
      <c r="C9952" t="s">
        <v>861</v>
      </c>
      <c r="D9952" t="s">
        <v>2017</v>
      </c>
      <c r="E9952" t="s">
        <v>1674</v>
      </c>
      <c r="F9952">
        <v>3094043.250001581</v>
      </c>
    </row>
    <row r="9953" spans="1:6">
      <c r="A9953" t="s">
        <v>27</v>
      </c>
      <c r="B9953" t="s">
        <v>234</v>
      </c>
      <c r="C9953" t="s">
        <v>861</v>
      </c>
      <c r="D9953" t="s">
        <v>2017</v>
      </c>
      <c r="E9953" t="s">
        <v>1676</v>
      </c>
      <c r="F9953">
        <v>3079139.410001581</v>
      </c>
    </row>
    <row r="9954" spans="1:6">
      <c r="A9954" t="s">
        <v>27</v>
      </c>
      <c r="B9954" t="s">
        <v>234</v>
      </c>
      <c r="C9954" t="s">
        <v>861</v>
      </c>
      <c r="D9954" t="s">
        <v>2017</v>
      </c>
      <c r="E9954" t="s">
        <v>1677</v>
      </c>
      <c r="F9954">
        <v>3129777.46</v>
      </c>
    </row>
    <row r="9955" spans="1:6">
      <c r="A9955" t="s">
        <v>27</v>
      </c>
      <c r="B9955" t="s">
        <v>234</v>
      </c>
      <c r="C9955" t="s">
        <v>861</v>
      </c>
      <c r="D9955" t="s">
        <v>2017</v>
      </c>
      <c r="E9955" t="s">
        <v>1678</v>
      </c>
      <c r="F9955">
        <v>3123085.52</v>
      </c>
    </row>
    <row r="9956" spans="1:6">
      <c r="A9956" t="s">
        <v>27</v>
      </c>
      <c r="B9956" t="s">
        <v>234</v>
      </c>
      <c r="C9956" t="s">
        <v>861</v>
      </c>
      <c r="D9956" t="s">
        <v>2017</v>
      </c>
      <c r="E9956" t="s">
        <v>1679</v>
      </c>
      <c r="F9956">
        <v>3113961.720000002</v>
      </c>
    </row>
    <row r="9957" spans="1:6">
      <c r="A9957" t="s">
        <v>27</v>
      </c>
      <c r="B9957" t="s">
        <v>234</v>
      </c>
      <c r="C9957" t="s">
        <v>861</v>
      </c>
      <c r="D9957" t="s">
        <v>2017</v>
      </c>
      <c r="E9957" t="s">
        <v>1680</v>
      </c>
      <c r="F9957">
        <v>3098067.520002091</v>
      </c>
    </row>
    <row r="9958" spans="1:6">
      <c r="A9958" t="s">
        <v>27</v>
      </c>
      <c r="B9958" t="s">
        <v>234</v>
      </c>
      <c r="C9958" t="s">
        <v>861</v>
      </c>
      <c r="D9958" t="s">
        <v>2017</v>
      </c>
      <c r="E9958" t="s">
        <v>1681</v>
      </c>
      <c r="F9958">
        <v>3092489.520002091</v>
      </c>
    </row>
    <row r="9959" spans="1:6">
      <c r="A9959" t="s">
        <v>27</v>
      </c>
      <c r="B9959" t="s">
        <v>234</v>
      </c>
      <c r="C9959" t="s">
        <v>861</v>
      </c>
      <c r="D9959" t="s">
        <v>2017</v>
      </c>
      <c r="E9959" t="s">
        <v>1682</v>
      </c>
      <c r="F9959">
        <v>3068673.240002091</v>
      </c>
    </row>
    <row r="9960" spans="1:6">
      <c r="A9960" t="s">
        <v>27</v>
      </c>
      <c r="B9960" t="s">
        <v>234</v>
      </c>
      <c r="C9960" t="s">
        <v>861</v>
      </c>
      <c r="D9960" t="s">
        <v>2017</v>
      </c>
      <c r="E9960" t="s">
        <v>1683</v>
      </c>
      <c r="F9960">
        <v>3061823.070002098</v>
      </c>
    </row>
    <row r="9961" spans="1:6">
      <c r="A9961" t="s">
        <v>27</v>
      </c>
      <c r="B9961" t="s">
        <v>234</v>
      </c>
      <c r="C9961" t="s">
        <v>861</v>
      </c>
      <c r="D9961" t="s">
        <v>2017</v>
      </c>
      <c r="E9961" t="s">
        <v>1684</v>
      </c>
      <c r="F9961">
        <v>1570177.20000213</v>
      </c>
    </row>
    <row r="9962" spans="1:6">
      <c r="A9962" t="s">
        <v>27</v>
      </c>
      <c r="B9962" t="s">
        <v>234</v>
      </c>
      <c r="C9962" t="s">
        <v>861</v>
      </c>
      <c r="D9962" t="s">
        <v>2017</v>
      </c>
      <c r="E9962" t="s">
        <v>1685</v>
      </c>
      <c r="F9962">
        <v>1566070.45000213</v>
      </c>
    </row>
    <row r="9963" spans="1:6">
      <c r="A9963" t="s">
        <v>27</v>
      </c>
      <c r="B9963" t="s">
        <v>234</v>
      </c>
      <c r="C9963" t="s">
        <v>861</v>
      </c>
      <c r="D9963" t="s">
        <v>2017</v>
      </c>
      <c r="E9963" t="s">
        <v>2829</v>
      </c>
      <c r="F9963">
        <v>1557403.440002132</v>
      </c>
    </row>
    <row r="9964" spans="1:6">
      <c r="A9964" t="s">
        <v>27</v>
      </c>
      <c r="B9964" t="s">
        <v>234</v>
      </c>
      <c r="C9964" t="s">
        <v>861</v>
      </c>
      <c r="D9964" t="s">
        <v>2017</v>
      </c>
      <c r="E9964" t="s">
        <v>2830</v>
      </c>
      <c r="F9964">
        <v>1552788.220002132</v>
      </c>
    </row>
    <row r="9965" spans="1:6">
      <c r="A9965" t="s">
        <v>27</v>
      </c>
      <c r="B9965" t="s">
        <v>234</v>
      </c>
      <c r="C9965" t="s">
        <v>861</v>
      </c>
      <c r="D9965" t="s">
        <v>2017</v>
      </c>
      <c r="E9965" t="s">
        <v>2831</v>
      </c>
      <c r="F9965">
        <v>1548755.750001905</v>
      </c>
    </row>
    <row r="9966" spans="1:6">
      <c r="A9966" t="s">
        <v>27</v>
      </c>
      <c r="B9966" t="s">
        <v>234</v>
      </c>
      <c r="C9966" t="s">
        <v>861</v>
      </c>
      <c r="D9966" t="s">
        <v>2017</v>
      </c>
      <c r="E9966" t="s">
        <v>1228</v>
      </c>
      <c r="F9966">
        <v>2024</v>
      </c>
    </row>
    <row r="9967" spans="1:6">
      <c r="A9967" t="s">
        <v>27</v>
      </c>
      <c r="B9967" t="s">
        <v>234</v>
      </c>
      <c r="C9967" t="s">
        <v>861</v>
      </c>
      <c r="D9967" t="s">
        <v>2017</v>
      </c>
      <c r="E9967" t="s">
        <v>1230</v>
      </c>
      <c r="F9967">
        <v>4467785.180000004</v>
      </c>
    </row>
    <row r="9968" spans="1:6">
      <c r="A9968" t="s">
        <v>27</v>
      </c>
      <c r="B9968" t="s">
        <v>234</v>
      </c>
      <c r="C9968" t="s">
        <v>861</v>
      </c>
      <c r="D9968" t="s">
        <v>2017</v>
      </c>
      <c r="E9968" t="s">
        <v>1231</v>
      </c>
      <c r="F9968">
        <v>3871652.750000007</v>
      </c>
    </row>
    <row r="9969" spans="1:6">
      <c r="A9969" t="s">
        <v>27</v>
      </c>
      <c r="B9969" t="s">
        <v>234</v>
      </c>
      <c r="C9969" t="s">
        <v>861</v>
      </c>
      <c r="D9969" t="s">
        <v>2017</v>
      </c>
      <c r="E9969" t="s">
        <v>1233</v>
      </c>
      <c r="F9969">
        <v>3779498.900000007</v>
      </c>
    </row>
    <row r="9970" spans="1:6">
      <c r="A9970" t="s">
        <v>27</v>
      </c>
      <c r="B9970" t="s">
        <v>234</v>
      </c>
      <c r="C9970" t="s">
        <v>861</v>
      </c>
      <c r="D9970" t="s">
        <v>2017</v>
      </c>
      <c r="E9970" t="s">
        <v>1234</v>
      </c>
      <c r="F9970">
        <v>3756165.350000008</v>
      </c>
    </row>
    <row r="9971" spans="1:6">
      <c r="A9971" t="s">
        <v>27</v>
      </c>
      <c r="B9971" t="s">
        <v>234</v>
      </c>
      <c r="C9971" t="s">
        <v>861</v>
      </c>
      <c r="D9971" t="s">
        <v>2017</v>
      </c>
      <c r="E9971" t="s">
        <v>2276</v>
      </c>
      <c r="F9971">
        <v>3706021.080000008</v>
      </c>
    </row>
    <row r="9972" spans="1:6">
      <c r="A9972" t="s">
        <v>27</v>
      </c>
      <c r="B9972" t="s">
        <v>234</v>
      </c>
      <c r="C9972" t="s">
        <v>861</v>
      </c>
      <c r="D9972" t="s">
        <v>2017</v>
      </c>
      <c r="E9972" t="s">
        <v>1830</v>
      </c>
      <c r="F9972">
        <v>3666327.610000007</v>
      </c>
    </row>
    <row r="9973" spans="1:6">
      <c r="A9973" t="s">
        <v>27</v>
      </c>
      <c r="B9973" t="s">
        <v>234</v>
      </c>
      <c r="C9973" t="s">
        <v>861</v>
      </c>
      <c r="D9973" t="s">
        <v>2017</v>
      </c>
      <c r="E9973" t="s">
        <v>1831</v>
      </c>
      <c r="F9973">
        <v>3617609.650000007</v>
      </c>
    </row>
    <row r="9974" spans="1:6">
      <c r="A9974" t="s">
        <v>27</v>
      </c>
      <c r="B9974" t="s">
        <v>234</v>
      </c>
      <c r="C9974" t="s">
        <v>861</v>
      </c>
      <c r="D9974" t="s">
        <v>2017</v>
      </c>
      <c r="E9974" t="s">
        <v>1832</v>
      </c>
      <c r="F9974">
        <v>3582600.330000008</v>
      </c>
    </row>
    <row r="9975" spans="1:6">
      <c r="A9975" t="s">
        <v>27</v>
      </c>
      <c r="B9975" t="s">
        <v>234</v>
      </c>
      <c r="C9975" t="s">
        <v>861</v>
      </c>
      <c r="D9975" t="s">
        <v>2017</v>
      </c>
      <c r="E9975" t="s">
        <v>2277</v>
      </c>
      <c r="F9975">
        <v>3556244.420000007</v>
      </c>
    </row>
    <row r="9976" spans="1:6">
      <c r="A9976" t="s">
        <v>27</v>
      </c>
      <c r="B9976" t="s">
        <v>234</v>
      </c>
      <c r="C9976" t="s">
        <v>861</v>
      </c>
      <c r="D9976" t="s">
        <v>2017</v>
      </c>
      <c r="E9976" t="s">
        <v>2278</v>
      </c>
      <c r="F9976">
        <v>3801600.28999999</v>
      </c>
    </row>
    <row r="9977" spans="1:6">
      <c r="A9977" t="s">
        <v>27</v>
      </c>
      <c r="B9977" t="s">
        <v>234</v>
      </c>
      <c r="C9977" t="s">
        <v>861</v>
      </c>
      <c r="D9977" t="s">
        <v>2017</v>
      </c>
      <c r="E9977" t="s">
        <v>2279</v>
      </c>
      <c r="F9977">
        <v>3784467.329999993</v>
      </c>
    </row>
    <row r="9978" spans="1:6">
      <c r="A9978" t="s">
        <v>27</v>
      </c>
      <c r="B9978" t="s">
        <v>234</v>
      </c>
      <c r="C9978" t="s">
        <v>861</v>
      </c>
      <c r="D9978" t="s">
        <v>2017</v>
      </c>
      <c r="E9978" t="s">
        <v>2280</v>
      </c>
      <c r="F9978">
        <v>3749109.169999981</v>
      </c>
    </row>
    <row r="9979" spans="1:6">
      <c r="A9979" t="s">
        <v>27</v>
      </c>
      <c r="B9979" t="s">
        <v>234</v>
      </c>
      <c r="C9979" t="s">
        <v>861</v>
      </c>
      <c r="D9979" t="s">
        <v>2017</v>
      </c>
      <c r="E9979" t="s">
        <v>2281</v>
      </c>
      <c r="F9979">
        <v>3700881.310000343</v>
      </c>
    </row>
    <row r="9980" spans="1:6">
      <c r="A9980" t="s">
        <v>27</v>
      </c>
      <c r="B9980" t="s">
        <v>234</v>
      </c>
      <c r="C9980" t="s">
        <v>861</v>
      </c>
      <c r="D9980" t="s">
        <v>2017</v>
      </c>
      <c r="E9980" t="s">
        <v>2282</v>
      </c>
      <c r="F9980">
        <v>3675397.640000345</v>
      </c>
    </row>
    <row r="9981" spans="1:6">
      <c r="A9981" t="s">
        <v>27</v>
      </c>
      <c r="B9981" t="s">
        <v>234</v>
      </c>
      <c r="C9981" t="s">
        <v>861</v>
      </c>
      <c r="D9981" t="s">
        <v>2017</v>
      </c>
      <c r="E9981" t="s">
        <v>2283</v>
      </c>
      <c r="F9981">
        <v>3631568.510000343</v>
      </c>
    </row>
    <row r="9982" spans="1:6">
      <c r="A9982" t="s">
        <v>27</v>
      </c>
      <c r="B9982" t="s">
        <v>234</v>
      </c>
      <c r="C9982" t="s">
        <v>861</v>
      </c>
      <c r="D9982" t="s">
        <v>2017</v>
      </c>
      <c r="E9982" t="s">
        <v>2284</v>
      </c>
      <c r="F9982">
        <v>3614431.580000347</v>
      </c>
    </row>
    <row r="9983" spans="1:6">
      <c r="A9983" t="s">
        <v>27</v>
      </c>
      <c r="B9983" t="s">
        <v>234</v>
      </c>
      <c r="C9983" t="s">
        <v>861</v>
      </c>
      <c r="D9983" t="s">
        <v>2017</v>
      </c>
      <c r="E9983" t="s">
        <v>2285</v>
      </c>
      <c r="F9983">
        <v>2113335.150000781</v>
      </c>
    </row>
    <row r="9984" spans="1:6">
      <c r="A9984" t="s">
        <v>27</v>
      </c>
      <c r="B9984" t="s">
        <v>234</v>
      </c>
      <c r="C9984" t="s">
        <v>861</v>
      </c>
      <c r="D9984" t="s">
        <v>2017</v>
      </c>
      <c r="E9984" t="s">
        <v>2286</v>
      </c>
      <c r="F9984">
        <v>2079340.85000078</v>
      </c>
    </row>
    <row r="9985" spans="1:6">
      <c r="A9985" t="s">
        <v>27</v>
      </c>
      <c r="B9985" t="s">
        <v>234</v>
      </c>
      <c r="C9985" t="s">
        <v>861</v>
      </c>
      <c r="D9985" t="s">
        <v>2017</v>
      </c>
      <c r="E9985" t="s">
        <v>2832</v>
      </c>
      <c r="F9985">
        <v>2071920.150000788</v>
      </c>
    </row>
    <row r="9986" spans="1:6">
      <c r="A9986" t="s">
        <v>27</v>
      </c>
      <c r="B9986" t="s">
        <v>234</v>
      </c>
      <c r="C9986" t="s">
        <v>861</v>
      </c>
      <c r="D9986" t="s">
        <v>2017</v>
      </c>
      <c r="E9986" t="s">
        <v>2833</v>
      </c>
      <c r="F9986">
        <v>2068890.830000792</v>
      </c>
    </row>
    <row r="9987" spans="1:6">
      <c r="A9987" t="s">
        <v>27</v>
      </c>
      <c r="B9987" t="s">
        <v>234</v>
      </c>
      <c r="C9987" t="s">
        <v>861</v>
      </c>
      <c r="D9987" t="s">
        <v>2017</v>
      </c>
      <c r="E9987" t="s">
        <v>2834</v>
      </c>
      <c r="F9987">
        <v>2051330.700000692</v>
      </c>
    </row>
    <row r="9988" spans="1:6">
      <c r="A9988" t="s">
        <v>27</v>
      </c>
      <c r="B9988" t="s">
        <v>234</v>
      </c>
      <c r="C9988" t="s">
        <v>861</v>
      </c>
      <c r="D9988" t="s">
        <v>2017</v>
      </c>
      <c r="E9988" t="s">
        <v>1238</v>
      </c>
      <c r="F9988">
        <v>2025</v>
      </c>
    </row>
    <row r="9989" spans="1:6">
      <c r="A9989" t="s">
        <v>27</v>
      </c>
      <c r="B9989" t="s">
        <v>234</v>
      </c>
      <c r="C9989" t="s">
        <v>861</v>
      </c>
      <c r="D9989" t="s">
        <v>2017</v>
      </c>
      <c r="E9989" t="s">
        <v>1240</v>
      </c>
      <c r="F9989">
        <v>127806.6100000002</v>
      </c>
    </row>
    <row r="9990" spans="1:6">
      <c r="A9990" t="s">
        <v>27</v>
      </c>
      <c r="B9990" t="s">
        <v>234</v>
      </c>
      <c r="C9990" t="s">
        <v>861</v>
      </c>
      <c r="D9990" t="s">
        <v>2017</v>
      </c>
      <c r="E9990" t="s">
        <v>1241</v>
      </c>
      <c r="F9990">
        <v>191299.8600000002</v>
      </c>
    </row>
    <row r="9991" spans="1:6">
      <c r="A9991" t="s">
        <v>27</v>
      </c>
      <c r="B9991" t="s">
        <v>234</v>
      </c>
      <c r="C9991" t="s">
        <v>861</v>
      </c>
      <c r="D9991" t="s">
        <v>2017</v>
      </c>
      <c r="E9991" t="s">
        <v>1243</v>
      </c>
      <c r="F9991">
        <v>232665.8500000003</v>
      </c>
    </row>
    <row r="9992" spans="1:6">
      <c r="A9992" t="s">
        <v>27</v>
      </c>
      <c r="B9992" t="s">
        <v>234</v>
      </c>
      <c r="C9992" t="s">
        <v>861</v>
      </c>
      <c r="D9992" t="s">
        <v>2017</v>
      </c>
      <c r="E9992" t="s">
        <v>1244</v>
      </c>
      <c r="F9992">
        <v>322642.7200000004</v>
      </c>
    </row>
    <row r="9993" spans="1:6">
      <c r="A9993" t="s">
        <v>27</v>
      </c>
      <c r="B9993" t="s">
        <v>234</v>
      </c>
      <c r="C9993" t="s">
        <v>861</v>
      </c>
      <c r="D9993" t="s">
        <v>2017</v>
      </c>
      <c r="E9993" t="s">
        <v>2287</v>
      </c>
      <c r="F9993">
        <v>447807.2500000003</v>
      </c>
    </row>
    <row r="9994" spans="1:6">
      <c r="A9994" t="s">
        <v>27</v>
      </c>
      <c r="B9994" t="s">
        <v>234</v>
      </c>
      <c r="C9994" t="s">
        <v>861</v>
      </c>
      <c r="D9994" t="s">
        <v>2017</v>
      </c>
      <c r="E9994" t="s">
        <v>1833</v>
      </c>
      <c r="F9994">
        <v>516882.5700000004</v>
      </c>
    </row>
    <row r="9995" spans="1:6">
      <c r="A9995" t="s">
        <v>27</v>
      </c>
      <c r="B9995" t="s">
        <v>234</v>
      </c>
      <c r="C9995" t="s">
        <v>861</v>
      </c>
      <c r="D9995" t="s">
        <v>2017</v>
      </c>
      <c r="E9995" t="s">
        <v>1834</v>
      </c>
      <c r="F9995">
        <v>512254.7900000004</v>
      </c>
    </row>
    <row r="9996" spans="1:6">
      <c r="A9996" t="s">
        <v>27</v>
      </c>
      <c r="B9996" t="s">
        <v>234</v>
      </c>
      <c r="C9996" t="s">
        <v>861</v>
      </c>
      <c r="D9996" t="s">
        <v>2017</v>
      </c>
      <c r="E9996" t="s">
        <v>1687</v>
      </c>
      <c r="F9996">
        <v>491805.8300000004</v>
      </c>
    </row>
    <row r="9997" spans="1:6">
      <c r="A9997" t="s">
        <v>27</v>
      </c>
      <c r="B9997" t="s">
        <v>234</v>
      </c>
      <c r="C9997" t="s">
        <v>861</v>
      </c>
      <c r="D9997" t="s">
        <v>2017</v>
      </c>
      <c r="E9997" t="s">
        <v>1689</v>
      </c>
      <c r="F9997">
        <v>499014.2300000004</v>
      </c>
    </row>
    <row r="9998" spans="1:6">
      <c r="A9998" t="s">
        <v>27</v>
      </c>
      <c r="B9998" t="s">
        <v>234</v>
      </c>
      <c r="C9998" t="s">
        <v>861</v>
      </c>
      <c r="D9998" t="s">
        <v>2017</v>
      </c>
      <c r="E9998" t="s">
        <v>1690</v>
      </c>
      <c r="F9998">
        <v>546907.91</v>
      </c>
    </row>
    <row r="9999" spans="1:6">
      <c r="A9999" t="s">
        <v>27</v>
      </c>
      <c r="B9999" t="s">
        <v>234</v>
      </c>
      <c r="C9999" t="s">
        <v>861</v>
      </c>
      <c r="D9999" t="s">
        <v>2017</v>
      </c>
      <c r="E9999" t="s">
        <v>1691</v>
      </c>
      <c r="F9999">
        <v>643212.02</v>
      </c>
    </row>
    <row r="10000" spans="1:6">
      <c r="A10000" t="s">
        <v>27</v>
      </c>
      <c r="B10000" t="s">
        <v>234</v>
      </c>
      <c r="C10000" t="s">
        <v>861</v>
      </c>
      <c r="D10000" t="s">
        <v>2017</v>
      </c>
      <c r="E10000" t="s">
        <v>1692</v>
      </c>
      <c r="F10000">
        <v>691257.2800000003</v>
      </c>
    </row>
    <row r="10001" spans="1:6">
      <c r="A10001" t="s">
        <v>27</v>
      </c>
      <c r="B10001" t="s">
        <v>234</v>
      </c>
      <c r="C10001" t="s">
        <v>861</v>
      </c>
      <c r="D10001" t="s">
        <v>2017</v>
      </c>
      <c r="E10001" t="s">
        <v>1693</v>
      </c>
      <c r="F10001">
        <v>713319.3400000015</v>
      </c>
    </row>
    <row r="10002" spans="1:6">
      <c r="A10002" t="s">
        <v>27</v>
      </c>
      <c r="B10002" t="s">
        <v>234</v>
      </c>
      <c r="C10002" t="s">
        <v>861</v>
      </c>
      <c r="D10002" t="s">
        <v>2017</v>
      </c>
      <c r="E10002" t="s">
        <v>1694</v>
      </c>
      <c r="F10002">
        <v>711815.2400000015</v>
      </c>
    </row>
    <row r="10003" spans="1:6">
      <c r="A10003" t="s">
        <v>27</v>
      </c>
      <c r="B10003" t="s">
        <v>234</v>
      </c>
      <c r="C10003" t="s">
        <v>861</v>
      </c>
      <c r="D10003" t="s">
        <v>2017</v>
      </c>
      <c r="E10003" t="s">
        <v>1695</v>
      </c>
      <c r="F10003">
        <v>700191.3700000015</v>
      </c>
    </row>
    <row r="10004" spans="1:6">
      <c r="A10004" t="s">
        <v>27</v>
      </c>
      <c r="B10004" t="s">
        <v>234</v>
      </c>
      <c r="C10004" t="s">
        <v>861</v>
      </c>
      <c r="D10004" t="s">
        <v>2017</v>
      </c>
      <c r="E10004" t="s">
        <v>1696</v>
      </c>
      <c r="F10004">
        <v>688112.2300000015</v>
      </c>
    </row>
    <row r="10005" spans="1:6">
      <c r="A10005" t="s">
        <v>27</v>
      </c>
      <c r="B10005" t="s">
        <v>234</v>
      </c>
      <c r="C10005" t="s">
        <v>861</v>
      </c>
      <c r="D10005" t="s">
        <v>2017</v>
      </c>
      <c r="E10005" t="s">
        <v>1697</v>
      </c>
      <c r="F10005">
        <v>670728.9900000015</v>
      </c>
    </row>
    <row r="10006" spans="1:6">
      <c r="A10006" t="s">
        <v>27</v>
      </c>
      <c r="B10006" t="s">
        <v>234</v>
      </c>
      <c r="C10006" t="s">
        <v>861</v>
      </c>
      <c r="D10006" t="s">
        <v>2017</v>
      </c>
      <c r="E10006" t="s">
        <v>1698</v>
      </c>
      <c r="F10006">
        <v>675883.9200000016</v>
      </c>
    </row>
    <row r="10007" spans="1:6">
      <c r="A10007" t="s">
        <v>27</v>
      </c>
      <c r="B10007" t="s">
        <v>234</v>
      </c>
      <c r="C10007" t="s">
        <v>861</v>
      </c>
      <c r="D10007" t="s">
        <v>2017</v>
      </c>
      <c r="E10007" t="s">
        <v>2835</v>
      </c>
      <c r="F10007">
        <v>669160.3700000016</v>
      </c>
    </row>
    <row r="10008" spans="1:6">
      <c r="A10008" t="s">
        <v>27</v>
      </c>
      <c r="B10008" t="s">
        <v>234</v>
      </c>
      <c r="C10008" t="s">
        <v>861</v>
      </c>
      <c r="D10008" t="s">
        <v>2017</v>
      </c>
      <c r="E10008" t="s">
        <v>2836</v>
      </c>
      <c r="F10008">
        <v>663666.7100000016</v>
      </c>
    </row>
    <row r="10009" spans="1:6">
      <c r="A10009" t="s">
        <v>27</v>
      </c>
      <c r="B10009" t="s">
        <v>234</v>
      </c>
      <c r="C10009" t="s">
        <v>861</v>
      </c>
      <c r="D10009" t="s">
        <v>2017</v>
      </c>
      <c r="E10009" t="s">
        <v>2837</v>
      </c>
      <c r="F10009">
        <v>656996.040000002</v>
      </c>
    </row>
    <row r="10010" spans="1:6">
      <c r="A10010" t="s">
        <v>27</v>
      </c>
      <c r="B10010" t="s">
        <v>234</v>
      </c>
      <c r="C10010" t="s">
        <v>861</v>
      </c>
      <c r="D10010" t="s">
        <v>2017</v>
      </c>
      <c r="E10010" t="s">
        <v>1249</v>
      </c>
      <c r="F10010">
        <v>2026</v>
      </c>
    </row>
    <row r="10011" spans="1:6">
      <c r="A10011" t="s">
        <v>27</v>
      </c>
      <c r="B10011" t="s">
        <v>234</v>
      </c>
      <c r="C10011" t="s">
        <v>861</v>
      </c>
      <c r="D10011" t="s">
        <v>2017</v>
      </c>
      <c r="E10011" t="s">
        <v>1250</v>
      </c>
      <c r="F10011">
        <v>0</v>
      </c>
    </row>
    <row r="10012" spans="1:6">
      <c r="A10012" t="s">
        <v>27</v>
      </c>
      <c r="B10012" t="s">
        <v>234</v>
      </c>
      <c r="C10012" t="s">
        <v>861</v>
      </c>
      <c r="D10012" t="s">
        <v>2017</v>
      </c>
      <c r="E10012" t="s">
        <v>1251</v>
      </c>
      <c r="F10012">
        <v>0</v>
      </c>
    </row>
    <row r="10013" spans="1:6">
      <c r="A10013" t="s">
        <v>27</v>
      </c>
      <c r="B10013" t="s">
        <v>234</v>
      </c>
      <c r="C10013" t="s">
        <v>861</v>
      </c>
      <c r="D10013" t="s">
        <v>2017</v>
      </c>
      <c r="E10013" t="s">
        <v>1252</v>
      </c>
      <c r="F10013">
        <v>0</v>
      </c>
    </row>
    <row r="10014" spans="1:6">
      <c r="A10014" t="s">
        <v>27</v>
      </c>
      <c r="B10014" t="s">
        <v>234</v>
      </c>
      <c r="C10014" t="s">
        <v>861</v>
      </c>
      <c r="D10014" t="s">
        <v>2017</v>
      </c>
      <c r="E10014" t="s">
        <v>1253</v>
      </c>
      <c r="F10014">
        <v>0</v>
      </c>
    </row>
    <row r="10015" spans="1:6">
      <c r="A10015" t="s">
        <v>27</v>
      </c>
      <c r="B10015" t="s">
        <v>234</v>
      </c>
      <c r="C10015" t="s">
        <v>861</v>
      </c>
      <c r="D10015" t="s">
        <v>2017</v>
      </c>
      <c r="E10015" t="s">
        <v>2288</v>
      </c>
      <c r="F10015">
        <v>0</v>
      </c>
    </row>
    <row r="10016" spans="1:6">
      <c r="A10016" t="s">
        <v>27</v>
      </c>
      <c r="B10016" t="s">
        <v>234</v>
      </c>
      <c r="C10016" t="s">
        <v>861</v>
      </c>
      <c r="D10016" t="s">
        <v>2017</v>
      </c>
      <c r="E10016" t="s">
        <v>2289</v>
      </c>
      <c r="F10016">
        <v>0</v>
      </c>
    </row>
    <row r="10017" spans="1:6">
      <c r="A10017" t="s">
        <v>27</v>
      </c>
      <c r="B10017" t="s">
        <v>234</v>
      </c>
      <c r="C10017" t="s">
        <v>861</v>
      </c>
      <c r="D10017" t="s">
        <v>2017</v>
      </c>
      <c r="E10017" t="s">
        <v>2290</v>
      </c>
      <c r="F10017">
        <v>0</v>
      </c>
    </row>
    <row r="10018" spans="1:6">
      <c r="A10018" t="s">
        <v>27</v>
      </c>
      <c r="B10018" t="s">
        <v>234</v>
      </c>
      <c r="C10018" t="s">
        <v>861</v>
      </c>
      <c r="D10018" t="s">
        <v>2017</v>
      </c>
      <c r="E10018" t="s">
        <v>2291</v>
      </c>
      <c r="F10018">
        <v>0</v>
      </c>
    </row>
    <row r="10019" spans="1:6">
      <c r="A10019" t="s">
        <v>27</v>
      </c>
      <c r="B10019" t="s">
        <v>234</v>
      </c>
      <c r="C10019" t="s">
        <v>861</v>
      </c>
      <c r="D10019" t="s">
        <v>2017</v>
      </c>
      <c r="E10019" t="s">
        <v>2292</v>
      </c>
      <c r="F10019">
        <v>0</v>
      </c>
    </row>
    <row r="10020" spans="1:6">
      <c r="A10020" t="s">
        <v>27</v>
      </c>
      <c r="B10020" t="s">
        <v>234</v>
      </c>
      <c r="C10020" t="s">
        <v>861</v>
      </c>
      <c r="D10020" t="s">
        <v>2017</v>
      </c>
      <c r="E10020" t="s">
        <v>2293</v>
      </c>
      <c r="F10020">
        <v>0</v>
      </c>
    </row>
    <row r="10021" spans="1:6">
      <c r="A10021" t="s">
        <v>27</v>
      </c>
      <c r="B10021" t="s">
        <v>234</v>
      </c>
      <c r="C10021" t="s">
        <v>861</v>
      </c>
      <c r="D10021" t="s">
        <v>2017</v>
      </c>
      <c r="E10021" t="s">
        <v>2294</v>
      </c>
      <c r="F10021">
        <v>0</v>
      </c>
    </row>
    <row r="10022" spans="1:6">
      <c r="A10022" t="s">
        <v>27</v>
      </c>
      <c r="B10022" t="s">
        <v>234</v>
      </c>
      <c r="C10022" t="s">
        <v>861</v>
      </c>
      <c r="D10022" t="s">
        <v>2017</v>
      </c>
      <c r="E10022" t="s">
        <v>2295</v>
      </c>
      <c r="F10022">
        <v>0</v>
      </c>
    </row>
    <row r="10023" spans="1:6">
      <c r="A10023" t="s">
        <v>27</v>
      </c>
      <c r="B10023" t="s">
        <v>234</v>
      </c>
      <c r="C10023" t="s">
        <v>861</v>
      </c>
      <c r="D10023" t="s">
        <v>2017</v>
      </c>
      <c r="E10023" t="s">
        <v>2296</v>
      </c>
      <c r="F10023">
        <v>11067.09999999995</v>
      </c>
    </row>
    <row r="10024" spans="1:6">
      <c r="A10024" t="s">
        <v>27</v>
      </c>
      <c r="B10024" t="s">
        <v>234</v>
      </c>
      <c r="C10024" t="s">
        <v>861</v>
      </c>
      <c r="D10024" t="s">
        <v>2017</v>
      </c>
      <c r="E10024" t="s">
        <v>2297</v>
      </c>
      <c r="F10024">
        <v>32602.51999999994</v>
      </c>
    </row>
    <row r="10025" spans="1:6">
      <c r="A10025" t="s">
        <v>27</v>
      </c>
      <c r="B10025" t="s">
        <v>234</v>
      </c>
      <c r="C10025" t="s">
        <v>861</v>
      </c>
      <c r="D10025" t="s">
        <v>2017</v>
      </c>
      <c r="E10025" t="s">
        <v>2298</v>
      </c>
      <c r="F10025">
        <v>35514.16999999994</v>
      </c>
    </row>
    <row r="10026" spans="1:6">
      <c r="A10026" t="s">
        <v>27</v>
      </c>
      <c r="B10026" t="s">
        <v>234</v>
      </c>
      <c r="C10026" t="s">
        <v>861</v>
      </c>
      <c r="D10026" t="s">
        <v>2017</v>
      </c>
      <c r="E10026" t="s">
        <v>2299</v>
      </c>
      <c r="F10026">
        <v>60590.27999999943</v>
      </c>
    </row>
    <row r="10027" spans="1:6">
      <c r="A10027" t="s">
        <v>27</v>
      </c>
      <c r="B10027" t="s">
        <v>234</v>
      </c>
      <c r="C10027" t="s">
        <v>861</v>
      </c>
      <c r="D10027" t="s">
        <v>2017</v>
      </c>
      <c r="E10027" t="s">
        <v>2300</v>
      </c>
      <c r="F10027">
        <v>65916.14999999943</v>
      </c>
    </row>
    <row r="10028" spans="1:6">
      <c r="A10028" t="s">
        <v>27</v>
      </c>
      <c r="B10028" t="s">
        <v>234</v>
      </c>
      <c r="C10028" t="s">
        <v>861</v>
      </c>
      <c r="D10028" t="s">
        <v>2017</v>
      </c>
      <c r="E10028" t="s">
        <v>2301</v>
      </c>
      <c r="F10028">
        <v>65237.37999999942</v>
      </c>
    </row>
    <row r="10029" spans="1:6">
      <c r="A10029" t="s">
        <v>27</v>
      </c>
      <c r="B10029" t="s">
        <v>234</v>
      </c>
      <c r="C10029" t="s">
        <v>861</v>
      </c>
      <c r="D10029" t="s">
        <v>2017</v>
      </c>
      <c r="E10029" t="s">
        <v>2838</v>
      </c>
      <c r="F10029">
        <v>79948.38999999934</v>
      </c>
    </row>
    <row r="10030" spans="1:6">
      <c r="A10030" t="s">
        <v>27</v>
      </c>
      <c r="B10030" t="s">
        <v>234</v>
      </c>
      <c r="C10030" t="s">
        <v>861</v>
      </c>
      <c r="D10030" t="s">
        <v>2017</v>
      </c>
      <c r="E10030" t="s">
        <v>2839</v>
      </c>
      <c r="F10030">
        <v>90663.23999999935</v>
      </c>
    </row>
    <row r="10031" spans="1:6">
      <c r="A10031" t="s">
        <v>27</v>
      </c>
      <c r="B10031" t="s">
        <v>234</v>
      </c>
      <c r="C10031" t="s">
        <v>861</v>
      </c>
      <c r="D10031" t="s">
        <v>2017</v>
      </c>
      <c r="E10031" t="s">
        <v>2840</v>
      </c>
      <c r="F10031">
        <v>104486.6699999993</v>
      </c>
    </row>
    <row r="10032" spans="1:6">
      <c r="A10032" t="s">
        <v>27</v>
      </c>
      <c r="B10032" t="s">
        <v>234</v>
      </c>
      <c r="C10032" t="s">
        <v>861</v>
      </c>
      <c r="D10032" t="s">
        <v>2017</v>
      </c>
      <c r="E10032" t="s">
        <v>1258</v>
      </c>
      <c r="F10032">
        <v>2027</v>
      </c>
    </row>
    <row r="10033" spans="1:6">
      <c r="A10033" t="s">
        <v>27</v>
      </c>
      <c r="B10033" t="s">
        <v>234</v>
      </c>
      <c r="C10033" t="s">
        <v>861</v>
      </c>
      <c r="D10033" t="s">
        <v>2017</v>
      </c>
      <c r="E10033" t="s">
        <v>1266</v>
      </c>
      <c r="F10033">
        <v>2028</v>
      </c>
    </row>
    <row r="10034" spans="1:6">
      <c r="A10034" t="s">
        <v>27</v>
      </c>
      <c r="B10034" t="s">
        <v>234</v>
      </c>
      <c r="C10034" t="s">
        <v>861</v>
      </c>
      <c r="D10034" t="s">
        <v>2017</v>
      </c>
      <c r="E10034" t="s">
        <v>1564</v>
      </c>
      <c r="F10034">
        <v>2029</v>
      </c>
    </row>
    <row r="10035" spans="1:6">
      <c r="A10035" t="s">
        <v>27</v>
      </c>
      <c r="B10035" t="s">
        <v>234</v>
      </c>
      <c r="C10035" t="s">
        <v>861</v>
      </c>
      <c r="D10035" t="s">
        <v>2017</v>
      </c>
      <c r="E10035" t="s">
        <v>1739</v>
      </c>
      <c r="F10035">
        <v>2030</v>
      </c>
    </row>
    <row r="10036" spans="1:6">
      <c r="A10036" t="s">
        <v>27</v>
      </c>
      <c r="B10036" t="s">
        <v>234</v>
      </c>
      <c r="C10036" t="s">
        <v>861</v>
      </c>
      <c r="D10036" t="s">
        <v>2017</v>
      </c>
      <c r="E10036" t="s">
        <v>1879</v>
      </c>
      <c r="F10036" t="s">
        <v>2302</v>
      </c>
    </row>
    <row r="10037" spans="1:6">
      <c r="A10037" t="s">
        <v>27</v>
      </c>
      <c r="B10037" t="s">
        <v>234</v>
      </c>
      <c r="C10037" t="s">
        <v>861</v>
      </c>
      <c r="D10037" t="s">
        <v>2017</v>
      </c>
      <c r="E10037" t="s">
        <v>1880</v>
      </c>
      <c r="F10037">
        <v>854085</v>
      </c>
    </row>
    <row r="10038" spans="1:6">
      <c r="A10038" t="s">
        <v>27</v>
      </c>
      <c r="B10038" t="s">
        <v>234</v>
      </c>
      <c r="C10038" t="s">
        <v>861</v>
      </c>
      <c r="D10038" t="s">
        <v>2017</v>
      </c>
      <c r="E10038" t="s">
        <v>1881</v>
      </c>
      <c r="F10038">
        <v>727218</v>
      </c>
    </row>
    <row r="10039" spans="1:6">
      <c r="A10039" t="s">
        <v>27</v>
      </c>
      <c r="B10039" t="s">
        <v>234</v>
      </c>
      <c r="C10039" t="s">
        <v>861</v>
      </c>
      <c r="D10039" t="s">
        <v>2017</v>
      </c>
      <c r="E10039" t="s">
        <v>1882</v>
      </c>
      <c r="F10039">
        <v>618332</v>
      </c>
    </row>
    <row r="10040" spans="1:6">
      <c r="A10040" t="s">
        <v>27</v>
      </c>
      <c r="B10040" t="s">
        <v>234</v>
      </c>
      <c r="C10040" t="s">
        <v>861</v>
      </c>
      <c r="D10040" t="s">
        <v>2017</v>
      </c>
      <c r="E10040" t="s">
        <v>1883</v>
      </c>
      <c r="F10040">
        <v>614139</v>
      </c>
    </row>
    <row r="10041" spans="1:6">
      <c r="A10041" t="s">
        <v>27</v>
      </c>
      <c r="B10041" t="s">
        <v>234</v>
      </c>
      <c r="C10041" t="s">
        <v>861</v>
      </c>
      <c r="D10041" t="s">
        <v>2017</v>
      </c>
      <c r="E10041" t="s">
        <v>2303</v>
      </c>
      <c r="F10041">
        <v>612365</v>
      </c>
    </row>
    <row r="10042" spans="1:6">
      <c r="A10042" t="s">
        <v>27</v>
      </c>
      <c r="B10042" t="s">
        <v>234</v>
      </c>
      <c r="C10042" t="s">
        <v>861</v>
      </c>
      <c r="D10042" t="s">
        <v>2017</v>
      </c>
      <c r="E10042" t="s">
        <v>2304</v>
      </c>
      <c r="F10042">
        <v>610097</v>
      </c>
    </row>
    <row r="10043" spans="1:6">
      <c r="A10043" t="s">
        <v>27</v>
      </c>
      <c r="B10043" t="s">
        <v>234</v>
      </c>
      <c r="C10043" t="s">
        <v>861</v>
      </c>
      <c r="D10043" t="s">
        <v>2017</v>
      </c>
      <c r="E10043" t="s">
        <v>2305</v>
      </c>
      <c r="F10043">
        <v>606335</v>
      </c>
    </row>
    <row r="10044" spans="1:6">
      <c r="A10044" t="s">
        <v>27</v>
      </c>
      <c r="B10044" t="s">
        <v>234</v>
      </c>
      <c r="C10044" t="s">
        <v>861</v>
      </c>
      <c r="D10044" t="s">
        <v>2017</v>
      </c>
      <c r="E10044" t="s">
        <v>2306</v>
      </c>
      <c r="F10044">
        <v>603896</v>
      </c>
    </row>
    <row r="10045" spans="1:6">
      <c r="A10045" t="s">
        <v>27</v>
      </c>
      <c r="B10045" t="s">
        <v>234</v>
      </c>
      <c r="C10045" t="s">
        <v>861</v>
      </c>
      <c r="D10045" t="s">
        <v>2017</v>
      </c>
      <c r="E10045" t="s">
        <v>2307</v>
      </c>
      <c r="F10045">
        <v>601561</v>
      </c>
    </row>
    <row r="10046" spans="1:6">
      <c r="A10046" t="s">
        <v>27</v>
      </c>
      <c r="B10046" t="s">
        <v>234</v>
      </c>
      <c r="C10046" t="s">
        <v>861</v>
      </c>
      <c r="D10046" t="s">
        <v>2017</v>
      </c>
      <c r="E10046" t="s">
        <v>2308</v>
      </c>
      <c r="F10046">
        <v>617159</v>
      </c>
    </row>
    <row r="10047" spans="1:6">
      <c r="A10047" t="s">
        <v>27</v>
      </c>
      <c r="B10047" t="s">
        <v>234</v>
      </c>
      <c r="C10047" t="s">
        <v>861</v>
      </c>
      <c r="D10047" t="s">
        <v>2017</v>
      </c>
      <c r="E10047" t="s">
        <v>2309</v>
      </c>
      <c r="F10047">
        <v>617335</v>
      </c>
    </row>
    <row r="10048" spans="1:6">
      <c r="A10048" t="s">
        <v>27</v>
      </c>
      <c r="B10048" t="s">
        <v>234</v>
      </c>
      <c r="C10048" t="s">
        <v>861</v>
      </c>
      <c r="D10048" t="s">
        <v>2017</v>
      </c>
      <c r="E10048" t="s">
        <v>2310</v>
      </c>
      <c r="F10048">
        <v>615534</v>
      </c>
    </row>
    <row r="10049" spans="1:6">
      <c r="A10049" t="s">
        <v>27</v>
      </c>
      <c r="B10049" t="s">
        <v>234</v>
      </c>
      <c r="C10049" t="s">
        <v>861</v>
      </c>
      <c r="D10049" t="s">
        <v>2017</v>
      </c>
      <c r="E10049" t="s">
        <v>2311</v>
      </c>
      <c r="F10049">
        <v>613684</v>
      </c>
    </row>
    <row r="10050" spans="1:6">
      <c r="A10050" t="s">
        <v>27</v>
      </c>
      <c r="B10050" t="s">
        <v>234</v>
      </c>
      <c r="C10050" t="s">
        <v>861</v>
      </c>
      <c r="D10050" t="s">
        <v>2017</v>
      </c>
      <c r="E10050" t="s">
        <v>2312</v>
      </c>
      <c r="F10050">
        <v>612344</v>
      </c>
    </row>
    <row r="10051" spans="1:6">
      <c r="A10051" t="s">
        <v>27</v>
      </c>
      <c r="B10051" t="s">
        <v>234</v>
      </c>
      <c r="C10051" t="s">
        <v>861</v>
      </c>
      <c r="D10051" t="s">
        <v>2017</v>
      </c>
      <c r="E10051" t="s">
        <v>2313</v>
      </c>
      <c r="F10051">
        <v>609807</v>
      </c>
    </row>
    <row r="10052" spans="1:6">
      <c r="A10052" t="s">
        <v>27</v>
      </c>
      <c r="B10052" t="s">
        <v>234</v>
      </c>
      <c r="C10052" t="s">
        <v>861</v>
      </c>
      <c r="D10052" t="s">
        <v>2017</v>
      </c>
      <c r="E10052" t="s">
        <v>2314</v>
      </c>
      <c r="F10052">
        <v>606492</v>
      </c>
    </row>
    <row r="10053" spans="1:6">
      <c r="A10053" t="s">
        <v>27</v>
      </c>
      <c r="B10053" t="s">
        <v>234</v>
      </c>
      <c r="C10053" t="s">
        <v>861</v>
      </c>
      <c r="D10053" t="s">
        <v>2017</v>
      </c>
      <c r="E10053" t="s">
        <v>2315</v>
      </c>
      <c r="F10053">
        <v>338565</v>
      </c>
    </row>
    <row r="10054" spans="1:6">
      <c r="A10054" t="s">
        <v>27</v>
      </c>
      <c r="B10054" t="s">
        <v>234</v>
      </c>
      <c r="C10054" t="s">
        <v>861</v>
      </c>
      <c r="D10054" t="s">
        <v>2017</v>
      </c>
      <c r="E10054" t="s">
        <v>2316</v>
      </c>
      <c r="F10054">
        <v>336552</v>
      </c>
    </row>
    <row r="10055" spans="1:6">
      <c r="A10055" t="s">
        <v>27</v>
      </c>
      <c r="B10055" t="s">
        <v>234</v>
      </c>
      <c r="C10055" t="s">
        <v>861</v>
      </c>
      <c r="D10055" t="s">
        <v>2017</v>
      </c>
      <c r="E10055" t="s">
        <v>2841</v>
      </c>
      <c r="F10055">
        <v>333569</v>
      </c>
    </row>
    <row r="10056" spans="1:6">
      <c r="A10056" t="s">
        <v>27</v>
      </c>
      <c r="B10056" t="s">
        <v>234</v>
      </c>
      <c r="C10056" t="s">
        <v>861</v>
      </c>
      <c r="D10056" t="s">
        <v>2017</v>
      </c>
      <c r="E10056" t="s">
        <v>2842</v>
      </c>
      <c r="F10056">
        <v>332913</v>
      </c>
    </row>
    <row r="10057" spans="1:6">
      <c r="A10057" t="s">
        <v>27</v>
      </c>
      <c r="B10057" t="s">
        <v>234</v>
      </c>
      <c r="C10057" t="s">
        <v>861</v>
      </c>
      <c r="D10057" t="s">
        <v>2017</v>
      </c>
      <c r="E10057" t="s">
        <v>2843</v>
      </c>
      <c r="F10057">
        <v>330516</v>
      </c>
    </row>
    <row r="10058" spans="1:6">
      <c r="A10058" t="s">
        <v>27</v>
      </c>
      <c r="B10058" t="s">
        <v>234</v>
      </c>
      <c r="C10058" t="s">
        <v>861</v>
      </c>
      <c r="D10058" t="s">
        <v>2017</v>
      </c>
      <c r="E10058" t="s">
        <v>1887</v>
      </c>
      <c r="F10058">
        <v>2002</v>
      </c>
    </row>
    <row r="10059" spans="1:6">
      <c r="A10059" t="s">
        <v>27</v>
      </c>
      <c r="B10059" t="s">
        <v>234</v>
      </c>
      <c r="C10059" t="s">
        <v>861</v>
      </c>
      <c r="D10059" t="s">
        <v>2017</v>
      </c>
      <c r="E10059" t="s">
        <v>1888</v>
      </c>
      <c r="F10059">
        <v>2</v>
      </c>
    </row>
    <row r="10060" spans="1:6">
      <c r="A10060" t="s">
        <v>27</v>
      </c>
      <c r="B10060" t="s">
        <v>234</v>
      </c>
      <c r="C10060" t="s">
        <v>861</v>
      </c>
      <c r="D10060" t="s">
        <v>2017</v>
      </c>
      <c r="E10060" t="s">
        <v>1889</v>
      </c>
      <c r="F10060">
        <v>2</v>
      </c>
    </row>
    <row r="10061" spans="1:6">
      <c r="A10061" t="s">
        <v>27</v>
      </c>
      <c r="B10061" t="s">
        <v>234</v>
      </c>
      <c r="C10061" t="s">
        <v>861</v>
      </c>
      <c r="D10061" t="s">
        <v>2017</v>
      </c>
      <c r="E10061" t="s">
        <v>1745</v>
      </c>
      <c r="F10061">
        <v>2</v>
      </c>
    </row>
    <row r="10062" spans="1:6">
      <c r="A10062" t="s">
        <v>27</v>
      </c>
      <c r="B10062" t="s">
        <v>234</v>
      </c>
      <c r="C10062" t="s">
        <v>861</v>
      </c>
      <c r="D10062" t="s">
        <v>2017</v>
      </c>
      <c r="E10062" t="s">
        <v>1890</v>
      </c>
      <c r="F10062">
        <v>2</v>
      </c>
    </row>
    <row r="10063" spans="1:6">
      <c r="A10063" t="s">
        <v>27</v>
      </c>
      <c r="B10063" t="s">
        <v>234</v>
      </c>
      <c r="C10063" t="s">
        <v>861</v>
      </c>
      <c r="D10063" t="s">
        <v>2017</v>
      </c>
      <c r="E10063" t="s">
        <v>2317</v>
      </c>
      <c r="F10063">
        <v>2</v>
      </c>
    </row>
    <row r="10064" spans="1:6">
      <c r="A10064" t="s">
        <v>27</v>
      </c>
      <c r="B10064" t="s">
        <v>234</v>
      </c>
      <c r="C10064" t="s">
        <v>861</v>
      </c>
      <c r="D10064" t="s">
        <v>2017</v>
      </c>
      <c r="E10064" t="s">
        <v>2318</v>
      </c>
      <c r="F10064">
        <v>2</v>
      </c>
    </row>
    <row r="10065" spans="1:6">
      <c r="A10065" t="s">
        <v>27</v>
      </c>
      <c r="B10065" t="s">
        <v>234</v>
      </c>
      <c r="C10065" t="s">
        <v>861</v>
      </c>
      <c r="D10065" t="s">
        <v>2017</v>
      </c>
      <c r="E10065" t="s">
        <v>2319</v>
      </c>
      <c r="F10065">
        <v>2</v>
      </c>
    </row>
    <row r="10066" spans="1:6">
      <c r="A10066" t="s">
        <v>27</v>
      </c>
      <c r="B10066" t="s">
        <v>234</v>
      </c>
      <c r="C10066" t="s">
        <v>861</v>
      </c>
      <c r="D10066" t="s">
        <v>2017</v>
      </c>
      <c r="E10066" t="s">
        <v>2320</v>
      </c>
      <c r="F10066">
        <v>2</v>
      </c>
    </row>
    <row r="10067" spans="1:6">
      <c r="A10067" t="s">
        <v>27</v>
      </c>
      <c r="B10067" t="s">
        <v>234</v>
      </c>
      <c r="C10067" t="s">
        <v>861</v>
      </c>
      <c r="D10067" t="s">
        <v>2017</v>
      </c>
      <c r="E10067" t="s">
        <v>2321</v>
      </c>
      <c r="F10067">
        <v>2</v>
      </c>
    </row>
    <row r="10068" spans="1:6">
      <c r="A10068" t="s">
        <v>27</v>
      </c>
      <c r="B10068" t="s">
        <v>234</v>
      </c>
      <c r="C10068" t="s">
        <v>861</v>
      </c>
      <c r="D10068" t="s">
        <v>2017</v>
      </c>
      <c r="E10068" t="s">
        <v>2322</v>
      </c>
      <c r="F10068">
        <v>2</v>
      </c>
    </row>
    <row r="10069" spans="1:6">
      <c r="A10069" t="s">
        <v>27</v>
      </c>
      <c r="B10069" t="s">
        <v>234</v>
      </c>
      <c r="C10069" t="s">
        <v>861</v>
      </c>
      <c r="D10069" t="s">
        <v>2017</v>
      </c>
      <c r="E10069" t="s">
        <v>2323</v>
      </c>
      <c r="F10069">
        <v>2</v>
      </c>
    </row>
    <row r="10070" spans="1:6">
      <c r="A10070" t="s">
        <v>27</v>
      </c>
      <c r="B10070" t="s">
        <v>234</v>
      </c>
      <c r="C10070" t="s">
        <v>861</v>
      </c>
      <c r="D10070" t="s">
        <v>2017</v>
      </c>
      <c r="E10070" t="s">
        <v>2324</v>
      </c>
      <c r="F10070">
        <v>2</v>
      </c>
    </row>
    <row r="10071" spans="1:6">
      <c r="A10071" t="s">
        <v>27</v>
      </c>
      <c r="B10071" t="s">
        <v>234</v>
      </c>
      <c r="C10071" t="s">
        <v>861</v>
      </c>
      <c r="D10071" t="s">
        <v>2017</v>
      </c>
      <c r="E10071" t="s">
        <v>2325</v>
      </c>
      <c r="F10071">
        <v>2</v>
      </c>
    </row>
    <row r="10072" spans="1:6">
      <c r="A10072" t="s">
        <v>27</v>
      </c>
      <c r="B10072" t="s">
        <v>234</v>
      </c>
      <c r="C10072" t="s">
        <v>861</v>
      </c>
      <c r="D10072" t="s">
        <v>2017</v>
      </c>
      <c r="E10072" t="s">
        <v>2326</v>
      </c>
      <c r="F10072">
        <v>2</v>
      </c>
    </row>
    <row r="10073" spans="1:6">
      <c r="A10073" t="s">
        <v>27</v>
      </c>
      <c r="B10073" t="s">
        <v>234</v>
      </c>
      <c r="C10073" t="s">
        <v>861</v>
      </c>
      <c r="D10073" t="s">
        <v>2017</v>
      </c>
      <c r="E10073" t="s">
        <v>2327</v>
      </c>
      <c r="F10073">
        <v>2</v>
      </c>
    </row>
    <row r="10074" spans="1:6">
      <c r="A10074" t="s">
        <v>27</v>
      </c>
      <c r="B10074" t="s">
        <v>234</v>
      </c>
      <c r="C10074" t="s">
        <v>861</v>
      </c>
      <c r="D10074" t="s">
        <v>2017</v>
      </c>
      <c r="E10074" t="s">
        <v>2328</v>
      </c>
      <c r="F10074">
        <v>2</v>
      </c>
    </row>
    <row r="10075" spans="1:6">
      <c r="A10075" t="s">
        <v>27</v>
      </c>
      <c r="B10075" t="s">
        <v>234</v>
      </c>
      <c r="C10075" t="s">
        <v>861</v>
      </c>
      <c r="D10075" t="s">
        <v>2017</v>
      </c>
      <c r="E10075" t="s">
        <v>2329</v>
      </c>
      <c r="F10075">
        <v>2</v>
      </c>
    </row>
    <row r="10076" spans="1:6">
      <c r="A10076" t="s">
        <v>27</v>
      </c>
      <c r="B10076" t="s">
        <v>234</v>
      </c>
      <c r="C10076" t="s">
        <v>861</v>
      </c>
      <c r="D10076" t="s">
        <v>2017</v>
      </c>
      <c r="E10076" t="s">
        <v>2330</v>
      </c>
      <c r="F10076">
        <v>2</v>
      </c>
    </row>
    <row r="10077" spans="1:6">
      <c r="A10077" t="s">
        <v>27</v>
      </c>
      <c r="B10077" t="s">
        <v>234</v>
      </c>
      <c r="C10077" t="s">
        <v>861</v>
      </c>
      <c r="D10077" t="s">
        <v>2017</v>
      </c>
      <c r="E10077" t="s">
        <v>2844</v>
      </c>
      <c r="F10077">
        <v>2</v>
      </c>
    </row>
    <row r="10078" spans="1:6">
      <c r="A10078" t="s">
        <v>27</v>
      </c>
      <c r="B10078" t="s">
        <v>234</v>
      </c>
      <c r="C10078" t="s">
        <v>861</v>
      </c>
      <c r="D10078" t="s">
        <v>2017</v>
      </c>
      <c r="E10078" t="s">
        <v>2845</v>
      </c>
      <c r="F10078">
        <v>2</v>
      </c>
    </row>
    <row r="10079" spans="1:6">
      <c r="A10079" t="s">
        <v>27</v>
      </c>
      <c r="B10079" t="s">
        <v>234</v>
      </c>
      <c r="C10079" t="s">
        <v>861</v>
      </c>
      <c r="D10079" t="s">
        <v>2017</v>
      </c>
      <c r="E10079" t="s">
        <v>2846</v>
      </c>
      <c r="F10079">
        <v>2</v>
      </c>
    </row>
    <row r="10080" spans="1:6">
      <c r="A10080" t="s">
        <v>27</v>
      </c>
      <c r="B10080" t="s">
        <v>234</v>
      </c>
      <c r="C10080" t="s">
        <v>861</v>
      </c>
      <c r="D10080" t="s">
        <v>2017</v>
      </c>
      <c r="E10080" t="s">
        <v>1894</v>
      </c>
      <c r="F10080">
        <v>2003</v>
      </c>
    </row>
    <row r="10081" spans="1:6">
      <c r="A10081" t="s">
        <v>27</v>
      </c>
      <c r="B10081" t="s">
        <v>234</v>
      </c>
      <c r="C10081" t="s">
        <v>861</v>
      </c>
      <c r="D10081" t="s">
        <v>2017</v>
      </c>
      <c r="E10081" t="s">
        <v>1895</v>
      </c>
      <c r="F10081">
        <v>248</v>
      </c>
    </row>
    <row r="10082" spans="1:6">
      <c r="A10082" t="s">
        <v>27</v>
      </c>
      <c r="B10082" t="s">
        <v>234</v>
      </c>
      <c r="C10082" t="s">
        <v>861</v>
      </c>
      <c r="D10082" t="s">
        <v>2017</v>
      </c>
      <c r="E10082" t="s">
        <v>1896</v>
      </c>
      <c r="F10082">
        <v>246</v>
      </c>
    </row>
    <row r="10083" spans="1:6">
      <c r="A10083" t="s">
        <v>27</v>
      </c>
      <c r="B10083" t="s">
        <v>234</v>
      </c>
      <c r="C10083" t="s">
        <v>861</v>
      </c>
      <c r="D10083" t="s">
        <v>2017</v>
      </c>
      <c r="E10083" t="s">
        <v>1746</v>
      </c>
      <c r="F10083">
        <v>244</v>
      </c>
    </row>
    <row r="10084" spans="1:6">
      <c r="A10084" t="s">
        <v>27</v>
      </c>
      <c r="B10084" t="s">
        <v>234</v>
      </c>
      <c r="C10084" t="s">
        <v>861</v>
      </c>
      <c r="D10084" t="s">
        <v>2017</v>
      </c>
      <c r="E10084" t="s">
        <v>1897</v>
      </c>
      <c r="F10084">
        <v>244</v>
      </c>
    </row>
    <row r="10085" spans="1:6">
      <c r="A10085" t="s">
        <v>27</v>
      </c>
      <c r="B10085" t="s">
        <v>234</v>
      </c>
      <c r="C10085" t="s">
        <v>861</v>
      </c>
      <c r="D10085" t="s">
        <v>2017</v>
      </c>
      <c r="E10085" t="s">
        <v>2331</v>
      </c>
      <c r="F10085">
        <v>244</v>
      </c>
    </row>
    <row r="10086" spans="1:6">
      <c r="A10086" t="s">
        <v>27</v>
      </c>
      <c r="B10086" t="s">
        <v>234</v>
      </c>
      <c r="C10086" t="s">
        <v>861</v>
      </c>
      <c r="D10086" t="s">
        <v>2017</v>
      </c>
      <c r="E10086" t="s">
        <v>2332</v>
      </c>
      <c r="F10086">
        <v>244</v>
      </c>
    </row>
    <row r="10087" spans="1:6">
      <c r="A10087" t="s">
        <v>27</v>
      </c>
      <c r="B10087" t="s">
        <v>234</v>
      </c>
      <c r="C10087" t="s">
        <v>861</v>
      </c>
      <c r="D10087" t="s">
        <v>2017</v>
      </c>
      <c r="E10087" t="s">
        <v>2333</v>
      </c>
      <c r="F10087">
        <v>244</v>
      </c>
    </row>
    <row r="10088" spans="1:6">
      <c r="A10088" t="s">
        <v>27</v>
      </c>
      <c r="B10088" t="s">
        <v>234</v>
      </c>
      <c r="C10088" t="s">
        <v>861</v>
      </c>
      <c r="D10088" t="s">
        <v>2017</v>
      </c>
      <c r="E10088" t="s">
        <v>2334</v>
      </c>
      <c r="F10088">
        <v>244</v>
      </c>
    </row>
    <row r="10089" spans="1:6">
      <c r="A10089" t="s">
        <v>27</v>
      </c>
      <c r="B10089" t="s">
        <v>234</v>
      </c>
      <c r="C10089" t="s">
        <v>861</v>
      </c>
      <c r="D10089" t="s">
        <v>2017</v>
      </c>
      <c r="E10089" t="s">
        <v>2335</v>
      </c>
      <c r="F10089">
        <v>244</v>
      </c>
    </row>
    <row r="10090" spans="1:6">
      <c r="A10090" t="s">
        <v>27</v>
      </c>
      <c r="B10090" t="s">
        <v>234</v>
      </c>
      <c r="C10090" t="s">
        <v>861</v>
      </c>
      <c r="D10090" t="s">
        <v>2017</v>
      </c>
      <c r="E10090" t="s">
        <v>2336</v>
      </c>
      <c r="F10090">
        <v>244</v>
      </c>
    </row>
    <row r="10091" spans="1:6">
      <c r="A10091" t="s">
        <v>27</v>
      </c>
      <c r="B10091" t="s">
        <v>234</v>
      </c>
      <c r="C10091" t="s">
        <v>861</v>
      </c>
      <c r="D10091" t="s">
        <v>2017</v>
      </c>
      <c r="E10091" t="s">
        <v>2337</v>
      </c>
      <c r="F10091">
        <v>244</v>
      </c>
    </row>
    <row r="10092" spans="1:6">
      <c r="A10092" t="s">
        <v>27</v>
      </c>
      <c r="B10092" t="s">
        <v>234</v>
      </c>
      <c r="C10092" t="s">
        <v>861</v>
      </c>
      <c r="D10092" t="s">
        <v>2017</v>
      </c>
      <c r="E10092" t="s">
        <v>2338</v>
      </c>
      <c r="F10092">
        <v>244</v>
      </c>
    </row>
    <row r="10093" spans="1:6">
      <c r="A10093" t="s">
        <v>27</v>
      </c>
      <c r="B10093" t="s">
        <v>234</v>
      </c>
      <c r="C10093" t="s">
        <v>861</v>
      </c>
      <c r="D10093" t="s">
        <v>2017</v>
      </c>
      <c r="E10093" t="s">
        <v>2339</v>
      </c>
      <c r="F10093">
        <v>244</v>
      </c>
    </row>
    <row r="10094" spans="1:6">
      <c r="A10094" t="s">
        <v>27</v>
      </c>
      <c r="B10094" t="s">
        <v>234</v>
      </c>
      <c r="C10094" t="s">
        <v>861</v>
      </c>
      <c r="D10094" t="s">
        <v>2017</v>
      </c>
      <c r="E10094" t="s">
        <v>2340</v>
      </c>
      <c r="F10094">
        <v>244</v>
      </c>
    </row>
    <row r="10095" spans="1:6">
      <c r="A10095" t="s">
        <v>27</v>
      </c>
      <c r="B10095" t="s">
        <v>234</v>
      </c>
      <c r="C10095" t="s">
        <v>861</v>
      </c>
      <c r="D10095" t="s">
        <v>2017</v>
      </c>
      <c r="E10095" t="s">
        <v>2341</v>
      </c>
      <c r="F10095">
        <v>244</v>
      </c>
    </row>
    <row r="10096" spans="1:6">
      <c r="A10096" t="s">
        <v>27</v>
      </c>
      <c r="B10096" t="s">
        <v>234</v>
      </c>
      <c r="C10096" t="s">
        <v>861</v>
      </c>
      <c r="D10096" t="s">
        <v>2017</v>
      </c>
      <c r="E10096" t="s">
        <v>2342</v>
      </c>
      <c r="F10096">
        <v>244</v>
      </c>
    </row>
    <row r="10097" spans="1:6">
      <c r="A10097" t="s">
        <v>27</v>
      </c>
      <c r="B10097" t="s">
        <v>234</v>
      </c>
      <c r="C10097" t="s">
        <v>861</v>
      </c>
      <c r="D10097" t="s">
        <v>2017</v>
      </c>
      <c r="E10097" t="s">
        <v>2343</v>
      </c>
      <c r="F10097">
        <v>232</v>
      </c>
    </row>
    <row r="10098" spans="1:6">
      <c r="A10098" t="s">
        <v>27</v>
      </c>
      <c r="B10098" t="s">
        <v>234</v>
      </c>
      <c r="C10098" t="s">
        <v>861</v>
      </c>
      <c r="D10098" t="s">
        <v>2017</v>
      </c>
      <c r="E10098" t="s">
        <v>2344</v>
      </c>
      <c r="F10098">
        <v>232</v>
      </c>
    </row>
    <row r="10099" spans="1:6">
      <c r="A10099" t="s">
        <v>27</v>
      </c>
      <c r="B10099" t="s">
        <v>234</v>
      </c>
      <c r="C10099" t="s">
        <v>861</v>
      </c>
      <c r="D10099" t="s">
        <v>2017</v>
      </c>
      <c r="E10099" t="s">
        <v>2847</v>
      </c>
      <c r="F10099">
        <v>232</v>
      </c>
    </row>
    <row r="10100" spans="1:6">
      <c r="A10100" t="s">
        <v>27</v>
      </c>
      <c r="B10100" t="s">
        <v>234</v>
      </c>
      <c r="C10100" t="s">
        <v>861</v>
      </c>
      <c r="D10100" t="s">
        <v>2017</v>
      </c>
      <c r="E10100" t="s">
        <v>2848</v>
      </c>
      <c r="F10100">
        <v>232</v>
      </c>
    </row>
    <row r="10101" spans="1:6">
      <c r="A10101" t="s">
        <v>27</v>
      </c>
      <c r="B10101" t="s">
        <v>234</v>
      </c>
      <c r="C10101" t="s">
        <v>861</v>
      </c>
      <c r="D10101" t="s">
        <v>2017</v>
      </c>
      <c r="E10101" t="s">
        <v>2849</v>
      </c>
      <c r="F10101">
        <v>232</v>
      </c>
    </row>
    <row r="10102" spans="1:6">
      <c r="A10102" t="s">
        <v>27</v>
      </c>
      <c r="B10102" t="s">
        <v>234</v>
      </c>
      <c r="C10102" t="s">
        <v>861</v>
      </c>
      <c r="D10102" t="s">
        <v>2017</v>
      </c>
      <c r="E10102" t="s">
        <v>1901</v>
      </c>
      <c r="F10102">
        <v>2004</v>
      </c>
    </row>
    <row r="10103" spans="1:6">
      <c r="A10103" t="s">
        <v>27</v>
      </c>
      <c r="B10103" t="s">
        <v>234</v>
      </c>
      <c r="C10103" t="s">
        <v>861</v>
      </c>
      <c r="D10103" t="s">
        <v>2017</v>
      </c>
      <c r="E10103" t="s">
        <v>1902</v>
      </c>
      <c r="F10103">
        <v>908</v>
      </c>
    </row>
    <row r="10104" spans="1:6">
      <c r="A10104" t="s">
        <v>27</v>
      </c>
      <c r="B10104" t="s">
        <v>234</v>
      </c>
      <c r="C10104" t="s">
        <v>861</v>
      </c>
      <c r="D10104" t="s">
        <v>2017</v>
      </c>
      <c r="E10104" t="s">
        <v>1903</v>
      </c>
      <c r="F10104">
        <v>893</v>
      </c>
    </row>
    <row r="10105" spans="1:6">
      <c r="A10105" t="s">
        <v>27</v>
      </c>
      <c r="B10105" t="s">
        <v>234</v>
      </c>
      <c r="C10105" t="s">
        <v>861</v>
      </c>
      <c r="D10105" t="s">
        <v>2017</v>
      </c>
      <c r="E10105" t="s">
        <v>1747</v>
      </c>
      <c r="F10105">
        <v>887</v>
      </c>
    </row>
    <row r="10106" spans="1:6">
      <c r="A10106" t="s">
        <v>27</v>
      </c>
      <c r="B10106" t="s">
        <v>234</v>
      </c>
      <c r="C10106" t="s">
        <v>861</v>
      </c>
      <c r="D10106" t="s">
        <v>2017</v>
      </c>
      <c r="E10106" t="s">
        <v>1904</v>
      </c>
      <c r="F10106">
        <v>887</v>
      </c>
    </row>
    <row r="10107" spans="1:6">
      <c r="A10107" t="s">
        <v>27</v>
      </c>
      <c r="B10107" t="s">
        <v>234</v>
      </c>
      <c r="C10107" t="s">
        <v>861</v>
      </c>
      <c r="D10107" t="s">
        <v>2017</v>
      </c>
      <c r="E10107" t="s">
        <v>2345</v>
      </c>
      <c r="F10107">
        <v>887</v>
      </c>
    </row>
    <row r="10108" spans="1:6">
      <c r="A10108" t="s">
        <v>27</v>
      </c>
      <c r="B10108" t="s">
        <v>234</v>
      </c>
      <c r="C10108" t="s">
        <v>861</v>
      </c>
      <c r="D10108" t="s">
        <v>2017</v>
      </c>
      <c r="E10108" t="s">
        <v>2346</v>
      </c>
      <c r="F10108">
        <v>887</v>
      </c>
    </row>
    <row r="10109" spans="1:6">
      <c r="A10109" t="s">
        <v>27</v>
      </c>
      <c r="B10109" t="s">
        <v>234</v>
      </c>
      <c r="C10109" t="s">
        <v>861</v>
      </c>
      <c r="D10109" t="s">
        <v>2017</v>
      </c>
      <c r="E10109" t="s">
        <v>2347</v>
      </c>
      <c r="F10109">
        <v>887</v>
      </c>
    </row>
    <row r="10110" spans="1:6">
      <c r="A10110" t="s">
        <v>27</v>
      </c>
      <c r="B10110" t="s">
        <v>234</v>
      </c>
      <c r="C10110" t="s">
        <v>861</v>
      </c>
      <c r="D10110" t="s">
        <v>2017</v>
      </c>
      <c r="E10110" t="s">
        <v>2348</v>
      </c>
      <c r="F10110">
        <v>887</v>
      </c>
    </row>
    <row r="10111" spans="1:6">
      <c r="A10111" t="s">
        <v>27</v>
      </c>
      <c r="B10111" t="s">
        <v>234</v>
      </c>
      <c r="C10111" t="s">
        <v>861</v>
      </c>
      <c r="D10111" t="s">
        <v>2017</v>
      </c>
      <c r="E10111" t="s">
        <v>2349</v>
      </c>
      <c r="F10111">
        <v>887</v>
      </c>
    </row>
    <row r="10112" spans="1:6">
      <c r="A10112" t="s">
        <v>27</v>
      </c>
      <c r="B10112" t="s">
        <v>234</v>
      </c>
      <c r="C10112" t="s">
        <v>861</v>
      </c>
      <c r="D10112" t="s">
        <v>2017</v>
      </c>
      <c r="E10112" t="s">
        <v>2350</v>
      </c>
      <c r="F10112">
        <v>887</v>
      </c>
    </row>
    <row r="10113" spans="1:6">
      <c r="A10113" t="s">
        <v>27</v>
      </c>
      <c r="B10113" t="s">
        <v>234</v>
      </c>
      <c r="C10113" t="s">
        <v>861</v>
      </c>
      <c r="D10113" t="s">
        <v>2017</v>
      </c>
      <c r="E10113" t="s">
        <v>2351</v>
      </c>
      <c r="F10113">
        <v>887</v>
      </c>
    </row>
    <row r="10114" spans="1:6">
      <c r="A10114" t="s">
        <v>27</v>
      </c>
      <c r="B10114" t="s">
        <v>234</v>
      </c>
      <c r="C10114" t="s">
        <v>861</v>
      </c>
      <c r="D10114" t="s">
        <v>2017</v>
      </c>
      <c r="E10114" t="s">
        <v>2352</v>
      </c>
      <c r="F10114">
        <v>887</v>
      </c>
    </row>
    <row r="10115" spans="1:6">
      <c r="A10115" t="s">
        <v>27</v>
      </c>
      <c r="B10115" t="s">
        <v>234</v>
      </c>
      <c r="C10115" t="s">
        <v>861</v>
      </c>
      <c r="D10115" t="s">
        <v>2017</v>
      </c>
      <c r="E10115" t="s">
        <v>2353</v>
      </c>
      <c r="F10115">
        <v>887</v>
      </c>
    </row>
    <row r="10116" spans="1:6">
      <c r="A10116" t="s">
        <v>27</v>
      </c>
      <c r="B10116" t="s">
        <v>234</v>
      </c>
      <c r="C10116" t="s">
        <v>861</v>
      </c>
      <c r="D10116" t="s">
        <v>2017</v>
      </c>
      <c r="E10116" t="s">
        <v>2354</v>
      </c>
      <c r="F10116">
        <v>887</v>
      </c>
    </row>
    <row r="10117" spans="1:6">
      <c r="A10117" t="s">
        <v>27</v>
      </c>
      <c r="B10117" t="s">
        <v>234</v>
      </c>
      <c r="C10117" t="s">
        <v>861</v>
      </c>
      <c r="D10117" t="s">
        <v>2017</v>
      </c>
      <c r="E10117" t="s">
        <v>2355</v>
      </c>
      <c r="F10117">
        <v>887</v>
      </c>
    </row>
    <row r="10118" spans="1:6">
      <c r="A10118" t="s">
        <v>27</v>
      </c>
      <c r="B10118" t="s">
        <v>234</v>
      </c>
      <c r="C10118" t="s">
        <v>861</v>
      </c>
      <c r="D10118" t="s">
        <v>2017</v>
      </c>
      <c r="E10118" t="s">
        <v>2356</v>
      </c>
      <c r="F10118">
        <v>887</v>
      </c>
    </row>
    <row r="10119" spans="1:6">
      <c r="A10119" t="s">
        <v>27</v>
      </c>
      <c r="B10119" t="s">
        <v>234</v>
      </c>
      <c r="C10119" t="s">
        <v>861</v>
      </c>
      <c r="D10119" t="s">
        <v>2017</v>
      </c>
      <c r="E10119" t="s">
        <v>2357</v>
      </c>
      <c r="F10119">
        <v>851</v>
      </c>
    </row>
    <row r="10120" spans="1:6">
      <c r="A10120" t="s">
        <v>27</v>
      </c>
      <c r="B10120" t="s">
        <v>234</v>
      </c>
      <c r="C10120" t="s">
        <v>861</v>
      </c>
      <c r="D10120" t="s">
        <v>2017</v>
      </c>
      <c r="E10120" t="s">
        <v>2358</v>
      </c>
      <c r="F10120">
        <v>851</v>
      </c>
    </row>
    <row r="10121" spans="1:6">
      <c r="A10121" t="s">
        <v>27</v>
      </c>
      <c r="B10121" t="s">
        <v>234</v>
      </c>
      <c r="C10121" t="s">
        <v>861</v>
      </c>
      <c r="D10121" t="s">
        <v>2017</v>
      </c>
      <c r="E10121" t="s">
        <v>2850</v>
      </c>
      <c r="F10121">
        <v>851</v>
      </c>
    </row>
    <row r="10122" spans="1:6">
      <c r="A10122" t="s">
        <v>27</v>
      </c>
      <c r="B10122" t="s">
        <v>234</v>
      </c>
      <c r="C10122" t="s">
        <v>861</v>
      </c>
      <c r="D10122" t="s">
        <v>2017</v>
      </c>
      <c r="E10122" t="s">
        <v>2851</v>
      </c>
      <c r="F10122">
        <v>851</v>
      </c>
    </row>
    <row r="10123" spans="1:6">
      <c r="A10123" t="s">
        <v>27</v>
      </c>
      <c r="B10123" t="s">
        <v>234</v>
      </c>
      <c r="C10123" t="s">
        <v>861</v>
      </c>
      <c r="D10123" t="s">
        <v>2017</v>
      </c>
      <c r="E10123" t="s">
        <v>2852</v>
      </c>
      <c r="F10123">
        <v>850</v>
      </c>
    </row>
    <row r="10124" spans="1:6">
      <c r="A10124" t="s">
        <v>27</v>
      </c>
      <c r="B10124" t="s">
        <v>234</v>
      </c>
      <c r="C10124" t="s">
        <v>861</v>
      </c>
      <c r="D10124" t="s">
        <v>2017</v>
      </c>
      <c r="E10124" t="s">
        <v>1908</v>
      </c>
      <c r="F10124">
        <v>2005</v>
      </c>
    </row>
    <row r="10125" spans="1:6">
      <c r="A10125" t="s">
        <v>27</v>
      </c>
      <c r="B10125" t="s">
        <v>234</v>
      </c>
      <c r="C10125" t="s">
        <v>861</v>
      </c>
      <c r="D10125" t="s">
        <v>2017</v>
      </c>
      <c r="E10125" t="s">
        <v>1909</v>
      </c>
      <c r="F10125">
        <v>579</v>
      </c>
    </row>
    <row r="10126" spans="1:6">
      <c r="A10126" t="s">
        <v>27</v>
      </c>
      <c r="B10126" t="s">
        <v>234</v>
      </c>
      <c r="C10126" t="s">
        <v>861</v>
      </c>
      <c r="D10126" t="s">
        <v>2017</v>
      </c>
      <c r="E10126" t="s">
        <v>1910</v>
      </c>
      <c r="F10126">
        <v>533</v>
      </c>
    </row>
    <row r="10127" spans="1:6">
      <c r="A10127" t="s">
        <v>27</v>
      </c>
      <c r="B10127" t="s">
        <v>234</v>
      </c>
      <c r="C10127" t="s">
        <v>861</v>
      </c>
      <c r="D10127" t="s">
        <v>2017</v>
      </c>
      <c r="E10127" t="s">
        <v>1911</v>
      </c>
      <c r="F10127">
        <v>499</v>
      </c>
    </row>
    <row r="10128" spans="1:6">
      <c r="A10128" t="s">
        <v>27</v>
      </c>
      <c r="B10128" t="s">
        <v>234</v>
      </c>
      <c r="C10128" t="s">
        <v>861</v>
      </c>
      <c r="D10128" t="s">
        <v>2017</v>
      </c>
      <c r="E10128" t="s">
        <v>1912</v>
      </c>
      <c r="F10128">
        <v>497</v>
      </c>
    </row>
    <row r="10129" spans="1:6">
      <c r="A10129" t="s">
        <v>27</v>
      </c>
      <c r="B10129" t="s">
        <v>234</v>
      </c>
      <c r="C10129" t="s">
        <v>861</v>
      </c>
      <c r="D10129" t="s">
        <v>2017</v>
      </c>
      <c r="E10129" t="s">
        <v>2359</v>
      </c>
      <c r="F10129">
        <v>497</v>
      </c>
    </row>
    <row r="10130" spans="1:6">
      <c r="A10130" t="s">
        <v>27</v>
      </c>
      <c r="B10130" t="s">
        <v>234</v>
      </c>
      <c r="C10130" t="s">
        <v>861</v>
      </c>
      <c r="D10130" t="s">
        <v>2017</v>
      </c>
      <c r="E10130" t="s">
        <v>2360</v>
      </c>
      <c r="F10130">
        <v>494</v>
      </c>
    </row>
    <row r="10131" spans="1:6">
      <c r="A10131" t="s">
        <v>27</v>
      </c>
      <c r="B10131" t="s">
        <v>234</v>
      </c>
      <c r="C10131" t="s">
        <v>861</v>
      </c>
      <c r="D10131" t="s">
        <v>2017</v>
      </c>
      <c r="E10131" t="s">
        <v>2361</v>
      </c>
      <c r="F10131">
        <v>494</v>
      </c>
    </row>
    <row r="10132" spans="1:6">
      <c r="A10132" t="s">
        <v>27</v>
      </c>
      <c r="B10132" t="s">
        <v>234</v>
      </c>
      <c r="C10132" t="s">
        <v>861</v>
      </c>
      <c r="D10132" t="s">
        <v>2017</v>
      </c>
      <c r="E10132" t="s">
        <v>2362</v>
      </c>
      <c r="F10132">
        <v>494</v>
      </c>
    </row>
    <row r="10133" spans="1:6">
      <c r="A10133" t="s">
        <v>27</v>
      </c>
      <c r="B10133" t="s">
        <v>234</v>
      </c>
      <c r="C10133" t="s">
        <v>861</v>
      </c>
      <c r="D10133" t="s">
        <v>2017</v>
      </c>
      <c r="E10133" t="s">
        <v>2363</v>
      </c>
      <c r="F10133">
        <v>494</v>
      </c>
    </row>
    <row r="10134" spans="1:6">
      <c r="A10134" t="s">
        <v>27</v>
      </c>
      <c r="B10134" t="s">
        <v>234</v>
      </c>
      <c r="C10134" t="s">
        <v>861</v>
      </c>
      <c r="D10134" t="s">
        <v>2017</v>
      </c>
      <c r="E10134" t="s">
        <v>2364</v>
      </c>
      <c r="F10134">
        <v>494</v>
      </c>
    </row>
    <row r="10135" spans="1:6">
      <c r="A10135" t="s">
        <v>27</v>
      </c>
      <c r="B10135" t="s">
        <v>234</v>
      </c>
      <c r="C10135" t="s">
        <v>861</v>
      </c>
      <c r="D10135" t="s">
        <v>2017</v>
      </c>
      <c r="E10135" t="s">
        <v>2365</v>
      </c>
      <c r="F10135">
        <v>493</v>
      </c>
    </row>
    <row r="10136" spans="1:6">
      <c r="A10136" t="s">
        <v>27</v>
      </c>
      <c r="B10136" t="s">
        <v>234</v>
      </c>
      <c r="C10136" t="s">
        <v>861</v>
      </c>
      <c r="D10136" t="s">
        <v>2017</v>
      </c>
      <c r="E10136" t="s">
        <v>2366</v>
      </c>
      <c r="F10136">
        <v>492</v>
      </c>
    </row>
    <row r="10137" spans="1:6">
      <c r="A10137" t="s">
        <v>27</v>
      </c>
      <c r="B10137" t="s">
        <v>234</v>
      </c>
      <c r="C10137" t="s">
        <v>861</v>
      </c>
      <c r="D10137" t="s">
        <v>2017</v>
      </c>
      <c r="E10137" t="s">
        <v>2367</v>
      </c>
      <c r="F10137">
        <v>492</v>
      </c>
    </row>
    <row r="10138" spans="1:6">
      <c r="A10138" t="s">
        <v>27</v>
      </c>
      <c r="B10138" t="s">
        <v>234</v>
      </c>
      <c r="C10138" t="s">
        <v>861</v>
      </c>
      <c r="D10138" t="s">
        <v>2017</v>
      </c>
      <c r="E10138" t="s">
        <v>2368</v>
      </c>
      <c r="F10138">
        <v>492</v>
      </c>
    </row>
    <row r="10139" spans="1:6">
      <c r="A10139" t="s">
        <v>27</v>
      </c>
      <c r="B10139" t="s">
        <v>234</v>
      </c>
      <c r="C10139" t="s">
        <v>861</v>
      </c>
      <c r="D10139" t="s">
        <v>2017</v>
      </c>
      <c r="E10139" t="s">
        <v>2369</v>
      </c>
      <c r="F10139">
        <v>491</v>
      </c>
    </row>
    <row r="10140" spans="1:6">
      <c r="A10140" t="s">
        <v>27</v>
      </c>
      <c r="B10140" t="s">
        <v>234</v>
      </c>
      <c r="C10140" t="s">
        <v>861</v>
      </c>
      <c r="D10140" t="s">
        <v>2017</v>
      </c>
      <c r="E10140" t="s">
        <v>2370</v>
      </c>
      <c r="F10140">
        <v>490</v>
      </c>
    </row>
    <row r="10141" spans="1:6">
      <c r="A10141" t="s">
        <v>27</v>
      </c>
      <c r="B10141" t="s">
        <v>234</v>
      </c>
      <c r="C10141" t="s">
        <v>861</v>
      </c>
      <c r="D10141" t="s">
        <v>2017</v>
      </c>
      <c r="E10141" t="s">
        <v>2371</v>
      </c>
      <c r="F10141">
        <v>299</v>
      </c>
    </row>
    <row r="10142" spans="1:6">
      <c r="A10142" t="s">
        <v>27</v>
      </c>
      <c r="B10142" t="s">
        <v>234</v>
      </c>
      <c r="C10142" t="s">
        <v>861</v>
      </c>
      <c r="D10142" t="s">
        <v>2017</v>
      </c>
      <c r="E10142" t="s">
        <v>2372</v>
      </c>
      <c r="F10142">
        <v>299</v>
      </c>
    </row>
    <row r="10143" spans="1:6">
      <c r="A10143" t="s">
        <v>27</v>
      </c>
      <c r="B10143" t="s">
        <v>234</v>
      </c>
      <c r="C10143" t="s">
        <v>861</v>
      </c>
      <c r="D10143" t="s">
        <v>2017</v>
      </c>
      <c r="E10143" t="s">
        <v>2853</v>
      </c>
      <c r="F10143">
        <v>299</v>
      </c>
    </row>
    <row r="10144" spans="1:6">
      <c r="A10144" t="s">
        <v>27</v>
      </c>
      <c r="B10144" t="s">
        <v>234</v>
      </c>
      <c r="C10144" t="s">
        <v>861</v>
      </c>
      <c r="D10144" t="s">
        <v>2017</v>
      </c>
      <c r="E10144" t="s">
        <v>2854</v>
      </c>
      <c r="F10144">
        <v>298</v>
      </c>
    </row>
    <row r="10145" spans="1:6">
      <c r="A10145" t="s">
        <v>27</v>
      </c>
      <c r="B10145" t="s">
        <v>234</v>
      </c>
      <c r="C10145" t="s">
        <v>861</v>
      </c>
      <c r="D10145" t="s">
        <v>2017</v>
      </c>
      <c r="E10145" t="s">
        <v>2855</v>
      </c>
      <c r="F10145">
        <v>297</v>
      </c>
    </row>
    <row r="10146" spans="1:6">
      <c r="A10146" t="s">
        <v>27</v>
      </c>
      <c r="B10146" t="s">
        <v>234</v>
      </c>
      <c r="C10146" t="s">
        <v>861</v>
      </c>
      <c r="D10146" t="s">
        <v>2017</v>
      </c>
      <c r="E10146" t="s">
        <v>1916</v>
      </c>
      <c r="F10146">
        <v>2006</v>
      </c>
    </row>
    <row r="10147" spans="1:6">
      <c r="A10147" t="s">
        <v>27</v>
      </c>
      <c r="B10147" t="s">
        <v>234</v>
      </c>
      <c r="C10147" t="s">
        <v>861</v>
      </c>
      <c r="D10147" t="s">
        <v>2017</v>
      </c>
      <c r="E10147" t="s">
        <v>1917</v>
      </c>
      <c r="F10147">
        <v>1409</v>
      </c>
    </row>
    <row r="10148" spans="1:6">
      <c r="A10148" t="s">
        <v>27</v>
      </c>
      <c r="B10148" t="s">
        <v>234</v>
      </c>
      <c r="C10148" t="s">
        <v>861</v>
      </c>
      <c r="D10148" t="s">
        <v>2017</v>
      </c>
      <c r="E10148" t="s">
        <v>1918</v>
      </c>
      <c r="F10148">
        <v>1393</v>
      </c>
    </row>
    <row r="10149" spans="1:6">
      <c r="A10149" t="s">
        <v>27</v>
      </c>
      <c r="B10149" t="s">
        <v>234</v>
      </c>
      <c r="C10149" t="s">
        <v>861</v>
      </c>
      <c r="D10149" t="s">
        <v>2017</v>
      </c>
      <c r="E10149" t="s">
        <v>1919</v>
      </c>
      <c r="F10149">
        <v>1390</v>
      </c>
    </row>
    <row r="10150" spans="1:6">
      <c r="A10150" t="s">
        <v>27</v>
      </c>
      <c r="B10150" t="s">
        <v>234</v>
      </c>
      <c r="C10150" t="s">
        <v>861</v>
      </c>
      <c r="D10150" t="s">
        <v>2017</v>
      </c>
      <c r="E10150" t="s">
        <v>1920</v>
      </c>
      <c r="F10150">
        <v>1389</v>
      </c>
    </row>
    <row r="10151" spans="1:6">
      <c r="A10151" t="s">
        <v>27</v>
      </c>
      <c r="B10151" t="s">
        <v>234</v>
      </c>
      <c r="C10151" t="s">
        <v>861</v>
      </c>
      <c r="D10151" t="s">
        <v>2017</v>
      </c>
      <c r="E10151" t="s">
        <v>2373</v>
      </c>
      <c r="F10151">
        <v>1380</v>
      </c>
    </row>
    <row r="10152" spans="1:6">
      <c r="A10152" t="s">
        <v>27</v>
      </c>
      <c r="B10152" t="s">
        <v>234</v>
      </c>
      <c r="C10152" t="s">
        <v>861</v>
      </c>
      <c r="D10152" t="s">
        <v>2017</v>
      </c>
      <c r="E10152" t="s">
        <v>2374</v>
      </c>
      <c r="F10152">
        <v>1380</v>
      </c>
    </row>
    <row r="10153" spans="1:6">
      <c r="A10153" t="s">
        <v>27</v>
      </c>
      <c r="B10153" t="s">
        <v>234</v>
      </c>
      <c r="C10153" t="s">
        <v>861</v>
      </c>
      <c r="D10153" t="s">
        <v>2017</v>
      </c>
      <c r="E10153" t="s">
        <v>2375</v>
      </c>
      <c r="F10153">
        <v>1379</v>
      </c>
    </row>
    <row r="10154" spans="1:6">
      <c r="A10154" t="s">
        <v>27</v>
      </c>
      <c r="B10154" t="s">
        <v>234</v>
      </c>
      <c r="C10154" t="s">
        <v>861</v>
      </c>
      <c r="D10154" t="s">
        <v>2017</v>
      </c>
      <c r="E10154" t="s">
        <v>2376</v>
      </c>
      <c r="F10154">
        <v>1379</v>
      </c>
    </row>
    <row r="10155" spans="1:6">
      <c r="A10155" t="s">
        <v>27</v>
      </c>
      <c r="B10155" t="s">
        <v>234</v>
      </c>
      <c r="C10155" t="s">
        <v>861</v>
      </c>
      <c r="D10155" t="s">
        <v>2017</v>
      </c>
      <c r="E10155" t="s">
        <v>2377</v>
      </c>
      <c r="F10155">
        <v>1379</v>
      </c>
    </row>
    <row r="10156" spans="1:6">
      <c r="A10156" t="s">
        <v>27</v>
      </c>
      <c r="B10156" t="s">
        <v>234</v>
      </c>
      <c r="C10156" t="s">
        <v>861</v>
      </c>
      <c r="D10156" t="s">
        <v>2017</v>
      </c>
      <c r="E10156" t="s">
        <v>2378</v>
      </c>
      <c r="F10156">
        <v>1404</v>
      </c>
    </row>
    <row r="10157" spans="1:6">
      <c r="A10157" t="s">
        <v>27</v>
      </c>
      <c r="B10157" t="s">
        <v>234</v>
      </c>
      <c r="C10157" t="s">
        <v>861</v>
      </c>
      <c r="D10157" t="s">
        <v>2017</v>
      </c>
      <c r="E10157" t="s">
        <v>2379</v>
      </c>
      <c r="F10157">
        <v>1400</v>
      </c>
    </row>
    <row r="10158" spans="1:6">
      <c r="A10158" t="s">
        <v>27</v>
      </c>
      <c r="B10158" t="s">
        <v>234</v>
      </c>
      <c r="C10158" t="s">
        <v>861</v>
      </c>
      <c r="D10158" t="s">
        <v>2017</v>
      </c>
      <c r="E10158" t="s">
        <v>2380</v>
      </c>
      <c r="F10158">
        <v>1400</v>
      </c>
    </row>
    <row r="10159" spans="1:6">
      <c r="A10159" t="s">
        <v>27</v>
      </c>
      <c r="B10159" t="s">
        <v>234</v>
      </c>
      <c r="C10159" t="s">
        <v>861</v>
      </c>
      <c r="D10159" t="s">
        <v>2017</v>
      </c>
      <c r="E10159" t="s">
        <v>2381</v>
      </c>
      <c r="F10159">
        <v>1400</v>
      </c>
    </row>
    <row r="10160" spans="1:6">
      <c r="A10160" t="s">
        <v>27</v>
      </c>
      <c r="B10160" t="s">
        <v>234</v>
      </c>
      <c r="C10160" t="s">
        <v>861</v>
      </c>
      <c r="D10160" t="s">
        <v>2017</v>
      </c>
      <c r="E10160" t="s">
        <v>2382</v>
      </c>
      <c r="F10160">
        <v>1400</v>
      </c>
    </row>
    <row r="10161" spans="1:6">
      <c r="A10161" t="s">
        <v>27</v>
      </c>
      <c r="B10161" t="s">
        <v>234</v>
      </c>
      <c r="C10161" t="s">
        <v>861</v>
      </c>
      <c r="D10161" t="s">
        <v>2017</v>
      </c>
      <c r="E10161" t="s">
        <v>2383</v>
      </c>
      <c r="F10161">
        <v>1400</v>
      </c>
    </row>
    <row r="10162" spans="1:6">
      <c r="A10162" t="s">
        <v>27</v>
      </c>
      <c r="B10162" t="s">
        <v>234</v>
      </c>
      <c r="C10162" t="s">
        <v>861</v>
      </c>
      <c r="D10162" t="s">
        <v>2017</v>
      </c>
      <c r="E10162" t="s">
        <v>2384</v>
      </c>
      <c r="F10162">
        <v>1400</v>
      </c>
    </row>
    <row r="10163" spans="1:6">
      <c r="A10163" t="s">
        <v>27</v>
      </c>
      <c r="B10163" t="s">
        <v>234</v>
      </c>
      <c r="C10163" t="s">
        <v>861</v>
      </c>
      <c r="D10163" t="s">
        <v>2017</v>
      </c>
      <c r="E10163" t="s">
        <v>2385</v>
      </c>
      <c r="F10163">
        <v>494</v>
      </c>
    </row>
    <row r="10164" spans="1:6">
      <c r="A10164" t="s">
        <v>27</v>
      </c>
      <c r="B10164" t="s">
        <v>234</v>
      </c>
      <c r="C10164" t="s">
        <v>861</v>
      </c>
      <c r="D10164" t="s">
        <v>2017</v>
      </c>
      <c r="E10164" t="s">
        <v>2386</v>
      </c>
      <c r="F10164">
        <v>493</v>
      </c>
    </row>
    <row r="10165" spans="1:6">
      <c r="A10165" t="s">
        <v>27</v>
      </c>
      <c r="B10165" t="s">
        <v>234</v>
      </c>
      <c r="C10165" t="s">
        <v>861</v>
      </c>
      <c r="D10165" t="s">
        <v>2017</v>
      </c>
      <c r="E10165" t="s">
        <v>2856</v>
      </c>
      <c r="F10165">
        <v>492</v>
      </c>
    </row>
    <row r="10166" spans="1:6">
      <c r="A10166" t="s">
        <v>27</v>
      </c>
      <c r="B10166" t="s">
        <v>234</v>
      </c>
      <c r="C10166" t="s">
        <v>861</v>
      </c>
      <c r="D10166" t="s">
        <v>2017</v>
      </c>
      <c r="E10166" t="s">
        <v>2857</v>
      </c>
      <c r="F10166">
        <v>492</v>
      </c>
    </row>
    <row r="10167" spans="1:6">
      <c r="A10167" t="s">
        <v>27</v>
      </c>
      <c r="B10167" t="s">
        <v>234</v>
      </c>
      <c r="C10167" t="s">
        <v>861</v>
      </c>
      <c r="D10167" t="s">
        <v>2017</v>
      </c>
      <c r="E10167" t="s">
        <v>2858</v>
      </c>
      <c r="F10167">
        <v>491</v>
      </c>
    </row>
    <row r="10168" spans="1:6">
      <c r="A10168" t="s">
        <v>27</v>
      </c>
      <c r="B10168" t="s">
        <v>234</v>
      </c>
      <c r="C10168" t="s">
        <v>861</v>
      </c>
      <c r="D10168" t="s">
        <v>2017</v>
      </c>
      <c r="E10168" t="s">
        <v>1924</v>
      </c>
      <c r="F10168">
        <v>2007</v>
      </c>
    </row>
    <row r="10169" spans="1:6">
      <c r="A10169" t="s">
        <v>27</v>
      </c>
      <c r="B10169" t="s">
        <v>234</v>
      </c>
      <c r="C10169" t="s">
        <v>861</v>
      </c>
      <c r="D10169" t="s">
        <v>2017</v>
      </c>
      <c r="E10169" t="s">
        <v>1925</v>
      </c>
      <c r="F10169">
        <v>3933</v>
      </c>
    </row>
    <row r="10170" spans="1:6">
      <c r="A10170" t="s">
        <v>27</v>
      </c>
      <c r="B10170" t="s">
        <v>234</v>
      </c>
      <c r="C10170" t="s">
        <v>861</v>
      </c>
      <c r="D10170" t="s">
        <v>2017</v>
      </c>
      <c r="E10170" t="s">
        <v>1926</v>
      </c>
      <c r="F10170">
        <v>3912</v>
      </c>
    </row>
    <row r="10171" spans="1:6">
      <c r="A10171" t="s">
        <v>27</v>
      </c>
      <c r="B10171" t="s">
        <v>234</v>
      </c>
      <c r="C10171" t="s">
        <v>861</v>
      </c>
      <c r="D10171" t="s">
        <v>2017</v>
      </c>
      <c r="E10171" t="s">
        <v>1927</v>
      </c>
      <c r="F10171">
        <v>3898</v>
      </c>
    </row>
    <row r="10172" spans="1:6">
      <c r="A10172" t="s">
        <v>27</v>
      </c>
      <c r="B10172" t="s">
        <v>234</v>
      </c>
      <c r="C10172" t="s">
        <v>861</v>
      </c>
      <c r="D10172" t="s">
        <v>2017</v>
      </c>
      <c r="E10172" t="s">
        <v>1928</v>
      </c>
      <c r="F10172">
        <v>3894</v>
      </c>
    </row>
    <row r="10173" spans="1:6">
      <c r="A10173" t="s">
        <v>27</v>
      </c>
      <c r="B10173" t="s">
        <v>234</v>
      </c>
      <c r="C10173" t="s">
        <v>861</v>
      </c>
      <c r="D10173" t="s">
        <v>2017</v>
      </c>
      <c r="E10173" t="s">
        <v>2387</v>
      </c>
      <c r="F10173">
        <v>3848</v>
      </c>
    </row>
    <row r="10174" spans="1:6">
      <c r="A10174" t="s">
        <v>27</v>
      </c>
      <c r="B10174" t="s">
        <v>234</v>
      </c>
      <c r="C10174" t="s">
        <v>861</v>
      </c>
      <c r="D10174" t="s">
        <v>2017</v>
      </c>
      <c r="E10174" t="s">
        <v>2388</v>
      </c>
      <c r="F10174">
        <v>3848</v>
      </c>
    </row>
    <row r="10175" spans="1:6">
      <c r="A10175" t="s">
        <v>27</v>
      </c>
      <c r="B10175" t="s">
        <v>234</v>
      </c>
      <c r="C10175" t="s">
        <v>861</v>
      </c>
      <c r="D10175" t="s">
        <v>2017</v>
      </c>
      <c r="E10175" t="s">
        <v>2389</v>
      </c>
      <c r="F10175">
        <v>3843</v>
      </c>
    </row>
    <row r="10176" spans="1:6">
      <c r="A10176" t="s">
        <v>27</v>
      </c>
      <c r="B10176" t="s">
        <v>234</v>
      </c>
      <c r="C10176" t="s">
        <v>861</v>
      </c>
      <c r="D10176" t="s">
        <v>2017</v>
      </c>
      <c r="E10176" t="s">
        <v>2390</v>
      </c>
      <c r="F10176">
        <v>3838</v>
      </c>
    </row>
    <row r="10177" spans="1:6">
      <c r="A10177" t="s">
        <v>27</v>
      </c>
      <c r="B10177" t="s">
        <v>234</v>
      </c>
      <c r="C10177" t="s">
        <v>861</v>
      </c>
      <c r="D10177" t="s">
        <v>2017</v>
      </c>
      <c r="E10177" t="s">
        <v>2391</v>
      </c>
      <c r="F10177">
        <v>3835</v>
      </c>
    </row>
    <row r="10178" spans="1:6">
      <c r="A10178" t="s">
        <v>27</v>
      </c>
      <c r="B10178" t="s">
        <v>234</v>
      </c>
      <c r="C10178" t="s">
        <v>861</v>
      </c>
      <c r="D10178" t="s">
        <v>2017</v>
      </c>
      <c r="E10178" t="s">
        <v>2392</v>
      </c>
      <c r="F10178">
        <v>6856</v>
      </c>
    </row>
    <row r="10179" spans="1:6">
      <c r="A10179" t="s">
        <v>27</v>
      </c>
      <c r="B10179" t="s">
        <v>234</v>
      </c>
      <c r="C10179" t="s">
        <v>861</v>
      </c>
      <c r="D10179" t="s">
        <v>2017</v>
      </c>
      <c r="E10179" t="s">
        <v>2393</v>
      </c>
      <c r="F10179">
        <v>6834</v>
      </c>
    </row>
    <row r="10180" spans="1:6">
      <c r="A10180" t="s">
        <v>27</v>
      </c>
      <c r="B10180" t="s">
        <v>234</v>
      </c>
      <c r="C10180" t="s">
        <v>861</v>
      </c>
      <c r="D10180" t="s">
        <v>2017</v>
      </c>
      <c r="E10180" t="s">
        <v>2394</v>
      </c>
      <c r="F10180">
        <v>6819</v>
      </c>
    </row>
    <row r="10181" spans="1:6">
      <c r="A10181" t="s">
        <v>27</v>
      </c>
      <c r="B10181" t="s">
        <v>234</v>
      </c>
      <c r="C10181" t="s">
        <v>861</v>
      </c>
      <c r="D10181" t="s">
        <v>2017</v>
      </c>
      <c r="E10181" t="s">
        <v>2395</v>
      </c>
      <c r="F10181">
        <v>6813</v>
      </c>
    </row>
    <row r="10182" spans="1:6">
      <c r="A10182" t="s">
        <v>27</v>
      </c>
      <c r="B10182" t="s">
        <v>234</v>
      </c>
      <c r="C10182" t="s">
        <v>861</v>
      </c>
      <c r="D10182" t="s">
        <v>2017</v>
      </c>
      <c r="E10182" t="s">
        <v>2396</v>
      </c>
      <c r="F10182">
        <v>6811</v>
      </c>
    </row>
    <row r="10183" spans="1:6">
      <c r="A10183" t="s">
        <v>27</v>
      </c>
      <c r="B10183" t="s">
        <v>234</v>
      </c>
      <c r="C10183" t="s">
        <v>861</v>
      </c>
      <c r="D10183" t="s">
        <v>2017</v>
      </c>
      <c r="E10183" t="s">
        <v>2397</v>
      </c>
      <c r="F10183">
        <v>6807</v>
      </c>
    </row>
    <row r="10184" spans="1:6">
      <c r="A10184" t="s">
        <v>27</v>
      </c>
      <c r="B10184" t="s">
        <v>234</v>
      </c>
      <c r="C10184" t="s">
        <v>861</v>
      </c>
      <c r="D10184" t="s">
        <v>2017</v>
      </c>
      <c r="E10184" t="s">
        <v>2398</v>
      </c>
      <c r="F10184">
        <v>6804</v>
      </c>
    </row>
    <row r="10185" spans="1:6">
      <c r="A10185" t="s">
        <v>27</v>
      </c>
      <c r="B10185" t="s">
        <v>234</v>
      </c>
      <c r="C10185" t="s">
        <v>861</v>
      </c>
      <c r="D10185" t="s">
        <v>2017</v>
      </c>
      <c r="E10185" t="s">
        <v>2399</v>
      </c>
      <c r="F10185">
        <v>4404</v>
      </c>
    </row>
    <row r="10186" spans="1:6">
      <c r="A10186" t="s">
        <v>27</v>
      </c>
      <c r="B10186" t="s">
        <v>234</v>
      </c>
      <c r="C10186" t="s">
        <v>861</v>
      </c>
      <c r="D10186" t="s">
        <v>2017</v>
      </c>
      <c r="E10186" t="s">
        <v>2400</v>
      </c>
      <c r="F10186">
        <v>4397</v>
      </c>
    </row>
    <row r="10187" spans="1:6">
      <c r="A10187" t="s">
        <v>27</v>
      </c>
      <c r="B10187" t="s">
        <v>234</v>
      </c>
      <c r="C10187" t="s">
        <v>861</v>
      </c>
      <c r="D10187" t="s">
        <v>2017</v>
      </c>
      <c r="E10187" t="s">
        <v>2859</v>
      </c>
      <c r="F10187">
        <v>4382</v>
      </c>
    </row>
    <row r="10188" spans="1:6">
      <c r="A10188" t="s">
        <v>27</v>
      </c>
      <c r="B10188" t="s">
        <v>234</v>
      </c>
      <c r="C10188" t="s">
        <v>861</v>
      </c>
      <c r="D10188" t="s">
        <v>2017</v>
      </c>
      <c r="E10188" t="s">
        <v>2860</v>
      </c>
      <c r="F10188">
        <v>4380</v>
      </c>
    </row>
    <row r="10189" spans="1:6">
      <c r="A10189" t="s">
        <v>27</v>
      </c>
      <c r="B10189" t="s">
        <v>234</v>
      </c>
      <c r="C10189" t="s">
        <v>861</v>
      </c>
      <c r="D10189" t="s">
        <v>2017</v>
      </c>
      <c r="E10189" t="s">
        <v>2861</v>
      </c>
      <c r="F10189">
        <v>4375</v>
      </c>
    </row>
    <row r="10190" spans="1:6">
      <c r="A10190" t="s">
        <v>27</v>
      </c>
      <c r="B10190" t="s">
        <v>234</v>
      </c>
      <c r="C10190" t="s">
        <v>861</v>
      </c>
      <c r="D10190" t="s">
        <v>2017</v>
      </c>
      <c r="E10190" t="s">
        <v>1932</v>
      </c>
      <c r="F10190">
        <v>2008</v>
      </c>
    </row>
    <row r="10191" spans="1:6">
      <c r="A10191" t="s">
        <v>27</v>
      </c>
      <c r="B10191" t="s">
        <v>234</v>
      </c>
      <c r="C10191" t="s">
        <v>861</v>
      </c>
      <c r="D10191" t="s">
        <v>2017</v>
      </c>
      <c r="E10191" t="s">
        <v>1933</v>
      </c>
      <c r="F10191">
        <v>10029</v>
      </c>
    </row>
    <row r="10192" spans="1:6">
      <c r="A10192" t="s">
        <v>27</v>
      </c>
      <c r="B10192" t="s">
        <v>234</v>
      </c>
      <c r="C10192" t="s">
        <v>861</v>
      </c>
      <c r="D10192" t="s">
        <v>2017</v>
      </c>
      <c r="E10192" t="s">
        <v>1934</v>
      </c>
      <c r="F10192">
        <v>9933</v>
      </c>
    </row>
    <row r="10193" spans="1:6">
      <c r="A10193" t="s">
        <v>27</v>
      </c>
      <c r="B10193" t="s">
        <v>234</v>
      </c>
      <c r="C10193" t="s">
        <v>861</v>
      </c>
      <c r="D10193" t="s">
        <v>2017</v>
      </c>
      <c r="E10193" t="s">
        <v>1935</v>
      </c>
      <c r="F10193">
        <v>9906</v>
      </c>
    </row>
    <row r="10194" spans="1:6">
      <c r="A10194" t="s">
        <v>27</v>
      </c>
      <c r="B10194" t="s">
        <v>234</v>
      </c>
      <c r="C10194" t="s">
        <v>861</v>
      </c>
      <c r="D10194" t="s">
        <v>2017</v>
      </c>
      <c r="E10194" t="s">
        <v>1936</v>
      </c>
      <c r="F10194">
        <v>9905</v>
      </c>
    </row>
    <row r="10195" spans="1:6">
      <c r="A10195" t="s">
        <v>27</v>
      </c>
      <c r="B10195" t="s">
        <v>234</v>
      </c>
      <c r="C10195" t="s">
        <v>861</v>
      </c>
      <c r="D10195" t="s">
        <v>2017</v>
      </c>
      <c r="E10195" t="s">
        <v>2401</v>
      </c>
      <c r="F10195">
        <v>9881</v>
      </c>
    </row>
    <row r="10196" spans="1:6">
      <c r="A10196" t="s">
        <v>27</v>
      </c>
      <c r="B10196" t="s">
        <v>234</v>
      </c>
      <c r="C10196" t="s">
        <v>861</v>
      </c>
      <c r="D10196" t="s">
        <v>2017</v>
      </c>
      <c r="E10196" t="s">
        <v>2402</v>
      </c>
      <c r="F10196">
        <v>9879</v>
      </c>
    </row>
    <row r="10197" spans="1:6">
      <c r="A10197" t="s">
        <v>27</v>
      </c>
      <c r="B10197" t="s">
        <v>234</v>
      </c>
      <c r="C10197" t="s">
        <v>861</v>
      </c>
      <c r="D10197" t="s">
        <v>2017</v>
      </c>
      <c r="E10197" t="s">
        <v>2403</v>
      </c>
      <c r="F10197">
        <v>9869</v>
      </c>
    </row>
    <row r="10198" spans="1:6">
      <c r="A10198" t="s">
        <v>27</v>
      </c>
      <c r="B10198" t="s">
        <v>234</v>
      </c>
      <c r="C10198" t="s">
        <v>861</v>
      </c>
      <c r="D10198" t="s">
        <v>2017</v>
      </c>
      <c r="E10198" t="s">
        <v>2404</v>
      </c>
      <c r="F10198">
        <v>9857</v>
      </c>
    </row>
    <row r="10199" spans="1:6">
      <c r="A10199" t="s">
        <v>27</v>
      </c>
      <c r="B10199" t="s">
        <v>234</v>
      </c>
      <c r="C10199" t="s">
        <v>861</v>
      </c>
      <c r="D10199" t="s">
        <v>2017</v>
      </c>
      <c r="E10199" t="s">
        <v>2405</v>
      </c>
      <c r="F10199">
        <v>9849</v>
      </c>
    </row>
    <row r="10200" spans="1:6">
      <c r="A10200" t="s">
        <v>27</v>
      </c>
      <c r="B10200" t="s">
        <v>234</v>
      </c>
      <c r="C10200" t="s">
        <v>861</v>
      </c>
      <c r="D10200" t="s">
        <v>2017</v>
      </c>
      <c r="E10200" t="s">
        <v>2406</v>
      </c>
      <c r="F10200">
        <v>10226</v>
      </c>
    </row>
    <row r="10201" spans="1:6">
      <c r="A10201" t="s">
        <v>27</v>
      </c>
      <c r="B10201" t="s">
        <v>234</v>
      </c>
      <c r="C10201" t="s">
        <v>861</v>
      </c>
      <c r="D10201" t="s">
        <v>2017</v>
      </c>
      <c r="E10201" t="s">
        <v>2407</v>
      </c>
      <c r="F10201">
        <v>10169</v>
      </c>
    </row>
    <row r="10202" spans="1:6">
      <c r="A10202" t="s">
        <v>27</v>
      </c>
      <c r="B10202" t="s">
        <v>234</v>
      </c>
      <c r="C10202" t="s">
        <v>861</v>
      </c>
      <c r="D10202" t="s">
        <v>2017</v>
      </c>
      <c r="E10202" t="s">
        <v>2408</v>
      </c>
      <c r="F10202">
        <v>10096</v>
      </c>
    </row>
    <row r="10203" spans="1:6">
      <c r="A10203" t="s">
        <v>27</v>
      </c>
      <c r="B10203" t="s">
        <v>234</v>
      </c>
      <c r="C10203" t="s">
        <v>861</v>
      </c>
      <c r="D10203" t="s">
        <v>2017</v>
      </c>
      <c r="E10203" t="s">
        <v>2409</v>
      </c>
      <c r="F10203">
        <v>10079</v>
      </c>
    </row>
    <row r="10204" spans="1:6">
      <c r="A10204" t="s">
        <v>27</v>
      </c>
      <c r="B10204" t="s">
        <v>234</v>
      </c>
      <c r="C10204" t="s">
        <v>861</v>
      </c>
      <c r="D10204" t="s">
        <v>2017</v>
      </c>
      <c r="E10204" t="s">
        <v>2410</v>
      </c>
      <c r="F10204">
        <v>10056</v>
      </c>
    </row>
    <row r="10205" spans="1:6">
      <c r="A10205" t="s">
        <v>27</v>
      </c>
      <c r="B10205" t="s">
        <v>234</v>
      </c>
      <c r="C10205" t="s">
        <v>861</v>
      </c>
      <c r="D10205" t="s">
        <v>2017</v>
      </c>
      <c r="E10205" t="s">
        <v>2411</v>
      </c>
      <c r="F10205">
        <v>10038</v>
      </c>
    </row>
    <row r="10206" spans="1:6">
      <c r="A10206" t="s">
        <v>27</v>
      </c>
      <c r="B10206" t="s">
        <v>234</v>
      </c>
      <c r="C10206" t="s">
        <v>861</v>
      </c>
      <c r="D10206" t="s">
        <v>2017</v>
      </c>
      <c r="E10206" t="s">
        <v>2412</v>
      </c>
      <c r="F10206">
        <v>10015</v>
      </c>
    </row>
    <row r="10207" spans="1:6">
      <c r="A10207" t="s">
        <v>27</v>
      </c>
      <c r="B10207" t="s">
        <v>234</v>
      </c>
      <c r="C10207" t="s">
        <v>861</v>
      </c>
      <c r="D10207" t="s">
        <v>2017</v>
      </c>
      <c r="E10207" t="s">
        <v>2413</v>
      </c>
      <c r="F10207">
        <v>3106</v>
      </c>
    </row>
    <row r="10208" spans="1:6">
      <c r="A10208" t="s">
        <v>27</v>
      </c>
      <c r="B10208" t="s">
        <v>234</v>
      </c>
      <c r="C10208" t="s">
        <v>861</v>
      </c>
      <c r="D10208" t="s">
        <v>2017</v>
      </c>
      <c r="E10208" t="s">
        <v>2414</v>
      </c>
      <c r="F10208">
        <v>3096</v>
      </c>
    </row>
    <row r="10209" spans="1:6">
      <c r="A10209" t="s">
        <v>27</v>
      </c>
      <c r="B10209" t="s">
        <v>234</v>
      </c>
      <c r="C10209" t="s">
        <v>861</v>
      </c>
      <c r="D10209" t="s">
        <v>2017</v>
      </c>
      <c r="E10209" t="s">
        <v>2862</v>
      </c>
      <c r="F10209">
        <v>3061</v>
      </c>
    </row>
    <row r="10210" spans="1:6">
      <c r="A10210" t="s">
        <v>27</v>
      </c>
      <c r="B10210" t="s">
        <v>234</v>
      </c>
      <c r="C10210" t="s">
        <v>861</v>
      </c>
      <c r="D10210" t="s">
        <v>2017</v>
      </c>
      <c r="E10210" t="s">
        <v>2863</v>
      </c>
      <c r="F10210">
        <v>3051</v>
      </c>
    </row>
    <row r="10211" spans="1:6">
      <c r="A10211" t="s">
        <v>27</v>
      </c>
      <c r="B10211" t="s">
        <v>234</v>
      </c>
      <c r="C10211" t="s">
        <v>861</v>
      </c>
      <c r="D10211" t="s">
        <v>2017</v>
      </c>
      <c r="E10211" t="s">
        <v>2864</v>
      </c>
      <c r="F10211">
        <v>3038</v>
      </c>
    </row>
    <row r="10212" spans="1:6">
      <c r="A10212" t="s">
        <v>27</v>
      </c>
      <c r="B10212" t="s">
        <v>234</v>
      </c>
      <c r="C10212" t="s">
        <v>861</v>
      </c>
      <c r="D10212" t="s">
        <v>2017</v>
      </c>
      <c r="E10212" t="s">
        <v>1939</v>
      </c>
      <c r="F10212">
        <v>2009</v>
      </c>
    </row>
    <row r="10213" spans="1:6">
      <c r="A10213" t="s">
        <v>27</v>
      </c>
      <c r="B10213" t="s">
        <v>234</v>
      </c>
      <c r="C10213" t="s">
        <v>861</v>
      </c>
      <c r="D10213" t="s">
        <v>2017</v>
      </c>
      <c r="E10213" t="s">
        <v>1940</v>
      </c>
      <c r="F10213">
        <v>11891</v>
      </c>
    </row>
    <row r="10214" spans="1:6">
      <c r="A10214" t="s">
        <v>27</v>
      </c>
      <c r="B10214" t="s">
        <v>234</v>
      </c>
      <c r="C10214" t="s">
        <v>861</v>
      </c>
      <c r="D10214" t="s">
        <v>2017</v>
      </c>
      <c r="E10214" t="s">
        <v>1941</v>
      </c>
      <c r="F10214">
        <v>11670</v>
      </c>
    </row>
    <row r="10215" spans="1:6">
      <c r="A10215" t="s">
        <v>27</v>
      </c>
      <c r="B10215" t="s">
        <v>234</v>
      </c>
      <c r="C10215" t="s">
        <v>861</v>
      </c>
      <c r="D10215" t="s">
        <v>2017</v>
      </c>
      <c r="E10215" t="s">
        <v>1942</v>
      </c>
      <c r="F10215">
        <v>11551</v>
      </c>
    </row>
    <row r="10216" spans="1:6">
      <c r="A10216" t="s">
        <v>27</v>
      </c>
      <c r="B10216" t="s">
        <v>234</v>
      </c>
      <c r="C10216" t="s">
        <v>861</v>
      </c>
      <c r="D10216" t="s">
        <v>2017</v>
      </c>
      <c r="E10216" t="s">
        <v>1943</v>
      </c>
      <c r="F10216">
        <v>11547</v>
      </c>
    </row>
    <row r="10217" spans="1:6">
      <c r="A10217" t="s">
        <v>27</v>
      </c>
      <c r="B10217" t="s">
        <v>234</v>
      </c>
      <c r="C10217" t="s">
        <v>861</v>
      </c>
      <c r="D10217" t="s">
        <v>2017</v>
      </c>
      <c r="E10217" t="s">
        <v>2415</v>
      </c>
      <c r="F10217">
        <v>11532</v>
      </c>
    </row>
    <row r="10218" spans="1:6">
      <c r="A10218" t="s">
        <v>27</v>
      </c>
      <c r="B10218" t="s">
        <v>234</v>
      </c>
      <c r="C10218" t="s">
        <v>861</v>
      </c>
      <c r="D10218" t="s">
        <v>2017</v>
      </c>
      <c r="E10218" t="s">
        <v>2416</v>
      </c>
      <c r="F10218">
        <v>11526</v>
      </c>
    </row>
    <row r="10219" spans="1:6">
      <c r="A10219" t="s">
        <v>27</v>
      </c>
      <c r="B10219" t="s">
        <v>234</v>
      </c>
      <c r="C10219" t="s">
        <v>861</v>
      </c>
      <c r="D10219" t="s">
        <v>2017</v>
      </c>
      <c r="E10219" t="s">
        <v>2417</v>
      </c>
      <c r="F10219">
        <v>11514</v>
      </c>
    </row>
    <row r="10220" spans="1:6">
      <c r="A10220" t="s">
        <v>27</v>
      </c>
      <c r="B10220" t="s">
        <v>234</v>
      </c>
      <c r="C10220" t="s">
        <v>861</v>
      </c>
      <c r="D10220" t="s">
        <v>2017</v>
      </c>
      <c r="E10220" t="s">
        <v>2418</v>
      </c>
      <c r="F10220">
        <v>11503</v>
      </c>
    </row>
    <row r="10221" spans="1:6">
      <c r="A10221" t="s">
        <v>27</v>
      </c>
      <c r="B10221" t="s">
        <v>234</v>
      </c>
      <c r="C10221" t="s">
        <v>861</v>
      </c>
      <c r="D10221" t="s">
        <v>2017</v>
      </c>
      <c r="E10221" t="s">
        <v>2419</v>
      </c>
      <c r="F10221">
        <v>11494</v>
      </c>
    </row>
    <row r="10222" spans="1:6">
      <c r="A10222" t="s">
        <v>27</v>
      </c>
      <c r="B10222" t="s">
        <v>234</v>
      </c>
      <c r="C10222" t="s">
        <v>861</v>
      </c>
      <c r="D10222" t="s">
        <v>2017</v>
      </c>
      <c r="E10222" t="s">
        <v>2420</v>
      </c>
      <c r="F10222">
        <v>12539</v>
      </c>
    </row>
    <row r="10223" spans="1:6">
      <c r="A10223" t="s">
        <v>27</v>
      </c>
      <c r="B10223" t="s">
        <v>234</v>
      </c>
      <c r="C10223" t="s">
        <v>861</v>
      </c>
      <c r="D10223" t="s">
        <v>2017</v>
      </c>
      <c r="E10223" t="s">
        <v>2421</v>
      </c>
      <c r="F10223">
        <v>12491</v>
      </c>
    </row>
    <row r="10224" spans="1:6">
      <c r="A10224" t="s">
        <v>27</v>
      </c>
      <c r="B10224" t="s">
        <v>234</v>
      </c>
      <c r="C10224" t="s">
        <v>861</v>
      </c>
      <c r="D10224" t="s">
        <v>2017</v>
      </c>
      <c r="E10224" t="s">
        <v>2422</v>
      </c>
      <c r="F10224">
        <v>12425</v>
      </c>
    </row>
    <row r="10225" spans="1:6">
      <c r="A10225" t="s">
        <v>27</v>
      </c>
      <c r="B10225" t="s">
        <v>234</v>
      </c>
      <c r="C10225" t="s">
        <v>861</v>
      </c>
      <c r="D10225" t="s">
        <v>2017</v>
      </c>
      <c r="E10225" t="s">
        <v>2423</v>
      </c>
      <c r="F10225">
        <v>12393</v>
      </c>
    </row>
    <row r="10226" spans="1:6">
      <c r="A10226" t="s">
        <v>27</v>
      </c>
      <c r="B10226" t="s">
        <v>234</v>
      </c>
      <c r="C10226" t="s">
        <v>861</v>
      </c>
      <c r="D10226" t="s">
        <v>2017</v>
      </c>
      <c r="E10226" t="s">
        <v>2424</v>
      </c>
      <c r="F10226">
        <v>12379</v>
      </c>
    </row>
    <row r="10227" spans="1:6">
      <c r="A10227" t="s">
        <v>27</v>
      </c>
      <c r="B10227" t="s">
        <v>234</v>
      </c>
      <c r="C10227" t="s">
        <v>861</v>
      </c>
      <c r="D10227" t="s">
        <v>2017</v>
      </c>
      <c r="E10227" t="s">
        <v>2425</v>
      </c>
      <c r="F10227">
        <v>12359</v>
      </c>
    </row>
    <row r="10228" spans="1:6">
      <c r="A10228" t="s">
        <v>27</v>
      </c>
      <c r="B10228" t="s">
        <v>234</v>
      </c>
      <c r="C10228" t="s">
        <v>861</v>
      </c>
      <c r="D10228" t="s">
        <v>2017</v>
      </c>
      <c r="E10228" t="s">
        <v>2426</v>
      </c>
      <c r="F10228">
        <v>12341</v>
      </c>
    </row>
    <row r="10229" spans="1:6">
      <c r="A10229" t="s">
        <v>27</v>
      </c>
      <c r="B10229" t="s">
        <v>234</v>
      </c>
      <c r="C10229" t="s">
        <v>861</v>
      </c>
      <c r="D10229" t="s">
        <v>2017</v>
      </c>
      <c r="E10229" t="s">
        <v>2427</v>
      </c>
      <c r="F10229">
        <v>4302</v>
      </c>
    </row>
    <row r="10230" spans="1:6">
      <c r="A10230" t="s">
        <v>27</v>
      </c>
      <c r="B10230" t="s">
        <v>234</v>
      </c>
      <c r="C10230" t="s">
        <v>861</v>
      </c>
      <c r="D10230" t="s">
        <v>2017</v>
      </c>
      <c r="E10230" t="s">
        <v>2428</v>
      </c>
      <c r="F10230">
        <v>4292</v>
      </c>
    </row>
    <row r="10231" spans="1:6">
      <c r="A10231" t="s">
        <v>27</v>
      </c>
      <c r="B10231" t="s">
        <v>234</v>
      </c>
      <c r="C10231" t="s">
        <v>861</v>
      </c>
      <c r="D10231" t="s">
        <v>2017</v>
      </c>
      <c r="E10231" t="s">
        <v>2865</v>
      </c>
      <c r="F10231">
        <v>4260</v>
      </c>
    </row>
    <row r="10232" spans="1:6">
      <c r="A10232" t="s">
        <v>27</v>
      </c>
      <c r="B10232" t="s">
        <v>234</v>
      </c>
      <c r="C10232" t="s">
        <v>861</v>
      </c>
      <c r="D10232" t="s">
        <v>2017</v>
      </c>
      <c r="E10232" t="s">
        <v>2866</v>
      </c>
      <c r="F10232">
        <v>4257</v>
      </c>
    </row>
    <row r="10233" spans="1:6">
      <c r="A10233" t="s">
        <v>27</v>
      </c>
      <c r="B10233" t="s">
        <v>234</v>
      </c>
      <c r="C10233" t="s">
        <v>861</v>
      </c>
      <c r="D10233" t="s">
        <v>2017</v>
      </c>
      <c r="E10233" t="s">
        <v>2867</v>
      </c>
      <c r="F10233">
        <v>4245</v>
      </c>
    </row>
    <row r="10234" spans="1:6">
      <c r="A10234" t="s">
        <v>27</v>
      </c>
      <c r="B10234" t="s">
        <v>234</v>
      </c>
      <c r="C10234" t="s">
        <v>861</v>
      </c>
      <c r="D10234" t="s">
        <v>2017</v>
      </c>
      <c r="E10234" t="s">
        <v>1946</v>
      </c>
      <c r="F10234">
        <v>2010</v>
      </c>
    </row>
    <row r="10235" spans="1:6">
      <c r="A10235" t="s">
        <v>27</v>
      </c>
      <c r="B10235" t="s">
        <v>234</v>
      </c>
      <c r="C10235" t="s">
        <v>861</v>
      </c>
      <c r="D10235" t="s">
        <v>2017</v>
      </c>
      <c r="E10235" t="s">
        <v>1947</v>
      </c>
      <c r="F10235">
        <v>21493</v>
      </c>
    </row>
    <row r="10236" spans="1:6">
      <c r="A10236" t="s">
        <v>27</v>
      </c>
      <c r="B10236" t="s">
        <v>234</v>
      </c>
      <c r="C10236" t="s">
        <v>861</v>
      </c>
      <c r="D10236" t="s">
        <v>2017</v>
      </c>
      <c r="E10236" t="s">
        <v>1948</v>
      </c>
      <c r="F10236">
        <v>20591</v>
      </c>
    </row>
    <row r="10237" spans="1:6">
      <c r="A10237" t="s">
        <v>27</v>
      </c>
      <c r="B10237" t="s">
        <v>234</v>
      </c>
      <c r="C10237" t="s">
        <v>861</v>
      </c>
      <c r="D10237" t="s">
        <v>2017</v>
      </c>
      <c r="E10237" t="s">
        <v>1949</v>
      </c>
      <c r="F10237">
        <v>18704</v>
      </c>
    </row>
    <row r="10238" spans="1:6">
      <c r="A10238" t="s">
        <v>27</v>
      </c>
      <c r="B10238" t="s">
        <v>234</v>
      </c>
      <c r="C10238" t="s">
        <v>861</v>
      </c>
      <c r="D10238" t="s">
        <v>2017</v>
      </c>
      <c r="E10238" t="s">
        <v>1950</v>
      </c>
      <c r="F10238">
        <v>18699</v>
      </c>
    </row>
    <row r="10239" spans="1:6">
      <c r="A10239" t="s">
        <v>27</v>
      </c>
      <c r="B10239" t="s">
        <v>234</v>
      </c>
      <c r="C10239" t="s">
        <v>861</v>
      </c>
      <c r="D10239" t="s">
        <v>2017</v>
      </c>
      <c r="E10239" t="s">
        <v>2429</v>
      </c>
      <c r="F10239">
        <v>18682</v>
      </c>
    </row>
    <row r="10240" spans="1:6">
      <c r="A10240" t="s">
        <v>27</v>
      </c>
      <c r="B10240" t="s">
        <v>234</v>
      </c>
      <c r="C10240" t="s">
        <v>861</v>
      </c>
      <c r="D10240" t="s">
        <v>2017</v>
      </c>
      <c r="E10240" t="s">
        <v>2430</v>
      </c>
      <c r="F10240">
        <v>18672</v>
      </c>
    </row>
    <row r="10241" spans="1:6">
      <c r="A10241" t="s">
        <v>27</v>
      </c>
      <c r="B10241" t="s">
        <v>234</v>
      </c>
      <c r="C10241" t="s">
        <v>861</v>
      </c>
      <c r="D10241" t="s">
        <v>2017</v>
      </c>
      <c r="E10241" t="s">
        <v>2431</v>
      </c>
      <c r="F10241">
        <v>18656</v>
      </c>
    </row>
    <row r="10242" spans="1:6">
      <c r="A10242" t="s">
        <v>27</v>
      </c>
      <c r="B10242" t="s">
        <v>234</v>
      </c>
      <c r="C10242" t="s">
        <v>861</v>
      </c>
      <c r="D10242" t="s">
        <v>2017</v>
      </c>
      <c r="E10242" t="s">
        <v>2432</v>
      </c>
      <c r="F10242">
        <v>18639</v>
      </c>
    </row>
    <row r="10243" spans="1:6">
      <c r="A10243" t="s">
        <v>27</v>
      </c>
      <c r="B10243" t="s">
        <v>234</v>
      </c>
      <c r="C10243" t="s">
        <v>861</v>
      </c>
      <c r="D10243" t="s">
        <v>2017</v>
      </c>
      <c r="E10243" t="s">
        <v>2433</v>
      </c>
      <c r="F10243">
        <v>18630</v>
      </c>
    </row>
    <row r="10244" spans="1:6">
      <c r="A10244" t="s">
        <v>27</v>
      </c>
      <c r="B10244" t="s">
        <v>234</v>
      </c>
      <c r="C10244" t="s">
        <v>861</v>
      </c>
      <c r="D10244" t="s">
        <v>2017</v>
      </c>
      <c r="E10244" t="s">
        <v>2434</v>
      </c>
      <c r="F10244">
        <v>21317</v>
      </c>
    </row>
    <row r="10245" spans="1:6">
      <c r="A10245" t="s">
        <v>27</v>
      </c>
      <c r="B10245" t="s">
        <v>234</v>
      </c>
      <c r="C10245" t="s">
        <v>861</v>
      </c>
      <c r="D10245" t="s">
        <v>2017</v>
      </c>
      <c r="E10245" t="s">
        <v>2435</v>
      </c>
      <c r="F10245">
        <v>21229</v>
      </c>
    </row>
    <row r="10246" spans="1:6">
      <c r="A10246" t="s">
        <v>27</v>
      </c>
      <c r="B10246" t="s">
        <v>234</v>
      </c>
      <c r="C10246" t="s">
        <v>861</v>
      </c>
      <c r="D10246" t="s">
        <v>2017</v>
      </c>
      <c r="E10246" t="s">
        <v>2436</v>
      </c>
      <c r="F10246">
        <v>21171</v>
      </c>
    </row>
    <row r="10247" spans="1:6">
      <c r="A10247" t="s">
        <v>27</v>
      </c>
      <c r="B10247" t="s">
        <v>234</v>
      </c>
      <c r="C10247" t="s">
        <v>861</v>
      </c>
      <c r="D10247" t="s">
        <v>2017</v>
      </c>
      <c r="E10247" t="s">
        <v>2437</v>
      </c>
      <c r="F10247">
        <v>21140</v>
      </c>
    </row>
    <row r="10248" spans="1:6">
      <c r="A10248" t="s">
        <v>27</v>
      </c>
      <c r="B10248" t="s">
        <v>234</v>
      </c>
      <c r="C10248" t="s">
        <v>861</v>
      </c>
      <c r="D10248" t="s">
        <v>2017</v>
      </c>
      <c r="E10248" t="s">
        <v>2438</v>
      </c>
      <c r="F10248">
        <v>21123</v>
      </c>
    </row>
    <row r="10249" spans="1:6">
      <c r="A10249" t="s">
        <v>27</v>
      </c>
      <c r="B10249" t="s">
        <v>234</v>
      </c>
      <c r="C10249" t="s">
        <v>861</v>
      </c>
      <c r="D10249" t="s">
        <v>2017</v>
      </c>
      <c r="E10249" t="s">
        <v>2439</v>
      </c>
      <c r="F10249">
        <v>21104</v>
      </c>
    </row>
    <row r="10250" spans="1:6">
      <c r="A10250" t="s">
        <v>27</v>
      </c>
      <c r="B10250" t="s">
        <v>234</v>
      </c>
      <c r="C10250" t="s">
        <v>861</v>
      </c>
      <c r="D10250" t="s">
        <v>2017</v>
      </c>
      <c r="E10250" t="s">
        <v>2440</v>
      </c>
      <c r="F10250">
        <v>21075</v>
      </c>
    </row>
    <row r="10251" spans="1:6">
      <c r="A10251" t="s">
        <v>27</v>
      </c>
      <c r="B10251" t="s">
        <v>234</v>
      </c>
      <c r="C10251" t="s">
        <v>861</v>
      </c>
      <c r="D10251" t="s">
        <v>2017</v>
      </c>
      <c r="E10251" t="s">
        <v>2441</v>
      </c>
      <c r="F10251">
        <v>6604</v>
      </c>
    </row>
    <row r="10252" spans="1:6">
      <c r="A10252" t="s">
        <v>27</v>
      </c>
      <c r="B10252" t="s">
        <v>234</v>
      </c>
      <c r="C10252" t="s">
        <v>861</v>
      </c>
      <c r="D10252" t="s">
        <v>2017</v>
      </c>
      <c r="E10252" t="s">
        <v>2442</v>
      </c>
      <c r="F10252">
        <v>6587</v>
      </c>
    </row>
    <row r="10253" spans="1:6">
      <c r="A10253" t="s">
        <v>27</v>
      </c>
      <c r="B10253" t="s">
        <v>234</v>
      </c>
      <c r="C10253" t="s">
        <v>861</v>
      </c>
      <c r="D10253" t="s">
        <v>2017</v>
      </c>
      <c r="E10253" t="s">
        <v>2868</v>
      </c>
      <c r="F10253">
        <v>6539</v>
      </c>
    </row>
    <row r="10254" spans="1:6">
      <c r="A10254" t="s">
        <v>27</v>
      </c>
      <c r="B10254" t="s">
        <v>234</v>
      </c>
      <c r="C10254" t="s">
        <v>861</v>
      </c>
      <c r="D10254" t="s">
        <v>2017</v>
      </c>
      <c r="E10254" t="s">
        <v>2869</v>
      </c>
      <c r="F10254">
        <v>6521</v>
      </c>
    </row>
    <row r="10255" spans="1:6">
      <c r="A10255" t="s">
        <v>27</v>
      </c>
      <c r="B10255" t="s">
        <v>234</v>
      </c>
      <c r="C10255" t="s">
        <v>861</v>
      </c>
      <c r="D10255" t="s">
        <v>2017</v>
      </c>
      <c r="E10255" t="s">
        <v>2870</v>
      </c>
      <c r="F10255">
        <v>6507</v>
      </c>
    </row>
    <row r="10256" spans="1:6">
      <c r="A10256" t="s">
        <v>27</v>
      </c>
      <c r="B10256" t="s">
        <v>234</v>
      </c>
      <c r="C10256" t="s">
        <v>861</v>
      </c>
      <c r="D10256" t="s">
        <v>2017</v>
      </c>
      <c r="E10256" t="s">
        <v>1955</v>
      </c>
      <c r="F10256">
        <v>2011</v>
      </c>
    </row>
    <row r="10257" spans="1:6">
      <c r="A10257" t="s">
        <v>27</v>
      </c>
      <c r="B10257" t="s">
        <v>234</v>
      </c>
      <c r="C10257" t="s">
        <v>861</v>
      </c>
      <c r="D10257" t="s">
        <v>2017</v>
      </c>
      <c r="E10257" t="s">
        <v>1956</v>
      </c>
      <c r="F10257">
        <v>12228</v>
      </c>
    </row>
    <row r="10258" spans="1:6">
      <c r="A10258" t="s">
        <v>27</v>
      </c>
      <c r="B10258" t="s">
        <v>234</v>
      </c>
      <c r="C10258" t="s">
        <v>861</v>
      </c>
      <c r="D10258" t="s">
        <v>2017</v>
      </c>
      <c r="E10258" t="s">
        <v>1957</v>
      </c>
      <c r="F10258">
        <v>11805</v>
      </c>
    </row>
    <row r="10259" spans="1:6">
      <c r="A10259" t="s">
        <v>27</v>
      </c>
      <c r="B10259" t="s">
        <v>234</v>
      </c>
      <c r="C10259" t="s">
        <v>861</v>
      </c>
      <c r="D10259" t="s">
        <v>2017</v>
      </c>
      <c r="E10259" t="s">
        <v>1958</v>
      </c>
      <c r="F10259">
        <v>10744</v>
      </c>
    </row>
    <row r="10260" spans="1:6">
      <c r="A10260" t="s">
        <v>27</v>
      </c>
      <c r="B10260" t="s">
        <v>234</v>
      </c>
      <c r="C10260" t="s">
        <v>861</v>
      </c>
      <c r="D10260" t="s">
        <v>2017</v>
      </c>
      <c r="E10260" t="s">
        <v>1959</v>
      </c>
      <c r="F10260">
        <v>10735</v>
      </c>
    </row>
    <row r="10261" spans="1:6">
      <c r="A10261" t="s">
        <v>27</v>
      </c>
      <c r="B10261" t="s">
        <v>234</v>
      </c>
      <c r="C10261" t="s">
        <v>861</v>
      </c>
      <c r="D10261" t="s">
        <v>2017</v>
      </c>
      <c r="E10261" t="s">
        <v>2443</v>
      </c>
      <c r="F10261">
        <v>10723</v>
      </c>
    </row>
    <row r="10262" spans="1:6">
      <c r="A10262" t="s">
        <v>27</v>
      </c>
      <c r="B10262" t="s">
        <v>234</v>
      </c>
      <c r="C10262" t="s">
        <v>861</v>
      </c>
      <c r="D10262" t="s">
        <v>2017</v>
      </c>
      <c r="E10262" t="s">
        <v>2444</v>
      </c>
      <c r="F10262">
        <v>10718</v>
      </c>
    </row>
    <row r="10263" spans="1:6">
      <c r="A10263" t="s">
        <v>27</v>
      </c>
      <c r="B10263" t="s">
        <v>234</v>
      </c>
      <c r="C10263" t="s">
        <v>861</v>
      </c>
      <c r="D10263" t="s">
        <v>2017</v>
      </c>
      <c r="E10263" t="s">
        <v>2445</v>
      </c>
      <c r="F10263">
        <v>10707</v>
      </c>
    </row>
    <row r="10264" spans="1:6">
      <c r="A10264" t="s">
        <v>27</v>
      </c>
      <c r="B10264" t="s">
        <v>234</v>
      </c>
      <c r="C10264" t="s">
        <v>861</v>
      </c>
      <c r="D10264" t="s">
        <v>2017</v>
      </c>
      <c r="E10264" t="s">
        <v>2446</v>
      </c>
      <c r="F10264">
        <v>10686</v>
      </c>
    </row>
    <row r="10265" spans="1:6">
      <c r="A10265" t="s">
        <v>27</v>
      </c>
      <c r="B10265" t="s">
        <v>234</v>
      </c>
      <c r="C10265" t="s">
        <v>861</v>
      </c>
      <c r="D10265" t="s">
        <v>2017</v>
      </c>
      <c r="E10265" t="s">
        <v>2447</v>
      </c>
      <c r="F10265">
        <v>10679</v>
      </c>
    </row>
    <row r="10266" spans="1:6">
      <c r="A10266" t="s">
        <v>27</v>
      </c>
      <c r="B10266" t="s">
        <v>234</v>
      </c>
      <c r="C10266" t="s">
        <v>861</v>
      </c>
      <c r="D10266" t="s">
        <v>2017</v>
      </c>
      <c r="E10266" t="s">
        <v>2448</v>
      </c>
      <c r="F10266">
        <v>15057</v>
      </c>
    </row>
    <row r="10267" spans="1:6">
      <c r="A10267" t="s">
        <v>27</v>
      </c>
      <c r="B10267" t="s">
        <v>234</v>
      </c>
      <c r="C10267" t="s">
        <v>861</v>
      </c>
      <c r="D10267" t="s">
        <v>2017</v>
      </c>
      <c r="E10267" t="s">
        <v>2449</v>
      </c>
      <c r="F10267">
        <v>14981</v>
      </c>
    </row>
    <row r="10268" spans="1:6">
      <c r="A10268" t="s">
        <v>27</v>
      </c>
      <c r="B10268" t="s">
        <v>234</v>
      </c>
      <c r="C10268" t="s">
        <v>861</v>
      </c>
      <c r="D10268" t="s">
        <v>2017</v>
      </c>
      <c r="E10268" t="s">
        <v>2450</v>
      </c>
      <c r="F10268">
        <v>14906</v>
      </c>
    </row>
    <row r="10269" spans="1:6">
      <c r="A10269" t="s">
        <v>27</v>
      </c>
      <c r="B10269" t="s">
        <v>234</v>
      </c>
      <c r="C10269" t="s">
        <v>861</v>
      </c>
      <c r="D10269" t="s">
        <v>2017</v>
      </c>
      <c r="E10269" t="s">
        <v>2451</v>
      </c>
      <c r="F10269">
        <v>14869</v>
      </c>
    </row>
    <row r="10270" spans="1:6">
      <c r="A10270" t="s">
        <v>27</v>
      </c>
      <c r="B10270" t="s">
        <v>234</v>
      </c>
      <c r="C10270" t="s">
        <v>861</v>
      </c>
      <c r="D10270" t="s">
        <v>2017</v>
      </c>
      <c r="E10270" t="s">
        <v>2452</v>
      </c>
      <c r="F10270">
        <v>14852</v>
      </c>
    </row>
    <row r="10271" spans="1:6">
      <c r="A10271" t="s">
        <v>27</v>
      </c>
      <c r="B10271" t="s">
        <v>234</v>
      </c>
      <c r="C10271" t="s">
        <v>861</v>
      </c>
      <c r="D10271" t="s">
        <v>2017</v>
      </c>
      <c r="E10271" t="s">
        <v>2453</v>
      </c>
      <c r="F10271">
        <v>14831</v>
      </c>
    </row>
    <row r="10272" spans="1:6">
      <c r="A10272" t="s">
        <v>27</v>
      </c>
      <c r="B10272" t="s">
        <v>234</v>
      </c>
      <c r="C10272" t="s">
        <v>861</v>
      </c>
      <c r="D10272" t="s">
        <v>2017</v>
      </c>
      <c r="E10272" t="s">
        <v>2454</v>
      </c>
      <c r="F10272">
        <v>14805</v>
      </c>
    </row>
    <row r="10273" spans="1:6">
      <c r="A10273" t="s">
        <v>27</v>
      </c>
      <c r="B10273" t="s">
        <v>234</v>
      </c>
      <c r="C10273" t="s">
        <v>861</v>
      </c>
      <c r="D10273" t="s">
        <v>2017</v>
      </c>
      <c r="E10273" t="s">
        <v>2455</v>
      </c>
      <c r="F10273">
        <v>6613</v>
      </c>
    </row>
    <row r="10274" spans="1:6">
      <c r="A10274" t="s">
        <v>27</v>
      </c>
      <c r="B10274" t="s">
        <v>234</v>
      </c>
      <c r="C10274" t="s">
        <v>861</v>
      </c>
      <c r="D10274" t="s">
        <v>2017</v>
      </c>
      <c r="E10274" t="s">
        <v>2456</v>
      </c>
      <c r="F10274">
        <v>6592</v>
      </c>
    </row>
    <row r="10275" spans="1:6">
      <c r="A10275" t="s">
        <v>27</v>
      </c>
      <c r="B10275" t="s">
        <v>234</v>
      </c>
      <c r="C10275" t="s">
        <v>861</v>
      </c>
      <c r="D10275" t="s">
        <v>2017</v>
      </c>
      <c r="E10275" t="s">
        <v>2871</v>
      </c>
      <c r="F10275">
        <v>6524</v>
      </c>
    </row>
    <row r="10276" spans="1:6">
      <c r="A10276" t="s">
        <v>27</v>
      </c>
      <c r="B10276" t="s">
        <v>234</v>
      </c>
      <c r="C10276" t="s">
        <v>861</v>
      </c>
      <c r="D10276" t="s">
        <v>2017</v>
      </c>
      <c r="E10276" t="s">
        <v>2872</v>
      </c>
      <c r="F10276">
        <v>6514</v>
      </c>
    </row>
    <row r="10277" spans="1:6">
      <c r="A10277" t="s">
        <v>27</v>
      </c>
      <c r="B10277" t="s">
        <v>234</v>
      </c>
      <c r="C10277" t="s">
        <v>861</v>
      </c>
      <c r="D10277" t="s">
        <v>2017</v>
      </c>
      <c r="E10277" t="s">
        <v>2873</v>
      </c>
      <c r="F10277">
        <v>6506</v>
      </c>
    </row>
    <row r="10278" spans="1:6">
      <c r="A10278" t="s">
        <v>27</v>
      </c>
      <c r="B10278" t="s">
        <v>234</v>
      </c>
      <c r="C10278" t="s">
        <v>861</v>
      </c>
      <c r="D10278" t="s">
        <v>2017</v>
      </c>
      <c r="E10278" t="s">
        <v>1963</v>
      </c>
      <c r="F10278">
        <v>2012</v>
      </c>
    </row>
    <row r="10279" spans="1:6">
      <c r="A10279" t="s">
        <v>27</v>
      </c>
      <c r="B10279" t="s">
        <v>234</v>
      </c>
      <c r="C10279" t="s">
        <v>861</v>
      </c>
      <c r="D10279" t="s">
        <v>2017</v>
      </c>
      <c r="E10279" t="s">
        <v>1964</v>
      </c>
      <c r="F10279">
        <v>57627</v>
      </c>
    </row>
    <row r="10280" spans="1:6">
      <c r="A10280" t="s">
        <v>27</v>
      </c>
      <c r="B10280" t="s">
        <v>234</v>
      </c>
      <c r="C10280" t="s">
        <v>861</v>
      </c>
      <c r="D10280" t="s">
        <v>2017</v>
      </c>
      <c r="E10280" t="s">
        <v>1965</v>
      </c>
      <c r="F10280">
        <v>57153</v>
      </c>
    </row>
    <row r="10281" spans="1:6">
      <c r="A10281" t="s">
        <v>27</v>
      </c>
      <c r="B10281" t="s">
        <v>234</v>
      </c>
      <c r="C10281" t="s">
        <v>861</v>
      </c>
      <c r="D10281" t="s">
        <v>2017</v>
      </c>
      <c r="E10281" t="s">
        <v>1966</v>
      </c>
      <c r="F10281">
        <v>56433</v>
      </c>
    </row>
    <row r="10282" spans="1:6">
      <c r="A10282" t="s">
        <v>27</v>
      </c>
      <c r="B10282" t="s">
        <v>234</v>
      </c>
      <c r="C10282" t="s">
        <v>861</v>
      </c>
      <c r="D10282" t="s">
        <v>2017</v>
      </c>
      <c r="E10282" t="s">
        <v>1967</v>
      </c>
      <c r="F10282">
        <v>56414</v>
      </c>
    </row>
    <row r="10283" spans="1:6">
      <c r="A10283" t="s">
        <v>27</v>
      </c>
      <c r="B10283" t="s">
        <v>234</v>
      </c>
      <c r="C10283" t="s">
        <v>861</v>
      </c>
      <c r="D10283" t="s">
        <v>2017</v>
      </c>
      <c r="E10283" t="s">
        <v>2457</v>
      </c>
      <c r="F10283">
        <v>56401</v>
      </c>
    </row>
    <row r="10284" spans="1:6">
      <c r="A10284" t="s">
        <v>27</v>
      </c>
      <c r="B10284" t="s">
        <v>234</v>
      </c>
      <c r="C10284" t="s">
        <v>861</v>
      </c>
      <c r="D10284" t="s">
        <v>2017</v>
      </c>
      <c r="E10284" t="s">
        <v>2458</v>
      </c>
      <c r="F10284">
        <v>56397</v>
      </c>
    </row>
    <row r="10285" spans="1:6">
      <c r="A10285" t="s">
        <v>27</v>
      </c>
      <c r="B10285" t="s">
        <v>234</v>
      </c>
      <c r="C10285" t="s">
        <v>861</v>
      </c>
      <c r="D10285" t="s">
        <v>2017</v>
      </c>
      <c r="E10285" t="s">
        <v>2459</v>
      </c>
      <c r="F10285">
        <v>56379</v>
      </c>
    </row>
    <row r="10286" spans="1:6">
      <c r="A10286" t="s">
        <v>27</v>
      </c>
      <c r="B10286" t="s">
        <v>234</v>
      </c>
      <c r="C10286" t="s">
        <v>861</v>
      </c>
      <c r="D10286" t="s">
        <v>2017</v>
      </c>
      <c r="E10286" t="s">
        <v>2460</v>
      </c>
      <c r="F10286">
        <v>56372</v>
      </c>
    </row>
    <row r="10287" spans="1:6">
      <c r="A10287" t="s">
        <v>27</v>
      </c>
      <c r="B10287" t="s">
        <v>234</v>
      </c>
      <c r="C10287" t="s">
        <v>861</v>
      </c>
      <c r="D10287" t="s">
        <v>2017</v>
      </c>
      <c r="E10287" t="s">
        <v>2461</v>
      </c>
      <c r="F10287">
        <v>56365</v>
      </c>
    </row>
    <row r="10288" spans="1:6">
      <c r="A10288" t="s">
        <v>27</v>
      </c>
      <c r="B10288" t="s">
        <v>234</v>
      </c>
      <c r="C10288" t="s">
        <v>861</v>
      </c>
      <c r="D10288" t="s">
        <v>2017</v>
      </c>
      <c r="E10288" t="s">
        <v>2462</v>
      </c>
      <c r="F10288">
        <v>57243</v>
      </c>
    </row>
    <row r="10289" spans="1:6">
      <c r="A10289" t="s">
        <v>27</v>
      </c>
      <c r="B10289" t="s">
        <v>234</v>
      </c>
      <c r="C10289" t="s">
        <v>861</v>
      </c>
      <c r="D10289" t="s">
        <v>2017</v>
      </c>
      <c r="E10289" t="s">
        <v>2463</v>
      </c>
      <c r="F10289">
        <v>57174</v>
      </c>
    </row>
    <row r="10290" spans="1:6">
      <c r="A10290" t="s">
        <v>27</v>
      </c>
      <c r="B10290" t="s">
        <v>234</v>
      </c>
      <c r="C10290" t="s">
        <v>861</v>
      </c>
      <c r="D10290" t="s">
        <v>2017</v>
      </c>
      <c r="E10290" t="s">
        <v>2464</v>
      </c>
      <c r="F10290">
        <v>57116</v>
      </c>
    </row>
    <row r="10291" spans="1:6">
      <c r="A10291" t="s">
        <v>27</v>
      </c>
      <c r="B10291" t="s">
        <v>234</v>
      </c>
      <c r="C10291" t="s">
        <v>861</v>
      </c>
      <c r="D10291" t="s">
        <v>2017</v>
      </c>
      <c r="E10291" t="s">
        <v>2465</v>
      </c>
      <c r="F10291">
        <v>57084</v>
      </c>
    </row>
    <row r="10292" spans="1:6">
      <c r="A10292" t="s">
        <v>27</v>
      </c>
      <c r="B10292" t="s">
        <v>234</v>
      </c>
      <c r="C10292" t="s">
        <v>861</v>
      </c>
      <c r="D10292" t="s">
        <v>2017</v>
      </c>
      <c r="E10292" t="s">
        <v>2466</v>
      </c>
      <c r="F10292">
        <v>57067</v>
      </c>
    </row>
    <row r="10293" spans="1:6">
      <c r="A10293" t="s">
        <v>27</v>
      </c>
      <c r="B10293" t="s">
        <v>234</v>
      </c>
      <c r="C10293" t="s">
        <v>861</v>
      </c>
      <c r="D10293" t="s">
        <v>2017</v>
      </c>
      <c r="E10293" t="s">
        <v>2467</v>
      </c>
      <c r="F10293">
        <v>57047</v>
      </c>
    </row>
    <row r="10294" spans="1:6">
      <c r="A10294" t="s">
        <v>27</v>
      </c>
      <c r="B10294" t="s">
        <v>234</v>
      </c>
      <c r="C10294" t="s">
        <v>861</v>
      </c>
      <c r="D10294" t="s">
        <v>2017</v>
      </c>
      <c r="E10294" t="s">
        <v>2468</v>
      </c>
      <c r="F10294">
        <v>57036</v>
      </c>
    </row>
    <row r="10295" spans="1:6">
      <c r="A10295" t="s">
        <v>27</v>
      </c>
      <c r="B10295" t="s">
        <v>234</v>
      </c>
      <c r="C10295" t="s">
        <v>861</v>
      </c>
      <c r="D10295" t="s">
        <v>2017</v>
      </c>
      <c r="E10295" t="s">
        <v>2469</v>
      </c>
      <c r="F10295">
        <v>3342</v>
      </c>
    </row>
    <row r="10296" spans="1:6">
      <c r="A10296" t="s">
        <v>27</v>
      </c>
      <c r="B10296" t="s">
        <v>234</v>
      </c>
      <c r="C10296" t="s">
        <v>861</v>
      </c>
      <c r="D10296" t="s">
        <v>2017</v>
      </c>
      <c r="E10296" t="s">
        <v>2470</v>
      </c>
      <c r="F10296">
        <v>3317</v>
      </c>
    </row>
    <row r="10297" spans="1:6">
      <c r="A10297" t="s">
        <v>27</v>
      </c>
      <c r="B10297" t="s">
        <v>234</v>
      </c>
      <c r="C10297" t="s">
        <v>861</v>
      </c>
      <c r="D10297" t="s">
        <v>2017</v>
      </c>
      <c r="E10297" t="s">
        <v>2874</v>
      </c>
      <c r="F10297">
        <v>3256</v>
      </c>
    </row>
    <row r="10298" spans="1:6">
      <c r="A10298" t="s">
        <v>27</v>
      </c>
      <c r="B10298" t="s">
        <v>234</v>
      </c>
      <c r="C10298" t="s">
        <v>861</v>
      </c>
      <c r="D10298" t="s">
        <v>2017</v>
      </c>
      <c r="E10298" t="s">
        <v>2875</v>
      </c>
      <c r="F10298">
        <v>3244</v>
      </c>
    </row>
    <row r="10299" spans="1:6">
      <c r="A10299" t="s">
        <v>27</v>
      </c>
      <c r="B10299" t="s">
        <v>234</v>
      </c>
      <c r="C10299" t="s">
        <v>861</v>
      </c>
      <c r="D10299" t="s">
        <v>2017</v>
      </c>
      <c r="E10299" t="s">
        <v>2876</v>
      </c>
      <c r="F10299">
        <v>3227</v>
      </c>
    </row>
    <row r="10300" spans="1:6">
      <c r="A10300" t="s">
        <v>27</v>
      </c>
      <c r="B10300" t="s">
        <v>234</v>
      </c>
      <c r="C10300" t="s">
        <v>861</v>
      </c>
      <c r="D10300" t="s">
        <v>2017</v>
      </c>
      <c r="E10300" t="s">
        <v>1971</v>
      </c>
      <c r="F10300">
        <v>2013</v>
      </c>
    </row>
    <row r="10301" spans="1:6">
      <c r="A10301" t="s">
        <v>27</v>
      </c>
      <c r="B10301" t="s">
        <v>234</v>
      </c>
      <c r="C10301" t="s">
        <v>861</v>
      </c>
      <c r="D10301" t="s">
        <v>2017</v>
      </c>
      <c r="E10301" t="s">
        <v>1972</v>
      </c>
      <c r="F10301">
        <v>13410</v>
      </c>
    </row>
    <row r="10302" spans="1:6">
      <c r="A10302" t="s">
        <v>27</v>
      </c>
      <c r="B10302" t="s">
        <v>234</v>
      </c>
      <c r="C10302" t="s">
        <v>861</v>
      </c>
      <c r="D10302" t="s">
        <v>2017</v>
      </c>
      <c r="E10302" t="s">
        <v>1973</v>
      </c>
      <c r="F10302">
        <v>12934</v>
      </c>
    </row>
    <row r="10303" spans="1:6">
      <c r="A10303" t="s">
        <v>27</v>
      </c>
      <c r="B10303" t="s">
        <v>234</v>
      </c>
      <c r="C10303" t="s">
        <v>861</v>
      </c>
      <c r="D10303" t="s">
        <v>2017</v>
      </c>
      <c r="E10303" t="s">
        <v>1974</v>
      </c>
      <c r="F10303">
        <v>12261</v>
      </c>
    </row>
    <row r="10304" spans="1:6">
      <c r="A10304" t="s">
        <v>27</v>
      </c>
      <c r="B10304" t="s">
        <v>234</v>
      </c>
      <c r="C10304" t="s">
        <v>861</v>
      </c>
      <c r="D10304" t="s">
        <v>2017</v>
      </c>
      <c r="E10304" t="s">
        <v>1975</v>
      </c>
      <c r="F10304">
        <v>12256</v>
      </c>
    </row>
    <row r="10305" spans="1:6">
      <c r="A10305" t="s">
        <v>27</v>
      </c>
      <c r="B10305" t="s">
        <v>234</v>
      </c>
      <c r="C10305" t="s">
        <v>861</v>
      </c>
      <c r="D10305" t="s">
        <v>2017</v>
      </c>
      <c r="E10305" t="s">
        <v>2471</v>
      </c>
      <c r="F10305">
        <v>12237</v>
      </c>
    </row>
    <row r="10306" spans="1:6">
      <c r="A10306" t="s">
        <v>27</v>
      </c>
      <c r="B10306" t="s">
        <v>234</v>
      </c>
      <c r="C10306" t="s">
        <v>861</v>
      </c>
      <c r="D10306" t="s">
        <v>2017</v>
      </c>
      <c r="E10306" t="s">
        <v>2472</v>
      </c>
      <c r="F10306">
        <v>12228</v>
      </c>
    </row>
    <row r="10307" spans="1:6">
      <c r="A10307" t="s">
        <v>27</v>
      </c>
      <c r="B10307" t="s">
        <v>234</v>
      </c>
      <c r="C10307" t="s">
        <v>861</v>
      </c>
      <c r="D10307" t="s">
        <v>2017</v>
      </c>
      <c r="E10307" t="s">
        <v>2473</v>
      </c>
      <c r="F10307">
        <v>12207</v>
      </c>
    </row>
    <row r="10308" spans="1:6">
      <c r="A10308" t="s">
        <v>27</v>
      </c>
      <c r="B10308" t="s">
        <v>234</v>
      </c>
      <c r="C10308" t="s">
        <v>861</v>
      </c>
      <c r="D10308" t="s">
        <v>2017</v>
      </c>
      <c r="E10308" t="s">
        <v>2474</v>
      </c>
      <c r="F10308">
        <v>12201</v>
      </c>
    </row>
    <row r="10309" spans="1:6">
      <c r="A10309" t="s">
        <v>27</v>
      </c>
      <c r="B10309" t="s">
        <v>234</v>
      </c>
      <c r="C10309" t="s">
        <v>861</v>
      </c>
      <c r="D10309" t="s">
        <v>2017</v>
      </c>
      <c r="E10309" t="s">
        <v>2475</v>
      </c>
      <c r="F10309">
        <v>11621</v>
      </c>
    </row>
    <row r="10310" spans="1:6">
      <c r="A10310" t="s">
        <v>27</v>
      </c>
      <c r="B10310" t="s">
        <v>234</v>
      </c>
      <c r="C10310" t="s">
        <v>861</v>
      </c>
      <c r="D10310" t="s">
        <v>2017</v>
      </c>
      <c r="E10310" t="s">
        <v>2476</v>
      </c>
      <c r="F10310">
        <v>10684</v>
      </c>
    </row>
    <row r="10311" spans="1:6">
      <c r="A10311" t="s">
        <v>27</v>
      </c>
      <c r="B10311" t="s">
        <v>234</v>
      </c>
      <c r="C10311" t="s">
        <v>861</v>
      </c>
      <c r="D10311" t="s">
        <v>2017</v>
      </c>
      <c r="E10311" t="s">
        <v>2477</v>
      </c>
      <c r="F10311">
        <v>10438</v>
      </c>
    </row>
    <row r="10312" spans="1:6">
      <c r="A10312" t="s">
        <v>27</v>
      </c>
      <c r="B10312" t="s">
        <v>234</v>
      </c>
      <c r="C10312" t="s">
        <v>861</v>
      </c>
      <c r="D10312" t="s">
        <v>2017</v>
      </c>
      <c r="E10312" t="s">
        <v>2478</v>
      </c>
      <c r="F10312">
        <v>10366</v>
      </c>
    </row>
    <row r="10313" spans="1:6">
      <c r="A10313" t="s">
        <v>27</v>
      </c>
      <c r="B10313" t="s">
        <v>234</v>
      </c>
      <c r="C10313" t="s">
        <v>861</v>
      </c>
      <c r="D10313" t="s">
        <v>2017</v>
      </c>
      <c r="E10313" t="s">
        <v>2479</v>
      </c>
      <c r="F10313">
        <v>10308</v>
      </c>
    </row>
    <row r="10314" spans="1:6">
      <c r="A10314" t="s">
        <v>27</v>
      </c>
      <c r="B10314" t="s">
        <v>234</v>
      </c>
      <c r="C10314" t="s">
        <v>861</v>
      </c>
      <c r="D10314" t="s">
        <v>2017</v>
      </c>
      <c r="E10314" t="s">
        <v>2480</v>
      </c>
      <c r="F10314">
        <v>10274</v>
      </c>
    </row>
    <row r="10315" spans="1:6">
      <c r="A10315" t="s">
        <v>27</v>
      </c>
      <c r="B10315" t="s">
        <v>234</v>
      </c>
      <c r="C10315" t="s">
        <v>861</v>
      </c>
      <c r="D10315" t="s">
        <v>2017</v>
      </c>
      <c r="E10315" t="s">
        <v>2481</v>
      </c>
      <c r="F10315">
        <v>10223</v>
      </c>
    </row>
    <row r="10316" spans="1:6">
      <c r="A10316" t="s">
        <v>27</v>
      </c>
      <c r="B10316" t="s">
        <v>234</v>
      </c>
      <c r="C10316" t="s">
        <v>861</v>
      </c>
      <c r="D10316" t="s">
        <v>2017</v>
      </c>
      <c r="E10316" t="s">
        <v>2482</v>
      </c>
      <c r="F10316">
        <v>10196</v>
      </c>
    </row>
    <row r="10317" spans="1:6">
      <c r="A10317" t="s">
        <v>27</v>
      </c>
      <c r="B10317" t="s">
        <v>234</v>
      </c>
      <c r="C10317" t="s">
        <v>861</v>
      </c>
      <c r="D10317" t="s">
        <v>2017</v>
      </c>
      <c r="E10317" t="s">
        <v>2483</v>
      </c>
      <c r="F10317">
        <v>5400</v>
      </c>
    </row>
    <row r="10318" spans="1:6">
      <c r="A10318" t="s">
        <v>27</v>
      </c>
      <c r="B10318" t="s">
        <v>234</v>
      </c>
      <c r="C10318" t="s">
        <v>861</v>
      </c>
      <c r="D10318" t="s">
        <v>2017</v>
      </c>
      <c r="E10318" t="s">
        <v>2484</v>
      </c>
      <c r="F10318">
        <v>5378</v>
      </c>
    </row>
    <row r="10319" spans="1:6">
      <c r="A10319" t="s">
        <v>27</v>
      </c>
      <c r="B10319" t="s">
        <v>234</v>
      </c>
      <c r="C10319" t="s">
        <v>861</v>
      </c>
      <c r="D10319" t="s">
        <v>2017</v>
      </c>
      <c r="E10319" t="s">
        <v>2877</v>
      </c>
      <c r="F10319">
        <v>5344</v>
      </c>
    </row>
    <row r="10320" spans="1:6">
      <c r="A10320" t="s">
        <v>27</v>
      </c>
      <c r="B10320" t="s">
        <v>234</v>
      </c>
      <c r="C10320" t="s">
        <v>861</v>
      </c>
      <c r="D10320" t="s">
        <v>2017</v>
      </c>
      <c r="E10320" t="s">
        <v>2878</v>
      </c>
      <c r="F10320">
        <v>5321</v>
      </c>
    </row>
    <row r="10321" spans="1:6">
      <c r="A10321" t="s">
        <v>27</v>
      </c>
      <c r="B10321" t="s">
        <v>234</v>
      </c>
      <c r="C10321" t="s">
        <v>861</v>
      </c>
      <c r="D10321" t="s">
        <v>2017</v>
      </c>
      <c r="E10321" t="s">
        <v>2879</v>
      </c>
      <c r="F10321">
        <v>5309</v>
      </c>
    </row>
    <row r="10322" spans="1:6">
      <c r="A10322" t="s">
        <v>27</v>
      </c>
      <c r="B10322" t="s">
        <v>234</v>
      </c>
      <c r="C10322" t="s">
        <v>861</v>
      </c>
      <c r="D10322" t="s">
        <v>2017</v>
      </c>
      <c r="E10322" t="s">
        <v>2485</v>
      </c>
      <c r="F10322">
        <v>2014</v>
      </c>
    </row>
    <row r="10323" spans="1:6">
      <c r="A10323" t="s">
        <v>27</v>
      </c>
      <c r="B10323" t="s">
        <v>234</v>
      </c>
      <c r="C10323" t="s">
        <v>861</v>
      </c>
      <c r="D10323" t="s">
        <v>2017</v>
      </c>
      <c r="E10323" t="s">
        <v>2486</v>
      </c>
      <c r="F10323">
        <v>5832</v>
      </c>
    </row>
    <row r="10324" spans="1:6">
      <c r="A10324" t="s">
        <v>27</v>
      </c>
      <c r="B10324" t="s">
        <v>234</v>
      </c>
      <c r="C10324" t="s">
        <v>861</v>
      </c>
      <c r="D10324" t="s">
        <v>2017</v>
      </c>
      <c r="E10324" t="s">
        <v>2487</v>
      </c>
      <c r="F10324">
        <v>4959</v>
      </c>
    </row>
    <row r="10325" spans="1:6">
      <c r="A10325" t="s">
        <v>27</v>
      </c>
      <c r="B10325" t="s">
        <v>234</v>
      </c>
      <c r="C10325" t="s">
        <v>861</v>
      </c>
      <c r="D10325" t="s">
        <v>2017</v>
      </c>
      <c r="E10325" t="s">
        <v>2488</v>
      </c>
      <c r="F10325">
        <v>3995</v>
      </c>
    </row>
    <row r="10326" spans="1:6">
      <c r="A10326" t="s">
        <v>27</v>
      </c>
      <c r="B10326" t="s">
        <v>234</v>
      </c>
      <c r="C10326" t="s">
        <v>861</v>
      </c>
      <c r="D10326" t="s">
        <v>2017</v>
      </c>
      <c r="E10326" t="s">
        <v>2489</v>
      </c>
      <c r="F10326">
        <v>3993</v>
      </c>
    </row>
    <row r="10327" spans="1:6">
      <c r="A10327" t="s">
        <v>27</v>
      </c>
      <c r="B10327" t="s">
        <v>234</v>
      </c>
      <c r="C10327" t="s">
        <v>861</v>
      </c>
      <c r="D10327" t="s">
        <v>2017</v>
      </c>
      <c r="E10327" t="s">
        <v>2490</v>
      </c>
      <c r="F10327">
        <v>3985</v>
      </c>
    </row>
    <row r="10328" spans="1:6">
      <c r="A10328" t="s">
        <v>27</v>
      </c>
      <c r="B10328" t="s">
        <v>234</v>
      </c>
      <c r="C10328" t="s">
        <v>861</v>
      </c>
      <c r="D10328" t="s">
        <v>2017</v>
      </c>
      <c r="E10328" t="s">
        <v>2491</v>
      </c>
      <c r="F10328">
        <v>3981</v>
      </c>
    </row>
    <row r="10329" spans="1:6">
      <c r="A10329" t="s">
        <v>27</v>
      </c>
      <c r="B10329" t="s">
        <v>234</v>
      </c>
      <c r="C10329" t="s">
        <v>861</v>
      </c>
      <c r="D10329" t="s">
        <v>2017</v>
      </c>
      <c r="E10329" t="s">
        <v>2492</v>
      </c>
      <c r="F10329">
        <v>3969</v>
      </c>
    </row>
    <row r="10330" spans="1:6">
      <c r="A10330" t="s">
        <v>27</v>
      </c>
      <c r="B10330" t="s">
        <v>234</v>
      </c>
      <c r="C10330" t="s">
        <v>861</v>
      </c>
      <c r="D10330" t="s">
        <v>2017</v>
      </c>
      <c r="E10330" t="s">
        <v>2493</v>
      </c>
      <c r="F10330">
        <v>3968</v>
      </c>
    </row>
    <row r="10331" spans="1:6">
      <c r="A10331" t="s">
        <v>27</v>
      </c>
      <c r="B10331" t="s">
        <v>234</v>
      </c>
      <c r="C10331" t="s">
        <v>861</v>
      </c>
      <c r="D10331" t="s">
        <v>2017</v>
      </c>
      <c r="E10331" t="s">
        <v>2494</v>
      </c>
      <c r="F10331">
        <v>3965</v>
      </c>
    </row>
    <row r="10332" spans="1:6">
      <c r="A10332" t="s">
        <v>27</v>
      </c>
      <c r="B10332" t="s">
        <v>234</v>
      </c>
      <c r="C10332" t="s">
        <v>861</v>
      </c>
      <c r="D10332" t="s">
        <v>2017</v>
      </c>
      <c r="E10332" t="s">
        <v>2495</v>
      </c>
      <c r="F10332">
        <v>3937</v>
      </c>
    </row>
    <row r="10333" spans="1:6">
      <c r="A10333" t="s">
        <v>27</v>
      </c>
      <c r="B10333" t="s">
        <v>234</v>
      </c>
      <c r="C10333" t="s">
        <v>861</v>
      </c>
      <c r="D10333" t="s">
        <v>2017</v>
      </c>
      <c r="E10333" t="s">
        <v>2496</v>
      </c>
      <c r="F10333">
        <v>3925</v>
      </c>
    </row>
    <row r="10334" spans="1:6">
      <c r="A10334" t="s">
        <v>27</v>
      </c>
      <c r="B10334" t="s">
        <v>234</v>
      </c>
      <c r="C10334" t="s">
        <v>861</v>
      </c>
      <c r="D10334" t="s">
        <v>2017</v>
      </c>
      <c r="E10334" t="s">
        <v>2497</v>
      </c>
      <c r="F10334">
        <v>3913</v>
      </c>
    </row>
    <row r="10335" spans="1:6">
      <c r="A10335" t="s">
        <v>27</v>
      </c>
      <c r="B10335" t="s">
        <v>234</v>
      </c>
      <c r="C10335" t="s">
        <v>861</v>
      </c>
      <c r="D10335" t="s">
        <v>2017</v>
      </c>
      <c r="E10335" t="s">
        <v>2498</v>
      </c>
      <c r="F10335">
        <v>3911</v>
      </c>
    </row>
    <row r="10336" spans="1:6">
      <c r="A10336" t="s">
        <v>27</v>
      </c>
      <c r="B10336" t="s">
        <v>234</v>
      </c>
      <c r="C10336" t="s">
        <v>861</v>
      </c>
      <c r="D10336" t="s">
        <v>2017</v>
      </c>
      <c r="E10336" t="s">
        <v>2499</v>
      </c>
      <c r="F10336">
        <v>3908</v>
      </c>
    </row>
    <row r="10337" spans="1:6">
      <c r="A10337" t="s">
        <v>27</v>
      </c>
      <c r="B10337" t="s">
        <v>234</v>
      </c>
      <c r="C10337" t="s">
        <v>861</v>
      </c>
      <c r="D10337" t="s">
        <v>2017</v>
      </c>
      <c r="E10337" t="s">
        <v>2500</v>
      </c>
      <c r="F10337">
        <v>3901</v>
      </c>
    </row>
    <row r="10338" spans="1:6">
      <c r="A10338" t="s">
        <v>27</v>
      </c>
      <c r="B10338" t="s">
        <v>234</v>
      </c>
      <c r="C10338" t="s">
        <v>861</v>
      </c>
      <c r="D10338" t="s">
        <v>2017</v>
      </c>
      <c r="E10338" t="s">
        <v>2501</v>
      </c>
      <c r="F10338">
        <v>3896</v>
      </c>
    </row>
    <row r="10339" spans="1:6">
      <c r="A10339" t="s">
        <v>27</v>
      </c>
      <c r="B10339" t="s">
        <v>234</v>
      </c>
      <c r="C10339" t="s">
        <v>861</v>
      </c>
      <c r="D10339" t="s">
        <v>2017</v>
      </c>
      <c r="E10339" t="s">
        <v>2502</v>
      </c>
      <c r="F10339">
        <v>680</v>
      </c>
    </row>
    <row r="10340" spans="1:6">
      <c r="A10340" t="s">
        <v>27</v>
      </c>
      <c r="B10340" t="s">
        <v>234</v>
      </c>
      <c r="C10340" t="s">
        <v>861</v>
      </c>
      <c r="D10340" t="s">
        <v>2017</v>
      </c>
      <c r="E10340" t="s">
        <v>2503</v>
      </c>
      <c r="F10340">
        <v>671</v>
      </c>
    </row>
    <row r="10341" spans="1:6">
      <c r="A10341" t="s">
        <v>27</v>
      </c>
      <c r="B10341" t="s">
        <v>234</v>
      </c>
      <c r="C10341" t="s">
        <v>861</v>
      </c>
      <c r="D10341" t="s">
        <v>2017</v>
      </c>
      <c r="E10341" t="s">
        <v>2880</v>
      </c>
      <c r="F10341">
        <v>669</v>
      </c>
    </row>
    <row r="10342" spans="1:6">
      <c r="A10342" t="s">
        <v>27</v>
      </c>
      <c r="B10342" t="s">
        <v>234</v>
      </c>
      <c r="C10342" t="s">
        <v>861</v>
      </c>
      <c r="D10342" t="s">
        <v>2017</v>
      </c>
      <c r="E10342" t="s">
        <v>2881</v>
      </c>
      <c r="F10342">
        <v>667</v>
      </c>
    </row>
    <row r="10343" spans="1:6">
      <c r="A10343" t="s">
        <v>27</v>
      </c>
      <c r="B10343" t="s">
        <v>234</v>
      </c>
      <c r="C10343" t="s">
        <v>861</v>
      </c>
      <c r="D10343" t="s">
        <v>2017</v>
      </c>
      <c r="E10343" t="s">
        <v>2882</v>
      </c>
      <c r="F10343">
        <v>665</v>
      </c>
    </row>
    <row r="10344" spans="1:6">
      <c r="A10344" t="s">
        <v>27</v>
      </c>
      <c r="B10344" t="s">
        <v>234</v>
      </c>
      <c r="C10344" t="s">
        <v>861</v>
      </c>
      <c r="D10344" t="s">
        <v>2017</v>
      </c>
      <c r="E10344" t="s">
        <v>2504</v>
      </c>
      <c r="F10344">
        <v>2015</v>
      </c>
    </row>
    <row r="10345" spans="1:6">
      <c r="A10345" t="s">
        <v>27</v>
      </c>
      <c r="B10345" t="s">
        <v>234</v>
      </c>
      <c r="C10345" t="s">
        <v>861</v>
      </c>
      <c r="D10345" t="s">
        <v>2017</v>
      </c>
      <c r="E10345" t="s">
        <v>2505</v>
      </c>
      <c r="F10345">
        <v>150261</v>
      </c>
    </row>
    <row r="10346" spans="1:6">
      <c r="A10346" t="s">
        <v>27</v>
      </c>
      <c r="B10346" t="s">
        <v>234</v>
      </c>
      <c r="C10346" t="s">
        <v>861</v>
      </c>
      <c r="D10346" t="s">
        <v>2017</v>
      </c>
      <c r="E10346" t="s">
        <v>2506</v>
      </c>
      <c r="F10346">
        <v>143576</v>
      </c>
    </row>
    <row r="10347" spans="1:6">
      <c r="A10347" t="s">
        <v>27</v>
      </c>
      <c r="B10347" t="s">
        <v>234</v>
      </c>
      <c r="C10347" t="s">
        <v>861</v>
      </c>
      <c r="D10347" t="s">
        <v>2017</v>
      </c>
      <c r="E10347" t="s">
        <v>2507</v>
      </c>
      <c r="F10347">
        <v>135539</v>
      </c>
    </row>
    <row r="10348" spans="1:6">
      <c r="A10348" t="s">
        <v>27</v>
      </c>
      <c r="B10348" t="s">
        <v>234</v>
      </c>
      <c r="C10348" t="s">
        <v>861</v>
      </c>
      <c r="D10348" t="s">
        <v>2017</v>
      </c>
      <c r="E10348" t="s">
        <v>2508</v>
      </c>
      <c r="F10348">
        <v>131915</v>
      </c>
    </row>
    <row r="10349" spans="1:6">
      <c r="A10349" t="s">
        <v>27</v>
      </c>
      <c r="B10349" t="s">
        <v>234</v>
      </c>
      <c r="C10349" t="s">
        <v>861</v>
      </c>
      <c r="D10349" t="s">
        <v>2017</v>
      </c>
      <c r="E10349" t="s">
        <v>2509</v>
      </c>
      <c r="F10349">
        <v>130391</v>
      </c>
    </row>
    <row r="10350" spans="1:6">
      <c r="A10350" t="s">
        <v>27</v>
      </c>
      <c r="B10350" t="s">
        <v>234</v>
      </c>
      <c r="C10350" t="s">
        <v>861</v>
      </c>
      <c r="D10350" t="s">
        <v>2017</v>
      </c>
      <c r="E10350" t="s">
        <v>2510</v>
      </c>
      <c r="F10350">
        <v>129586</v>
      </c>
    </row>
    <row r="10351" spans="1:6">
      <c r="A10351" t="s">
        <v>27</v>
      </c>
      <c r="B10351" t="s">
        <v>234</v>
      </c>
      <c r="C10351" t="s">
        <v>861</v>
      </c>
      <c r="D10351" t="s">
        <v>2017</v>
      </c>
      <c r="E10351" t="s">
        <v>2511</v>
      </c>
      <c r="F10351">
        <v>128906</v>
      </c>
    </row>
    <row r="10352" spans="1:6">
      <c r="A10352" t="s">
        <v>27</v>
      </c>
      <c r="B10352" t="s">
        <v>234</v>
      </c>
      <c r="C10352" t="s">
        <v>861</v>
      </c>
      <c r="D10352" t="s">
        <v>2017</v>
      </c>
      <c r="E10352" t="s">
        <v>2512</v>
      </c>
      <c r="F10352">
        <v>128303</v>
      </c>
    </row>
    <row r="10353" spans="1:6">
      <c r="A10353" t="s">
        <v>27</v>
      </c>
      <c r="B10353" t="s">
        <v>234</v>
      </c>
      <c r="C10353" t="s">
        <v>861</v>
      </c>
      <c r="D10353" t="s">
        <v>2017</v>
      </c>
      <c r="E10353" t="s">
        <v>2513</v>
      </c>
      <c r="F10353">
        <v>127911</v>
      </c>
    </row>
    <row r="10354" spans="1:6">
      <c r="A10354" t="s">
        <v>27</v>
      </c>
      <c r="B10354" t="s">
        <v>234</v>
      </c>
      <c r="C10354" t="s">
        <v>861</v>
      </c>
      <c r="D10354" t="s">
        <v>2017</v>
      </c>
      <c r="E10354" t="s">
        <v>2514</v>
      </c>
      <c r="F10354">
        <v>127752</v>
      </c>
    </row>
    <row r="10355" spans="1:6">
      <c r="A10355" t="s">
        <v>27</v>
      </c>
      <c r="B10355" t="s">
        <v>234</v>
      </c>
      <c r="C10355" t="s">
        <v>861</v>
      </c>
      <c r="D10355" t="s">
        <v>2017</v>
      </c>
      <c r="E10355" t="s">
        <v>2515</v>
      </c>
      <c r="F10355">
        <v>127350</v>
      </c>
    </row>
    <row r="10356" spans="1:6">
      <c r="A10356" t="s">
        <v>27</v>
      </c>
      <c r="B10356" t="s">
        <v>234</v>
      </c>
      <c r="C10356" t="s">
        <v>861</v>
      </c>
      <c r="D10356" t="s">
        <v>2017</v>
      </c>
      <c r="E10356" t="s">
        <v>2516</v>
      </c>
      <c r="F10356">
        <v>126549</v>
      </c>
    </row>
    <row r="10357" spans="1:6">
      <c r="A10357" t="s">
        <v>27</v>
      </c>
      <c r="B10357" t="s">
        <v>234</v>
      </c>
      <c r="C10357" t="s">
        <v>861</v>
      </c>
      <c r="D10357" t="s">
        <v>2017</v>
      </c>
      <c r="E10357" t="s">
        <v>2517</v>
      </c>
      <c r="F10357">
        <v>125835</v>
      </c>
    </row>
    <row r="10358" spans="1:6">
      <c r="A10358" t="s">
        <v>27</v>
      </c>
      <c r="B10358" t="s">
        <v>234</v>
      </c>
      <c r="C10358" t="s">
        <v>861</v>
      </c>
      <c r="D10358" t="s">
        <v>2017</v>
      </c>
      <c r="E10358" t="s">
        <v>2518</v>
      </c>
      <c r="F10358">
        <v>125523</v>
      </c>
    </row>
    <row r="10359" spans="1:6">
      <c r="A10359" t="s">
        <v>27</v>
      </c>
      <c r="B10359" t="s">
        <v>234</v>
      </c>
      <c r="C10359" t="s">
        <v>861</v>
      </c>
      <c r="D10359" t="s">
        <v>2017</v>
      </c>
      <c r="E10359" t="s">
        <v>2519</v>
      </c>
      <c r="F10359">
        <v>124856</v>
      </c>
    </row>
    <row r="10360" spans="1:6">
      <c r="A10360" t="s">
        <v>27</v>
      </c>
      <c r="B10360" t="s">
        <v>234</v>
      </c>
      <c r="C10360" t="s">
        <v>861</v>
      </c>
      <c r="D10360" t="s">
        <v>2017</v>
      </c>
      <c r="E10360" t="s">
        <v>2520</v>
      </c>
      <c r="F10360">
        <v>124083</v>
      </c>
    </row>
    <row r="10361" spans="1:6">
      <c r="A10361" t="s">
        <v>27</v>
      </c>
      <c r="B10361" t="s">
        <v>234</v>
      </c>
      <c r="C10361" t="s">
        <v>861</v>
      </c>
      <c r="D10361" t="s">
        <v>2017</v>
      </c>
      <c r="E10361" t="s">
        <v>2521</v>
      </c>
      <c r="F10361">
        <v>112571</v>
      </c>
    </row>
    <row r="10362" spans="1:6">
      <c r="A10362" t="s">
        <v>27</v>
      </c>
      <c r="B10362" t="s">
        <v>234</v>
      </c>
      <c r="C10362" t="s">
        <v>861</v>
      </c>
      <c r="D10362" t="s">
        <v>2017</v>
      </c>
      <c r="E10362" t="s">
        <v>2522</v>
      </c>
      <c r="F10362">
        <v>111970</v>
      </c>
    </row>
    <row r="10363" spans="1:6">
      <c r="A10363" t="s">
        <v>27</v>
      </c>
      <c r="B10363" t="s">
        <v>234</v>
      </c>
      <c r="C10363" t="s">
        <v>861</v>
      </c>
      <c r="D10363" t="s">
        <v>2017</v>
      </c>
      <c r="E10363" t="s">
        <v>2883</v>
      </c>
      <c r="F10363">
        <v>111097</v>
      </c>
    </row>
    <row r="10364" spans="1:6">
      <c r="A10364" t="s">
        <v>27</v>
      </c>
      <c r="B10364" t="s">
        <v>234</v>
      </c>
      <c r="C10364" t="s">
        <v>861</v>
      </c>
      <c r="D10364" t="s">
        <v>2017</v>
      </c>
      <c r="E10364" t="s">
        <v>2884</v>
      </c>
      <c r="F10364">
        <v>110704</v>
      </c>
    </row>
    <row r="10365" spans="1:6">
      <c r="A10365" t="s">
        <v>27</v>
      </c>
      <c r="B10365" t="s">
        <v>234</v>
      </c>
      <c r="C10365" t="s">
        <v>861</v>
      </c>
      <c r="D10365" t="s">
        <v>2017</v>
      </c>
      <c r="E10365" t="s">
        <v>2885</v>
      </c>
      <c r="F10365">
        <v>110001</v>
      </c>
    </row>
    <row r="10366" spans="1:6">
      <c r="A10366" t="s">
        <v>27</v>
      </c>
      <c r="B10366" t="s">
        <v>234</v>
      </c>
      <c r="C10366" t="s">
        <v>861</v>
      </c>
      <c r="D10366" t="s">
        <v>2017</v>
      </c>
      <c r="E10366" t="s">
        <v>2523</v>
      </c>
      <c r="F10366">
        <v>2016</v>
      </c>
    </row>
    <row r="10367" spans="1:6">
      <c r="A10367" t="s">
        <v>27</v>
      </c>
      <c r="B10367" t="s">
        <v>234</v>
      </c>
      <c r="C10367" t="s">
        <v>861</v>
      </c>
      <c r="D10367" t="s">
        <v>2017</v>
      </c>
      <c r="E10367" t="s">
        <v>2524</v>
      </c>
      <c r="F10367">
        <v>47298</v>
      </c>
    </row>
    <row r="10368" spans="1:6">
      <c r="A10368" t="s">
        <v>27</v>
      </c>
      <c r="B10368" t="s">
        <v>234</v>
      </c>
      <c r="C10368" t="s">
        <v>861</v>
      </c>
      <c r="D10368" t="s">
        <v>2017</v>
      </c>
      <c r="E10368" t="s">
        <v>2525</v>
      </c>
      <c r="F10368">
        <v>35923</v>
      </c>
    </row>
    <row r="10369" spans="1:6">
      <c r="A10369" t="s">
        <v>27</v>
      </c>
      <c r="B10369" t="s">
        <v>234</v>
      </c>
      <c r="C10369" t="s">
        <v>861</v>
      </c>
      <c r="D10369" t="s">
        <v>2017</v>
      </c>
      <c r="E10369" t="s">
        <v>2526</v>
      </c>
      <c r="F10369">
        <v>22384</v>
      </c>
    </row>
    <row r="10370" spans="1:6">
      <c r="A10370" t="s">
        <v>27</v>
      </c>
      <c r="B10370" t="s">
        <v>234</v>
      </c>
      <c r="C10370" t="s">
        <v>861</v>
      </c>
      <c r="D10370" t="s">
        <v>2017</v>
      </c>
      <c r="E10370" t="s">
        <v>2527</v>
      </c>
      <c r="F10370">
        <v>22376</v>
      </c>
    </row>
    <row r="10371" spans="1:6">
      <c r="A10371" t="s">
        <v>27</v>
      </c>
      <c r="B10371" t="s">
        <v>234</v>
      </c>
      <c r="C10371" t="s">
        <v>861</v>
      </c>
      <c r="D10371" t="s">
        <v>2017</v>
      </c>
      <c r="E10371" t="s">
        <v>2528</v>
      </c>
      <c r="F10371">
        <v>22349</v>
      </c>
    </row>
    <row r="10372" spans="1:6">
      <c r="A10372" t="s">
        <v>27</v>
      </c>
      <c r="B10372" t="s">
        <v>234</v>
      </c>
      <c r="C10372" t="s">
        <v>861</v>
      </c>
      <c r="D10372" t="s">
        <v>2017</v>
      </c>
      <c r="E10372" t="s">
        <v>2529</v>
      </c>
      <c r="F10372">
        <v>22324</v>
      </c>
    </row>
    <row r="10373" spans="1:6">
      <c r="A10373" t="s">
        <v>27</v>
      </c>
      <c r="B10373" t="s">
        <v>234</v>
      </c>
      <c r="C10373" t="s">
        <v>861</v>
      </c>
      <c r="D10373" t="s">
        <v>2017</v>
      </c>
      <c r="E10373" t="s">
        <v>2530</v>
      </c>
      <c r="F10373">
        <v>22265</v>
      </c>
    </row>
    <row r="10374" spans="1:6">
      <c r="A10374" t="s">
        <v>27</v>
      </c>
      <c r="B10374" t="s">
        <v>234</v>
      </c>
      <c r="C10374" t="s">
        <v>861</v>
      </c>
      <c r="D10374" t="s">
        <v>2017</v>
      </c>
      <c r="E10374" t="s">
        <v>2531</v>
      </c>
      <c r="F10374">
        <v>22226</v>
      </c>
    </row>
    <row r="10375" spans="1:6">
      <c r="A10375" t="s">
        <v>27</v>
      </c>
      <c r="B10375" t="s">
        <v>234</v>
      </c>
      <c r="C10375" t="s">
        <v>861</v>
      </c>
      <c r="D10375" t="s">
        <v>2017</v>
      </c>
      <c r="E10375" t="s">
        <v>2532</v>
      </c>
      <c r="F10375">
        <v>22202</v>
      </c>
    </row>
    <row r="10376" spans="1:6">
      <c r="A10376" t="s">
        <v>27</v>
      </c>
      <c r="B10376" t="s">
        <v>234</v>
      </c>
      <c r="C10376" t="s">
        <v>861</v>
      </c>
      <c r="D10376" t="s">
        <v>2017</v>
      </c>
      <c r="E10376" t="s">
        <v>2533</v>
      </c>
      <c r="F10376">
        <v>22530</v>
      </c>
    </row>
    <row r="10377" spans="1:6">
      <c r="A10377" t="s">
        <v>27</v>
      </c>
      <c r="B10377" t="s">
        <v>234</v>
      </c>
      <c r="C10377" t="s">
        <v>861</v>
      </c>
      <c r="D10377" t="s">
        <v>2017</v>
      </c>
      <c r="E10377" t="s">
        <v>2534</v>
      </c>
      <c r="F10377">
        <v>22490</v>
      </c>
    </row>
    <row r="10378" spans="1:6">
      <c r="A10378" t="s">
        <v>27</v>
      </c>
      <c r="B10378" t="s">
        <v>234</v>
      </c>
      <c r="C10378" t="s">
        <v>861</v>
      </c>
      <c r="D10378" t="s">
        <v>2017</v>
      </c>
      <c r="E10378" t="s">
        <v>2535</v>
      </c>
      <c r="F10378">
        <v>22440</v>
      </c>
    </row>
    <row r="10379" spans="1:6">
      <c r="A10379" t="s">
        <v>27</v>
      </c>
      <c r="B10379" t="s">
        <v>234</v>
      </c>
      <c r="C10379" t="s">
        <v>861</v>
      </c>
      <c r="D10379" t="s">
        <v>2017</v>
      </c>
      <c r="E10379" t="s">
        <v>2536</v>
      </c>
      <c r="F10379">
        <v>22390</v>
      </c>
    </row>
    <row r="10380" spans="1:6">
      <c r="A10380" t="s">
        <v>27</v>
      </c>
      <c r="B10380" t="s">
        <v>234</v>
      </c>
      <c r="C10380" t="s">
        <v>861</v>
      </c>
      <c r="D10380" t="s">
        <v>2017</v>
      </c>
      <c r="E10380" t="s">
        <v>2537</v>
      </c>
      <c r="F10380">
        <v>22371</v>
      </c>
    </row>
    <row r="10381" spans="1:6">
      <c r="A10381" t="s">
        <v>27</v>
      </c>
      <c r="B10381" t="s">
        <v>234</v>
      </c>
      <c r="C10381" t="s">
        <v>861</v>
      </c>
      <c r="D10381" t="s">
        <v>2017</v>
      </c>
      <c r="E10381" t="s">
        <v>2538</v>
      </c>
      <c r="F10381">
        <v>22339</v>
      </c>
    </row>
    <row r="10382" spans="1:6">
      <c r="A10382" t="s">
        <v>27</v>
      </c>
      <c r="B10382" t="s">
        <v>234</v>
      </c>
      <c r="C10382" t="s">
        <v>861</v>
      </c>
      <c r="D10382" t="s">
        <v>2017</v>
      </c>
      <c r="E10382" t="s">
        <v>2539</v>
      </c>
      <c r="F10382">
        <v>22287</v>
      </c>
    </row>
    <row r="10383" spans="1:6">
      <c r="A10383" t="s">
        <v>27</v>
      </c>
      <c r="B10383" t="s">
        <v>234</v>
      </c>
      <c r="C10383" t="s">
        <v>861</v>
      </c>
      <c r="D10383" t="s">
        <v>2017</v>
      </c>
      <c r="E10383" t="s">
        <v>2540</v>
      </c>
      <c r="F10383">
        <v>4514</v>
      </c>
    </row>
    <row r="10384" spans="1:6">
      <c r="A10384" t="s">
        <v>27</v>
      </c>
      <c r="B10384" t="s">
        <v>234</v>
      </c>
      <c r="C10384" t="s">
        <v>861</v>
      </c>
      <c r="D10384" t="s">
        <v>2017</v>
      </c>
      <c r="E10384" t="s">
        <v>2541</v>
      </c>
      <c r="F10384">
        <v>4486</v>
      </c>
    </row>
    <row r="10385" spans="1:6">
      <c r="A10385" t="s">
        <v>27</v>
      </c>
      <c r="B10385" t="s">
        <v>234</v>
      </c>
      <c r="C10385" t="s">
        <v>861</v>
      </c>
      <c r="D10385" t="s">
        <v>2017</v>
      </c>
      <c r="E10385" t="s">
        <v>2886</v>
      </c>
      <c r="F10385">
        <v>4458</v>
      </c>
    </row>
    <row r="10386" spans="1:6">
      <c r="A10386" t="s">
        <v>27</v>
      </c>
      <c r="B10386" t="s">
        <v>234</v>
      </c>
      <c r="C10386" t="s">
        <v>861</v>
      </c>
      <c r="D10386" t="s">
        <v>2017</v>
      </c>
      <c r="E10386" t="s">
        <v>2887</v>
      </c>
      <c r="F10386">
        <v>4450</v>
      </c>
    </row>
    <row r="10387" spans="1:6">
      <c r="A10387" t="s">
        <v>27</v>
      </c>
      <c r="B10387" t="s">
        <v>234</v>
      </c>
      <c r="C10387" t="s">
        <v>861</v>
      </c>
      <c r="D10387" t="s">
        <v>2017</v>
      </c>
      <c r="E10387" t="s">
        <v>2888</v>
      </c>
      <c r="F10387">
        <v>4438</v>
      </c>
    </row>
    <row r="10388" spans="1:6">
      <c r="A10388" t="s">
        <v>27</v>
      </c>
      <c r="B10388" t="s">
        <v>234</v>
      </c>
      <c r="C10388" t="s">
        <v>861</v>
      </c>
      <c r="D10388" t="s">
        <v>2017</v>
      </c>
      <c r="E10388" t="s">
        <v>2542</v>
      </c>
      <c r="F10388">
        <v>2017</v>
      </c>
    </row>
    <row r="10389" spans="1:6">
      <c r="A10389" t="s">
        <v>27</v>
      </c>
      <c r="B10389" t="s">
        <v>234</v>
      </c>
      <c r="C10389" t="s">
        <v>861</v>
      </c>
      <c r="D10389" t="s">
        <v>2017</v>
      </c>
      <c r="E10389" t="s">
        <v>2543</v>
      </c>
      <c r="F10389">
        <v>90644</v>
      </c>
    </row>
    <row r="10390" spans="1:6">
      <c r="A10390" t="s">
        <v>27</v>
      </c>
      <c r="B10390" t="s">
        <v>234</v>
      </c>
      <c r="C10390" t="s">
        <v>861</v>
      </c>
      <c r="D10390" t="s">
        <v>2017</v>
      </c>
      <c r="E10390" t="s">
        <v>2544</v>
      </c>
      <c r="F10390">
        <v>80111</v>
      </c>
    </row>
    <row r="10391" spans="1:6">
      <c r="A10391" t="s">
        <v>27</v>
      </c>
      <c r="B10391" t="s">
        <v>234</v>
      </c>
      <c r="C10391" t="s">
        <v>861</v>
      </c>
      <c r="D10391" t="s">
        <v>2017</v>
      </c>
      <c r="E10391" t="s">
        <v>2545</v>
      </c>
      <c r="F10391">
        <v>71598</v>
      </c>
    </row>
    <row r="10392" spans="1:6">
      <c r="A10392" t="s">
        <v>27</v>
      </c>
      <c r="B10392" t="s">
        <v>234</v>
      </c>
      <c r="C10392" t="s">
        <v>861</v>
      </c>
      <c r="D10392" t="s">
        <v>2017</v>
      </c>
      <c r="E10392" t="s">
        <v>2546</v>
      </c>
      <c r="F10392">
        <v>71593</v>
      </c>
    </row>
    <row r="10393" spans="1:6">
      <c r="A10393" t="s">
        <v>27</v>
      </c>
      <c r="B10393" t="s">
        <v>234</v>
      </c>
      <c r="C10393" t="s">
        <v>861</v>
      </c>
      <c r="D10393" t="s">
        <v>2017</v>
      </c>
      <c r="E10393" t="s">
        <v>2547</v>
      </c>
      <c r="F10393">
        <v>71574</v>
      </c>
    </row>
    <row r="10394" spans="1:6">
      <c r="A10394" t="s">
        <v>27</v>
      </c>
      <c r="B10394" t="s">
        <v>234</v>
      </c>
      <c r="C10394" t="s">
        <v>861</v>
      </c>
      <c r="D10394" t="s">
        <v>2017</v>
      </c>
      <c r="E10394" t="s">
        <v>2548</v>
      </c>
      <c r="F10394">
        <v>71542</v>
      </c>
    </row>
    <row r="10395" spans="1:6">
      <c r="A10395" t="s">
        <v>27</v>
      </c>
      <c r="B10395" t="s">
        <v>234</v>
      </c>
      <c r="C10395" t="s">
        <v>861</v>
      </c>
      <c r="D10395" t="s">
        <v>2017</v>
      </c>
      <c r="E10395" t="s">
        <v>2549</v>
      </c>
      <c r="F10395">
        <v>71485</v>
      </c>
    </row>
    <row r="10396" spans="1:6">
      <c r="A10396" t="s">
        <v>27</v>
      </c>
      <c r="B10396" t="s">
        <v>234</v>
      </c>
      <c r="C10396" t="s">
        <v>861</v>
      </c>
      <c r="D10396" t="s">
        <v>2017</v>
      </c>
      <c r="E10396" t="s">
        <v>2550</v>
      </c>
      <c r="F10396">
        <v>71448</v>
      </c>
    </row>
    <row r="10397" spans="1:6">
      <c r="A10397" t="s">
        <v>27</v>
      </c>
      <c r="B10397" t="s">
        <v>234</v>
      </c>
      <c r="C10397" t="s">
        <v>861</v>
      </c>
      <c r="D10397" t="s">
        <v>2017</v>
      </c>
      <c r="E10397" t="s">
        <v>2551</v>
      </c>
      <c r="F10397">
        <v>71432</v>
      </c>
    </row>
    <row r="10398" spans="1:6">
      <c r="A10398" t="s">
        <v>27</v>
      </c>
      <c r="B10398" t="s">
        <v>234</v>
      </c>
      <c r="C10398" t="s">
        <v>861</v>
      </c>
      <c r="D10398" t="s">
        <v>2017</v>
      </c>
      <c r="E10398" t="s">
        <v>2552</v>
      </c>
      <c r="F10398">
        <v>71740</v>
      </c>
    </row>
    <row r="10399" spans="1:6">
      <c r="A10399" t="s">
        <v>27</v>
      </c>
      <c r="B10399" t="s">
        <v>234</v>
      </c>
      <c r="C10399" t="s">
        <v>861</v>
      </c>
      <c r="D10399" t="s">
        <v>2017</v>
      </c>
      <c r="E10399" t="s">
        <v>2553</v>
      </c>
      <c r="F10399">
        <v>71642</v>
      </c>
    </row>
    <row r="10400" spans="1:6">
      <c r="A10400" t="s">
        <v>27</v>
      </c>
      <c r="B10400" t="s">
        <v>234</v>
      </c>
      <c r="C10400" t="s">
        <v>861</v>
      </c>
      <c r="D10400" t="s">
        <v>2017</v>
      </c>
      <c r="E10400" t="s">
        <v>2554</v>
      </c>
      <c r="F10400">
        <v>71432</v>
      </c>
    </row>
    <row r="10401" spans="1:6">
      <c r="A10401" t="s">
        <v>27</v>
      </c>
      <c r="B10401" t="s">
        <v>234</v>
      </c>
      <c r="C10401" t="s">
        <v>861</v>
      </c>
      <c r="D10401" t="s">
        <v>2017</v>
      </c>
      <c r="E10401" t="s">
        <v>2555</v>
      </c>
      <c r="F10401">
        <v>71060</v>
      </c>
    </row>
    <row r="10402" spans="1:6">
      <c r="A10402" t="s">
        <v>27</v>
      </c>
      <c r="B10402" t="s">
        <v>234</v>
      </c>
      <c r="C10402" t="s">
        <v>861</v>
      </c>
      <c r="D10402" t="s">
        <v>2017</v>
      </c>
      <c r="E10402" t="s">
        <v>2556</v>
      </c>
      <c r="F10402">
        <v>70671</v>
      </c>
    </row>
    <row r="10403" spans="1:6">
      <c r="A10403" t="s">
        <v>27</v>
      </c>
      <c r="B10403" t="s">
        <v>234</v>
      </c>
      <c r="C10403" t="s">
        <v>861</v>
      </c>
      <c r="D10403" t="s">
        <v>2017</v>
      </c>
      <c r="E10403" t="s">
        <v>2557</v>
      </c>
      <c r="F10403">
        <v>70093</v>
      </c>
    </row>
    <row r="10404" spans="1:6">
      <c r="A10404" t="s">
        <v>27</v>
      </c>
      <c r="B10404" t="s">
        <v>234</v>
      </c>
      <c r="C10404" t="s">
        <v>861</v>
      </c>
      <c r="D10404" t="s">
        <v>2017</v>
      </c>
      <c r="E10404" t="s">
        <v>2558</v>
      </c>
      <c r="F10404">
        <v>69272</v>
      </c>
    </row>
    <row r="10405" spans="1:6">
      <c r="A10405" t="s">
        <v>27</v>
      </c>
      <c r="B10405" t="s">
        <v>234</v>
      </c>
      <c r="C10405" t="s">
        <v>861</v>
      </c>
      <c r="D10405" t="s">
        <v>2017</v>
      </c>
      <c r="E10405" t="s">
        <v>2559</v>
      </c>
      <c r="F10405">
        <v>52562</v>
      </c>
    </row>
    <row r="10406" spans="1:6">
      <c r="A10406" t="s">
        <v>27</v>
      </c>
      <c r="B10406" t="s">
        <v>234</v>
      </c>
      <c r="C10406" t="s">
        <v>861</v>
      </c>
      <c r="D10406" t="s">
        <v>2017</v>
      </c>
      <c r="E10406" t="s">
        <v>2560</v>
      </c>
      <c r="F10406">
        <v>51745</v>
      </c>
    </row>
    <row r="10407" spans="1:6">
      <c r="A10407" t="s">
        <v>27</v>
      </c>
      <c r="B10407" t="s">
        <v>234</v>
      </c>
      <c r="C10407" t="s">
        <v>861</v>
      </c>
      <c r="D10407" t="s">
        <v>2017</v>
      </c>
      <c r="E10407" t="s">
        <v>2889</v>
      </c>
      <c r="F10407">
        <v>51295</v>
      </c>
    </row>
    <row r="10408" spans="1:6">
      <c r="A10408" t="s">
        <v>27</v>
      </c>
      <c r="B10408" t="s">
        <v>234</v>
      </c>
      <c r="C10408" t="s">
        <v>861</v>
      </c>
      <c r="D10408" t="s">
        <v>2017</v>
      </c>
      <c r="E10408" t="s">
        <v>2890</v>
      </c>
      <c r="F10408">
        <v>50707</v>
      </c>
    </row>
    <row r="10409" spans="1:6">
      <c r="A10409" t="s">
        <v>27</v>
      </c>
      <c r="B10409" t="s">
        <v>234</v>
      </c>
      <c r="C10409" t="s">
        <v>861</v>
      </c>
      <c r="D10409" t="s">
        <v>2017</v>
      </c>
      <c r="E10409" t="s">
        <v>2891</v>
      </c>
      <c r="F10409">
        <v>49968</v>
      </c>
    </row>
    <row r="10410" spans="1:6">
      <c r="A10410" t="s">
        <v>27</v>
      </c>
      <c r="B10410" t="s">
        <v>234</v>
      </c>
      <c r="C10410" t="s">
        <v>861</v>
      </c>
      <c r="D10410" t="s">
        <v>2017</v>
      </c>
      <c r="E10410" t="s">
        <v>2561</v>
      </c>
      <c r="F10410">
        <v>2018</v>
      </c>
    </row>
    <row r="10411" spans="1:6">
      <c r="A10411" t="s">
        <v>27</v>
      </c>
      <c r="B10411" t="s">
        <v>234</v>
      </c>
      <c r="C10411" t="s">
        <v>861</v>
      </c>
      <c r="D10411" t="s">
        <v>2017</v>
      </c>
      <c r="E10411" t="s">
        <v>2562</v>
      </c>
      <c r="F10411">
        <v>32463</v>
      </c>
    </row>
    <row r="10412" spans="1:6">
      <c r="A10412" t="s">
        <v>27</v>
      </c>
      <c r="B10412" t="s">
        <v>234</v>
      </c>
      <c r="C10412" t="s">
        <v>861</v>
      </c>
      <c r="D10412" t="s">
        <v>2017</v>
      </c>
      <c r="E10412" t="s">
        <v>2563</v>
      </c>
      <c r="F10412">
        <v>26548</v>
      </c>
    </row>
    <row r="10413" spans="1:6">
      <c r="A10413" t="s">
        <v>27</v>
      </c>
      <c r="B10413" t="s">
        <v>234</v>
      </c>
      <c r="C10413" t="s">
        <v>861</v>
      </c>
      <c r="D10413" t="s">
        <v>2017</v>
      </c>
      <c r="E10413" t="s">
        <v>2564</v>
      </c>
      <c r="F10413">
        <v>20527</v>
      </c>
    </row>
    <row r="10414" spans="1:6">
      <c r="A10414" t="s">
        <v>27</v>
      </c>
      <c r="B10414" t="s">
        <v>234</v>
      </c>
      <c r="C10414" t="s">
        <v>861</v>
      </c>
      <c r="D10414" t="s">
        <v>2017</v>
      </c>
      <c r="E10414" t="s">
        <v>2565</v>
      </c>
      <c r="F10414">
        <v>20522</v>
      </c>
    </row>
    <row r="10415" spans="1:6">
      <c r="A10415" t="s">
        <v>27</v>
      </c>
      <c r="B10415" t="s">
        <v>234</v>
      </c>
      <c r="C10415" t="s">
        <v>861</v>
      </c>
      <c r="D10415" t="s">
        <v>2017</v>
      </c>
      <c r="E10415" t="s">
        <v>2566</v>
      </c>
      <c r="F10415">
        <v>20512</v>
      </c>
    </row>
    <row r="10416" spans="1:6">
      <c r="A10416" t="s">
        <v>27</v>
      </c>
      <c r="B10416" t="s">
        <v>234</v>
      </c>
      <c r="C10416" t="s">
        <v>861</v>
      </c>
      <c r="D10416" t="s">
        <v>2017</v>
      </c>
      <c r="E10416" t="s">
        <v>2567</v>
      </c>
      <c r="F10416">
        <v>20500</v>
      </c>
    </row>
    <row r="10417" spans="1:6">
      <c r="A10417" t="s">
        <v>27</v>
      </c>
      <c r="B10417" t="s">
        <v>234</v>
      </c>
      <c r="C10417" t="s">
        <v>861</v>
      </c>
      <c r="D10417" t="s">
        <v>2017</v>
      </c>
      <c r="E10417" t="s">
        <v>2568</v>
      </c>
      <c r="F10417">
        <v>20417</v>
      </c>
    </row>
    <row r="10418" spans="1:6">
      <c r="A10418" t="s">
        <v>27</v>
      </c>
      <c r="B10418" t="s">
        <v>234</v>
      </c>
      <c r="C10418" t="s">
        <v>861</v>
      </c>
      <c r="D10418" t="s">
        <v>2017</v>
      </c>
      <c r="E10418" t="s">
        <v>2569</v>
      </c>
      <c r="F10418">
        <v>20392</v>
      </c>
    </row>
    <row r="10419" spans="1:6">
      <c r="A10419" t="s">
        <v>27</v>
      </c>
      <c r="B10419" t="s">
        <v>234</v>
      </c>
      <c r="C10419" t="s">
        <v>861</v>
      </c>
      <c r="D10419" t="s">
        <v>2017</v>
      </c>
      <c r="E10419" t="s">
        <v>2570</v>
      </c>
      <c r="F10419">
        <v>20379</v>
      </c>
    </row>
    <row r="10420" spans="1:6">
      <c r="A10420" t="s">
        <v>27</v>
      </c>
      <c r="B10420" t="s">
        <v>234</v>
      </c>
      <c r="C10420" t="s">
        <v>861</v>
      </c>
      <c r="D10420" t="s">
        <v>2017</v>
      </c>
      <c r="E10420" t="s">
        <v>2571</v>
      </c>
      <c r="F10420">
        <v>20809</v>
      </c>
    </row>
    <row r="10421" spans="1:6">
      <c r="A10421" t="s">
        <v>27</v>
      </c>
      <c r="B10421" t="s">
        <v>234</v>
      </c>
      <c r="C10421" t="s">
        <v>861</v>
      </c>
      <c r="D10421" t="s">
        <v>2017</v>
      </c>
      <c r="E10421" t="s">
        <v>2572</v>
      </c>
      <c r="F10421">
        <v>20690</v>
      </c>
    </row>
    <row r="10422" spans="1:6">
      <c r="A10422" t="s">
        <v>27</v>
      </c>
      <c r="B10422" t="s">
        <v>234</v>
      </c>
      <c r="C10422" t="s">
        <v>861</v>
      </c>
      <c r="D10422" t="s">
        <v>2017</v>
      </c>
      <c r="E10422" t="s">
        <v>2573</v>
      </c>
      <c r="F10422">
        <v>20621</v>
      </c>
    </row>
    <row r="10423" spans="1:6">
      <c r="A10423" t="s">
        <v>27</v>
      </c>
      <c r="B10423" t="s">
        <v>234</v>
      </c>
      <c r="C10423" t="s">
        <v>861</v>
      </c>
      <c r="D10423" t="s">
        <v>2017</v>
      </c>
      <c r="E10423" t="s">
        <v>2574</v>
      </c>
      <c r="F10423">
        <v>20583</v>
      </c>
    </row>
    <row r="10424" spans="1:6">
      <c r="A10424" t="s">
        <v>27</v>
      </c>
      <c r="B10424" t="s">
        <v>234</v>
      </c>
      <c r="C10424" t="s">
        <v>861</v>
      </c>
      <c r="D10424" t="s">
        <v>2017</v>
      </c>
      <c r="E10424" t="s">
        <v>2575</v>
      </c>
      <c r="F10424">
        <v>20559</v>
      </c>
    </row>
    <row r="10425" spans="1:6">
      <c r="A10425" t="s">
        <v>27</v>
      </c>
      <c r="B10425" t="s">
        <v>234</v>
      </c>
      <c r="C10425" t="s">
        <v>861</v>
      </c>
      <c r="D10425" t="s">
        <v>2017</v>
      </c>
      <c r="E10425" t="s">
        <v>2576</v>
      </c>
      <c r="F10425">
        <v>20509</v>
      </c>
    </row>
    <row r="10426" spans="1:6">
      <c r="A10426" t="s">
        <v>27</v>
      </c>
      <c r="B10426" t="s">
        <v>234</v>
      </c>
      <c r="C10426" t="s">
        <v>861</v>
      </c>
      <c r="D10426" t="s">
        <v>2017</v>
      </c>
      <c r="E10426" t="s">
        <v>2577</v>
      </c>
      <c r="F10426">
        <v>20427</v>
      </c>
    </row>
    <row r="10427" spans="1:6">
      <c r="A10427" t="s">
        <v>27</v>
      </c>
      <c r="B10427" t="s">
        <v>234</v>
      </c>
      <c r="C10427" t="s">
        <v>861</v>
      </c>
      <c r="D10427" t="s">
        <v>2017</v>
      </c>
      <c r="E10427" t="s">
        <v>2578</v>
      </c>
      <c r="F10427">
        <v>7901</v>
      </c>
    </row>
    <row r="10428" spans="1:6">
      <c r="A10428" t="s">
        <v>27</v>
      </c>
      <c r="B10428" t="s">
        <v>234</v>
      </c>
      <c r="C10428" t="s">
        <v>861</v>
      </c>
      <c r="D10428" t="s">
        <v>2017</v>
      </c>
      <c r="E10428" t="s">
        <v>2579</v>
      </c>
      <c r="F10428">
        <v>7874</v>
      </c>
    </row>
    <row r="10429" spans="1:6">
      <c r="A10429" t="s">
        <v>27</v>
      </c>
      <c r="B10429" t="s">
        <v>234</v>
      </c>
      <c r="C10429" t="s">
        <v>861</v>
      </c>
      <c r="D10429" t="s">
        <v>2017</v>
      </c>
      <c r="E10429" t="s">
        <v>2892</v>
      </c>
      <c r="F10429">
        <v>7836</v>
      </c>
    </row>
    <row r="10430" spans="1:6">
      <c r="A10430" t="s">
        <v>27</v>
      </c>
      <c r="B10430" t="s">
        <v>234</v>
      </c>
      <c r="C10430" t="s">
        <v>861</v>
      </c>
      <c r="D10430" t="s">
        <v>2017</v>
      </c>
      <c r="E10430" t="s">
        <v>2893</v>
      </c>
      <c r="F10430">
        <v>7819</v>
      </c>
    </row>
    <row r="10431" spans="1:6">
      <c r="A10431" t="s">
        <v>27</v>
      </c>
      <c r="B10431" t="s">
        <v>234</v>
      </c>
      <c r="C10431" t="s">
        <v>861</v>
      </c>
      <c r="D10431" t="s">
        <v>2017</v>
      </c>
      <c r="E10431" t="s">
        <v>2894</v>
      </c>
      <c r="F10431">
        <v>7776</v>
      </c>
    </row>
    <row r="10432" spans="1:6">
      <c r="A10432" t="s">
        <v>27</v>
      </c>
      <c r="B10432" t="s">
        <v>234</v>
      </c>
      <c r="C10432" t="s">
        <v>861</v>
      </c>
      <c r="D10432" t="s">
        <v>2017</v>
      </c>
      <c r="E10432" t="s">
        <v>2580</v>
      </c>
      <c r="F10432">
        <v>2019</v>
      </c>
    </row>
    <row r="10433" spans="1:6">
      <c r="A10433" t="s">
        <v>27</v>
      </c>
      <c r="B10433" t="s">
        <v>234</v>
      </c>
      <c r="C10433" t="s">
        <v>861</v>
      </c>
      <c r="D10433" t="s">
        <v>2017</v>
      </c>
      <c r="E10433" t="s">
        <v>2581</v>
      </c>
      <c r="F10433">
        <v>27785</v>
      </c>
    </row>
    <row r="10434" spans="1:6">
      <c r="A10434" t="s">
        <v>27</v>
      </c>
      <c r="B10434" t="s">
        <v>234</v>
      </c>
      <c r="C10434" t="s">
        <v>861</v>
      </c>
      <c r="D10434" t="s">
        <v>2017</v>
      </c>
      <c r="E10434" t="s">
        <v>2582</v>
      </c>
      <c r="F10434">
        <v>21756</v>
      </c>
    </row>
    <row r="10435" spans="1:6">
      <c r="A10435" t="s">
        <v>27</v>
      </c>
      <c r="B10435" t="s">
        <v>234</v>
      </c>
      <c r="C10435" t="s">
        <v>861</v>
      </c>
      <c r="D10435" t="s">
        <v>2017</v>
      </c>
      <c r="E10435" t="s">
        <v>2583</v>
      </c>
      <c r="F10435">
        <v>17599</v>
      </c>
    </row>
    <row r="10436" spans="1:6">
      <c r="A10436" t="s">
        <v>27</v>
      </c>
      <c r="B10436" t="s">
        <v>234</v>
      </c>
      <c r="C10436" t="s">
        <v>861</v>
      </c>
      <c r="D10436" t="s">
        <v>2017</v>
      </c>
      <c r="E10436" t="s">
        <v>2584</v>
      </c>
      <c r="F10436">
        <v>17594</v>
      </c>
    </row>
    <row r="10437" spans="1:6">
      <c r="A10437" t="s">
        <v>27</v>
      </c>
      <c r="B10437" t="s">
        <v>234</v>
      </c>
      <c r="C10437" t="s">
        <v>861</v>
      </c>
      <c r="D10437" t="s">
        <v>2017</v>
      </c>
      <c r="E10437" t="s">
        <v>2585</v>
      </c>
      <c r="F10437">
        <v>17584</v>
      </c>
    </row>
    <row r="10438" spans="1:6">
      <c r="A10438" t="s">
        <v>27</v>
      </c>
      <c r="B10438" t="s">
        <v>234</v>
      </c>
      <c r="C10438" t="s">
        <v>861</v>
      </c>
      <c r="D10438" t="s">
        <v>2017</v>
      </c>
      <c r="E10438" t="s">
        <v>2586</v>
      </c>
      <c r="F10438">
        <v>17568</v>
      </c>
    </row>
    <row r="10439" spans="1:6">
      <c r="A10439" t="s">
        <v>27</v>
      </c>
      <c r="B10439" t="s">
        <v>234</v>
      </c>
      <c r="C10439" t="s">
        <v>861</v>
      </c>
      <c r="D10439" t="s">
        <v>2017</v>
      </c>
      <c r="E10439" t="s">
        <v>2587</v>
      </c>
      <c r="F10439">
        <v>17529</v>
      </c>
    </row>
    <row r="10440" spans="1:6">
      <c r="A10440" t="s">
        <v>27</v>
      </c>
      <c r="B10440" t="s">
        <v>234</v>
      </c>
      <c r="C10440" t="s">
        <v>861</v>
      </c>
      <c r="D10440" t="s">
        <v>2017</v>
      </c>
      <c r="E10440" t="s">
        <v>2588</v>
      </c>
      <c r="F10440">
        <v>17504</v>
      </c>
    </row>
    <row r="10441" spans="1:6">
      <c r="A10441" t="s">
        <v>27</v>
      </c>
      <c r="B10441" t="s">
        <v>234</v>
      </c>
      <c r="C10441" t="s">
        <v>861</v>
      </c>
      <c r="D10441" t="s">
        <v>2017</v>
      </c>
      <c r="E10441" t="s">
        <v>2589</v>
      </c>
      <c r="F10441">
        <v>17492</v>
      </c>
    </row>
    <row r="10442" spans="1:6">
      <c r="A10442" t="s">
        <v>27</v>
      </c>
      <c r="B10442" t="s">
        <v>234</v>
      </c>
      <c r="C10442" t="s">
        <v>861</v>
      </c>
      <c r="D10442" t="s">
        <v>2017</v>
      </c>
      <c r="E10442" t="s">
        <v>2590</v>
      </c>
      <c r="F10442">
        <v>17707</v>
      </c>
    </row>
    <row r="10443" spans="1:6">
      <c r="A10443" t="s">
        <v>27</v>
      </c>
      <c r="B10443" t="s">
        <v>234</v>
      </c>
      <c r="C10443" t="s">
        <v>861</v>
      </c>
      <c r="D10443" t="s">
        <v>2017</v>
      </c>
      <c r="E10443" t="s">
        <v>2591</v>
      </c>
      <c r="F10443">
        <v>17664</v>
      </c>
    </row>
    <row r="10444" spans="1:6">
      <c r="A10444" t="s">
        <v>27</v>
      </c>
      <c r="B10444" t="s">
        <v>234</v>
      </c>
      <c r="C10444" t="s">
        <v>861</v>
      </c>
      <c r="D10444" t="s">
        <v>2017</v>
      </c>
      <c r="E10444" t="s">
        <v>2592</v>
      </c>
      <c r="F10444">
        <v>17619</v>
      </c>
    </row>
    <row r="10445" spans="1:6">
      <c r="A10445" t="s">
        <v>27</v>
      </c>
      <c r="B10445" t="s">
        <v>234</v>
      </c>
      <c r="C10445" t="s">
        <v>861</v>
      </c>
      <c r="D10445" t="s">
        <v>2017</v>
      </c>
      <c r="E10445" t="s">
        <v>2593</v>
      </c>
      <c r="F10445">
        <v>17595</v>
      </c>
    </row>
    <row r="10446" spans="1:6">
      <c r="A10446" t="s">
        <v>27</v>
      </c>
      <c r="B10446" t="s">
        <v>234</v>
      </c>
      <c r="C10446" t="s">
        <v>861</v>
      </c>
      <c r="D10446" t="s">
        <v>2017</v>
      </c>
      <c r="E10446" t="s">
        <v>2594</v>
      </c>
      <c r="F10446">
        <v>17577</v>
      </c>
    </row>
    <row r="10447" spans="1:6">
      <c r="A10447" t="s">
        <v>27</v>
      </c>
      <c r="B10447" t="s">
        <v>234</v>
      </c>
      <c r="C10447" t="s">
        <v>861</v>
      </c>
      <c r="D10447" t="s">
        <v>2017</v>
      </c>
      <c r="E10447" t="s">
        <v>2595</v>
      </c>
      <c r="F10447">
        <v>17548</v>
      </c>
    </row>
    <row r="10448" spans="1:6">
      <c r="A10448" t="s">
        <v>27</v>
      </c>
      <c r="B10448" t="s">
        <v>234</v>
      </c>
      <c r="C10448" t="s">
        <v>861</v>
      </c>
      <c r="D10448" t="s">
        <v>2017</v>
      </c>
      <c r="E10448" t="s">
        <v>2596</v>
      </c>
      <c r="F10448">
        <v>17515</v>
      </c>
    </row>
    <row r="10449" spans="1:6">
      <c r="A10449" t="s">
        <v>27</v>
      </c>
      <c r="B10449" t="s">
        <v>234</v>
      </c>
      <c r="C10449" t="s">
        <v>861</v>
      </c>
      <c r="D10449" t="s">
        <v>2017</v>
      </c>
      <c r="E10449" t="s">
        <v>2597</v>
      </c>
      <c r="F10449">
        <v>5056</v>
      </c>
    </row>
    <row r="10450" spans="1:6">
      <c r="A10450" t="s">
        <v>27</v>
      </c>
      <c r="B10450" t="s">
        <v>234</v>
      </c>
      <c r="C10450" t="s">
        <v>861</v>
      </c>
      <c r="D10450" t="s">
        <v>2017</v>
      </c>
      <c r="E10450" t="s">
        <v>2598</v>
      </c>
      <c r="F10450">
        <v>5045</v>
      </c>
    </row>
    <row r="10451" spans="1:6">
      <c r="A10451" t="s">
        <v>27</v>
      </c>
      <c r="B10451" t="s">
        <v>234</v>
      </c>
      <c r="C10451" t="s">
        <v>861</v>
      </c>
      <c r="D10451" t="s">
        <v>2017</v>
      </c>
      <c r="E10451" t="s">
        <v>2895</v>
      </c>
      <c r="F10451">
        <v>5041</v>
      </c>
    </row>
    <row r="10452" spans="1:6">
      <c r="A10452" t="s">
        <v>27</v>
      </c>
      <c r="B10452" t="s">
        <v>234</v>
      </c>
      <c r="C10452" t="s">
        <v>861</v>
      </c>
      <c r="D10452" t="s">
        <v>2017</v>
      </c>
      <c r="E10452" t="s">
        <v>2896</v>
      </c>
      <c r="F10452">
        <v>5038</v>
      </c>
    </row>
    <row r="10453" spans="1:6">
      <c r="A10453" t="s">
        <v>27</v>
      </c>
      <c r="B10453" t="s">
        <v>234</v>
      </c>
      <c r="C10453" t="s">
        <v>861</v>
      </c>
      <c r="D10453" t="s">
        <v>2017</v>
      </c>
      <c r="E10453" t="s">
        <v>2897</v>
      </c>
      <c r="F10453">
        <v>5035</v>
      </c>
    </row>
    <row r="10454" spans="1:6">
      <c r="A10454" t="s">
        <v>27</v>
      </c>
      <c r="B10454" t="s">
        <v>234</v>
      </c>
      <c r="C10454" t="s">
        <v>861</v>
      </c>
      <c r="D10454" t="s">
        <v>2017</v>
      </c>
      <c r="E10454" t="s">
        <v>2599</v>
      </c>
      <c r="F10454">
        <v>2020</v>
      </c>
    </row>
    <row r="10455" spans="1:6">
      <c r="A10455" t="s">
        <v>27</v>
      </c>
      <c r="B10455" t="s">
        <v>234</v>
      </c>
      <c r="C10455" t="s">
        <v>861</v>
      </c>
      <c r="D10455" t="s">
        <v>2017</v>
      </c>
      <c r="E10455" t="s">
        <v>2600</v>
      </c>
      <c r="F10455">
        <v>88751</v>
      </c>
    </row>
    <row r="10456" spans="1:6">
      <c r="A10456" t="s">
        <v>27</v>
      </c>
      <c r="B10456" t="s">
        <v>234</v>
      </c>
      <c r="C10456" t="s">
        <v>861</v>
      </c>
      <c r="D10456" t="s">
        <v>2017</v>
      </c>
      <c r="E10456" t="s">
        <v>2601</v>
      </c>
      <c r="F10456">
        <v>81256</v>
      </c>
    </row>
    <row r="10457" spans="1:6">
      <c r="A10457" t="s">
        <v>27</v>
      </c>
      <c r="B10457" t="s">
        <v>234</v>
      </c>
      <c r="C10457" t="s">
        <v>861</v>
      </c>
      <c r="D10457" t="s">
        <v>2017</v>
      </c>
      <c r="E10457" t="s">
        <v>2602</v>
      </c>
      <c r="F10457">
        <v>71253</v>
      </c>
    </row>
    <row r="10458" spans="1:6">
      <c r="A10458" t="s">
        <v>27</v>
      </c>
      <c r="B10458" t="s">
        <v>234</v>
      </c>
      <c r="C10458" t="s">
        <v>861</v>
      </c>
      <c r="D10458" t="s">
        <v>2017</v>
      </c>
      <c r="E10458" t="s">
        <v>2603</v>
      </c>
      <c r="F10458">
        <v>71245</v>
      </c>
    </row>
    <row r="10459" spans="1:6">
      <c r="A10459" t="s">
        <v>27</v>
      </c>
      <c r="B10459" t="s">
        <v>234</v>
      </c>
      <c r="C10459" t="s">
        <v>861</v>
      </c>
      <c r="D10459" t="s">
        <v>2017</v>
      </c>
      <c r="E10459" t="s">
        <v>2604</v>
      </c>
      <c r="F10459">
        <v>71231</v>
      </c>
    </row>
    <row r="10460" spans="1:6">
      <c r="A10460" t="s">
        <v>27</v>
      </c>
      <c r="B10460" t="s">
        <v>234</v>
      </c>
      <c r="C10460" t="s">
        <v>861</v>
      </c>
      <c r="D10460" t="s">
        <v>2017</v>
      </c>
      <c r="E10460" t="s">
        <v>2605</v>
      </c>
      <c r="F10460">
        <v>69993</v>
      </c>
    </row>
    <row r="10461" spans="1:6">
      <c r="A10461" t="s">
        <v>27</v>
      </c>
      <c r="B10461" t="s">
        <v>234</v>
      </c>
      <c r="C10461" t="s">
        <v>861</v>
      </c>
      <c r="D10461" t="s">
        <v>2017</v>
      </c>
      <c r="E10461" t="s">
        <v>2606</v>
      </c>
      <c r="F10461">
        <v>67936</v>
      </c>
    </row>
    <row r="10462" spans="1:6">
      <c r="A10462" t="s">
        <v>27</v>
      </c>
      <c r="B10462" t="s">
        <v>234</v>
      </c>
      <c r="C10462" t="s">
        <v>861</v>
      </c>
      <c r="D10462" t="s">
        <v>2017</v>
      </c>
      <c r="E10462" t="s">
        <v>2607</v>
      </c>
      <c r="F10462">
        <v>66725</v>
      </c>
    </row>
    <row r="10463" spans="1:6">
      <c r="A10463" t="s">
        <v>27</v>
      </c>
      <c r="B10463" t="s">
        <v>234</v>
      </c>
      <c r="C10463" t="s">
        <v>861</v>
      </c>
      <c r="D10463" t="s">
        <v>2017</v>
      </c>
      <c r="E10463" t="s">
        <v>2608</v>
      </c>
      <c r="F10463">
        <v>65730</v>
      </c>
    </row>
    <row r="10464" spans="1:6">
      <c r="A10464" t="s">
        <v>27</v>
      </c>
      <c r="B10464" t="s">
        <v>234</v>
      </c>
      <c r="C10464" t="s">
        <v>861</v>
      </c>
      <c r="D10464" t="s">
        <v>2017</v>
      </c>
      <c r="E10464" t="s">
        <v>2609</v>
      </c>
      <c r="F10464">
        <v>66505</v>
      </c>
    </row>
    <row r="10465" spans="1:6">
      <c r="A10465" t="s">
        <v>27</v>
      </c>
      <c r="B10465" t="s">
        <v>234</v>
      </c>
      <c r="C10465" t="s">
        <v>861</v>
      </c>
      <c r="D10465" t="s">
        <v>2017</v>
      </c>
      <c r="E10465" t="s">
        <v>2610</v>
      </c>
      <c r="F10465">
        <v>66350</v>
      </c>
    </row>
    <row r="10466" spans="1:6">
      <c r="A10466" t="s">
        <v>27</v>
      </c>
      <c r="B10466" t="s">
        <v>234</v>
      </c>
      <c r="C10466" t="s">
        <v>861</v>
      </c>
      <c r="D10466" t="s">
        <v>2017</v>
      </c>
      <c r="E10466" t="s">
        <v>2611</v>
      </c>
      <c r="F10466">
        <v>65700</v>
      </c>
    </row>
    <row r="10467" spans="1:6">
      <c r="A10467" t="s">
        <v>27</v>
      </c>
      <c r="B10467" t="s">
        <v>234</v>
      </c>
      <c r="C10467" t="s">
        <v>861</v>
      </c>
      <c r="D10467" t="s">
        <v>2017</v>
      </c>
      <c r="E10467" t="s">
        <v>2612</v>
      </c>
      <c r="F10467">
        <v>65310</v>
      </c>
    </row>
    <row r="10468" spans="1:6">
      <c r="A10468" t="s">
        <v>27</v>
      </c>
      <c r="B10468" t="s">
        <v>234</v>
      </c>
      <c r="C10468" t="s">
        <v>861</v>
      </c>
      <c r="D10468" t="s">
        <v>2017</v>
      </c>
      <c r="E10468" t="s">
        <v>2613</v>
      </c>
      <c r="F10468">
        <v>65141</v>
      </c>
    </row>
    <row r="10469" spans="1:6">
      <c r="A10469" t="s">
        <v>27</v>
      </c>
      <c r="B10469" t="s">
        <v>234</v>
      </c>
      <c r="C10469" t="s">
        <v>861</v>
      </c>
      <c r="D10469" t="s">
        <v>2017</v>
      </c>
      <c r="E10469" t="s">
        <v>2614</v>
      </c>
      <c r="F10469">
        <v>64727</v>
      </c>
    </row>
    <row r="10470" spans="1:6">
      <c r="A10470" t="s">
        <v>27</v>
      </c>
      <c r="B10470" t="s">
        <v>234</v>
      </c>
      <c r="C10470" t="s">
        <v>861</v>
      </c>
      <c r="D10470" t="s">
        <v>2017</v>
      </c>
      <c r="E10470" t="s">
        <v>2615</v>
      </c>
      <c r="F10470">
        <v>64227</v>
      </c>
    </row>
    <row r="10471" spans="1:6">
      <c r="A10471" t="s">
        <v>27</v>
      </c>
      <c r="B10471" t="s">
        <v>234</v>
      </c>
      <c r="C10471" t="s">
        <v>861</v>
      </c>
      <c r="D10471" t="s">
        <v>2017</v>
      </c>
      <c r="E10471" t="s">
        <v>2616</v>
      </c>
      <c r="F10471">
        <v>48608</v>
      </c>
    </row>
    <row r="10472" spans="1:6">
      <c r="A10472" t="s">
        <v>27</v>
      </c>
      <c r="B10472" t="s">
        <v>234</v>
      </c>
      <c r="C10472" t="s">
        <v>861</v>
      </c>
      <c r="D10472" t="s">
        <v>2017</v>
      </c>
      <c r="E10472" t="s">
        <v>2617</v>
      </c>
      <c r="F10472">
        <v>48309</v>
      </c>
    </row>
    <row r="10473" spans="1:6">
      <c r="A10473" t="s">
        <v>27</v>
      </c>
      <c r="B10473" t="s">
        <v>234</v>
      </c>
      <c r="C10473" t="s">
        <v>861</v>
      </c>
      <c r="D10473" t="s">
        <v>2017</v>
      </c>
      <c r="E10473" t="s">
        <v>2898</v>
      </c>
      <c r="F10473">
        <v>47922</v>
      </c>
    </row>
    <row r="10474" spans="1:6">
      <c r="A10474" t="s">
        <v>27</v>
      </c>
      <c r="B10474" t="s">
        <v>234</v>
      </c>
      <c r="C10474" t="s">
        <v>861</v>
      </c>
      <c r="D10474" t="s">
        <v>2017</v>
      </c>
      <c r="E10474" t="s">
        <v>2899</v>
      </c>
      <c r="F10474">
        <v>47745</v>
      </c>
    </row>
    <row r="10475" spans="1:6">
      <c r="A10475" t="s">
        <v>27</v>
      </c>
      <c r="B10475" t="s">
        <v>234</v>
      </c>
      <c r="C10475" t="s">
        <v>861</v>
      </c>
      <c r="D10475" t="s">
        <v>2017</v>
      </c>
      <c r="E10475" t="s">
        <v>2900</v>
      </c>
      <c r="F10475">
        <v>47428</v>
      </c>
    </row>
    <row r="10476" spans="1:6">
      <c r="A10476" t="s">
        <v>27</v>
      </c>
      <c r="B10476" t="s">
        <v>234</v>
      </c>
      <c r="C10476" t="s">
        <v>861</v>
      </c>
      <c r="D10476" t="s">
        <v>2017</v>
      </c>
      <c r="E10476" t="s">
        <v>2618</v>
      </c>
      <c r="F10476">
        <v>2021</v>
      </c>
    </row>
    <row r="10477" spans="1:6">
      <c r="A10477" t="s">
        <v>27</v>
      </c>
      <c r="B10477" t="s">
        <v>234</v>
      </c>
      <c r="C10477" t="s">
        <v>861</v>
      </c>
      <c r="D10477" t="s">
        <v>2017</v>
      </c>
      <c r="E10477" t="s">
        <v>2619</v>
      </c>
      <c r="F10477">
        <v>111951</v>
      </c>
    </row>
    <row r="10478" spans="1:6">
      <c r="A10478" t="s">
        <v>27</v>
      </c>
      <c r="B10478" t="s">
        <v>234</v>
      </c>
      <c r="C10478" t="s">
        <v>861</v>
      </c>
      <c r="D10478" t="s">
        <v>2017</v>
      </c>
      <c r="E10478" t="s">
        <v>2620</v>
      </c>
      <c r="F10478">
        <v>75569</v>
      </c>
    </row>
    <row r="10479" spans="1:6">
      <c r="A10479" t="s">
        <v>27</v>
      </c>
      <c r="B10479" t="s">
        <v>234</v>
      </c>
      <c r="C10479" t="s">
        <v>861</v>
      </c>
      <c r="D10479" t="s">
        <v>2017</v>
      </c>
      <c r="E10479" t="s">
        <v>2621</v>
      </c>
      <c r="F10479">
        <v>53885</v>
      </c>
    </row>
    <row r="10480" spans="1:6">
      <c r="A10480" t="s">
        <v>27</v>
      </c>
      <c r="B10480" t="s">
        <v>234</v>
      </c>
      <c r="C10480" t="s">
        <v>861</v>
      </c>
      <c r="D10480" t="s">
        <v>2017</v>
      </c>
      <c r="E10480" t="s">
        <v>2622</v>
      </c>
      <c r="F10480">
        <v>53761</v>
      </c>
    </row>
    <row r="10481" spans="1:6">
      <c r="A10481" t="s">
        <v>27</v>
      </c>
      <c r="B10481" t="s">
        <v>234</v>
      </c>
      <c r="C10481" t="s">
        <v>861</v>
      </c>
      <c r="D10481" t="s">
        <v>2017</v>
      </c>
      <c r="E10481" t="s">
        <v>2623</v>
      </c>
      <c r="F10481">
        <v>52953</v>
      </c>
    </row>
    <row r="10482" spans="1:6">
      <c r="A10482" t="s">
        <v>27</v>
      </c>
      <c r="B10482" t="s">
        <v>234</v>
      </c>
      <c r="C10482" t="s">
        <v>861</v>
      </c>
      <c r="D10482" t="s">
        <v>2017</v>
      </c>
      <c r="E10482" t="s">
        <v>2624</v>
      </c>
      <c r="F10482">
        <v>52829</v>
      </c>
    </row>
    <row r="10483" spans="1:6">
      <c r="A10483" t="s">
        <v>27</v>
      </c>
      <c r="B10483" t="s">
        <v>234</v>
      </c>
      <c r="C10483" t="s">
        <v>861</v>
      </c>
      <c r="D10483" t="s">
        <v>2017</v>
      </c>
      <c r="E10483" t="s">
        <v>2625</v>
      </c>
      <c r="F10483">
        <v>52715</v>
      </c>
    </row>
    <row r="10484" spans="1:6">
      <c r="A10484" t="s">
        <v>27</v>
      </c>
      <c r="B10484" t="s">
        <v>234</v>
      </c>
      <c r="C10484" t="s">
        <v>861</v>
      </c>
      <c r="D10484" t="s">
        <v>2017</v>
      </c>
      <c r="E10484" t="s">
        <v>2626</v>
      </c>
      <c r="F10484">
        <v>52603</v>
      </c>
    </row>
    <row r="10485" spans="1:6">
      <c r="A10485" t="s">
        <v>27</v>
      </c>
      <c r="B10485" t="s">
        <v>234</v>
      </c>
      <c r="C10485" t="s">
        <v>861</v>
      </c>
      <c r="D10485" t="s">
        <v>2017</v>
      </c>
      <c r="E10485" t="s">
        <v>2627</v>
      </c>
      <c r="F10485">
        <v>52524</v>
      </c>
    </row>
    <row r="10486" spans="1:6">
      <c r="A10486" t="s">
        <v>27</v>
      </c>
      <c r="B10486" t="s">
        <v>234</v>
      </c>
      <c r="C10486" t="s">
        <v>861</v>
      </c>
      <c r="D10486" t="s">
        <v>2017</v>
      </c>
      <c r="E10486" t="s">
        <v>2628</v>
      </c>
      <c r="F10486">
        <v>53313</v>
      </c>
    </row>
    <row r="10487" spans="1:6">
      <c r="A10487" t="s">
        <v>27</v>
      </c>
      <c r="B10487" t="s">
        <v>234</v>
      </c>
      <c r="C10487" t="s">
        <v>861</v>
      </c>
      <c r="D10487" t="s">
        <v>2017</v>
      </c>
      <c r="E10487" t="s">
        <v>2629</v>
      </c>
      <c r="F10487">
        <v>53249</v>
      </c>
    </row>
    <row r="10488" spans="1:6">
      <c r="A10488" t="s">
        <v>27</v>
      </c>
      <c r="B10488" t="s">
        <v>234</v>
      </c>
      <c r="C10488" t="s">
        <v>861</v>
      </c>
      <c r="D10488" t="s">
        <v>2017</v>
      </c>
      <c r="E10488" t="s">
        <v>2630</v>
      </c>
      <c r="F10488">
        <v>53122</v>
      </c>
    </row>
    <row r="10489" spans="1:6">
      <c r="A10489" t="s">
        <v>27</v>
      </c>
      <c r="B10489" t="s">
        <v>234</v>
      </c>
      <c r="C10489" t="s">
        <v>861</v>
      </c>
      <c r="D10489" t="s">
        <v>2017</v>
      </c>
      <c r="E10489" t="s">
        <v>2631</v>
      </c>
      <c r="F10489">
        <v>52997</v>
      </c>
    </row>
    <row r="10490" spans="1:6">
      <c r="A10490" t="s">
        <v>27</v>
      </c>
      <c r="B10490" t="s">
        <v>234</v>
      </c>
      <c r="C10490" t="s">
        <v>861</v>
      </c>
      <c r="D10490" t="s">
        <v>2017</v>
      </c>
      <c r="E10490" t="s">
        <v>2632</v>
      </c>
      <c r="F10490">
        <v>52939</v>
      </c>
    </row>
    <row r="10491" spans="1:6">
      <c r="A10491" t="s">
        <v>27</v>
      </c>
      <c r="B10491" t="s">
        <v>234</v>
      </c>
      <c r="C10491" t="s">
        <v>861</v>
      </c>
      <c r="D10491" t="s">
        <v>2017</v>
      </c>
      <c r="E10491" t="s">
        <v>2633</v>
      </c>
      <c r="F10491">
        <v>52809</v>
      </c>
    </row>
    <row r="10492" spans="1:6">
      <c r="A10492" t="s">
        <v>27</v>
      </c>
      <c r="B10492" t="s">
        <v>234</v>
      </c>
      <c r="C10492" t="s">
        <v>861</v>
      </c>
      <c r="D10492" t="s">
        <v>2017</v>
      </c>
      <c r="E10492" t="s">
        <v>2634</v>
      </c>
      <c r="F10492">
        <v>52564</v>
      </c>
    </row>
    <row r="10493" spans="1:6">
      <c r="A10493" t="s">
        <v>27</v>
      </c>
      <c r="B10493" t="s">
        <v>234</v>
      </c>
      <c r="C10493" t="s">
        <v>861</v>
      </c>
      <c r="D10493" t="s">
        <v>2017</v>
      </c>
      <c r="E10493" t="s">
        <v>2635</v>
      </c>
      <c r="F10493">
        <v>21519</v>
      </c>
    </row>
    <row r="10494" spans="1:6">
      <c r="A10494" t="s">
        <v>27</v>
      </c>
      <c r="B10494" t="s">
        <v>234</v>
      </c>
      <c r="C10494" t="s">
        <v>861</v>
      </c>
      <c r="D10494" t="s">
        <v>2017</v>
      </c>
      <c r="E10494" t="s">
        <v>2636</v>
      </c>
      <c r="F10494">
        <v>21435</v>
      </c>
    </row>
    <row r="10495" spans="1:6">
      <c r="A10495" t="s">
        <v>27</v>
      </c>
      <c r="B10495" t="s">
        <v>234</v>
      </c>
      <c r="C10495" t="s">
        <v>861</v>
      </c>
      <c r="D10495" t="s">
        <v>2017</v>
      </c>
      <c r="E10495" t="s">
        <v>2901</v>
      </c>
      <c r="F10495">
        <v>21355</v>
      </c>
    </row>
    <row r="10496" spans="1:6">
      <c r="A10496" t="s">
        <v>27</v>
      </c>
      <c r="B10496" t="s">
        <v>234</v>
      </c>
      <c r="C10496" t="s">
        <v>861</v>
      </c>
      <c r="D10496" t="s">
        <v>2017</v>
      </c>
      <c r="E10496" t="s">
        <v>2902</v>
      </c>
      <c r="F10496">
        <v>21310</v>
      </c>
    </row>
    <row r="10497" spans="1:6">
      <c r="A10497" t="s">
        <v>27</v>
      </c>
      <c r="B10497" t="s">
        <v>234</v>
      </c>
      <c r="C10497" t="s">
        <v>861</v>
      </c>
      <c r="D10497" t="s">
        <v>2017</v>
      </c>
      <c r="E10497" t="s">
        <v>2903</v>
      </c>
      <c r="F10497">
        <v>21231</v>
      </c>
    </row>
    <row r="10498" spans="1:6">
      <c r="A10498" t="s">
        <v>27</v>
      </c>
      <c r="B10498" t="s">
        <v>234</v>
      </c>
      <c r="C10498" t="s">
        <v>861</v>
      </c>
      <c r="D10498" t="s">
        <v>2017</v>
      </c>
      <c r="E10498" t="s">
        <v>2637</v>
      </c>
      <c r="F10498">
        <v>2022</v>
      </c>
    </row>
    <row r="10499" spans="1:6">
      <c r="A10499" t="s">
        <v>27</v>
      </c>
      <c r="B10499" t="s">
        <v>234</v>
      </c>
      <c r="C10499" t="s">
        <v>861</v>
      </c>
      <c r="D10499" t="s">
        <v>2017</v>
      </c>
      <c r="E10499" t="s">
        <v>2638</v>
      </c>
      <c r="F10499">
        <v>40885</v>
      </c>
    </row>
    <row r="10500" spans="1:6">
      <c r="A10500" t="s">
        <v>27</v>
      </c>
      <c r="B10500" t="s">
        <v>234</v>
      </c>
      <c r="C10500" t="s">
        <v>861</v>
      </c>
      <c r="D10500" t="s">
        <v>2017</v>
      </c>
      <c r="E10500" t="s">
        <v>2639</v>
      </c>
      <c r="F10500">
        <v>27643</v>
      </c>
    </row>
    <row r="10501" spans="1:6">
      <c r="A10501" t="s">
        <v>27</v>
      </c>
      <c r="B10501" t="s">
        <v>234</v>
      </c>
      <c r="C10501" t="s">
        <v>861</v>
      </c>
      <c r="D10501" t="s">
        <v>2017</v>
      </c>
      <c r="E10501" t="s">
        <v>2640</v>
      </c>
      <c r="F10501">
        <v>19013</v>
      </c>
    </row>
    <row r="10502" spans="1:6">
      <c r="A10502" t="s">
        <v>27</v>
      </c>
      <c r="B10502" t="s">
        <v>234</v>
      </c>
      <c r="C10502" t="s">
        <v>861</v>
      </c>
      <c r="D10502" t="s">
        <v>2017</v>
      </c>
      <c r="E10502" t="s">
        <v>2641</v>
      </c>
      <c r="F10502">
        <v>19007</v>
      </c>
    </row>
    <row r="10503" spans="1:6">
      <c r="A10503" t="s">
        <v>27</v>
      </c>
      <c r="B10503" t="s">
        <v>234</v>
      </c>
      <c r="C10503" t="s">
        <v>861</v>
      </c>
      <c r="D10503" t="s">
        <v>2017</v>
      </c>
      <c r="E10503" t="s">
        <v>2642</v>
      </c>
      <c r="F10503">
        <v>18984</v>
      </c>
    </row>
    <row r="10504" spans="1:6">
      <c r="A10504" t="s">
        <v>27</v>
      </c>
      <c r="B10504" t="s">
        <v>234</v>
      </c>
      <c r="C10504" t="s">
        <v>861</v>
      </c>
      <c r="D10504" t="s">
        <v>2017</v>
      </c>
      <c r="E10504" t="s">
        <v>2643</v>
      </c>
      <c r="F10504">
        <v>18957</v>
      </c>
    </row>
    <row r="10505" spans="1:6">
      <c r="A10505" t="s">
        <v>27</v>
      </c>
      <c r="B10505" t="s">
        <v>234</v>
      </c>
      <c r="C10505" t="s">
        <v>861</v>
      </c>
      <c r="D10505" t="s">
        <v>2017</v>
      </c>
      <c r="E10505" t="s">
        <v>2644</v>
      </c>
      <c r="F10505">
        <v>18891</v>
      </c>
    </row>
    <row r="10506" spans="1:6">
      <c r="A10506" t="s">
        <v>27</v>
      </c>
      <c r="B10506" t="s">
        <v>234</v>
      </c>
      <c r="C10506" t="s">
        <v>861</v>
      </c>
      <c r="D10506" t="s">
        <v>2017</v>
      </c>
      <c r="E10506" t="s">
        <v>2645</v>
      </c>
      <c r="F10506">
        <v>18860</v>
      </c>
    </row>
    <row r="10507" spans="1:6">
      <c r="A10507" t="s">
        <v>27</v>
      </c>
      <c r="B10507" t="s">
        <v>234</v>
      </c>
      <c r="C10507" t="s">
        <v>861</v>
      </c>
      <c r="D10507" t="s">
        <v>2017</v>
      </c>
      <c r="E10507" t="s">
        <v>2646</v>
      </c>
      <c r="F10507">
        <v>18845</v>
      </c>
    </row>
    <row r="10508" spans="1:6">
      <c r="A10508" t="s">
        <v>27</v>
      </c>
      <c r="B10508" t="s">
        <v>234</v>
      </c>
      <c r="C10508" t="s">
        <v>861</v>
      </c>
      <c r="D10508" t="s">
        <v>2017</v>
      </c>
      <c r="E10508" t="s">
        <v>2647</v>
      </c>
      <c r="F10508">
        <v>19038</v>
      </c>
    </row>
    <row r="10509" spans="1:6">
      <c r="A10509" t="s">
        <v>27</v>
      </c>
      <c r="B10509" t="s">
        <v>234</v>
      </c>
      <c r="C10509" t="s">
        <v>861</v>
      </c>
      <c r="D10509" t="s">
        <v>2017</v>
      </c>
      <c r="E10509" t="s">
        <v>2648</v>
      </c>
      <c r="F10509">
        <v>19013</v>
      </c>
    </row>
    <row r="10510" spans="1:6">
      <c r="A10510" t="s">
        <v>27</v>
      </c>
      <c r="B10510" t="s">
        <v>234</v>
      </c>
      <c r="C10510" t="s">
        <v>861</v>
      </c>
      <c r="D10510" t="s">
        <v>2017</v>
      </c>
      <c r="E10510" t="s">
        <v>2649</v>
      </c>
      <c r="F10510">
        <v>18975</v>
      </c>
    </row>
    <row r="10511" spans="1:6">
      <c r="A10511" t="s">
        <v>27</v>
      </c>
      <c r="B10511" t="s">
        <v>234</v>
      </c>
      <c r="C10511" t="s">
        <v>861</v>
      </c>
      <c r="D10511" t="s">
        <v>2017</v>
      </c>
      <c r="E10511" t="s">
        <v>2650</v>
      </c>
      <c r="F10511">
        <v>18931</v>
      </c>
    </row>
    <row r="10512" spans="1:6">
      <c r="A10512" t="s">
        <v>27</v>
      </c>
      <c r="B10512" t="s">
        <v>234</v>
      </c>
      <c r="C10512" t="s">
        <v>861</v>
      </c>
      <c r="D10512" t="s">
        <v>2017</v>
      </c>
      <c r="E10512" t="s">
        <v>2651</v>
      </c>
      <c r="F10512">
        <v>18914</v>
      </c>
    </row>
    <row r="10513" spans="1:6">
      <c r="A10513" t="s">
        <v>27</v>
      </c>
      <c r="B10513" t="s">
        <v>234</v>
      </c>
      <c r="C10513" t="s">
        <v>861</v>
      </c>
      <c r="D10513" t="s">
        <v>2017</v>
      </c>
      <c r="E10513" t="s">
        <v>2652</v>
      </c>
      <c r="F10513">
        <v>18883</v>
      </c>
    </row>
    <row r="10514" spans="1:6">
      <c r="A10514" t="s">
        <v>27</v>
      </c>
      <c r="B10514" t="s">
        <v>234</v>
      </c>
      <c r="C10514" t="s">
        <v>861</v>
      </c>
      <c r="D10514" t="s">
        <v>2017</v>
      </c>
      <c r="E10514" t="s">
        <v>2653</v>
      </c>
      <c r="F10514">
        <v>18820</v>
      </c>
    </row>
    <row r="10515" spans="1:6">
      <c r="A10515" t="s">
        <v>27</v>
      </c>
      <c r="B10515" t="s">
        <v>234</v>
      </c>
      <c r="C10515" t="s">
        <v>861</v>
      </c>
      <c r="D10515" t="s">
        <v>2017</v>
      </c>
      <c r="E10515" t="s">
        <v>2654</v>
      </c>
      <c r="F10515">
        <v>5437</v>
      </c>
    </row>
    <row r="10516" spans="1:6">
      <c r="A10516" t="s">
        <v>27</v>
      </c>
      <c r="B10516" t="s">
        <v>234</v>
      </c>
      <c r="C10516" t="s">
        <v>861</v>
      </c>
      <c r="D10516" t="s">
        <v>2017</v>
      </c>
      <c r="E10516" t="s">
        <v>2655</v>
      </c>
      <c r="F10516">
        <v>5402</v>
      </c>
    </row>
    <row r="10517" spans="1:6">
      <c r="A10517" t="s">
        <v>27</v>
      </c>
      <c r="B10517" t="s">
        <v>234</v>
      </c>
      <c r="C10517" t="s">
        <v>861</v>
      </c>
      <c r="D10517" t="s">
        <v>2017</v>
      </c>
      <c r="E10517" t="s">
        <v>2904</v>
      </c>
      <c r="F10517">
        <v>5384</v>
      </c>
    </row>
    <row r="10518" spans="1:6">
      <c r="A10518" t="s">
        <v>27</v>
      </c>
      <c r="B10518" t="s">
        <v>234</v>
      </c>
      <c r="C10518" t="s">
        <v>861</v>
      </c>
      <c r="D10518" t="s">
        <v>2017</v>
      </c>
      <c r="E10518" t="s">
        <v>2905</v>
      </c>
      <c r="F10518">
        <v>5388</v>
      </c>
    </row>
    <row r="10519" spans="1:6">
      <c r="A10519" t="s">
        <v>27</v>
      </c>
      <c r="B10519" t="s">
        <v>234</v>
      </c>
      <c r="C10519" t="s">
        <v>861</v>
      </c>
      <c r="D10519" t="s">
        <v>2017</v>
      </c>
      <c r="E10519" t="s">
        <v>2906</v>
      </c>
      <c r="F10519">
        <v>5370</v>
      </c>
    </row>
    <row r="10520" spans="1:6">
      <c r="A10520" t="s">
        <v>27</v>
      </c>
      <c r="B10520" t="s">
        <v>234</v>
      </c>
      <c r="C10520" t="s">
        <v>861</v>
      </c>
      <c r="D10520" t="s">
        <v>2017</v>
      </c>
      <c r="E10520" t="s">
        <v>2656</v>
      </c>
      <c r="F10520">
        <v>2023</v>
      </c>
    </row>
    <row r="10521" spans="1:6">
      <c r="A10521" t="s">
        <v>27</v>
      </c>
      <c r="B10521" t="s">
        <v>234</v>
      </c>
      <c r="C10521" t="s">
        <v>861</v>
      </c>
      <c r="D10521" t="s">
        <v>2017</v>
      </c>
      <c r="E10521" t="s">
        <v>2657</v>
      </c>
      <c r="F10521">
        <v>86649</v>
      </c>
    </row>
    <row r="10522" spans="1:6">
      <c r="A10522" t="s">
        <v>27</v>
      </c>
      <c r="B10522" t="s">
        <v>234</v>
      </c>
      <c r="C10522" t="s">
        <v>861</v>
      </c>
      <c r="D10522" t="s">
        <v>2017</v>
      </c>
      <c r="E10522" t="s">
        <v>2658</v>
      </c>
      <c r="F10522">
        <v>69211</v>
      </c>
    </row>
    <row r="10523" spans="1:6">
      <c r="A10523" t="s">
        <v>27</v>
      </c>
      <c r="B10523" t="s">
        <v>234</v>
      </c>
      <c r="C10523" t="s">
        <v>861</v>
      </c>
      <c r="D10523" t="s">
        <v>2017</v>
      </c>
      <c r="E10523" t="s">
        <v>2659</v>
      </c>
      <c r="F10523">
        <v>51379</v>
      </c>
    </row>
    <row r="10524" spans="1:6">
      <c r="A10524" t="s">
        <v>27</v>
      </c>
      <c r="B10524" t="s">
        <v>234</v>
      </c>
      <c r="C10524" t="s">
        <v>861</v>
      </c>
      <c r="D10524" t="s">
        <v>2017</v>
      </c>
      <c r="E10524" t="s">
        <v>2660</v>
      </c>
      <c r="F10524">
        <v>50468</v>
      </c>
    </row>
    <row r="10525" spans="1:6">
      <c r="A10525" t="s">
        <v>27</v>
      </c>
      <c r="B10525" t="s">
        <v>234</v>
      </c>
      <c r="C10525" t="s">
        <v>861</v>
      </c>
      <c r="D10525" t="s">
        <v>2017</v>
      </c>
      <c r="E10525" t="s">
        <v>2661</v>
      </c>
      <c r="F10525">
        <v>50440</v>
      </c>
    </row>
    <row r="10526" spans="1:6">
      <c r="A10526" t="s">
        <v>27</v>
      </c>
      <c r="B10526" t="s">
        <v>234</v>
      </c>
      <c r="C10526" t="s">
        <v>861</v>
      </c>
      <c r="D10526" t="s">
        <v>2017</v>
      </c>
      <c r="E10526" t="s">
        <v>2662</v>
      </c>
      <c r="F10526">
        <v>50273</v>
      </c>
    </row>
    <row r="10527" spans="1:6">
      <c r="A10527" t="s">
        <v>27</v>
      </c>
      <c r="B10527" t="s">
        <v>234</v>
      </c>
      <c r="C10527" t="s">
        <v>861</v>
      </c>
      <c r="D10527" t="s">
        <v>2017</v>
      </c>
      <c r="E10527" t="s">
        <v>2663</v>
      </c>
      <c r="F10527">
        <v>50043</v>
      </c>
    </row>
    <row r="10528" spans="1:6">
      <c r="A10528" t="s">
        <v>27</v>
      </c>
      <c r="B10528" t="s">
        <v>234</v>
      </c>
      <c r="C10528" t="s">
        <v>861</v>
      </c>
      <c r="D10528" t="s">
        <v>2017</v>
      </c>
      <c r="E10528" t="s">
        <v>2664</v>
      </c>
      <c r="F10528">
        <v>49883</v>
      </c>
    </row>
    <row r="10529" spans="1:6">
      <c r="A10529" t="s">
        <v>27</v>
      </c>
      <c r="B10529" t="s">
        <v>234</v>
      </c>
      <c r="C10529" t="s">
        <v>861</v>
      </c>
      <c r="D10529" t="s">
        <v>2017</v>
      </c>
      <c r="E10529" t="s">
        <v>2665</v>
      </c>
      <c r="F10529">
        <v>49773</v>
      </c>
    </row>
    <row r="10530" spans="1:6">
      <c r="A10530" t="s">
        <v>27</v>
      </c>
      <c r="B10530" t="s">
        <v>234</v>
      </c>
      <c r="C10530" t="s">
        <v>861</v>
      </c>
      <c r="D10530" t="s">
        <v>2017</v>
      </c>
      <c r="E10530" t="s">
        <v>2666</v>
      </c>
      <c r="F10530">
        <v>49855</v>
      </c>
    </row>
    <row r="10531" spans="1:6">
      <c r="A10531" t="s">
        <v>27</v>
      </c>
      <c r="B10531" t="s">
        <v>234</v>
      </c>
      <c r="C10531" t="s">
        <v>861</v>
      </c>
      <c r="D10531" t="s">
        <v>2017</v>
      </c>
      <c r="E10531" t="s">
        <v>2667</v>
      </c>
      <c r="F10531">
        <v>49727</v>
      </c>
    </row>
    <row r="10532" spans="1:6">
      <c r="A10532" t="s">
        <v>27</v>
      </c>
      <c r="B10532" t="s">
        <v>234</v>
      </c>
      <c r="C10532" t="s">
        <v>861</v>
      </c>
      <c r="D10532" t="s">
        <v>2017</v>
      </c>
      <c r="E10532" t="s">
        <v>2668</v>
      </c>
      <c r="F10532">
        <v>49518</v>
      </c>
    </row>
    <row r="10533" spans="1:6">
      <c r="A10533" t="s">
        <v>27</v>
      </c>
      <c r="B10533" t="s">
        <v>234</v>
      </c>
      <c r="C10533" t="s">
        <v>861</v>
      </c>
      <c r="D10533" t="s">
        <v>2017</v>
      </c>
      <c r="E10533" t="s">
        <v>2669</v>
      </c>
      <c r="F10533">
        <v>49331</v>
      </c>
    </row>
    <row r="10534" spans="1:6">
      <c r="A10534" t="s">
        <v>27</v>
      </c>
      <c r="B10534" t="s">
        <v>234</v>
      </c>
      <c r="C10534" t="s">
        <v>861</v>
      </c>
      <c r="D10534" t="s">
        <v>2017</v>
      </c>
      <c r="E10534" t="s">
        <v>2670</v>
      </c>
      <c r="F10534">
        <v>49255</v>
      </c>
    </row>
    <row r="10535" spans="1:6">
      <c r="A10535" t="s">
        <v>27</v>
      </c>
      <c r="B10535" t="s">
        <v>234</v>
      </c>
      <c r="C10535" t="s">
        <v>861</v>
      </c>
      <c r="D10535" t="s">
        <v>2017</v>
      </c>
      <c r="E10535" t="s">
        <v>2671</v>
      </c>
      <c r="F10535">
        <v>49071</v>
      </c>
    </row>
    <row r="10536" spans="1:6">
      <c r="A10536" t="s">
        <v>27</v>
      </c>
      <c r="B10536" t="s">
        <v>234</v>
      </c>
      <c r="C10536" t="s">
        <v>861</v>
      </c>
      <c r="D10536" t="s">
        <v>2017</v>
      </c>
      <c r="E10536" t="s">
        <v>2672</v>
      </c>
      <c r="F10536">
        <v>48772</v>
      </c>
    </row>
    <row r="10537" spans="1:6">
      <c r="A10537" t="s">
        <v>27</v>
      </c>
      <c r="B10537" t="s">
        <v>234</v>
      </c>
      <c r="C10537" t="s">
        <v>861</v>
      </c>
      <c r="D10537" t="s">
        <v>2017</v>
      </c>
      <c r="E10537" t="s">
        <v>2673</v>
      </c>
      <c r="F10537">
        <v>24066</v>
      </c>
    </row>
    <row r="10538" spans="1:6">
      <c r="A10538" t="s">
        <v>27</v>
      </c>
      <c r="B10538" t="s">
        <v>234</v>
      </c>
      <c r="C10538" t="s">
        <v>861</v>
      </c>
      <c r="D10538" t="s">
        <v>2017</v>
      </c>
      <c r="E10538" t="s">
        <v>2674</v>
      </c>
      <c r="F10538">
        <v>23925</v>
      </c>
    </row>
    <row r="10539" spans="1:6">
      <c r="A10539" t="s">
        <v>27</v>
      </c>
      <c r="B10539" t="s">
        <v>234</v>
      </c>
      <c r="C10539" t="s">
        <v>861</v>
      </c>
      <c r="D10539" t="s">
        <v>2017</v>
      </c>
      <c r="E10539" t="s">
        <v>2907</v>
      </c>
      <c r="F10539">
        <v>23768</v>
      </c>
    </row>
    <row r="10540" spans="1:6">
      <c r="A10540" t="s">
        <v>27</v>
      </c>
      <c r="B10540" t="s">
        <v>234</v>
      </c>
      <c r="C10540" t="s">
        <v>861</v>
      </c>
      <c r="D10540" t="s">
        <v>2017</v>
      </c>
      <c r="E10540" t="s">
        <v>2908</v>
      </c>
      <c r="F10540">
        <v>23692</v>
      </c>
    </row>
    <row r="10541" spans="1:6">
      <c r="A10541" t="s">
        <v>27</v>
      </c>
      <c r="B10541" t="s">
        <v>234</v>
      </c>
      <c r="C10541" t="s">
        <v>861</v>
      </c>
      <c r="D10541" t="s">
        <v>2017</v>
      </c>
      <c r="E10541" t="s">
        <v>2909</v>
      </c>
      <c r="F10541">
        <v>23478</v>
      </c>
    </row>
    <row r="10542" spans="1:6">
      <c r="A10542" t="s">
        <v>27</v>
      </c>
      <c r="B10542" t="s">
        <v>234</v>
      </c>
      <c r="C10542" t="s">
        <v>861</v>
      </c>
      <c r="D10542" t="s">
        <v>2017</v>
      </c>
      <c r="E10542" t="s">
        <v>2675</v>
      </c>
      <c r="F10542">
        <v>2024</v>
      </c>
    </row>
    <row r="10543" spans="1:6">
      <c r="A10543" t="s">
        <v>27</v>
      </c>
      <c r="B10543" t="s">
        <v>234</v>
      </c>
      <c r="C10543" t="s">
        <v>861</v>
      </c>
      <c r="D10543" t="s">
        <v>2017</v>
      </c>
      <c r="E10543" t="s">
        <v>2676</v>
      </c>
      <c r="F10543">
        <v>36438</v>
      </c>
    </row>
    <row r="10544" spans="1:6">
      <c r="A10544" t="s">
        <v>27</v>
      </c>
      <c r="B10544" t="s">
        <v>234</v>
      </c>
      <c r="C10544" t="s">
        <v>861</v>
      </c>
      <c r="D10544" t="s">
        <v>2017</v>
      </c>
      <c r="E10544" t="s">
        <v>2677</v>
      </c>
      <c r="F10544">
        <v>27346</v>
      </c>
    </row>
    <row r="10545" spans="1:6">
      <c r="A10545" t="s">
        <v>27</v>
      </c>
      <c r="B10545" t="s">
        <v>234</v>
      </c>
      <c r="C10545" t="s">
        <v>861</v>
      </c>
      <c r="D10545" t="s">
        <v>2017</v>
      </c>
      <c r="E10545" t="s">
        <v>2678</v>
      </c>
      <c r="F10545">
        <v>21578</v>
      </c>
    </row>
    <row r="10546" spans="1:6">
      <c r="A10546" t="s">
        <v>27</v>
      </c>
      <c r="B10546" t="s">
        <v>234</v>
      </c>
      <c r="C10546" t="s">
        <v>861</v>
      </c>
      <c r="D10546" t="s">
        <v>2017</v>
      </c>
      <c r="E10546" t="s">
        <v>2679</v>
      </c>
      <c r="F10546">
        <v>21491</v>
      </c>
    </row>
    <row r="10547" spans="1:6">
      <c r="A10547" t="s">
        <v>27</v>
      </c>
      <c r="B10547" t="s">
        <v>234</v>
      </c>
      <c r="C10547" t="s">
        <v>861</v>
      </c>
      <c r="D10547" t="s">
        <v>2017</v>
      </c>
      <c r="E10547" t="s">
        <v>2680</v>
      </c>
      <c r="F10547">
        <v>21369</v>
      </c>
    </row>
    <row r="10548" spans="1:6">
      <c r="A10548" t="s">
        <v>27</v>
      </c>
      <c r="B10548" t="s">
        <v>234</v>
      </c>
      <c r="C10548" t="s">
        <v>861</v>
      </c>
      <c r="D10548" t="s">
        <v>2017</v>
      </c>
      <c r="E10548" t="s">
        <v>2681</v>
      </c>
      <c r="F10548">
        <v>21223</v>
      </c>
    </row>
    <row r="10549" spans="1:6">
      <c r="A10549" t="s">
        <v>27</v>
      </c>
      <c r="B10549" t="s">
        <v>234</v>
      </c>
      <c r="C10549" t="s">
        <v>861</v>
      </c>
      <c r="D10549" t="s">
        <v>2017</v>
      </c>
      <c r="E10549" t="s">
        <v>2682</v>
      </c>
      <c r="F10549">
        <v>20892</v>
      </c>
    </row>
    <row r="10550" spans="1:6">
      <c r="A10550" t="s">
        <v>27</v>
      </c>
      <c r="B10550" t="s">
        <v>234</v>
      </c>
      <c r="C10550" t="s">
        <v>861</v>
      </c>
      <c r="D10550" t="s">
        <v>2017</v>
      </c>
      <c r="E10550" t="s">
        <v>2683</v>
      </c>
      <c r="F10550">
        <v>20759</v>
      </c>
    </row>
    <row r="10551" spans="1:6">
      <c r="A10551" t="s">
        <v>27</v>
      </c>
      <c r="B10551" t="s">
        <v>234</v>
      </c>
      <c r="C10551" t="s">
        <v>861</v>
      </c>
      <c r="D10551" t="s">
        <v>2017</v>
      </c>
      <c r="E10551" t="s">
        <v>2684</v>
      </c>
      <c r="F10551">
        <v>20645</v>
      </c>
    </row>
    <row r="10552" spans="1:6">
      <c r="A10552" t="s">
        <v>27</v>
      </c>
      <c r="B10552" t="s">
        <v>234</v>
      </c>
      <c r="C10552" t="s">
        <v>861</v>
      </c>
      <c r="D10552" t="s">
        <v>2017</v>
      </c>
      <c r="E10552" t="s">
        <v>2685</v>
      </c>
      <c r="F10552">
        <v>21443</v>
      </c>
    </row>
    <row r="10553" spans="1:6">
      <c r="A10553" t="s">
        <v>27</v>
      </c>
      <c r="B10553" t="s">
        <v>234</v>
      </c>
      <c r="C10553" t="s">
        <v>861</v>
      </c>
      <c r="D10553" t="s">
        <v>2017</v>
      </c>
      <c r="E10553" t="s">
        <v>2686</v>
      </c>
      <c r="F10553">
        <v>21339</v>
      </c>
    </row>
    <row r="10554" spans="1:6">
      <c r="A10554" t="s">
        <v>27</v>
      </c>
      <c r="B10554" t="s">
        <v>234</v>
      </c>
      <c r="C10554" t="s">
        <v>861</v>
      </c>
      <c r="D10554" t="s">
        <v>2017</v>
      </c>
      <c r="E10554" t="s">
        <v>2687</v>
      </c>
      <c r="F10554">
        <v>21174</v>
      </c>
    </row>
    <row r="10555" spans="1:6">
      <c r="A10555" t="s">
        <v>27</v>
      </c>
      <c r="B10555" t="s">
        <v>234</v>
      </c>
      <c r="C10555" t="s">
        <v>861</v>
      </c>
      <c r="D10555" t="s">
        <v>2017</v>
      </c>
      <c r="E10555" t="s">
        <v>2688</v>
      </c>
      <c r="F10555">
        <v>21018</v>
      </c>
    </row>
    <row r="10556" spans="1:6">
      <c r="A10556" t="s">
        <v>27</v>
      </c>
      <c r="B10556" t="s">
        <v>234</v>
      </c>
      <c r="C10556" t="s">
        <v>861</v>
      </c>
      <c r="D10556" t="s">
        <v>2017</v>
      </c>
      <c r="E10556" t="s">
        <v>2689</v>
      </c>
      <c r="F10556">
        <v>20915</v>
      </c>
    </row>
    <row r="10557" spans="1:6">
      <c r="A10557" t="s">
        <v>27</v>
      </c>
      <c r="B10557" t="s">
        <v>234</v>
      </c>
      <c r="C10557" t="s">
        <v>861</v>
      </c>
      <c r="D10557" t="s">
        <v>2017</v>
      </c>
      <c r="E10557" t="s">
        <v>2690</v>
      </c>
      <c r="F10557">
        <v>20752</v>
      </c>
    </row>
    <row r="10558" spans="1:6">
      <c r="A10558" t="s">
        <v>27</v>
      </c>
      <c r="B10558" t="s">
        <v>234</v>
      </c>
      <c r="C10558" t="s">
        <v>861</v>
      </c>
      <c r="D10558" t="s">
        <v>2017</v>
      </c>
      <c r="E10558" t="s">
        <v>2691</v>
      </c>
      <c r="F10558">
        <v>20557</v>
      </c>
    </row>
    <row r="10559" spans="1:6">
      <c r="A10559" t="s">
        <v>27</v>
      </c>
      <c r="B10559" t="s">
        <v>234</v>
      </c>
      <c r="C10559" t="s">
        <v>861</v>
      </c>
      <c r="D10559" t="s">
        <v>2017</v>
      </c>
      <c r="E10559" t="s">
        <v>2692</v>
      </c>
      <c r="F10559">
        <v>11320</v>
      </c>
    </row>
    <row r="10560" spans="1:6">
      <c r="A10560" t="s">
        <v>27</v>
      </c>
      <c r="B10560" t="s">
        <v>234</v>
      </c>
      <c r="C10560" t="s">
        <v>861</v>
      </c>
      <c r="D10560" t="s">
        <v>2017</v>
      </c>
      <c r="E10560" t="s">
        <v>2693</v>
      </c>
      <c r="F10560">
        <v>11188</v>
      </c>
    </row>
    <row r="10561" spans="1:6">
      <c r="A10561" t="s">
        <v>27</v>
      </c>
      <c r="B10561" t="s">
        <v>234</v>
      </c>
      <c r="C10561" t="s">
        <v>861</v>
      </c>
      <c r="D10561" t="s">
        <v>2017</v>
      </c>
      <c r="E10561" t="s">
        <v>2910</v>
      </c>
      <c r="F10561">
        <v>11113</v>
      </c>
    </row>
    <row r="10562" spans="1:6">
      <c r="A10562" t="s">
        <v>27</v>
      </c>
      <c r="B10562" t="s">
        <v>234</v>
      </c>
      <c r="C10562" t="s">
        <v>861</v>
      </c>
      <c r="D10562" t="s">
        <v>2017</v>
      </c>
      <c r="E10562" t="s">
        <v>2911</v>
      </c>
      <c r="F10562">
        <v>11106</v>
      </c>
    </row>
    <row r="10563" spans="1:6">
      <c r="A10563" t="s">
        <v>27</v>
      </c>
      <c r="B10563" t="s">
        <v>234</v>
      </c>
      <c r="C10563" t="s">
        <v>861</v>
      </c>
      <c r="D10563" t="s">
        <v>2017</v>
      </c>
      <c r="E10563" t="s">
        <v>2912</v>
      </c>
      <c r="F10563">
        <v>10987</v>
      </c>
    </row>
    <row r="10564" spans="1:6">
      <c r="A10564" t="s">
        <v>27</v>
      </c>
      <c r="B10564" t="s">
        <v>234</v>
      </c>
      <c r="C10564" t="s">
        <v>861</v>
      </c>
      <c r="D10564" t="s">
        <v>2017</v>
      </c>
      <c r="E10564" t="s">
        <v>2694</v>
      </c>
      <c r="F10564">
        <v>2025</v>
      </c>
    </row>
    <row r="10565" spans="1:6">
      <c r="A10565" t="s">
        <v>27</v>
      </c>
      <c r="B10565" t="s">
        <v>234</v>
      </c>
      <c r="C10565" t="s">
        <v>861</v>
      </c>
      <c r="D10565" t="s">
        <v>2017</v>
      </c>
      <c r="E10565" t="s">
        <v>2695</v>
      </c>
      <c r="F10565">
        <v>1371</v>
      </c>
    </row>
    <row r="10566" spans="1:6">
      <c r="A10566" t="s">
        <v>27</v>
      </c>
      <c r="B10566" t="s">
        <v>234</v>
      </c>
      <c r="C10566" t="s">
        <v>861</v>
      </c>
      <c r="D10566" t="s">
        <v>2017</v>
      </c>
      <c r="E10566" t="s">
        <v>2696</v>
      </c>
      <c r="F10566">
        <v>2255</v>
      </c>
    </row>
    <row r="10567" spans="1:6">
      <c r="A10567" t="s">
        <v>27</v>
      </c>
      <c r="B10567" t="s">
        <v>234</v>
      </c>
      <c r="C10567" t="s">
        <v>861</v>
      </c>
      <c r="D10567" t="s">
        <v>2017</v>
      </c>
      <c r="E10567" t="s">
        <v>2697</v>
      </c>
      <c r="F10567">
        <v>3063</v>
      </c>
    </row>
    <row r="10568" spans="1:6">
      <c r="A10568" t="s">
        <v>27</v>
      </c>
      <c r="B10568" t="s">
        <v>234</v>
      </c>
      <c r="C10568" t="s">
        <v>861</v>
      </c>
      <c r="D10568" t="s">
        <v>2017</v>
      </c>
      <c r="E10568" t="s">
        <v>2698</v>
      </c>
      <c r="F10568">
        <v>3705</v>
      </c>
    </row>
    <row r="10569" spans="1:6">
      <c r="A10569" t="s">
        <v>27</v>
      </c>
      <c r="B10569" t="s">
        <v>234</v>
      </c>
      <c r="C10569" t="s">
        <v>861</v>
      </c>
      <c r="D10569" t="s">
        <v>2017</v>
      </c>
      <c r="E10569" t="s">
        <v>2699</v>
      </c>
      <c r="F10569">
        <v>4679</v>
      </c>
    </row>
    <row r="10570" spans="1:6">
      <c r="A10570" t="s">
        <v>27</v>
      </c>
      <c r="B10570" t="s">
        <v>234</v>
      </c>
      <c r="C10570" t="s">
        <v>861</v>
      </c>
      <c r="D10570" t="s">
        <v>2017</v>
      </c>
      <c r="E10570" t="s">
        <v>2700</v>
      </c>
      <c r="F10570">
        <v>5046</v>
      </c>
    </row>
    <row r="10571" spans="1:6">
      <c r="A10571" t="s">
        <v>27</v>
      </c>
      <c r="B10571" t="s">
        <v>234</v>
      </c>
      <c r="C10571" t="s">
        <v>861</v>
      </c>
      <c r="D10571" t="s">
        <v>2017</v>
      </c>
      <c r="E10571" t="s">
        <v>2701</v>
      </c>
      <c r="F10571">
        <v>5106</v>
      </c>
    </row>
    <row r="10572" spans="1:6">
      <c r="A10572" t="s">
        <v>27</v>
      </c>
      <c r="B10572" t="s">
        <v>234</v>
      </c>
      <c r="C10572" t="s">
        <v>861</v>
      </c>
      <c r="D10572" t="s">
        <v>2017</v>
      </c>
      <c r="E10572" t="s">
        <v>2702</v>
      </c>
      <c r="F10572">
        <v>5123</v>
      </c>
    </row>
    <row r="10573" spans="1:6">
      <c r="A10573" t="s">
        <v>27</v>
      </c>
      <c r="B10573" t="s">
        <v>234</v>
      </c>
      <c r="C10573" t="s">
        <v>861</v>
      </c>
      <c r="D10573" t="s">
        <v>2017</v>
      </c>
      <c r="E10573" t="s">
        <v>2703</v>
      </c>
      <c r="F10573">
        <v>5184</v>
      </c>
    </row>
    <row r="10574" spans="1:6">
      <c r="A10574" t="s">
        <v>27</v>
      </c>
      <c r="B10574" t="s">
        <v>234</v>
      </c>
      <c r="C10574" t="s">
        <v>861</v>
      </c>
      <c r="D10574" t="s">
        <v>2017</v>
      </c>
      <c r="E10574" t="s">
        <v>2704</v>
      </c>
      <c r="F10574">
        <v>5577</v>
      </c>
    </row>
    <row r="10575" spans="1:6">
      <c r="A10575" t="s">
        <v>27</v>
      </c>
      <c r="B10575" t="s">
        <v>234</v>
      </c>
      <c r="C10575" t="s">
        <v>861</v>
      </c>
      <c r="D10575" t="s">
        <v>2017</v>
      </c>
      <c r="E10575" t="s">
        <v>2705</v>
      </c>
      <c r="F10575">
        <v>7554</v>
      </c>
    </row>
    <row r="10576" spans="1:6">
      <c r="A10576" t="s">
        <v>27</v>
      </c>
      <c r="B10576" t="s">
        <v>234</v>
      </c>
      <c r="C10576" t="s">
        <v>861</v>
      </c>
      <c r="D10576" t="s">
        <v>2017</v>
      </c>
      <c r="E10576" t="s">
        <v>2706</v>
      </c>
      <c r="F10576">
        <v>8547</v>
      </c>
    </row>
    <row r="10577" spans="1:6">
      <c r="A10577" t="s">
        <v>27</v>
      </c>
      <c r="B10577" t="s">
        <v>234</v>
      </c>
      <c r="C10577" t="s">
        <v>861</v>
      </c>
      <c r="D10577" t="s">
        <v>2017</v>
      </c>
      <c r="E10577" t="s">
        <v>2707</v>
      </c>
      <c r="F10577">
        <v>8566</v>
      </c>
    </row>
    <row r="10578" spans="1:6">
      <c r="A10578" t="s">
        <v>27</v>
      </c>
      <c r="B10578" t="s">
        <v>234</v>
      </c>
      <c r="C10578" t="s">
        <v>861</v>
      </c>
      <c r="D10578" t="s">
        <v>2017</v>
      </c>
      <c r="E10578" t="s">
        <v>2708</v>
      </c>
      <c r="F10578">
        <v>8542</v>
      </c>
    </row>
    <row r="10579" spans="1:6">
      <c r="A10579" t="s">
        <v>27</v>
      </c>
      <c r="B10579" t="s">
        <v>234</v>
      </c>
      <c r="C10579" t="s">
        <v>861</v>
      </c>
      <c r="D10579" t="s">
        <v>2017</v>
      </c>
      <c r="E10579" t="s">
        <v>2709</v>
      </c>
      <c r="F10579">
        <v>8460</v>
      </c>
    </row>
    <row r="10580" spans="1:6">
      <c r="A10580" t="s">
        <v>27</v>
      </c>
      <c r="B10580" t="s">
        <v>234</v>
      </c>
      <c r="C10580" t="s">
        <v>861</v>
      </c>
      <c r="D10580" t="s">
        <v>2017</v>
      </c>
      <c r="E10580" t="s">
        <v>2710</v>
      </c>
      <c r="F10580">
        <v>8370</v>
      </c>
    </row>
    <row r="10581" spans="1:6">
      <c r="A10581" t="s">
        <v>27</v>
      </c>
      <c r="B10581" t="s">
        <v>234</v>
      </c>
      <c r="C10581" t="s">
        <v>861</v>
      </c>
      <c r="D10581" t="s">
        <v>2017</v>
      </c>
      <c r="E10581" t="s">
        <v>2711</v>
      </c>
      <c r="F10581">
        <v>8349</v>
      </c>
    </row>
    <row r="10582" spans="1:6">
      <c r="A10582" t="s">
        <v>27</v>
      </c>
      <c r="B10582" t="s">
        <v>234</v>
      </c>
      <c r="C10582" t="s">
        <v>861</v>
      </c>
      <c r="D10582" t="s">
        <v>2017</v>
      </c>
      <c r="E10582" t="s">
        <v>2712</v>
      </c>
      <c r="F10582">
        <v>8305</v>
      </c>
    </row>
    <row r="10583" spans="1:6">
      <c r="A10583" t="s">
        <v>27</v>
      </c>
      <c r="B10583" t="s">
        <v>234</v>
      </c>
      <c r="C10583" t="s">
        <v>861</v>
      </c>
      <c r="D10583" t="s">
        <v>2017</v>
      </c>
      <c r="E10583" t="s">
        <v>2913</v>
      </c>
      <c r="F10583">
        <v>8247</v>
      </c>
    </row>
    <row r="10584" spans="1:6">
      <c r="A10584" t="s">
        <v>27</v>
      </c>
      <c r="B10584" t="s">
        <v>234</v>
      </c>
      <c r="C10584" t="s">
        <v>861</v>
      </c>
      <c r="D10584" t="s">
        <v>2017</v>
      </c>
      <c r="E10584" t="s">
        <v>2914</v>
      </c>
      <c r="F10584">
        <v>8222</v>
      </c>
    </row>
    <row r="10585" spans="1:6">
      <c r="A10585" t="s">
        <v>27</v>
      </c>
      <c r="B10585" t="s">
        <v>234</v>
      </c>
      <c r="C10585" t="s">
        <v>861</v>
      </c>
      <c r="D10585" t="s">
        <v>2017</v>
      </c>
      <c r="E10585" t="s">
        <v>2915</v>
      </c>
      <c r="F10585">
        <v>8100</v>
      </c>
    </row>
    <row r="10586" spans="1:6">
      <c r="A10586" t="s">
        <v>27</v>
      </c>
      <c r="B10586" t="s">
        <v>234</v>
      </c>
      <c r="C10586" t="s">
        <v>861</v>
      </c>
      <c r="D10586" t="s">
        <v>2017</v>
      </c>
      <c r="E10586" t="s">
        <v>2713</v>
      </c>
      <c r="F10586">
        <v>2026</v>
      </c>
    </row>
    <row r="10587" spans="1:6">
      <c r="A10587" t="s">
        <v>27</v>
      </c>
      <c r="B10587" t="s">
        <v>234</v>
      </c>
      <c r="C10587" t="s">
        <v>861</v>
      </c>
      <c r="D10587" t="s">
        <v>2017</v>
      </c>
      <c r="E10587" t="s">
        <v>2714</v>
      </c>
      <c r="F10587">
        <v>0</v>
      </c>
    </row>
    <row r="10588" spans="1:6">
      <c r="A10588" t="s">
        <v>27</v>
      </c>
      <c r="B10588" t="s">
        <v>234</v>
      </c>
      <c r="C10588" t="s">
        <v>861</v>
      </c>
      <c r="D10588" t="s">
        <v>2017</v>
      </c>
      <c r="E10588" t="s">
        <v>2715</v>
      </c>
      <c r="F10588">
        <v>0</v>
      </c>
    </row>
    <row r="10589" spans="1:6">
      <c r="A10589" t="s">
        <v>27</v>
      </c>
      <c r="B10589" t="s">
        <v>234</v>
      </c>
      <c r="C10589" t="s">
        <v>861</v>
      </c>
      <c r="D10589" t="s">
        <v>2017</v>
      </c>
      <c r="E10589" t="s">
        <v>2716</v>
      </c>
      <c r="F10589">
        <v>0</v>
      </c>
    </row>
    <row r="10590" spans="1:6">
      <c r="A10590" t="s">
        <v>27</v>
      </c>
      <c r="B10590" t="s">
        <v>234</v>
      </c>
      <c r="C10590" t="s">
        <v>861</v>
      </c>
      <c r="D10590" t="s">
        <v>2017</v>
      </c>
      <c r="E10590" t="s">
        <v>2717</v>
      </c>
      <c r="F10590">
        <v>0</v>
      </c>
    </row>
    <row r="10591" spans="1:6">
      <c r="A10591" t="s">
        <v>27</v>
      </c>
      <c r="B10591" t="s">
        <v>234</v>
      </c>
      <c r="C10591" t="s">
        <v>861</v>
      </c>
      <c r="D10591" t="s">
        <v>2017</v>
      </c>
      <c r="E10591" t="s">
        <v>2718</v>
      </c>
      <c r="F10591">
        <v>0</v>
      </c>
    </row>
    <row r="10592" spans="1:6">
      <c r="A10592" t="s">
        <v>27</v>
      </c>
      <c r="B10592" t="s">
        <v>234</v>
      </c>
      <c r="C10592" t="s">
        <v>861</v>
      </c>
      <c r="D10592" t="s">
        <v>2017</v>
      </c>
      <c r="E10592" t="s">
        <v>2719</v>
      </c>
      <c r="F10592">
        <v>0</v>
      </c>
    </row>
    <row r="10593" spans="1:6">
      <c r="A10593" t="s">
        <v>27</v>
      </c>
      <c r="B10593" t="s">
        <v>234</v>
      </c>
      <c r="C10593" t="s">
        <v>861</v>
      </c>
      <c r="D10593" t="s">
        <v>2017</v>
      </c>
      <c r="E10593" t="s">
        <v>2720</v>
      </c>
      <c r="F10593">
        <v>0</v>
      </c>
    </row>
    <row r="10594" spans="1:6">
      <c r="A10594" t="s">
        <v>27</v>
      </c>
      <c r="B10594" t="s">
        <v>234</v>
      </c>
      <c r="C10594" t="s">
        <v>861</v>
      </c>
      <c r="D10594" t="s">
        <v>2017</v>
      </c>
      <c r="E10594" t="s">
        <v>2721</v>
      </c>
      <c r="F10594">
        <v>0</v>
      </c>
    </row>
    <row r="10595" spans="1:6">
      <c r="A10595" t="s">
        <v>27</v>
      </c>
      <c r="B10595" t="s">
        <v>234</v>
      </c>
      <c r="C10595" t="s">
        <v>861</v>
      </c>
      <c r="D10595" t="s">
        <v>2017</v>
      </c>
      <c r="E10595" t="s">
        <v>2722</v>
      </c>
      <c r="F10595">
        <v>0</v>
      </c>
    </row>
    <row r="10596" spans="1:6">
      <c r="A10596" t="s">
        <v>27</v>
      </c>
      <c r="B10596" t="s">
        <v>234</v>
      </c>
      <c r="C10596" t="s">
        <v>861</v>
      </c>
      <c r="D10596" t="s">
        <v>2017</v>
      </c>
      <c r="E10596" t="s">
        <v>2723</v>
      </c>
      <c r="F10596">
        <v>0</v>
      </c>
    </row>
    <row r="10597" spans="1:6">
      <c r="A10597" t="s">
        <v>27</v>
      </c>
      <c r="B10597" t="s">
        <v>234</v>
      </c>
      <c r="C10597" t="s">
        <v>861</v>
      </c>
      <c r="D10597" t="s">
        <v>2017</v>
      </c>
      <c r="E10597" t="s">
        <v>2724</v>
      </c>
      <c r="F10597">
        <v>0</v>
      </c>
    </row>
    <row r="10598" spans="1:6">
      <c r="A10598" t="s">
        <v>27</v>
      </c>
      <c r="B10598" t="s">
        <v>234</v>
      </c>
      <c r="C10598" t="s">
        <v>861</v>
      </c>
      <c r="D10598" t="s">
        <v>2017</v>
      </c>
      <c r="E10598" t="s">
        <v>2725</v>
      </c>
      <c r="F10598">
        <v>0</v>
      </c>
    </row>
    <row r="10599" spans="1:6">
      <c r="A10599" t="s">
        <v>27</v>
      </c>
      <c r="B10599" t="s">
        <v>234</v>
      </c>
      <c r="C10599" t="s">
        <v>861</v>
      </c>
      <c r="D10599" t="s">
        <v>2017</v>
      </c>
      <c r="E10599" t="s">
        <v>2726</v>
      </c>
      <c r="F10599">
        <v>446</v>
      </c>
    </row>
    <row r="10600" spans="1:6">
      <c r="A10600" t="s">
        <v>27</v>
      </c>
      <c r="B10600" t="s">
        <v>234</v>
      </c>
      <c r="C10600" t="s">
        <v>861</v>
      </c>
      <c r="D10600" t="s">
        <v>2017</v>
      </c>
      <c r="E10600" t="s">
        <v>2727</v>
      </c>
      <c r="F10600">
        <v>442</v>
      </c>
    </row>
    <row r="10601" spans="1:6">
      <c r="A10601" t="s">
        <v>27</v>
      </c>
      <c r="B10601" t="s">
        <v>234</v>
      </c>
      <c r="C10601" t="s">
        <v>861</v>
      </c>
      <c r="D10601" t="s">
        <v>2017</v>
      </c>
      <c r="E10601" t="s">
        <v>2728</v>
      </c>
      <c r="F10601">
        <v>426</v>
      </c>
    </row>
    <row r="10602" spans="1:6">
      <c r="A10602" t="s">
        <v>27</v>
      </c>
      <c r="B10602" t="s">
        <v>234</v>
      </c>
      <c r="C10602" t="s">
        <v>861</v>
      </c>
      <c r="D10602" t="s">
        <v>2017</v>
      </c>
      <c r="E10602" t="s">
        <v>2729</v>
      </c>
      <c r="F10602">
        <v>407</v>
      </c>
    </row>
    <row r="10603" spans="1:6">
      <c r="A10603" t="s">
        <v>27</v>
      </c>
      <c r="B10603" t="s">
        <v>234</v>
      </c>
      <c r="C10603" t="s">
        <v>861</v>
      </c>
      <c r="D10603" t="s">
        <v>2017</v>
      </c>
      <c r="E10603" t="s">
        <v>2730</v>
      </c>
      <c r="F10603">
        <v>333</v>
      </c>
    </row>
    <row r="10604" spans="1:6">
      <c r="A10604" t="s">
        <v>27</v>
      </c>
      <c r="B10604" t="s">
        <v>234</v>
      </c>
      <c r="C10604" t="s">
        <v>861</v>
      </c>
      <c r="D10604" t="s">
        <v>2017</v>
      </c>
      <c r="E10604" t="s">
        <v>2731</v>
      </c>
      <c r="F10604">
        <v>661</v>
      </c>
    </row>
    <row r="10605" spans="1:6">
      <c r="A10605" t="s">
        <v>27</v>
      </c>
      <c r="B10605" t="s">
        <v>234</v>
      </c>
      <c r="C10605" t="s">
        <v>861</v>
      </c>
      <c r="D10605" t="s">
        <v>2017</v>
      </c>
      <c r="E10605" t="s">
        <v>2916</v>
      </c>
      <c r="F10605">
        <v>142</v>
      </c>
    </row>
    <row r="10606" spans="1:6">
      <c r="A10606" t="s">
        <v>27</v>
      </c>
      <c r="B10606" t="s">
        <v>234</v>
      </c>
      <c r="C10606" t="s">
        <v>861</v>
      </c>
      <c r="D10606" t="s">
        <v>2017</v>
      </c>
      <c r="E10606" t="s">
        <v>2917</v>
      </c>
      <c r="F10606">
        <v>902</v>
      </c>
    </row>
    <row r="10607" spans="1:6">
      <c r="A10607" t="s">
        <v>27</v>
      </c>
      <c r="B10607" t="s">
        <v>234</v>
      </c>
      <c r="C10607" t="s">
        <v>861</v>
      </c>
      <c r="D10607" t="s">
        <v>2017</v>
      </c>
      <c r="E10607" t="s">
        <v>2918</v>
      </c>
      <c r="F10607">
        <v>960</v>
      </c>
    </row>
    <row r="10608" spans="1:6">
      <c r="A10608" t="s">
        <v>27</v>
      </c>
      <c r="B10608" t="s">
        <v>234</v>
      </c>
      <c r="C10608" t="s">
        <v>861</v>
      </c>
      <c r="D10608" t="s">
        <v>2017</v>
      </c>
      <c r="E10608" t="s">
        <v>2732</v>
      </c>
      <c r="F10608">
        <v>2027</v>
      </c>
    </row>
    <row r="10609" spans="1:6">
      <c r="A10609" t="s">
        <v>27</v>
      </c>
      <c r="B10609" t="s">
        <v>234</v>
      </c>
      <c r="C10609" t="s">
        <v>861</v>
      </c>
      <c r="D10609" t="s">
        <v>2017</v>
      </c>
      <c r="E10609" t="s">
        <v>2733</v>
      </c>
      <c r="F10609">
        <v>2028</v>
      </c>
    </row>
    <row r="10610" spans="1:6">
      <c r="A10610" t="s">
        <v>27</v>
      </c>
      <c r="B10610" t="s">
        <v>234</v>
      </c>
      <c r="C10610" t="s">
        <v>861</v>
      </c>
      <c r="D10610" t="s">
        <v>2017</v>
      </c>
      <c r="E10610" t="s">
        <v>2734</v>
      </c>
      <c r="F10610">
        <v>2029</v>
      </c>
    </row>
    <row r="10611" spans="1:6">
      <c r="A10611" t="s">
        <v>27</v>
      </c>
      <c r="B10611" t="s">
        <v>234</v>
      </c>
      <c r="C10611" t="s">
        <v>861</v>
      </c>
      <c r="D10611" t="s">
        <v>2017</v>
      </c>
      <c r="E10611" t="s">
        <v>2735</v>
      </c>
      <c r="F10611">
        <v>2030</v>
      </c>
    </row>
    <row r="10612" spans="1:6">
      <c r="A10612" t="s">
        <v>27</v>
      </c>
      <c r="B10612" t="s">
        <v>87</v>
      </c>
      <c r="C10612" t="s">
        <v>867</v>
      </c>
      <c r="D10612" t="s">
        <v>991</v>
      </c>
      <c r="E10612" t="s">
        <v>1276</v>
      </c>
      <c r="F10612" t="s">
        <v>993</v>
      </c>
    </row>
    <row r="10613" spans="1:6">
      <c r="A10613" t="s">
        <v>27</v>
      </c>
      <c r="B10613" t="s">
        <v>87</v>
      </c>
      <c r="C10613" t="s">
        <v>867</v>
      </c>
      <c r="D10613" t="s">
        <v>991</v>
      </c>
      <c r="E10613" t="s">
        <v>999</v>
      </c>
      <c r="F10613" t="s">
        <v>1094</v>
      </c>
    </row>
    <row r="10614" spans="1:6">
      <c r="A10614" t="s">
        <v>27</v>
      </c>
      <c r="B10614" t="s">
        <v>87</v>
      </c>
      <c r="C10614" t="s">
        <v>867</v>
      </c>
      <c r="D10614" t="s">
        <v>991</v>
      </c>
      <c r="E10614" t="s">
        <v>1001</v>
      </c>
      <c r="F10614" t="s">
        <v>68</v>
      </c>
    </row>
    <row r="10615" spans="1:6">
      <c r="A10615" t="s">
        <v>27</v>
      </c>
      <c r="B10615" t="s">
        <v>87</v>
      </c>
      <c r="C10615" t="s">
        <v>867</v>
      </c>
      <c r="D10615" t="s">
        <v>991</v>
      </c>
      <c r="E10615" t="s">
        <v>1509</v>
      </c>
      <c r="F10615" t="s">
        <v>996</v>
      </c>
    </row>
    <row r="10616" spans="1:6">
      <c r="A10616" t="s">
        <v>27</v>
      </c>
      <c r="B10616" t="s">
        <v>87</v>
      </c>
      <c r="C10616" t="s">
        <v>867</v>
      </c>
      <c r="D10616" t="s">
        <v>991</v>
      </c>
      <c r="E10616" t="s">
        <v>1510</v>
      </c>
      <c r="F10616" t="s">
        <v>1511</v>
      </c>
    </row>
    <row r="10617" spans="1:6">
      <c r="A10617" t="s">
        <v>27</v>
      </c>
      <c r="B10617" t="s">
        <v>87</v>
      </c>
      <c r="C10617" t="s">
        <v>867</v>
      </c>
      <c r="D10617" t="s">
        <v>991</v>
      </c>
      <c r="E10617" t="s">
        <v>1283</v>
      </c>
      <c r="F10617" t="s">
        <v>1000</v>
      </c>
    </row>
    <row r="10618" spans="1:6">
      <c r="A10618" t="s">
        <v>27</v>
      </c>
      <c r="B10618" t="s">
        <v>87</v>
      </c>
      <c r="C10618" t="s">
        <v>867</v>
      </c>
      <c r="D10618" t="s">
        <v>991</v>
      </c>
      <c r="E10618" t="s">
        <v>1285</v>
      </c>
      <c r="F10618" t="s">
        <v>10</v>
      </c>
    </row>
    <row r="10619" spans="1:6">
      <c r="A10619" t="s">
        <v>27</v>
      </c>
      <c r="B10619" t="s">
        <v>87</v>
      </c>
      <c r="C10619" t="s">
        <v>867</v>
      </c>
      <c r="D10619" t="s">
        <v>991</v>
      </c>
      <c r="E10619" t="s">
        <v>1335</v>
      </c>
      <c r="F10619" t="s">
        <v>1003</v>
      </c>
    </row>
    <row r="10620" spans="1:6">
      <c r="A10620" t="s">
        <v>27</v>
      </c>
      <c r="B10620" t="s">
        <v>87</v>
      </c>
      <c r="C10620" t="s">
        <v>867</v>
      </c>
      <c r="D10620" t="s">
        <v>991</v>
      </c>
      <c r="E10620" t="s">
        <v>1291</v>
      </c>
      <c r="F10620" t="s">
        <v>1005</v>
      </c>
    </row>
    <row r="10621" spans="1:6">
      <c r="A10621" t="s">
        <v>27</v>
      </c>
      <c r="B10621" t="s">
        <v>87</v>
      </c>
      <c r="C10621" t="s">
        <v>867</v>
      </c>
      <c r="D10621" t="s">
        <v>991</v>
      </c>
      <c r="E10621" t="s">
        <v>1034</v>
      </c>
      <c r="F10621" t="s">
        <v>1007</v>
      </c>
    </row>
    <row r="10622" spans="1:6">
      <c r="A10622" t="s">
        <v>27</v>
      </c>
      <c r="B10622" t="s">
        <v>87</v>
      </c>
      <c r="C10622" t="s">
        <v>867</v>
      </c>
      <c r="D10622" t="s">
        <v>991</v>
      </c>
      <c r="E10622" t="s">
        <v>1035</v>
      </c>
      <c r="F10622" t="s">
        <v>1009</v>
      </c>
    </row>
    <row r="10623" spans="1:6">
      <c r="A10623" t="s">
        <v>27</v>
      </c>
      <c r="B10623" t="s">
        <v>87</v>
      </c>
      <c r="C10623" t="s">
        <v>867</v>
      </c>
      <c r="D10623" t="s">
        <v>991</v>
      </c>
      <c r="E10623" t="s">
        <v>1099</v>
      </c>
      <c r="F10623" t="s">
        <v>1011</v>
      </c>
    </row>
    <row r="10624" spans="1:6">
      <c r="A10624" t="s">
        <v>27</v>
      </c>
      <c r="B10624" t="s">
        <v>87</v>
      </c>
      <c r="C10624" t="s">
        <v>867</v>
      </c>
      <c r="D10624" t="s">
        <v>991</v>
      </c>
      <c r="E10624" t="s">
        <v>1100</v>
      </c>
      <c r="F10624" t="s">
        <v>1013</v>
      </c>
    </row>
    <row r="10625" spans="1:6">
      <c r="A10625" t="s">
        <v>27</v>
      </c>
      <c r="B10625" t="s">
        <v>87</v>
      </c>
      <c r="C10625" t="s">
        <v>867</v>
      </c>
      <c r="D10625" t="s">
        <v>991</v>
      </c>
      <c r="E10625" t="s">
        <v>1101</v>
      </c>
      <c r="F10625" t="s">
        <v>1015</v>
      </c>
    </row>
    <row r="10626" spans="1:6">
      <c r="A10626" t="s">
        <v>27</v>
      </c>
      <c r="B10626" t="s">
        <v>87</v>
      </c>
      <c r="C10626" t="s">
        <v>867</v>
      </c>
      <c r="D10626" t="s">
        <v>991</v>
      </c>
      <c r="E10626" t="s">
        <v>1512</v>
      </c>
      <c r="F10626" t="s">
        <v>1017</v>
      </c>
    </row>
    <row r="10627" spans="1:6">
      <c r="A10627" t="s">
        <v>27</v>
      </c>
      <c r="B10627" t="s">
        <v>87</v>
      </c>
      <c r="C10627" t="s">
        <v>867</v>
      </c>
      <c r="D10627" t="s">
        <v>991</v>
      </c>
      <c r="E10627" t="s">
        <v>1513</v>
      </c>
      <c r="F10627" t="s">
        <v>1019</v>
      </c>
    </row>
    <row r="10628" spans="1:6">
      <c r="A10628" t="s">
        <v>27</v>
      </c>
      <c r="B10628" t="s">
        <v>87</v>
      </c>
      <c r="C10628" t="s">
        <v>867</v>
      </c>
      <c r="D10628" t="s">
        <v>991</v>
      </c>
      <c r="E10628" t="s">
        <v>1514</v>
      </c>
      <c r="F10628" t="s">
        <v>1021</v>
      </c>
    </row>
    <row r="10629" spans="1:6">
      <c r="A10629" t="s">
        <v>27</v>
      </c>
      <c r="B10629" t="s">
        <v>87</v>
      </c>
      <c r="C10629" t="s">
        <v>867</v>
      </c>
      <c r="D10629" t="s">
        <v>991</v>
      </c>
      <c r="E10629" t="s">
        <v>1515</v>
      </c>
      <c r="F10629" t="s">
        <v>1023</v>
      </c>
    </row>
    <row r="10630" spans="1:6">
      <c r="A10630" t="s">
        <v>27</v>
      </c>
      <c r="B10630" t="s">
        <v>87</v>
      </c>
      <c r="C10630" t="s">
        <v>867</v>
      </c>
      <c r="D10630" t="s">
        <v>991</v>
      </c>
      <c r="E10630" t="s">
        <v>1516</v>
      </c>
      <c r="F10630" t="s">
        <v>1025</v>
      </c>
    </row>
    <row r="10631" spans="1:6">
      <c r="A10631" t="s">
        <v>27</v>
      </c>
      <c r="B10631" t="s">
        <v>87</v>
      </c>
      <c r="C10631" t="s">
        <v>867</v>
      </c>
      <c r="D10631" t="s">
        <v>991</v>
      </c>
      <c r="E10631" t="s">
        <v>1517</v>
      </c>
      <c r="F10631" t="s">
        <v>1027</v>
      </c>
    </row>
    <row r="10632" spans="1:6">
      <c r="A10632" t="s">
        <v>27</v>
      </c>
      <c r="B10632" t="s">
        <v>87</v>
      </c>
      <c r="C10632" t="s">
        <v>867</v>
      </c>
      <c r="D10632" t="s">
        <v>991</v>
      </c>
      <c r="E10632" t="s">
        <v>1518</v>
      </c>
      <c r="F10632" t="s">
        <v>1029</v>
      </c>
    </row>
    <row r="10633" spans="1:6">
      <c r="A10633" t="s">
        <v>27</v>
      </c>
      <c r="B10633" t="s">
        <v>87</v>
      </c>
      <c r="C10633" t="s">
        <v>867</v>
      </c>
      <c r="D10633" t="s">
        <v>991</v>
      </c>
      <c r="E10633" t="s">
        <v>1519</v>
      </c>
      <c r="F10633" t="s">
        <v>1031</v>
      </c>
    </row>
    <row r="10634" spans="1:6">
      <c r="A10634" t="s">
        <v>27</v>
      </c>
      <c r="B10634" t="s">
        <v>87</v>
      </c>
      <c r="C10634" t="s">
        <v>867</v>
      </c>
      <c r="D10634" t="s">
        <v>991</v>
      </c>
      <c r="E10634" t="s">
        <v>1520</v>
      </c>
      <c r="F10634" t="s">
        <v>1033</v>
      </c>
    </row>
    <row r="10635" spans="1:6">
      <c r="A10635" t="s">
        <v>27</v>
      </c>
      <c r="B10635" t="s">
        <v>87</v>
      </c>
      <c r="C10635" t="s">
        <v>867</v>
      </c>
      <c r="D10635" t="s">
        <v>991</v>
      </c>
      <c r="E10635" t="s">
        <v>1036</v>
      </c>
      <c r="F10635" t="s">
        <v>50</v>
      </c>
    </row>
    <row r="10636" spans="1:6">
      <c r="A10636" t="s">
        <v>27</v>
      </c>
      <c r="B10636" t="s">
        <v>87</v>
      </c>
      <c r="C10636" t="s">
        <v>867</v>
      </c>
      <c r="D10636" t="s">
        <v>991</v>
      </c>
      <c r="E10636" t="s">
        <v>1037</v>
      </c>
      <c r="F10636">
        <v>120403637</v>
      </c>
    </row>
    <row r="10637" spans="1:6">
      <c r="A10637" t="s">
        <v>27</v>
      </c>
      <c r="B10637" t="s">
        <v>87</v>
      </c>
      <c r="C10637" t="s">
        <v>867</v>
      </c>
      <c r="D10637" t="s">
        <v>991</v>
      </c>
      <c r="E10637" t="s">
        <v>1038</v>
      </c>
      <c r="F10637">
        <v>2025</v>
      </c>
    </row>
    <row r="10638" spans="1:6">
      <c r="A10638" t="s">
        <v>27</v>
      </c>
      <c r="B10638" t="s">
        <v>87</v>
      </c>
      <c r="C10638" t="s">
        <v>867</v>
      </c>
      <c r="D10638" t="s">
        <v>991</v>
      </c>
      <c r="E10638" t="s">
        <v>1039</v>
      </c>
      <c r="F10638">
        <v>18390237</v>
      </c>
    </row>
    <row r="10639" spans="1:6">
      <c r="A10639" t="s">
        <v>27</v>
      </c>
      <c r="B10639" t="s">
        <v>87</v>
      </c>
      <c r="C10639" t="s">
        <v>867</v>
      </c>
      <c r="D10639" t="s">
        <v>991</v>
      </c>
      <c r="E10639" t="s">
        <v>1052</v>
      </c>
      <c r="F10639">
        <v>2026</v>
      </c>
    </row>
    <row r="10640" spans="1:6">
      <c r="A10640" t="s">
        <v>27</v>
      </c>
      <c r="B10640" t="s">
        <v>87</v>
      </c>
      <c r="C10640" t="s">
        <v>867</v>
      </c>
      <c r="D10640" t="s">
        <v>991</v>
      </c>
      <c r="E10640" t="s">
        <v>1053</v>
      </c>
      <c r="F10640">
        <v>7309846</v>
      </c>
    </row>
    <row r="10641" spans="1:6">
      <c r="A10641" t="s">
        <v>27</v>
      </c>
      <c r="B10641" t="s">
        <v>87</v>
      </c>
      <c r="C10641" t="s">
        <v>867</v>
      </c>
      <c r="D10641" t="s">
        <v>991</v>
      </c>
      <c r="E10641" t="s">
        <v>1108</v>
      </c>
      <c r="F10641">
        <v>550735</v>
      </c>
    </row>
    <row r="10642" spans="1:6">
      <c r="A10642" t="s">
        <v>27</v>
      </c>
      <c r="B10642" t="s">
        <v>87</v>
      </c>
      <c r="C10642" t="s">
        <v>867</v>
      </c>
      <c r="D10642" t="s">
        <v>991</v>
      </c>
      <c r="E10642" t="s">
        <v>1109</v>
      </c>
      <c r="F10642">
        <v>837912</v>
      </c>
    </row>
    <row r="10643" spans="1:6">
      <c r="A10643" t="s">
        <v>27</v>
      </c>
      <c r="B10643" t="s">
        <v>87</v>
      </c>
      <c r="C10643" t="s">
        <v>867</v>
      </c>
      <c r="D10643" t="s">
        <v>991</v>
      </c>
      <c r="E10643" t="s">
        <v>1110</v>
      </c>
      <c r="F10643">
        <v>904130</v>
      </c>
    </row>
    <row r="10644" spans="1:6">
      <c r="A10644" t="s">
        <v>27</v>
      </c>
      <c r="B10644" t="s">
        <v>87</v>
      </c>
      <c r="C10644" t="s">
        <v>867</v>
      </c>
      <c r="D10644" t="s">
        <v>991</v>
      </c>
      <c r="E10644" t="s">
        <v>1521</v>
      </c>
      <c r="F10644">
        <v>775286</v>
      </c>
    </row>
    <row r="10645" spans="1:6">
      <c r="A10645" t="s">
        <v>27</v>
      </c>
      <c r="B10645" t="s">
        <v>87</v>
      </c>
      <c r="C10645" t="s">
        <v>867</v>
      </c>
      <c r="D10645" t="s">
        <v>991</v>
      </c>
      <c r="E10645" t="s">
        <v>1522</v>
      </c>
      <c r="F10645">
        <v>676517</v>
      </c>
    </row>
    <row r="10646" spans="1:6">
      <c r="A10646" t="s">
        <v>27</v>
      </c>
      <c r="B10646" t="s">
        <v>87</v>
      </c>
      <c r="C10646" t="s">
        <v>867</v>
      </c>
      <c r="D10646" t="s">
        <v>991</v>
      </c>
      <c r="E10646" t="s">
        <v>1523</v>
      </c>
      <c r="F10646">
        <v>803008</v>
      </c>
    </row>
    <row r="10647" spans="1:6">
      <c r="A10647" t="s">
        <v>27</v>
      </c>
      <c r="B10647" t="s">
        <v>87</v>
      </c>
      <c r="C10647" t="s">
        <v>867</v>
      </c>
      <c r="D10647" t="s">
        <v>991</v>
      </c>
      <c r="E10647" t="s">
        <v>1524</v>
      </c>
      <c r="F10647">
        <v>943570</v>
      </c>
    </row>
    <row r="10648" spans="1:6">
      <c r="A10648" t="s">
        <v>27</v>
      </c>
      <c r="B10648" t="s">
        <v>87</v>
      </c>
      <c r="C10648" t="s">
        <v>867</v>
      </c>
      <c r="D10648" t="s">
        <v>991</v>
      </c>
      <c r="E10648" t="s">
        <v>1525</v>
      </c>
      <c r="F10648">
        <v>970510</v>
      </c>
    </row>
    <row r="10649" spans="1:6">
      <c r="A10649" t="s">
        <v>27</v>
      </c>
      <c r="B10649" t="s">
        <v>87</v>
      </c>
      <c r="C10649" t="s">
        <v>867</v>
      </c>
      <c r="D10649" t="s">
        <v>991</v>
      </c>
      <c r="E10649" t="s">
        <v>1526</v>
      </c>
      <c r="F10649">
        <v>847485</v>
      </c>
    </row>
    <row r="10650" spans="1:6">
      <c r="A10650" t="s">
        <v>27</v>
      </c>
      <c r="B10650" t="s">
        <v>87</v>
      </c>
      <c r="C10650" t="s">
        <v>867</v>
      </c>
      <c r="D10650" t="s">
        <v>991</v>
      </c>
      <c r="E10650" t="s">
        <v>1527</v>
      </c>
      <c r="F10650">
        <v>692</v>
      </c>
    </row>
    <row r="10651" spans="1:6">
      <c r="A10651" t="s">
        <v>27</v>
      </c>
      <c r="B10651" t="s">
        <v>87</v>
      </c>
      <c r="C10651" t="s">
        <v>867</v>
      </c>
      <c r="D10651" t="s">
        <v>991</v>
      </c>
      <c r="E10651" t="s">
        <v>1528</v>
      </c>
      <c r="F10651">
        <v>0</v>
      </c>
    </row>
    <row r="10652" spans="1:6">
      <c r="A10652" t="s">
        <v>27</v>
      </c>
      <c r="B10652" t="s">
        <v>87</v>
      </c>
      <c r="C10652" t="s">
        <v>867</v>
      </c>
      <c r="D10652" t="s">
        <v>991</v>
      </c>
      <c r="E10652" t="s">
        <v>1529</v>
      </c>
      <c r="F10652">
        <v>0</v>
      </c>
    </row>
    <row r="10653" spans="1:6">
      <c r="A10653" t="s">
        <v>27</v>
      </c>
      <c r="B10653" t="s">
        <v>87</v>
      </c>
      <c r="C10653" t="s">
        <v>867</v>
      </c>
      <c r="D10653" t="s">
        <v>991</v>
      </c>
      <c r="E10653" t="s">
        <v>1111</v>
      </c>
      <c r="F10653" t="s">
        <v>1009</v>
      </c>
    </row>
    <row r="10654" spans="1:6">
      <c r="A10654" t="s">
        <v>27</v>
      </c>
      <c r="B10654" t="s">
        <v>87</v>
      </c>
      <c r="C10654" t="s">
        <v>867</v>
      </c>
      <c r="D10654" t="s">
        <v>991</v>
      </c>
      <c r="E10654" t="s">
        <v>1113</v>
      </c>
      <c r="F10654">
        <v>146103720</v>
      </c>
    </row>
    <row r="10655" spans="1:6">
      <c r="A10655" t="s">
        <v>27</v>
      </c>
      <c r="B10655" t="s">
        <v>87</v>
      </c>
      <c r="C10655" t="s">
        <v>867</v>
      </c>
      <c r="D10655" t="s">
        <v>991</v>
      </c>
      <c r="E10655" t="s">
        <v>1122</v>
      </c>
      <c r="F10655" t="s">
        <v>1055</v>
      </c>
    </row>
    <row r="10656" spans="1:6">
      <c r="A10656" t="s">
        <v>27</v>
      </c>
      <c r="B10656" t="s">
        <v>87</v>
      </c>
      <c r="C10656" t="s">
        <v>867</v>
      </c>
      <c r="D10656" t="s">
        <v>991</v>
      </c>
      <c r="E10656" t="s">
        <v>1071</v>
      </c>
      <c r="F10656" t="s">
        <v>1007</v>
      </c>
    </row>
    <row r="10657" spans="1:6">
      <c r="A10657" t="s">
        <v>27</v>
      </c>
      <c r="B10657" t="s">
        <v>87</v>
      </c>
      <c r="C10657" t="s">
        <v>867</v>
      </c>
      <c r="D10657" t="s">
        <v>991</v>
      </c>
      <c r="E10657" t="s">
        <v>1072</v>
      </c>
      <c r="F10657" t="s">
        <v>1009</v>
      </c>
    </row>
    <row r="10658" spans="1:6">
      <c r="A10658" t="s">
        <v>27</v>
      </c>
      <c r="B10658" t="s">
        <v>87</v>
      </c>
      <c r="C10658" t="s">
        <v>867</v>
      </c>
      <c r="D10658" t="s">
        <v>991</v>
      </c>
      <c r="E10658" t="s">
        <v>1133</v>
      </c>
      <c r="F10658" t="s">
        <v>1011</v>
      </c>
    </row>
    <row r="10659" spans="1:6">
      <c r="A10659" t="s">
        <v>27</v>
      </c>
      <c r="B10659" t="s">
        <v>87</v>
      </c>
      <c r="C10659" t="s">
        <v>867</v>
      </c>
      <c r="D10659" t="s">
        <v>991</v>
      </c>
      <c r="E10659" t="s">
        <v>1134</v>
      </c>
      <c r="F10659" t="s">
        <v>1013</v>
      </c>
    </row>
    <row r="10660" spans="1:6">
      <c r="A10660" t="s">
        <v>27</v>
      </c>
      <c r="B10660" t="s">
        <v>87</v>
      </c>
      <c r="C10660" t="s">
        <v>867</v>
      </c>
      <c r="D10660" t="s">
        <v>991</v>
      </c>
      <c r="E10660" t="s">
        <v>1135</v>
      </c>
      <c r="F10660" t="s">
        <v>1015</v>
      </c>
    </row>
    <row r="10661" spans="1:6">
      <c r="A10661" t="s">
        <v>27</v>
      </c>
      <c r="B10661" t="s">
        <v>87</v>
      </c>
      <c r="C10661" t="s">
        <v>867</v>
      </c>
      <c r="D10661" t="s">
        <v>991</v>
      </c>
      <c r="E10661" t="s">
        <v>1414</v>
      </c>
      <c r="F10661" t="s">
        <v>1017</v>
      </c>
    </row>
    <row r="10662" spans="1:6">
      <c r="A10662" t="s">
        <v>27</v>
      </c>
      <c r="B10662" t="s">
        <v>87</v>
      </c>
      <c r="C10662" t="s">
        <v>867</v>
      </c>
      <c r="D10662" t="s">
        <v>991</v>
      </c>
      <c r="E10662" t="s">
        <v>1530</v>
      </c>
      <c r="F10662" t="s">
        <v>1019</v>
      </c>
    </row>
    <row r="10663" spans="1:6">
      <c r="A10663" t="s">
        <v>27</v>
      </c>
      <c r="B10663" t="s">
        <v>87</v>
      </c>
      <c r="C10663" t="s">
        <v>867</v>
      </c>
      <c r="D10663" t="s">
        <v>991</v>
      </c>
      <c r="E10663" t="s">
        <v>1531</v>
      </c>
      <c r="F10663" t="s">
        <v>1021</v>
      </c>
    </row>
    <row r="10664" spans="1:6">
      <c r="A10664" t="s">
        <v>27</v>
      </c>
      <c r="B10664" t="s">
        <v>87</v>
      </c>
      <c r="C10664" t="s">
        <v>867</v>
      </c>
      <c r="D10664" t="s">
        <v>991</v>
      </c>
      <c r="E10664" t="s">
        <v>1532</v>
      </c>
      <c r="F10664" t="s">
        <v>1023</v>
      </c>
    </row>
    <row r="10665" spans="1:6">
      <c r="A10665" t="s">
        <v>27</v>
      </c>
      <c r="B10665" t="s">
        <v>87</v>
      </c>
      <c r="C10665" t="s">
        <v>867</v>
      </c>
      <c r="D10665" t="s">
        <v>991</v>
      </c>
      <c r="E10665" t="s">
        <v>1533</v>
      </c>
      <c r="F10665" t="s">
        <v>1066</v>
      </c>
    </row>
    <row r="10666" spans="1:6">
      <c r="A10666" t="s">
        <v>27</v>
      </c>
      <c r="B10666" t="s">
        <v>87</v>
      </c>
      <c r="C10666" t="s">
        <v>867</v>
      </c>
      <c r="D10666" t="s">
        <v>991</v>
      </c>
      <c r="E10666" t="s">
        <v>1534</v>
      </c>
      <c r="F10666" t="s">
        <v>1027</v>
      </c>
    </row>
    <row r="10667" spans="1:6">
      <c r="A10667" t="s">
        <v>27</v>
      </c>
      <c r="B10667" t="s">
        <v>87</v>
      </c>
      <c r="C10667" t="s">
        <v>867</v>
      </c>
      <c r="D10667" t="s">
        <v>991</v>
      </c>
      <c r="E10667" t="s">
        <v>1535</v>
      </c>
      <c r="F10667" t="s">
        <v>1029</v>
      </c>
    </row>
    <row r="10668" spans="1:6">
      <c r="A10668" t="s">
        <v>27</v>
      </c>
      <c r="B10668" t="s">
        <v>87</v>
      </c>
      <c r="C10668" t="s">
        <v>867</v>
      </c>
      <c r="D10668" t="s">
        <v>991</v>
      </c>
      <c r="E10668" t="s">
        <v>1536</v>
      </c>
      <c r="F10668" t="s">
        <v>1031</v>
      </c>
    </row>
    <row r="10669" spans="1:6">
      <c r="A10669" t="s">
        <v>27</v>
      </c>
      <c r="B10669" t="s">
        <v>87</v>
      </c>
      <c r="C10669" t="s">
        <v>867</v>
      </c>
      <c r="D10669" t="s">
        <v>991</v>
      </c>
      <c r="E10669" t="s">
        <v>1537</v>
      </c>
      <c r="F10669" t="s">
        <v>1033</v>
      </c>
    </row>
    <row r="10670" spans="1:6">
      <c r="A10670" t="s">
        <v>27</v>
      </c>
      <c r="B10670" t="s">
        <v>87</v>
      </c>
      <c r="C10670" t="s">
        <v>867</v>
      </c>
      <c r="D10670" t="s">
        <v>991</v>
      </c>
      <c r="E10670" t="s">
        <v>1073</v>
      </c>
      <c r="F10670" t="s">
        <v>50</v>
      </c>
    </row>
    <row r="10671" spans="1:6">
      <c r="A10671" t="s">
        <v>27</v>
      </c>
      <c r="B10671" t="s">
        <v>87</v>
      </c>
      <c r="C10671" t="s">
        <v>867</v>
      </c>
      <c r="D10671" t="s">
        <v>991</v>
      </c>
      <c r="E10671" t="s">
        <v>1074</v>
      </c>
      <c r="F10671">
        <v>500153</v>
      </c>
    </row>
    <row r="10672" spans="1:6">
      <c r="A10672" t="s">
        <v>27</v>
      </c>
      <c r="B10672" t="s">
        <v>87</v>
      </c>
      <c r="C10672" t="s">
        <v>867</v>
      </c>
      <c r="D10672" t="s">
        <v>991</v>
      </c>
      <c r="E10672" t="s">
        <v>1075</v>
      </c>
      <c r="F10672">
        <v>2025</v>
      </c>
    </row>
    <row r="10673" spans="1:6">
      <c r="A10673" t="s">
        <v>27</v>
      </c>
      <c r="B10673" t="s">
        <v>87</v>
      </c>
      <c r="C10673" t="s">
        <v>867</v>
      </c>
      <c r="D10673" t="s">
        <v>991</v>
      </c>
      <c r="E10673" t="s">
        <v>1076</v>
      </c>
      <c r="F10673">
        <v>56612</v>
      </c>
    </row>
    <row r="10674" spans="1:6">
      <c r="A10674" t="s">
        <v>27</v>
      </c>
      <c r="B10674" t="s">
        <v>87</v>
      </c>
      <c r="C10674" t="s">
        <v>867</v>
      </c>
      <c r="D10674" t="s">
        <v>991</v>
      </c>
      <c r="E10674" t="s">
        <v>1089</v>
      </c>
      <c r="F10674">
        <v>2026</v>
      </c>
    </row>
    <row r="10675" spans="1:6">
      <c r="A10675" t="s">
        <v>27</v>
      </c>
      <c r="B10675" t="s">
        <v>87</v>
      </c>
      <c r="C10675" t="s">
        <v>867</v>
      </c>
      <c r="D10675" t="s">
        <v>991</v>
      </c>
      <c r="E10675" t="s">
        <v>1090</v>
      </c>
      <c r="F10675">
        <v>34445</v>
      </c>
    </row>
    <row r="10676" spans="1:6">
      <c r="A10676" t="s">
        <v>27</v>
      </c>
      <c r="B10676" t="s">
        <v>87</v>
      </c>
      <c r="C10676" t="s">
        <v>867</v>
      </c>
      <c r="D10676" t="s">
        <v>991</v>
      </c>
      <c r="E10676" t="s">
        <v>1139</v>
      </c>
      <c r="F10676">
        <v>4242</v>
      </c>
    </row>
    <row r="10677" spans="1:6">
      <c r="A10677" t="s">
        <v>27</v>
      </c>
      <c r="B10677" t="s">
        <v>87</v>
      </c>
      <c r="C10677" t="s">
        <v>867</v>
      </c>
      <c r="D10677" t="s">
        <v>991</v>
      </c>
      <c r="E10677" t="s">
        <v>1140</v>
      </c>
      <c r="F10677">
        <v>3194</v>
      </c>
    </row>
    <row r="10678" spans="1:6">
      <c r="A10678" t="s">
        <v>27</v>
      </c>
      <c r="B10678" t="s">
        <v>87</v>
      </c>
      <c r="C10678" t="s">
        <v>867</v>
      </c>
      <c r="D10678" t="s">
        <v>991</v>
      </c>
      <c r="E10678" t="s">
        <v>1141</v>
      </c>
      <c r="F10678">
        <v>4293</v>
      </c>
    </row>
    <row r="10679" spans="1:6">
      <c r="A10679" t="s">
        <v>27</v>
      </c>
      <c r="B10679" t="s">
        <v>87</v>
      </c>
      <c r="C10679" t="s">
        <v>867</v>
      </c>
      <c r="D10679" t="s">
        <v>991</v>
      </c>
      <c r="E10679" t="s">
        <v>1423</v>
      </c>
      <c r="F10679">
        <v>4242</v>
      </c>
    </row>
    <row r="10680" spans="1:6">
      <c r="A10680" t="s">
        <v>27</v>
      </c>
      <c r="B10680" t="s">
        <v>87</v>
      </c>
      <c r="C10680" t="s">
        <v>867</v>
      </c>
      <c r="D10680" t="s">
        <v>991</v>
      </c>
      <c r="E10680" t="s">
        <v>1538</v>
      </c>
      <c r="F10680">
        <v>4226</v>
      </c>
    </row>
    <row r="10681" spans="1:6">
      <c r="A10681" t="s">
        <v>27</v>
      </c>
      <c r="B10681" t="s">
        <v>87</v>
      </c>
      <c r="C10681" t="s">
        <v>867</v>
      </c>
      <c r="D10681" t="s">
        <v>991</v>
      </c>
      <c r="E10681" t="s">
        <v>1539</v>
      </c>
      <c r="F10681">
        <v>3585</v>
      </c>
    </row>
    <row r="10682" spans="1:6">
      <c r="A10682" t="s">
        <v>27</v>
      </c>
      <c r="B10682" t="s">
        <v>87</v>
      </c>
      <c r="C10682" t="s">
        <v>867</v>
      </c>
      <c r="D10682" t="s">
        <v>991</v>
      </c>
      <c r="E10682" t="s">
        <v>1540</v>
      </c>
      <c r="F10682">
        <v>4146</v>
      </c>
    </row>
    <row r="10683" spans="1:6">
      <c r="A10683" t="s">
        <v>27</v>
      </c>
      <c r="B10683" t="s">
        <v>87</v>
      </c>
      <c r="C10683" t="s">
        <v>867</v>
      </c>
      <c r="D10683" t="s">
        <v>991</v>
      </c>
      <c r="E10683" t="s">
        <v>1541</v>
      </c>
      <c r="F10683">
        <v>3549</v>
      </c>
    </row>
    <row r="10684" spans="1:6">
      <c r="A10684" t="s">
        <v>27</v>
      </c>
      <c r="B10684" t="s">
        <v>87</v>
      </c>
      <c r="C10684" t="s">
        <v>867</v>
      </c>
      <c r="D10684" t="s">
        <v>991</v>
      </c>
      <c r="E10684" t="s">
        <v>1542</v>
      </c>
      <c r="F10684">
        <v>2966</v>
      </c>
    </row>
    <row r="10685" spans="1:6">
      <c r="A10685" t="s">
        <v>27</v>
      </c>
      <c r="B10685" t="s">
        <v>87</v>
      </c>
      <c r="C10685" t="s">
        <v>867</v>
      </c>
      <c r="D10685" t="s">
        <v>991</v>
      </c>
      <c r="E10685" t="s">
        <v>1543</v>
      </c>
      <c r="F10685">
        <v>2</v>
      </c>
    </row>
    <row r="10686" spans="1:6">
      <c r="A10686" t="s">
        <v>27</v>
      </c>
      <c r="B10686" t="s">
        <v>87</v>
      </c>
      <c r="C10686" t="s">
        <v>867</v>
      </c>
      <c r="D10686" t="s">
        <v>991</v>
      </c>
      <c r="E10686" t="s">
        <v>1544</v>
      </c>
      <c r="F10686">
        <v>0</v>
      </c>
    </row>
    <row r="10687" spans="1:6">
      <c r="A10687" t="s">
        <v>27</v>
      </c>
      <c r="B10687" t="s">
        <v>87</v>
      </c>
      <c r="C10687" t="s">
        <v>867</v>
      </c>
      <c r="D10687" t="s">
        <v>991</v>
      </c>
      <c r="E10687" t="s">
        <v>1545</v>
      </c>
      <c r="F10687">
        <v>0</v>
      </c>
    </row>
    <row r="10688" spans="1:6">
      <c r="A10688" t="s">
        <v>27</v>
      </c>
      <c r="B10688" t="s">
        <v>87</v>
      </c>
      <c r="C10688" t="s">
        <v>867</v>
      </c>
      <c r="D10688" t="s">
        <v>991</v>
      </c>
      <c r="E10688" t="s">
        <v>1546</v>
      </c>
      <c r="F10688" t="s">
        <v>1009</v>
      </c>
    </row>
    <row r="10689" spans="1:6">
      <c r="A10689" t="s">
        <v>27</v>
      </c>
      <c r="B10689" t="s">
        <v>87</v>
      </c>
      <c r="C10689" t="s">
        <v>867</v>
      </c>
      <c r="D10689" t="s">
        <v>991</v>
      </c>
      <c r="E10689" t="s">
        <v>1298</v>
      </c>
      <c r="F10689">
        <v>591210</v>
      </c>
    </row>
    <row r="10690" spans="1:6">
      <c r="A10690" t="s">
        <v>27</v>
      </c>
      <c r="B10690" t="s">
        <v>87</v>
      </c>
      <c r="C10690" t="s">
        <v>867</v>
      </c>
      <c r="D10690" t="s">
        <v>1091</v>
      </c>
      <c r="E10690" t="s">
        <v>992</v>
      </c>
      <c r="F10690" t="s">
        <v>1092</v>
      </c>
    </row>
    <row r="10691" spans="1:6">
      <c r="A10691" t="s">
        <v>27</v>
      </c>
      <c r="B10691" t="s">
        <v>87</v>
      </c>
      <c r="C10691" t="s">
        <v>867</v>
      </c>
      <c r="D10691" t="s">
        <v>1091</v>
      </c>
      <c r="E10691" t="s">
        <v>1093</v>
      </c>
      <c r="F10691" t="s">
        <v>1094</v>
      </c>
    </row>
    <row r="10692" spans="1:6">
      <c r="A10692" t="s">
        <v>27</v>
      </c>
      <c r="B10692" t="s">
        <v>87</v>
      </c>
      <c r="C10692" t="s">
        <v>867</v>
      </c>
      <c r="D10692" t="s">
        <v>1091</v>
      </c>
      <c r="E10692" t="s">
        <v>994</v>
      </c>
      <c r="F10692" t="s">
        <v>87</v>
      </c>
    </row>
    <row r="10693" spans="1:6">
      <c r="A10693" t="s">
        <v>27</v>
      </c>
      <c r="B10693" t="s">
        <v>87</v>
      </c>
      <c r="C10693" t="s">
        <v>867</v>
      </c>
      <c r="D10693" t="s">
        <v>1091</v>
      </c>
      <c r="E10693" t="s">
        <v>995</v>
      </c>
      <c r="F10693" t="s">
        <v>996</v>
      </c>
    </row>
    <row r="10694" spans="1:6">
      <c r="A10694" t="s">
        <v>27</v>
      </c>
      <c r="B10694" t="s">
        <v>87</v>
      </c>
      <c r="C10694" t="s">
        <v>867</v>
      </c>
      <c r="D10694" t="s">
        <v>1091</v>
      </c>
      <c r="E10694" t="s">
        <v>997</v>
      </c>
      <c r="F10694" t="s">
        <v>1511</v>
      </c>
    </row>
    <row r="10695" spans="1:6">
      <c r="A10695" t="s">
        <v>27</v>
      </c>
      <c r="B10695" t="s">
        <v>87</v>
      </c>
      <c r="C10695" t="s">
        <v>867</v>
      </c>
      <c r="D10695" t="s">
        <v>1091</v>
      </c>
      <c r="E10695" t="s">
        <v>999</v>
      </c>
      <c r="F10695" t="s">
        <v>1000</v>
      </c>
    </row>
    <row r="10696" spans="1:6">
      <c r="A10696" t="s">
        <v>27</v>
      </c>
      <c r="B10696" t="s">
        <v>87</v>
      </c>
      <c r="C10696" t="s">
        <v>867</v>
      </c>
      <c r="D10696" t="s">
        <v>1091</v>
      </c>
      <c r="E10696" t="s">
        <v>1001</v>
      </c>
      <c r="F10696" t="s">
        <v>10</v>
      </c>
    </row>
    <row r="10697" spans="1:6">
      <c r="A10697" t="s">
        <v>27</v>
      </c>
      <c r="B10697" t="s">
        <v>87</v>
      </c>
      <c r="C10697" t="s">
        <v>867</v>
      </c>
      <c r="D10697" t="s">
        <v>1091</v>
      </c>
      <c r="E10697" t="s">
        <v>1002</v>
      </c>
      <c r="F10697" t="s">
        <v>1095</v>
      </c>
    </row>
    <row r="10698" spans="1:6">
      <c r="A10698" t="s">
        <v>27</v>
      </c>
      <c r="B10698" t="s">
        <v>87</v>
      </c>
      <c r="C10698" t="s">
        <v>867</v>
      </c>
      <c r="D10698" t="s">
        <v>1091</v>
      </c>
      <c r="E10698" t="s">
        <v>1096</v>
      </c>
      <c r="F10698" t="s">
        <v>1005</v>
      </c>
    </row>
    <row r="10699" spans="1:6">
      <c r="A10699" t="s">
        <v>27</v>
      </c>
      <c r="B10699" t="s">
        <v>87</v>
      </c>
      <c r="C10699" t="s">
        <v>867</v>
      </c>
      <c r="D10699" t="s">
        <v>1091</v>
      </c>
      <c r="E10699" t="s">
        <v>1006</v>
      </c>
      <c r="F10699" t="s">
        <v>1097</v>
      </c>
    </row>
    <row r="10700" spans="1:6">
      <c r="A10700" t="s">
        <v>27</v>
      </c>
      <c r="B10700" t="s">
        <v>87</v>
      </c>
      <c r="C10700" t="s">
        <v>867</v>
      </c>
      <c r="D10700" t="s">
        <v>1091</v>
      </c>
      <c r="E10700" t="s">
        <v>1008</v>
      </c>
      <c r="F10700" t="s">
        <v>1098</v>
      </c>
    </row>
    <row r="10701" spans="1:6">
      <c r="A10701" t="s">
        <v>27</v>
      </c>
      <c r="B10701" t="s">
        <v>87</v>
      </c>
      <c r="C10701" t="s">
        <v>867</v>
      </c>
      <c r="D10701" t="s">
        <v>1091</v>
      </c>
      <c r="E10701" t="s">
        <v>1035</v>
      </c>
      <c r="F10701" t="s">
        <v>1009</v>
      </c>
    </row>
    <row r="10702" spans="1:6">
      <c r="A10702" t="s">
        <v>27</v>
      </c>
      <c r="B10702" t="s">
        <v>87</v>
      </c>
      <c r="C10702" t="s">
        <v>867</v>
      </c>
      <c r="D10702" t="s">
        <v>1091</v>
      </c>
      <c r="E10702" t="s">
        <v>1099</v>
      </c>
      <c r="F10702" t="s">
        <v>50</v>
      </c>
    </row>
    <row r="10703" spans="1:6">
      <c r="A10703" t="s">
        <v>27</v>
      </c>
      <c r="B10703" t="s">
        <v>87</v>
      </c>
      <c r="C10703" t="s">
        <v>867</v>
      </c>
      <c r="D10703" t="s">
        <v>1091</v>
      </c>
      <c r="E10703" t="s">
        <v>1100</v>
      </c>
      <c r="F10703">
        <v>2025</v>
      </c>
    </row>
    <row r="10704" spans="1:6">
      <c r="A10704" t="s">
        <v>27</v>
      </c>
      <c r="B10704" t="s">
        <v>87</v>
      </c>
      <c r="C10704" t="s">
        <v>867</v>
      </c>
      <c r="D10704" t="s">
        <v>1091</v>
      </c>
      <c r="E10704" t="s">
        <v>1101</v>
      </c>
      <c r="F10704">
        <v>2026</v>
      </c>
    </row>
    <row r="10705" spans="1:6">
      <c r="A10705" t="s">
        <v>27</v>
      </c>
      <c r="B10705" t="s">
        <v>87</v>
      </c>
      <c r="C10705" t="s">
        <v>867</v>
      </c>
      <c r="D10705" t="s">
        <v>1091</v>
      </c>
      <c r="E10705" t="s">
        <v>1036</v>
      </c>
      <c r="F10705" t="s">
        <v>1102</v>
      </c>
    </row>
    <row r="10706" spans="1:6">
      <c r="A10706" t="s">
        <v>27</v>
      </c>
      <c r="B10706" t="s">
        <v>87</v>
      </c>
      <c r="C10706" t="s">
        <v>867</v>
      </c>
      <c r="D10706" t="s">
        <v>1091</v>
      </c>
      <c r="E10706" t="s">
        <v>1037</v>
      </c>
      <c r="F10706">
        <v>1424685</v>
      </c>
    </row>
    <row r="10707" spans="1:6">
      <c r="A10707" t="s">
        <v>27</v>
      </c>
      <c r="B10707" t="s">
        <v>87</v>
      </c>
      <c r="C10707" t="s">
        <v>867</v>
      </c>
      <c r="D10707" t="s">
        <v>1091</v>
      </c>
      <c r="E10707" t="s">
        <v>1103</v>
      </c>
      <c r="F10707">
        <v>1091686</v>
      </c>
    </row>
    <row r="10708" spans="1:6">
      <c r="A10708" t="s">
        <v>27</v>
      </c>
      <c r="B10708" t="s">
        <v>87</v>
      </c>
      <c r="C10708" t="s">
        <v>867</v>
      </c>
      <c r="D10708" t="s">
        <v>1091</v>
      </c>
      <c r="E10708" t="s">
        <v>1104</v>
      </c>
      <c r="F10708">
        <v>245902</v>
      </c>
    </row>
    <row r="10709" spans="1:6">
      <c r="A10709" t="s">
        <v>27</v>
      </c>
      <c r="B10709" t="s">
        <v>87</v>
      </c>
      <c r="C10709" t="s">
        <v>867</v>
      </c>
      <c r="D10709" t="s">
        <v>1091</v>
      </c>
      <c r="E10709" t="s">
        <v>1105</v>
      </c>
      <c r="F10709">
        <v>87098</v>
      </c>
    </row>
    <row r="10710" spans="1:6">
      <c r="A10710" t="s">
        <v>27</v>
      </c>
      <c r="B10710" t="s">
        <v>87</v>
      </c>
      <c r="C10710" t="s">
        <v>867</v>
      </c>
      <c r="D10710" t="s">
        <v>1091</v>
      </c>
      <c r="E10710" t="s">
        <v>1038</v>
      </c>
      <c r="F10710" t="s">
        <v>1106</v>
      </c>
    </row>
    <row r="10711" spans="1:6">
      <c r="A10711" t="s">
        <v>27</v>
      </c>
      <c r="B10711" t="s">
        <v>87</v>
      </c>
      <c r="C10711" t="s">
        <v>867</v>
      </c>
      <c r="D10711" t="s">
        <v>1091</v>
      </c>
      <c r="E10711" t="s">
        <v>1039</v>
      </c>
      <c r="F10711">
        <v>1410575</v>
      </c>
    </row>
    <row r="10712" spans="1:6">
      <c r="A10712" t="s">
        <v>27</v>
      </c>
      <c r="B10712" t="s">
        <v>87</v>
      </c>
      <c r="C10712" t="s">
        <v>867</v>
      </c>
      <c r="D10712" t="s">
        <v>1091</v>
      </c>
      <c r="E10712" t="s">
        <v>1040</v>
      </c>
      <c r="F10712">
        <v>1085509</v>
      </c>
    </row>
    <row r="10713" spans="1:6">
      <c r="A10713" t="s">
        <v>27</v>
      </c>
      <c r="B10713" t="s">
        <v>87</v>
      </c>
      <c r="C10713" t="s">
        <v>867</v>
      </c>
      <c r="D10713" t="s">
        <v>1091</v>
      </c>
      <c r="E10713" t="s">
        <v>1041</v>
      </c>
      <c r="F10713">
        <v>244777</v>
      </c>
    </row>
    <row r="10714" spans="1:6">
      <c r="A10714" t="s">
        <v>27</v>
      </c>
      <c r="B10714" t="s">
        <v>87</v>
      </c>
      <c r="C10714" t="s">
        <v>867</v>
      </c>
      <c r="D10714" t="s">
        <v>1091</v>
      </c>
      <c r="E10714" t="s">
        <v>1042</v>
      </c>
      <c r="F10714">
        <v>80289</v>
      </c>
    </row>
    <row r="10715" spans="1:6">
      <c r="A10715" t="s">
        <v>27</v>
      </c>
      <c r="B10715" t="s">
        <v>87</v>
      </c>
      <c r="C10715" t="s">
        <v>867</v>
      </c>
      <c r="D10715" t="s">
        <v>1091</v>
      </c>
      <c r="E10715" t="s">
        <v>1052</v>
      </c>
      <c r="F10715" t="s">
        <v>1107</v>
      </c>
    </row>
    <row r="10716" spans="1:6">
      <c r="A10716" t="s">
        <v>27</v>
      </c>
      <c r="B10716" t="s">
        <v>87</v>
      </c>
      <c r="C10716" t="s">
        <v>867</v>
      </c>
      <c r="D10716" t="s">
        <v>1091</v>
      </c>
      <c r="E10716" t="s">
        <v>1053</v>
      </c>
      <c r="F10716">
        <v>1359331</v>
      </c>
    </row>
    <row r="10717" spans="1:6">
      <c r="A10717" t="s">
        <v>27</v>
      </c>
      <c r="B10717" t="s">
        <v>87</v>
      </c>
      <c r="C10717" t="s">
        <v>867</v>
      </c>
      <c r="D10717" t="s">
        <v>1091</v>
      </c>
      <c r="E10717" t="s">
        <v>1108</v>
      </c>
      <c r="F10717">
        <v>1034854</v>
      </c>
    </row>
    <row r="10718" spans="1:6">
      <c r="A10718" t="s">
        <v>27</v>
      </c>
      <c r="B10718" t="s">
        <v>87</v>
      </c>
      <c r="C10718" t="s">
        <v>867</v>
      </c>
      <c r="D10718" t="s">
        <v>1091</v>
      </c>
      <c r="E10718" t="s">
        <v>1109</v>
      </c>
      <c r="F10718">
        <v>244214</v>
      </c>
    </row>
    <row r="10719" spans="1:6">
      <c r="A10719" t="s">
        <v>27</v>
      </c>
      <c r="B10719" t="s">
        <v>87</v>
      </c>
      <c r="C10719" t="s">
        <v>867</v>
      </c>
      <c r="D10719" t="s">
        <v>1091</v>
      </c>
      <c r="E10719" t="s">
        <v>1110</v>
      </c>
      <c r="F10719">
        <v>80263</v>
      </c>
    </row>
    <row r="10720" spans="1:6">
      <c r="A10720" t="s">
        <v>27</v>
      </c>
      <c r="B10720" t="s">
        <v>87</v>
      </c>
      <c r="C10720" t="s">
        <v>867</v>
      </c>
      <c r="D10720" t="s">
        <v>1091</v>
      </c>
      <c r="E10720" t="s">
        <v>1111</v>
      </c>
      <c r="F10720" t="s">
        <v>1307</v>
      </c>
    </row>
    <row r="10721" spans="1:6">
      <c r="A10721" t="s">
        <v>27</v>
      </c>
      <c r="B10721" t="s">
        <v>87</v>
      </c>
      <c r="C10721" t="s">
        <v>867</v>
      </c>
      <c r="D10721" t="s">
        <v>1091</v>
      </c>
      <c r="E10721" t="s">
        <v>1113</v>
      </c>
      <c r="F10721">
        <v>0</v>
      </c>
    </row>
    <row r="10722" spans="1:6">
      <c r="A10722" t="s">
        <v>27</v>
      </c>
      <c r="B10722" t="s">
        <v>87</v>
      </c>
      <c r="C10722" t="s">
        <v>867</v>
      </c>
      <c r="D10722" t="s">
        <v>1091</v>
      </c>
      <c r="E10722" t="s">
        <v>1114</v>
      </c>
      <c r="F10722">
        <v>0</v>
      </c>
    </row>
    <row r="10723" spans="1:6">
      <c r="A10723" t="s">
        <v>27</v>
      </c>
      <c r="B10723" t="s">
        <v>87</v>
      </c>
      <c r="C10723" t="s">
        <v>867</v>
      </c>
      <c r="D10723" t="s">
        <v>1091</v>
      </c>
      <c r="E10723" t="s">
        <v>1115</v>
      </c>
      <c r="F10723">
        <v>0</v>
      </c>
    </row>
    <row r="10724" spans="1:6">
      <c r="A10724" t="s">
        <v>27</v>
      </c>
      <c r="B10724" t="s">
        <v>87</v>
      </c>
      <c r="C10724" t="s">
        <v>867</v>
      </c>
      <c r="D10724" t="s">
        <v>1091</v>
      </c>
      <c r="E10724" t="s">
        <v>1116</v>
      </c>
      <c r="F10724">
        <v>0</v>
      </c>
    </row>
    <row r="10725" spans="1:6">
      <c r="A10725" t="s">
        <v>27</v>
      </c>
      <c r="B10725" t="s">
        <v>87</v>
      </c>
      <c r="C10725" t="s">
        <v>867</v>
      </c>
      <c r="D10725" t="s">
        <v>1091</v>
      </c>
      <c r="E10725" t="s">
        <v>1054</v>
      </c>
      <c r="F10725" t="s">
        <v>1308</v>
      </c>
    </row>
    <row r="10726" spans="1:6">
      <c r="A10726" t="s">
        <v>27</v>
      </c>
      <c r="B10726" t="s">
        <v>87</v>
      </c>
      <c r="C10726" t="s">
        <v>867</v>
      </c>
      <c r="D10726" t="s">
        <v>1091</v>
      </c>
      <c r="E10726" t="s">
        <v>1118</v>
      </c>
      <c r="F10726">
        <v>51244</v>
      </c>
    </row>
    <row r="10727" spans="1:6">
      <c r="A10727" t="s">
        <v>27</v>
      </c>
      <c r="B10727" t="s">
        <v>87</v>
      </c>
      <c r="C10727" t="s">
        <v>867</v>
      </c>
      <c r="D10727" t="s">
        <v>1091</v>
      </c>
      <c r="E10727" t="s">
        <v>1119</v>
      </c>
      <c r="F10727">
        <v>50654</v>
      </c>
    </row>
    <row r="10728" spans="1:6">
      <c r="A10728" t="s">
        <v>27</v>
      </c>
      <c r="B10728" t="s">
        <v>87</v>
      </c>
      <c r="C10728" t="s">
        <v>867</v>
      </c>
      <c r="D10728" t="s">
        <v>1091</v>
      </c>
      <c r="E10728" t="s">
        <v>1120</v>
      </c>
      <c r="F10728">
        <v>563</v>
      </c>
    </row>
    <row r="10729" spans="1:6">
      <c r="A10729" t="s">
        <v>27</v>
      </c>
      <c r="B10729" t="s">
        <v>87</v>
      </c>
      <c r="C10729" t="s">
        <v>867</v>
      </c>
      <c r="D10729" t="s">
        <v>1091</v>
      </c>
      <c r="E10729" t="s">
        <v>1121</v>
      </c>
      <c r="F10729">
        <v>27</v>
      </c>
    </row>
    <row r="10730" spans="1:6">
      <c r="A10730" t="s">
        <v>27</v>
      </c>
      <c r="B10730" t="s">
        <v>87</v>
      </c>
      <c r="C10730" t="s">
        <v>867</v>
      </c>
      <c r="D10730" t="s">
        <v>1091</v>
      </c>
      <c r="E10730" t="s">
        <v>1122</v>
      </c>
      <c r="F10730" t="s">
        <v>1123</v>
      </c>
    </row>
    <row r="10731" spans="1:6">
      <c r="A10731" t="s">
        <v>27</v>
      </c>
      <c r="B10731" t="s">
        <v>87</v>
      </c>
      <c r="C10731" t="s">
        <v>867</v>
      </c>
      <c r="D10731" t="s">
        <v>1091</v>
      </c>
      <c r="E10731" t="s">
        <v>1124</v>
      </c>
      <c r="F10731" t="s">
        <v>1242</v>
      </c>
    </row>
    <row r="10732" spans="1:6">
      <c r="A10732" t="s">
        <v>27</v>
      </c>
      <c r="B10732" t="s">
        <v>87</v>
      </c>
      <c r="C10732" t="s">
        <v>867</v>
      </c>
      <c r="D10732" t="s">
        <v>1091</v>
      </c>
      <c r="E10732" t="s">
        <v>1126</v>
      </c>
      <c r="F10732" t="s">
        <v>1242</v>
      </c>
    </row>
    <row r="10733" spans="1:6">
      <c r="A10733" t="s">
        <v>27</v>
      </c>
      <c r="B10733" t="s">
        <v>87</v>
      </c>
      <c r="C10733" t="s">
        <v>867</v>
      </c>
      <c r="D10733" t="s">
        <v>1091</v>
      </c>
      <c r="E10733" t="s">
        <v>1127</v>
      </c>
      <c r="F10733" t="s">
        <v>1125</v>
      </c>
    </row>
    <row r="10734" spans="1:6">
      <c r="A10734" t="s">
        <v>27</v>
      </c>
      <c r="B10734" t="s">
        <v>87</v>
      </c>
      <c r="C10734" t="s">
        <v>867</v>
      </c>
      <c r="D10734" t="s">
        <v>1091</v>
      </c>
      <c r="E10734" t="s">
        <v>1128</v>
      </c>
      <c r="F10734" t="s">
        <v>1495</v>
      </c>
    </row>
    <row r="10735" spans="1:6">
      <c r="A10735" t="s">
        <v>27</v>
      </c>
      <c r="B10735" t="s">
        <v>87</v>
      </c>
      <c r="C10735" t="s">
        <v>867</v>
      </c>
      <c r="D10735" t="s">
        <v>1091</v>
      </c>
      <c r="E10735" t="s">
        <v>1056</v>
      </c>
      <c r="F10735" t="s">
        <v>1130</v>
      </c>
    </row>
    <row r="10736" spans="1:6">
      <c r="A10736" t="s">
        <v>27</v>
      </c>
      <c r="B10736" t="s">
        <v>87</v>
      </c>
      <c r="C10736" t="s">
        <v>867</v>
      </c>
      <c r="D10736" t="s">
        <v>1091</v>
      </c>
      <c r="E10736" t="s">
        <v>1057</v>
      </c>
      <c r="F10736">
        <v>14110</v>
      </c>
    </row>
    <row r="10737" spans="1:6">
      <c r="A10737" t="s">
        <v>27</v>
      </c>
      <c r="B10737" t="s">
        <v>87</v>
      </c>
      <c r="C10737" t="s">
        <v>867</v>
      </c>
      <c r="D10737" t="s">
        <v>1091</v>
      </c>
      <c r="E10737" t="s">
        <v>1058</v>
      </c>
      <c r="F10737">
        <v>6177</v>
      </c>
    </row>
    <row r="10738" spans="1:6">
      <c r="A10738" t="s">
        <v>27</v>
      </c>
      <c r="B10738" t="s">
        <v>87</v>
      </c>
      <c r="C10738" t="s">
        <v>867</v>
      </c>
      <c r="D10738" t="s">
        <v>1091</v>
      </c>
      <c r="E10738" t="s">
        <v>1059</v>
      </c>
      <c r="F10738">
        <v>1125</v>
      </c>
    </row>
    <row r="10739" spans="1:6">
      <c r="A10739" t="s">
        <v>27</v>
      </c>
      <c r="B10739" t="s">
        <v>87</v>
      </c>
      <c r="C10739" t="s">
        <v>867</v>
      </c>
      <c r="D10739" t="s">
        <v>1091</v>
      </c>
      <c r="E10739" t="s">
        <v>1060</v>
      </c>
      <c r="F10739">
        <v>6808</v>
      </c>
    </row>
    <row r="10740" spans="1:6">
      <c r="A10740" t="s">
        <v>27</v>
      </c>
      <c r="B10740" t="s">
        <v>87</v>
      </c>
      <c r="C10740" t="s">
        <v>867</v>
      </c>
      <c r="D10740" t="s">
        <v>1091</v>
      </c>
      <c r="E10740" t="s">
        <v>1071</v>
      </c>
      <c r="F10740" t="s">
        <v>1131</v>
      </c>
    </row>
    <row r="10741" spans="1:6">
      <c r="A10741" t="s">
        <v>27</v>
      </c>
      <c r="B10741" t="s">
        <v>87</v>
      </c>
      <c r="C10741" t="s">
        <v>867</v>
      </c>
      <c r="D10741" t="s">
        <v>1091</v>
      </c>
      <c r="E10741" t="s">
        <v>1072</v>
      </c>
      <c r="F10741" t="s">
        <v>1310</v>
      </c>
    </row>
    <row r="10742" spans="1:6">
      <c r="A10742" t="s">
        <v>27</v>
      </c>
      <c r="B10742" t="s">
        <v>87</v>
      </c>
      <c r="C10742" t="s">
        <v>867</v>
      </c>
      <c r="D10742" t="s">
        <v>1091</v>
      </c>
      <c r="E10742" t="s">
        <v>1133</v>
      </c>
      <c r="F10742" t="s">
        <v>1310</v>
      </c>
    </row>
    <row r="10743" spans="1:6">
      <c r="A10743" t="s">
        <v>27</v>
      </c>
      <c r="B10743" t="s">
        <v>87</v>
      </c>
      <c r="C10743" t="s">
        <v>867</v>
      </c>
      <c r="D10743" t="s">
        <v>1091</v>
      </c>
      <c r="E10743" t="s">
        <v>1134</v>
      </c>
      <c r="F10743" t="s">
        <v>1132</v>
      </c>
    </row>
    <row r="10744" spans="1:6">
      <c r="A10744" t="s">
        <v>27</v>
      </c>
      <c r="B10744" t="s">
        <v>87</v>
      </c>
      <c r="C10744" t="s">
        <v>867</v>
      </c>
      <c r="D10744" t="s">
        <v>1091</v>
      </c>
      <c r="E10744" t="s">
        <v>1135</v>
      </c>
      <c r="F10744" t="s">
        <v>1399</v>
      </c>
    </row>
    <row r="10745" spans="1:6">
      <c r="A10745" t="s">
        <v>27</v>
      </c>
      <c r="B10745" t="s">
        <v>87</v>
      </c>
      <c r="C10745" t="s">
        <v>867</v>
      </c>
      <c r="D10745" t="s">
        <v>1091</v>
      </c>
      <c r="E10745" t="s">
        <v>1076</v>
      </c>
      <c r="F10745" t="s">
        <v>1137</v>
      </c>
    </row>
    <row r="10746" spans="1:6">
      <c r="A10746" t="s">
        <v>27</v>
      </c>
      <c r="B10746" t="s">
        <v>87</v>
      </c>
      <c r="C10746" t="s">
        <v>867</v>
      </c>
      <c r="D10746" t="s">
        <v>1091</v>
      </c>
      <c r="E10746" t="s">
        <v>1077</v>
      </c>
      <c r="F10746">
        <v>0</v>
      </c>
    </row>
    <row r="10747" spans="1:6">
      <c r="A10747" t="s">
        <v>27</v>
      </c>
      <c r="B10747" t="s">
        <v>87</v>
      </c>
      <c r="C10747" t="s">
        <v>867</v>
      </c>
      <c r="D10747" t="s">
        <v>1091</v>
      </c>
      <c r="E10747" t="s">
        <v>1078</v>
      </c>
      <c r="F10747">
        <v>0</v>
      </c>
    </row>
    <row r="10748" spans="1:6">
      <c r="A10748" t="s">
        <v>27</v>
      </c>
      <c r="B10748" t="s">
        <v>87</v>
      </c>
      <c r="C10748" t="s">
        <v>867</v>
      </c>
      <c r="D10748" t="s">
        <v>1091</v>
      </c>
      <c r="E10748" t="s">
        <v>1079</v>
      </c>
      <c r="F10748">
        <v>0</v>
      </c>
    </row>
    <row r="10749" spans="1:6">
      <c r="A10749" t="s">
        <v>27</v>
      </c>
      <c r="B10749" t="s">
        <v>87</v>
      </c>
      <c r="C10749" t="s">
        <v>867</v>
      </c>
      <c r="D10749" t="s">
        <v>1091</v>
      </c>
      <c r="E10749" t="s">
        <v>1090</v>
      </c>
      <c r="F10749" t="s">
        <v>1138</v>
      </c>
    </row>
    <row r="10750" spans="1:6">
      <c r="A10750" t="s">
        <v>27</v>
      </c>
      <c r="B10750" t="s">
        <v>87</v>
      </c>
      <c r="C10750" t="s">
        <v>867</v>
      </c>
      <c r="D10750" t="s">
        <v>1091</v>
      </c>
      <c r="E10750" t="s">
        <v>1139</v>
      </c>
      <c r="F10750" t="s">
        <v>1142</v>
      </c>
    </row>
    <row r="10751" spans="1:6">
      <c r="A10751" t="s">
        <v>27</v>
      </c>
      <c r="B10751" t="s">
        <v>87</v>
      </c>
      <c r="C10751" t="s">
        <v>867</v>
      </c>
      <c r="D10751" t="s">
        <v>1091</v>
      </c>
      <c r="E10751" t="s">
        <v>1140</v>
      </c>
      <c r="F10751" t="s">
        <v>1132</v>
      </c>
    </row>
    <row r="10752" spans="1:6">
      <c r="A10752" t="s">
        <v>27</v>
      </c>
      <c r="B10752" t="s">
        <v>87</v>
      </c>
      <c r="C10752" t="s">
        <v>867</v>
      </c>
      <c r="D10752" t="s">
        <v>1091</v>
      </c>
      <c r="E10752" t="s">
        <v>1141</v>
      </c>
      <c r="F10752" t="s">
        <v>1376</v>
      </c>
    </row>
    <row r="10753" spans="1:6">
      <c r="A10753" t="s">
        <v>27</v>
      </c>
      <c r="B10753" t="s">
        <v>87</v>
      </c>
      <c r="C10753" t="s">
        <v>867</v>
      </c>
      <c r="D10753" t="s">
        <v>1091</v>
      </c>
      <c r="E10753" t="s">
        <v>1143</v>
      </c>
      <c r="F10753" t="s">
        <v>1144</v>
      </c>
    </row>
    <row r="10754" spans="1:6">
      <c r="A10754" t="s">
        <v>27</v>
      </c>
      <c r="B10754" t="s">
        <v>87</v>
      </c>
      <c r="C10754" t="s">
        <v>867</v>
      </c>
      <c r="D10754" t="s">
        <v>1091</v>
      </c>
      <c r="E10754" t="s">
        <v>1145</v>
      </c>
      <c r="F10754" t="s">
        <v>1146</v>
      </c>
    </row>
    <row r="10755" spans="1:6">
      <c r="A10755" t="s">
        <v>27</v>
      </c>
      <c r="B10755" t="s">
        <v>87</v>
      </c>
      <c r="C10755" t="s">
        <v>867</v>
      </c>
      <c r="D10755" t="s">
        <v>1091</v>
      </c>
      <c r="E10755" t="s">
        <v>1147</v>
      </c>
      <c r="F10755" t="s">
        <v>1148</v>
      </c>
    </row>
    <row r="10756" spans="1:6">
      <c r="A10756" t="s">
        <v>27</v>
      </c>
      <c r="B10756" t="s">
        <v>87</v>
      </c>
      <c r="C10756" t="s">
        <v>867</v>
      </c>
      <c r="D10756" t="s">
        <v>1091</v>
      </c>
      <c r="E10756" t="s">
        <v>1149</v>
      </c>
      <c r="F10756" t="s">
        <v>1150</v>
      </c>
    </row>
    <row r="10757" spans="1:6">
      <c r="A10757" t="s">
        <v>27</v>
      </c>
      <c r="B10757" t="s">
        <v>87</v>
      </c>
      <c r="C10757" t="s">
        <v>867</v>
      </c>
      <c r="D10757" t="s">
        <v>1091</v>
      </c>
      <c r="E10757" t="s">
        <v>1151</v>
      </c>
      <c r="F10757" t="s">
        <v>1009</v>
      </c>
    </row>
    <row r="10758" spans="1:6">
      <c r="A10758" t="s">
        <v>27</v>
      </c>
      <c r="B10758" t="s">
        <v>87</v>
      </c>
      <c r="C10758" t="s">
        <v>867</v>
      </c>
      <c r="D10758" t="s">
        <v>1091</v>
      </c>
      <c r="E10758" t="s">
        <v>1152</v>
      </c>
      <c r="F10758" t="s">
        <v>1550</v>
      </c>
    </row>
    <row r="10759" spans="1:6">
      <c r="A10759" t="s">
        <v>27</v>
      </c>
      <c r="B10759" t="s">
        <v>87</v>
      </c>
      <c r="C10759" t="s">
        <v>867</v>
      </c>
      <c r="D10759" t="s">
        <v>1091</v>
      </c>
      <c r="E10759" t="s">
        <v>1154</v>
      </c>
      <c r="F10759" t="s">
        <v>1551</v>
      </c>
    </row>
    <row r="10760" spans="1:6">
      <c r="A10760" t="s">
        <v>27</v>
      </c>
      <c r="B10760" t="s">
        <v>87</v>
      </c>
      <c r="C10760" t="s">
        <v>867</v>
      </c>
      <c r="D10760" t="s">
        <v>1091</v>
      </c>
      <c r="E10760" t="s">
        <v>1156</v>
      </c>
      <c r="F10760" t="s">
        <v>1552</v>
      </c>
    </row>
    <row r="10761" spans="1:6">
      <c r="A10761" t="s">
        <v>27</v>
      </c>
      <c r="B10761" t="s">
        <v>87</v>
      </c>
      <c r="C10761" t="s">
        <v>867</v>
      </c>
      <c r="D10761" t="s">
        <v>1091</v>
      </c>
      <c r="E10761" t="s">
        <v>1158</v>
      </c>
      <c r="F10761" t="s">
        <v>1153</v>
      </c>
    </row>
    <row r="10762" spans="1:6">
      <c r="A10762" t="s">
        <v>27</v>
      </c>
      <c r="B10762" t="s">
        <v>87</v>
      </c>
      <c r="C10762" t="s">
        <v>867</v>
      </c>
      <c r="D10762" t="s">
        <v>1091</v>
      </c>
      <c r="E10762" t="s">
        <v>1160</v>
      </c>
      <c r="F10762" t="s">
        <v>1155</v>
      </c>
    </row>
    <row r="10763" spans="1:6">
      <c r="A10763" t="s">
        <v>27</v>
      </c>
      <c r="B10763" t="s">
        <v>87</v>
      </c>
      <c r="C10763" t="s">
        <v>867</v>
      </c>
      <c r="D10763" t="s">
        <v>1091</v>
      </c>
      <c r="E10763" t="s">
        <v>1162</v>
      </c>
      <c r="F10763" t="s">
        <v>1157</v>
      </c>
    </row>
    <row r="10764" spans="1:6">
      <c r="A10764" t="s">
        <v>27</v>
      </c>
      <c r="B10764" t="s">
        <v>87</v>
      </c>
      <c r="C10764" t="s">
        <v>867</v>
      </c>
      <c r="D10764" t="s">
        <v>1091</v>
      </c>
      <c r="E10764" t="s">
        <v>1164</v>
      </c>
      <c r="F10764" t="s">
        <v>1165</v>
      </c>
    </row>
    <row r="10765" spans="1:6">
      <c r="A10765" t="s">
        <v>27</v>
      </c>
      <c r="B10765" t="s">
        <v>87</v>
      </c>
      <c r="C10765" t="s">
        <v>867</v>
      </c>
      <c r="D10765" t="s">
        <v>1091</v>
      </c>
      <c r="E10765" t="s">
        <v>1166</v>
      </c>
      <c r="F10765">
        <v>47142</v>
      </c>
    </row>
    <row r="10766" spans="1:6">
      <c r="A10766" t="s">
        <v>27</v>
      </c>
      <c r="B10766" t="s">
        <v>87</v>
      </c>
      <c r="C10766" t="s">
        <v>867</v>
      </c>
      <c r="D10766" t="s">
        <v>1091</v>
      </c>
      <c r="E10766" t="s">
        <v>1167</v>
      </c>
      <c r="F10766">
        <v>4508</v>
      </c>
    </row>
    <row r="10767" spans="1:6">
      <c r="A10767" t="s">
        <v>27</v>
      </c>
      <c r="B10767" t="s">
        <v>87</v>
      </c>
      <c r="C10767" t="s">
        <v>867</v>
      </c>
      <c r="D10767" t="s">
        <v>1091</v>
      </c>
      <c r="E10767" t="s">
        <v>1168</v>
      </c>
      <c r="F10767">
        <v>6744</v>
      </c>
    </row>
    <row r="10768" spans="1:6">
      <c r="A10768" t="s">
        <v>27</v>
      </c>
      <c r="B10768" t="s">
        <v>87</v>
      </c>
      <c r="C10768" t="s">
        <v>867</v>
      </c>
      <c r="D10768" t="s">
        <v>1091</v>
      </c>
      <c r="E10768" t="s">
        <v>1169</v>
      </c>
      <c r="F10768">
        <v>11384</v>
      </c>
    </row>
    <row r="10769" spans="1:6">
      <c r="A10769" t="s">
        <v>27</v>
      </c>
      <c r="B10769" t="s">
        <v>87</v>
      </c>
      <c r="C10769" t="s">
        <v>867</v>
      </c>
      <c r="D10769" t="s">
        <v>1091</v>
      </c>
      <c r="E10769" t="s">
        <v>1170</v>
      </c>
      <c r="F10769">
        <v>5127</v>
      </c>
    </row>
    <row r="10770" spans="1:6">
      <c r="A10770" t="s">
        <v>27</v>
      </c>
      <c r="B10770" t="s">
        <v>87</v>
      </c>
      <c r="C10770" t="s">
        <v>867</v>
      </c>
      <c r="D10770" t="s">
        <v>1091</v>
      </c>
      <c r="E10770" t="s">
        <v>1171</v>
      </c>
      <c r="F10770">
        <v>13201</v>
      </c>
    </row>
    <row r="10771" spans="1:6">
      <c r="A10771" t="s">
        <v>27</v>
      </c>
      <c r="B10771" t="s">
        <v>87</v>
      </c>
      <c r="C10771" t="s">
        <v>867</v>
      </c>
      <c r="D10771" t="s">
        <v>1091</v>
      </c>
      <c r="E10771" t="s">
        <v>1172</v>
      </c>
      <c r="F10771">
        <v>6180</v>
      </c>
    </row>
    <row r="10772" spans="1:6">
      <c r="A10772" t="s">
        <v>27</v>
      </c>
      <c r="B10772" t="s">
        <v>87</v>
      </c>
      <c r="C10772" t="s">
        <v>867</v>
      </c>
      <c r="D10772" t="s">
        <v>1091</v>
      </c>
      <c r="E10772" t="s">
        <v>1173</v>
      </c>
      <c r="F10772" t="s">
        <v>1174</v>
      </c>
    </row>
    <row r="10773" spans="1:6">
      <c r="A10773" t="s">
        <v>27</v>
      </c>
      <c r="B10773" t="s">
        <v>87</v>
      </c>
      <c r="C10773" t="s">
        <v>867</v>
      </c>
      <c r="D10773" t="s">
        <v>1091</v>
      </c>
      <c r="E10773" t="s">
        <v>1175</v>
      </c>
      <c r="F10773">
        <v>419</v>
      </c>
    </row>
    <row r="10774" spans="1:6">
      <c r="A10774" t="s">
        <v>27</v>
      </c>
      <c r="B10774" t="s">
        <v>87</v>
      </c>
      <c r="C10774" t="s">
        <v>867</v>
      </c>
      <c r="D10774" t="s">
        <v>1091</v>
      </c>
      <c r="E10774" t="s">
        <v>1176</v>
      </c>
      <c r="F10774">
        <v>25</v>
      </c>
    </row>
    <row r="10775" spans="1:6">
      <c r="A10775" t="s">
        <v>27</v>
      </c>
      <c r="B10775" t="s">
        <v>87</v>
      </c>
      <c r="C10775" t="s">
        <v>867</v>
      </c>
      <c r="D10775" t="s">
        <v>1091</v>
      </c>
      <c r="E10775" t="s">
        <v>1177</v>
      </c>
      <c r="F10775">
        <v>82</v>
      </c>
    </row>
    <row r="10776" spans="1:6">
      <c r="A10776" t="s">
        <v>27</v>
      </c>
      <c r="B10776" t="s">
        <v>87</v>
      </c>
      <c r="C10776" t="s">
        <v>867</v>
      </c>
      <c r="D10776" t="s">
        <v>1091</v>
      </c>
      <c r="E10776" t="s">
        <v>1178</v>
      </c>
      <c r="F10776">
        <v>99</v>
      </c>
    </row>
    <row r="10777" spans="1:6">
      <c r="A10777" t="s">
        <v>27</v>
      </c>
      <c r="B10777" t="s">
        <v>87</v>
      </c>
      <c r="C10777" t="s">
        <v>867</v>
      </c>
      <c r="D10777" t="s">
        <v>1091</v>
      </c>
      <c r="E10777" t="s">
        <v>1179</v>
      </c>
      <c r="F10777">
        <v>70</v>
      </c>
    </row>
    <row r="10778" spans="1:6">
      <c r="A10778" t="s">
        <v>27</v>
      </c>
      <c r="B10778" t="s">
        <v>87</v>
      </c>
      <c r="C10778" t="s">
        <v>867</v>
      </c>
      <c r="D10778" t="s">
        <v>1091</v>
      </c>
      <c r="E10778" t="s">
        <v>1180</v>
      </c>
      <c r="F10778">
        <v>68</v>
      </c>
    </row>
    <row r="10779" spans="1:6">
      <c r="A10779" t="s">
        <v>27</v>
      </c>
      <c r="B10779" t="s">
        <v>87</v>
      </c>
      <c r="C10779" t="s">
        <v>867</v>
      </c>
      <c r="D10779" t="s">
        <v>1091</v>
      </c>
      <c r="E10779" t="s">
        <v>1181</v>
      </c>
      <c r="F10779">
        <v>75</v>
      </c>
    </row>
    <row r="10780" spans="1:6">
      <c r="A10780" t="s">
        <v>27</v>
      </c>
      <c r="B10780" t="s">
        <v>87</v>
      </c>
      <c r="C10780" t="s">
        <v>867</v>
      </c>
      <c r="D10780" t="s">
        <v>1091</v>
      </c>
      <c r="E10780" t="s">
        <v>1182</v>
      </c>
      <c r="F10780" t="s">
        <v>1183</v>
      </c>
    </row>
    <row r="10781" spans="1:6">
      <c r="A10781" t="s">
        <v>27</v>
      </c>
      <c r="B10781" t="s">
        <v>87</v>
      </c>
      <c r="C10781" t="s">
        <v>867</v>
      </c>
      <c r="D10781" t="s">
        <v>1091</v>
      </c>
      <c r="E10781" t="s">
        <v>1184</v>
      </c>
      <c r="F10781">
        <v>41076</v>
      </c>
    </row>
    <row r="10782" spans="1:6">
      <c r="A10782" t="s">
        <v>27</v>
      </c>
      <c r="B10782" t="s">
        <v>87</v>
      </c>
      <c r="C10782" t="s">
        <v>867</v>
      </c>
      <c r="D10782" t="s">
        <v>1091</v>
      </c>
      <c r="E10782" t="s">
        <v>1185</v>
      </c>
      <c r="F10782">
        <v>0</v>
      </c>
    </row>
    <row r="10783" spans="1:6">
      <c r="A10783" t="s">
        <v>27</v>
      </c>
      <c r="B10783" t="s">
        <v>87</v>
      </c>
      <c r="C10783" t="s">
        <v>867</v>
      </c>
      <c r="D10783" t="s">
        <v>1091</v>
      </c>
      <c r="E10783" t="s">
        <v>1186</v>
      </c>
      <c r="F10783">
        <v>5192</v>
      </c>
    </row>
    <row r="10784" spans="1:6">
      <c r="A10784" t="s">
        <v>27</v>
      </c>
      <c r="B10784" t="s">
        <v>87</v>
      </c>
      <c r="C10784" t="s">
        <v>867</v>
      </c>
      <c r="D10784" t="s">
        <v>1091</v>
      </c>
      <c r="E10784" t="s">
        <v>1187</v>
      </c>
      <c r="F10784">
        <v>11376</v>
      </c>
    </row>
    <row r="10785" spans="1:6">
      <c r="A10785" t="s">
        <v>27</v>
      </c>
      <c r="B10785" t="s">
        <v>87</v>
      </c>
      <c r="C10785" t="s">
        <v>867</v>
      </c>
      <c r="D10785" t="s">
        <v>1091</v>
      </c>
      <c r="E10785" t="s">
        <v>1188</v>
      </c>
      <c r="F10785">
        <v>5127</v>
      </c>
    </row>
    <row r="10786" spans="1:6">
      <c r="A10786" t="s">
        <v>27</v>
      </c>
      <c r="B10786" t="s">
        <v>87</v>
      </c>
      <c r="C10786" t="s">
        <v>867</v>
      </c>
      <c r="D10786" t="s">
        <v>1091</v>
      </c>
      <c r="E10786" t="s">
        <v>1189</v>
      </c>
      <c r="F10786">
        <v>13201</v>
      </c>
    </row>
    <row r="10787" spans="1:6">
      <c r="A10787" t="s">
        <v>27</v>
      </c>
      <c r="B10787" t="s">
        <v>87</v>
      </c>
      <c r="C10787" t="s">
        <v>867</v>
      </c>
      <c r="D10787" t="s">
        <v>1091</v>
      </c>
      <c r="E10787" t="s">
        <v>1190</v>
      </c>
      <c r="F10787">
        <v>6180</v>
      </c>
    </row>
    <row r="10788" spans="1:6">
      <c r="A10788" t="s">
        <v>27</v>
      </c>
      <c r="B10788" t="s">
        <v>87</v>
      </c>
      <c r="C10788" t="s">
        <v>867</v>
      </c>
      <c r="D10788" t="s">
        <v>1091</v>
      </c>
      <c r="E10788" t="s">
        <v>1191</v>
      </c>
      <c r="F10788" t="s">
        <v>1192</v>
      </c>
    </row>
    <row r="10789" spans="1:6">
      <c r="A10789" t="s">
        <v>27</v>
      </c>
      <c r="B10789" t="s">
        <v>87</v>
      </c>
      <c r="C10789" t="s">
        <v>867</v>
      </c>
      <c r="D10789" t="s">
        <v>1091</v>
      </c>
      <c r="E10789" t="s">
        <v>1193</v>
      </c>
      <c r="F10789">
        <v>0</v>
      </c>
    </row>
    <row r="10790" spans="1:6">
      <c r="A10790" t="s">
        <v>27</v>
      </c>
      <c r="B10790" t="s">
        <v>87</v>
      </c>
      <c r="C10790" t="s">
        <v>867</v>
      </c>
      <c r="D10790" t="s">
        <v>1091</v>
      </c>
      <c r="E10790" t="s">
        <v>1194</v>
      </c>
      <c r="F10790">
        <v>54</v>
      </c>
    </row>
    <row r="10791" spans="1:6">
      <c r="A10791" t="s">
        <v>27</v>
      </c>
      <c r="B10791" t="s">
        <v>87</v>
      </c>
      <c r="C10791" t="s">
        <v>867</v>
      </c>
      <c r="D10791" t="s">
        <v>1091</v>
      </c>
      <c r="E10791" t="s">
        <v>1195</v>
      </c>
      <c r="F10791">
        <v>95</v>
      </c>
    </row>
    <row r="10792" spans="1:6">
      <c r="A10792" t="s">
        <v>27</v>
      </c>
      <c r="B10792" t="s">
        <v>87</v>
      </c>
      <c r="C10792" t="s">
        <v>867</v>
      </c>
      <c r="D10792" t="s">
        <v>1091</v>
      </c>
      <c r="E10792" t="s">
        <v>1196</v>
      </c>
      <c r="F10792">
        <v>70</v>
      </c>
    </row>
    <row r="10793" spans="1:6">
      <c r="A10793" t="s">
        <v>27</v>
      </c>
      <c r="B10793" t="s">
        <v>87</v>
      </c>
      <c r="C10793" t="s">
        <v>867</v>
      </c>
      <c r="D10793" t="s">
        <v>1091</v>
      </c>
      <c r="E10793" t="s">
        <v>1197</v>
      </c>
      <c r="F10793">
        <v>68</v>
      </c>
    </row>
    <row r="10794" spans="1:6">
      <c r="A10794" t="s">
        <v>27</v>
      </c>
      <c r="B10794" t="s">
        <v>87</v>
      </c>
      <c r="C10794" t="s">
        <v>867</v>
      </c>
      <c r="D10794" t="s">
        <v>1091</v>
      </c>
      <c r="E10794" t="s">
        <v>1198</v>
      </c>
      <c r="F10794">
        <v>75</v>
      </c>
    </row>
    <row r="10795" spans="1:6">
      <c r="A10795" t="s">
        <v>27</v>
      </c>
      <c r="B10795" t="s">
        <v>87</v>
      </c>
      <c r="C10795" t="s">
        <v>867</v>
      </c>
      <c r="D10795" t="s">
        <v>1091</v>
      </c>
      <c r="E10795" t="s">
        <v>1199</v>
      </c>
      <c r="F10795" t="s">
        <v>1200</v>
      </c>
    </row>
    <row r="10796" spans="1:6">
      <c r="A10796" t="s">
        <v>27</v>
      </c>
      <c r="B10796" t="s">
        <v>87</v>
      </c>
      <c r="C10796" t="s">
        <v>867</v>
      </c>
      <c r="D10796" t="s">
        <v>1091</v>
      </c>
      <c r="E10796" t="s">
        <v>1201</v>
      </c>
      <c r="F10796" t="s">
        <v>1107</v>
      </c>
    </row>
    <row r="10797" spans="1:6">
      <c r="A10797" t="s">
        <v>27</v>
      </c>
      <c r="B10797" t="s">
        <v>87</v>
      </c>
      <c r="C10797" t="s">
        <v>867</v>
      </c>
      <c r="D10797" t="s">
        <v>1091</v>
      </c>
      <c r="E10797" t="s">
        <v>1202</v>
      </c>
      <c r="F10797">
        <v>41049</v>
      </c>
    </row>
    <row r="10798" spans="1:6">
      <c r="A10798" t="s">
        <v>27</v>
      </c>
      <c r="B10798" t="s">
        <v>87</v>
      </c>
      <c r="C10798" t="s">
        <v>867</v>
      </c>
      <c r="D10798" t="s">
        <v>1091</v>
      </c>
      <c r="E10798" t="s">
        <v>1203</v>
      </c>
      <c r="F10798">
        <v>0</v>
      </c>
    </row>
    <row r="10799" spans="1:6">
      <c r="A10799" t="s">
        <v>27</v>
      </c>
      <c r="B10799" t="s">
        <v>87</v>
      </c>
      <c r="C10799" t="s">
        <v>867</v>
      </c>
      <c r="D10799" t="s">
        <v>1091</v>
      </c>
      <c r="E10799" t="s">
        <v>1204</v>
      </c>
      <c r="F10799">
        <v>5166</v>
      </c>
    </row>
    <row r="10800" spans="1:6">
      <c r="A10800" t="s">
        <v>27</v>
      </c>
      <c r="B10800" t="s">
        <v>87</v>
      </c>
      <c r="C10800" t="s">
        <v>867</v>
      </c>
      <c r="D10800" t="s">
        <v>1091</v>
      </c>
      <c r="E10800" t="s">
        <v>1205</v>
      </c>
      <c r="F10800">
        <v>11376</v>
      </c>
    </row>
    <row r="10801" spans="1:6">
      <c r="A10801" t="s">
        <v>27</v>
      </c>
      <c r="B10801" t="s">
        <v>87</v>
      </c>
      <c r="C10801" t="s">
        <v>867</v>
      </c>
      <c r="D10801" t="s">
        <v>1091</v>
      </c>
      <c r="E10801" t="s">
        <v>1206</v>
      </c>
      <c r="F10801">
        <v>5127</v>
      </c>
    </row>
    <row r="10802" spans="1:6">
      <c r="A10802" t="s">
        <v>27</v>
      </c>
      <c r="B10802" t="s">
        <v>87</v>
      </c>
      <c r="C10802" t="s">
        <v>867</v>
      </c>
      <c r="D10802" t="s">
        <v>1091</v>
      </c>
      <c r="E10802" t="s">
        <v>1207</v>
      </c>
      <c r="F10802">
        <v>13201</v>
      </c>
    </row>
    <row r="10803" spans="1:6">
      <c r="A10803" t="s">
        <v>27</v>
      </c>
      <c r="B10803" t="s">
        <v>87</v>
      </c>
      <c r="C10803" t="s">
        <v>867</v>
      </c>
      <c r="D10803" t="s">
        <v>1091</v>
      </c>
      <c r="E10803" t="s">
        <v>1208</v>
      </c>
      <c r="F10803">
        <v>6180</v>
      </c>
    </row>
    <row r="10804" spans="1:6">
      <c r="A10804" t="s">
        <v>27</v>
      </c>
      <c r="B10804" t="s">
        <v>87</v>
      </c>
      <c r="C10804" t="s">
        <v>867</v>
      </c>
      <c r="D10804" t="s">
        <v>1091</v>
      </c>
      <c r="E10804" t="s">
        <v>1209</v>
      </c>
      <c r="F10804" t="s">
        <v>1307</v>
      </c>
    </row>
    <row r="10805" spans="1:6">
      <c r="A10805" t="s">
        <v>27</v>
      </c>
      <c r="B10805" t="s">
        <v>87</v>
      </c>
      <c r="C10805" t="s">
        <v>867</v>
      </c>
      <c r="D10805" t="s">
        <v>1091</v>
      </c>
      <c r="E10805" t="s">
        <v>1210</v>
      </c>
      <c r="F10805">
        <v>0</v>
      </c>
    </row>
    <row r="10806" spans="1:6">
      <c r="A10806" t="s">
        <v>27</v>
      </c>
      <c r="B10806" t="s">
        <v>87</v>
      </c>
      <c r="C10806" t="s">
        <v>867</v>
      </c>
      <c r="D10806" t="s">
        <v>1091</v>
      </c>
      <c r="E10806" t="s">
        <v>1211</v>
      </c>
      <c r="F10806">
        <v>0</v>
      </c>
    </row>
    <row r="10807" spans="1:6">
      <c r="A10807" t="s">
        <v>27</v>
      </c>
      <c r="B10807" t="s">
        <v>87</v>
      </c>
      <c r="C10807" t="s">
        <v>867</v>
      </c>
      <c r="D10807" t="s">
        <v>1091</v>
      </c>
      <c r="E10807" t="s">
        <v>1212</v>
      </c>
      <c r="F10807">
        <v>0</v>
      </c>
    </row>
    <row r="10808" spans="1:6">
      <c r="A10808" t="s">
        <v>27</v>
      </c>
      <c r="B10808" t="s">
        <v>87</v>
      </c>
      <c r="C10808" t="s">
        <v>867</v>
      </c>
      <c r="D10808" t="s">
        <v>1091</v>
      </c>
      <c r="E10808" t="s">
        <v>1213</v>
      </c>
      <c r="F10808">
        <v>0</v>
      </c>
    </row>
    <row r="10809" spans="1:6">
      <c r="A10809" t="s">
        <v>27</v>
      </c>
      <c r="B10809" t="s">
        <v>87</v>
      </c>
      <c r="C10809" t="s">
        <v>867</v>
      </c>
      <c r="D10809" t="s">
        <v>1091</v>
      </c>
      <c r="E10809" t="s">
        <v>1214</v>
      </c>
      <c r="F10809">
        <v>0</v>
      </c>
    </row>
    <row r="10810" spans="1:6">
      <c r="A10810" t="s">
        <v>27</v>
      </c>
      <c r="B10810" t="s">
        <v>87</v>
      </c>
      <c r="C10810" t="s">
        <v>867</v>
      </c>
      <c r="D10810" t="s">
        <v>1091</v>
      </c>
      <c r="E10810" t="s">
        <v>1215</v>
      </c>
      <c r="F10810">
        <v>0</v>
      </c>
    </row>
    <row r="10811" spans="1:6">
      <c r="A10811" t="s">
        <v>27</v>
      </c>
      <c r="B10811" t="s">
        <v>87</v>
      </c>
      <c r="C10811" t="s">
        <v>867</v>
      </c>
      <c r="D10811" t="s">
        <v>1091</v>
      </c>
      <c r="E10811" t="s">
        <v>1216</v>
      </c>
      <c r="F10811">
        <v>0</v>
      </c>
    </row>
    <row r="10812" spans="1:6">
      <c r="A10812" t="s">
        <v>27</v>
      </c>
      <c r="B10812" t="s">
        <v>87</v>
      </c>
      <c r="C10812" t="s">
        <v>867</v>
      </c>
      <c r="D10812" t="s">
        <v>1091</v>
      </c>
      <c r="E10812" t="s">
        <v>1217</v>
      </c>
      <c r="F10812" t="s">
        <v>1308</v>
      </c>
    </row>
    <row r="10813" spans="1:6">
      <c r="A10813" t="s">
        <v>27</v>
      </c>
      <c r="B10813" t="s">
        <v>87</v>
      </c>
      <c r="C10813" t="s">
        <v>867</v>
      </c>
      <c r="D10813" t="s">
        <v>1091</v>
      </c>
      <c r="E10813" t="s">
        <v>1218</v>
      </c>
      <c r="F10813">
        <v>27</v>
      </c>
    </row>
    <row r="10814" spans="1:6">
      <c r="A10814" t="s">
        <v>27</v>
      </c>
      <c r="B10814" t="s">
        <v>87</v>
      </c>
      <c r="C10814" t="s">
        <v>867</v>
      </c>
      <c r="D10814" t="s">
        <v>1091</v>
      </c>
      <c r="E10814" t="s">
        <v>1219</v>
      </c>
      <c r="F10814">
        <v>0</v>
      </c>
    </row>
    <row r="10815" spans="1:6">
      <c r="A10815" t="s">
        <v>27</v>
      </c>
      <c r="B10815" t="s">
        <v>87</v>
      </c>
      <c r="C10815" t="s">
        <v>867</v>
      </c>
      <c r="D10815" t="s">
        <v>1091</v>
      </c>
      <c r="E10815" t="s">
        <v>1220</v>
      </c>
      <c r="F10815">
        <v>27</v>
      </c>
    </row>
    <row r="10816" spans="1:6">
      <c r="A10816" t="s">
        <v>27</v>
      </c>
      <c r="B10816" t="s">
        <v>87</v>
      </c>
      <c r="C10816" t="s">
        <v>867</v>
      </c>
      <c r="D10816" t="s">
        <v>1091</v>
      </c>
      <c r="E10816" t="s">
        <v>1221</v>
      </c>
      <c r="F10816">
        <v>0</v>
      </c>
    </row>
    <row r="10817" spans="1:6">
      <c r="A10817" t="s">
        <v>27</v>
      </c>
      <c r="B10817" t="s">
        <v>87</v>
      </c>
      <c r="C10817" t="s">
        <v>867</v>
      </c>
      <c r="D10817" t="s">
        <v>1091</v>
      </c>
      <c r="E10817" t="s">
        <v>1222</v>
      </c>
      <c r="F10817">
        <v>0</v>
      </c>
    </row>
    <row r="10818" spans="1:6">
      <c r="A10818" t="s">
        <v>27</v>
      </c>
      <c r="B10818" t="s">
        <v>87</v>
      </c>
      <c r="C10818" t="s">
        <v>867</v>
      </c>
      <c r="D10818" t="s">
        <v>1091</v>
      </c>
      <c r="E10818" t="s">
        <v>1223</v>
      </c>
      <c r="F10818">
        <v>0</v>
      </c>
    </row>
    <row r="10819" spans="1:6">
      <c r="A10819" t="s">
        <v>27</v>
      </c>
      <c r="B10819" t="s">
        <v>87</v>
      </c>
      <c r="C10819" t="s">
        <v>867</v>
      </c>
      <c r="D10819" t="s">
        <v>1091</v>
      </c>
      <c r="E10819" t="s">
        <v>1224</v>
      </c>
      <c r="F10819">
        <v>0</v>
      </c>
    </row>
    <row r="10820" spans="1:6">
      <c r="A10820" t="s">
        <v>27</v>
      </c>
      <c r="B10820" t="s">
        <v>87</v>
      </c>
      <c r="C10820" t="s">
        <v>867</v>
      </c>
      <c r="D10820" t="s">
        <v>1091</v>
      </c>
      <c r="E10820" t="s">
        <v>1225</v>
      </c>
      <c r="F10820" t="s">
        <v>1226</v>
      </c>
    </row>
    <row r="10821" spans="1:6">
      <c r="A10821" t="s">
        <v>27</v>
      </c>
      <c r="B10821" t="s">
        <v>87</v>
      </c>
      <c r="C10821" t="s">
        <v>867</v>
      </c>
      <c r="D10821" t="s">
        <v>1091</v>
      </c>
      <c r="E10821" t="s">
        <v>1227</v>
      </c>
      <c r="F10821" t="s">
        <v>1132</v>
      </c>
    </row>
    <row r="10822" spans="1:6">
      <c r="A10822" t="s">
        <v>27</v>
      </c>
      <c r="B10822" t="s">
        <v>87</v>
      </c>
      <c r="C10822" t="s">
        <v>867</v>
      </c>
      <c r="D10822" t="s">
        <v>1091</v>
      </c>
      <c r="E10822" t="s">
        <v>1228</v>
      </c>
      <c r="F10822" t="s">
        <v>1381</v>
      </c>
    </row>
    <row r="10823" spans="1:6">
      <c r="A10823" t="s">
        <v>27</v>
      </c>
      <c r="B10823" t="s">
        <v>87</v>
      </c>
      <c r="C10823" t="s">
        <v>867</v>
      </c>
      <c r="D10823" t="s">
        <v>1091</v>
      </c>
      <c r="E10823" t="s">
        <v>1230</v>
      </c>
      <c r="F10823" t="s">
        <v>1125</v>
      </c>
    </row>
    <row r="10824" spans="1:6">
      <c r="A10824" t="s">
        <v>27</v>
      </c>
      <c r="B10824" t="s">
        <v>87</v>
      </c>
      <c r="C10824" t="s">
        <v>867</v>
      </c>
      <c r="D10824" t="s">
        <v>1091</v>
      </c>
      <c r="E10824" t="s">
        <v>1231</v>
      </c>
      <c r="F10824" t="s">
        <v>1125</v>
      </c>
    </row>
    <row r="10825" spans="1:6">
      <c r="A10825" t="s">
        <v>27</v>
      </c>
      <c r="B10825" t="s">
        <v>87</v>
      </c>
      <c r="C10825" t="s">
        <v>867</v>
      </c>
      <c r="D10825" t="s">
        <v>1091</v>
      </c>
      <c r="E10825" t="s">
        <v>1233</v>
      </c>
      <c r="F10825" t="s">
        <v>1125</v>
      </c>
    </row>
    <row r="10826" spans="1:6">
      <c r="A10826" t="s">
        <v>27</v>
      </c>
      <c r="B10826" t="s">
        <v>87</v>
      </c>
      <c r="C10826" t="s">
        <v>867</v>
      </c>
      <c r="D10826" t="s">
        <v>1091</v>
      </c>
      <c r="E10826" t="s">
        <v>1234</v>
      </c>
      <c r="F10826" t="s">
        <v>1125</v>
      </c>
    </row>
    <row r="10827" spans="1:6">
      <c r="A10827" t="s">
        <v>27</v>
      </c>
      <c r="B10827" t="s">
        <v>87</v>
      </c>
      <c r="C10827" t="s">
        <v>867</v>
      </c>
      <c r="D10827" t="s">
        <v>1091</v>
      </c>
      <c r="E10827" t="s">
        <v>1235</v>
      </c>
      <c r="F10827" t="s">
        <v>1236</v>
      </c>
    </row>
    <row r="10828" spans="1:6">
      <c r="A10828" t="s">
        <v>27</v>
      </c>
      <c r="B10828" t="s">
        <v>87</v>
      </c>
      <c r="C10828" t="s">
        <v>867</v>
      </c>
      <c r="D10828" t="s">
        <v>1091</v>
      </c>
      <c r="E10828" t="s">
        <v>1237</v>
      </c>
      <c r="F10828" t="s">
        <v>1132</v>
      </c>
    </row>
    <row r="10829" spans="1:6">
      <c r="A10829" t="s">
        <v>27</v>
      </c>
      <c r="B10829" t="s">
        <v>87</v>
      </c>
      <c r="C10829" t="s">
        <v>867</v>
      </c>
      <c r="D10829" t="s">
        <v>1091</v>
      </c>
      <c r="E10829" t="s">
        <v>1238</v>
      </c>
      <c r="F10829" t="s">
        <v>1500</v>
      </c>
    </row>
    <row r="10830" spans="1:6">
      <c r="A10830" t="s">
        <v>27</v>
      </c>
      <c r="B10830" t="s">
        <v>87</v>
      </c>
      <c r="C10830" t="s">
        <v>867</v>
      </c>
      <c r="D10830" t="s">
        <v>1091</v>
      </c>
      <c r="E10830" t="s">
        <v>1240</v>
      </c>
      <c r="F10830" t="s">
        <v>1407</v>
      </c>
    </row>
    <row r="10831" spans="1:6">
      <c r="A10831" t="s">
        <v>27</v>
      </c>
      <c r="B10831" t="s">
        <v>87</v>
      </c>
      <c r="C10831" t="s">
        <v>867</v>
      </c>
      <c r="D10831" t="s">
        <v>1091</v>
      </c>
      <c r="E10831" t="s">
        <v>1241</v>
      </c>
      <c r="F10831" t="s">
        <v>1125</v>
      </c>
    </row>
    <row r="10832" spans="1:6">
      <c r="A10832" t="s">
        <v>27</v>
      </c>
      <c r="B10832" t="s">
        <v>87</v>
      </c>
      <c r="C10832" t="s">
        <v>867</v>
      </c>
      <c r="D10832" t="s">
        <v>1091</v>
      </c>
      <c r="E10832" t="s">
        <v>1243</v>
      </c>
      <c r="F10832" t="s">
        <v>1125</v>
      </c>
    </row>
    <row r="10833" spans="1:6">
      <c r="A10833" t="s">
        <v>27</v>
      </c>
      <c r="B10833" t="s">
        <v>87</v>
      </c>
      <c r="C10833" t="s">
        <v>867</v>
      </c>
      <c r="D10833" t="s">
        <v>1091</v>
      </c>
      <c r="E10833" t="s">
        <v>1244</v>
      </c>
      <c r="F10833" t="s">
        <v>1125</v>
      </c>
    </row>
    <row r="10834" spans="1:6">
      <c r="A10834" t="s">
        <v>27</v>
      </c>
      <c r="B10834" t="s">
        <v>87</v>
      </c>
      <c r="C10834" t="s">
        <v>867</v>
      </c>
      <c r="D10834" t="s">
        <v>1091</v>
      </c>
      <c r="E10834" t="s">
        <v>1245</v>
      </c>
      <c r="F10834" t="s">
        <v>1246</v>
      </c>
    </row>
    <row r="10835" spans="1:6">
      <c r="A10835" t="s">
        <v>27</v>
      </c>
      <c r="B10835" t="s">
        <v>87</v>
      </c>
      <c r="C10835" t="s">
        <v>867</v>
      </c>
      <c r="D10835" t="s">
        <v>1091</v>
      </c>
      <c r="E10835" t="s">
        <v>1247</v>
      </c>
      <c r="F10835">
        <v>6067</v>
      </c>
    </row>
    <row r="10836" spans="1:6">
      <c r="A10836" t="s">
        <v>27</v>
      </c>
      <c r="B10836" t="s">
        <v>87</v>
      </c>
      <c r="C10836" t="s">
        <v>867</v>
      </c>
      <c r="D10836" t="s">
        <v>1091</v>
      </c>
      <c r="E10836" t="s">
        <v>1248</v>
      </c>
      <c r="F10836">
        <v>4508</v>
      </c>
    </row>
    <row r="10837" spans="1:6">
      <c r="A10837" t="s">
        <v>27</v>
      </c>
      <c r="B10837" t="s">
        <v>87</v>
      </c>
      <c r="C10837" t="s">
        <v>867</v>
      </c>
      <c r="D10837" t="s">
        <v>1091</v>
      </c>
      <c r="E10837" t="s">
        <v>1249</v>
      </c>
      <c r="F10837">
        <v>1552</v>
      </c>
    </row>
    <row r="10838" spans="1:6">
      <c r="A10838" t="s">
        <v>27</v>
      </c>
      <c r="B10838" t="s">
        <v>87</v>
      </c>
      <c r="C10838" t="s">
        <v>867</v>
      </c>
      <c r="D10838" t="s">
        <v>1091</v>
      </c>
      <c r="E10838" t="s">
        <v>1250</v>
      </c>
      <c r="F10838">
        <v>7</v>
      </c>
    </row>
    <row r="10839" spans="1:6">
      <c r="A10839" t="s">
        <v>27</v>
      </c>
      <c r="B10839" t="s">
        <v>87</v>
      </c>
      <c r="C10839" t="s">
        <v>867</v>
      </c>
      <c r="D10839" t="s">
        <v>1091</v>
      </c>
      <c r="E10839" t="s">
        <v>1251</v>
      </c>
      <c r="F10839">
        <v>0</v>
      </c>
    </row>
    <row r="10840" spans="1:6">
      <c r="A10840" t="s">
        <v>27</v>
      </c>
      <c r="B10840" t="s">
        <v>87</v>
      </c>
      <c r="C10840" t="s">
        <v>867</v>
      </c>
      <c r="D10840" t="s">
        <v>1091</v>
      </c>
      <c r="E10840" t="s">
        <v>1252</v>
      </c>
      <c r="F10840">
        <v>0</v>
      </c>
    </row>
    <row r="10841" spans="1:6">
      <c r="A10841" t="s">
        <v>27</v>
      </c>
      <c r="B10841" t="s">
        <v>87</v>
      </c>
      <c r="C10841" t="s">
        <v>867</v>
      </c>
      <c r="D10841" t="s">
        <v>1091</v>
      </c>
      <c r="E10841" t="s">
        <v>1253</v>
      </c>
      <c r="F10841">
        <v>0</v>
      </c>
    </row>
    <row r="10842" spans="1:6">
      <c r="A10842" t="s">
        <v>27</v>
      </c>
      <c r="B10842" t="s">
        <v>87</v>
      </c>
      <c r="C10842" t="s">
        <v>867</v>
      </c>
      <c r="D10842" t="s">
        <v>1091</v>
      </c>
      <c r="E10842" t="s">
        <v>1254</v>
      </c>
      <c r="F10842" t="s">
        <v>1255</v>
      </c>
    </row>
    <row r="10843" spans="1:6">
      <c r="A10843" t="s">
        <v>27</v>
      </c>
      <c r="B10843" t="s">
        <v>87</v>
      </c>
      <c r="C10843" t="s">
        <v>867</v>
      </c>
      <c r="D10843" t="s">
        <v>1091</v>
      </c>
      <c r="E10843" t="s">
        <v>1256</v>
      </c>
      <c r="F10843">
        <v>57</v>
      </c>
    </row>
    <row r="10844" spans="1:6">
      <c r="A10844" t="s">
        <v>27</v>
      </c>
      <c r="B10844" t="s">
        <v>87</v>
      </c>
      <c r="C10844" t="s">
        <v>867</v>
      </c>
      <c r="D10844" t="s">
        <v>1091</v>
      </c>
      <c r="E10844" t="s">
        <v>1257</v>
      </c>
      <c r="F10844">
        <v>25</v>
      </c>
    </row>
    <row r="10845" spans="1:6">
      <c r="A10845" t="s">
        <v>27</v>
      </c>
      <c r="B10845" t="s">
        <v>87</v>
      </c>
      <c r="C10845" t="s">
        <v>867</v>
      </c>
      <c r="D10845" t="s">
        <v>1091</v>
      </c>
      <c r="E10845" t="s">
        <v>1258</v>
      </c>
      <c r="F10845">
        <v>28</v>
      </c>
    </row>
    <row r="10846" spans="1:6">
      <c r="A10846" t="s">
        <v>27</v>
      </c>
      <c r="B10846" t="s">
        <v>87</v>
      </c>
      <c r="C10846" t="s">
        <v>867</v>
      </c>
      <c r="D10846" t="s">
        <v>1091</v>
      </c>
      <c r="E10846" t="s">
        <v>1259</v>
      </c>
      <c r="F10846">
        <v>4</v>
      </c>
    </row>
    <row r="10847" spans="1:6">
      <c r="A10847" t="s">
        <v>27</v>
      </c>
      <c r="B10847" t="s">
        <v>87</v>
      </c>
      <c r="C10847" t="s">
        <v>867</v>
      </c>
      <c r="D10847" t="s">
        <v>1091</v>
      </c>
      <c r="E10847" t="s">
        <v>1260</v>
      </c>
      <c r="F10847">
        <v>0</v>
      </c>
    </row>
    <row r="10848" spans="1:6">
      <c r="A10848" t="s">
        <v>27</v>
      </c>
      <c r="B10848" t="s">
        <v>87</v>
      </c>
      <c r="C10848" t="s">
        <v>867</v>
      </c>
      <c r="D10848" t="s">
        <v>1091</v>
      </c>
      <c r="E10848" t="s">
        <v>1261</v>
      </c>
      <c r="F10848">
        <v>0</v>
      </c>
    </row>
    <row r="10849" spans="1:6">
      <c r="A10849" t="s">
        <v>27</v>
      </c>
      <c r="B10849" t="s">
        <v>87</v>
      </c>
      <c r="C10849" t="s">
        <v>867</v>
      </c>
      <c r="D10849" t="s">
        <v>1091</v>
      </c>
      <c r="E10849" t="s">
        <v>1262</v>
      </c>
      <c r="F10849">
        <v>0</v>
      </c>
    </row>
    <row r="10850" spans="1:6">
      <c r="A10850" t="s">
        <v>27</v>
      </c>
      <c r="B10850" t="s">
        <v>87</v>
      </c>
      <c r="C10850" t="s">
        <v>867</v>
      </c>
      <c r="D10850" t="s">
        <v>1091</v>
      </c>
      <c r="E10850" t="s">
        <v>1263</v>
      </c>
      <c r="F10850" t="s">
        <v>1131</v>
      </c>
    </row>
    <row r="10851" spans="1:6">
      <c r="A10851" t="s">
        <v>27</v>
      </c>
      <c r="B10851" t="s">
        <v>87</v>
      </c>
      <c r="C10851" t="s">
        <v>867</v>
      </c>
      <c r="D10851" t="s">
        <v>1091</v>
      </c>
      <c r="E10851" t="s">
        <v>1264</v>
      </c>
      <c r="F10851" t="s">
        <v>1408</v>
      </c>
    </row>
    <row r="10852" spans="1:6">
      <c r="A10852" t="s">
        <v>27</v>
      </c>
      <c r="B10852" t="s">
        <v>87</v>
      </c>
      <c r="C10852" t="s">
        <v>867</v>
      </c>
      <c r="D10852" t="s">
        <v>1091</v>
      </c>
      <c r="E10852" t="s">
        <v>1265</v>
      </c>
      <c r="F10852" t="s">
        <v>1125</v>
      </c>
    </row>
    <row r="10853" spans="1:6">
      <c r="A10853" t="s">
        <v>27</v>
      </c>
      <c r="B10853" t="s">
        <v>87</v>
      </c>
      <c r="C10853" t="s">
        <v>867</v>
      </c>
      <c r="D10853" t="s">
        <v>1091</v>
      </c>
      <c r="E10853" t="s">
        <v>1266</v>
      </c>
      <c r="F10853" t="s">
        <v>1390</v>
      </c>
    </row>
    <row r="10854" spans="1:6">
      <c r="A10854" t="s">
        <v>27</v>
      </c>
      <c r="B10854" t="s">
        <v>87</v>
      </c>
      <c r="C10854" t="s">
        <v>867</v>
      </c>
      <c r="D10854" t="s">
        <v>1091</v>
      </c>
      <c r="E10854" t="s">
        <v>1268</v>
      </c>
      <c r="F10854" t="s">
        <v>1132</v>
      </c>
    </row>
    <row r="10855" spans="1:6">
      <c r="A10855" t="s">
        <v>27</v>
      </c>
      <c r="B10855" t="s">
        <v>87</v>
      </c>
      <c r="C10855" t="s">
        <v>867</v>
      </c>
      <c r="D10855" t="s">
        <v>1091</v>
      </c>
      <c r="E10855" t="s">
        <v>1269</v>
      </c>
      <c r="F10855" t="s">
        <v>1132</v>
      </c>
    </row>
    <row r="10856" spans="1:6">
      <c r="A10856" t="s">
        <v>27</v>
      </c>
      <c r="B10856" t="s">
        <v>87</v>
      </c>
      <c r="C10856" t="s">
        <v>867</v>
      </c>
      <c r="D10856" t="s">
        <v>1091</v>
      </c>
      <c r="E10856" t="s">
        <v>1271</v>
      </c>
      <c r="F10856" t="s">
        <v>1132</v>
      </c>
    </row>
    <row r="10857" spans="1:6">
      <c r="A10857" t="s">
        <v>27</v>
      </c>
      <c r="B10857" t="s">
        <v>87</v>
      </c>
      <c r="C10857" t="s">
        <v>867</v>
      </c>
      <c r="D10857" t="s">
        <v>1091</v>
      </c>
      <c r="E10857" t="s">
        <v>1272</v>
      </c>
      <c r="F10857" t="s">
        <v>1132</v>
      </c>
    </row>
    <row r="10858" spans="1:6">
      <c r="A10858" t="s">
        <v>27</v>
      </c>
      <c r="B10858" t="s">
        <v>87</v>
      </c>
      <c r="C10858" t="s">
        <v>867</v>
      </c>
      <c r="D10858" t="s">
        <v>1273</v>
      </c>
      <c r="E10858" t="s">
        <v>1274</v>
      </c>
      <c r="F10858" t="s">
        <v>87</v>
      </c>
    </row>
    <row r="10859" spans="1:6">
      <c r="A10859" t="s">
        <v>27</v>
      </c>
      <c r="B10859" t="s">
        <v>87</v>
      </c>
      <c r="C10859" t="s">
        <v>867</v>
      </c>
      <c r="D10859" t="s">
        <v>1273</v>
      </c>
      <c r="E10859" t="s">
        <v>1275</v>
      </c>
      <c r="F10859" t="s">
        <v>1511</v>
      </c>
    </row>
    <row r="10860" spans="1:6">
      <c r="A10860" t="s">
        <v>27</v>
      </c>
      <c r="B10860" t="s">
        <v>87</v>
      </c>
      <c r="C10860" t="s">
        <v>867</v>
      </c>
      <c r="D10860" t="s">
        <v>1273</v>
      </c>
      <c r="E10860" t="s">
        <v>1276</v>
      </c>
      <c r="F10860" t="s">
        <v>1277</v>
      </c>
    </row>
    <row r="10861" spans="1:6">
      <c r="A10861" t="s">
        <v>27</v>
      </c>
      <c r="B10861" t="s">
        <v>87</v>
      </c>
      <c r="C10861" t="s">
        <v>867</v>
      </c>
      <c r="D10861" t="s">
        <v>1273</v>
      </c>
      <c r="E10861" t="s">
        <v>1278</v>
      </c>
      <c r="F10861" t="s">
        <v>1511</v>
      </c>
    </row>
    <row r="10862" spans="1:6">
      <c r="A10862" t="s">
        <v>27</v>
      </c>
      <c r="B10862" t="s">
        <v>87</v>
      </c>
      <c r="C10862" t="s">
        <v>867</v>
      </c>
      <c r="D10862" t="s">
        <v>1273</v>
      </c>
      <c r="E10862" t="s">
        <v>1279</v>
      </c>
      <c r="F10862" t="s">
        <v>1280</v>
      </c>
    </row>
    <row r="10863" spans="1:6">
      <c r="A10863" t="s">
        <v>27</v>
      </c>
      <c r="B10863" t="s">
        <v>87</v>
      </c>
      <c r="C10863" t="s">
        <v>867</v>
      </c>
      <c r="D10863" t="s">
        <v>1273</v>
      </c>
      <c r="E10863" t="s">
        <v>1281</v>
      </c>
      <c r="F10863" t="s">
        <v>1282</v>
      </c>
    </row>
    <row r="10864" spans="1:6">
      <c r="A10864" t="s">
        <v>27</v>
      </c>
      <c r="B10864" t="s">
        <v>87</v>
      </c>
      <c r="C10864" t="s">
        <v>867</v>
      </c>
      <c r="D10864" t="s">
        <v>1273</v>
      </c>
      <c r="E10864" t="s">
        <v>1283</v>
      </c>
      <c r="F10864" t="s">
        <v>1284</v>
      </c>
    </row>
    <row r="10865" spans="1:6">
      <c r="A10865" t="s">
        <v>27</v>
      </c>
      <c r="B10865" t="s">
        <v>87</v>
      </c>
      <c r="C10865" t="s">
        <v>867</v>
      </c>
      <c r="D10865" t="s">
        <v>1273</v>
      </c>
      <c r="E10865" t="s">
        <v>1285</v>
      </c>
      <c r="F10865" t="s">
        <v>377</v>
      </c>
    </row>
    <row r="10866" spans="1:6">
      <c r="A10866" t="s">
        <v>27</v>
      </c>
      <c r="B10866" t="s">
        <v>87</v>
      </c>
      <c r="C10866" t="s">
        <v>867</v>
      </c>
      <c r="D10866" t="s">
        <v>1273</v>
      </c>
      <c r="E10866" t="s">
        <v>1286</v>
      </c>
      <c r="F10866">
        <v>8</v>
      </c>
    </row>
    <row r="10867" spans="1:6">
      <c r="A10867" t="s">
        <v>27</v>
      </c>
      <c r="B10867" t="s">
        <v>87</v>
      </c>
      <c r="C10867" t="s">
        <v>867</v>
      </c>
      <c r="D10867" t="s">
        <v>1273</v>
      </c>
      <c r="E10867" t="s">
        <v>1287</v>
      </c>
      <c r="F10867">
        <v>3</v>
      </c>
    </row>
    <row r="10868" spans="1:6">
      <c r="A10868" t="s">
        <v>27</v>
      </c>
      <c r="B10868" t="s">
        <v>87</v>
      </c>
      <c r="C10868" t="s">
        <v>867</v>
      </c>
      <c r="D10868" t="s">
        <v>1273</v>
      </c>
      <c r="E10868" t="s">
        <v>1288</v>
      </c>
      <c r="F10868" t="s">
        <v>379</v>
      </c>
    </row>
    <row r="10869" spans="1:6">
      <c r="A10869" t="s">
        <v>27</v>
      </c>
      <c r="B10869" t="s">
        <v>87</v>
      </c>
      <c r="C10869" t="s">
        <v>867</v>
      </c>
      <c r="D10869" t="s">
        <v>1273</v>
      </c>
      <c r="E10869" t="s">
        <v>1096</v>
      </c>
      <c r="F10869">
        <v>14</v>
      </c>
    </row>
    <row r="10870" spans="1:6">
      <c r="A10870" t="s">
        <v>27</v>
      </c>
      <c r="B10870" t="s">
        <v>87</v>
      </c>
      <c r="C10870" t="s">
        <v>867</v>
      </c>
      <c r="D10870" t="s">
        <v>1273</v>
      </c>
      <c r="E10870" t="s">
        <v>1004</v>
      </c>
      <c r="F10870">
        <v>82</v>
      </c>
    </row>
    <row r="10871" spans="1:6">
      <c r="A10871" t="s">
        <v>27</v>
      </c>
      <c r="B10871" t="s">
        <v>87</v>
      </c>
      <c r="C10871" t="s">
        <v>867</v>
      </c>
      <c r="D10871" t="s">
        <v>1273</v>
      </c>
      <c r="E10871" t="s">
        <v>1289</v>
      </c>
      <c r="F10871" t="s">
        <v>381</v>
      </c>
    </row>
    <row r="10872" spans="1:6">
      <c r="A10872" t="s">
        <v>27</v>
      </c>
      <c r="B10872" t="s">
        <v>87</v>
      </c>
      <c r="C10872" t="s">
        <v>867</v>
      </c>
      <c r="D10872" t="s">
        <v>1273</v>
      </c>
      <c r="E10872" t="s">
        <v>1290</v>
      </c>
      <c r="F10872">
        <v>34</v>
      </c>
    </row>
    <row r="10873" spans="1:6">
      <c r="A10873" t="s">
        <v>27</v>
      </c>
      <c r="B10873" t="s">
        <v>87</v>
      </c>
      <c r="C10873" t="s">
        <v>867</v>
      </c>
      <c r="D10873" t="s">
        <v>1273</v>
      </c>
      <c r="E10873" t="s">
        <v>1291</v>
      </c>
      <c r="F10873">
        <v>1617</v>
      </c>
    </row>
    <row r="10874" spans="1:6">
      <c r="A10874" t="s">
        <v>27</v>
      </c>
      <c r="B10874" t="s">
        <v>87</v>
      </c>
      <c r="C10874" t="s">
        <v>867</v>
      </c>
      <c r="D10874" t="s">
        <v>1273</v>
      </c>
      <c r="E10874" t="s">
        <v>1008</v>
      </c>
      <c r="F10874" t="s">
        <v>383</v>
      </c>
    </row>
    <row r="10875" spans="1:6">
      <c r="A10875" t="s">
        <v>27</v>
      </c>
      <c r="B10875" t="s">
        <v>87</v>
      </c>
      <c r="C10875" t="s">
        <v>867</v>
      </c>
      <c r="D10875" t="s">
        <v>1273</v>
      </c>
      <c r="E10875" t="s">
        <v>1010</v>
      </c>
      <c r="F10875">
        <v>14</v>
      </c>
    </row>
    <row r="10876" spans="1:6">
      <c r="A10876" t="s">
        <v>27</v>
      </c>
      <c r="B10876" t="s">
        <v>87</v>
      </c>
      <c r="C10876" t="s">
        <v>867</v>
      </c>
      <c r="D10876" t="s">
        <v>1273</v>
      </c>
      <c r="E10876" t="s">
        <v>1012</v>
      </c>
      <c r="F10876">
        <v>2676</v>
      </c>
    </row>
    <row r="10877" spans="1:6">
      <c r="A10877" t="s">
        <v>27</v>
      </c>
      <c r="B10877" t="s">
        <v>87</v>
      </c>
      <c r="C10877" t="s">
        <v>867</v>
      </c>
      <c r="D10877" t="s">
        <v>1273</v>
      </c>
      <c r="E10877" t="s">
        <v>1035</v>
      </c>
      <c r="F10877" t="s">
        <v>385</v>
      </c>
    </row>
    <row r="10878" spans="1:6">
      <c r="A10878" t="s">
        <v>27</v>
      </c>
      <c r="B10878" t="s">
        <v>87</v>
      </c>
      <c r="C10878" t="s">
        <v>867</v>
      </c>
      <c r="D10878" t="s">
        <v>1273</v>
      </c>
      <c r="E10878" t="s">
        <v>1099</v>
      </c>
      <c r="F10878">
        <v>4</v>
      </c>
    </row>
    <row r="10879" spans="1:6">
      <c r="A10879" t="s">
        <v>27</v>
      </c>
      <c r="B10879" t="s">
        <v>87</v>
      </c>
      <c r="C10879" t="s">
        <v>867</v>
      </c>
      <c r="D10879" t="s">
        <v>1273</v>
      </c>
      <c r="E10879" t="s">
        <v>1100</v>
      </c>
      <c r="F10879">
        <v>9732</v>
      </c>
    </row>
    <row r="10880" spans="1:6">
      <c r="A10880" t="s">
        <v>27</v>
      </c>
      <c r="B10880" t="s">
        <v>87</v>
      </c>
      <c r="C10880" t="s">
        <v>867</v>
      </c>
      <c r="D10880" t="s">
        <v>1273</v>
      </c>
      <c r="E10880" t="s">
        <v>1037</v>
      </c>
      <c r="F10880" t="s">
        <v>1292</v>
      </c>
    </row>
    <row r="10881" spans="1:6">
      <c r="A10881" t="s">
        <v>27</v>
      </c>
      <c r="B10881" t="s">
        <v>87</v>
      </c>
      <c r="C10881" t="s">
        <v>867</v>
      </c>
      <c r="D10881" t="s">
        <v>1273</v>
      </c>
      <c r="E10881" t="s">
        <v>1103</v>
      </c>
      <c r="F10881">
        <v>74</v>
      </c>
    </row>
    <row r="10882" spans="1:6">
      <c r="A10882" t="s">
        <v>27</v>
      </c>
      <c r="B10882" t="s">
        <v>87</v>
      </c>
      <c r="C10882" t="s">
        <v>867</v>
      </c>
      <c r="D10882" t="s">
        <v>1273</v>
      </c>
      <c r="E10882" t="s">
        <v>1104</v>
      </c>
      <c r="F10882">
        <v>14110</v>
      </c>
    </row>
    <row r="10883" spans="1:6">
      <c r="A10883" t="s">
        <v>27</v>
      </c>
      <c r="B10883" t="s">
        <v>87</v>
      </c>
      <c r="C10883" t="s">
        <v>867</v>
      </c>
      <c r="D10883" t="s">
        <v>1273</v>
      </c>
      <c r="E10883" t="s">
        <v>1052</v>
      </c>
      <c r="F10883" t="s">
        <v>1293</v>
      </c>
    </row>
    <row r="10884" spans="1:6">
      <c r="A10884" t="s">
        <v>27</v>
      </c>
      <c r="B10884" t="s">
        <v>87</v>
      </c>
      <c r="C10884" t="s">
        <v>867</v>
      </c>
      <c r="D10884" t="s">
        <v>1273</v>
      </c>
      <c r="E10884" t="s">
        <v>1053</v>
      </c>
      <c r="F10884" t="s">
        <v>1294</v>
      </c>
    </row>
    <row r="10885" spans="1:6">
      <c r="A10885" t="s">
        <v>27</v>
      </c>
      <c r="B10885" t="s">
        <v>87</v>
      </c>
      <c r="C10885" t="s">
        <v>867</v>
      </c>
      <c r="D10885" t="s">
        <v>1273</v>
      </c>
      <c r="E10885" t="s">
        <v>1108</v>
      </c>
      <c r="F10885" t="s">
        <v>2919</v>
      </c>
    </row>
    <row r="10886" spans="1:6">
      <c r="A10886" t="s">
        <v>27</v>
      </c>
      <c r="B10886" t="s">
        <v>87</v>
      </c>
      <c r="C10886" t="s">
        <v>867</v>
      </c>
      <c r="D10886" t="s">
        <v>1273</v>
      </c>
      <c r="E10886" t="s">
        <v>1109</v>
      </c>
      <c r="F10886" t="s">
        <v>2919</v>
      </c>
    </row>
    <row r="10887" spans="1:6">
      <c r="A10887" t="s">
        <v>27</v>
      </c>
      <c r="B10887" t="s">
        <v>87</v>
      </c>
      <c r="C10887" t="s">
        <v>867</v>
      </c>
      <c r="D10887" t="s">
        <v>1273</v>
      </c>
      <c r="E10887" t="s">
        <v>1113</v>
      </c>
      <c r="F10887">
        <v>2018</v>
      </c>
    </row>
    <row r="10888" spans="1:6">
      <c r="A10888" t="s">
        <v>27</v>
      </c>
      <c r="B10888" t="s">
        <v>87</v>
      </c>
      <c r="C10888" t="s">
        <v>867</v>
      </c>
      <c r="D10888" t="s">
        <v>1273</v>
      </c>
      <c r="E10888" t="s">
        <v>1114</v>
      </c>
      <c r="F10888" t="s">
        <v>2919</v>
      </c>
    </row>
    <row r="10889" spans="1:6">
      <c r="A10889" t="s">
        <v>27</v>
      </c>
      <c r="B10889" t="s">
        <v>87</v>
      </c>
      <c r="C10889" t="s">
        <v>867</v>
      </c>
      <c r="D10889" t="s">
        <v>1273</v>
      </c>
      <c r="E10889" t="s">
        <v>1115</v>
      </c>
      <c r="F10889" t="s">
        <v>2919</v>
      </c>
    </row>
    <row r="10890" spans="1:6">
      <c r="A10890" t="s">
        <v>27</v>
      </c>
      <c r="B10890" t="s">
        <v>87</v>
      </c>
      <c r="C10890" t="s">
        <v>867</v>
      </c>
      <c r="D10890" t="s">
        <v>1273</v>
      </c>
      <c r="E10890" t="s">
        <v>1118</v>
      </c>
      <c r="F10890">
        <v>2019</v>
      </c>
    </row>
    <row r="10891" spans="1:6">
      <c r="A10891" t="s">
        <v>27</v>
      </c>
      <c r="B10891" t="s">
        <v>87</v>
      </c>
      <c r="C10891" t="s">
        <v>867</v>
      </c>
      <c r="D10891" t="s">
        <v>1273</v>
      </c>
      <c r="E10891" t="s">
        <v>1119</v>
      </c>
      <c r="F10891">
        <v>1</v>
      </c>
    </row>
    <row r="10892" spans="1:6">
      <c r="A10892" t="s">
        <v>27</v>
      </c>
      <c r="B10892" t="s">
        <v>87</v>
      </c>
      <c r="C10892" t="s">
        <v>867</v>
      </c>
      <c r="D10892" t="s">
        <v>1273</v>
      </c>
      <c r="E10892" t="s">
        <v>1120</v>
      </c>
      <c r="F10892">
        <v>2315</v>
      </c>
    </row>
    <row r="10893" spans="1:6">
      <c r="A10893" t="s">
        <v>27</v>
      </c>
      <c r="B10893" t="s">
        <v>87</v>
      </c>
      <c r="C10893" t="s">
        <v>867</v>
      </c>
      <c r="D10893" t="s">
        <v>1273</v>
      </c>
      <c r="E10893" t="s">
        <v>1124</v>
      </c>
      <c r="F10893">
        <v>2020</v>
      </c>
    </row>
    <row r="10894" spans="1:6">
      <c r="A10894" t="s">
        <v>27</v>
      </c>
      <c r="B10894" t="s">
        <v>87</v>
      </c>
      <c r="C10894" t="s">
        <v>867</v>
      </c>
      <c r="D10894" t="s">
        <v>1273</v>
      </c>
      <c r="E10894" t="s">
        <v>1126</v>
      </c>
      <c r="F10894" t="s">
        <v>1295</v>
      </c>
    </row>
    <row r="10895" spans="1:6">
      <c r="A10895" t="s">
        <v>27</v>
      </c>
      <c r="B10895" t="s">
        <v>87</v>
      </c>
      <c r="C10895" t="s">
        <v>867</v>
      </c>
      <c r="D10895" t="s">
        <v>1273</v>
      </c>
      <c r="E10895" t="s">
        <v>1127</v>
      </c>
      <c r="F10895" t="s">
        <v>1295</v>
      </c>
    </row>
    <row r="10896" spans="1:6">
      <c r="A10896" t="s">
        <v>27</v>
      </c>
      <c r="B10896" t="s">
        <v>87</v>
      </c>
      <c r="C10896" t="s">
        <v>867</v>
      </c>
      <c r="D10896" t="s">
        <v>1273</v>
      </c>
      <c r="E10896" t="s">
        <v>1057</v>
      </c>
      <c r="F10896">
        <v>2021</v>
      </c>
    </row>
    <row r="10897" spans="1:6">
      <c r="A10897" t="s">
        <v>27</v>
      </c>
      <c r="B10897" t="s">
        <v>87</v>
      </c>
      <c r="C10897" t="s">
        <v>867</v>
      </c>
      <c r="D10897" t="s">
        <v>1273</v>
      </c>
      <c r="E10897" t="s">
        <v>1058</v>
      </c>
      <c r="F10897">
        <v>1</v>
      </c>
    </row>
    <row r="10898" spans="1:6">
      <c r="A10898" t="s">
        <v>27</v>
      </c>
      <c r="B10898" t="s">
        <v>87</v>
      </c>
      <c r="C10898" t="s">
        <v>867</v>
      </c>
      <c r="D10898" t="s">
        <v>1273</v>
      </c>
      <c r="E10898" t="s">
        <v>1059</v>
      </c>
      <c r="F10898">
        <v>81</v>
      </c>
    </row>
    <row r="10899" spans="1:6">
      <c r="A10899" t="s">
        <v>27</v>
      </c>
      <c r="B10899" t="s">
        <v>87</v>
      </c>
      <c r="C10899" t="s">
        <v>867</v>
      </c>
      <c r="D10899" t="s">
        <v>1273</v>
      </c>
      <c r="E10899" t="s">
        <v>1072</v>
      </c>
      <c r="F10899">
        <v>2022</v>
      </c>
    </row>
    <row r="10900" spans="1:6">
      <c r="A10900" t="s">
        <v>27</v>
      </c>
      <c r="B10900" t="s">
        <v>87</v>
      </c>
      <c r="C10900" t="s">
        <v>867</v>
      </c>
      <c r="D10900" t="s">
        <v>1273</v>
      </c>
      <c r="E10900" t="s">
        <v>1133</v>
      </c>
      <c r="F10900" t="s">
        <v>1295</v>
      </c>
    </row>
    <row r="10901" spans="1:6">
      <c r="A10901" t="s">
        <v>27</v>
      </c>
      <c r="B10901" t="s">
        <v>87</v>
      </c>
      <c r="C10901" t="s">
        <v>867</v>
      </c>
      <c r="D10901" t="s">
        <v>1273</v>
      </c>
      <c r="E10901" t="s">
        <v>1134</v>
      </c>
      <c r="F10901" t="s">
        <v>1295</v>
      </c>
    </row>
    <row r="10902" spans="1:6">
      <c r="A10902" t="s">
        <v>27</v>
      </c>
      <c r="B10902" t="s">
        <v>87</v>
      </c>
      <c r="C10902" t="s">
        <v>867</v>
      </c>
      <c r="D10902" t="s">
        <v>1273</v>
      </c>
      <c r="E10902" t="s">
        <v>1074</v>
      </c>
      <c r="F10902">
        <v>2023</v>
      </c>
    </row>
    <row r="10903" spans="1:6">
      <c r="A10903" t="s">
        <v>27</v>
      </c>
      <c r="B10903" t="s">
        <v>87</v>
      </c>
      <c r="C10903" t="s">
        <v>867</v>
      </c>
      <c r="D10903" t="s">
        <v>1273</v>
      </c>
      <c r="E10903" t="s">
        <v>1296</v>
      </c>
      <c r="F10903">
        <v>1</v>
      </c>
    </row>
    <row r="10904" spans="1:6">
      <c r="A10904" t="s">
        <v>27</v>
      </c>
      <c r="B10904" t="s">
        <v>87</v>
      </c>
      <c r="C10904" t="s">
        <v>867</v>
      </c>
      <c r="D10904" t="s">
        <v>1273</v>
      </c>
      <c r="E10904" t="s">
        <v>1297</v>
      </c>
      <c r="F10904">
        <v>47</v>
      </c>
    </row>
    <row r="10905" spans="1:6">
      <c r="A10905" t="s">
        <v>27</v>
      </c>
      <c r="B10905" t="s">
        <v>87</v>
      </c>
      <c r="C10905" t="s">
        <v>867</v>
      </c>
      <c r="D10905" t="s">
        <v>1273</v>
      </c>
      <c r="E10905" t="s">
        <v>1076</v>
      </c>
      <c r="F10905">
        <v>2024</v>
      </c>
    </row>
    <row r="10906" spans="1:6">
      <c r="A10906" t="s">
        <v>27</v>
      </c>
      <c r="B10906" t="s">
        <v>87</v>
      </c>
      <c r="C10906" t="s">
        <v>867</v>
      </c>
      <c r="D10906" t="s">
        <v>1273</v>
      </c>
      <c r="E10906" t="s">
        <v>1077</v>
      </c>
      <c r="F10906">
        <v>3</v>
      </c>
    </row>
    <row r="10907" spans="1:6">
      <c r="A10907" t="s">
        <v>27</v>
      </c>
      <c r="B10907" t="s">
        <v>87</v>
      </c>
      <c r="C10907" t="s">
        <v>867</v>
      </c>
      <c r="D10907" t="s">
        <v>1273</v>
      </c>
      <c r="E10907" t="s">
        <v>1078</v>
      </c>
      <c r="F10907">
        <v>3734</v>
      </c>
    </row>
    <row r="10908" spans="1:6">
      <c r="A10908" t="s">
        <v>27</v>
      </c>
      <c r="B10908" t="s">
        <v>87</v>
      </c>
      <c r="C10908" t="s">
        <v>867</v>
      </c>
      <c r="D10908" t="s">
        <v>1273</v>
      </c>
      <c r="E10908" t="s">
        <v>1090</v>
      </c>
      <c r="F10908">
        <v>2025</v>
      </c>
    </row>
    <row r="10909" spans="1:6">
      <c r="A10909" t="s">
        <v>27</v>
      </c>
      <c r="B10909" t="s">
        <v>87</v>
      </c>
      <c r="C10909" t="s">
        <v>867</v>
      </c>
      <c r="D10909" t="s">
        <v>1273</v>
      </c>
      <c r="E10909" t="s">
        <v>1139</v>
      </c>
      <c r="F10909">
        <v>9</v>
      </c>
    </row>
    <row r="10910" spans="1:6">
      <c r="A10910" t="s">
        <v>27</v>
      </c>
      <c r="B10910" t="s">
        <v>87</v>
      </c>
      <c r="C10910" t="s">
        <v>867</v>
      </c>
      <c r="D10910" t="s">
        <v>1273</v>
      </c>
      <c r="E10910" t="s">
        <v>1140</v>
      </c>
      <c r="F10910">
        <v>1125</v>
      </c>
    </row>
    <row r="10911" spans="1:6">
      <c r="A10911" t="s">
        <v>27</v>
      </c>
      <c r="B10911" t="s">
        <v>87</v>
      </c>
      <c r="C10911" t="s">
        <v>867</v>
      </c>
      <c r="D10911" t="s">
        <v>1273</v>
      </c>
      <c r="E10911" t="s">
        <v>1298</v>
      </c>
      <c r="F10911">
        <v>2026</v>
      </c>
    </row>
    <row r="10912" spans="1:6">
      <c r="A10912" t="s">
        <v>27</v>
      </c>
      <c r="B10912" t="s">
        <v>87</v>
      </c>
      <c r="C10912" t="s">
        <v>867</v>
      </c>
      <c r="D10912" t="s">
        <v>1273</v>
      </c>
      <c r="E10912" t="s">
        <v>1299</v>
      </c>
      <c r="F10912">
        <v>59</v>
      </c>
    </row>
    <row r="10913" spans="1:6">
      <c r="A10913" t="s">
        <v>27</v>
      </c>
      <c r="B10913" t="s">
        <v>87</v>
      </c>
      <c r="C10913" t="s">
        <v>867</v>
      </c>
      <c r="D10913" t="s">
        <v>1273</v>
      </c>
      <c r="E10913" t="s">
        <v>1300</v>
      </c>
      <c r="F10913">
        <v>6808</v>
      </c>
    </row>
    <row r="10914" spans="1:6">
      <c r="A10914" t="s">
        <v>27</v>
      </c>
      <c r="B10914" t="s">
        <v>87</v>
      </c>
      <c r="C10914" t="s">
        <v>867</v>
      </c>
      <c r="D10914" t="s">
        <v>1273</v>
      </c>
      <c r="E10914" t="s">
        <v>1301</v>
      </c>
      <c r="F10914" t="s">
        <v>1292</v>
      </c>
    </row>
    <row r="10915" spans="1:6">
      <c r="A10915" t="s">
        <v>27</v>
      </c>
      <c r="B10915" t="s">
        <v>87</v>
      </c>
      <c r="C10915" t="s">
        <v>867</v>
      </c>
      <c r="D10915" t="s">
        <v>1273</v>
      </c>
      <c r="E10915" t="s">
        <v>1302</v>
      </c>
      <c r="F10915">
        <v>74</v>
      </c>
    </row>
    <row r="10916" spans="1:6">
      <c r="A10916" t="s">
        <v>27</v>
      </c>
      <c r="B10916" t="s">
        <v>87</v>
      </c>
      <c r="C10916" t="s">
        <v>867</v>
      </c>
      <c r="D10916" t="s">
        <v>1273</v>
      </c>
      <c r="E10916" t="s">
        <v>1303</v>
      </c>
      <c r="F10916">
        <v>14110</v>
      </c>
    </row>
    <row r="10917" spans="1:6">
      <c r="A10917" t="s">
        <v>27</v>
      </c>
      <c r="B10917" t="s">
        <v>68</v>
      </c>
      <c r="C10917" t="s">
        <v>867</v>
      </c>
      <c r="D10917" t="s">
        <v>991</v>
      </c>
      <c r="E10917" t="s">
        <v>1276</v>
      </c>
      <c r="F10917" t="s">
        <v>993</v>
      </c>
    </row>
    <row r="10918" spans="1:6">
      <c r="A10918" t="s">
        <v>27</v>
      </c>
      <c r="B10918" t="s">
        <v>68</v>
      </c>
      <c r="C10918" t="s">
        <v>867</v>
      </c>
      <c r="D10918" t="s">
        <v>991</v>
      </c>
      <c r="E10918" t="s">
        <v>999</v>
      </c>
      <c r="F10918" t="s">
        <v>1094</v>
      </c>
    </row>
    <row r="10919" spans="1:6">
      <c r="A10919" t="s">
        <v>27</v>
      </c>
      <c r="B10919" t="s">
        <v>68</v>
      </c>
      <c r="C10919" t="s">
        <v>867</v>
      </c>
      <c r="D10919" t="s">
        <v>991</v>
      </c>
      <c r="E10919" t="s">
        <v>1001</v>
      </c>
      <c r="F10919" t="s">
        <v>68</v>
      </c>
    </row>
    <row r="10920" spans="1:6">
      <c r="A10920" t="s">
        <v>27</v>
      </c>
      <c r="B10920" t="s">
        <v>68</v>
      </c>
      <c r="C10920" t="s">
        <v>867</v>
      </c>
      <c r="D10920" t="s">
        <v>991</v>
      </c>
      <c r="E10920" t="s">
        <v>1509</v>
      </c>
      <c r="F10920" t="s">
        <v>996</v>
      </c>
    </row>
    <row r="10921" spans="1:6">
      <c r="A10921" t="s">
        <v>27</v>
      </c>
      <c r="B10921" t="s">
        <v>68</v>
      </c>
      <c r="C10921" t="s">
        <v>867</v>
      </c>
      <c r="D10921" t="s">
        <v>991</v>
      </c>
      <c r="E10921" t="s">
        <v>1510</v>
      </c>
      <c r="F10921" t="s">
        <v>1511</v>
      </c>
    </row>
    <row r="10922" spans="1:6">
      <c r="A10922" t="s">
        <v>27</v>
      </c>
      <c r="B10922" t="s">
        <v>68</v>
      </c>
      <c r="C10922" t="s">
        <v>867</v>
      </c>
      <c r="D10922" t="s">
        <v>991</v>
      </c>
      <c r="E10922" t="s">
        <v>1283</v>
      </c>
      <c r="F10922" t="s">
        <v>1000</v>
      </c>
    </row>
    <row r="10923" spans="1:6">
      <c r="A10923" t="s">
        <v>27</v>
      </c>
      <c r="B10923" t="s">
        <v>68</v>
      </c>
      <c r="C10923" t="s">
        <v>867</v>
      </c>
      <c r="D10923" t="s">
        <v>991</v>
      </c>
      <c r="E10923" t="s">
        <v>1285</v>
      </c>
      <c r="F10923" t="s">
        <v>10</v>
      </c>
    </row>
    <row r="10924" spans="1:6">
      <c r="A10924" t="s">
        <v>27</v>
      </c>
      <c r="B10924" t="s">
        <v>68</v>
      </c>
      <c r="C10924" t="s">
        <v>867</v>
      </c>
      <c r="D10924" t="s">
        <v>991</v>
      </c>
      <c r="E10924" t="s">
        <v>1335</v>
      </c>
      <c r="F10924" t="s">
        <v>1003</v>
      </c>
    </row>
    <row r="10925" spans="1:6">
      <c r="A10925" t="s">
        <v>27</v>
      </c>
      <c r="B10925" t="s">
        <v>68</v>
      </c>
      <c r="C10925" t="s">
        <v>867</v>
      </c>
      <c r="D10925" t="s">
        <v>991</v>
      </c>
      <c r="E10925" t="s">
        <v>1291</v>
      </c>
      <c r="F10925" t="s">
        <v>1005</v>
      </c>
    </row>
    <row r="10926" spans="1:6">
      <c r="A10926" t="s">
        <v>27</v>
      </c>
      <c r="B10926" t="s">
        <v>68</v>
      </c>
      <c r="C10926" t="s">
        <v>867</v>
      </c>
      <c r="D10926" t="s">
        <v>991</v>
      </c>
      <c r="E10926" t="s">
        <v>1034</v>
      </c>
      <c r="F10926" t="s">
        <v>1007</v>
      </c>
    </row>
    <row r="10927" spans="1:6">
      <c r="A10927" t="s">
        <v>27</v>
      </c>
      <c r="B10927" t="s">
        <v>68</v>
      </c>
      <c r="C10927" t="s">
        <v>867</v>
      </c>
      <c r="D10927" t="s">
        <v>991</v>
      </c>
      <c r="E10927" t="s">
        <v>1035</v>
      </c>
      <c r="F10927" t="s">
        <v>1009</v>
      </c>
    </row>
    <row r="10928" spans="1:6">
      <c r="A10928" t="s">
        <v>27</v>
      </c>
      <c r="B10928" t="s">
        <v>68</v>
      </c>
      <c r="C10928" t="s">
        <v>867</v>
      </c>
      <c r="D10928" t="s">
        <v>991</v>
      </c>
      <c r="E10928" t="s">
        <v>1099</v>
      </c>
      <c r="F10928" t="s">
        <v>1011</v>
      </c>
    </row>
    <row r="10929" spans="1:6">
      <c r="A10929" t="s">
        <v>27</v>
      </c>
      <c r="B10929" t="s">
        <v>68</v>
      </c>
      <c r="C10929" t="s">
        <v>867</v>
      </c>
      <c r="D10929" t="s">
        <v>991</v>
      </c>
      <c r="E10929" t="s">
        <v>1100</v>
      </c>
      <c r="F10929" t="s">
        <v>1013</v>
      </c>
    </row>
    <row r="10930" spans="1:6">
      <c r="A10930" t="s">
        <v>27</v>
      </c>
      <c r="B10930" t="s">
        <v>68</v>
      </c>
      <c r="C10930" t="s">
        <v>867</v>
      </c>
      <c r="D10930" t="s">
        <v>991</v>
      </c>
      <c r="E10930" t="s">
        <v>1101</v>
      </c>
      <c r="F10930" t="s">
        <v>1015</v>
      </c>
    </row>
    <row r="10931" spans="1:6">
      <c r="A10931" t="s">
        <v>27</v>
      </c>
      <c r="B10931" t="s">
        <v>68</v>
      </c>
      <c r="C10931" t="s">
        <v>867</v>
      </c>
      <c r="D10931" t="s">
        <v>991</v>
      </c>
      <c r="E10931" t="s">
        <v>1512</v>
      </c>
      <c r="F10931" t="s">
        <v>1017</v>
      </c>
    </row>
    <row r="10932" spans="1:6">
      <c r="A10932" t="s">
        <v>27</v>
      </c>
      <c r="B10932" t="s">
        <v>68</v>
      </c>
      <c r="C10932" t="s">
        <v>867</v>
      </c>
      <c r="D10932" t="s">
        <v>991</v>
      </c>
      <c r="E10932" t="s">
        <v>1513</v>
      </c>
      <c r="F10932" t="s">
        <v>1019</v>
      </c>
    </row>
    <row r="10933" spans="1:6">
      <c r="A10933" t="s">
        <v>27</v>
      </c>
      <c r="B10933" t="s">
        <v>68</v>
      </c>
      <c r="C10933" t="s">
        <v>867</v>
      </c>
      <c r="D10933" t="s">
        <v>991</v>
      </c>
      <c r="E10933" t="s">
        <v>1514</v>
      </c>
      <c r="F10933" t="s">
        <v>1021</v>
      </c>
    </row>
    <row r="10934" spans="1:6">
      <c r="A10934" t="s">
        <v>27</v>
      </c>
      <c r="B10934" t="s">
        <v>68</v>
      </c>
      <c r="C10934" t="s">
        <v>867</v>
      </c>
      <c r="D10934" t="s">
        <v>991</v>
      </c>
      <c r="E10934" t="s">
        <v>1515</v>
      </c>
      <c r="F10934" t="s">
        <v>1023</v>
      </c>
    </row>
    <row r="10935" spans="1:6">
      <c r="A10935" t="s">
        <v>27</v>
      </c>
      <c r="B10935" t="s">
        <v>68</v>
      </c>
      <c r="C10935" t="s">
        <v>867</v>
      </c>
      <c r="D10935" t="s">
        <v>991</v>
      </c>
      <c r="E10935" t="s">
        <v>1516</v>
      </c>
      <c r="F10935" t="s">
        <v>1025</v>
      </c>
    </row>
    <row r="10936" spans="1:6">
      <c r="A10936" t="s">
        <v>27</v>
      </c>
      <c r="B10936" t="s">
        <v>68</v>
      </c>
      <c r="C10936" t="s">
        <v>867</v>
      </c>
      <c r="D10936" t="s">
        <v>991</v>
      </c>
      <c r="E10936" t="s">
        <v>1517</v>
      </c>
      <c r="F10936" t="s">
        <v>1027</v>
      </c>
    </row>
    <row r="10937" spans="1:6">
      <c r="A10937" t="s">
        <v>27</v>
      </c>
      <c r="B10937" t="s">
        <v>68</v>
      </c>
      <c r="C10937" t="s">
        <v>867</v>
      </c>
      <c r="D10937" t="s">
        <v>991</v>
      </c>
      <c r="E10937" t="s">
        <v>1518</v>
      </c>
      <c r="F10937" t="s">
        <v>1029</v>
      </c>
    </row>
    <row r="10938" spans="1:6">
      <c r="A10938" t="s">
        <v>27</v>
      </c>
      <c r="B10938" t="s">
        <v>68</v>
      </c>
      <c r="C10938" t="s">
        <v>867</v>
      </c>
      <c r="D10938" t="s">
        <v>991</v>
      </c>
      <c r="E10938" t="s">
        <v>1519</v>
      </c>
      <c r="F10938" t="s">
        <v>1031</v>
      </c>
    </row>
    <row r="10939" spans="1:6">
      <c r="A10939" t="s">
        <v>27</v>
      </c>
      <c r="B10939" t="s">
        <v>68</v>
      </c>
      <c r="C10939" t="s">
        <v>867</v>
      </c>
      <c r="D10939" t="s">
        <v>991</v>
      </c>
      <c r="E10939" t="s">
        <v>1520</v>
      </c>
      <c r="F10939" t="s">
        <v>1033</v>
      </c>
    </row>
    <row r="10940" spans="1:6">
      <c r="A10940" t="s">
        <v>27</v>
      </c>
      <c r="B10940" t="s">
        <v>68</v>
      </c>
      <c r="C10940" t="s">
        <v>867</v>
      </c>
      <c r="D10940" t="s">
        <v>991</v>
      </c>
      <c r="E10940" t="s">
        <v>1036</v>
      </c>
      <c r="F10940" t="s">
        <v>50</v>
      </c>
    </row>
    <row r="10941" spans="1:6">
      <c r="A10941" t="s">
        <v>27</v>
      </c>
      <c r="B10941" t="s">
        <v>68</v>
      </c>
      <c r="C10941" t="s">
        <v>867</v>
      </c>
      <c r="D10941" t="s">
        <v>991</v>
      </c>
      <c r="E10941" t="s">
        <v>1037</v>
      </c>
      <c r="F10941">
        <v>120403637</v>
      </c>
    </row>
    <row r="10942" spans="1:6">
      <c r="A10942" t="s">
        <v>27</v>
      </c>
      <c r="B10942" t="s">
        <v>68</v>
      </c>
      <c r="C10942" t="s">
        <v>867</v>
      </c>
      <c r="D10942" t="s">
        <v>991</v>
      </c>
      <c r="E10942" t="s">
        <v>1038</v>
      </c>
      <c r="F10942">
        <v>2025</v>
      </c>
    </row>
    <row r="10943" spans="1:6">
      <c r="A10943" t="s">
        <v>27</v>
      </c>
      <c r="B10943" t="s">
        <v>68</v>
      </c>
      <c r="C10943" t="s">
        <v>867</v>
      </c>
      <c r="D10943" t="s">
        <v>991</v>
      </c>
      <c r="E10943" t="s">
        <v>1039</v>
      </c>
      <c r="F10943">
        <v>18390237</v>
      </c>
    </row>
    <row r="10944" spans="1:6">
      <c r="A10944" t="s">
        <v>27</v>
      </c>
      <c r="B10944" t="s">
        <v>68</v>
      </c>
      <c r="C10944" t="s">
        <v>867</v>
      </c>
      <c r="D10944" t="s">
        <v>991</v>
      </c>
      <c r="E10944" t="s">
        <v>1052</v>
      </c>
      <c r="F10944">
        <v>2026</v>
      </c>
    </row>
    <row r="10945" spans="1:6">
      <c r="A10945" t="s">
        <v>27</v>
      </c>
      <c r="B10945" t="s">
        <v>68</v>
      </c>
      <c r="C10945" t="s">
        <v>867</v>
      </c>
      <c r="D10945" t="s">
        <v>991</v>
      </c>
      <c r="E10945" t="s">
        <v>1053</v>
      </c>
      <c r="F10945">
        <v>7309846</v>
      </c>
    </row>
    <row r="10946" spans="1:6">
      <c r="A10946" t="s">
        <v>27</v>
      </c>
      <c r="B10946" t="s">
        <v>68</v>
      </c>
      <c r="C10946" t="s">
        <v>867</v>
      </c>
      <c r="D10946" t="s">
        <v>991</v>
      </c>
      <c r="E10946" t="s">
        <v>1108</v>
      </c>
      <c r="F10946">
        <v>550735</v>
      </c>
    </row>
    <row r="10947" spans="1:6">
      <c r="A10947" t="s">
        <v>27</v>
      </c>
      <c r="B10947" t="s">
        <v>68</v>
      </c>
      <c r="C10947" t="s">
        <v>867</v>
      </c>
      <c r="D10947" t="s">
        <v>991</v>
      </c>
      <c r="E10947" t="s">
        <v>1109</v>
      </c>
      <c r="F10947">
        <v>837912</v>
      </c>
    </row>
    <row r="10948" spans="1:6">
      <c r="A10948" t="s">
        <v>27</v>
      </c>
      <c r="B10948" t="s">
        <v>68</v>
      </c>
      <c r="C10948" t="s">
        <v>867</v>
      </c>
      <c r="D10948" t="s">
        <v>991</v>
      </c>
      <c r="E10948" t="s">
        <v>1110</v>
      </c>
      <c r="F10948">
        <v>904130</v>
      </c>
    </row>
    <row r="10949" spans="1:6">
      <c r="A10949" t="s">
        <v>27</v>
      </c>
      <c r="B10949" t="s">
        <v>68</v>
      </c>
      <c r="C10949" t="s">
        <v>867</v>
      </c>
      <c r="D10949" t="s">
        <v>991</v>
      </c>
      <c r="E10949" t="s">
        <v>1521</v>
      </c>
      <c r="F10949">
        <v>775286</v>
      </c>
    </row>
    <row r="10950" spans="1:6">
      <c r="A10950" t="s">
        <v>27</v>
      </c>
      <c r="B10950" t="s">
        <v>68</v>
      </c>
      <c r="C10950" t="s">
        <v>867</v>
      </c>
      <c r="D10950" t="s">
        <v>991</v>
      </c>
      <c r="E10950" t="s">
        <v>1522</v>
      </c>
      <c r="F10950">
        <v>676517</v>
      </c>
    </row>
    <row r="10951" spans="1:6">
      <c r="A10951" t="s">
        <v>27</v>
      </c>
      <c r="B10951" t="s">
        <v>68</v>
      </c>
      <c r="C10951" t="s">
        <v>867</v>
      </c>
      <c r="D10951" t="s">
        <v>991</v>
      </c>
      <c r="E10951" t="s">
        <v>1523</v>
      </c>
      <c r="F10951">
        <v>803008</v>
      </c>
    </row>
    <row r="10952" spans="1:6">
      <c r="A10952" t="s">
        <v>27</v>
      </c>
      <c r="B10952" t="s">
        <v>68</v>
      </c>
      <c r="C10952" t="s">
        <v>867</v>
      </c>
      <c r="D10952" t="s">
        <v>991</v>
      </c>
      <c r="E10952" t="s">
        <v>1524</v>
      </c>
      <c r="F10952">
        <v>943570</v>
      </c>
    </row>
    <row r="10953" spans="1:6">
      <c r="A10953" t="s">
        <v>27</v>
      </c>
      <c r="B10953" t="s">
        <v>68</v>
      </c>
      <c r="C10953" t="s">
        <v>867</v>
      </c>
      <c r="D10953" t="s">
        <v>991</v>
      </c>
      <c r="E10953" t="s">
        <v>1525</v>
      </c>
      <c r="F10953">
        <v>970510</v>
      </c>
    </row>
    <row r="10954" spans="1:6">
      <c r="A10954" t="s">
        <v>27</v>
      </c>
      <c r="B10954" t="s">
        <v>68</v>
      </c>
      <c r="C10954" t="s">
        <v>867</v>
      </c>
      <c r="D10954" t="s">
        <v>991</v>
      </c>
      <c r="E10954" t="s">
        <v>1526</v>
      </c>
      <c r="F10954">
        <v>847485</v>
      </c>
    </row>
    <row r="10955" spans="1:6">
      <c r="A10955" t="s">
        <v>27</v>
      </c>
      <c r="B10955" t="s">
        <v>68</v>
      </c>
      <c r="C10955" t="s">
        <v>867</v>
      </c>
      <c r="D10955" t="s">
        <v>991</v>
      </c>
      <c r="E10955" t="s">
        <v>1527</v>
      </c>
      <c r="F10955">
        <v>692</v>
      </c>
    </row>
    <row r="10956" spans="1:6">
      <c r="A10956" t="s">
        <v>27</v>
      </c>
      <c r="B10956" t="s">
        <v>68</v>
      </c>
      <c r="C10956" t="s">
        <v>867</v>
      </c>
      <c r="D10956" t="s">
        <v>991</v>
      </c>
      <c r="E10956" t="s">
        <v>1528</v>
      </c>
      <c r="F10956">
        <v>0</v>
      </c>
    </row>
    <row r="10957" spans="1:6">
      <c r="A10957" t="s">
        <v>27</v>
      </c>
      <c r="B10957" t="s">
        <v>68</v>
      </c>
      <c r="C10957" t="s">
        <v>867</v>
      </c>
      <c r="D10957" t="s">
        <v>991</v>
      </c>
      <c r="E10957" t="s">
        <v>1529</v>
      </c>
      <c r="F10957">
        <v>0</v>
      </c>
    </row>
    <row r="10958" spans="1:6">
      <c r="A10958" t="s">
        <v>27</v>
      </c>
      <c r="B10958" t="s">
        <v>68</v>
      </c>
      <c r="C10958" t="s">
        <v>867</v>
      </c>
      <c r="D10958" t="s">
        <v>991</v>
      </c>
      <c r="E10958" t="s">
        <v>1111</v>
      </c>
      <c r="F10958" t="s">
        <v>1009</v>
      </c>
    </row>
    <row r="10959" spans="1:6">
      <c r="A10959" t="s">
        <v>27</v>
      </c>
      <c r="B10959" t="s">
        <v>68</v>
      </c>
      <c r="C10959" t="s">
        <v>867</v>
      </c>
      <c r="D10959" t="s">
        <v>991</v>
      </c>
      <c r="E10959" t="s">
        <v>1113</v>
      </c>
      <c r="F10959">
        <v>146103720</v>
      </c>
    </row>
    <row r="10960" spans="1:6">
      <c r="A10960" t="s">
        <v>27</v>
      </c>
      <c r="B10960" t="s">
        <v>68</v>
      </c>
      <c r="C10960" t="s">
        <v>867</v>
      </c>
      <c r="D10960" t="s">
        <v>991</v>
      </c>
      <c r="E10960" t="s">
        <v>1122</v>
      </c>
      <c r="F10960" t="s">
        <v>1055</v>
      </c>
    </row>
    <row r="10961" spans="1:6">
      <c r="A10961" t="s">
        <v>27</v>
      </c>
      <c r="B10961" t="s">
        <v>68</v>
      </c>
      <c r="C10961" t="s">
        <v>867</v>
      </c>
      <c r="D10961" t="s">
        <v>991</v>
      </c>
      <c r="E10961" t="s">
        <v>1071</v>
      </c>
      <c r="F10961" t="s">
        <v>1007</v>
      </c>
    </row>
    <row r="10962" spans="1:6">
      <c r="A10962" t="s">
        <v>27</v>
      </c>
      <c r="B10962" t="s">
        <v>68</v>
      </c>
      <c r="C10962" t="s">
        <v>867</v>
      </c>
      <c r="D10962" t="s">
        <v>991</v>
      </c>
      <c r="E10962" t="s">
        <v>1072</v>
      </c>
      <c r="F10962" t="s">
        <v>1009</v>
      </c>
    </row>
    <row r="10963" spans="1:6">
      <c r="A10963" t="s">
        <v>27</v>
      </c>
      <c r="B10963" t="s">
        <v>68</v>
      </c>
      <c r="C10963" t="s">
        <v>867</v>
      </c>
      <c r="D10963" t="s">
        <v>991</v>
      </c>
      <c r="E10963" t="s">
        <v>1133</v>
      </c>
      <c r="F10963" t="s">
        <v>1011</v>
      </c>
    </row>
    <row r="10964" spans="1:6">
      <c r="A10964" t="s">
        <v>27</v>
      </c>
      <c r="B10964" t="s">
        <v>68</v>
      </c>
      <c r="C10964" t="s">
        <v>867</v>
      </c>
      <c r="D10964" t="s">
        <v>991</v>
      </c>
      <c r="E10964" t="s">
        <v>1134</v>
      </c>
      <c r="F10964" t="s">
        <v>1013</v>
      </c>
    </row>
    <row r="10965" spans="1:6">
      <c r="A10965" t="s">
        <v>27</v>
      </c>
      <c r="B10965" t="s">
        <v>68</v>
      </c>
      <c r="C10965" t="s">
        <v>867</v>
      </c>
      <c r="D10965" t="s">
        <v>991</v>
      </c>
      <c r="E10965" t="s">
        <v>1135</v>
      </c>
      <c r="F10965" t="s">
        <v>1015</v>
      </c>
    </row>
    <row r="10966" spans="1:6">
      <c r="A10966" t="s">
        <v>27</v>
      </c>
      <c r="B10966" t="s">
        <v>68</v>
      </c>
      <c r="C10966" t="s">
        <v>867</v>
      </c>
      <c r="D10966" t="s">
        <v>991</v>
      </c>
      <c r="E10966" t="s">
        <v>1414</v>
      </c>
      <c r="F10966" t="s">
        <v>1017</v>
      </c>
    </row>
    <row r="10967" spans="1:6">
      <c r="A10967" t="s">
        <v>27</v>
      </c>
      <c r="B10967" t="s">
        <v>68</v>
      </c>
      <c r="C10967" t="s">
        <v>867</v>
      </c>
      <c r="D10967" t="s">
        <v>991</v>
      </c>
      <c r="E10967" t="s">
        <v>1530</v>
      </c>
      <c r="F10967" t="s">
        <v>1019</v>
      </c>
    </row>
    <row r="10968" spans="1:6">
      <c r="A10968" t="s">
        <v>27</v>
      </c>
      <c r="B10968" t="s">
        <v>68</v>
      </c>
      <c r="C10968" t="s">
        <v>867</v>
      </c>
      <c r="D10968" t="s">
        <v>991</v>
      </c>
      <c r="E10968" t="s">
        <v>1531</v>
      </c>
      <c r="F10968" t="s">
        <v>1021</v>
      </c>
    </row>
    <row r="10969" spans="1:6">
      <c r="A10969" t="s">
        <v>27</v>
      </c>
      <c r="B10969" t="s">
        <v>68</v>
      </c>
      <c r="C10969" t="s">
        <v>867</v>
      </c>
      <c r="D10969" t="s">
        <v>991</v>
      </c>
      <c r="E10969" t="s">
        <v>1532</v>
      </c>
      <c r="F10969" t="s">
        <v>1023</v>
      </c>
    </row>
    <row r="10970" spans="1:6">
      <c r="A10970" t="s">
        <v>27</v>
      </c>
      <c r="B10970" t="s">
        <v>68</v>
      </c>
      <c r="C10970" t="s">
        <v>867</v>
      </c>
      <c r="D10970" t="s">
        <v>991</v>
      </c>
      <c r="E10970" t="s">
        <v>1533</v>
      </c>
      <c r="F10970" t="s">
        <v>1066</v>
      </c>
    </row>
    <row r="10971" spans="1:6">
      <c r="A10971" t="s">
        <v>27</v>
      </c>
      <c r="B10971" t="s">
        <v>68</v>
      </c>
      <c r="C10971" t="s">
        <v>867</v>
      </c>
      <c r="D10971" t="s">
        <v>991</v>
      </c>
      <c r="E10971" t="s">
        <v>1534</v>
      </c>
      <c r="F10971" t="s">
        <v>1027</v>
      </c>
    </row>
    <row r="10972" spans="1:6">
      <c r="A10972" t="s">
        <v>27</v>
      </c>
      <c r="B10972" t="s">
        <v>68</v>
      </c>
      <c r="C10972" t="s">
        <v>867</v>
      </c>
      <c r="D10972" t="s">
        <v>991</v>
      </c>
      <c r="E10972" t="s">
        <v>1535</v>
      </c>
      <c r="F10972" t="s">
        <v>1029</v>
      </c>
    </row>
    <row r="10973" spans="1:6">
      <c r="A10973" t="s">
        <v>27</v>
      </c>
      <c r="B10973" t="s">
        <v>68</v>
      </c>
      <c r="C10973" t="s">
        <v>867</v>
      </c>
      <c r="D10973" t="s">
        <v>991</v>
      </c>
      <c r="E10973" t="s">
        <v>1536</v>
      </c>
      <c r="F10973" t="s">
        <v>1031</v>
      </c>
    </row>
    <row r="10974" spans="1:6">
      <c r="A10974" t="s">
        <v>27</v>
      </c>
      <c r="B10974" t="s">
        <v>68</v>
      </c>
      <c r="C10974" t="s">
        <v>867</v>
      </c>
      <c r="D10974" t="s">
        <v>991</v>
      </c>
      <c r="E10974" t="s">
        <v>1537</v>
      </c>
      <c r="F10974" t="s">
        <v>1033</v>
      </c>
    </row>
    <row r="10975" spans="1:6">
      <c r="A10975" t="s">
        <v>27</v>
      </c>
      <c r="B10975" t="s">
        <v>68</v>
      </c>
      <c r="C10975" t="s">
        <v>867</v>
      </c>
      <c r="D10975" t="s">
        <v>991</v>
      </c>
      <c r="E10975" t="s">
        <v>1073</v>
      </c>
      <c r="F10975" t="s">
        <v>50</v>
      </c>
    </row>
    <row r="10976" spans="1:6">
      <c r="A10976" t="s">
        <v>27</v>
      </c>
      <c r="B10976" t="s">
        <v>68</v>
      </c>
      <c r="C10976" t="s">
        <v>867</v>
      </c>
      <c r="D10976" t="s">
        <v>991</v>
      </c>
      <c r="E10976" t="s">
        <v>1074</v>
      </c>
      <c r="F10976">
        <v>500153</v>
      </c>
    </row>
    <row r="10977" spans="1:6">
      <c r="A10977" t="s">
        <v>27</v>
      </c>
      <c r="B10977" t="s">
        <v>68</v>
      </c>
      <c r="C10977" t="s">
        <v>867</v>
      </c>
      <c r="D10977" t="s">
        <v>991</v>
      </c>
      <c r="E10977" t="s">
        <v>1075</v>
      </c>
      <c r="F10977">
        <v>2025</v>
      </c>
    </row>
    <row r="10978" spans="1:6">
      <c r="A10978" t="s">
        <v>27</v>
      </c>
      <c r="B10978" t="s">
        <v>68</v>
      </c>
      <c r="C10978" t="s">
        <v>867</v>
      </c>
      <c r="D10978" t="s">
        <v>991</v>
      </c>
      <c r="E10978" t="s">
        <v>1076</v>
      </c>
      <c r="F10978">
        <v>56612</v>
      </c>
    </row>
    <row r="10979" spans="1:6">
      <c r="A10979" t="s">
        <v>27</v>
      </c>
      <c r="B10979" t="s">
        <v>68</v>
      </c>
      <c r="C10979" t="s">
        <v>867</v>
      </c>
      <c r="D10979" t="s">
        <v>991</v>
      </c>
      <c r="E10979" t="s">
        <v>1089</v>
      </c>
      <c r="F10979">
        <v>2026</v>
      </c>
    </row>
    <row r="10980" spans="1:6">
      <c r="A10980" t="s">
        <v>27</v>
      </c>
      <c r="B10980" t="s">
        <v>68</v>
      </c>
      <c r="C10980" t="s">
        <v>867</v>
      </c>
      <c r="D10980" t="s">
        <v>991</v>
      </c>
      <c r="E10980" t="s">
        <v>1090</v>
      </c>
      <c r="F10980">
        <v>34445</v>
      </c>
    </row>
    <row r="10981" spans="1:6">
      <c r="A10981" t="s">
        <v>27</v>
      </c>
      <c r="B10981" t="s">
        <v>68</v>
      </c>
      <c r="C10981" t="s">
        <v>867</v>
      </c>
      <c r="D10981" t="s">
        <v>991</v>
      </c>
      <c r="E10981" t="s">
        <v>1139</v>
      </c>
      <c r="F10981">
        <v>4242</v>
      </c>
    </row>
    <row r="10982" spans="1:6">
      <c r="A10982" t="s">
        <v>27</v>
      </c>
      <c r="B10982" t="s">
        <v>68</v>
      </c>
      <c r="C10982" t="s">
        <v>867</v>
      </c>
      <c r="D10982" t="s">
        <v>991</v>
      </c>
      <c r="E10982" t="s">
        <v>1140</v>
      </c>
      <c r="F10982">
        <v>3194</v>
      </c>
    </row>
    <row r="10983" spans="1:6">
      <c r="A10983" t="s">
        <v>27</v>
      </c>
      <c r="B10983" t="s">
        <v>68</v>
      </c>
      <c r="C10983" t="s">
        <v>867</v>
      </c>
      <c r="D10983" t="s">
        <v>991</v>
      </c>
      <c r="E10983" t="s">
        <v>1141</v>
      </c>
      <c r="F10983">
        <v>4293</v>
      </c>
    </row>
    <row r="10984" spans="1:6">
      <c r="A10984" t="s">
        <v>27</v>
      </c>
      <c r="B10984" t="s">
        <v>68</v>
      </c>
      <c r="C10984" t="s">
        <v>867</v>
      </c>
      <c r="D10984" t="s">
        <v>991</v>
      </c>
      <c r="E10984" t="s">
        <v>1423</v>
      </c>
      <c r="F10984">
        <v>4242</v>
      </c>
    </row>
    <row r="10985" spans="1:6">
      <c r="A10985" t="s">
        <v>27</v>
      </c>
      <c r="B10985" t="s">
        <v>68</v>
      </c>
      <c r="C10985" t="s">
        <v>867</v>
      </c>
      <c r="D10985" t="s">
        <v>991</v>
      </c>
      <c r="E10985" t="s">
        <v>1538</v>
      </c>
      <c r="F10985">
        <v>4226</v>
      </c>
    </row>
    <row r="10986" spans="1:6">
      <c r="A10986" t="s">
        <v>27</v>
      </c>
      <c r="B10986" t="s">
        <v>68</v>
      </c>
      <c r="C10986" t="s">
        <v>867</v>
      </c>
      <c r="D10986" t="s">
        <v>991</v>
      </c>
      <c r="E10986" t="s">
        <v>1539</v>
      </c>
      <c r="F10986">
        <v>3585</v>
      </c>
    </row>
    <row r="10987" spans="1:6">
      <c r="A10987" t="s">
        <v>27</v>
      </c>
      <c r="B10987" t="s">
        <v>68</v>
      </c>
      <c r="C10987" t="s">
        <v>867</v>
      </c>
      <c r="D10987" t="s">
        <v>991</v>
      </c>
      <c r="E10987" t="s">
        <v>1540</v>
      </c>
      <c r="F10987">
        <v>4146</v>
      </c>
    </row>
    <row r="10988" spans="1:6">
      <c r="A10988" t="s">
        <v>27</v>
      </c>
      <c r="B10988" t="s">
        <v>68</v>
      </c>
      <c r="C10988" t="s">
        <v>867</v>
      </c>
      <c r="D10988" t="s">
        <v>991</v>
      </c>
      <c r="E10988" t="s">
        <v>1541</v>
      </c>
      <c r="F10988">
        <v>3549</v>
      </c>
    </row>
    <row r="10989" spans="1:6">
      <c r="A10989" t="s">
        <v>27</v>
      </c>
      <c r="B10989" t="s">
        <v>68</v>
      </c>
      <c r="C10989" t="s">
        <v>867</v>
      </c>
      <c r="D10989" t="s">
        <v>991</v>
      </c>
      <c r="E10989" t="s">
        <v>1542</v>
      </c>
      <c r="F10989">
        <v>2966</v>
      </c>
    </row>
    <row r="10990" spans="1:6">
      <c r="A10990" t="s">
        <v>27</v>
      </c>
      <c r="B10990" t="s">
        <v>68</v>
      </c>
      <c r="C10990" t="s">
        <v>867</v>
      </c>
      <c r="D10990" t="s">
        <v>991</v>
      </c>
      <c r="E10990" t="s">
        <v>1543</v>
      </c>
      <c r="F10990">
        <v>2</v>
      </c>
    </row>
    <row r="10991" spans="1:6">
      <c r="A10991" t="s">
        <v>27</v>
      </c>
      <c r="B10991" t="s">
        <v>68</v>
      </c>
      <c r="C10991" t="s">
        <v>867</v>
      </c>
      <c r="D10991" t="s">
        <v>991</v>
      </c>
      <c r="E10991" t="s">
        <v>1544</v>
      </c>
      <c r="F10991">
        <v>0</v>
      </c>
    </row>
    <row r="10992" spans="1:6">
      <c r="A10992" t="s">
        <v>27</v>
      </c>
      <c r="B10992" t="s">
        <v>68</v>
      </c>
      <c r="C10992" t="s">
        <v>867</v>
      </c>
      <c r="D10992" t="s">
        <v>991</v>
      </c>
      <c r="E10992" t="s">
        <v>1545</v>
      </c>
      <c r="F10992">
        <v>0</v>
      </c>
    </row>
    <row r="10993" spans="1:6">
      <c r="A10993" t="s">
        <v>27</v>
      </c>
      <c r="B10993" t="s">
        <v>68</v>
      </c>
      <c r="C10993" t="s">
        <v>867</v>
      </c>
      <c r="D10993" t="s">
        <v>991</v>
      </c>
      <c r="E10993" t="s">
        <v>1546</v>
      </c>
      <c r="F10993" t="s">
        <v>1009</v>
      </c>
    </row>
    <row r="10994" spans="1:6">
      <c r="A10994" t="s">
        <v>27</v>
      </c>
      <c r="B10994" t="s">
        <v>68</v>
      </c>
      <c r="C10994" t="s">
        <v>867</v>
      </c>
      <c r="D10994" t="s">
        <v>991</v>
      </c>
      <c r="E10994" t="s">
        <v>1298</v>
      </c>
      <c r="F10994">
        <v>591210</v>
      </c>
    </row>
    <row r="10995" spans="1:6">
      <c r="A10995" t="s">
        <v>27</v>
      </c>
      <c r="B10995" t="s">
        <v>68</v>
      </c>
      <c r="C10995" t="s">
        <v>867</v>
      </c>
      <c r="D10995" t="s">
        <v>1091</v>
      </c>
      <c r="E10995" t="s">
        <v>1276</v>
      </c>
      <c r="F10995" t="s">
        <v>1092</v>
      </c>
    </row>
    <row r="10996" spans="1:6">
      <c r="A10996" t="s">
        <v>27</v>
      </c>
      <c r="B10996" t="s">
        <v>68</v>
      </c>
      <c r="C10996" t="s">
        <v>867</v>
      </c>
      <c r="D10996" t="s">
        <v>1091</v>
      </c>
      <c r="E10996" t="s">
        <v>999</v>
      </c>
      <c r="F10996" t="s">
        <v>1094</v>
      </c>
    </row>
    <row r="10997" spans="1:6">
      <c r="A10997" t="s">
        <v>27</v>
      </c>
      <c r="B10997" t="s">
        <v>68</v>
      </c>
      <c r="C10997" t="s">
        <v>867</v>
      </c>
      <c r="D10997" t="s">
        <v>1091</v>
      </c>
      <c r="E10997" t="s">
        <v>1001</v>
      </c>
      <c r="F10997" t="s">
        <v>68</v>
      </c>
    </row>
    <row r="10998" spans="1:6">
      <c r="A10998" t="s">
        <v>27</v>
      </c>
      <c r="B10998" t="s">
        <v>68</v>
      </c>
      <c r="C10998" t="s">
        <v>867</v>
      </c>
      <c r="D10998" t="s">
        <v>1091</v>
      </c>
      <c r="E10998" t="s">
        <v>1509</v>
      </c>
      <c r="F10998" t="s">
        <v>996</v>
      </c>
    </row>
    <row r="10999" spans="1:6">
      <c r="A10999" t="s">
        <v>27</v>
      </c>
      <c r="B10999" t="s">
        <v>68</v>
      </c>
      <c r="C10999" t="s">
        <v>867</v>
      </c>
      <c r="D10999" t="s">
        <v>1091</v>
      </c>
      <c r="E10999" t="s">
        <v>1510</v>
      </c>
      <c r="F10999" t="s">
        <v>1511</v>
      </c>
    </row>
    <row r="11000" spans="1:6">
      <c r="A11000" t="s">
        <v>27</v>
      </c>
      <c r="B11000" t="s">
        <v>68</v>
      </c>
      <c r="C11000" t="s">
        <v>867</v>
      </c>
      <c r="D11000" t="s">
        <v>1091</v>
      </c>
      <c r="E11000" t="s">
        <v>1283</v>
      </c>
      <c r="F11000" t="s">
        <v>1000</v>
      </c>
    </row>
    <row r="11001" spans="1:6">
      <c r="A11001" t="s">
        <v>27</v>
      </c>
      <c r="B11001" t="s">
        <v>68</v>
      </c>
      <c r="C11001" t="s">
        <v>867</v>
      </c>
      <c r="D11001" t="s">
        <v>1091</v>
      </c>
      <c r="E11001" t="s">
        <v>1285</v>
      </c>
      <c r="F11001" t="s">
        <v>10</v>
      </c>
    </row>
    <row r="11002" spans="1:6">
      <c r="A11002" t="s">
        <v>27</v>
      </c>
      <c r="B11002" t="s">
        <v>68</v>
      </c>
      <c r="C11002" t="s">
        <v>867</v>
      </c>
      <c r="D11002" t="s">
        <v>1091</v>
      </c>
      <c r="E11002" t="s">
        <v>1335</v>
      </c>
      <c r="F11002" t="s">
        <v>1095</v>
      </c>
    </row>
    <row r="11003" spans="1:6">
      <c r="A11003" t="s">
        <v>27</v>
      </c>
      <c r="B11003" t="s">
        <v>68</v>
      </c>
      <c r="C11003" t="s">
        <v>867</v>
      </c>
      <c r="D11003" t="s">
        <v>1091</v>
      </c>
      <c r="E11003" t="s">
        <v>1290</v>
      </c>
      <c r="F11003" t="s">
        <v>1005</v>
      </c>
    </row>
    <row r="11004" spans="1:6">
      <c r="A11004" t="s">
        <v>27</v>
      </c>
      <c r="B11004" t="s">
        <v>68</v>
      </c>
      <c r="C11004" t="s">
        <v>867</v>
      </c>
      <c r="D11004" t="s">
        <v>1091</v>
      </c>
      <c r="E11004" t="s">
        <v>1034</v>
      </c>
      <c r="F11004" t="s">
        <v>1097</v>
      </c>
    </row>
    <row r="11005" spans="1:6">
      <c r="A11005" t="s">
        <v>27</v>
      </c>
      <c r="B11005" t="s">
        <v>68</v>
      </c>
      <c r="C11005" t="s">
        <v>867</v>
      </c>
      <c r="D11005" t="s">
        <v>1091</v>
      </c>
      <c r="E11005" t="s">
        <v>1035</v>
      </c>
      <c r="F11005" t="s">
        <v>1098</v>
      </c>
    </row>
    <row r="11006" spans="1:6">
      <c r="A11006" t="s">
        <v>27</v>
      </c>
      <c r="B11006" t="s">
        <v>68</v>
      </c>
      <c r="C11006" t="s">
        <v>867</v>
      </c>
      <c r="D11006" t="s">
        <v>1091</v>
      </c>
      <c r="E11006" t="s">
        <v>1037</v>
      </c>
      <c r="F11006" t="s">
        <v>1009</v>
      </c>
    </row>
    <row r="11007" spans="1:6">
      <c r="A11007" t="s">
        <v>27</v>
      </c>
      <c r="B11007" t="s">
        <v>68</v>
      </c>
      <c r="C11007" t="s">
        <v>867</v>
      </c>
      <c r="D11007" t="s">
        <v>1091</v>
      </c>
      <c r="E11007" t="s">
        <v>1103</v>
      </c>
      <c r="F11007" t="s">
        <v>50</v>
      </c>
    </row>
    <row r="11008" spans="1:6">
      <c r="A11008" t="s">
        <v>27</v>
      </c>
      <c r="B11008" t="s">
        <v>68</v>
      </c>
      <c r="C11008" t="s">
        <v>867</v>
      </c>
      <c r="D11008" t="s">
        <v>1091</v>
      </c>
      <c r="E11008" t="s">
        <v>1104</v>
      </c>
      <c r="F11008">
        <v>2025</v>
      </c>
    </row>
    <row r="11009" spans="1:6">
      <c r="A11009" t="s">
        <v>27</v>
      </c>
      <c r="B11009" t="s">
        <v>68</v>
      </c>
      <c r="C11009" t="s">
        <v>867</v>
      </c>
      <c r="D11009" t="s">
        <v>1091</v>
      </c>
      <c r="E11009" t="s">
        <v>1105</v>
      </c>
      <c r="F11009">
        <v>2026</v>
      </c>
    </row>
    <row r="11010" spans="1:6">
      <c r="A11010" t="s">
        <v>27</v>
      </c>
      <c r="B11010" t="s">
        <v>68</v>
      </c>
      <c r="C11010" t="s">
        <v>867</v>
      </c>
      <c r="D11010" t="s">
        <v>1091</v>
      </c>
      <c r="E11010" t="s">
        <v>1038</v>
      </c>
      <c r="F11010" t="s">
        <v>1102</v>
      </c>
    </row>
    <row r="11011" spans="1:6">
      <c r="A11011" t="s">
        <v>27</v>
      </c>
      <c r="B11011" t="s">
        <v>68</v>
      </c>
      <c r="C11011" t="s">
        <v>867</v>
      </c>
      <c r="D11011" t="s">
        <v>1091</v>
      </c>
      <c r="E11011" t="s">
        <v>1039</v>
      </c>
      <c r="F11011">
        <v>146103720</v>
      </c>
    </row>
    <row r="11012" spans="1:6">
      <c r="A11012" t="s">
        <v>27</v>
      </c>
      <c r="B11012" t="s">
        <v>68</v>
      </c>
      <c r="C11012" t="s">
        <v>867</v>
      </c>
      <c r="D11012" t="s">
        <v>1091</v>
      </c>
      <c r="E11012" t="s">
        <v>1040</v>
      </c>
      <c r="F11012">
        <v>120403637</v>
      </c>
    </row>
    <row r="11013" spans="1:6">
      <c r="A11013" t="s">
        <v>27</v>
      </c>
      <c r="B11013" t="s">
        <v>68</v>
      </c>
      <c r="C11013" t="s">
        <v>867</v>
      </c>
      <c r="D11013" t="s">
        <v>1091</v>
      </c>
      <c r="E11013" t="s">
        <v>1041</v>
      </c>
      <c r="F11013">
        <v>18390237</v>
      </c>
    </row>
    <row r="11014" spans="1:6">
      <c r="A11014" t="s">
        <v>27</v>
      </c>
      <c r="B11014" t="s">
        <v>68</v>
      </c>
      <c r="C11014" t="s">
        <v>867</v>
      </c>
      <c r="D11014" t="s">
        <v>1091</v>
      </c>
      <c r="E11014" t="s">
        <v>1042</v>
      </c>
      <c r="F11014">
        <v>7309846</v>
      </c>
    </row>
    <row r="11015" spans="1:6">
      <c r="A11015" t="s">
        <v>27</v>
      </c>
      <c r="B11015" t="s">
        <v>68</v>
      </c>
      <c r="C11015" t="s">
        <v>867</v>
      </c>
      <c r="D11015" t="s">
        <v>1091</v>
      </c>
      <c r="E11015" t="s">
        <v>1052</v>
      </c>
      <c r="F11015" t="s">
        <v>1106</v>
      </c>
    </row>
    <row r="11016" spans="1:6">
      <c r="A11016" t="s">
        <v>27</v>
      </c>
      <c r="B11016" t="s">
        <v>68</v>
      </c>
      <c r="C11016" t="s">
        <v>867</v>
      </c>
      <c r="D11016" t="s">
        <v>1091</v>
      </c>
      <c r="E11016" t="s">
        <v>1053</v>
      </c>
      <c r="F11016">
        <v>143354468</v>
      </c>
    </row>
    <row r="11017" spans="1:6">
      <c r="A11017" t="s">
        <v>27</v>
      </c>
      <c r="B11017" t="s">
        <v>68</v>
      </c>
      <c r="C11017" t="s">
        <v>867</v>
      </c>
      <c r="D11017" t="s">
        <v>1091</v>
      </c>
      <c r="E11017" t="s">
        <v>1108</v>
      </c>
      <c r="F11017">
        <v>119592958</v>
      </c>
    </row>
    <row r="11018" spans="1:6">
      <c r="A11018" t="s">
        <v>27</v>
      </c>
      <c r="B11018" t="s">
        <v>68</v>
      </c>
      <c r="C11018" t="s">
        <v>867</v>
      </c>
      <c r="D11018" t="s">
        <v>1091</v>
      </c>
      <c r="E11018" t="s">
        <v>1109</v>
      </c>
      <c r="F11018">
        <v>18086560</v>
      </c>
    </row>
    <row r="11019" spans="1:6">
      <c r="A11019" t="s">
        <v>27</v>
      </c>
      <c r="B11019" t="s">
        <v>68</v>
      </c>
      <c r="C11019" t="s">
        <v>867</v>
      </c>
      <c r="D11019" t="s">
        <v>1091</v>
      </c>
      <c r="E11019" t="s">
        <v>1110</v>
      </c>
      <c r="F11019">
        <v>5674951</v>
      </c>
    </row>
    <row r="11020" spans="1:6">
      <c r="A11020" t="s">
        <v>27</v>
      </c>
      <c r="B11020" t="s">
        <v>68</v>
      </c>
      <c r="C11020" t="s">
        <v>867</v>
      </c>
      <c r="D11020" t="s">
        <v>1091</v>
      </c>
      <c r="E11020" t="s">
        <v>1111</v>
      </c>
      <c r="F11020" t="s">
        <v>1107</v>
      </c>
    </row>
    <row r="11021" spans="1:6">
      <c r="A11021" t="s">
        <v>27</v>
      </c>
      <c r="B11021" t="s">
        <v>68</v>
      </c>
      <c r="C11021" t="s">
        <v>867</v>
      </c>
      <c r="D11021" t="s">
        <v>1091</v>
      </c>
      <c r="E11021" t="s">
        <v>1113</v>
      </c>
      <c r="F11021">
        <v>141892716</v>
      </c>
    </row>
    <row r="11022" spans="1:6">
      <c r="A11022" t="s">
        <v>27</v>
      </c>
      <c r="B11022" t="s">
        <v>68</v>
      </c>
      <c r="C11022" t="s">
        <v>867</v>
      </c>
      <c r="D11022" t="s">
        <v>1091</v>
      </c>
      <c r="E11022" t="s">
        <v>1114</v>
      </c>
      <c r="F11022">
        <v>118585644</v>
      </c>
    </row>
    <row r="11023" spans="1:6">
      <c r="A11023" t="s">
        <v>27</v>
      </c>
      <c r="B11023" t="s">
        <v>68</v>
      </c>
      <c r="C11023" t="s">
        <v>867</v>
      </c>
      <c r="D11023" t="s">
        <v>1091</v>
      </c>
      <c r="E11023" t="s">
        <v>1115</v>
      </c>
      <c r="F11023">
        <v>17741701</v>
      </c>
    </row>
    <row r="11024" spans="1:6">
      <c r="A11024" t="s">
        <v>27</v>
      </c>
      <c r="B11024" t="s">
        <v>68</v>
      </c>
      <c r="C11024" t="s">
        <v>867</v>
      </c>
      <c r="D11024" t="s">
        <v>1091</v>
      </c>
      <c r="E11024" t="s">
        <v>1116</v>
      </c>
      <c r="F11024">
        <v>5565371</v>
      </c>
    </row>
    <row r="11025" spans="1:6">
      <c r="A11025" t="s">
        <v>27</v>
      </c>
      <c r="B11025" t="s">
        <v>68</v>
      </c>
      <c r="C11025" t="s">
        <v>867</v>
      </c>
      <c r="D11025" t="s">
        <v>1091</v>
      </c>
      <c r="E11025" t="s">
        <v>1054</v>
      </c>
      <c r="F11025" t="s">
        <v>1307</v>
      </c>
    </row>
    <row r="11026" spans="1:6">
      <c r="A11026" t="s">
        <v>27</v>
      </c>
      <c r="B11026" t="s">
        <v>68</v>
      </c>
      <c r="C11026" t="s">
        <v>867</v>
      </c>
      <c r="D11026" t="s">
        <v>1091</v>
      </c>
      <c r="E11026" t="s">
        <v>1118</v>
      </c>
      <c r="F11026">
        <v>29674</v>
      </c>
    </row>
    <row r="11027" spans="1:6">
      <c r="A11027" t="s">
        <v>27</v>
      </c>
      <c r="B11027" t="s">
        <v>68</v>
      </c>
      <c r="C11027" t="s">
        <v>867</v>
      </c>
      <c r="D11027" t="s">
        <v>1091</v>
      </c>
      <c r="E11027" t="s">
        <v>1119</v>
      </c>
      <c r="F11027">
        <v>7679</v>
      </c>
    </row>
    <row r="11028" spans="1:6">
      <c r="A11028" t="s">
        <v>27</v>
      </c>
      <c r="B11028" t="s">
        <v>68</v>
      </c>
      <c r="C11028" t="s">
        <v>867</v>
      </c>
      <c r="D11028" t="s">
        <v>1091</v>
      </c>
      <c r="E11028" t="s">
        <v>1120</v>
      </c>
      <c r="F11028">
        <v>18694</v>
      </c>
    </row>
    <row r="11029" spans="1:6">
      <c r="A11029" t="s">
        <v>27</v>
      </c>
      <c r="B11029" t="s">
        <v>68</v>
      </c>
      <c r="C11029" t="s">
        <v>867</v>
      </c>
      <c r="D11029" t="s">
        <v>1091</v>
      </c>
      <c r="E11029" t="s">
        <v>1121</v>
      </c>
      <c r="F11029">
        <v>3302</v>
      </c>
    </row>
    <row r="11030" spans="1:6">
      <c r="A11030" t="s">
        <v>27</v>
      </c>
      <c r="B11030" t="s">
        <v>68</v>
      </c>
      <c r="C11030" t="s">
        <v>867</v>
      </c>
      <c r="D11030" t="s">
        <v>1091</v>
      </c>
      <c r="E11030" t="s">
        <v>1122</v>
      </c>
      <c r="F11030" t="s">
        <v>1308</v>
      </c>
    </row>
    <row r="11031" spans="1:6">
      <c r="A11031" t="s">
        <v>27</v>
      </c>
      <c r="B11031" t="s">
        <v>68</v>
      </c>
      <c r="C11031" t="s">
        <v>867</v>
      </c>
      <c r="D11031" t="s">
        <v>1091</v>
      </c>
      <c r="E11031" t="s">
        <v>1124</v>
      </c>
      <c r="F11031">
        <v>1432077</v>
      </c>
    </row>
    <row r="11032" spans="1:6">
      <c r="A11032" t="s">
        <v>27</v>
      </c>
      <c r="B11032" t="s">
        <v>68</v>
      </c>
      <c r="C11032" t="s">
        <v>867</v>
      </c>
      <c r="D11032" t="s">
        <v>1091</v>
      </c>
      <c r="E11032" t="s">
        <v>1126</v>
      </c>
      <c r="F11032">
        <v>999634</v>
      </c>
    </row>
    <row r="11033" spans="1:6">
      <c r="A11033" t="s">
        <v>27</v>
      </c>
      <c r="B11033" t="s">
        <v>68</v>
      </c>
      <c r="C11033" t="s">
        <v>867</v>
      </c>
      <c r="D11033" t="s">
        <v>1091</v>
      </c>
      <c r="E11033" t="s">
        <v>1127</v>
      </c>
      <c r="F11033">
        <v>326166</v>
      </c>
    </row>
    <row r="11034" spans="1:6">
      <c r="A11034" t="s">
        <v>27</v>
      </c>
      <c r="B11034" t="s">
        <v>68</v>
      </c>
      <c r="C11034" t="s">
        <v>867</v>
      </c>
      <c r="D11034" t="s">
        <v>1091</v>
      </c>
      <c r="E11034" t="s">
        <v>1128</v>
      </c>
      <c r="F11034">
        <v>106277</v>
      </c>
    </row>
    <row r="11035" spans="1:6">
      <c r="A11035" t="s">
        <v>27</v>
      </c>
      <c r="B11035" t="s">
        <v>68</v>
      </c>
      <c r="C11035" t="s">
        <v>867</v>
      </c>
      <c r="D11035" t="s">
        <v>1091</v>
      </c>
      <c r="E11035" t="s">
        <v>1056</v>
      </c>
      <c r="F11035" t="s">
        <v>1123</v>
      </c>
    </row>
    <row r="11036" spans="1:6">
      <c r="A11036" t="s">
        <v>27</v>
      </c>
      <c r="B11036" t="s">
        <v>68</v>
      </c>
      <c r="C11036" t="s">
        <v>867</v>
      </c>
      <c r="D11036" t="s">
        <v>1091</v>
      </c>
      <c r="E11036" t="s">
        <v>1057</v>
      </c>
      <c r="F11036" t="s">
        <v>1315</v>
      </c>
    </row>
    <row r="11037" spans="1:6">
      <c r="A11037" t="s">
        <v>27</v>
      </c>
      <c r="B11037" t="s">
        <v>68</v>
      </c>
      <c r="C11037" t="s">
        <v>867</v>
      </c>
      <c r="D11037" t="s">
        <v>1091</v>
      </c>
      <c r="E11037" t="s">
        <v>1058</v>
      </c>
      <c r="F11037" t="s">
        <v>1242</v>
      </c>
    </row>
    <row r="11038" spans="1:6">
      <c r="A11038" t="s">
        <v>27</v>
      </c>
      <c r="B11038" t="s">
        <v>68</v>
      </c>
      <c r="C11038" t="s">
        <v>867</v>
      </c>
      <c r="D11038" t="s">
        <v>1091</v>
      </c>
      <c r="E11038" t="s">
        <v>1059</v>
      </c>
      <c r="F11038" t="s">
        <v>1315</v>
      </c>
    </row>
    <row r="11039" spans="1:6">
      <c r="A11039" t="s">
        <v>27</v>
      </c>
      <c r="B11039" t="s">
        <v>68</v>
      </c>
      <c r="C11039" t="s">
        <v>867</v>
      </c>
      <c r="D11039" t="s">
        <v>1091</v>
      </c>
      <c r="E11039" t="s">
        <v>1060</v>
      </c>
      <c r="F11039" t="s">
        <v>2920</v>
      </c>
    </row>
    <row r="11040" spans="1:6">
      <c r="A11040" t="s">
        <v>27</v>
      </c>
      <c r="B11040" t="s">
        <v>68</v>
      </c>
      <c r="C11040" t="s">
        <v>867</v>
      </c>
      <c r="D11040" t="s">
        <v>1091</v>
      </c>
      <c r="E11040" t="s">
        <v>1071</v>
      </c>
      <c r="F11040" t="s">
        <v>1130</v>
      </c>
    </row>
    <row r="11041" spans="1:6">
      <c r="A11041" t="s">
        <v>27</v>
      </c>
      <c r="B11041" t="s">
        <v>68</v>
      </c>
      <c r="C11041" t="s">
        <v>867</v>
      </c>
      <c r="D11041" t="s">
        <v>1091</v>
      </c>
      <c r="E11041" t="s">
        <v>1072</v>
      </c>
      <c r="F11041">
        <v>2749252</v>
      </c>
    </row>
    <row r="11042" spans="1:6">
      <c r="A11042" t="s">
        <v>27</v>
      </c>
      <c r="B11042" t="s">
        <v>68</v>
      </c>
      <c r="C11042" t="s">
        <v>867</v>
      </c>
      <c r="D11042" t="s">
        <v>1091</v>
      </c>
      <c r="E11042" t="s">
        <v>1133</v>
      </c>
      <c r="F11042">
        <v>810679</v>
      </c>
    </row>
    <row r="11043" spans="1:6">
      <c r="A11043" t="s">
        <v>27</v>
      </c>
      <c r="B11043" t="s">
        <v>68</v>
      </c>
      <c r="C11043" t="s">
        <v>867</v>
      </c>
      <c r="D11043" t="s">
        <v>1091</v>
      </c>
      <c r="E11043" t="s">
        <v>1134</v>
      </c>
      <c r="F11043">
        <v>303678</v>
      </c>
    </row>
    <row r="11044" spans="1:6">
      <c r="A11044" t="s">
        <v>27</v>
      </c>
      <c r="B11044" t="s">
        <v>68</v>
      </c>
      <c r="C11044" t="s">
        <v>867</v>
      </c>
      <c r="D11044" t="s">
        <v>1091</v>
      </c>
      <c r="E11044" t="s">
        <v>1135</v>
      </c>
      <c r="F11044">
        <v>1634895</v>
      </c>
    </row>
    <row r="11045" spans="1:6">
      <c r="A11045" t="s">
        <v>27</v>
      </c>
      <c r="B11045" t="s">
        <v>68</v>
      </c>
      <c r="C11045" t="s">
        <v>867</v>
      </c>
      <c r="D11045" t="s">
        <v>1091</v>
      </c>
      <c r="E11045" t="s">
        <v>1073</v>
      </c>
      <c r="F11045" t="s">
        <v>1131</v>
      </c>
    </row>
    <row r="11046" spans="1:6">
      <c r="A11046" t="s">
        <v>27</v>
      </c>
      <c r="B11046" t="s">
        <v>68</v>
      </c>
      <c r="C11046" t="s">
        <v>867</v>
      </c>
      <c r="D11046" t="s">
        <v>1091</v>
      </c>
      <c r="E11046" t="s">
        <v>1074</v>
      </c>
      <c r="F11046" t="s">
        <v>1321</v>
      </c>
    </row>
    <row r="11047" spans="1:6">
      <c r="A11047" t="s">
        <v>27</v>
      </c>
      <c r="B11047" t="s">
        <v>68</v>
      </c>
      <c r="C11047" t="s">
        <v>867</v>
      </c>
      <c r="D11047" t="s">
        <v>1091</v>
      </c>
      <c r="E11047" t="s">
        <v>1296</v>
      </c>
      <c r="F11047" t="s">
        <v>1310</v>
      </c>
    </row>
    <row r="11048" spans="1:6">
      <c r="A11048" t="s">
        <v>27</v>
      </c>
      <c r="B11048" t="s">
        <v>68</v>
      </c>
      <c r="C11048" t="s">
        <v>867</v>
      </c>
      <c r="D11048" t="s">
        <v>1091</v>
      </c>
      <c r="E11048" t="s">
        <v>1297</v>
      </c>
      <c r="F11048" t="s">
        <v>1321</v>
      </c>
    </row>
    <row r="11049" spans="1:6">
      <c r="A11049" t="s">
        <v>27</v>
      </c>
      <c r="B11049" t="s">
        <v>68</v>
      </c>
      <c r="C11049" t="s">
        <v>867</v>
      </c>
      <c r="D11049" t="s">
        <v>1091</v>
      </c>
      <c r="E11049" t="s">
        <v>1364</v>
      </c>
      <c r="F11049" t="s">
        <v>2921</v>
      </c>
    </row>
    <row r="11050" spans="1:6">
      <c r="A11050" t="s">
        <v>27</v>
      </c>
      <c r="B11050" t="s">
        <v>68</v>
      </c>
      <c r="C11050" t="s">
        <v>867</v>
      </c>
      <c r="D11050" t="s">
        <v>1091</v>
      </c>
      <c r="E11050" t="s">
        <v>1090</v>
      </c>
      <c r="F11050" t="s">
        <v>1137</v>
      </c>
    </row>
    <row r="11051" spans="1:6">
      <c r="A11051" t="s">
        <v>27</v>
      </c>
      <c r="B11051" t="s">
        <v>68</v>
      </c>
      <c r="C11051" t="s">
        <v>867</v>
      </c>
      <c r="D11051" t="s">
        <v>1091</v>
      </c>
      <c r="E11051" t="s">
        <v>1139</v>
      </c>
      <c r="F11051">
        <v>0</v>
      </c>
    </row>
    <row r="11052" spans="1:6">
      <c r="A11052" t="s">
        <v>27</v>
      </c>
      <c r="B11052" t="s">
        <v>68</v>
      </c>
      <c r="C11052" t="s">
        <v>867</v>
      </c>
      <c r="D11052" t="s">
        <v>1091</v>
      </c>
      <c r="E11052" t="s">
        <v>1140</v>
      </c>
      <c r="F11052">
        <v>0</v>
      </c>
    </row>
    <row r="11053" spans="1:6">
      <c r="A11053" t="s">
        <v>27</v>
      </c>
      <c r="B11053" t="s">
        <v>68</v>
      </c>
      <c r="C11053" t="s">
        <v>867</v>
      </c>
      <c r="D11053" t="s">
        <v>1091</v>
      </c>
      <c r="E11053" t="s">
        <v>1141</v>
      </c>
      <c r="F11053">
        <v>0</v>
      </c>
    </row>
    <row r="11054" spans="1:6">
      <c r="A11054" t="s">
        <v>27</v>
      </c>
      <c r="B11054" t="s">
        <v>68</v>
      </c>
      <c r="C11054" t="s">
        <v>867</v>
      </c>
      <c r="D11054" t="s">
        <v>1091</v>
      </c>
      <c r="E11054" t="s">
        <v>1298</v>
      </c>
      <c r="F11054" t="s">
        <v>1138</v>
      </c>
    </row>
    <row r="11055" spans="1:6">
      <c r="A11055" t="s">
        <v>27</v>
      </c>
      <c r="B11055" t="s">
        <v>68</v>
      </c>
      <c r="C11055" t="s">
        <v>867</v>
      </c>
      <c r="D11055" t="s">
        <v>1091</v>
      </c>
      <c r="E11055" t="s">
        <v>1299</v>
      </c>
      <c r="F11055" t="s">
        <v>1142</v>
      </c>
    </row>
    <row r="11056" spans="1:6">
      <c r="A11056" t="s">
        <v>27</v>
      </c>
      <c r="B11056" t="s">
        <v>68</v>
      </c>
      <c r="C11056" t="s">
        <v>867</v>
      </c>
      <c r="D11056" t="s">
        <v>1091</v>
      </c>
      <c r="E11056" t="s">
        <v>1300</v>
      </c>
      <c r="F11056" t="s">
        <v>1312</v>
      </c>
    </row>
    <row r="11057" spans="1:6">
      <c r="A11057" t="s">
        <v>27</v>
      </c>
      <c r="B11057" t="s">
        <v>68</v>
      </c>
      <c r="C11057" t="s">
        <v>867</v>
      </c>
      <c r="D11057" t="s">
        <v>1091</v>
      </c>
      <c r="E11057" t="s">
        <v>1426</v>
      </c>
      <c r="F11057" t="s">
        <v>2922</v>
      </c>
    </row>
    <row r="11058" spans="1:6">
      <c r="A11058" t="s">
        <v>27</v>
      </c>
      <c r="B11058" t="s">
        <v>68</v>
      </c>
      <c r="C11058" t="s">
        <v>867</v>
      </c>
      <c r="D11058" t="s">
        <v>1091</v>
      </c>
      <c r="E11058" t="s">
        <v>1554</v>
      </c>
      <c r="F11058" t="s">
        <v>1144</v>
      </c>
    </row>
    <row r="11059" spans="1:6">
      <c r="A11059" t="s">
        <v>27</v>
      </c>
      <c r="B11059" t="s">
        <v>68</v>
      </c>
      <c r="C11059" t="s">
        <v>867</v>
      </c>
      <c r="D11059" t="s">
        <v>1091</v>
      </c>
      <c r="E11059" t="s">
        <v>1434</v>
      </c>
      <c r="F11059" t="s">
        <v>1146</v>
      </c>
    </row>
    <row r="11060" spans="1:6">
      <c r="A11060" t="s">
        <v>27</v>
      </c>
      <c r="B11060" t="s">
        <v>68</v>
      </c>
      <c r="C11060" t="s">
        <v>867</v>
      </c>
      <c r="D11060" t="s">
        <v>1091</v>
      </c>
      <c r="E11060" t="s">
        <v>1555</v>
      </c>
      <c r="F11060" t="s">
        <v>1148</v>
      </c>
    </row>
    <row r="11061" spans="1:6">
      <c r="A11061" t="s">
        <v>27</v>
      </c>
      <c r="B11061" t="s">
        <v>68</v>
      </c>
      <c r="C11061" t="s">
        <v>867</v>
      </c>
      <c r="D11061" t="s">
        <v>1091</v>
      </c>
      <c r="E11061" t="s">
        <v>1151</v>
      </c>
      <c r="F11061" t="s">
        <v>1150</v>
      </c>
    </row>
    <row r="11062" spans="1:6">
      <c r="A11062" t="s">
        <v>27</v>
      </c>
      <c r="B11062" t="s">
        <v>68</v>
      </c>
      <c r="C11062" t="s">
        <v>867</v>
      </c>
      <c r="D11062" t="s">
        <v>1091</v>
      </c>
      <c r="E11062" t="s">
        <v>1166</v>
      </c>
      <c r="F11062" t="s">
        <v>1009</v>
      </c>
    </row>
    <row r="11063" spans="1:6">
      <c r="A11063" t="s">
        <v>27</v>
      </c>
      <c r="B11063" t="s">
        <v>68</v>
      </c>
      <c r="C11063" t="s">
        <v>867</v>
      </c>
      <c r="D11063" t="s">
        <v>1091</v>
      </c>
      <c r="E11063" t="s">
        <v>1167</v>
      </c>
      <c r="F11063" t="s">
        <v>1550</v>
      </c>
    </row>
    <row r="11064" spans="1:6">
      <c r="A11064" t="s">
        <v>27</v>
      </c>
      <c r="B11064" t="s">
        <v>68</v>
      </c>
      <c r="C11064" t="s">
        <v>867</v>
      </c>
      <c r="D11064" t="s">
        <v>1091</v>
      </c>
      <c r="E11064" t="s">
        <v>1168</v>
      </c>
      <c r="F11064" t="s">
        <v>1551</v>
      </c>
    </row>
    <row r="11065" spans="1:6">
      <c r="A11065" t="s">
        <v>27</v>
      </c>
      <c r="B11065" t="s">
        <v>68</v>
      </c>
      <c r="C11065" t="s">
        <v>867</v>
      </c>
      <c r="D11065" t="s">
        <v>1091</v>
      </c>
      <c r="E11065" t="s">
        <v>1169</v>
      </c>
      <c r="F11065" t="s">
        <v>1552</v>
      </c>
    </row>
    <row r="11066" spans="1:6">
      <c r="A11066" t="s">
        <v>27</v>
      </c>
      <c r="B11066" t="s">
        <v>68</v>
      </c>
      <c r="C11066" t="s">
        <v>867</v>
      </c>
      <c r="D11066" t="s">
        <v>1091</v>
      </c>
      <c r="E11066" t="s">
        <v>1170</v>
      </c>
      <c r="F11066" t="s">
        <v>1153</v>
      </c>
    </row>
    <row r="11067" spans="1:6">
      <c r="A11067" t="s">
        <v>27</v>
      </c>
      <c r="B11067" t="s">
        <v>68</v>
      </c>
      <c r="C11067" t="s">
        <v>867</v>
      </c>
      <c r="D11067" t="s">
        <v>1091</v>
      </c>
      <c r="E11067" t="s">
        <v>1171</v>
      </c>
      <c r="F11067" t="s">
        <v>1155</v>
      </c>
    </row>
    <row r="11068" spans="1:6">
      <c r="A11068" t="s">
        <v>27</v>
      </c>
      <c r="B11068" t="s">
        <v>68</v>
      </c>
      <c r="C11068" t="s">
        <v>867</v>
      </c>
      <c r="D11068" t="s">
        <v>1091</v>
      </c>
      <c r="E11068" t="s">
        <v>1172</v>
      </c>
      <c r="F11068" t="s">
        <v>1157</v>
      </c>
    </row>
    <row r="11069" spans="1:6">
      <c r="A11069" t="s">
        <v>27</v>
      </c>
      <c r="B11069" t="s">
        <v>68</v>
      </c>
      <c r="C11069" t="s">
        <v>867</v>
      </c>
      <c r="D11069" t="s">
        <v>1091</v>
      </c>
      <c r="E11069" t="s">
        <v>1173</v>
      </c>
      <c r="F11069" t="s">
        <v>1165</v>
      </c>
    </row>
    <row r="11070" spans="1:6">
      <c r="A11070" t="s">
        <v>27</v>
      </c>
      <c r="B11070" t="s">
        <v>68</v>
      </c>
      <c r="C11070" t="s">
        <v>867</v>
      </c>
      <c r="D11070" t="s">
        <v>1091</v>
      </c>
      <c r="E11070" t="s">
        <v>1175</v>
      </c>
      <c r="F11070">
        <v>5016376</v>
      </c>
    </row>
    <row r="11071" spans="1:6">
      <c r="A11071" t="s">
        <v>27</v>
      </c>
      <c r="B11071" t="s">
        <v>68</v>
      </c>
      <c r="C11071" t="s">
        <v>867</v>
      </c>
      <c r="D11071" t="s">
        <v>1091</v>
      </c>
      <c r="E11071" t="s">
        <v>1176</v>
      </c>
      <c r="F11071">
        <v>847485</v>
      </c>
    </row>
    <row r="11072" spans="1:6">
      <c r="A11072" t="s">
        <v>27</v>
      </c>
      <c r="B11072" t="s">
        <v>68</v>
      </c>
      <c r="C11072" t="s">
        <v>867</v>
      </c>
      <c r="D11072" t="s">
        <v>1091</v>
      </c>
      <c r="E11072" t="s">
        <v>1177</v>
      </c>
      <c r="F11072">
        <v>970510</v>
      </c>
    </row>
    <row r="11073" spans="1:6">
      <c r="A11073" t="s">
        <v>27</v>
      </c>
      <c r="B11073" t="s">
        <v>68</v>
      </c>
      <c r="C11073" t="s">
        <v>867</v>
      </c>
      <c r="D11073" t="s">
        <v>1091</v>
      </c>
      <c r="E11073" t="s">
        <v>1178</v>
      </c>
      <c r="F11073">
        <v>943570</v>
      </c>
    </row>
    <row r="11074" spans="1:6">
      <c r="A11074" t="s">
        <v>27</v>
      </c>
      <c r="B11074" t="s">
        <v>68</v>
      </c>
      <c r="C11074" t="s">
        <v>867</v>
      </c>
      <c r="D11074" t="s">
        <v>1091</v>
      </c>
      <c r="E11074" t="s">
        <v>1179</v>
      </c>
      <c r="F11074">
        <v>803008</v>
      </c>
    </row>
    <row r="11075" spans="1:6">
      <c r="A11075" t="s">
        <v>27</v>
      </c>
      <c r="B11075" t="s">
        <v>68</v>
      </c>
      <c r="C11075" t="s">
        <v>867</v>
      </c>
      <c r="D11075" t="s">
        <v>1091</v>
      </c>
      <c r="E11075" t="s">
        <v>1180</v>
      </c>
      <c r="F11075">
        <v>676517</v>
      </c>
    </row>
    <row r="11076" spans="1:6">
      <c r="A11076" t="s">
        <v>27</v>
      </c>
      <c r="B11076" t="s">
        <v>68</v>
      </c>
      <c r="C11076" t="s">
        <v>867</v>
      </c>
      <c r="D11076" t="s">
        <v>1091</v>
      </c>
      <c r="E11076" t="s">
        <v>1181</v>
      </c>
      <c r="F11076">
        <v>775286</v>
      </c>
    </row>
    <row r="11077" spans="1:6">
      <c r="A11077" t="s">
        <v>27</v>
      </c>
      <c r="B11077" t="s">
        <v>68</v>
      </c>
      <c r="C11077" t="s">
        <v>867</v>
      </c>
      <c r="D11077" t="s">
        <v>1091</v>
      </c>
      <c r="E11077" t="s">
        <v>1556</v>
      </c>
      <c r="F11077" t="s">
        <v>1174</v>
      </c>
    </row>
    <row r="11078" spans="1:6">
      <c r="A11078" t="s">
        <v>27</v>
      </c>
      <c r="B11078" t="s">
        <v>68</v>
      </c>
      <c r="C11078" t="s">
        <v>867</v>
      </c>
      <c r="D11078" t="s">
        <v>1091</v>
      </c>
      <c r="E11078" t="s">
        <v>1452</v>
      </c>
      <c r="F11078">
        <v>22714</v>
      </c>
    </row>
    <row r="11079" spans="1:6">
      <c r="A11079" t="s">
        <v>27</v>
      </c>
      <c r="B11079" t="s">
        <v>68</v>
      </c>
      <c r="C11079" t="s">
        <v>867</v>
      </c>
      <c r="D11079" t="s">
        <v>1091</v>
      </c>
      <c r="E11079" t="s">
        <v>1454</v>
      </c>
      <c r="F11079">
        <v>2966</v>
      </c>
    </row>
    <row r="11080" spans="1:6">
      <c r="A11080" t="s">
        <v>27</v>
      </c>
      <c r="B11080" t="s">
        <v>68</v>
      </c>
      <c r="C11080" t="s">
        <v>867</v>
      </c>
      <c r="D11080" t="s">
        <v>1091</v>
      </c>
      <c r="E11080" t="s">
        <v>1455</v>
      </c>
      <c r="F11080">
        <v>3549</v>
      </c>
    </row>
    <row r="11081" spans="1:6">
      <c r="A11081" t="s">
        <v>27</v>
      </c>
      <c r="B11081" t="s">
        <v>68</v>
      </c>
      <c r="C11081" t="s">
        <v>867</v>
      </c>
      <c r="D11081" t="s">
        <v>1091</v>
      </c>
      <c r="E11081" t="s">
        <v>1456</v>
      </c>
      <c r="F11081">
        <v>4146</v>
      </c>
    </row>
    <row r="11082" spans="1:6">
      <c r="A11082" t="s">
        <v>27</v>
      </c>
      <c r="B11082" t="s">
        <v>68</v>
      </c>
      <c r="C11082" t="s">
        <v>867</v>
      </c>
      <c r="D11082" t="s">
        <v>1091</v>
      </c>
      <c r="E11082" t="s">
        <v>1458</v>
      </c>
      <c r="F11082">
        <v>3585</v>
      </c>
    </row>
    <row r="11083" spans="1:6">
      <c r="A11083" t="s">
        <v>27</v>
      </c>
      <c r="B11083" t="s">
        <v>68</v>
      </c>
      <c r="C11083" t="s">
        <v>867</v>
      </c>
      <c r="D11083" t="s">
        <v>1091</v>
      </c>
      <c r="E11083" t="s">
        <v>1557</v>
      </c>
      <c r="F11083">
        <v>4226</v>
      </c>
    </row>
    <row r="11084" spans="1:6">
      <c r="A11084" t="s">
        <v>27</v>
      </c>
      <c r="B11084" t="s">
        <v>68</v>
      </c>
      <c r="C11084" t="s">
        <v>867</v>
      </c>
      <c r="D11084" t="s">
        <v>1091</v>
      </c>
      <c r="E11084" t="s">
        <v>1558</v>
      </c>
      <c r="F11084">
        <v>4242</v>
      </c>
    </row>
    <row r="11085" spans="1:6">
      <c r="A11085" t="s">
        <v>27</v>
      </c>
      <c r="B11085" t="s">
        <v>68</v>
      </c>
      <c r="C11085" t="s">
        <v>867</v>
      </c>
      <c r="D11085" t="s">
        <v>1091</v>
      </c>
      <c r="E11085" t="s">
        <v>1191</v>
      </c>
      <c r="F11085" t="s">
        <v>1183</v>
      </c>
    </row>
    <row r="11086" spans="1:6">
      <c r="A11086" t="s">
        <v>27</v>
      </c>
      <c r="B11086" t="s">
        <v>68</v>
      </c>
      <c r="C11086" t="s">
        <v>867</v>
      </c>
      <c r="D11086" t="s">
        <v>1091</v>
      </c>
      <c r="E11086" t="s">
        <v>1463</v>
      </c>
      <c r="F11086">
        <v>3599102</v>
      </c>
    </row>
    <row r="11087" spans="1:6">
      <c r="A11087" t="s">
        <v>27</v>
      </c>
      <c r="B11087" t="s">
        <v>68</v>
      </c>
      <c r="C11087" t="s">
        <v>867</v>
      </c>
      <c r="D11087" t="s">
        <v>1091</v>
      </c>
      <c r="E11087" t="s">
        <v>1193</v>
      </c>
      <c r="F11087">
        <v>373793</v>
      </c>
    </row>
    <row r="11088" spans="1:6">
      <c r="A11088" t="s">
        <v>27</v>
      </c>
      <c r="B11088" t="s">
        <v>68</v>
      </c>
      <c r="C11088" t="s">
        <v>867</v>
      </c>
      <c r="D11088" t="s">
        <v>1091</v>
      </c>
      <c r="E11088" t="s">
        <v>1194</v>
      </c>
      <c r="F11088">
        <v>600597</v>
      </c>
    </row>
    <row r="11089" spans="1:6">
      <c r="A11089" t="s">
        <v>27</v>
      </c>
      <c r="B11089" t="s">
        <v>68</v>
      </c>
      <c r="C11089" t="s">
        <v>867</v>
      </c>
      <c r="D11089" t="s">
        <v>1091</v>
      </c>
      <c r="E11089" t="s">
        <v>1195</v>
      </c>
      <c r="F11089">
        <v>748991</v>
      </c>
    </row>
    <row r="11090" spans="1:6">
      <c r="A11090" t="s">
        <v>27</v>
      </c>
      <c r="B11090" t="s">
        <v>68</v>
      </c>
      <c r="C11090" t="s">
        <v>867</v>
      </c>
      <c r="D11090" t="s">
        <v>1091</v>
      </c>
      <c r="E11090" t="s">
        <v>1196</v>
      </c>
      <c r="F11090">
        <v>691281</v>
      </c>
    </row>
    <row r="11091" spans="1:6">
      <c r="A11091" t="s">
        <v>27</v>
      </c>
      <c r="B11091" t="s">
        <v>68</v>
      </c>
      <c r="C11091" t="s">
        <v>867</v>
      </c>
      <c r="D11091" t="s">
        <v>1091</v>
      </c>
      <c r="E11091" t="s">
        <v>1197</v>
      </c>
      <c r="F11091">
        <v>523422</v>
      </c>
    </row>
    <row r="11092" spans="1:6">
      <c r="A11092" t="s">
        <v>27</v>
      </c>
      <c r="B11092" t="s">
        <v>68</v>
      </c>
      <c r="C11092" t="s">
        <v>867</v>
      </c>
      <c r="D11092" t="s">
        <v>1091</v>
      </c>
      <c r="E11092" t="s">
        <v>1198</v>
      </c>
      <c r="F11092">
        <v>661018</v>
      </c>
    </row>
    <row r="11093" spans="1:6">
      <c r="A11093" t="s">
        <v>27</v>
      </c>
      <c r="B11093" t="s">
        <v>68</v>
      </c>
      <c r="C11093" t="s">
        <v>867</v>
      </c>
      <c r="D11093" t="s">
        <v>1091</v>
      </c>
      <c r="E11093" t="s">
        <v>1199</v>
      </c>
      <c r="F11093" t="s">
        <v>1192</v>
      </c>
    </row>
    <row r="11094" spans="1:6">
      <c r="A11094" t="s">
        <v>27</v>
      </c>
      <c r="B11094" t="s">
        <v>68</v>
      </c>
      <c r="C11094" t="s">
        <v>867</v>
      </c>
      <c r="D11094" t="s">
        <v>1091</v>
      </c>
      <c r="E11094" t="s">
        <v>1468</v>
      </c>
      <c r="F11094">
        <v>1000</v>
      </c>
    </row>
    <row r="11095" spans="1:6">
      <c r="A11095" t="s">
        <v>27</v>
      </c>
      <c r="B11095" t="s">
        <v>68</v>
      </c>
      <c r="C11095" t="s">
        <v>867</v>
      </c>
      <c r="D11095" t="s">
        <v>1091</v>
      </c>
      <c r="E11095" t="s">
        <v>1469</v>
      </c>
      <c r="F11095">
        <v>1913</v>
      </c>
    </row>
    <row r="11096" spans="1:6">
      <c r="A11096" t="s">
        <v>27</v>
      </c>
      <c r="B11096" t="s">
        <v>68</v>
      </c>
      <c r="C11096" t="s">
        <v>867</v>
      </c>
      <c r="D11096" t="s">
        <v>1091</v>
      </c>
      <c r="E11096" t="s">
        <v>1470</v>
      </c>
      <c r="F11096">
        <v>2896</v>
      </c>
    </row>
    <row r="11097" spans="1:6">
      <c r="A11097" t="s">
        <v>27</v>
      </c>
      <c r="B11097" t="s">
        <v>68</v>
      </c>
      <c r="C11097" t="s">
        <v>867</v>
      </c>
      <c r="D11097" t="s">
        <v>1091</v>
      </c>
      <c r="E11097" t="s">
        <v>1472</v>
      </c>
      <c r="F11097">
        <v>2454</v>
      </c>
    </row>
    <row r="11098" spans="1:6">
      <c r="A11098" t="s">
        <v>27</v>
      </c>
      <c r="B11098" t="s">
        <v>68</v>
      </c>
      <c r="C11098" t="s">
        <v>867</v>
      </c>
      <c r="D11098" t="s">
        <v>1091</v>
      </c>
      <c r="E11098" t="s">
        <v>1559</v>
      </c>
      <c r="F11098">
        <v>1926</v>
      </c>
    </row>
    <row r="11099" spans="1:6">
      <c r="A11099" t="s">
        <v>27</v>
      </c>
      <c r="B11099" t="s">
        <v>68</v>
      </c>
      <c r="C11099" t="s">
        <v>867</v>
      </c>
      <c r="D11099" t="s">
        <v>1091</v>
      </c>
      <c r="E11099" t="s">
        <v>1560</v>
      </c>
      <c r="F11099">
        <v>2435</v>
      </c>
    </row>
    <row r="11100" spans="1:6">
      <c r="A11100" t="s">
        <v>27</v>
      </c>
      <c r="B11100" t="s">
        <v>68</v>
      </c>
      <c r="C11100" t="s">
        <v>867</v>
      </c>
      <c r="D11100" t="s">
        <v>1091</v>
      </c>
      <c r="E11100" t="s">
        <v>1201</v>
      </c>
      <c r="F11100" t="s">
        <v>1200</v>
      </c>
    </row>
    <row r="11101" spans="1:6">
      <c r="A11101" t="s">
        <v>27</v>
      </c>
      <c r="B11101" t="s">
        <v>68</v>
      </c>
      <c r="C11101" t="s">
        <v>867</v>
      </c>
      <c r="D11101" t="s">
        <v>1091</v>
      </c>
      <c r="E11101" t="s">
        <v>1209</v>
      </c>
      <c r="F11101" t="s">
        <v>1107</v>
      </c>
    </row>
    <row r="11102" spans="1:6">
      <c r="A11102" t="s">
        <v>27</v>
      </c>
      <c r="B11102" t="s">
        <v>68</v>
      </c>
      <c r="C11102" t="s">
        <v>867</v>
      </c>
      <c r="D11102" t="s">
        <v>1091</v>
      </c>
      <c r="E11102" t="s">
        <v>1210</v>
      </c>
      <c r="F11102">
        <v>3513946</v>
      </c>
    </row>
    <row r="11103" spans="1:6">
      <c r="A11103" t="s">
        <v>27</v>
      </c>
      <c r="B11103" t="s">
        <v>68</v>
      </c>
      <c r="C11103" t="s">
        <v>867</v>
      </c>
      <c r="D11103" t="s">
        <v>1091</v>
      </c>
      <c r="E11103" t="s">
        <v>1211</v>
      </c>
      <c r="F11103">
        <v>304811</v>
      </c>
    </row>
    <row r="11104" spans="1:6">
      <c r="A11104" t="s">
        <v>27</v>
      </c>
      <c r="B11104" t="s">
        <v>68</v>
      </c>
      <c r="C11104" t="s">
        <v>867</v>
      </c>
      <c r="D11104" t="s">
        <v>1091</v>
      </c>
      <c r="E11104" t="s">
        <v>1212</v>
      </c>
      <c r="F11104">
        <v>600525</v>
      </c>
    </row>
    <row r="11105" spans="1:6">
      <c r="A11105" t="s">
        <v>27</v>
      </c>
      <c r="B11105" t="s">
        <v>68</v>
      </c>
      <c r="C11105" t="s">
        <v>867</v>
      </c>
      <c r="D11105" t="s">
        <v>1091</v>
      </c>
      <c r="E11105" t="s">
        <v>1213</v>
      </c>
      <c r="F11105">
        <v>748990</v>
      </c>
    </row>
    <row r="11106" spans="1:6">
      <c r="A11106" t="s">
        <v>27</v>
      </c>
      <c r="B11106" t="s">
        <v>68</v>
      </c>
      <c r="C11106" t="s">
        <v>867</v>
      </c>
      <c r="D11106" t="s">
        <v>1091</v>
      </c>
      <c r="E11106" t="s">
        <v>1214</v>
      </c>
      <c r="F11106">
        <v>691271</v>
      </c>
    </row>
    <row r="11107" spans="1:6">
      <c r="A11107" t="s">
        <v>27</v>
      </c>
      <c r="B11107" t="s">
        <v>68</v>
      </c>
      <c r="C11107" t="s">
        <v>867</v>
      </c>
      <c r="D11107" t="s">
        <v>1091</v>
      </c>
      <c r="E11107" t="s">
        <v>1215</v>
      </c>
      <c r="F11107">
        <v>514245</v>
      </c>
    </row>
    <row r="11108" spans="1:6">
      <c r="A11108" t="s">
        <v>27</v>
      </c>
      <c r="B11108" t="s">
        <v>68</v>
      </c>
      <c r="C11108" t="s">
        <v>867</v>
      </c>
      <c r="D11108" t="s">
        <v>1091</v>
      </c>
      <c r="E11108" t="s">
        <v>1216</v>
      </c>
      <c r="F11108">
        <v>654105</v>
      </c>
    </row>
    <row r="11109" spans="1:6">
      <c r="A11109" t="s">
        <v>27</v>
      </c>
      <c r="B11109" t="s">
        <v>68</v>
      </c>
      <c r="C11109" t="s">
        <v>867</v>
      </c>
      <c r="D11109" t="s">
        <v>1091</v>
      </c>
      <c r="E11109" t="s">
        <v>1217</v>
      </c>
      <c r="F11109" t="s">
        <v>1307</v>
      </c>
    </row>
    <row r="11110" spans="1:6">
      <c r="A11110" t="s">
        <v>27</v>
      </c>
      <c r="B11110" t="s">
        <v>68</v>
      </c>
      <c r="C11110" t="s">
        <v>867</v>
      </c>
      <c r="D11110" t="s">
        <v>1091</v>
      </c>
      <c r="E11110" t="s">
        <v>1218</v>
      </c>
      <c r="F11110">
        <v>445</v>
      </c>
    </row>
    <row r="11111" spans="1:6">
      <c r="A11111" t="s">
        <v>27</v>
      </c>
      <c r="B11111" t="s">
        <v>68</v>
      </c>
      <c r="C11111" t="s">
        <v>867</v>
      </c>
      <c r="D11111" t="s">
        <v>1091</v>
      </c>
      <c r="E11111" t="s">
        <v>1219</v>
      </c>
      <c r="F11111">
        <v>0</v>
      </c>
    </row>
    <row r="11112" spans="1:6">
      <c r="A11112" t="s">
        <v>27</v>
      </c>
      <c r="B11112" t="s">
        <v>68</v>
      </c>
      <c r="C11112" t="s">
        <v>867</v>
      </c>
      <c r="D11112" t="s">
        <v>1091</v>
      </c>
      <c r="E11112" t="s">
        <v>1220</v>
      </c>
      <c r="F11112">
        <v>0</v>
      </c>
    </row>
    <row r="11113" spans="1:6">
      <c r="A11113" t="s">
        <v>27</v>
      </c>
      <c r="B11113" t="s">
        <v>68</v>
      </c>
      <c r="C11113" t="s">
        <v>867</v>
      </c>
      <c r="D11113" t="s">
        <v>1091</v>
      </c>
      <c r="E11113" t="s">
        <v>1221</v>
      </c>
      <c r="F11113">
        <v>1</v>
      </c>
    </row>
    <row r="11114" spans="1:6">
      <c r="A11114" t="s">
        <v>27</v>
      </c>
      <c r="B11114" t="s">
        <v>68</v>
      </c>
      <c r="C11114" t="s">
        <v>867</v>
      </c>
      <c r="D11114" t="s">
        <v>1091</v>
      </c>
      <c r="E11114" t="s">
        <v>1222</v>
      </c>
      <c r="F11114">
        <v>7</v>
      </c>
    </row>
    <row r="11115" spans="1:6">
      <c r="A11115" t="s">
        <v>27</v>
      </c>
      <c r="B11115" t="s">
        <v>68</v>
      </c>
      <c r="C11115" t="s">
        <v>867</v>
      </c>
      <c r="D11115" t="s">
        <v>1091</v>
      </c>
      <c r="E11115" t="s">
        <v>1223</v>
      </c>
      <c r="F11115">
        <v>119</v>
      </c>
    </row>
    <row r="11116" spans="1:6">
      <c r="A11116" t="s">
        <v>27</v>
      </c>
      <c r="B11116" t="s">
        <v>68</v>
      </c>
      <c r="C11116" t="s">
        <v>867</v>
      </c>
      <c r="D11116" t="s">
        <v>1091</v>
      </c>
      <c r="E11116" t="s">
        <v>1224</v>
      </c>
      <c r="F11116">
        <v>318</v>
      </c>
    </row>
    <row r="11117" spans="1:6">
      <c r="A11117" t="s">
        <v>27</v>
      </c>
      <c r="B11117" t="s">
        <v>68</v>
      </c>
      <c r="C11117" t="s">
        <v>867</v>
      </c>
      <c r="D11117" t="s">
        <v>1091</v>
      </c>
      <c r="E11117" t="s">
        <v>1225</v>
      </c>
      <c r="F11117" t="s">
        <v>1308</v>
      </c>
    </row>
    <row r="11118" spans="1:6">
      <c r="A11118" t="s">
        <v>27</v>
      </c>
      <c r="B11118" t="s">
        <v>68</v>
      </c>
      <c r="C11118" t="s">
        <v>867</v>
      </c>
      <c r="D11118" t="s">
        <v>1091</v>
      </c>
      <c r="E11118" t="s">
        <v>1480</v>
      </c>
      <c r="F11118">
        <v>84711</v>
      </c>
    </row>
    <row r="11119" spans="1:6">
      <c r="A11119" t="s">
        <v>27</v>
      </c>
      <c r="B11119" t="s">
        <v>68</v>
      </c>
      <c r="C11119" t="s">
        <v>867</v>
      </c>
      <c r="D11119" t="s">
        <v>1091</v>
      </c>
      <c r="E11119" t="s">
        <v>1227</v>
      </c>
      <c r="F11119">
        <v>68982</v>
      </c>
    </row>
    <row r="11120" spans="1:6">
      <c r="A11120" t="s">
        <v>27</v>
      </c>
      <c r="B11120" t="s">
        <v>68</v>
      </c>
      <c r="C11120" t="s">
        <v>867</v>
      </c>
      <c r="D11120" t="s">
        <v>1091</v>
      </c>
      <c r="E11120" t="s">
        <v>1228</v>
      </c>
      <c r="F11120">
        <v>73</v>
      </c>
    </row>
    <row r="11121" spans="1:6">
      <c r="A11121" t="s">
        <v>27</v>
      </c>
      <c r="B11121" t="s">
        <v>68</v>
      </c>
      <c r="C11121" t="s">
        <v>867</v>
      </c>
      <c r="D11121" t="s">
        <v>1091</v>
      </c>
      <c r="E11121" t="s">
        <v>1230</v>
      </c>
      <c r="F11121">
        <v>0</v>
      </c>
    </row>
    <row r="11122" spans="1:6">
      <c r="A11122" t="s">
        <v>27</v>
      </c>
      <c r="B11122" t="s">
        <v>68</v>
      </c>
      <c r="C11122" t="s">
        <v>867</v>
      </c>
      <c r="D11122" t="s">
        <v>1091</v>
      </c>
      <c r="E11122" t="s">
        <v>1231</v>
      </c>
      <c r="F11122">
        <v>3</v>
      </c>
    </row>
    <row r="11123" spans="1:6">
      <c r="A11123" t="s">
        <v>27</v>
      </c>
      <c r="B11123" t="s">
        <v>68</v>
      </c>
      <c r="C11123" t="s">
        <v>867</v>
      </c>
      <c r="D11123" t="s">
        <v>1091</v>
      </c>
      <c r="E11123" t="s">
        <v>1233</v>
      </c>
      <c r="F11123">
        <v>9059</v>
      </c>
    </row>
    <row r="11124" spans="1:6">
      <c r="A11124" t="s">
        <v>27</v>
      </c>
      <c r="B11124" t="s">
        <v>68</v>
      </c>
      <c r="C11124" t="s">
        <v>867</v>
      </c>
      <c r="D11124" t="s">
        <v>1091</v>
      </c>
      <c r="E11124" t="s">
        <v>1234</v>
      </c>
      <c r="F11124">
        <v>6594</v>
      </c>
    </row>
    <row r="11125" spans="1:6">
      <c r="A11125" t="s">
        <v>27</v>
      </c>
      <c r="B11125" t="s">
        <v>68</v>
      </c>
      <c r="C11125" t="s">
        <v>867</v>
      </c>
      <c r="D11125" t="s">
        <v>1091</v>
      </c>
      <c r="E11125" t="s">
        <v>1235</v>
      </c>
      <c r="F11125" t="s">
        <v>1226</v>
      </c>
    </row>
    <row r="11126" spans="1:6">
      <c r="A11126" t="s">
        <v>27</v>
      </c>
      <c r="B11126" t="s">
        <v>68</v>
      </c>
      <c r="C11126" t="s">
        <v>867</v>
      </c>
      <c r="D11126" t="s">
        <v>1091</v>
      </c>
      <c r="E11126" t="s">
        <v>1237</v>
      </c>
      <c r="F11126" t="s">
        <v>1499</v>
      </c>
    </row>
    <row r="11127" spans="1:6">
      <c r="A11127" t="s">
        <v>27</v>
      </c>
      <c r="B11127" t="s">
        <v>68</v>
      </c>
      <c r="C11127" t="s">
        <v>867</v>
      </c>
      <c r="D11127" t="s">
        <v>1091</v>
      </c>
      <c r="E11127" t="s">
        <v>1238</v>
      </c>
      <c r="F11127" t="s">
        <v>2923</v>
      </c>
    </row>
    <row r="11128" spans="1:6">
      <c r="A11128" t="s">
        <v>27</v>
      </c>
      <c r="B11128" t="s">
        <v>68</v>
      </c>
      <c r="C11128" t="s">
        <v>867</v>
      </c>
      <c r="D11128" t="s">
        <v>1091</v>
      </c>
      <c r="E11128" t="s">
        <v>1240</v>
      </c>
      <c r="F11128" t="s">
        <v>1568</v>
      </c>
    </row>
    <row r="11129" spans="1:6">
      <c r="A11129" t="s">
        <v>27</v>
      </c>
      <c r="B11129" t="s">
        <v>68</v>
      </c>
      <c r="C11129" t="s">
        <v>867</v>
      </c>
      <c r="D11129" t="s">
        <v>1091</v>
      </c>
      <c r="E11129" t="s">
        <v>1241</v>
      </c>
      <c r="F11129" t="s">
        <v>1505</v>
      </c>
    </row>
    <row r="11130" spans="1:6">
      <c r="A11130" t="s">
        <v>27</v>
      </c>
      <c r="B11130" t="s">
        <v>68</v>
      </c>
      <c r="C11130" t="s">
        <v>867</v>
      </c>
      <c r="D11130" t="s">
        <v>1091</v>
      </c>
      <c r="E11130" t="s">
        <v>1243</v>
      </c>
      <c r="F11130" t="s">
        <v>1381</v>
      </c>
    </row>
    <row r="11131" spans="1:6">
      <c r="A11131" t="s">
        <v>27</v>
      </c>
      <c r="B11131" t="s">
        <v>68</v>
      </c>
      <c r="C11131" t="s">
        <v>867</v>
      </c>
      <c r="D11131" t="s">
        <v>1091</v>
      </c>
      <c r="E11131" t="s">
        <v>1244</v>
      </c>
      <c r="F11131" t="s">
        <v>1317</v>
      </c>
    </row>
    <row r="11132" spans="1:6">
      <c r="A11132" t="s">
        <v>27</v>
      </c>
      <c r="B11132" t="s">
        <v>68</v>
      </c>
      <c r="C11132" t="s">
        <v>867</v>
      </c>
      <c r="D11132" t="s">
        <v>1091</v>
      </c>
      <c r="E11132" t="s">
        <v>1245</v>
      </c>
      <c r="F11132" t="s">
        <v>1236</v>
      </c>
    </row>
    <row r="11133" spans="1:6">
      <c r="A11133" t="s">
        <v>27</v>
      </c>
      <c r="B11133" t="s">
        <v>68</v>
      </c>
      <c r="C11133" t="s">
        <v>867</v>
      </c>
      <c r="D11133" t="s">
        <v>1091</v>
      </c>
      <c r="E11133" t="s">
        <v>1248</v>
      </c>
      <c r="F11133" t="s">
        <v>1506</v>
      </c>
    </row>
    <row r="11134" spans="1:6">
      <c r="A11134" t="s">
        <v>27</v>
      </c>
      <c r="B11134" t="s">
        <v>68</v>
      </c>
      <c r="C11134" t="s">
        <v>867</v>
      </c>
      <c r="D11134" t="s">
        <v>1091</v>
      </c>
      <c r="E11134" t="s">
        <v>1249</v>
      </c>
      <c r="F11134" t="s">
        <v>1387</v>
      </c>
    </row>
    <row r="11135" spans="1:6">
      <c r="A11135" t="s">
        <v>27</v>
      </c>
      <c r="B11135" t="s">
        <v>68</v>
      </c>
      <c r="C11135" t="s">
        <v>867</v>
      </c>
      <c r="D11135" t="s">
        <v>1091</v>
      </c>
      <c r="E11135" t="s">
        <v>1250</v>
      </c>
      <c r="F11135" t="s">
        <v>1757</v>
      </c>
    </row>
    <row r="11136" spans="1:6">
      <c r="A11136" t="s">
        <v>27</v>
      </c>
      <c r="B11136" t="s">
        <v>68</v>
      </c>
      <c r="C11136" t="s">
        <v>867</v>
      </c>
      <c r="D11136" t="s">
        <v>1091</v>
      </c>
      <c r="E11136" t="s">
        <v>1251</v>
      </c>
      <c r="F11136" t="s">
        <v>2924</v>
      </c>
    </row>
    <row r="11137" spans="1:6">
      <c r="A11137" t="s">
        <v>27</v>
      </c>
      <c r="B11137" t="s">
        <v>68</v>
      </c>
      <c r="C11137" t="s">
        <v>867</v>
      </c>
      <c r="D11137" t="s">
        <v>1091</v>
      </c>
      <c r="E11137" t="s">
        <v>1252</v>
      </c>
      <c r="F11137" t="s">
        <v>1754</v>
      </c>
    </row>
    <row r="11138" spans="1:6">
      <c r="A11138" t="s">
        <v>27</v>
      </c>
      <c r="B11138" t="s">
        <v>68</v>
      </c>
      <c r="C11138" t="s">
        <v>867</v>
      </c>
      <c r="D11138" t="s">
        <v>1091</v>
      </c>
      <c r="E11138" t="s">
        <v>1253</v>
      </c>
      <c r="F11138" t="s">
        <v>1386</v>
      </c>
    </row>
    <row r="11139" spans="1:6">
      <c r="A11139" t="s">
        <v>27</v>
      </c>
      <c r="B11139" t="s">
        <v>68</v>
      </c>
      <c r="C11139" t="s">
        <v>867</v>
      </c>
      <c r="D11139" t="s">
        <v>1091</v>
      </c>
      <c r="E11139" t="s">
        <v>1254</v>
      </c>
      <c r="F11139" t="s">
        <v>1246</v>
      </c>
    </row>
    <row r="11140" spans="1:6">
      <c r="A11140" t="s">
        <v>27</v>
      </c>
      <c r="B11140" t="s">
        <v>68</v>
      </c>
      <c r="C11140" t="s">
        <v>867</v>
      </c>
      <c r="D11140" t="s">
        <v>1091</v>
      </c>
      <c r="E11140" t="s">
        <v>1256</v>
      </c>
      <c r="F11140">
        <v>1417274</v>
      </c>
    </row>
    <row r="11141" spans="1:6">
      <c r="A11141" t="s">
        <v>27</v>
      </c>
      <c r="B11141" t="s">
        <v>68</v>
      </c>
      <c r="C11141" t="s">
        <v>867</v>
      </c>
      <c r="D11141" t="s">
        <v>1091</v>
      </c>
      <c r="E11141" t="s">
        <v>1257</v>
      </c>
      <c r="F11141">
        <v>473693</v>
      </c>
    </row>
    <row r="11142" spans="1:6">
      <c r="A11142" t="s">
        <v>27</v>
      </c>
      <c r="B11142" t="s">
        <v>68</v>
      </c>
      <c r="C11142" t="s">
        <v>867</v>
      </c>
      <c r="D11142" t="s">
        <v>1091</v>
      </c>
      <c r="E11142" t="s">
        <v>1258</v>
      </c>
      <c r="F11142">
        <v>369912</v>
      </c>
    </row>
    <row r="11143" spans="1:6">
      <c r="A11143" t="s">
        <v>27</v>
      </c>
      <c r="B11143" t="s">
        <v>68</v>
      </c>
      <c r="C11143" t="s">
        <v>867</v>
      </c>
      <c r="D11143" t="s">
        <v>1091</v>
      </c>
      <c r="E11143" t="s">
        <v>1259</v>
      </c>
      <c r="F11143">
        <v>194579</v>
      </c>
    </row>
    <row r="11144" spans="1:6">
      <c r="A11144" t="s">
        <v>27</v>
      </c>
      <c r="B11144" t="s">
        <v>68</v>
      </c>
      <c r="C11144" t="s">
        <v>867</v>
      </c>
      <c r="D11144" t="s">
        <v>1091</v>
      </c>
      <c r="E11144" t="s">
        <v>1260</v>
      </c>
      <c r="F11144">
        <v>111727</v>
      </c>
    </row>
    <row r="11145" spans="1:6">
      <c r="A11145" t="s">
        <v>27</v>
      </c>
      <c r="B11145" t="s">
        <v>68</v>
      </c>
      <c r="C11145" t="s">
        <v>867</v>
      </c>
      <c r="D11145" t="s">
        <v>1091</v>
      </c>
      <c r="E11145" t="s">
        <v>1261</v>
      </c>
      <c r="F11145">
        <v>153095</v>
      </c>
    </row>
    <row r="11146" spans="1:6">
      <c r="A11146" t="s">
        <v>27</v>
      </c>
      <c r="B11146" t="s">
        <v>68</v>
      </c>
      <c r="C11146" t="s">
        <v>867</v>
      </c>
      <c r="D11146" t="s">
        <v>1091</v>
      </c>
      <c r="E11146" t="s">
        <v>1262</v>
      </c>
      <c r="F11146">
        <v>114268</v>
      </c>
    </row>
    <row r="11147" spans="1:6">
      <c r="A11147" t="s">
        <v>27</v>
      </c>
      <c r="B11147" t="s">
        <v>68</v>
      </c>
      <c r="C11147" t="s">
        <v>867</v>
      </c>
      <c r="D11147" t="s">
        <v>1091</v>
      </c>
      <c r="E11147" t="s">
        <v>1263</v>
      </c>
      <c r="F11147" t="s">
        <v>1255</v>
      </c>
    </row>
    <row r="11148" spans="1:6">
      <c r="A11148" t="s">
        <v>27</v>
      </c>
      <c r="B11148" t="s">
        <v>68</v>
      </c>
      <c r="C11148" t="s">
        <v>867</v>
      </c>
      <c r="D11148" t="s">
        <v>1091</v>
      </c>
      <c r="E11148" t="s">
        <v>1264</v>
      </c>
      <c r="F11148">
        <v>10090</v>
      </c>
    </row>
    <row r="11149" spans="1:6">
      <c r="A11149" t="s">
        <v>27</v>
      </c>
      <c r="B11149" t="s">
        <v>68</v>
      </c>
      <c r="C11149" t="s">
        <v>867</v>
      </c>
      <c r="D11149" t="s">
        <v>1091</v>
      </c>
      <c r="E11149" t="s">
        <v>1265</v>
      </c>
      <c r="F11149">
        <v>1966</v>
      </c>
    </row>
    <row r="11150" spans="1:6">
      <c r="A11150" t="s">
        <v>27</v>
      </c>
      <c r="B11150" t="s">
        <v>68</v>
      </c>
      <c r="C11150" t="s">
        <v>867</v>
      </c>
      <c r="D11150" t="s">
        <v>1091</v>
      </c>
      <c r="E11150" t="s">
        <v>1266</v>
      </c>
      <c r="F11150">
        <v>1636</v>
      </c>
    </row>
    <row r="11151" spans="1:6">
      <c r="A11151" t="s">
        <v>27</v>
      </c>
      <c r="B11151" t="s">
        <v>68</v>
      </c>
      <c r="C11151" t="s">
        <v>867</v>
      </c>
      <c r="D11151" t="s">
        <v>1091</v>
      </c>
      <c r="E11151" t="s">
        <v>1268</v>
      </c>
      <c r="F11151">
        <v>1250</v>
      </c>
    </row>
    <row r="11152" spans="1:6">
      <c r="A11152" t="s">
        <v>27</v>
      </c>
      <c r="B11152" t="s">
        <v>68</v>
      </c>
      <c r="C11152" t="s">
        <v>867</v>
      </c>
      <c r="D11152" t="s">
        <v>1091</v>
      </c>
      <c r="E11152" t="s">
        <v>1269</v>
      </c>
      <c r="F11152">
        <v>1131</v>
      </c>
    </row>
    <row r="11153" spans="1:6">
      <c r="A11153" t="s">
        <v>27</v>
      </c>
      <c r="B11153" t="s">
        <v>68</v>
      </c>
      <c r="C11153" t="s">
        <v>867</v>
      </c>
      <c r="D11153" t="s">
        <v>1091</v>
      </c>
      <c r="E11153" t="s">
        <v>1271</v>
      </c>
      <c r="F11153">
        <v>2300</v>
      </c>
    </row>
    <row r="11154" spans="1:6">
      <c r="A11154" t="s">
        <v>27</v>
      </c>
      <c r="B11154" t="s">
        <v>68</v>
      </c>
      <c r="C11154" t="s">
        <v>867</v>
      </c>
      <c r="D11154" t="s">
        <v>1091</v>
      </c>
      <c r="E11154" t="s">
        <v>1272</v>
      </c>
      <c r="F11154">
        <v>1807</v>
      </c>
    </row>
    <row r="11155" spans="1:6">
      <c r="A11155" t="s">
        <v>27</v>
      </c>
      <c r="B11155" t="s">
        <v>68</v>
      </c>
      <c r="C11155" t="s">
        <v>867</v>
      </c>
      <c r="D11155" t="s">
        <v>1091</v>
      </c>
      <c r="E11155" t="s">
        <v>1561</v>
      </c>
      <c r="F11155" t="s">
        <v>1131</v>
      </c>
    </row>
    <row r="11156" spans="1:6">
      <c r="A11156" t="s">
        <v>27</v>
      </c>
      <c r="B11156" t="s">
        <v>68</v>
      </c>
      <c r="C11156" t="s">
        <v>867</v>
      </c>
      <c r="D11156" t="s">
        <v>1091</v>
      </c>
      <c r="E11156" t="s">
        <v>1562</v>
      </c>
      <c r="F11156" t="s">
        <v>1508</v>
      </c>
    </row>
    <row r="11157" spans="1:6">
      <c r="A11157" t="s">
        <v>27</v>
      </c>
      <c r="B11157" t="s">
        <v>68</v>
      </c>
      <c r="C11157" t="s">
        <v>867</v>
      </c>
      <c r="D11157" t="s">
        <v>1091</v>
      </c>
      <c r="E11157" t="s">
        <v>1563</v>
      </c>
      <c r="F11157" t="s">
        <v>1503</v>
      </c>
    </row>
    <row r="11158" spans="1:6">
      <c r="A11158" t="s">
        <v>27</v>
      </c>
      <c r="B11158" t="s">
        <v>68</v>
      </c>
      <c r="C11158" t="s">
        <v>867</v>
      </c>
      <c r="D11158" t="s">
        <v>1091</v>
      </c>
      <c r="E11158" t="s">
        <v>1564</v>
      </c>
      <c r="F11158" t="s">
        <v>2925</v>
      </c>
    </row>
    <row r="11159" spans="1:6">
      <c r="A11159" t="s">
        <v>27</v>
      </c>
      <c r="B11159" t="s">
        <v>68</v>
      </c>
      <c r="C11159" t="s">
        <v>867</v>
      </c>
      <c r="D11159" t="s">
        <v>1091</v>
      </c>
      <c r="E11159" t="s">
        <v>1565</v>
      </c>
      <c r="F11159" t="s">
        <v>1570</v>
      </c>
    </row>
    <row r="11160" spans="1:6">
      <c r="A11160" t="s">
        <v>27</v>
      </c>
      <c r="B11160" t="s">
        <v>68</v>
      </c>
      <c r="C11160" t="s">
        <v>867</v>
      </c>
      <c r="D11160" t="s">
        <v>1091</v>
      </c>
      <c r="E11160" t="s">
        <v>1566</v>
      </c>
      <c r="F11160" t="s">
        <v>1498</v>
      </c>
    </row>
    <row r="11161" spans="1:6">
      <c r="A11161" t="s">
        <v>27</v>
      </c>
      <c r="B11161" t="s">
        <v>68</v>
      </c>
      <c r="C11161" t="s">
        <v>867</v>
      </c>
      <c r="D11161" t="s">
        <v>1091</v>
      </c>
      <c r="E11161" t="s">
        <v>1488</v>
      </c>
      <c r="F11161" t="s">
        <v>1390</v>
      </c>
    </row>
    <row r="11162" spans="1:6">
      <c r="A11162" t="s">
        <v>27</v>
      </c>
      <c r="B11162" t="s">
        <v>68</v>
      </c>
      <c r="C11162" t="s">
        <v>867</v>
      </c>
      <c r="D11162" t="s">
        <v>1091</v>
      </c>
      <c r="E11162" t="s">
        <v>1567</v>
      </c>
      <c r="F11162" t="s">
        <v>2926</v>
      </c>
    </row>
    <row r="11163" spans="1:6">
      <c r="A11163" t="s">
        <v>27</v>
      </c>
      <c r="B11163" t="s">
        <v>68</v>
      </c>
      <c r="C11163" t="s">
        <v>867</v>
      </c>
      <c r="D11163" t="s">
        <v>1273</v>
      </c>
      <c r="E11163" t="s">
        <v>992</v>
      </c>
      <c r="F11163" t="s">
        <v>68</v>
      </c>
    </row>
    <row r="11164" spans="1:6">
      <c r="A11164" t="s">
        <v>27</v>
      </c>
      <c r="B11164" t="s">
        <v>68</v>
      </c>
      <c r="C11164" t="s">
        <v>867</v>
      </c>
      <c r="D11164" t="s">
        <v>1273</v>
      </c>
      <c r="E11164" t="s">
        <v>1304</v>
      </c>
      <c r="F11164" t="s">
        <v>1511</v>
      </c>
    </row>
    <row r="11165" spans="1:6">
      <c r="A11165" t="s">
        <v>27</v>
      </c>
      <c r="B11165" t="s">
        <v>68</v>
      </c>
      <c r="C11165" t="s">
        <v>867</v>
      </c>
      <c r="D11165" t="s">
        <v>1273</v>
      </c>
      <c r="E11165" t="s">
        <v>1093</v>
      </c>
      <c r="F11165" t="s">
        <v>1277</v>
      </c>
    </row>
    <row r="11166" spans="1:6">
      <c r="A11166" t="s">
        <v>27</v>
      </c>
      <c r="B11166" t="s">
        <v>68</v>
      </c>
      <c r="C11166" t="s">
        <v>867</v>
      </c>
      <c r="D11166" t="s">
        <v>1273</v>
      </c>
      <c r="E11166" t="s">
        <v>1279</v>
      </c>
      <c r="F11166" t="s">
        <v>1511</v>
      </c>
    </row>
    <row r="11167" spans="1:6">
      <c r="A11167" t="s">
        <v>27</v>
      </c>
      <c r="B11167" t="s">
        <v>68</v>
      </c>
      <c r="C11167" t="s">
        <v>867</v>
      </c>
      <c r="D11167" t="s">
        <v>1273</v>
      </c>
      <c r="E11167" t="s">
        <v>1576</v>
      </c>
      <c r="F11167" t="s">
        <v>1280</v>
      </c>
    </row>
    <row r="11168" spans="1:6">
      <c r="A11168" t="s">
        <v>27</v>
      </c>
      <c r="B11168" t="s">
        <v>68</v>
      </c>
      <c r="C11168" t="s">
        <v>867</v>
      </c>
      <c r="D11168" t="s">
        <v>1273</v>
      </c>
      <c r="E11168" t="s">
        <v>1577</v>
      </c>
      <c r="F11168" t="s">
        <v>1282</v>
      </c>
    </row>
    <row r="11169" spans="1:6">
      <c r="A11169" t="s">
        <v>27</v>
      </c>
      <c r="B11169" t="s">
        <v>68</v>
      </c>
      <c r="C11169" t="s">
        <v>867</v>
      </c>
      <c r="D11169" t="s">
        <v>1273</v>
      </c>
      <c r="E11169" t="s">
        <v>1002</v>
      </c>
      <c r="F11169" t="s">
        <v>1284</v>
      </c>
    </row>
    <row r="11170" spans="1:6">
      <c r="A11170" t="s">
        <v>27</v>
      </c>
      <c r="B11170" t="s">
        <v>68</v>
      </c>
      <c r="C11170" t="s">
        <v>867</v>
      </c>
      <c r="D11170" t="s">
        <v>1273</v>
      </c>
      <c r="E11170" t="s">
        <v>1288</v>
      </c>
      <c r="F11170" t="s">
        <v>377</v>
      </c>
    </row>
    <row r="11171" spans="1:6">
      <c r="A11171" t="s">
        <v>27</v>
      </c>
      <c r="B11171" t="s">
        <v>68</v>
      </c>
      <c r="C11171" t="s">
        <v>867</v>
      </c>
      <c r="D11171" t="s">
        <v>1273</v>
      </c>
      <c r="E11171" t="s">
        <v>1096</v>
      </c>
      <c r="F11171">
        <v>2403</v>
      </c>
    </row>
    <row r="11172" spans="1:6">
      <c r="A11172" t="s">
        <v>27</v>
      </c>
      <c r="B11172" t="s">
        <v>68</v>
      </c>
      <c r="C11172" t="s">
        <v>867</v>
      </c>
      <c r="D11172" t="s">
        <v>1273</v>
      </c>
      <c r="E11172" t="s">
        <v>1004</v>
      </c>
      <c r="F11172">
        <v>953</v>
      </c>
    </row>
    <row r="11173" spans="1:6">
      <c r="A11173" t="s">
        <v>27</v>
      </c>
      <c r="B11173" t="s">
        <v>68</v>
      </c>
      <c r="C11173" t="s">
        <v>867</v>
      </c>
      <c r="D11173" t="s">
        <v>1273</v>
      </c>
      <c r="E11173" t="s">
        <v>1289</v>
      </c>
      <c r="F11173" t="s">
        <v>379</v>
      </c>
    </row>
    <row r="11174" spans="1:6">
      <c r="A11174" t="s">
        <v>27</v>
      </c>
      <c r="B11174" t="s">
        <v>68</v>
      </c>
      <c r="C11174" t="s">
        <v>867</v>
      </c>
      <c r="D11174" t="s">
        <v>1273</v>
      </c>
      <c r="E11174" t="s">
        <v>1290</v>
      </c>
      <c r="F11174">
        <v>4235</v>
      </c>
    </row>
    <row r="11175" spans="1:6">
      <c r="A11175" t="s">
        <v>27</v>
      </c>
      <c r="B11175" t="s">
        <v>68</v>
      </c>
      <c r="C11175" t="s">
        <v>867</v>
      </c>
      <c r="D11175" t="s">
        <v>1273</v>
      </c>
      <c r="E11175" t="s">
        <v>1291</v>
      </c>
      <c r="F11175">
        <v>22237</v>
      </c>
    </row>
    <row r="11176" spans="1:6">
      <c r="A11176" t="s">
        <v>27</v>
      </c>
      <c r="B11176" t="s">
        <v>68</v>
      </c>
      <c r="C11176" t="s">
        <v>867</v>
      </c>
      <c r="D11176" t="s">
        <v>1273</v>
      </c>
      <c r="E11176" t="s">
        <v>1008</v>
      </c>
      <c r="F11176" t="s">
        <v>381</v>
      </c>
    </row>
    <row r="11177" spans="1:6">
      <c r="A11177" t="s">
        <v>27</v>
      </c>
      <c r="B11177" t="s">
        <v>68</v>
      </c>
      <c r="C11177" t="s">
        <v>867</v>
      </c>
      <c r="D11177" t="s">
        <v>1273</v>
      </c>
      <c r="E11177" t="s">
        <v>1010</v>
      </c>
      <c r="F11177">
        <v>12403</v>
      </c>
    </row>
    <row r="11178" spans="1:6">
      <c r="A11178" t="s">
        <v>27</v>
      </c>
      <c r="B11178" t="s">
        <v>68</v>
      </c>
      <c r="C11178" t="s">
        <v>867</v>
      </c>
      <c r="D11178" t="s">
        <v>1273</v>
      </c>
      <c r="E11178" t="s">
        <v>1012</v>
      </c>
      <c r="F11178">
        <v>494708</v>
      </c>
    </row>
    <row r="11179" spans="1:6">
      <c r="A11179" t="s">
        <v>27</v>
      </c>
      <c r="B11179" t="s">
        <v>68</v>
      </c>
      <c r="C11179" t="s">
        <v>867</v>
      </c>
      <c r="D11179" t="s">
        <v>1273</v>
      </c>
      <c r="E11179" t="s">
        <v>1035</v>
      </c>
      <c r="F11179" t="s">
        <v>437</v>
      </c>
    </row>
    <row r="11180" spans="1:6">
      <c r="A11180" t="s">
        <v>27</v>
      </c>
      <c r="B11180" t="s">
        <v>68</v>
      </c>
      <c r="C11180" t="s">
        <v>867</v>
      </c>
      <c r="D11180" t="s">
        <v>1273</v>
      </c>
      <c r="E11180" t="s">
        <v>1099</v>
      </c>
      <c r="F11180">
        <v>3657</v>
      </c>
    </row>
    <row r="11181" spans="1:6">
      <c r="A11181" t="s">
        <v>27</v>
      </c>
      <c r="B11181" t="s">
        <v>68</v>
      </c>
      <c r="C11181" t="s">
        <v>867</v>
      </c>
      <c r="D11181" t="s">
        <v>1273</v>
      </c>
      <c r="E11181" t="s">
        <v>1100</v>
      </c>
      <c r="F11181">
        <v>773945</v>
      </c>
    </row>
    <row r="11182" spans="1:6">
      <c r="A11182" t="s">
        <v>27</v>
      </c>
      <c r="B11182" t="s">
        <v>68</v>
      </c>
      <c r="C11182" t="s">
        <v>867</v>
      </c>
      <c r="D11182" t="s">
        <v>1273</v>
      </c>
      <c r="E11182" t="s">
        <v>1037</v>
      </c>
      <c r="F11182" t="s">
        <v>439</v>
      </c>
    </row>
    <row r="11183" spans="1:6">
      <c r="A11183" t="s">
        <v>27</v>
      </c>
      <c r="B11183" t="s">
        <v>68</v>
      </c>
      <c r="C11183" t="s">
        <v>867</v>
      </c>
      <c r="D11183" t="s">
        <v>1273</v>
      </c>
      <c r="E11183" t="s">
        <v>1103</v>
      </c>
      <c r="F11183">
        <v>384</v>
      </c>
    </row>
    <row r="11184" spans="1:6">
      <c r="A11184" t="s">
        <v>27</v>
      </c>
      <c r="B11184" t="s">
        <v>68</v>
      </c>
      <c r="C11184" t="s">
        <v>867</v>
      </c>
      <c r="D11184" t="s">
        <v>1273</v>
      </c>
      <c r="E11184" t="s">
        <v>1104</v>
      </c>
      <c r="F11184">
        <v>268082</v>
      </c>
    </row>
    <row r="11185" spans="1:6">
      <c r="A11185" t="s">
        <v>27</v>
      </c>
      <c r="B11185" t="s">
        <v>68</v>
      </c>
      <c r="C11185" t="s">
        <v>867</v>
      </c>
      <c r="D11185" t="s">
        <v>1273</v>
      </c>
      <c r="E11185" t="s">
        <v>1039</v>
      </c>
      <c r="F11185" t="s">
        <v>385</v>
      </c>
    </row>
    <row r="11186" spans="1:6">
      <c r="A11186" t="s">
        <v>27</v>
      </c>
      <c r="B11186" t="s">
        <v>68</v>
      </c>
      <c r="C11186" t="s">
        <v>867</v>
      </c>
      <c r="D11186" t="s">
        <v>1273</v>
      </c>
      <c r="E11186" t="s">
        <v>1040</v>
      </c>
      <c r="F11186">
        <v>666</v>
      </c>
    </row>
    <row r="11187" spans="1:6">
      <c r="A11187" t="s">
        <v>27</v>
      </c>
      <c r="B11187" t="s">
        <v>68</v>
      </c>
      <c r="C11187" t="s">
        <v>867</v>
      </c>
      <c r="D11187" t="s">
        <v>1273</v>
      </c>
      <c r="E11187" t="s">
        <v>1041</v>
      </c>
      <c r="F11187">
        <v>1189327</v>
      </c>
    </row>
    <row r="11188" spans="1:6">
      <c r="A11188" t="s">
        <v>27</v>
      </c>
      <c r="B11188" t="s">
        <v>68</v>
      </c>
      <c r="C11188" t="s">
        <v>867</v>
      </c>
      <c r="D11188" t="s">
        <v>1273</v>
      </c>
      <c r="E11188" t="s">
        <v>1053</v>
      </c>
      <c r="F11188" t="s">
        <v>1292</v>
      </c>
    </row>
    <row r="11189" spans="1:6">
      <c r="A11189" t="s">
        <v>27</v>
      </c>
      <c r="B11189" t="s">
        <v>68</v>
      </c>
      <c r="C11189" t="s">
        <v>867</v>
      </c>
      <c r="D11189" t="s">
        <v>1273</v>
      </c>
      <c r="E11189" t="s">
        <v>1108</v>
      </c>
      <c r="F11189">
        <v>23748</v>
      </c>
    </row>
    <row r="11190" spans="1:6">
      <c r="A11190" t="s">
        <v>27</v>
      </c>
      <c r="B11190" t="s">
        <v>68</v>
      </c>
      <c r="C11190" t="s">
        <v>867</v>
      </c>
      <c r="D11190" t="s">
        <v>1273</v>
      </c>
      <c r="E11190" t="s">
        <v>1109</v>
      </c>
      <c r="F11190">
        <v>2749252</v>
      </c>
    </row>
    <row r="11191" spans="1:6">
      <c r="A11191" t="s">
        <v>27</v>
      </c>
      <c r="B11191" t="s">
        <v>68</v>
      </c>
      <c r="C11191" t="s">
        <v>867</v>
      </c>
      <c r="D11191" t="s">
        <v>1273</v>
      </c>
      <c r="E11191" t="s">
        <v>1054</v>
      </c>
      <c r="F11191" t="s">
        <v>1293</v>
      </c>
    </row>
    <row r="11192" spans="1:6">
      <c r="A11192" t="s">
        <v>27</v>
      </c>
      <c r="B11192" t="s">
        <v>68</v>
      </c>
      <c r="C11192" t="s">
        <v>867</v>
      </c>
      <c r="D11192" t="s">
        <v>1273</v>
      </c>
      <c r="E11192" t="s">
        <v>1118</v>
      </c>
      <c r="F11192" t="s">
        <v>1294</v>
      </c>
    </row>
    <row r="11193" spans="1:6">
      <c r="A11193" t="s">
        <v>27</v>
      </c>
      <c r="B11193" t="s">
        <v>68</v>
      </c>
      <c r="C11193" t="s">
        <v>867</v>
      </c>
      <c r="D11193" t="s">
        <v>1273</v>
      </c>
      <c r="E11193" t="s">
        <v>1119</v>
      </c>
      <c r="F11193">
        <v>2355</v>
      </c>
    </row>
    <row r="11194" spans="1:6">
      <c r="A11194" t="s">
        <v>27</v>
      </c>
      <c r="B11194" t="s">
        <v>68</v>
      </c>
      <c r="C11194" t="s">
        <v>867</v>
      </c>
      <c r="D11194" t="s">
        <v>1273</v>
      </c>
      <c r="E11194" t="s">
        <v>1120</v>
      </c>
      <c r="F11194">
        <v>97381</v>
      </c>
    </row>
    <row r="11195" spans="1:6">
      <c r="A11195" t="s">
        <v>27</v>
      </c>
      <c r="B11195" t="s">
        <v>68</v>
      </c>
      <c r="C11195" t="s">
        <v>867</v>
      </c>
      <c r="D11195" t="s">
        <v>1273</v>
      </c>
      <c r="E11195" t="s">
        <v>1124</v>
      </c>
      <c r="F11195">
        <v>2018</v>
      </c>
    </row>
    <row r="11196" spans="1:6">
      <c r="A11196" t="s">
        <v>27</v>
      </c>
      <c r="B11196" t="s">
        <v>68</v>
      </c>
      <c r="C11196" t="s">
        <v>867</v>
      </c>
      <c r="D11196" t="s">
        <v>1273</v>
      </c>
      <c r="E11196" t="s">
        <v>1126</v>
      </c>
      <c r="F11196">
        <v>218</v>
      </c>
    </row>
    <row r="11197" spans="1:6">
      <c r="A11197" t="s">
        <v>27</v>
      </c>
      <c r="B11197" t="s">
        <v>68</v>
      </c>
      <c r="C11197" t="s">
        <v>867</v>
      </c>
      <c r="D11197" t="s">
        <v>1273</v>
      </c>
      <c r="E11197" t="s">
        <v>1127</v>
      </c>
      <c r="F11197">
        <v>13021</v>
      </c>
    </row>
    <row r="11198" spans="1:6">
      <c r="A11198" t="s">
        <v>27</v>
      </c>
      <c r="B11198" t="s">
        <v>68</v>
      </c>
      <c r="C11198" t="s">
        <v>867</v>
      </c>
      <c r="D11198" t="s">
        <v>1273</v>
      </c>
      <c r="E11198" t="s">
        <v>1057</v>
      </c>
      <c r="F11198">
        <v>2019</v>
      </c>
    </row>
    <row r="11199" spans="1:6">
      <c r="A11199" t="s">
        <v>27</v>
      </c>
      <c r="B11199" t="s">
        <v>68</v>
      </c>
      <c r="C11199" t="s">
        <v>867</v>
      </c>
      <c r="D11199" t="s">
        <v>1273</v>
      </c>
      <c r="E11199" t="s">
        <v>1058</v>
      </c>
      <c r="F11199">
        <v>141</v>
      </c>
    </row>
    <row r="11200" spans="1:6">
      <c r="A11200" t="s">
        <v>27</v>
      </c>
      <c r="B11200" t="s">
        <v>68</v>
      </c>
      <c r="C11200" t="s">
        <v>867</v>
      </c>
      <c r="D11200" t="s">
        <v>1273</v>
      </c>
      <c r="E11200" t="s">
        <v>1059</v>
      </c>
      <c r="F11200">
        <v>22544</v>
      </c>
    </row>
    <row r="11201" spans="1:6">
      <c r="A11201" t="s">
        <v>27</v>
      </c>
      <c r="B11201" t="s">
        <v>68</v>
      </c>
      <c r="C11201" t="s">
        <v>867</v>
      </c>
      <c r="D11201" t="s">
        <v>1273</v>
      </c>
      <c r="E11201" t="s">
        <v>1072</v>
      </c>
      <c r="F11201">
        <v>2020</v>
      </c>
    </row>
    <row r="11202" spans="1:6">
      <c r="A11202" t="s">
        <v>27</v>
      </c>
      <c r="B11202" t="s">
        <v>68</v>
      </c>
      <c r="C11202" t="s">
        <v>867</v>
      </c>
      <c r="D11202" t="s">
        <v>1273</v>
      </c>
      <c r="E11202" t="s">
        <v>1133</v>
      </c>
      <c r="F11202">
        <v>378</v>
      </c>
    </row>
    <row r="11203" spans="1:6">
      <c r="A11203" t="s">
        <v>27</v>
      </c>
      <c r="B11203" t="s">
        <v>68</v>
      </c>
      <c r="C11203" t="s">
        <v>867</v>
      </c>
      <c r="D11203" t="s">
        <v>1273</v>
      </c>
      <c r="E11203" t="s">
        <v>1134</v>
      </c>
      <c r="F11203">
        <v>27140</v>
      </c>
    </row>
    <row r="11204" spans="1:6">
      <c r="A11204" t="s">
        <v>27</v>
      </c>
      <c r="B11204" t="s">
        <v>68</v>
      </c>
      <c r="C11204" t="s">
        <v>867</v>
      </c>
      <c r="D11204" t="s">
        <v>1273</v>
      </c>
      <c r="E11204" t="s">
        <v>1074</v>
      </c>
      <c r="F11204">
        <v>2021</v>
      </c>
    </row>
    <row r="11205" spans="1:6">
      <c r="A11205" t="s">
        <v>27</v>
      </c>
      <c r="B11205" t="s">
        <v>68</v>
      </c>
      <c r="C11205" t="s">
        <v>867</v>
      </c>
      <c r="D11205" t="s">
        <v>1273</v>
      </c>
      <c r="E11205" t="s">
        <v>1296</v>
      </c>
      <c r="F11205">
        <v>377</v>
      </c>
    </row>
    <row r="11206" spans="1:6">
      <c r="A11206" t="s">
        <v>27</v>
      </c>
      <c r="B11206" t="s">
        <v>68</v>
      </c>
      <c r="C11206" t="s">
        <v>867</v>
      </c>
      <c r="D11206" t="s">
        <v>1273</v>
      </c>
      <c r="E11206" t="s">
        <v>1297</v>
      </c>
      <c r="F11206">
        <v>25847</v>
      </c>
    </row>
    <row r="11207" spans="1:6">
      <c r="A11207" t="s">
        <v>27</v>
      </c>
      <c r="B11207" t="s">
        <v>68</v>
      </c>
      <c r="C11207" t="s">
        <v>867</v>
      </c>
      <c r="D11207" t="s">
        <v>1273</v>
      </c>
      <c r="E11207" t="s">
        <v>1076</v>
      </c>
      <c r="F11207">
        <v>2022</v>
      </c>
    </row>
    <row r="11208" spans="1:6">
      <c r="A11208" t="s">
        <v>27</v>
      </c>
      <c r="B11208" t="s">
        <v>68</v>
      </c>
      <c r="C11208" t="s">
        <v>867</v>
      </c>
      <c r="D11208" t="s">
        <v>1273</v>
      </c>
      <c r="E11208" t="s">
        <v>1077</v>
      </c>
      <c r="F11208">
        <v>538</v>
      </c>
    </row>
    <row r="11209" spans="1:6">
      <c r="A11209" t="s">
        <v>27</v>
      </c>
      <c r="B11209" t="s">
        <v>68</v>
      </c>
      <c r="C11209" t="s">
        <v>867</v>
      </c>
      <c r="D11209" t="s">
        <v>1273</v>
      </c>
      <c r="E11209" t="s">
        <v>1078</v>
      </c>
      <c r="F11209">
        <v>259900</v>
      </c>
    </row>
    <row r="11210" spans="1:6">
      <c r="A11210" t="s">
        <v>27</v>
      </c>
      <c r="B11210" t="s">
        <v>68</v>
      </c>
      <c r="C11210" t="s">
        <v>867</v>
      </c>
      <c r="D11210" t="s">
        <v>1273</v>
      </c>
      <c r="E11210" t="s">
        <v>1090</v>
      </c>
      <c r="F11210">
        <v>2023</v>
      </c>
    </row>
    <row r="11211" spans="1:6">
      <c r="A11211" t="s">
        <v>27</v>
      </c>
      <c r="B11211" t="s">
        <v>68</v>
      </c>
      <c r="C11211" t="s">
        <v>867</v>
      </c>
      <c r="D11211" t="s">
        <v>1273</v>
      </c>
      <c r="E11211" t="s">
        <v>1139</v>
      </c>
      <c r="F11211">
        <v>805</v>
      </c>
    </row>
    <row r="11212" spans="1:6">
      <c r="A11212" t="s">
        <v>27</v>
      </c>
      <c r="B11212" t="s">
        <v>68</v>
      </c>
      <c r="C11212" t="s">
        <v>867</v>
      </c>
      <c r="D11212" t="s">
        <v>1273</v>
      </c>
      <c r="E11212" t="s">
        <v>1140</v>
      </c>
      <c r="F11212">
        <v>191046</v>
      </c>
    </row>
    <row r="11213" spans="1:6">
      <c r="A11213" t="s">
        <v>27</v>
      </c>
      <c r="B11213" t="s">
        <v>68</v>
      </c>
      <c r="C11213" t="s">
        <v>867</v>
      </c>
      <c r="D11213" t="s">
        <v>1273</v>
      </c>
      <c r="E11213" t="s">
        <v>1298</v>
      </c>
      <c r="F11213">
        <v>2024</v>
      </c>
    </row>
    <row r="11214" spans="1:6">
      <c r="A11214" t="s">
        <v>27</v>
      </c>
      <c r="B11214" t="s">
        <v>68</v>
      </c>
      <c r="C11214" t="s">
        <v>867</v>
      </c>
      <c r="D11214" t="s">
        <v>1273</v>
      </c>
      <c r="E11214" t="s">
        <v>1299</v>
      </c>
      <c r="F11214">
        <v>1969</v>
      </c>
    </row>
    <row r="11215" spans="1:6">
      <c r="A11215" t="s">
        <v>27</v>
      </c>
      <c r="B11215" t="s">
        <v>68</v>
      </c>
      <c r="C11215" t="s">
        <v>867</v>
      </c>
      <c r="D11215" t="s">
        <v>1273</v>
      </c>
      <c r="E11215" t="s">
        <v>1300</v>
      </c>
      <c r="F11215">
        <v>173800</v>
      </c>
    </row>
    <row r="11216" spans="1:6">
      <c r="A11216" t="s">
        <v>27</v>
      </c>
      <c r="B11216" t="s">
        <v>68</v>
      </c>
      <c r="C11216" t="s">
        <v>867</v>
      </c>
      <c r="D11216" t="s">
        <v>1273</v>
      </c>
      <c r="E11216" t="s">
        <v>1301</v>
      </c>
      <c r="F11216">
        <v>2025</v>
      </c>
    </row>
    <row r="11217" spans="1:6">
      <c r="A11217" t="s">
        <v>27</v>
      </c>
      <c r="B11217" t="s">
        <v>68</v>
      </c>
      <c r="C11217" t="s">
        <v>867</v>
      </c>
      <c r="D11217" t="s">
        <v>1273</v>
      </c>
      <c r="E11217" t="s">
        <v>1302</v>
      </c>
      <c r="F11217">
        <v>2544</v>
      </c>
    </row>
    <row r="11218" spans="1:6">
      <c r="A11218" t="s">
        <v>27</v>
      </c>
      <c r="B11218" t="s">
        <v>68</v>
      </c>
      <c r="C11218" t="s">
        <v>867</v>
      </c>
      <c r="D11218" t="s">
        <v>1273</v>
      </c>
      <c r="E11218" t="s">
        <v>1303</v>
      </c>
      <c r="F11218">
        <v>303678</v>
      </c>
    </row>
    <row r="11219" spans="1:6">
      <c r="A11219" t="s">
        <v>27</v>
      </c>
      <c r="B11219" t="s">
        <v>68</v>
      </c>
      <c r="C11219" t="s">
        <v>867</v>
      </c>
      <c r="D11219" t="s">
        <v>1273</v>
      </c>
      <c r="E11219" t="s">
        <v>1392</v>
      </c>
      <c r="F11219">
        <v>2026</v>
      </c>
    </row>
    <row r="11220" spans="1:6">
      <c r="A11220" t="s">
        <v>27</v>
      </c>
      <c r="B11220" t="s">
        <v>68</v>
      </c>
      <c r="C11220" t="s">
        <v>867</v>
      </c>
      <c r="D11220" t="s">
        <v>1273</v>
      </c>
      <c r="E11220" t="s">
        <v>1393</v>
      </c>
      <c r="F11220">
        <v>14153</v>
      </c>
    </row>
    <row r="11221" spans="1:6">
      <c r="A11221" t="s">
        <v>27</v>
      </c>
      <c r="B11221" t="s">
        <v>68</v>
      </c>
      <c r="C11221" t="s">
        <v>867</v>
      </c>
      <c r="D11221" t="s">
        <v>1273</v>
      </c>
      <c r="E11221" t="s">
        <v>1394</v>
      </c>
      <c r="F11221">
        <v>1634895</v>
      </c>
    </row>
    <row r="11222" spans="1:6">
      <c r="A11222" t="s">
        <v>27</v>
      </c>
      <c r="B11222" t="s">
        <v>68</v>
      </c>
      <c r="C11222" t="s">
        <v>867</v>
      </c>
      <c r="D11222" t="s">
        <v>1273</v>
      </c>
      <c r="E11222" t="s">
        <v>1149</v>
      </c>
      <c r="F11222" t="s">
        <v>1292</v>
      </c>
    </row>
    <row r="11223" spans="1:6">
      <c r="A11223" t="s">
        <v>27</v>
      </c>
      <c r="B11223" t="s">
        <v>68</v>
      </c>
      <c r="C11223" t="s">
        <v>867</v>
      </c>
      <c r="D11223" t="s">
        <v>1273</v>
      </c>
      <c r="E11223" t="s">
        <v>1437</v>
      </c>
      <c r="F11223">
        <v>23478</v>
      </c>
    </row>
    <row r="11224" spans="1:6">
      <c r="A11224" t="s">
        <v>27</v>
      </c>
      <c r="B11224" t="s">
        <v>68</v>
      </c>
      <c r="C11224" t="s">
        <v>867</v>
      </c>
      <c r="D11224" t="s">
        <v>1273</v>
      </c>
      <c r="E11224" t="s">
        <v>1438</v>
      </c>
      <c r="F11224">
        <v>2749252</v>
      </c>
    </row>
    <row r="11225" spans="1:6">
      <c r="A11225" t="s">
        <v>13</v>
      </c>
      <c r="B11225" t="s">
        <v>112</v>
      </c>
      <c r="C11225" t="s">
        <v>847</v>
      </c>
      <c r="D11225" t="s">
        <v>991</v>
      </c>
      <c r="E11225" t="s">
        <v>992</v>
      </c>
      <c r="F11225" t="s">
        <v>993</v>
      </c>
    </row>
    <row r="11226" spans="1:6">
      <c r="A11226" t="s">
        <v>13</v>
      </c>
      <c r="B11226" t="s">
        <v>112</v>
      </c>
      <c r="C11226" t="s">
        <v>847</v>
      </c>
      <c r="D11226" t="s">
        <v>991</v>
      </c>
      <c r="E11226" t="s">
        <v>1093</v>
      </c>
      <c r="F11226" t="s">
        <v>1094</v>
      </c>
    </row>
    <row r="11227" spans="1:6">
      <c r="A11227" t="s">
        <v>13</v>
      </c>
      <c r="B11227" t="s">
        <v>112</v>
      </c>
      <c r="C11227" t="s">
        <v>847</v>
      </c>
      <c r="D11227" t="s">
        <v>991</v>
      </c>
      <c r="E11227" t="s">
        <v>994</v>
      </c>
      <c r="F11227" t="s">
        <v>112</v>
      </c>
    </row>
    <row r="11228" spans="1:6">
      <c r="A11228" t="s">
        <v>13</v>
      </c>
      <c r="B11228" t="s">
        <v>112</v>
      </c>
      <c r="C11228" t="s">
        <v>847</v>
      </c>
      <c r="D11228" t="s">
        <v>991</v>
      </c>
      <c r="E11228" t="s">
        <v>995</v>
      </c>
      <c r="F11228" t="s">
        <v>996</v>
      </c>
    </row>
    <row r="11229" spans="1:6">
      <c r="A11229" t="s">
        <v>13</v>
      </c>
      <c r="B11229" t="s">
        <v>112</v>
      </c>
      <c r="C11229" t="s">
        <v>847</v>
      </c>
      <c r="D11229" t="s">
        <v>991</v>
      </c>
      <c r="E11229" t="s">
        <v>997</v>
      </c>
      <c r="F11229" t="s">
        <v>2927</v>
      </c>
    </row>
    <row r="11230" spans="1:6">
      <c r="A11230" t="s">
        <v>13</v>
      </c>
      <c r="B11230" t="s">
        <v>112</v>
      </c>
      <c r="C11230" t="s">
        <v>847</v>
      </c>
      <c r="D11230" t="s">
        <v>991</v>
      </c>
      <c r="E11230" t="s">
        <v>999</v>
      </c>
      <c r="F11230" t="s">
        <v>1000</v>
      </c>
    </row>
    <row r="11231" spans="1:6">
      <c r="A11231" t="s">
        <v>13</v>
      </c>
      <c r="B11231" t="s">
        <v>112</v>
      </c>
      <c r="C11231" t="s">
        <v>847</v>
      </c>
      <c r="D11231" t="s">
        <v>991</v>
      </c>
      <c r="E11231" t="s">
        <v>1001</v>
      </c>
      <c r="F11231" t="s">
        <v>25</v>
      </c>
    </row>
    <row r="11232" spans="1:6">
      <c r="A11232" t="s">
        <v>13</v>
      </c>
      <c r="B11232" t="s">
        <v>112</v>
      </c>
      <c r="C11232" t="s">
        <v>847</v>
      </c>
      <c r="D11232" t="s">
        <v>991</v>
      </c>
      <c r="E11232" t="s">
        <v>1002</v>
      </c>
      <c r="F11232" t="s">
        <v>1003</v>
      </c>
    </row>
    <row r="11233" spans="1:6">
      <c r="A11233" t="s">
        <v>13</v>
      </c>
      <c r="B11233" t="s">
        <v>112</v>
      </c>
      <c r="C11233" t="s">
        <v>847</v>
      </c>
      <c r="D11233" t="s">
        <v>991</v>
      </c>
      <c r="E11233" t="s">
        <v>1004</v>
      </c>
      <c r="F11233" t="s">
        <v>1005</v>
      </c>
    </row>
    <row r="11234" spans="1:6">
      <c r="A11234" t="s">
        <v>13</v>
      </c>
      <c r="B11234" t="s">
        <v>112</v>
      </c>
      <c r="C11234" t="s">
        <v>847</v>
      </c>
      <c r="D11234" t="s">
        <v>991</v>
      </c>
      <c r="E11234" t="s">
        <v>1006</v>
      </c>
      <c r="F11234" t="s">
        <v>1007</v>
      </c>
    </row>
    <row r="11235" spans="1:6">
      <c r="A11235" t="s">
        <v>13</v>
      </c>
      <c r="B11235" t="s">
        <v>112</v>
      </c>
      <c r="C11235" t="s">
        <v>847</v>
      </c>
      <c r="D11235" t="s">
        <v>991</v>
      </c>
      <c r="E11235" t="s">
        <v>1008</v>
      </c>
      <c r="F11235" t="s">
        <v>1009</v>
      </c>
    </row>
    <row r="11236" spans="1:6">
      <c r="A11236" t="s">
        <v>13</v>
      </c>
      <c r="B11236" t="s">
        <v>112</v>
      </c>
      <c r="C11236" t="s">
        <v>847</v>
      </c>
      <c r="D11236" t="s">
        <v>991</v>
      </c>
      <c r="E11236" t="s">
        <v>1010</v>
      </c>
      <c r="F11236" t="s">
        <v>1011</v>
      </c>
    </row>
    <row r="11237" spans="1:6">
      <c r="A11237" t="s">
        <v>13</v>
      </c>
      <c r="B11237" t="s">
        <v>112</v>
      </c>
      <c r="C11237" t="s">
        <v>847</v>
      </c>
      <c r="D11237" t="s">
        <v>991</v>
      </c>
      <c r="E11237" t="s">
        <v>1012</v>
      </c>
      <c r="F11237" t="s">
        <v>1013</v>
      </c>
    </row>
    <row r="11238" spans="1:6">
      <c r="A11238" t="s">
        <v>13</v>
      </c>
      <c r="B11238" t="s">
        <v>112</v>
      </c>
      <c r="C11238" t="s">
        <v>847</v>
      </c>
      <c r="D11238" t="s">
        <v>991</v>
      </c>
      <c r="E11238" t="s">
        <v>1014</v>
      </c>
      <c r="F11238" t="s">
        <v>1015</v>
      </c>
    </row>
    <row r="11239" spans="1:6">
      <c r="A11239" t="s">
        <v>13</v>
      </c>
      <c r="B11239" t="s">
        <v>112</v>
      </c>
      <c r="C11239" t="s">
        <v>847</v>
      </c>
      <c r="D11239" t="s">
        <v>991</v>
      </c>
      <c r="E11239" t="s">
        <v>1016</v>
      </c>
      <c r="F11239" t="s">
        <v>1017</v>
      </c>
    </row>
    <row r="11240" spans="1:6">
      <c r="A11240" t="s">
        <v>13</v>
      </c>
      <c r="B11240" t="s">
        <v>112</v>
      </c>
      <c r="C11240" t="s">
        <v>847</v>
      </c>
      <c r="D11240" t="s">
        <v>991</v>
      </c>
      <c r="E11240" t="s">
        <v>1018</v>
      </c>
      <c r="F11240" t="s">
        <v>1019</v>
      </c>
    </row>
    <row r="11241" spans="1:6">
      <c r="A11241" t="s">
        <v>13</v>
      </c>
      <c r="B11241" t="s">
        <v>112</v>
      </c>
      <c r="C11241" t="s">
        <v>847</v>
      </c>
      <c r="D11241" t="s">
        <v>991</v>
      </c>
      <c r="E11241" t="s">
        <v>1020</v>
      </c>
      <c r="F11241" t="s">
        <v>1021</v>
      </c>
    </row>
    <row r="11242" spans="1:6">
      <c r="A11242" t="s">
        <v>13</v>
      </c>
      <c r="B11242" t="s">
        <v>112</v>
      </c>
      <c r="C11242" t="s">
        <v>847</v>
      </c>
      <c r="D11242" t="s">
        <v>991</v>
      </c>
      <c r="E11242" t="s">
        <v>1022</v>
      </c>
      <c r="F11242" t="s">
        <v>1023</v>
      </c>
    </row>
    <row r="11243" spans="1:6">
      <c r="A11243" t="s">
        <v>13</v>
      </c>
      <c r="B11243" t="s">
        <v>112</v>
      </c>
      <c r="C11243" t="s">
        <v>847</v>
      </c>
      <c r="D11243" t="s">
        <v>991</v>
      </c>
      <c r="E11243" t="s">
        <v>1024</v>
      </c>
      <c r="F11243" t="s">
        <v>1025</v>
      </c>
    </row>
    <row r="11244" spans="1:6">
      <c r="A11244" t="s">
        <v>13</v>
      </c>
      <c r="B11244" t="s">
        <v>112</v>
      </c>
      <c r="C11244" t="s">
        <v>847</v>
      </c>
      <c r="D11244" t="s">
        <v>991</v>
      </c>
      <c r="E11244" t="s">
        <v>1026</v>
      </c>
      <c r="F11244" t="s">
        <v>1027</v>
      </c>
    </row>
    <row r="11245" spans="1:6">
      <c r="A11245" t="s">
        <v>13</v>
      </c>
      <c r="B11245" t="s">
        <v>112</v>
      </c>
      <c r="C11245" t="s">
        <v>847</v>
      </c>
      <c r="D11245" t="s">
        <v>991</v>
      </c>
      <c r="E11245" t="s">
        <v>1028</v>
      </c>
      <c r="F11245" t="s">
        <v>1029</v>
      </c>
    </row>
    <row r="11246" spans="1:6">
      <c r="A11246" t="s">
        <v>13</v>
      </c>
      <c r="B11246" t="s">
        <v>112</v>
      </c>
      <c r="C11246" t="s">
        <v>847</v>
      </c>
      <c r="D11246" t="s">
        <v>991</v>
      </c>
      <c r="E11246" t="s">
        <v>1030</v>
      </c>
      <c r="F11246" t="s">
        <v>1031</v>
      </c>
    </row>
    <row r="11247" spans="1:6">
      <c r="A11247" t="s">
        <v>13</v>
      </c>
      <c r="B11247" t="s">
        <v>112</v>
      </c>
      <c r="C11247" t="s">
        <v>847</v>
      </c>
      <c r="D11247" t="s">
        <v>991</v>
      </c>
      <c r="E11247" t="s">
        <v>1032</v>
      </c>
      <c r="F11247" t="s">
        <v>1033</v>
      </c>
    </row>
    <row r="11248" spans="1:6">
      <c r="A11248" t="s">
        <v>13</v>
      </c>
      <c r="B11248" t="s">
        <v>112</v>
      </c>
      <c r="C11248" t="s">
        <v>847</v>
      </c>
      <c r="D11248" t="s">
        <v>991</v>
      </c>
      <c r="E11248" t="s">
        <v>1034</v>
      </c>
      <c r="F11248" t="s">
        <v>50</v>
      </c>
    </row>
    <row r="11249" spans="1:6">
      <c r="A11249" t="s">
        <v>13</v>
      </c>
      <c r="B11249" t="s">
        <v>112</v>
      </c>
      <c r="C11249" t="s">
        <v>847</v>
      </c>
      <c r="D11249" t="s">
        <v>991</v>
      </c>
      <c r="E11249" t="s">
        <v>1035</v>
      </c>
      <c r="F11249">
        <v>28354693.2399995</v>
      </c>
    </row>
    <row r="11250" spans="1:6">
      <c r="A11250" t="s">
        <v>13</v>
      </c>
      <c r="B11250" t="s">
        <v>112</v>
      </c>
      <c r="C11250" t="s">
        <v>847</v>
      </c>
      <c r="D11250" t="s">
        <v>991</v>
      </c>
      <c r="E11250" t="s">
        <v>1036</v>
      </c>
      <c r="F11250">
        <v>2025</v>
      </c>
    </row>
    <row r="11251" spans="1:6">
      <c r="A11251" t="s">
        <v>13</v>
      </c>
      <c r="B11251" t="s">
        <v>112</v>
      </c>
      <c r="C11251" t="s">
        <v>847</v>
      </c>
      <c r="D11251" t="s">
        <v>991</v>
      </c>
      <c r="E11251" t="s">
        <v>1037</v>
      </c>
      <c r="F11251">
        <v>30300988.4499998</v>
      </c>
    </row>
    <row r="11252" spans="1:6">
      <c r="A11252" t="s">
        <v>13</v>
      </c>
      <c r="B11252" t="s">
        <v>112</v>
      </c>
      <c r="C11252" t="s">
        <v>847</v>
      </c>
      <c r="D11252" t="s">
        <v>991</v>
      </c>
      <c r="E11252" t="s">
        <v>1038</v>
      </c>
      <c r="F11252">
        <v>2026</v>
      </c>
    </row>
    <row r="11253" spans="1:6">
      <c r="A11253" t="s">
        <v>13</v>
      </c>
      <c r="B11253" t="s">
        <v>112</v>
      </c>
      <c r="C11253" t="s">
        <v>847</v>
      </c>
      <c r="D11253" t="s">
        <v>991</v>
      </c>
      <c r="E11253" t="s">
        <v>1039</v>
      </c>
      <c r="F11253">
        <v>22015137.43999991</v>
      </c>
    </row>
    <row r="11254" spans="1:6">
      <c r="A11254" t="s">
        <v>13</v>
      </c>
      <c r="B11254" t="s">
        <v>112</v>
      </c>
      <c r="C11254" t="s">
        <v>847</v>
      </c>
      <c r="D11254" t="s">
        <v>991</v>
      </c>
      <c r="E11254" t="s">
        <v>1040</v>
      </c>
      <c r="F11254">
        <v>3011740.89</v>
      </c>
    </row>
    <row r="11255" spans="1:6">
      <c r="A11255" t="s">
        <v>13</v>
      </c>
      <c r="B11255" t="s">
        <v>112</v>
      </c>
      <c r="C11255" t="s">
        <v>847</v>
      </c>
      <c r="D11255" t="s">
        <v>991</v>
      </c>
      <c r="E11255" t="s">
        <v>1041</v>
      </c>
      <c r="F11255">
        <v>3204444.21000001</v>
      </c>
    </row>
    <row r="11256" spans="1:6">
      <c r="A11256" t="s">
        <v>13</v>
      </c>
      <c r="B11256" t="s">
        <v>112</v>
      </c>
      <c r="C11256" t="s">
        <v>847</v>
      </c>
      <c r="D11256" t="s">
        <v>991</v>
      </c>
      <c r="E11256" t="s">
        <v>1042</v>
      </c>
      <c r="F11256">
        <v>3967369.5</v>
      </c>
    </row>
    <row r="11257" spans="1:6">
      <c r="A11257" t="s">
        <v>13</v>
      </c>
      <c r="B11257" t="s">
        <v>112</v>
      </c>
      <c r="C11257" t="s">
        <v>847</v>
      </c>
      <c r="D11257" t="s">
        <v>991</v>
      </c>
      <c r="E11257" t="s">
        <v>1043</v>
      </c>
      <c r="F11257">
        <v>3744649.50999996</v>
      </c>
    </row>
    <row r="11258" spans="1:6">
      <c r="A11258" t="s">
        <v>13</v>
      </c>
      <c r="B11258" t="s">
        <v>112</v>
      </c>
      <c r="C11258" t="s">
        <v>847</v>
      </c>
      <c r="D11258" t="s">
        <v>991</v>
      </c>
      <c r="E11258" t="s">
        <v>1044</v>
      </c>
      <c r="F11258">
        <v>3862871.99999994</v>
      </c>
    </row>
    <row r="11259" spans="1:6">
      <c r="A11259" t="s">
        <v>13</v>
      </c>
      <c r="B11259" t="s">
        <v>112</v>
      </c>
      <c r="C11259" t="s">
        <v>847</v>
      </c>
      <c r="D11259" t="s">
        <v>991</v>
      </c>
      <c r="E11259" t="s">
        <v>1045</v>
      </c>
      <c r="F11259">
        <v>4224061.33</v>
      </c>
    </row>
    <row r="11260" spans="1:6">
      <c r="A11260" t="s">
        <v>13</v>
      </c>
      <c r="B11260" t="s">
        <v>112</v>
      </c>
      <c r="C11260" t="s">
        <v>847</v>
      </c>
      <c r="D11260" t="s">
        <v>991</v>
      </c>
      <c r="E11260" t="s">
        <v>1052</v>
      </c>
      <c r="F11260" t="s">
        <v>1009</v>
      </c>
    </row>
    <row r="11261" spans="1:6">
      <c r="A11261" t="s">
        <v>13</v>
      </c>
      <c r="B11261" t="s">
        <v>112</v>
      </c>
      <c r="C11261" t="s">
        <v>847</v>
      </c>
      <c r="D11261" t="s">
        <v>991</v>
      </c>
      <c r="E11261" t="s">
        <v>1053</v>
      </c>
      <c r="F11261">
        <v>80670819.12999921</v>
      </c>
    </row>
    <row r="11262" spans="1:6">
      <c r="A11262" t="s">
        <v>13</v>
      </c>
      <c r="B11262" t="s">
        <v>112</v>
      </c>
      <c r="C11262" t="s">
        <v>847</v>
      </c>
      <c r="D11262" t="s">
        <v>991</v>
      </c>
      <c r="E11262" t="s">
        <v>1054</v>
      </c>
      <c r="F11262" t="s">
        <v>1055</v>
      </c>
    </row>
    <row r="11263" spans="1:6">
      <c r="A11263" t="s">
        <v>13</v>
      </c>
      <c r="B11263" t="s">
        <v>112</v>
      </c>
      <c r="C11263" t="s">
        <v>847</v>
      </c>
      <c r="D11263" t="s">
        <v>991</v>
      </c>
      <c r="E11263" t="s">
        <v>1056</v>
      </c>
      <c r="F11263" t="s">
        <v>1007</v>
      </c>
    </row>
    <row r="11264" spans="1:6">
      <c r="A11264" t="s">
        <v>13</v>
      </c>
      <c r="B11264" t="s">
        <v>112</v>
      </c>
      <c r="C11264" t="s">
        <v>847</v>
      </c>
      <c r="D11264" t="s">
        <v>991</v>
      </c>
      <c r="E11264" t="s">
        <v>1057</v>
      </c>
      <c r="F11264" t="s">
        <v>1009</v>
      </c>
    </row>
    <row r="11265" spans="1:6">
      <c r="A11265" t="s">
        <v>13</v>
      </c>
      <c r="B11265" t="s">
        <v>112</v>
      </c>
      <c r="C11265" t="s">
        <v>847</v>
      </c>
      <c r="D11265" t="s">
        <v>991</v>
      </c>
      <c r="E11265" t="s">
        <v>1058</v>
      </c>
      <c r="F11265" t="s">
        <v>1011</v>
      </c>
    </row>
    <row r="11266" spans="1:6">
      <c r="A11266" t="s">
        <v>13</v>
      </c>
      <c r="B11266" t="s">
        <v>112</v>
      </c>
      <c r="C11266" t="s">
        <v>847</v>
      </c>
      <c r="D11266" t="s">
        <v>991</v>
      </c>
      <c r="E11266" t="s">
        <v>1059</v>
      </c>
      <c r="F11266" t="s">
        <v>1013</v>
      </c>
    </row>
    <row r="11267" spans="1:6">
      <c r="A11267" t="s">
        <v>13</v>
      </c>
      <c r="B11267" t="s">
        <v>112</v>
      </c>
      <c r="C11267" t="s">
        <v>847</v>
      </c>
      <c r="D11267" t="s">
        <v>991</v>
      </c>
      <c r="E11267" t="s">
        <v>1060</v>
      </c>
      <c r="F11267" t="s">
        <v>1015</v>
      </c>
    </row>
    <row r="11268" spans="1:6">
      <c r="A11268" t="s">
        <v>13</v>
      </c>
      <c r="B11268" t="s">
        <v>112</v>
      </c>
      <c r="C11268" t="s">
        <v>847</v>
      </c>
      <c r="D11268" t="s">
        <v>991</v>
      </c>
      <c r="E11268" t="s">
        <v>1061</v>
      </c>
      <c r="F11268" t="s">
        <v>1017</v>
      </c>
    </row>
    <row r="11269" spans="1:6">
      <c r="A11269" t="s">
        <v>13</v>
      </c>
      <c r="B11269" t="s">
        <v>112</v>
      </c>
      <c r="C11269" t="s">
        <v>847</v>
      </c>
      <c r="D11269" t="s">
        <v>991</v>
      </c>
      <c r="E11269" t="s">
        <v>1062</v>
      </c>
      <c r="F11269" t="s">
        <v>1019</v>
      </c>
    </row>
    <row r="11270" spans="1:6">
      <c r="A11270" t="s">
        <v>13</v>
      </c>
      <c r="B11270" t="s">
        <v>112</v>
      </c>
      <c r="C11270" t="s">
        <v>847</v>
      </c>
      <c r="D11270" t="s">
        <v>991</v>
      </c>
      <c r="E11270" t="s">
        <v>1063</v>
      </c>
      <c r="F11270" t="s">
        <v>1021</v>
      </c>
    </row>
    <row r="11271" spans="1:6">
      <c r="A11271" t="s">
        <v>13</v>
      </c>
      <c r="B11271" t="s">
        <v>112</v>
      </c>
      <c r="C11271" t="s">
        <v>847</v>
      </c>
      <c r="D11271" t="s">
        <v>991</v>
      </c>
      <c r="E11271" t="s">
        <v>1064</v>
      </c>
      <c r="F11271" t="s">
        <v>1023</v>
      </c>
    </row>
    <row r="11272" spans="1:6">
      <c r="A11272" t="s">
        <v>13</v>
      </c>
      <c r="B11272" t="s">
        <v>112</v>
      </c>
      <c r="C11272" t="s">
        <v>847</v>
      </c>
      <c r="D11272" t="s">
        <v>991</v>
      </c>
      <c r="E11272" t="s">
        <v>1065</v>
      </c>
      <c r="F11272" t="s">
        <v>1066</v>
      </c>
    </row>
    <row r="11273" spans="1:6">
      <c r="A11273" t="s">
        <v>13</v>
      </c>
      <c r="B11273" t="s">
        <v>112</v>
      </c>
      <c r="C11273" t="s">
        <v>847</v>
      </c>
      <c r="D11273" t="s">
        <v>991</v>
      </c>
      <c r="E11273" t="s">
        <v>1067</v>
      </c>
      <c r="F11273" t="s">
        <v>1027</v>
      </c>
    </row>
    <row r="11274" spans="1:6">
      <c r="A11274" t="s">
        <v>13</v>
      </c>
      <c r="B11274" t="s">
        <v>112</v>
      </c>
      <c r="C11274" t="s">
        <v>847</v>
      </c>
      <c r="D11274" t="s">
        <v>991</v>
      </c>
      <c r="E11274" t="s">
        <v>1068</v>
      </c>
      <c r="F11274" t="s">
        <v>1029</v>
      </c>
    </row>
    <row r="11275" spans="1:6">
      <c r="A11275" t="s">
        <v>13</v>
      </c>
      <c r="B11275" t="s">
        <v>112</v>
      </c>
      <c r="C11275" t="s">
        <v>847</v>
      </c>
      <c r="D11275" t="s">
        <v>991</v>
      </c>
      <c r="E11275" t="s">
        <v>1069</v>
      </c>
      <c r="F11275" t="s">
        <v>1031</v>
      </c>
    </row>
    <row r="11276" spans="1:6">
      <c r="A11276" t="s">
        <v>13</v>
      </c>
      <c r="B11276" t="s">
        <v>112</v>
      </c>
      <c r="C11276" t="s">
        <v>847</v>
      </c>
      <c r="D11276" t="s">
        <v>991</v>
      </c>
      <c r="E11276" t="s">
        <v>1070</v>
      </c>
      <c r="F11276" t="s">
        <v>1033</v>
      </c>
    </row>
    <row r="11277" spans="1:6">
      <c r="A11277" t="s">
        <v>13</v>
      </c>
      <c r="B11277" t="s">
        <v>112</v>
      </c>
      <c r="C11277" t="s">
        <v>847</v>
      </c>
      <c r="D11277" t="s">
        <v>991</v>
      </c>
      <c r="E11277" t="s">
        <v>1071</v>
      </c>
      <c r="F11277" t="s">
        <v>50</v>
      </c>
    </row>
    <row r="11278" spans="1:6">
      <c r="A11278" t="s">
        <v>13</v>
      </c>
      <c r="B11278" t="s">
        <v>112</v>
      </c>
      <c r="C11278" t="s">
        <v>847</v>
      </c>
      <c r="D11278" t="s">
        <v>991</v>
      </c>
      <c r="E11278" t="s">
        <v>1072</v>
      </c>
      <c r="F11278">
        <v>188179</v>
      </c>
    </row>
    <row r="11279" spans="1:6">
      <c r="A11279" t="s">
        <v>13</v>
      </c>
      <c r="B11279" t="s">
        <v>112</v>
      </c>
      <c r="C11279" t="s">
        <v>847</v>
      </c>
      <c r="D11279" t="s">
        <v>991</v>
      </c>
      <c r="E11279" t="s">
        <v>1073</v>
      </c>
      <c r="F11279">
        <v>2025</v>
      </c>
    </row>
    <row r="11280" spans="1:6">
      <c r="A11280" t="s">
        <v>13</v>
      </c>
      <c r="B11280" t="s">
        <v>112</v>
      </c>
      <c r="C11280" t="s">
        <v>847</v>
      </c>
      <c r="D11280" t="s">
        <v>991</v>
      </c>
      <c r="E11280" t="s">
        <v>1074</v>
      </c>
      <c r="F11280">
        <v>150569</v>
      </c>
    </row>
    <row r="11281" spans="1:6">
      <c r="A11281" t="s">
        <v>13</v>
      </c>
      <c r="B11281" t="s">
        <v>112</v>
      </c>
      <c r="C11281" t="s">
        <v>847</v>
      </c>
      <c r="D11281" t="s">
        <v>991</v>
      </c>
      <c r="E11281" t="s">
        <v>1075</v>
      </c>
      <c r="F11281">
        <v>2026</v>
      </c>
    </row>
    <row r="11282" spans="1:6">
      <c r="A11282" t="s">
        <v>13</v>
      </c>
      <c r="B11282" t="s">
        <v>112</v>
      </c>
      <c r="C11282" t="s">
        <v>847</v>
      </c>
      <c r="D11282" t="s">
        <v>991</v>
      </c>
      <c r="E11282" t="s">
        <v>1076</v>
      </c>
      <c r="F11282">
        <v>114974</v>
      </c>
    </row>
    <row r="11283" spans="1:6">
      <c r="A11283" t="s">
        <v>13</v>
      </c>
      <c r="B11283" t="s">
        <v>112</v>
      </c>
      <c r="C11283" t="s">
        <v>847</v>
      </c>
      <c r="D11283" t="s">
        <v>991</v>
      </c>
      <c r="E11283" t="s">
        <v>1077</v>
      </c>
      <c r="F11283">
        <v>15986</v>
      </c>
    </row>
    <row r="11284" spans="1:6">
      <c r="A11284" t="s">
        <v>13</v>
      </c>
      <c r="B11284" t="s">
        <v>112</v>
      </c>
      <c r="C11284" t="s">
        <v>847</v>
      </c>
      <c r="D11284" t="s">
        <v>991</v>
      </c>
      <c r="E11284" t="s">
        <v>1078</v>
      </c>
      <c r="F11284">
        <v>15076</v>
      </c>
    </row>
    <row r="11285" spans="1:6">
      <c r="A11285" t="s">
        <v>13</v>
      </c>
      <c r="B11285" t="s">
        <v>112</v>
      </c>
      <c r="C11285" t="s">
        <v>847</v>
      </c>
      <c r="D11285" t="s">
        <v>991</v>
      </c>
      <c r="E11285" t="s">
        <v>1079</v>
      </c>
      <c r="F11285">
        <v>20647</v>
      </c>
    </row>
    <row r="11286" spans="1:6">
      <c r="A11286" t="s">
        <v>13</v>
      </c>
      <c r="B11286" t="s">
        <v>112</v>
      </c>
      <c r="C11286" t="s">
        <v>847</v>
      </c>
      <c r="D11286" t="s">
        <v>991</v>
      </c>
      <c r="E11286" t="s">
        <v>1080</v>
      </c>
      <c r="F11286">
        <v>19325</v>
      </c>
    </row>
    <row r="11287" spans="1:6">
      <c r="A11287" t="s">
        <v>13</v>
      </c>
      <c r="B11287" t="s">
        <v>112</v>
      </c>
      <c r="C11287" t="s">
        <v>847</v>
      </c>
      <c r="D11287" t="s">
        <v>991</v>
      </c>
      <c r="E11287" t="s">
        <v>1081</v>
      </c>
      <c r="F11287">
        <v>19737</v>
      </c>
    </row>
    <row r="11288" spans="1:6">
      <c r="A11288" t="s">
        <v>13</v>
      </c>
      <c r="B11288" t="s">
        <v>112</v>
      </c>
      <c r="C11288" t="s">
        <v>847</v>
      </c>
      <c r="D11288" t="s">
        <v>991</v>
      </c>
      <c r="E11288" t="s">
        <v>1082</v>
      </c>
      <c r="F11288">
        <v>24203</v>
      </c>
    </row>
    <row r="11289" spans="1:6">
      <c r="A11289" t="s">
        <v>13</v>
      </c>
      <c r="B11289" t="s">
        <v>112</v>
      </c>
      <c r="C11289" t="s">
        <v>847</v>
      </c>
      <c r="D11289" t="s">
        <v>991</v>
      </c>
      <c r="E11289" t="s">
        <v>1089</v>
      </c>
      <c r="F11289" t="s">
        <v>1009</v>
      </c>
    </row>
    <row r="11290" spans="1:6">
      <c r="A11290" t="s">
        <v>13</v>
      </c>
      <c r="B11290" t="s">
        <v>112</v>
      </c>
      <c r="C11290" t="s">
        <v>847</v>
      </c>
      <c r="D11290" t="s">
        <v>991</v>
      </c>
      <c r="E11290" t="s">
        <v>1090</v>
      </c>
      <c r="F11290">
        <v>453722</v>
      </c>
    </row>
    <row r="11291" spans="1:6">
      <c r="A11291" t="s">
        <v>13</v>
      </c>
      <c r="B11291" t="s">
        <v>112</v>
      </c>
      <c r="C11291" t="s">
        <v>847</v>
      </c>
      <c r="D11291" t="s">
        <v>1091</v>
      </c>
      <c r="E11291" t="s">
        <v>992</v>
      </c>
      <c r="F11291" t="s">
        <v>1092</v>
      </c>
    </row>
    <row r="11292" spans="1:6">
      <c r="A11292" t="s">
        <v>13</v>
      </c>
      <c r="B11292" t="s">
        <v>112</v>
      </c>
      <c r="C11292" t="s">
        <v>847</v>
      </c>
      <c r="D11292" t="s">
        <v>1091</v>
      </c>
      <c r="E11292" t="s">
        <v>1093</v>
      </c>
      <c r="F11292" t="s">
        <v>1094</v>
      </c>
    </row>
    <row r="11293" spans="1:6">
      <c r="A11293" t="s">
        <v>13</v>
      </c>
      <c r="B11293" t="s">
        <v>112</v>
      </c>
      <c r="C11293" t="s">
        <v>847</v>
      </c>
      <c r="D11293" t="s">
        <v>1091</v>
      </c>
      <c r="E11293" t="s">
        <v>994</v>
      </c>
      <c r="F11293" t="s">
        <v>112</v>
      </c>
    </row>
    <row r="11294" spans="1:6">
      <c r="A11294" t="s">
        <v>13</v>
      </c>
      <c r="B11294" t="s">
        <v>112</v>
      </c>
      <c r="C11294" t="s">
        <v>847</v>
      </c>
      <c r="D11294" t="s">
        <v>1091</v>
      </c>
      <c r="E11294" t="s">
        <v>995</v>
      </c>
      <c r="F11294" t="s">
        <v>996</v>
      </c>
    </row>
    <row r="11295" spans="1:6">
      <c r="A11295" t="s">
        <v>13</v>
      </c>
      <c r="B11295" t="s">
        <v>112</v>
      </c>
      <c r="C11295" t="s">
        <v>847</v>
      </c>
      <c r="D11295" t="s">
        <v>1091</v>
      </c>
      <c r="E11295" t="s">
        <v>997</v>
      </c>
      <c r="F11295" t="s">
        <v>2927</v>
      </c>
    </row>
    <row r="11296" spans="1:6">
      <c r="A11296" t="s">
        <v>13</v>
      </c>
      <c r="B11296" t="s">
        <v>112</v>
      </c>
      <c r="C11296" t="s">
        <v>847</v>
      </c>
      <c r="D11296" t="s">
        <v>1091</v>
      </c>
      <c r="E11296" t="s">
        <v>999</v>
      </c>
      <c r="F11296" t="s">
        <v>1000</v>
      </c>
    </row>
    <row r="11297" spans="1:6">
      <c r="A11297" t="s">
        <v>13</v>
      </c>
      <c r="B11297" t="s">
        <v>112</v>
      </c>
      <c r="C11297" t="s">
        <v>847</v>
      </c>
      <c r="D11297" t="s">
        <v>1091</v>
      </c>
      <c r="E11297" t="s">
        <v>1001</v>
      </c>
      <c r="F11297" t="s">
        <v>25</v>
      </c>
    </row>
    <row r="11298" spans="1:6">
      <c r="A11298" t="s">
        <v>13</v>
      </c>
      <c r="B11298" t="s">
        <v>112</v>
      </c>
      <c r="C11298" t="s">
        <v>847</v>
      </c>
      <c r="D11298" t="s">
        <v>1091</v>
      </c>
      <c r="E11298" t="s">
        <v>1002</v>
      </c>
      <c r="F11298" t="s">
        <v>1095</v>
      </c>
    </row>
    <row r="11299" spans="1:6">
      <c r="A11299" t="s">
        <v>13</v>
      </c>
      <c r="B11299" t="s">
        <v>112</v>
      </c>
      <c r="C11299" t="s">
        <v>847</v>
      </c>
      <c r="D11299" t="s">
        <v>1091</v>
      </c>
      <c r="E11299" t="s">
        <v>1096</v>
      </c>
      <c r="F11299" t="s">
        <v>1005</v>
      </c>
    </row>
    <row r="11300" spans="1:6">
      <c r="A11300" t="s">
        <v>13</v>
      </c>
      <c r="B11300" t="s">
        <v>112</v>
      </c>
      <c r="C11300" t="s">
        <v>847</v>
      </c>
      <c r="D11300" t="s">
        <v>1091</v>
      </c>
      <c r="E11300" t="s">
        <v>1006</v>
      </c>
      <c r="F11300" t="s">
        <v>1097</v>
      </c>
    </row>
    <row r="11301" spans="1:6">
      <c r="A11301" t="s">
        <v>13</v>
      </c>
      <c r="B11301" t="s">
        <v>112</v>
      </c>
      <c r="C11301" t="s">
        <v>847</v>
      </c>
      <c r="D11301" t="s">
        <v>1091</v>
      </c>
      <c r="E11301" t="s">
        <v>1008</v>
      </c>
      <c r="F11301" t="s">
        <v>1098</v>
      </c>
    </row>
    <row r="11302" spans="1:6">
      <c r="A11302" t="s">
        <v>13</v>
      </c>
      <c r="B11302" t="s">
        <v>112</v>
      </c>
      <c r="C11302" t="s">
        <v>847</v>
      </c>
      <c r="D11302" t="s">
        <v>1091</v>
      </c>
      <c r="E11302" t="s">
        <v>1035</v>
      </c>
      <c r="F11302" t="s">
        <v>1009</v>
      </c>
    </row>
    <row r="11303" spans="1:6">
      <c r="A11303" t="s">
        <v>13</v>
      </c>
      <c r="B11303" t="s">
        <v>112</v>
      </c>
      <c r="C11303" t="s">
        <v>847</v>
      </c>
      <c r="D11303" t="s">
        <v>1091</v>
      </c>
      <c r="E11303" t="s">
        <v>1099</v>
      </c>
      <c r="F11303" t="s">
        <v>50</v>
      </c>
    </row>
    <row r="11304" spans="1:6">
      <c r="A11304" t="s">
        <v>13</v>
      </c>
      <c r="B11304" t="s">
        <v>112</v>
      </c>
      <c r="C11304" t="s">
        <v>847</v>
      </c>
      <c r="D11304" t="s">
        <v>1091</v>
      </c>
      <c r="E11304" t="s">
        <v>1100</v>
      </c>
      <c r="F11304">
        <v>2025</v>
      </c>
    </row>
    <row r="11305" spans="1:6">
      <c r="A11305" t="s">
        <v>13</v>
      </c>
      <c r="B11305" t="s">
        <v>112</v>
      </c>
      <c r="C11305" t="s">
        <v>847</v>
      </c>
      <c r="D11305" t="s">
        <v>1091</v>
      </c>
      <c r="E11305" t="s">
        <v>1101</v>
      </c>
      <c r="F11305">
        <v>2026</v>
      </c>
    </row>
    <row r="11306" spans="1:6">
      <c r="A11306" t="s">
        <v>13</v>
      </c>
      <c r="B11306" t="s">
        <v>112</v>
      </c>
      <c r="C11306" t="s">
        <v>847</v>
      </c>
      <c r="D11306" t="s">
        <v>1091</v>
      </c>
      <c r="E11306" t="s">
        <v>1036</v>
      </c>
      <c r="F11306" t="s">
        <v>1102</v>
      </c>
    </row>
    <row r="11307" spans="1:6">
      <c r="A11307" t="s">
        <v>13</v>
      </c>
      <c r="B11307" t="s">
        <v>112</v>
      </c>
      <c r="C11307" t="s">
        <v>847</v>
      </c>
      <c r="D11307" t="s">
        <v>1091</v>
      </c>
      <c r="E11307" t="s">
        <v>1037</v>
      </c>
      <c r="F11307">
        <v>80670819.12999921</v>
      </c>
    </row>
    <row r="11308" spans="1:6">
      <c r="A11308" t="s">
        <v>13</v>
      </c>
      <c r="B11308" t="s">
        <v>112</v>
      </c>
      <c r="C11308" t="s">
        <v>847</v>
      </c>
      <c r="D11308" t="s">
        <v>1091</v>
      </c>
      <c r="E11308" t="s">
        <v>1103</v>
      </c>
      <c r="F11308">
        <v>28354693.2399995</v>
      </c>
    </row>
    <row r="11309" spans="1:6">
      <c r="A11309" t="s">
        <v>13</v>
      </c>
      <c r="B11309" t="s">
        <v>112</v>
      </c>
      <c r="C11309" t="s">
        <v>847</v>
      </c>
      <c r="D11309" t="s">
        <v>1091</v>
      </c>
      <c r="E11309" t="s">
        <v>1104</v>
      </c>
      <c r="F11309">
        <v>30300988.4499998</v>
      </c>
    </row>
    <row r="11310" spans="1:6">
      <c r="A11310" t="s">
        <v>13</v>
      </c>
      <c r="B11310" t="s">
        <v>112</v>
      </c>
      <c r="C11310" t="s">
        <v>847</v>
      </c>
      <c r="D11310" t="s">
        <v>1091</v>
      </c>
      <c r="E11310" t="s">
        <v>1105</v>
      </c>
      <c r="F11310">
        <v>22015137.43999991</v>
      </c>
    </row>
    <row r="11311" spans="1:6">
      <c r="A11311" t="s">
        <v>13</v>
      </c>
      <c r="B11311" t="s">
        <v>112</v>
      </c>
      <c r="C11311" t="s">
        <v>847</v>
      </c>
      <c r="D11311" t="s">
        <v>1091</v>
      </c>
      <c r="E11311" t="s">
        <v>1038</v>
      </c>
      <c r="F11311" t="s">
        <v>1106</v>
      </c>
    </row>
    <row r="11312" spans="1:6">
      <c r="A11312" t="s">
        <v>13</v>
      </c>
      <c r="B11312" t="s">
        <v>112</v>
      </c>
      <c r="C11312" t="s">
        <v>847</v>
      </c>
      <c r="D11312" t="s">
        <v>1091</v>
      </c>
      <c r="E11312" t="s">
        <v>1039</v>
      </c>
      <c r="F11312">
        <v>49491955.92000037</v>
      </c>
    </row>
    <row r="11313" spans="1:6">
      <c r="A11313" t="s">
        <v>13</v>
      </c>
      <c r="B11313" t="s">
        <v>112</v>
      </c>
      <c r="C11313" t="s">
        <v>847</v>
      </c>
      <c r="D11313" t="s">
        <v>1091</v>
      </c>
      <c r="E11313" t="s">
        <v>1040</v>
      </c>
      <c r="F11313">
        <v>16537499.89999996</v>
      </c>
    </row>
    <row r="11314" spans="1:6">
      <c r="A11314" t="s">
        <v>13</v>
      </c>
      <c r="B11314" t="s">
        <v>112</v>
      </c>
      <c r="C11314" t="s">
        <v>847</v>
      </c>
      <c r="D11314" t="s">
        <v>1091</v>
      </c>
      <c r="E11314" t="s">
        <v>1041</v>
      </c>
      <c r="F11314">
        <v>22992011.05000043</v>
      </c>
    </row>
    <row r="11315" spans="1:6">
      <c r="A11315" t="s">
        <v>13</v>
      </c>
      <c r="B11315" t="s">
        <v>112</v>
      </c>
      <c r="C11315" t="s">
        <v>847</v>
      </c>
      <c r="D11315" t="s">
        <v>1091</v>
      </c>
      <c r="E11315" t="s">
        <v>1042</v>
      </c>
      <c r="F11315">
        <v>9962444.969999984</v>
      </c>
    </row>
    <row r="11316" spans="1:6">
      <c r="A11316" t="s">
        <v>13</v>
      </c>
      <c r="B11316" t="s">
        <v>112</v>
      </c>
      <c r="C11316" t="s">
        <v>847</v>
      </c>
      <c r="D11316" t="s">
        <v>1091</v>
      </c>
      <c r="E11316" t="s">
        <v>1052</v>
      </c>
      <c r="F11316" t="s">
        <v>1107</v>
      </c>
    </row>
    <row r="11317" spans="1:6">
      <c r="A11317" t="s">
        <v>13</v>
      </c>
      <c r="B11317" t="s">
        <v>112</v>
      </c>
      <c r="C11317" t="s">
        <v>847</v>
      </c>
      <c r="D11317" t="s">
        <v>1091</v>
      </c>
      <c r="E11317" t="s">
        <v>1053</v>
      </c>
      <c r="F11317">
        <v>43723983.03000039</v>
      </c>
    </row>
    <row r="11318" spans="1:6">
      <c r="A11318" t="s">
        <v>13</v>
      </c>
      <c r="B11318" t="s">
        <v>112</v>
      </c>
      <c r="C11318" t="s">
        <v>847</v>
      </c>
      <c r="D11318" t="s">
        <v>1091</v>
      </c>
      <c r="E11318" t="s">
        <v>1108</v>
      </c>
      <c r="F11318">
        <v>11342512.68</v>
      </c>
    </row>
    <row r="11319" spans="1:6">
      <c r="A11319" t="s">
        <v>13</v>
      </c>
      <c r="B11319" t="s">
        <v>112</v>
      </c>
      <c r="C11319" t="s">
        <v>847</v>
      </c>
      <c r="D11319" t="s">
        <v>1091</v>
      </c>
      <c r="E11319" t="s">
        <v>1109</v>
      </c>
      <c r="F11319">
        <v>22612303.8800004</v>
      </c>
    </row>
    <row r="11320" spans="1:6">
      <c r="A11320" t="s">
        <v>13</v>
      </c>
      <c r="B11320" t="s">
        <v>112</v>
      </c>
      <c r="C11320" t="s">
        <v>847</v>
      </c>
      <c r="D11320" t="s">
        <v>1091</v>
      </c>
      <c r="E11320" t="s">
        <v>1110</v>
      </c>
      <c r="F11320">
        <v>9769166.46999998</v>
      </c>
    </row>
    <row r="11321" spans="1:6">
      <c r="A11321" t="s">
        <v>13</v>
      </c>
      <c r="B11321" t="s">
        <v>112</v>
      </c>
      <c r="C11321" t="s">
        <v>847</v>
      </c>
      <c r="D11321" t="s">
        <v>1091</v>
      </c>
      <c r="E11321" t="s">
        <v>1521</v>
      </c>
      <c r="F11321" t="s">
        <v>1992</v>
      </c>
    </row>
    <row r="11322" spans="1:6">
      <c r="A11322" t="s">
        <v>13</v>
      </c>
      <c r="B11322" t="s">
        <v>112</v>
      </c>
      <c r="C11322" t="s">
        <v>847</v>
      </c>
      <c r="D11322" t="s">
        <v>1091</v>
      </c>
      <c r="E11322" t="s">
        <v>1111</v>
      </c>
      <c r="F11322" t="s">
        <v>1307</v>
      </c>
    </row>
    <row r="11323" spans="1:6">
      <c r="A11323" t="s">
        <v>13</v>
      </c>
      <c r="B11323" t="s">
        <v>112</v>
      </c>
      <c r="C11323" t="s">
        <v>847</v>
      </c>
      <c r="D11323" t="s">
        <v>1091</v>
      </c>
      <c r="E11323" t="s">
        <v>1113</v>
      </c>
      <c r="F11323">
        <v>4489640.28</v>
      </c>
    </row>
    <row r="11324" spans="1:6">
      <c r="A11324" t="s">
        <v>13</v>
      </c>
      <c r="B11324" t="s">
        <v>112</v>
      </c>
      <c r="C11324" t="s">
        <v>847</v>
      </c>
      <c r="D11324" t="s">
        <v>1091</v>
      </c>
      <c r="E11324" t="s">
        <v>1114</v>
      </c>
      <c r="F11324">
        <v>4489640.28</v>
      </c>
    </row>
    <row r="11325" spans="1:6">
      <c r="A11325" t="s">
        <v>13</v>
      </c>
      <c r="B11325" t="s">
        <v>112</v>
      </c>
      <c r="C11325" t="s">
        <v>847</v>
      </c>
      <c r="D11325" t="s">
        <v>1091</v>
      </c>
      <c r="E11325" t="s">
        <v>1115</v>
      </c>
      <c r="F11325">
        <v>0</v>
      </c>
    </row>
    <row r="11326" spans="1:6">
      <c r="A11326" t="s">
        <v>13</v>
      </c>
      <c r="B11326" t="s">
        <v>112</v>
      </c>
      <c r="C11326" t="s">
        <v>847</v>
      </c>
      <c r="D11326" t="s">
        <v>1091</v>
      </c>
      <c r="E11326" t="s">
        <v>1116</v>
      </c>
      <c r="F11326">
        <v>0</v>
      </c>
    </row>
    <row r="11327" spans="1:6">
      <c r="A11327" t="s">
        <v>13</v>
      </c>
      <c r="B11327" t="s">
        <v>112</v>
      </c>
      <c r="C11327" t="s">
        <v>847</v>
      </c>
      <c r="D11327" t="s">
        <v>1091</v>
      </c>
      <c r="E11327" t="s">
        <v>1857</v>
      </c>
      <c r="F11327" t="s">
        <v>1993</v>
      </c>
    </row>
    <row r="11328" spans="1:6">
      <c r="A11328" t="s">
        <v>13</v>
      </c>
      <c r="B11328" t="s">
        <v>112</v>
      </c>
      <c r="C11328" t="s">
        <v>847</v>
      </c>
      <c r="D11328" t="s">
        <v>1091</v>
      </c>
      <c r="E11328" t="s">
        <v>1054</v>
      </c>
      <c r="F11328" t="s">
        <v>1308</v>
      </c>
    </row>
    <row r="11329" spans="1:6">
      <c r="A11329" t="s">
        <v>13</v>
      </c>
      <c r="B11329" t="s">
        <v>112</v>
      </c>
      <c r="C11329" t="s">
        <v>847</v>
      </c>
      <c r="D11329" t="s">
        <v>1091</v>
      </c>
      <c r="E11329" t="s">
        <v>1118</v>
      </c>
      <c r="F11329">
        <v>1278332.609999992</v>
      </c>
    </row>
    <row r="11330" spans="1:6">
      <c r="A11330" t="s">
        <v>13</v>
      </c>
      <c r="B11330" t="s">
        <v>112</v>
      </c>
      <c r="C11330" t="s">
        <v>847</v>
      </c>
      <c r="D11330" t="s">
        <v>1091</v>
      </c>
      <c r="E11330" t="s">
        <v>1119</v>
      </c>
      <c r="F11330">
        <v>705346.939999964</v>
      </c>
    </row>
    <row r="11331" spans="1:6">
      <c r="A11331" t="s">
        <v>13</v>
      </c>
      <c r="B11331" t="s">
        <v>112</v>
      </c>
      <c r="C11331" t="s">
        <v>847</v>
      </c>
      <c r="D11331" t="s">
        <v>1091</v>
      </c>
      <c r="E11331" t="s">
        <v>1120</v>
      </c>
      <c r="F11331">
        <v>379707.170000025</v>
      </c>
    </row>
    <row r="11332" spans="1:6">
      <c r="A11332" t="s">
        <v>13</v>
      </c>
      <c r="B11332" t="s">
        <v>112</v>
      </c>
      <c r="C11332" t="s">
        <v>847</v>
      </c>
      <c r="D11332" t="s">
        <v>1091</v>
      </c>
      <c r="E11332" t="s">
        <v>1121</v>
      </c>
      <c r="F11332">
        <v>193278.500000003</v>
      </c>
    </row>
    <row r="11333" spans="1:6">
      <c r="A11333" t="s">
        <v>13</v>
      </c>
      <c r="B11333" t="s">
        <v>112</v>
      </c>
      <c r="C11333" t="s">
        <v>847</v>
      </c>
      <c r="D11333" t="s">
        <v>1091</v>
      </c>
      <c r="E11333" t="s">
        <v>1858</v>
      </c>
      <c r="F11333" t="s">
        <v>1994</v>
      </c>
    </row>
    <row r="11334" spans="1:6">
      <c r="A11334" t="s">
        <v>13</v>
      </c>
      <c r="B11334" t="s">
        <v>112</v>
      </c>
      <c r="C11334" t="s">
        <v>847</v>
      </c>
      <c r="D11334" t="s">
        <v>1091</v>
      </c>
      <c r="E11334" t="s">
        <v>1122</v>
      </c>
      <c r="F11334" t="s">
        <v>1123</v>
      </c>
    </row>
    <row r="11335" spans="1:6">
      <c r="A11335" t="s">
        <v>13</v>
      </c>
      <c r="B11335" t="s">
        <v>112</v>
      </c>
      <c r="C11335" t="s">
        <v>847</v>
      </c>
      <c r="D11335" t="s">
        <v>1091</v>
      </c>
      <c r="E11335" t="s">
        <v>1124</v>
      </c>
      <c r="F11335">
        <v>0.6135050623478262</v>
      </c>
    </row>
    <row r="11336" spans="1:6">
      <c r="A11336" t="s">
        <v>13</v>
      </c>
      <c r="B11336" t="s">
        <v>112</v>
      </c>
      <c r="C11336" t="s">
        <v>847</v>
      </c>
      <c r="D11336" t="s">
        <v>1091</v>
      </c>
      <c r="E11336" t="s">
        <v>1126</v>
      </c>
      <c r="F11336">
        <v>0.5832367770662666</v>
      </c>
    </row>
    <row r="11337" spans="1:6">
      <c r="A11337" t="s">
        <v>13</v>
      </c>
      <c r="B11337" t="s">
        <v>112</v>
      </c>
      <c r="C11337" t="s">
        <v>847</v>
      </c>
      <c r="D11337" t="s">
        <v>1091</v>
      </c>
      <c r="E11337" t="s">
        <v>1127</v>
      </c>
      <c r="F11337">
        <v>0.7587874926238776</v>
      </c>
    </row>
    <row r="11338" spans="1:6">
      <c r="A11338" t="s">
        <v>13</v>
      </c>
      <c r="B11338" t="s">
        <v>112</v>
      </c>
      <c r="C11338" t="s">
        <v>847</v>
      </c>
      <c r="D11338" t="s">
        <v>1091</v>
      </c>
      <c r="E11338" t="s">
        <v>1128</v>
      </c>
      <c r="F11338">
        <v>0.4525270395041434</v>
      </c>
    </row>
    <row r="11339" spans="1:6">
      <c r="A11339" t="s">
        <v>13</v>
      </c>
      <c r="B11339" t="s">
        <v>112</v>
      </c>
      <c r="C11339" t="s">
        <v>847</v>
      </c>
      <c r="D11339" t="s">
        <v>1091</v>
      </c>
      <c r="E11339" t="s">
        <v>1056</v>
      </c>
      <c r="F11339" t="s">
        <v>1130</v>
      </c>
    </row>
    <row r="11340" spans="1:6">
      <c r="A11340" t="s">
        <v>13</v>
      </c>
      <c r="B11340" t="s">
        <v>112</v>
      </c>
      <c r="C11340" t="s">
        <v>847</v>
      </c>
      <c r="D11340" t="s">
        <v>1091</v>
      </c>
      <c r="E11340" t="s">
        <v>1057</v>
      </c>
      <c r="F11340">
        <v>31178863.20999883</v>
      </c>
    </row>
    <row r="11341" spans="1:6">
      <c r="A11341" t="s">
        <v>13</v>
      </c>
      <c r="B11341" t="s">
        <v>112</v>
      </c>
      <c r="C11341" t="s">
        <v>847</v>
      </c>
      <c r="D11341" t="s">
        <v>1091</v>
      </c>
      <c r="E11341" t="s">
        <v>1058</v>
      </c>
      <c r="F11341">
        <v>11817193.33999953</v>
      </c>
    </row>
    <row r="11342" spans="1:6">
      <c r="A11342" t="s">
        <v>13</v>
      </c>
      <c r="B11342" t="s">
        <v>112</v>
      </c>
      <c r="C11342" t="s">
        <v>847</v>
      </c>
      <c r="D11342" t="s">
        <v>1091</v>
      </c>
      <c r="E11342" t="s">
        <v>1059</v>
      </c>
      <c r="F11342">
        <v>7308977.399999376</v>
      </c>
    </row>
    <row r="11343" spans="1:6">
      <c r="A11343" t="s">
        <v>13</v>
      </c>
      <c r="B11343" t="s">
        <v>112</v>
      </c>
      <c r="C11343" t="s">
        <v>847</v>
      </c>
      <c r="D11343" t="s">
        <v>1091</v>
      </c>
      <c r="E11343" t="s">
        <v>1060</v>
      </c>
      <c r="F11343">
        <v>12052692.46999992</v>
      </c>
    </row>
    <row r="11344" spans="1:6">
      <c r="A11344" t="s">
        <v>13</v>
      </c>
      <c r="B11344" t="s">
        <v>112</v>
      </c>
      <c r="C11344" t="s">
        <v>847</v>
      </c>
      <c r="D11344" t="s">
        <v>1091</v>
      </c>
      <c r="E11344" t="s">
        <v>1071</v>
      </c>
      <c r="F11344" t="s">
        <v>1131</v>
      </c>
    </row>
    <row r="11345" spans="1:6">
      <c r="A11345" t="s">
        <v>13</v>
      </c>
      <c r="B11345" t="s">
        <v>112</v>
      </c>
      <c r="C11345" t="s">
        <v>847</v>
      </c>
      <c r="D11345" t="s">
        <v>1091</v>
      </c>
      <c r="E11345" t="s">
        <v>1072</v>
      </c>
      <c r="F11345">
        <v>0.3864949376521739</v>
      </c>
    </row>
    <row r="11346" spans="1:6">
      <c r="A11346" t="s">
        <v>13</v>
      </c>
      <c r="B11346" t="s">
        <v>112</v>
      </c>
      <c r="C11346" t="s">
        <v>847</v>
      </c>
      <c r="D11346" t="s">
        <v>1091</v>
      </c>
      <c r="E11346" t="s">
        <v>1133</v>
      </c>
      <c r="F11346">
        <v>0.4167632229337334</v>
      </c>
    </row>
    <row r="11347" spans="1:6">
      <c r="A11347" t="s">
        <v>13</v>
      </c>
      <c r="B11347" t="s">
        <v>112</v>
      </c>
      <c r="C11347" t="s">
        <v>847</v>
      </c>
      <c r="D11347" t="s">
        <v>1091</v>
      </c>
      <c r="E11347" t="s">
        <v>1134</v>
      </c>
      <c r="F11347">
        <v>0.2412125073761224</v>
      </c>
    </row>
    <row r="11348" spans="1:6">
      <c r="A11348" t="s">
        <v>13</v>
      </c>
      <c r="B11348" t="s">
        <v>112</v>
      </c>
      <c r="C11348" t="s">
        <v>847</v>
      </c>
      <c r="D11348" t="s">
        <v>1091</v>
      </c>
      <c r="E11348" t="s">
        <v>1135</v>
      </c>
      <c r="F11348">
        <v>0.5474729604958567</v>
      </c>
    </row>
    <row r="11349" spans="1:6">
      <c r="A11349" t="s">
        <v>13</v>
      </c>
      <c r="B11349" t="s">
        <v>112</v>
      </c>
      <c r="C11349" t="s">
        <v>847</v>
      </c>
      <c r="D11349" t="s">
        <v>1091</v>
      </c>
      <c r="E11349" t="s">
        <v>1076</v>
      </c>
      <c r="F11349" t="s">
        <v>1137</v>
      </c>
    </row>
    <row r="11350" spans="1:6">
      <c r="A11350" t="s">
        <v>13</v>
      </c>
      <c r="B11350" t="s">
        <v>112</v>
      </c>
      <c r="C11350" t="s">
        <v>847</v>
      </c>
      <c r="D11350" t="s">
        <v>1091</v>
      </c>
      <c r="E11350" t="s">
        <v>1077</v>
      </c>
      <c r="F11350">
        <v>0</v>
      </c>
    </row>
    <row r="11351" spans="1:6">
      <c r="A11351" t="s">
        <v>13</v>
      </c>
      <c r="B11351" t="s">
        <v>112</v>
      </c>
      <c r="C11351" t="s">
        <v>847</v>
      </c>
      <c r="D11351" t="s">
        <v>1091</v>
      </c>
      <c r="E11351" t="s">
        <v>1078</v>
      </c>
      <c r="F11351">
        <v>0</v>
      </c>
    </row>
    <row r="11352" spans="1:6">
      <c r="A11352" t="s">
        <v>13</v>
      </c>
      <c r="B11352" t="s">
        <v>112</v>
      </c>
      <c r="C11352" t="s">
        <v>847</v>
      </c>
      <c r="D11352" t="s">
        <v>1091</v>
      </c>
      <c r="E11352" t="s">
        <v>1079</v>
      </c>
      <c r="F11352">
        <v>0</v>
      </c>
    </row>
    <row r="11353" spans="1:6">
      <c r="A11353" t="s">
        <v>13</v>
      </c>
      <c r="B11353" t="s">
        <v>112</v>
      </c>
      <c r="C11353" t="s">
        <v>847</v>
      </c>
      <c r="D11353" t="s">
        <v>1091</v>
      </c>
      <c r="E11353" t="s">
        <v>1090</v>
      </c>
      <c r="F11353" t="s">
        <v>1138</v>
      </c>
    </row>
    <row r="11354" spans="1:6">
      <c r="A11354" t="s">
        <v>13</v>
      </c>
      <c r="B11354" t="s">
        <v>112</v>
      </c>
      <c r="C11354" t="s">
        <v>847</v>
      </c>
      <c r="D11354" t="s">
        <v>1091</v>
      </c>
      <c r="E11354" t="s">
        <v>1139</v>
      </c>
      <c r="F11354">
        <v>-0.4167632229337334</v>
      </c>
    </row>
    <row r="11355" spans="1:6">
      <c r="A11355" t="s">
        <v>13</v>
      </c>
      <c r="B11355" t="s">
        <v>112</v>
      </c>
      <c r="C11355" t="s">
        <v>847</v>
      </c>
      <c r="D11355" t="s">
        <v>1091</v>
      </c>
      <c r="E11355" t="s">
        <v>1140</v>
      </c>
      <c r="F11355">
        <v>-0.2412125073761224</v>
      </c>
    </row>
    <row r="11356" spans="1:6">
      <c r="A11356" t="s">
        <v>13</v>
      </c>
      <c r="B11356" t="s">
        <v>112</v>
      </c>
      <c r="C11356" t="s">
        <v>847</v>
      </c>
      <c r="D11356" t="s">
        <v>1091</v>
      </c>
      <c r="E11356" t="s">
        <v>1141</v>
      </c>
      <c r="F11356">
        <v>-0.4412846761746536</v>
      </c>
    </row>
    <row r="11357" spans="1:6">
      <c r="A11357" t="s">
        <v>13</v>
      </c>
      <c r="B11357" t="s">
        <v>112</v>
      </c>
      <c r="C11357" t="s">
        <v>847</v>
      </c>
      <c r="D11357" t="s">
        <v>1091</v>
      </c>
      <c r="E11357" t="s">
        <v>1143</v>
      </c>
      <c r="F11357" t="s">
        <v>1144</v>
      </c>
    </row>
    <row r="11358" spans="1:6">
      <c r="A11358" t="s">
        <v>13</v>
      </c>
      <c r="B11358" t="s">
        <v>112</v>
      </c>
      <c r="C11358" t="s">
        <v>847</v>
      </c>
      <c r="D11358" t="s">
        <v>1091</v>
      </c>
      <c r="E11358" t="s">
        <v>1145</v>
      </c>
      <c r="F11358" t="s">
        <v>1146</v>
      </c>
    </row>
    <row r="11359" spans="1:6">
      <c r="A11359" t="s">
        <v>13</v>
      </c>
      <c r="B11359" t="s">
        <v>112</v>
      </c>
      <c r="C11359" t="s">
        <v>847</v>
      </c>
      <c r="D11359" t="s">
        <v>1091</v>
      </c>
      <c r="E11359" t="s">
        <v>1147</v>
      </c>
      <c r="F11359" t="s">
        <v>1148</v>
      </c>
    </row>
    <row r="11360" spans="1:6">
      <c r="A11360" t="s">
        <v>13</v>
      </c>
      <c r="B11360" t="s">
        <v>112</v>
      </c>
      <c r="C11360" t="s">
        <v>847</v>
      </c>
      <c r="D11360" t="s">
        <v>1091</v>
      </c>
      <c r="E11360" t="s">
        <v>1149</v>
      </c>
      <c r="F11360" t="s">
        <v>1150</v>
      </c>
    </row>
    <row r="11361" spans="1:6">
      <c r="A11361" t="s">
        <v>13</v>
      </c>
      <c r="B11361" t="s">
        <v>112</v>
      </c>
      <c r="C11361" t="s">
        <v>847</v>
      </c>
      <c r="D11361" t="s">
        <v>1091</v>
      </c>
      <c r="E11361" t="s">
        <v>1151</v>
      </c>
      <c r="F11361" t="s">
        <v>1009</v>
      </c>
    </row>
    <row r="11362" spans="1:6">
      <c r="A11362" t="s">
        <v>13</v>
      </c>
      <c r="B11362" t="s">
        <v>112</v>
      </c>
      <c r="C11362" t="s">
        <v>847</v>
      </c>
      <c r="D11362" t="s">
        <v>1091</v>
      </c>
      <c r="E11362" t="s">
        <v>1152</v>
      </c>
      <c r="F11362" t="s">
        <v>2927</v>
      </c>
    </row>
    <row r="11363" spans="1:6">
      <c r="A11363" t="s">
        <v>13</v>
      </c>
      <c r="B11363" t="s">
        <v>112</v>
      </c>
      <c r="C11363" t="s">
        <v>847</v>
      </c>
      <c r="D11363" t="s">
        <v>1091</v>
      </c>
      <c r="E11363" t="s">
        <v>1154</v>
      </c>
      <c r="F11363" t="s">
        <v>2928</v>
      </c>
    </row>
    <row r="11364" spans="1:6">
      <c r="A11364" t="s">
        <v>13</v>
      </c>
      <c r="B11364" t="s">
        <v>112</v>
      </c>
      <c r="C11364" t="s">
        <v>847</v>
      </c>
      <c r="D11364" t="s">
        <v>1091</v>
      </c>
      <c r="E11364" t="s">
        <v>1156</v>
      </c>
      <c r="F11364" t="s">
        <v>2929</v>
      </c>
    </row>
    <row r="11365" spans="1:6">
      <c r="A11365" t="s">
        <v>13</v>
      </c>
      <c r="B11365" t="s">
        <v>112</v>
      </c>
      <c r="C11365" t="s">
        <v>847</v>
      </c>
      <c r="D11365" t="s">
        <v>1091</v>
      </c>
      <c r="E11365" t="s">
        <v>1158</v>
      </c>
      <c r="F11365" t="s">
        <v>2930</v>
      </c>
    </row>
    <row r="11366" spans="1:6">
      <c r="A11366" t="s">
        <v>13</v>
      </c>
      <c r="B11366" t="s">
        <v>112</v>
      </c>
      <c r="C11366" t="s">
        <v>847</v>
      </c>
      <c r="D11366" t="s">
        <v>1091</v>
      </c>
      <c r="E11366" t="s">
        <v>1160</v>
      </c>
      <c r="F11366" t="s">
        <v>2931</v>
      </c>
    </row>
    <row r="11367" spans="1:6">
      <c r="A11367" t="s">
        <v>13</v>
      </c>
      <c r="B11367" t="s">
        <v>112</v>
      </c>
      <c r="C11367" t="s">
        <v>847</v>
      </c>
      <c r="D11367" t="s">
        <v>1091</v>
      </c>
      <c r="E11367" t="s">
        <v>1162</v>
      </c>
      <c r="F11367" t="s">
        <v>2932</v>
      </c>
    </row>
    <row r="11368" spans="1:6">
      <c r="A11368" t="s">
        <v>13</v>
      </c>
      <c r="B11368" t="s">
        <v>112</v>
      </c>
      <c r="C11368" t="s">
        <v>847</v>
      </c>
      <c r="D11368" t="s">
        <v>1091</v>
      </c>
      <c r="E11368" t="s">
        <v>1164</v>
      </c>
      <c r="F11368" t="s">
        <v>1165</v>
      </c>
    </row>
    <row r="11369" spans="1:6">
      <c r="A11369" t="s">
        <v>13</v>
      </c>
      <c r="B11369" t="s">
        <v>112</v>
      </c>
      <c r="C11369" t="s">
        <v>847</v>
      </c>
      <c r="D11369" t="s">
        <v>1091</v>
      </c>
      <c r="E11369" t="s">
        <v>1166</v>
      </c>
      <c r="F11369">
        <v>22015137.43999991</v>
      </c>
    </row>
    <row r="11370" spans="1:6">
      <c r="A11370" t="s">
        <v>13</v>
      </c>
      <c r="B11370" t="s">
        <v>112</v>
      </c>
      <c r="C11370" t="s">
        <v>847</v>
      </c>
      <c r="D11370" t="s">
        <v>1091</v>
      </c>
      <c r="E11370" t="s">
        <v>1167</v>
      </c>
      <c r="F11370">
        <v>4224061.329999999</v>
      </c>
    </row>
    <row r="11371" spans="1:6">
      <c r="A11371" t="s">
        <v>13</v>
      </c>
      <c r="B11371" t="s">
        <v>112</v>
      </c>
      <c r="C11371" t="s">
        <v>847</v>
      </c>
      <c r="D11371" t="s">
        <v>1091</v>
      </c>
      <c r="E11371" t="s">
        <v>1168</v>
      </c>
      <c r="F11371">
        <v>3862871.999999942</v>
      </c>
    </row>
    <row r="11372" spans="1:6">
      <c r="A11372" t="s">
        <v>13</v>
      </c>
      <c r="B11372" t="s">
        <v>112</v>
      </c>
      <c r="C11372" t="s">
        <v>847</v>
      </c>
      <c r="D11372" t="s">
        <v>1091</v>
      </c>
      <c r="E11372" t="s">
        <v>1169</v>
      </c>
      <c r="F11372">
        <v>3744649.509999959</v>
      </c>
    </row>
    <row r="11373" spans="1:6">
      <c r="A11373" t="s">
        <v>13</v>
      </c>
      <c r="B11373" t="s">
        <v>112</v>
      </c>
      <c r="C11373" t="s">
        <v>847</v>
      </c>
      <c r="D11373" t="s">
        <v>1091</v>
      </c>
      <c r="E11373" t="s">
        <v>1170</v>
      </c>
      <c r="F11373">
        <v>3967369.499999995</v>
      </c>
    </row>
    <row r="11374" spans="1:6">
      <c r="A11374" t="s">
        <v>13</v>
      </c>
      <c r="B11374" t="s">
        <v>112</v>
      </c>
      <c r="C11374" t="s">
        <v>847</v>
      </c>
      <c r="D11374" t="s">
        <v>1091</v>
      </c>
      <c r="E11374" t="s">
        <v>1171</v>
      </c>
      <c r="F11374">
        <v>3204444.210000011</v>
      </c>
    </row>
    <row r="11375" spans="1:6">
      <c r="A11375" t="s">
        <v>13</v>
      </c>
      <c r="B11375" t="s">
        <v>112</v>
      </c>
      <c r="C11375" t="s">
        <v>847</v>
      </c>
      <c r="D11375" t="s">
        <v>1091</v>
      </c>
      <c r="E11375" t="s">
        <v>1172</v>
      </c>
      <c r="F11375">
        <v>3011740.890000002</v>
      </c>
    </row>
    <row r="11376" spans="1:6">
      <c r="A11376" t="s">
        <v>13</v>
      </c>
      <c r="B11376" t="s">
        <v>112</v>
      </c>
      <c r="C11376" t="s">
        <v>847</v>
      </c>
      <c r="D11376" t="s">
        <v>1091</v>
      </c>
      <c r="E11376" t="s">
        <v>1173</v>
      </c>
      <c r="F11376" t="s">
        <v>1174</v>
      </c>
    </row>
    <row r="11377" spans="1:6">
      <c r="A11377" t="s">
        <v>13</v>
      </c>
      <c r="B11377" t="s">
        <v>112</v>
      </c>
      <c r="C11377" t="s">
        <v>847</v>
      </c>
      <c r="D11377" t="s">
        <v>1091</v>
      </c>
      <c r="E11377" t="s">
        <v>1175</v>
      </c>
      <c r="F11377">
        <v>114974</v>
      </c>
    </row>
    <row r="11378" spans="1:6">
      <c r="A11378" t="s">
        <v>13</v>
      </c>
      <c r="B11378" t="s">
        <v>112</v>
      </c>
      <c r="C11378" t="s">
        <v>847</v>
      </c>
      <c r="D11378" t="s">
        <v>1091</v>
      </c>
      <c r="E11378" t="s">
        <v>1176</v>
      </c>
      <c r="F11378">
        <v>24203</v>
      </c>
    </row>
    <row r="11379" spans="1:6">
      <c r="A11379" t="s">
        <v>13</v>
      </c>
      <c r="B11379" t="s">
        <v>112</v>
      </c>
      <c r="C11379" t="s">
        <v>847</v>
      </c>
      <c r="D11379" t="s">
        <v>1091</v>
      </c>
      <c r="E11379" t="s">
        <v>1177</v>
      </c>
      <c r="F11379">
        <v>19737</v>
      </c>
    </row>
    <row r="11380" spans="1:6">
      <c r="A11380" t="s">
        <v>13</v>
      </c>
      <c r="B11380" t="s">
        <v>112</v>
      </c>
      <c r="C11380" t="s">
        <v>847</v>
      </c>
      <c r="D11380" t="s">
        <v>1091</v>
      </c>
      <c r="E11380" t="s">
        <v>1178</v>
      </c>
      <c r="F11380">
        <v>19325</v>
      </c>
    </row>
    <row r="11381" spans="1:6">
      <c r="A11381" t="s">
        <v>13</v>
      </c>
      <c r="B11381" t="s">
        <v>112</v>
      </c>
      <c r="C11381" t="s">
        <v>847</v>
      </c>
      <c r="D11381" t="s">
        <v>1091</v>
      </c>
      <c r="E11381" t="s">
        <v>1179</v>
      </c>
      <c r="F11381">
        <v>20647</v>
      </c>
    </row>
    <row r="11382" spans="1:6">
      <c r="A11382" t="s">
        <v>13</v>
      </c>
      <c r="B11382" t="s">
        <v>112</v>
      </c>
      <c r="C11382" t="s">
        <v>847</v>
      </c>
      <c r="D11382" t="s">
        <v>1091</v>
      </c>
      <c r="E11382" t="s">
        <v>1180</v>
      </c>
      <c r="F11382">
        <v>15076</v>
      </c>
    </row>
    <row r="11383" spans="1:6">
      <c r="A11383" t="s">
        <v>13</v>
      </c>
      <c r="B11383" t="s">
        <v>112</v>
      </c>
      <c r="C11383" t="s">
        <v>847</v>
      </c>
      <c r="D11383" t="s">
        <v>1091</v>
      </c>
      <c r="E11383" t="s">
        <v>1181</v>
      </c>
      <c r="F11383">
        <v>15986</v>
      </c>
    </row>
    <row r="11384" spans="1:6">
      <c r="A11384" t="s">
        <v>13</v>
      </c>
      <c r="B11384" t="s">
        <v>112</v>
      </c>
      <c r="C11384" t="s">
        <v>847</v>
      </c>
      <c r="D11384" t="s">
        <v>1091</v>
      </c>
      <c r="E11384" t="s">
        <v>1182</v>
      </c>
      <c r="F11384" t="s">
        <v>1183</v>
      </c>
    </row>
    <row r="11385" spans="1:6">
      <c r="A11385" t="s">
        <v>13</v>
      </c>
      <c r="B11385" t="s">
        <v>112</v>
      </c>
      <c r="C11385" t="s">
        <v>847</v>
      </c>
      <c r="D11385" t="s">
        <v>1091</v>
      </c>
      <c r="E11385" t="s">
        <v>1184</v>
      </c>
      <c r="F11385">
        <v>9962444.970000006</v>
      </c>
    </row>
    <row r="11386" spans="1:6">
      <c r="A11386" t="s">
        <v>13</v>
      </c>
      <c r="B11386" t="s">
        <v>112</v>
      </c>
      <c r="C11386" t="s">
        <v>847</v>
      </c>
      <c r="D11386" t="s">
        <v>1091</v>
      </c>
      <c r="E11386" t="s">
        <v>1185</v>
      </c>
      <c r="F11386">
        <v>22298.12</v>
      </c>
    </row>
    <row r="11387" spans="1:6">
      <c r="A11387" t="s">
        <v>13</v>
      </c>
      <c r="B11387" t="s">
        <v>112</v>
      </c>
      <c r="C11387" t="s">
        <v>847</v>
      </c>
      <c r="D11387" t="s">
        <v>1091</v>
      </c>
      <c r="E11387" t="s">
        <v>1186</v>
      </c>
      <c r="F11387">
        <v>1652792.279999999</v>
      </c>
    </row>
    <row r="11388" spans="1:6">
      <c r="A11388" t="s">
        <v>13</v>
      </c>
      <c r="B11388" t="s">
        <v>112</v>
      </c>
      <c r="C11388" t="s">
        <v>847</v>
      </c>
      <c r="D11388" t="s">
        <v>1091</v>
      </c>
      <c r="E11388" t="s">
        <v>1187</v>
      </c>
      <c r="F11388">
        <v>1967116.390000001</v>
      </c>
    </row>
    <row r="11389" spans="1:6">
      <c r="A11389" t="s">
        <v>13</v>
      </c>
      <c r="B11389" t="s">
        <v>112</v>
      </c>
      <c r="C11389" t="s">
        <v>847</v>
      </c>
      <c r="D11389" t="s">
        <v>1091</v>
      </c>
      <c r="E11389" t="s">
        <v>1188</v>
      </c>
      <c r="F11389">
        <v>2266931.290000002</v>
      </c>
    </row>
    <row r="11390" spans="1:6">
      <c r="A11390" t="s">
        <v>13</v>
      </c>
      <c r="B11390" t="s">
        <v>112</v>
      </c>
      <c r="C11390" t="s">
        <v>847</v>
      </c>
      <c r="D11390" t="s">
        <v>1091</v>
      </c>
      <c r="E11390" t="s">
        <v>1189</v>
      </c>
      <c r="F11390">
        <v>2097653.880000003</v>
      </c>
    </row>
    <row r="11391" spans="1:6">
      <c r="A11391" t="s">
        <v>13</v>
      </c>
      <c r="B11391" t="s">
        <v>112</v>
      </c>
      <c r="C11391" t="s">
        <v>847</v>
      </c>
      <c r="D11391" t="s">
        <v>1091</v>
      </c>
      <c r="E11391" t="s">
        <v>1190</v>
      </c>
      <c r="F11391">
        <v>1955653.010000002</v>
      </c>
    </row>
    <row r="11392" spans="1:6">
      <c r="A11392" t="s">
        <v>13</v>
      </c>
      <c r="B11392" t="s">
        <v>112</v>
      </c>
      <c r="C11392" t="s">
        <v>847</v>
      </c>
      <c r="D11392" t="s">
        <v>1091</v>
      </c>
      <c r="E11392" t="s">
        <v>1191</v>
      </c>
      <c r="F11392" t="s">
        <v>1192</v>
      </c>
    </row>
    <row r="11393" spans="1:6">
      <c r="A11393" t="s">
        <v>13</v>
      </c>
      <c r="B11393" t="s">
        <v>112</v>
      </c>
      <c r="C11393" t="s">
        <v>847</v>
      </c>
      <c r="D11393" t="s">
        <v>1091</v>
      </c>
      <c r="E11393" t="s">
        <v>1193</v>
      </c>
      <c r="F11393">
        <v>7621</v>
      </c>
    </row>
    <row r="11394" spans="1:6">
      <c r="A11394" t="s">
        <v>13</v>
      </c>
      <c r="B11394" t="s">
        <v>112</v>
      </c>
      <c r="C11394" t="s">
        <v>847</v>
      </c>
      <c r="D11394" t="s">
        <v>1091</v>
      </c>
      <c r="E11394" t="s">
        <v>1194</v>
      </c>
      <c r="F11394">
        <v>11973</v>
      </c>
    </row>
    <row r="11395" spans="1:6">
      <c r="A11395" t="s">
        <v>13</v>
      </c>
      <c r="B11395" t="s">
        <v>112</v>
      </c>
      <c r="C11395" t="s">
        <v>847</v>
      </c>
      <c r="D11395" t="s">
        <v>1091</v>
      </c>
      <c r="E11395" t="s">
        <v>1195</v>
      </c>
      <c r="F11395">
        <v>14193</v>
      </c>
    </row>
    <row r="11396" spans="1:6">
      <c r="A11396" t="s">
        <v>13</v>
      </c>
      <c r="B11396" t="s">
        <v>112</v>
      </c>
      <c r="C11396" t="s">
        <v>847</v>
      </c>
      <c r="D11396" t="s">
        <v>1091</v>
      </c>
      <c r="E11396" t="s">
        <v>1196</v>
      </c>
      <c r="F11396">
        <v>16381</v>
      </c>
    </row>
    <row r="11397" spans="1:6">
      <c r="A11397" t="s">
        <v>13</v>
      </c>
      <c r="B11397" t="s">
        <v>112</v>
      </c>
      <c r="C11397" t="s">
        <v>847</v>
      </c>
      <c r="D11397" t="s">
        <v>1091</v>
      </c>
      <c r="E11397" t="s">
        <v>1197</v>
      </c>
      <c r="F11397">
        <v>12514</v>
      </c>
    </row>
    <row r="11398" spans="1:6">
      <c r="A11398" t="s">
        <v>13</v>
      </c>
      <c r="B11398" t="s">
        <v>112</v>
      </c>
      <c r="C11398" t="s">
        <v>847</v>
      </c>
      <c r="D11398" t="s">
        <v>1091</v>
      </c>
      <c r="E11398" t="s">
        <v>1198</v>
      </c>
      <c r="F11398">
        <v>13668</v>
      </c>
    </row>
    <row r="11399" spans="1:6">
      <c r="A11399" t="s">
        <v>13</v>
      </c>
      <c r="B11399" t="s">
        <v>112</v>
      </c>
      <c r="C11399" t="s">
        <v>847</v>
      </c>
      <c r="D11399" t="s">
        <v>1091</v>
      </c>
      <c r="E11399" t="s">
        <v>1199</v>
      </c>
      <c r="F11399" t="s">
        <v>1200</v>
      </c>
    </row>
    <row r="11400" spans="1:6">
      <c r="A11400" t="s">
        <v>13</v>
      </c>
      <c r="B11400" t="s">
        <v>112</v>
      </c>
      <c r="C11400" t="s">
        <v>847</v>
      </c>
      <c r="D11400" t="s">
        <v>1091</v>
      </c>
      <c r="E11400" t="s">
        <v>1201</v>
      </c>
      <c r="F11400" t="s">
        <v>1107</v>
      </c>
    </row>
    <row r="11401" spans="1:6">
      <c r="A11401" t="s">
        <v>13</v>
      </c>
      <c r="B11401" t="s">
        <v>112</v>
      </c>
      <c r="C11401" t="s">
        <v>847</v>
      </c>
      <c r="D11401" t="s">
        <v>1091</v>
      </c>
      <c r="E11401" t="s">
        <v>1202</v>
      </c>
      <c r="F11401">
        <v>9769166.470000006</v>
      </c>
    </row>
    <row r="11402" spans="1:6">
      <c r="A11402" t="s">
        <v>13</v>
      </c>
      <c r="B11402" t="s">
        <v>112</v>
      </c>
      <c r="C11402" t="s">
        <v>847</v>
      </c>
      <c r="D11402" t="s">
        <v>1091</v>
      </c>
      <c r="E11402" t="s">
        <v>1203</v>
      </c>
      <c r="F11402">
        <v>0</v>
      </c>
    </row>
    <row r="11403" spans="1:6">
      <c r="A11403" t="s">
        <v>13</v>
      </c>
      <c r="B11403" t="s">
        <v>112</v>
      </c>
      <c r="C11403" t="s">
        <v>847</v>
      </c>
      <c r="D11403" t="s">
        <v>1091</v>
      </c>
      <c r="E11403" t="s">
        <v>1204</v>
      </c>
      <c r="F11403">
        <v>1629996.219999999</v>
      </c>
    </row>
    <row r="11404" spans="1:6">
      <c r="A11404" t="s">
        <v>13</v>
      </c>
      <c r="B11404" t="s">
        <v>112</v>
      </c>
      <c r="C11404" t="s">
        <v>847</v>
      </c>
      <c r="D11404" t="s">
        <v>1091</v>
      </c>
      <c r="E11404" t="s">
        <v>1205</v>
      </c>
      <c r="F11404">
        <v>1934850.760000001</v>
      </c>
    </row>
    <row r="11405" spans="1:6">
      <c r="A11405" t="s">
        <v>13</v>
      </c>
      <c r="B11405" t="s">
        <v>112</v>
      </c>
      <c r="C11405" t="s">
        <v>847</v>
      </c>
      <c r="D11405" t="s">
        <v>1091</v>
      </c>
      <c r="E11405" t="s">
        <v>1206</v>
      </c>
      <c r="F11405">
        <v>2223180.750000002</v>
      </c>
    </row>
    <row r="11406" spans="1:6">
      <c r="A11406" t="s">
        <v>13</v>
      </c>
      <c r="B11406" t="s">
        <v>112</v>
      </c>
      <c r="C11406" t="s">
        <v>847</v>
      </c>
      <c r="D11406" t="s">
        <v>1091</v>
      </c>
      <c r="E11406" t="s">
        <v>1207</v>
      </c>
      <c r="F11406">
        <v>2062472.940000003</v>
      </c>
    </row>
    <row r="11407" spans="1:6">
      <c r="A11407" t="s">
        <v>13</v>
      </c>
      <c r="B11407" t="s">
        <v>112</v>
      </c>
      <c r="C11407" t="s">
        <v>847</v>
      </c>
      <c r="D11407" t="s">
        <v>1091</v>
      </c>
      <c r="E11407" t="s">
        <v>1208</v>
      </c>
      <c r="F11407">
        <v>1918665.800000001</v>
      </c>
    </row>
    <row r="11408" spans="1:6">
      <c r="A11408" t="s">
        <v>13</v>
      </c>
      <c r="B11408" t="s">
        <v>112</v>
      </c>
      <c r="C11408" t="s">
        <v>847</v>
      </c>
      <c r="D11408" t="s">
        <v>1091</v>
      </c>
      <c r="E11408" t="s">
        <v>1209</v>
      </c>
      <c r="F11408" t="s">
        <v>1307</v>
      </c>
    </row>
    <row r="11409" spans="1:6">
      <c r="A11409" t="s">
        <v>13</v>
      </c>
      <c r="B11409" t="s">
        <v>112</v>
      </c>
      <c r="C11409" t="s">
        <v>847</v>
      </c>
      <c r="D11409" t="s">
        <v>1091</v>
      </c>
      <c r="E11409" t="s">
        <v>1210</v>
      </c>
      <c r="F11409">
        <v>0</v>
      </c>
    </row>
    <row r="11410" spans="1:6">
      <c r="A11410" t="s">
        <v>13</v>
      </c>
      <c r="B11410" t="s">
        <v>112</v>
      </c>
      <c r="C11410" t="s">
        <v>847</v>
      </c>
      <c r="D11410" t="s">
        <v>1091</v>
      </c>
      <c r="E11410" t="s">
        <v>1211</v>
      </c>
      <c r="F11410">
        <v>0</v>
      </c>
    </row>
    <row r="11411" spans="1:6">
      <c r="A11411" t="s">
        <v>13</v>
      </c>
      <c r="B11411" t="s">
        <v>112</v>
      </c>
      <c r="C11411" t="s">
        <v>847</v>
      </c>
      <c r="D11411" t="s">
        <v>1091</v>
      </c>
      <c r="E11411" t="s">
        <v>1212</v>
      </c>
      <c r="F11411">
        <v>0</v>
      </c>
    </row>
    <row r="11412" spans="1:6">
      <c r="A11412" t="s">
        <v>13</v>
      </c>
      <c r="B11412" t="s">
        <v>112</v>
      </c>
      <c r="C11412" t="s">
        <v>847</v>
      </c>
      <c r="D11412" t="s">
        <v>1091</v>
      </c>
      <c r="E11412" t="s">
        <v>1213</v>
      </c>
      <c r="F11412">
        <v>0</v>
      </c>
    </row>
    <row r="11413" spans="1:6">
      <c r="A11413" t="s">
        <v>13</v>
      </c>
      <c r="B11413" t="s">
        <v>112</v>
      </c>
      <c r="C11413" t="s">
        <v>847</v>
      </c>
      <c r="D11413" t="s">
        <v>1091</v>
      </c>
      <c r="E11413" t="s">
        <v>1214</v>
      </c>
      <c r="F11413">
        <v>0</v>
      </c>
    </row>
    <row r="11414" spans="1:6">
      <c r="A11414" t="s">
        <v>13</v>
      </c>
      <c r="B11414" t="s">
        <v>112</v>
      </c>
      <c r="C11414" t="s">
        <v>847</v>
      </c>
      <c r="D11414" t="s">
        <v>1091</v>
      </c>
      <c r="E11414" t="s">
        <v>1215</v>
      </c>
      <c r="F11414">
        <v>0</v>
      </c>
    </row>
    <row r="11415" spans="1:6">
      <c r="A11415" t="s">
        <v>13</v>
      </c>
      <c r="B11415" t="s">
        <v>112</v>
      </c>
      <c r="C11415" t="s">
        <v>847</v>
      </c>
      <c r="D11415" t="s">
        <v>1091</v>
      </c>
      <c r="E11415" t="s">
        <v>1216</v>
      </c>
      <c r="F11415">
        <v>0</v>
      </c>
    </row>
    <row r="11416" spans="1:6">
      <c r="A11416" t="s">
        <v>13</v>
      </c>
      <c r="B11416" t="s">
        <v>112</v>
      </c>
      <c r="C11416" t="s">
        <v>847</v>
      </c>
      <c r="D11416" t="s">
        <v>1091</v>
      </c>
      <c r="E11416" t="s">
        <v>1217</v>
      </c>
      <c r="F11416" t="s">
        <v>1308</v>
      </c>
    </row>
    <row r="11417" spans="1:6">
      <c r="A11417" t="s">
        <v>13</v>
      </c>
      <c r="B11417" t="s">
        <v>112</v>
      </c>
      <c r="C11417" t="s">
        <v>847</v>
      </c>
      <c r="D11417" t="s">
        <v>1091</v>
      </c>
      <c r="E11417" t="s">
        <v>1218</v>
      </c>
      <c r="F11417">
        <v>193278.4999999998</v>
      </c>
    </row>
    <row r="11418" spans="1:6">
      <c r="A11418" t="s">
        <v>13</v>
      </c>
      <c r="B11418" t="s">
        <v>112</v>
      </c>
      <c r="C11418" t="s">
        <v>847</v>
      </c>
      <c r="D11418" t="s">
        <v>1091</v>
      </c>
      <c r="E11418" t="s">
        <v>1219</v>
      </c>
      <c r="F11418">
        <v>22298.12</v>
      </c>
    </row>
    <row r="11419" spans="1:6">
      <c r="A11419" t="s">
        <v>13</v>
      </c>
      <c r="B11419" t="s">
        <v>112</v>
      </c>
      <c r="C11419" t="s">
        <v>847</v>
      </c>
      <c r="D11419" t="s">
        <v>1091</v>
      </c>
      <c r="E11419" t="s">
        <v>1220</v>
      </c>
      <c r="F11419">
        <v>22796.06000000011</v>
      </c>
    </row>
    <row r="11420" spans="1:6">
      <c r="A11420" t="s">
        <v>13</v>
      </c>
      <c r="B11420" t="s">
        <v>112</v>
      </c>
      <c r="C11420" t="s">
        <v>847</v>
      </c>
      <c r="D11420" t="s">
        <v>1091</v>
      </c>
      <c r="E11420" t="s">
        <v>1221</v>
      </c>
      <c r="F11420">
        <v>32265.62999999982</v>
      </c>
    </row>
    <row r="11421" spans="1:6">
      <c r="A11421" t="s">
        <v>13</v>
      </c>
      <c r="B11421" t="s">
        <v>112</v>
      </c>
      <c r="C11421" t="s">
        <v>847</v>
      </c>
      <c r="D11421" t="s">
        <v>1091</v>
      </c>
      <c r="E11421" t="s">
        <v>1222</v>
      </c>
      <c r="F11421">
        <v>43750.53999999986</v>
      </c>
    </row>
    <row r="11422" spans="1:6">
      <c r="A11422" t="s">
        <v>13</v>
      </c>
      <c r="B11422" t="s">
        <v>112</v>
      </c>
      <c r="C11422" t="s">
        <v>847</v>
      </c>
      <c r="D11422" t="s">
        <v>1091</v>
      </c>
      <c r="E11422" t="s">
        <v>1223</v>
      </c>
      <c r="F11422">
        <v>35180.93999999989</v>
      </c>
    </row>
    <row r="11423" spans="1:6">
      <c r="A11423" t="s">
        <v>13</v>
      </c>
      <c r="B11423" t="s">
        <v>112</v>
      </c>
      <c r="C11423" t="s">
        <v>847</v>
      </c>
      <c r="D11423" t="s">
        <v>1091</v>
      </c>
      <c r="E11423" t="s">
        <v>1224</v>
      </c>
      <c r="F11423">
        <v>36987.21000000012</v>
      </c>
    </row>
    <row r="11424" spans="1:6">
      <c r="A11424" t="s">
        <v>13</v>
      </c>
      <c r="B11424" t="s">
        <v>112</v>
      </c>
      <c r="C11424" t="s">
        <v>847</v>
      </c>
      <c r="D11424" t="s">
        <v>1091</v>
      </c>
      <c r="E11424" t="s">
        <v>1225</v>
      </c>
      <c r="F11424" t="s">
        <v>1226</v>
      </c>
    </row>
    <row r="11425" spans="1:6">
      <c r="A11425" t="s">
        <v>13</v>
      </c>
      <c r="B11425" t="s">
        <v>112</v>
      </c>
      <c r="C11425" t="s">
        <v>847</v>
      </c>
      <c r="D11425" t="s">
        <v>1091</v>
      </c>
      <c r="E11425" t="s">
        <v>1227</v>
      </c>
      <c r="F11425">
        <v>0.005278834339273194</v>
      </c>
    </row>
    <row r="11426" spans="1:6">
      <c r="A11426" t="s">
        <v>13</v>
      </c>
      <c r="B11426" t="s">
        <v>112</v>
      </c>
      <c r="C11426" t="s">
        <v>847</v>
      </c>
      <c r="D11426" t="s">
        <v>1091</v>
      </c>
      <c r="E11426" t="s">
        <v>1228</v>
      </c>
      <c r="F11426">
        <v>0.4278661783253558</v>
      </c>
    </row>
    <row r="11427" spans="1:6">
      <c r="A11427" t="s">
        <v>13</v>
      </c>
      <c r="B11427" t="s">
        <v>112</v>
      </c>
      <c r="C11427" t="s">
        <v>847</v>
      </c>
      <c r="D11427" t="s">
        <v>1091</v>
      </c>
      <c r="E11427" t="s">
        <v>1230</v>
      </c>
      <c r="F11427">
        <v>0.5253138871199784</v>
      </c>
    </row>
    <row r="11428" spans="1:6">
      <c r="A11428" t="s">
        <v>13</v>
      </c>
      <c r="B11428" t="s">
        <v>112</v>
      </c>
      <c r="C11428" t="s">
        <v>847</v>
      </c>
      <c r="D11428" t="s">
        <v>1091</v>
      </c>
      <c r="E11428" t="s">
        <v>1231</v>
      </c>
      <c r="F11428">
        <v>0.5713940408121817</v>
      </c>
    </row>
    <row r="11429" spans="1:6">
      <c r="A11429" t="s">
        <v>13</v>
      </c>
      <c r="B11429" t="s">
        <v>112</v>
      </c>
      <c r="C11429" t="s">
        <v>847</v>
      </c>
      <c r="D11429" t="s">
        <v>1091</v>
      </c>
      <c r="E11429" t="s">
        <v>1233</v>
      </c>
      <c r="F11429">
        <v>0.6546077080867623</v>
      </c>
    </row>
    <row r="11430" spans="1:6">
      <c r="A11430" t="s">
        <v>13</v>
      </c>
      <c r="B11430" t="s">
        <v>112</v>
      </c>
      <c r="C11430" t="s">
        <v>847</v>
      </c>
      <c r="D11430" t="s">
        <v>1091</v>
      </c>
      <c r="E11430" t="s">
        <v>1234</v>
      </c>
      <c r="F11430">
        <v>0.6493430482328113</v>
      </c>
    </row>
    <row r="11431" spans="1:6">
      <c r="A11431" t="s">
        <v>13</v>
      </c>
      <c r="B11431" t="s">
        <v>112</v>
      </c>
      <c r="C11431" t="s">
        <v>847</v>
      </c>
      <c r="D11431" t="s">
        <v>1091</v>
      </c>
      <c r="E11431" t="s">
        <v>1235</v>
      </c>
      <c r="F11431" t="s">
        <v>1236</v>
      </c>
    </row>
    <row r="11432" spans="1:6">
      <c r="A11432" t="s">
        <v>13</v>
      </c>
      <c r="B11432" t="s">
        <v>112</v>
      </c>
      <c r="C11432" t="s">
        <v>847</v>
      </c>
      <c r="D11432" t="s">
        <v>1091</v>
      </c>
      <c r="E11432" t="s">
        <v>1237</v>
      </c>
      <c r="F11432">
        <v>0.3148783208693137</v>
      </c>
    </row>
    <row r="11433" spans="1:6">
      <c r="A11433" t="s">
        <v>13</v>
      </c>
      <c r="B11433" t="s">
        <v>112</v>
      </c>
      <c r="C11433" t="s">
        <v>847</v>
      </c>
      <c r="D11433" t="s">
        <v>1091</v>
      </c>
      <c r="E11433" t="s">
        <v>1238</v>
      </c>
      <c r="F11433">
        <v>0.6066271469828242</v>
      </c>
    </row>
    <row r="11434" spans="1:6">
      <c r="A11434" t="s">
        <v>13</v>
      </c>
      <c r="B11434" t="s">
        <v>112</v>
      </c>
      <c r="C11434" t="s">
        <v>847</v>
      </c>
      <c r="D11434" t="s">
        <v>1091</v>
      </c>
      <c r="E11434" t="s">
        <v>1240</v>
      </c>
      <c r="F11434">
        <v>0.7344372574385511</v>
      </c>
    </row>
    <row r="11435" spans="1:6">
      <c r="A11435" t="s">
        <v>13</v>
      </c>
      <c r="B11435" t="s">
        <v>112</v>
      </c>
      <c r="C11435" t="s">
        <v>847</v>
      </c>
      <c r="D11435" t="s">
        <v>1091</v>
      </c>
      <c r="E11435" t="s">
        <v>1241</v>
      </c>
      <c r="F11435">
        <v>0.7933840267351189</v>
      </c>
    </row>
    <row r="11436" spans="1:6">
      <c r="A11436" t="s">
        <v>13</v>
      </c>
      <c r="B11436" t="s">
        <v>112</v>
      </c>
      <c r="C11436" t="s">
        <v>847</v>
      </c>
      <c r="D11436" t="s">
        <v>1091</v>
      </c>
      <c r="E11436" t="s">
        <v>1243</v>
      </c>
      <c r="F11436">
        <v>0.8300610241443354</v>
      </c>
    </row>
    <row r="11437" spans="1:6">
      <c r="A11437" t="s">
        <v>13</v>
      </c>
      <c r="B11437" t="s">
        <v>112</v>
      </c>
      <c r="C11437" t="s">
        <v>847</v>
      </c>
      <c r="D11437" t="s">
        <v>1091</v>
      </c>
      <c r="E11437" t="s">
        <v>1244</v>
      </c>
      <c r="F11437">
        <v>0.8549981233579382</v>
      </c>
    </row>
    <row r="11438" spans="1:6">
      <c r="A11438" t="s">
        <v>13</v>
      </c>
      <c r="B11438" t="s">
        <v>112</v>
      </c>
      <c r="C11438" t="s">
        <v>847</v>
      </c>
      <c r="D11438" t="s">
        <v>1091</v>
      </c>
      <c r="E11438" t="s">
        <v>1245</v>
      </c>
      <c r="F11438" t="s">
        <v>1246</v>
      </c>
    </row>
    <row r="11439" spans="1:6">
      <c r="A11439" t="s">
        <v>13</v>
      </c>
      <c r="B11439" t="s">
        <v>112</v>
      </c>
      <c r="C11439" t="s">
        <v>847</v>
      </c>
      <c r="D11439" t="s">
        <v>1091</v>
      </c>
      <c r="E11439" t="s">
        <v>1247</v>
      </c>
      <c r="F11439">
        <v>12052692.4699999</v>
      </c>
    </row>
    <row r="11440" spans="1:6">
      <c r="A11440" t="s">
        <v>13</v>
      </c>
      <c r="B11440" t="s">
        <v>112</v>
      </c>
      <c r="C11440" t="s">
        <v>847</v>
      </c>
      <c r="D11440" t="s">
        <v>1091</v>
      </c>
      <c r="E11440" t="s">
        <v>1248</v>
      </c>
      <c r="F11440">
        <v>4201763.209999999</v>
      </c>
    </row>
    <row r="11441" spans="1:6">
      <c r="A11441" t="s">
        <v>13</v>
      </c>
      <c r="B11441" t="s">
        <v>112</v>
      </c>
      <c r="C11441" t="s">
        <v>847</v>
      </c>
      <c r="D11441" t="s">
        <v>1091</v>
      </c>
      <c r="E11441" t="s">
        <v>1249</v>
      </c>
      <c r="F11441">
        <v>2210079.719999943</v>
      </c>
    </row>
    <row r="11442" spans="1:6">
      <c r="A11442" t="s">
        <v>13</v>
      </c>
      <c r="B11442" t="s">
        <v>112</v>
      </c>
      <c r="C11442" t="s">
        <v>847</v>
      </c>
      <c r="D11442" t="s">
        <v>1091</v>
      </c>
      <c r="E11442" t="s">
        <v>1250</v>
      </c>
      <c r="F11442">
        <v>1777533.119999958</v>
      </c>
    </row>
    <row r="11443" spans="1:6">
      <c r="A11443" t="s">
        <v>13</v>
      </c>
      <c r="B11443" t="s">
        <v>112</v>
      </c>
      <c r="C11443" t="s">
        <v>847</v>
      </c>
      <c r="D11443" t="s">
        <v>1091</v>
      </c>
      <c r="E11443" t="s">
        <v>1251</v>
      </c>
      <c r="F11443">
        <v>1700438.209999993</v>
      </c>
    </row>
    <row r="11444" spans="1:6">
      <c r="A11444" t="s">
        <v>13</v>
      </c>
      <c r="B11444" t="s">
        <v>112</v>
      </c>
      <c r="C11444" t="s">
        <v>847</v>
      </c>
      <c r="D11444" t="s">
        <v>1091</v>
      </c>
      <c r="E11444" t="s">
        <v>1252</v>
      </c>
      <c r="F11444">
        <v>1106790.330000008</v>
      </c>
    </row>
    <row r="11445" spans="1:6">
      <c r="A11445" t="s">
        <v>13</v>
      </c>
      <c r="B11445" t="s">
        <v>112</v>
      </c>
      <c r="C11445" t="s">
        <v>847</v>
      </c>
      <c r="D11445" t="s">
        <v>1091</v>
      </c>
      <c r="E11445" t="s">
        <v>1253</v>
      </c>
      <c r="F11445">
        <v>1056087.880000001</v>
      </c>
    </row>
    <row r="11446" spans="1:6">
      <c r="A11446" t="s">
        <v>13</v>
      </c>
      <c r="B11446" t="s">
        <v>112</v>
      </c>
      <c r="C11446" t="s">
        <v>847</v>
      </c>
      <c r="D11446" t="s">
        <v>1091</v>
      </c>
      <c r="E11446" t="s">
        <v>1254</v>
      </c>
      <c r="F11446" t="s">
        <v>1255</v>
      </c>
    </row>
    <row r="11447" spans="1:6">
      <c r="A11447" t="s">
        <v>13</v>
      </c>
      <c r="B11447" t="s">
        <v>112</v>
      </c>
      <c r="C11447" t="s">
        <v>847</v>
      </c>
      <c r="D11447" t="s">
        <v>1091</v>
      </c>
      <c r="E11447" t="s">
        <v>1256</v>
      </c>
      <c r="F11447">
        <v>38624</v>
      </c>
    </row>
    <row r="11448" spans="1:6">
      <c r="A11448" t="s">
        <v>13</v>
      </c>
      <c r="B11448" t="s">
        <v>112</v>
      </c>
      <c r="C11448" t="s">
        <v>847</v>
      </c>
      <c r="D11448" t="s">
        <v>1091</v>
      </c>
      <c r="E11448" t="s">
        <v>1257</v>
      </c>
      <c r="F11448">
        <v>16582</v>
      </c>
    </row>
    <row r="11449" spans="1:6">
      <c r="A11449" t="s">
        <v>13</v>
      </c>
      <c r="B11449" t="s">
        <v>112</v>
      </c>
      <c r="C11449" t="s">
        <v>847</v>
      </c>
      <c r="D11449" t="s">
        <v>1091</v>
      </c>
      <c r="E11449" t="s">
        <v>1258</v>
      </c>
      <c r="F11449">
        <v>7764</v>
      </c>
    </row>
    <row r="11450" spans="1:6">
      <c r="A11450" t="s">
        <v>13</v>
      </c>
      <c r="B11450" t="s">
        <v>112</v>
      </c>
      <c r="C11450" t="s">
        <v>847</v>
      </c>
      <c r="D11450" t="s">
        <v>1091</v>
      </c>
      <c r="E11450" t="s">
        <v>1259</v>
      </c>
      <c r="F11450">
        <v>5132</v>
      </c>
    </row>
    <row r="11451" spans="1:6">
      <c r="A11451" t="s">
        <v>13</v>
      </c>
      <c r="B11451" t="s">
        <v>112</v>
      </c>
      <c r="C11451" t="s">
        <v>847</v>
      </c>
      <c r="D11451" t="s">
        <v>1091</v>
      </c>
      <c r="E11451" t="s">
        <v>1260</v>
      </c>
      <c r="F11451">
        <v>4266</v>
      </c>
    </row>
    <row r="11452" spans="1:6">
      <c r="A11452" t="s">
        <v>13</v>
      </c>
      <c r="B11452" t="s">
        <v>112</v>
      </c>
      <c r="C11452" t="s">
        <v>847</v>
      </c>
      <c r="D11452" t="s">
        <v>1091</v>
      </c>
      <c r="E11452" t="s">
        <v>1261</v>
      </c>
      <c r="F11452">
        <v>2562</v>
      </c>
    </row>
    <row r="11453" spans="1:6">
      <c r="A11453" t="s">
        <v>13</v>
      </c>
      <c r="B11453" t="s">
        <v>112</v>
      </c>
      <c r="C11453" t="s">
        <v>847</v>
      </c>
      <c r="D11453" t="s">
        <v>1091</v>
      </c>
      <c r="E11453" t="s">
        <v>1262</v>
      </c>
      <c r="F11453">
        <v>2318</v>
      </c>
    </row>
    <row r="11454" spans="1:6">
      <c r="A11454" t="s">
        <v>13</v>
      </c>
      <c r="B11454" t="s">
        <v>112</v>
      </c>
      <c r="C11454" t="s">
        <v>847</v>
      </c>
      <c r="D11454" t="s">
        <v>1091</v>
      </c>
      <c r="E11454" t="s">
        <v>1263</v>
      </c>
      <c r="F11454" t="s">
        <v>1131</v>
      </c>
    </row>
    <row r="11455" spans="1:6">
      <c r="A11455" t="s">
        <v>13</v>
      </c>
      <c r="B11455" t="s">
        <v>112</v>
      </c>
      <c r="C11455" t="s">
        <v>847</v>
      </c>
      <c r="D11455" t="s">
        <v>1091</v>
      </c>
      <c r="E11455" t="s">
        <v>1264</v>
      </c>
      <c r="F11455">
        <v>0.5474729604958556</v>
      </c>
    </row>
    <row r="11456" spans="1:6">
      <c r="A11456" t="s">
        <v>13</v>
      </c>
      <c r="B11456" t="s">
        <v>112</v>
      </c>
      <c r="C11456" t="s">
        <v>847</v>
      </c>
      <c r="D11456" t="s">
        <v>1091</v>
      </c>
      <c r="E11456" t="s">
        <v>1265</v>
      </c>
      <c r="F11456">
        <v>0.9947211656607268</v>
      </c>
    </row>
    <row r="11457" spans="1:6">
      <c r="A11457" t="s">
        <v>13</v>
      </c>
      <c r="B11457" t="s">
        <v>112</v>
      </c>
      <c r="C11457" t="s">
        <v>847</v>
      </c>
      <c r="D11457" t="s">
        <v>1091</v>
      </c>
      <c r="E11457" t="s">
        <v>1266</v>
      </c>
      <c r="F11457">
        <v>0.5721338216746441</v>
      </c>
    </row>
    <row r="11458" spans="1:6">
      <c r="A11458" t="s">
        <v>13</v>
      </c>
      <c r="B11458" t="s">
        <v>112</v>
      </c>
      <c r="C11458" t="s">
        <v>847</v>
      </c>
      <c r="D11458" t="s">
        <v>1091</v>
      </c>
      <c r="E11458" t="s">
        <v>1268</v>
      </c>
      <c r="F11458">
        <v>0.4746861128800217</v>
      </c>
    </row>
    <row r="11459" spans="1:6">
      <c r="A11459" t="s">
        <v>13</v>
      </c>
      <c r="B11459" t="s">
        <v>112</v>
      </c>
      <c r="C11459" t="s">
        <v>847</v>
      </c>
      <c r="D11459" t="s">
        <v>1091</v>
      </c>
      <c r="E11459" t="s">
        <v>1269</v>
      </c>
      <c r="F11459">
        <v>0.4286059591878182</v>
      </c>
    </row>
    <row r="11460" spans="1:6">
      <c r="A11460" t="s">
        <v>13</v>
      </c>
      <c r="B11460" t="s">
        <v>112</v>
      </c>
      <c r="C11460" t="s">
        <v>847</v>
      </c>
      <c r="D11460" t="s">
        <v>1091</v>
      </c>
      <c r="E11460" t="s">
        <v>1271</v>
      </c>
      <c r="F11460">
        <v>0.3453922919132378</v>
      </c>
    </row>
    <row r="11461" spans="1:6">
      <c r="A11461" t="s">
        <v>13</v>
      </c>
      <c r="B11461" t="s">
        <v>112</v>
      </c>
      <c r="C11461" t="s">
        <v>847</v>
      </c>
      <c r="D11461" t="s">
        <v>1091</v>
      </c>
      <c r="E11461" t="s">
        <v>1272</v>
      </c>
      <c r="F11461">
        <v>0.3506569517671887</v>
      </c>
    </row>
    <row r="11462" spans="1:6">
      <c r="A11462" t="s">
        <v>13</v>
      </c>
      <c r="B11462" t="s">
        <v>112</v>
      </c>
      <c r="C11462" t="s">
        <v>847</v>
      </c>
      <c r="D11462" t="s">
        <v>1273</v>
      </c>
      <c r="E11462" t="s">
        <v>1274</v>
      </c>
      <c r="F11462" t="s">
        <v>112</v>
      </c>
    </row>
    <row r="11463" spans="1:6">
      <c r="A11463" t="s">
        <v>13</v>
      </c>
      <c r="B11463" t="s">
        <v>112</v>
      </c>
      <c r="C11463" t="s">
        <v>847</v>
      </c>
      <c r="D11463" t="s">
        <v>1273</v>
      </c>
      <c r="E11463" t="s">
        <v>1275</v>
      </c>
      <c r="F11463" t="s">
        <v>2927</v>
      </c>
    </row>
    <row r="11464" spans="1:6">
      <c r="A11464" t="s">
        <v>13</v>
      </c>
      <c r="B11464" t="s">
        <v>112</v>
      </c>
      <c r="C11464" t="s">
        <v>847</v>
      </c>
      <c r="D11464" t="s">
        <v>1273</v>
      </c>
      <c r="E11464" t="s">
        <v>1276</v>
      </c>
      <c r="F11464" t="s">
        <v>1277</v>
      </c>
    </row>
    <row r="11465" spans="1:6">
      <c r="A11465" t="s">
        <v>13</v>
      </c>
      <c r="B11465" t="s">
        <v>112</v>
      </c>
      <c r="C11465" t="s">
        <v>847</v>
      </c>
      <c r="D11465" t="s">
        <v>1273</v>
      </c>
      <c r="E11465" t="s">
        <v>1278</v>
      </c>
      <c r="F11465" t="s">
        <v>2927</v>
      </c>
    </row>
    <row r="11466" spans="1:6">
      <c r="A11466" t="s">
        <v>13</v>
      </c>
      <c r="B11466" t="s">
        <v>112</v>
      </c>
      <c r="C11466" t="s">
        <v>847</v>
      </c>
      <c r="D11466" t="s">
        <v>1273</v>
      </c>
      <c r="E11466" t="s">
        <v>1279</v>
      </c>
      <c r="F11466" t="s">
        <v>1280</v>
      </c>
    </row>
    <row r="11467" spans="1:6">
      <c r="A11467" t="s">
        <v>13</v>
      </c>
      <c r="B11467" t="s">
        <v>112</v>
      </c>
      <c r="C11467" t="s">
        <v>847</v>
      </c>
      <c r="D11467" t="s">
        <v>1273</v>
      </c>
      <c r="E11467" t="s">
        <v>1281</v>
      </c>
      <c r="F11467" t="s">
        <v>1282</v>
      </c>
    </row>
    <row r="11468" spans="1:6">
      <c r="A11468" t="s">
        <v>13</v>
      </c>
      <c r="B11468" t="s">
        <v>112</v>
      </c>
      <c r="C11468" t="s">
        <v>847</v>
      </c>
      <c r="D11468" t="s">
        <v>1273</v>
      </c>
      <c r="E11468" t="s">
        <v>1283</v>
      </c>
      <c r="F11468" t="s">
        <v>1284</v>
      </c>
    </row>
    <row r="11469" spans="1:6">
      <c r="A11469" t="s">
        <v>13</v>
      </c>
      <c r="B11469" t="s">
        <v>112</v>
      </c>
      <c r="C11469" t="s">
        <v>847</v>
      </c>
      <c r="D11469" t="s">
        <v>1273</v>
      </c>
      <c r="E11469" t="s">
        <v>1285</v>
      </c>
      <c r="F11469" t="s">
        <v>377</v>
      </c>
    </row>
    <row r="11470" spans="1:6">
      <c r="A11470" t="s">
        <v>13</v>
      </c>
      <c r="B11470" t="s">
        <v>112</v>
      </c>
      <c r="C11470" t="s">
        <v>847</v>
      </c>
      <c r="D11470" t="s">
        <v>1273</v>
      </c>
      <c r="E11470" t="s">
        <v>1286</v>
      </c>
      <c r="F11470">
        <v>71052</v>
      </c>
    </row>
    <row r="11471" spans="1:6">
      <c r="A11471" t="s">
        <v>13</v>
      </c>
      <c r="B11471" t="s">
        <v>112</v>
      </c>
      <c r="C11471" t="s">
        <v>847</v>
      </c>
      <c r="D11471" t="s">
        <v>1273</v>
      </c>
      <c r="E11471" t="s">
        <v>1287</v>
      </c>
      <c r="F11471">
        <v>31178863.20999995</v>
      </c>
    </row>
    <row r="11472" spans="1:6">
      <c r="A11472" t="s">
        <v>13</v>
      </c>
      <c r="B11472" t="s">
        <v>112</v>
      </c>
      <c r="C11472" t="s">
        <v>847</v>
      </c>
      <c r="D11472" t="s">
        <v>1273</v>
      </c>
      <c r="E11472" t="s">
        <v>1288</v>
      </c>
      <c r="F11472" t="s">
        <v>379</v>
      </c>
    </row>
    <row r="11473" spans="1:6">
      <c r="A11473" t="s">
        <v>13</v>
      </c>
      <c r="B11473" t="s">
        <v>112</v>
      </c>
      <c r="C11473" t="s">
        <v>847</v>
      </c>
      <c r="D11473" t="s">
        <v>1273</v>
      </c>
      <c r="E11473" t="s">
        <v>1096</v>
      </c>
      <c r="F11473">
        <v>0</v>
      </c>
    </row>
    <row r="11474" spans="1:6">
      <c r="A11474" t="s">
        <v>13</v>
      </c>
      <c r="B11474" t="s">
        <v>112</v>
      </c>
      <c r="C11474" t="s">
        <v>847</v>
      </c>
      <c r="D11474" t="s">
        <v>1273</v>
      </c>
      <c r="E11474" t="s">
        <v>1004</v>
      </c>
      <c r="F11474">
        <v>0</v>
      </c>
    </row>
    <row r="11475" spans="1:6">
      <c r="A11475" t="s">
        <v>13</v>
      </c>
      <c r="B11475" t="s">
        <v>112</v>
      </c>
      <c r="C11475" t="s">
        <v>847</v>
      </c>
      <c r="D11475" t="s">
        <v>1273</v>
      </c>
      <c r="E11475" t="s">
        <v>1289</v>
      </c>
      <c r="F11475" t="s">
        <v>381</v>
      </c>
    </row>
    <row r="11476" spans="1:6">
      <c r="A11476" t="s">
        <v>13</v>
      </c>
      <c r="B11476" t="s">
        <v>112</v>
      </c>
      <c r="C11476" t="s">
        <v>847</v>
      </c>
      <c r="D11476" t="s">
        <v>1273</v>
      </c>
      <c r="E11476" t="s">
        <v>1290</v>
      </c>
      <c r="F11476">
        <v>0</v>
      </c>
    </row>
    <row r="11477" spans="1:6">
      <c r="A11477" t="s">
        <v>13</v>
      </c>
      <c r="B11477" t="s">
        <v>112</v>
      </c>
      <c r="C11477" t="s">
        <v>847</v>
      </c>
      <c r="D11477" t="s">
        <v>1273</v>
      </c>
      <c r="E11477" t="s">
        <v>1291</v>
      </c>
      <c r="F11477">
        <v>0</v>
      </c>
    </row>
    <row r="11478" spans="1:6">
      <c r="A11478" t="s">
        <v>13</v>
      </c>
      <c r="B11478" t="s">
        <v>112</v>
      </c>
      <c r="C11478" t="s">
        <v>847</v>
      </c>
      <c r="D11478" t="s">
        <v>1273</v>
      </c>
      <c r="E11478" t="s">
        <v>1008</v>
      </c>
      <c r="F11478" t="s">
        <v>383</v>
      </c>
    </row>
    <row r="11479" spans="1:6">
      <c r="A11479" t="s">
        <v>13</v>
      </c>
      <c r="B11479" t="s">
        <v>112</v>
      </c>
      <c r="C11479" t="s">
        <v>847</v>
      </c>
      <c r="D11479" t="s">
        <v>1273</v>
      </c>
      <c r="E11479" t="s">
        <v>1010</v>
      </c>
      <c r="F11479">
        <v>0</v>
      </c>
    </row>
    <row r="11480" spans="1:6">
      <c r="A11480" t="s">
        <v>13</v>
      </c>
      <c r="B11480" t="s">
        <v>112</v>
      </c>
      <c r="C11480" t="s">
        <v>847</v>
      </c>
      <c r="D11480" t="s">
        <v>1273</v>
      </c>
      <c r="E11480" t="s">
        <v>1012</v>
      </c>
      <c r="F11480">
        <v>0</v>
      </c>
    </row>
    <row r="11481" spans="1:6">
      <c r="A11481" t="s">
        <v>13</v>
      </c>
      <c r="B11481" t="s">
        <v>112</v>
      </c>
      <c r="C11481" t="s">
        <v>847</v>
      </c>
      <c r="D11481" t="s">
        <v>1273</v>
      </c>
      <c r="E11481" t="s">
        <v>1035</v>
      </c>
      <c r="F11481" t="s">
        <v>385</v>
      </c>
    </row>
    <row r="11482" spans="1:6">
      <c r="A11482" t="s">
        <v>13</v>
      </c>
      <c r="B11482" t="s">
        <v>112</v>
      </c>
      <c r="C11482" t="s">
        <v>847</v>
      </c>
      <c r="D11482" t="s">
        <v>1273</v>
      </c>
      <c r="E11482" t="s">
        <v>1099</v>
      </c>
      <c r="F11482">
        <v>0</v>
      </c>
    </row>
    <row r="11483" spans="1:6">
      <c r="A11483" t="s">
        <v>13</v>
      </c>
      <c r="B11483" t="s">
        <v>112</v>
      </c>
      <c r="C11483" t="s">
        <v>847</v>
      </c>
      <c r="D11483" t="s">
        <v>1273</v>
      </c>
      <c r="E11483" t="s">
        <v>1100</v>
      </c>
      <c r="F11483">
        <v>0</v>
      </c>
    </row>
    <row r="11484" spans="1:6">
      <c r="A11484" t="s">
        <v>13</v>
      </c>
      <c r="B11484" t="s">
        <v>112</v>
      </c>
      <c r="C11484" t="s">
        <v>847</v>
      </c>
      <c r="D11484" t="s">
        <v>1273</v>
      </c>
      <c r="E11484" t="s">
        <v>1037</v>
      </c>
      <c r="F11484" t="s">
        <v>1292</v>
      </c>
    </row>
    <row r="11485" spans="1:6">
      <c r="A11485" t="s">
        <v>13</v>
      </c>
      <c r="B11485" t="s">
        <v>112</v>
      </c>
      <c r="C11485" t="s">
        <v>847</v>
      </c>
      <c r="D11485" t="s">
        <v>1273</v>
      </c>
      <c r="E11485" t="s">
        <v>1103</v>
      </c>
      <c r="F11485">
        <v>71052</v>
      </c>
    </row>
    <row r="11486" spans="1:6">
      <c r="A11486" t="s">
        <v>13</v>
      </c>
      <c r="B11486" t="s">
        <v>112</v>
      </c>
      <c r="C11486" t="s">
        <v>847</v>
      </c>
      <c r="D11486" t="s">
        <v>1273</v>
      </c>
      <c r="E11486" t="s">
        <v>1104</v>
      </c>
      <c r="F11486">
        <v>31178863.20999995</v>
      </c>
    </row>
    <row r="11487" spans="1:6">
      <c r="A11487" t="s">
        <v>13</v>
      </c>
      <c r="B11487" t="s">
        <v>112</v>
      </c>
      <c r="C11487" t="s">
        <v>847</v>
      </c>
      <c r="D11487" t="s">
        <v>1273</v>
      </c>
      <c r="E11487" t="s">
        <v>1052</v>
      </c>
      <c r="F11487" t="s">
        <v>1293</v>
      </c>
    </row>
    <row r="11488" spans="1:6">
      <c r="A11488" t="s">
        <v>13</v>
      </c>
      <c r="B11488" t="s">
        <v>112</v>
      </c>
      <c r="C11488" t="s">
        <v>847</v>
      </c>
      <c r="D11488" t="s">
        <v>1273</v>
      </c>
      <c r="E11488" t="s">
        <v>1053</v>
      </c>
      <c r="F11488" t="s">
        <v>1995</v>
      </c>
    </row>
    <row r="11489" spans="1:6">
      <c r="A11489" t="s">
        <v>13</v>
      </c>
      <c r="B11489" t="s">
        <v>112</v>
      </c>
      <c r="C11489" t="s">
        <v>847</v>
      </c>
      <c r="D11489" t="s">
        <v>1273</v>
      </c>
      <c r="E11489" t="s">
        <v>1108</v>
      </c>
      <c r="F11489">
        <v>199</v>
      </c>
    </row>
    <row r="11490" spans="1:6">
      <c r="A11490" t="s">
        <v>13</v>
      </c>
      <c r="B11490" t="s">
        <v>112</v>
      </c>
      <c r="C11490" t="s">
        <v>847</v>
      </c>
      <c r="D11490" t="s">
        <v>1273</v>
      </c>
      <c r="E11490" t="s">
        <v>1109</v>
      </c>
      <c r="F11490">
        <v>751149.8100000001</v>
      </c>
    </row>
    <row r="11491" spans="1:6">
      <c r="A11491" t="s">
        <v>13</v>
      </c>
      <c r="B11491" t="s">
        <v>112</v>
      </c>
      <c r="C11491" t="s">
        <v>847</v>
      </c>
      <c r="D11491" t="s">
        <v>1273</v>
      </c>
      <c r="E11491" t="s">
        <v>1113</v>
      </c>
      <c r="F11491">
        <v>2019</v>
      </c>
    </row>
    <row r="11492" spans="1:6">
      <c r="A11492" t="s">
        <v>13</v>
      </c>
      <c r="B11492" t="s">
        <v>112</v>
      </c>
      <c r="C11492" t="s">
        <v>847</v>
      </c>
      <c r="D11492" t="s">
        <v>1273</v>
      </c>
      <c r="E11492" t="s">
        <v>1114</v>
      </c>
      <c r="F11492">
        <v>82</v>
      </c>
    </row>
    <row r="11493" spans="1:6">
      <c r="A11493" t="s">
        <v>13</v>
      </c>
      <c r="B11493" t="s">
        <v>112</v>
      </c>
      <c r="C11493" t="s">
        <v>847</v>
      </c>
      <c r="D11493" t="s">
        <v>1273</v>
      </c>
      <c r="E11493" t="s">
        <v>1115</v>
      </c>
      <c r="F11493">
        <v>227540</v>
      </c>
    </row>
    <row r="11494" spans="1:6">
      <c r="A11494" t="s">
        <v>13</v>
      </c>
      <c r="B11494" t="s">
        <v>112</v>
      </c>
      <c r="C11494" t="s">
        <v>847</v>
      </c>
      <c r="D11494" t="s">
        <v>1273</v>
      </c>
      <c r="E11494" t="s">
        <v>1118</v>
      </c>
      <c r="F11494">
        <v>2020</v>
      </c>
    </row>
    <row r="11495" spans="1:6">
      <c r="A11495" t="s">
        <v>13</v>
      </c>
      <c r="B11495" t="s">
        <v>112</v>
      </c>
      <c r="C11495" t="s">
        <v>847</v>
      </c>
      <c r="D11495" t="s">
        <v>1273</v>
      </c>
      <c r="E11495" t="s">
        <v>1119</v>
      </c>
      <c r="F11495">
        <v>577</v>
      </c>
    </row>
    <row r="11496" spans="1:6">
      <c r="A11496" t="s">
        <v>13</v>
      </c>
      <c r="B11496" t="s">
        <v>112</v>
      </c>
      <c r="C11496" t="s">
        <v>847</v>
      </c>
      <c r="D11496" t="s">
        <v>1273</v>
      </c>
      <c r="E11496" t="s">
        <v>1120</v>
      </c>
      <c r="F11496">
        <v>1055811.67</v>
      </c>
    </row>
    <row r="11497" spans="1:6">
      <c r="A11497" t="s">
        <v>13</v>
      </c>
      <c r="B11497" t="s">
        <v>112</v>
      </c>
      <c r="C11497" t="s">
        <v>847</v>
      </c>
      <c r="D11497" t="s">
        <v>1273</v>
      </c>
      <c r="E11497" t="s">
        <v>1124</v>
      </c>
      <c r="F11497">
        <v>2021</v>
      </c>
    </row>
    <row r="11498" spans="1:6">
      <c r="A11498" t="s">
        <v>13</v>
      </c>
      <c r="B11498" t="s">
        <v>112</v>
      </c>
      <c r="C11498" t="s">
        <v>847</v>
      </c>
      <c r="D11498" t="s">
        <v>1273</v>
      </c>
      <c r="E11498" t="s">
        <v>1126</v>
      </c>
      <c r="F11498">
        <v>3490</v>
      </c>
    </row>
    <row r="11499" spans="1:6">
      <c r="A11499" t="s">
        <v>13</v>
      </c>
      <c r="B11499" t="s">
        <v>112</v>
      </c>
      <c r="C11499" t="s">
        <v>847</v>
      </c>
      <c r="D11499" t="s">
        <v>1273</v>
      </c>
      <c r="E11499" t="s">
        <v>1127</v>
      </c>
      <c r="F11499">
        <v>1891299.92</v>
      </c>
    </row>
    <row r="11500" spans="1:6">
      <c r="A11500" t="s">
        <v>13</v>
      </c>
      <c r="B11500" t="s">
        <v>112</v>
      </c>
      <c r="C11500" t="s">
        <v>847</v>
      </c>
      <c r="D11500" t="s">
        <v>1273</v>
      </c>
      <c r="E11500" t="s">
        <v>1057</v>
      </c>
      <c r="F11500">
        <v>2022</v>
      </c>
    </row>
    <row r="11501" spans="1:6">
      <c r="A11501" t="s">
        <v>13</v>
      </c>
      <c r="B11501" t="s">
        <v>112</v>
      </c>
      <c r="C11501" t="s">
        <v>847</v>
      </c>
      <c r="D11501" t="s">
        <v>1273</v>
      </c>
      <c r="E11501" t="s">
        <v>1058</v>
      </c>
      <c r="F11501">
        <v>3177</v>
      </c>
    </row>
    <row r="11502" spans="1:6">
      <c r="A11502" t="s">
        <v>13</v>
      </c>
      <c r="B11502" t="s">
        <v>112</v>
      </c>
      <c r="C11502" t="s">
        <v>847</v>
      </c>
      <c r="D11502" t="s">
        <v>1273</v>
      </c>
      <c r="E11502" t="s">
        <v>1059</v>
      </c>
      <c r="F11502">
        <v>1803180.89</v>
      </c>
    </row>
    <row r="11503" spans="1:6">
      <c r="A11503" t="s">
        <v>13</v>
      </c>
      <c r="B11503" t="s">
        <v>112</v>
      </c>
      <c r="C11503" t="s">
        <v>847</v>
      </c>
      <c r="D11503" t="s">
        <v>1273</v>
      </c>
      <c r="E11503" t="s">
        <v>1072</v>
      </c>
      <c r="F11503">
        <v>2023</v>
      </c>
    </row>
    <row r="11504" spans="1:6">
      <c r="A11504" t="s">
        <v>13</v>
      </c>
      <c r="B11504" t="s">
        <v>112</v>
      </c>
      <c r="C11504" t="s">
        <v>847</v>
      </c>
      <c r="D11504" t="s">
        <v>1273</v>
      </c>
      <c r="E11504" t="s">
        <v>1133</v>
      </c>
      <c r="F11504">
        <v>4518</v>
      </c>
    </row>
    <row r="11505" spans="1:6">
      <c r="A11505" t="s">
        <v>13</v>
      </c>
      <c r="B11505" t="s">
        <v>112</v>
      </c>
      <c r="C11505" t="s">
        <v>847</v>
      </c>
      <c r="D11505" t="s">
        <v>1273</v>
      </c>
      <c r="E11505" t="s">
        <v>1134</v>
      </c>
      <c r="F11505">
        <v>2617980.37999999</v>
      </c>
    </row>
    <row r="11506" spans="1:6">
      <c r="A11506" t="s">
        <v>13</v>
      </c>
      <c r="B11506" t="s">
        <v>112</v>
      </c>
      <c r="C11506" t="s">
        <v>847</v>
      </c>
      <c r="D11506" t="s">
        <v>1273</v>
      </c>
      <c r="E11506" t="s">
        <v>1074</v>
      </c>
      <c r="F11506">
        <v>2024</v>
      </c>
    </row>
    <row r="11507" spans="1:6">
      <c r="A11507" t="s">
        <v>13</v>
      </c>
      <c r="B11507" t="s">
        <v>112</v>
      </c>
      <c r="C11507" t="s">
        <v>847</v>
      </c>
      <c r="D11507" t="s">
        <v>1273</v>
      </c>
      <c r="E11507" t="s">
        <v>1296</v>
      </c>
      <c r="F11507">
        <v>6481</v>
      </c>
    </row>
    <row r="11508" spans="1:6">
      <c r="A11508" t="s">
        <v>13</v>
      </c>
      <c r="B11508" t="s">
        <v>112</v>
      </c>
      <c r="C11508" t="s">
        <v>847</v>
      </c>
      <c r="D11508" t="s">
        <v>1273</v>
      </c>
      <c r="E11508" t="s">
        <v>1297</v>
      </c>
      <c r="F11508">
        <v>3470230.67</v>
      </c>
    </row>
    <row r="11509" spans="1:6">
      <c r="A11509" t="s">
        <v>13</v>
      </c>
      <c r="B11509" t="s">
        <v>112</v>
      </c>
      <c r="C11509" t="s">
        <v>847</v>
      </c>
      <c r="D11509" t="s">
        <v>1273</v>
      </c>
      <c r="E11509" t="s">
        <v>1076</v>
      </c>
      <c r="F11509">
        <v>2025</v>
      </c>
    </row>
    <row r="11510" spans="1:6">
      <c r="A11510" t="s">
        <v>13</v>
      </c>
      <c r="B11510" t="s">
        <v>112</v>
      </c>
      <c r="C11510" t="s">
        <v>847</v>
      </c>
      <c r="D11510" t="s">
        <v>1273</v>
      </c>
      <c r="E11510" t="s">
        <v>1077</v>
      </c>
      <c r="F11510">
        <v>13904</v>
      </c>
    </row>
    <row r="11511" spans="1:6">
      <c r="A11511" t="s">
        <v>13</v>
      </c>
      <c r="B11511" t="s">
        <v>112</v>
      </c>
      <c r="C11511" t="s">
        <v>847</v>
      </c>
      <c r="D11511" t="s">
        <v>1273</v>
      </c>
      <c r="E11511" t="s">
        <v>1078</v>
      </c>
      <c r="F11511">
        <v>7308977.3999999</v>
      </c>
    </row>
    <row r="11512" spans="1:6">
      <c r="A11512" t="s">
        <v>13</v>
      </c>
      <c r="B11512" t="s">
        <v>112</v>
      </c>
      <c r="C11512" t="s">
        <v>847</v>
      </c>
      <c r="D11512" t="s">
        <v>1273</v>
      </c>
      <c r="E11512" t="s">
        <v>1090</v>
      </c>
      <c r="F11512">
        <v>2026</v>
      </c>
    </row>
    <row r="11513" spans="1:6">
      <c r="A11513" t="s">
        <v>13</v>
      </c>
      <c r="B11513" t="s">
        <v>112</v>
      </c>
      <c r="C11513" t="s">
        <v>847</v>
      </c>
      <c r="D11513" t="s">
        <v>1273</v>
      </c>
      <c r="E11513" t="s">
        <v>1139</v>
      </c>
      <c r="F11513">
        <v>38624</v>
      </c>
    </row>
    <row r="11514" spans="1:6">
      <c r="A11514" t="s">
        <v>13</v>
      </c>
      <c r="B11514" t="s">
        <v>112</v>
      </c>
      <c r="C11514" t="s">
        <v>847</v>
      </c>
      <c r="D11514" t="s">
        <v>1273</v>
      </c>
      <c r="E11514" t="s">
        <v>1140</v>
      </c>
      <c r="F11514">
        <v>12052692.47</v>
      </c>
    </row>
    <row r="11515" spans="1:6">
      <c r="A11515" t="s">
        <v>13</v>
      </c>
      <c r="B11515" t="s">
        <v>112</v>
      </c>
      <c r="C11515" t="s">
        <v>847</v>
      </c>
      <c r="D11515" t="s">
        <v>1273</v>
      </c>
      <c r="E11515" t="s">
        <v>1298</v>
      </c>
      <c r="F11515" t="s">
        <v>1292</v>
      </c>
    </row>
    <row r="11516" spans="1:6">
      <c r="A11516" t="s">
        <v>13</v>
      </c>
      <c r="B11516" t="s">
        <v>112</v>
      </c>
      <c r="C11516" t="s">
        <v>847</v>
      </c>
      <c r="D11516" t="s">
        <v>1273</v>
      </c>
      <c r="E11516" t="s">
        <v>1299</v>
      </c>
      <c r="F11516">
        <v>71052</v>
      </c>
    </row>
    <row r="11517" spans="1:6">
      <c r="A11517" t="s">
        <v>13</v>
      </c>
      <c r="B11517" t="s">
        <v>112</v>
      </c>
      <c r="C11517" t="s">
        <v>847</v>
      </c>
      <c r="D11517" t="s">
        <v>1273</v>
      </c>
      <c r="E11517" t="s">
        <v>1300</v>
      </c>
      <c r="F11517">
        <v>31178863.20999989</v>
      </c>
    </row>
    <row r="11518" spans="1:6">
      <c r="A11518" t="s">
        <v>13</v>
      </c>
      <c r="B11518" t="s">
        <v>112</v>
      </c>
      <c r="C11518" t="s">
        <v>847</v>
      </c>
      <c r="D11518" t="s">
        <v>1273</v>
      </c>
      <c r="E11518" t="s">
        <v>1149</v>
      </c>
      <c r="F11518" t="s">
        <v>2933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>
  <dimension ref="A1:H828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3" width="46.7109375" customWidth="1"/>
    <col min="4" max="6" width="19.7109375" customWidth="1"/>
    <col min="7" max="7" width="22.7109375" customWidth="1"/>
    <col min="8" max="8" width="80.7109375" customWidth="1"/>
  </cols>
  <sheetData>
    <row r="1" spans="1:8">
      <c r="A1" t="s">
        <v>986</v>
      </c>
      <c r="B1" t="s">
        <v>955</v>
      </c>
      <c r="C1" t="s">
        <v>2938</v>
      </c>
      <c r="D1" t="s">
        <v>2939</v>
      </c>
      <c r="E1" t="s">
        <v>2940</v>
      </c>
      <c r="F1" t="s">
        <v>2941</v>
      </c>
      <c r="G1" t="s">
        <v>956</v>
      </c>
      <c r="H1" t="s">
        <v>8</v>
      </c>
    </row>
    <row r="2" spans="1:8">
      <c r="A2" s="18" t="s">
        <v>13</v>
      </c>
      <c r="B2" s="18" t="s">
        <v>48</v>
      </c>
      <c r="C2" s="18" t="s">
        <v>2942</v>
      </c>
      <c r="D2" s="22">
        <v>35588770</v>
      </c>
      <c r="E2" s="22">
        <v>35588770</v>
      </c>
      <c r="F2" s="22">
        <v>0</v>
      </c>
      <c r="G2" s="18" t="s">
        <v>2943</v>
      </c>
      <c r="H2" s="18" t="s">
        <v>52</v>
      </c>
    </row>
    <row r="3" spans="1:8">
      <c r="A3" s="18" t="s">
        <v>13</v>
      </c>
      <c r="B3" s="18" t="s">
        <v>48</v>
      </c>
      <c r="C3" s="18" t="s">
        <v>2944</v>
      </c>
      <c r="D3" s="22">
        <v>9120</v>
      </c>
      <c r="E3" s="22">
        <v>9120</v>
      </c>
      <c r="F3" s="22">
        <v>0</v>
      </c>
      <c r="G3" s="18" t="s">
        <v>2943</v>
      </c>
      <c r="H3" s="18" t="s">
        <v>52</v>
      </c>
    </row>
    <row r="4" spans="1:8">
      <c r="A4" s="18" t="s">
        <v>13</v>
      </c>
      <c r="B4" s="18" t="s">
        <v>48</v>
      </c>
      <c r="C4" s="18" t="s">
        <v>2945</v>
      </c>
      <c r="D4" s="22">
        <v>5798264</v>
      </c>
      <c r="E4" s="22">
        <v>5798264</v>
      </c>
      <c r="F4" s="22">
        <v>0</v>
      </c>
      <c r="G4" s="18" t="s">
        <v>2943</v>
      </c>
      <c r="H4" s="18" t="s">
        <v>54</v>
      </c>
    </row>
    <row r="5" spans="1:8">
      <c r="A5" s="18" t="s">
        <v>13</v>
      </c>
      <c r="B5" s="18" t="s">
        <v>48</v>
      </c>
      <c r="C5" s="18" t="s">
        <v>2946</v>
      </c>
      <c r="D5" s="22">
        <v>1688</v>
      </c>
      <c r="E5" s="22">
        <v>1688</v>
      </c>
      <c r="F5" s="22">
        <v>0</v>
      </c>
      <c r="G5" s="18" t="s">
        <v>2943</v>
      </c>
      <c r="H5" s="18" t="s">
        <v>54</v>
      </c>
    </row>
    <row r="6" spans="1:8">
      <c r="A6" s="18" t="s">
        <v>13</v>
      </c>
      <c r="B6" s="18" t="s">
        <v>48</v>
      </c>
      <c r="C6" s="18" t="s">
        <v>2947</v>
      </c>
      <c r="D6" s="22">
        <v>537283</v>
      </c>
      <c r="E6" s="22">
        <v>537283</v>
      </c>
      <c r="F6" s="22">
        <v>0</v>
      </c>
      <c r="G6" s="18" t="s">
        <v>2943</v>
      </c>
      <c r="H6" s="18" t="s">
        <v>56</v>
      </c>
    </row>
    <row r="7" spans="1:8">
      <c r="A7" s="18" t="s">
        <v>13</v>
      </c>
      <c r="B7" s="18" t="s">
        <v>48</v>
      </c>
      <c r="C7" s="18" t="s">
        <v>2948</v>
      </c>
      <c r="D7" s="22">
        <v>112160</v>
      </c>
      <c r="E7" s="22">
        <v>112161</v>
      </c>
      <c r="F7" s="22">
        <v>-1</v>
      </c>
      <c r="G7" s="18" t="s">
        <v>2949</v>
      </c>
      <c r="H7" s="18" t="s">
        <v>56</v>
      </c>
    </row>
    <row r="8" spans="1:8">
      <c r="A8" s="18" t="s">
        <v>13</v>
      </c>
      <c r="B8" s="18" t="s">
        <v>48</v>
      </c>
      <c r="C8" s="18" t="s">
        <v>2950</v>
      </c>
      <c r="D8" s="22">
        <v>114220</v>
      </c>
      <c r="E8" s="22">
        <v>114220</v>
      </c>
      <c r="F8" s="22">
        <v>0</v>
      </c>
      <c r="G8" s="18" t="s">
        <v>2943</v>
      </c>
      <c r="H8" s="18" t="s">
        <v>167</v>
      </c>
    </row>
    <row r="9" spans="1:8">
      <c r="A9" s="18" t="s">
        <v>13</v>
      </c>
      <c r="B9" s="18" t="s">
        <v>48</v>
      </c>
      <c r="C9" s="18" t="s">
        <v>2951</v>
      </c>
      <c r="D9" s="22">
        <v>0</v>
      </c>
      <c r="E9" s="22">
        <v>0</v>
      </c>
      <c r="F9" s="22">
        <v>0</v>
      </c>
      <c r="G9" s="18" t="s">
        <v>2943</v>
      </c>
      <c r="H9" s="18" t="s">
        <v>167</v>
      </c>
    </row>
    <row r="10" spans="1:8">
      <c r="A10" s="18" t="s">
        <v>13</v>
      </c>
      <c r="B10" s="18" t="s">
        <v>48</v>
      </c>
      <c r="C10" s="18" t="s">
        <v>2952</v>
      </c>
      <c r="D10" s="22">
        <v>112468</v>
      </c>
      <c r="E10" s="22">
        <v>112468</v>
      </c>
      <c r="F10" s="22">
        <v>0</v>
      </c>
      <c r="G10" s="18" t="s">
        <v>2943</v>
      </c>
      <c r="H10" s="18" t="s">
        <v>168</v>
      </c>
    </row>
    <row r="11" spans="1:8">
      <c r="A11" s="18" t="s">
        <v>13</v>
      </c>
      <c r="B11" s="18" t="s">
        <v>48</v>
      </c>
      <c r="C11" s="18" t="s">
        <v>2953</v>
      </c>
      <c r="D11" s="22">
        <v>10</v>
      </c>
      <c r="E11" s="22">
        <v>10</v>
      </c>
      <c r="F11" s="22">
        <v>0</v>
      </c>
      <c r="G11" s="18" t="s">
        <v>2943</v>
      </c>
      <c r="H11" s="18" t="s">
        <v>168</v>
      </c>
    </row>
    <row r="12" spans="1:8">
      <c r="A12" s="18" t="s">
        <v>13</v>
      </c>
      <c r="B12" s="18" t="s">
        <v>48</v>
      </c>
      <c r="C12" s="18" t="s">
        <v>2954</v>
      </c>
      <c r="D12" s="22">
        <v>141359</v>
      </c>
      <c r="E12" s="22">
        <v>141359</v>
      </c>
      <c r="F12" s="22">
        <v>0</v>
      </c>
      <c r="G12" s="18" t="s">
        <v>2943</v>
      </c>
      <c r="H12" s="18" t="s">
        <v>169</v>
      </c>
    </row>
    <row r="13" spans="1:8">
      <c r="A13" s="18" t="s">
        <v>13</v>
      </c>
      <c r="B13" s="18" t="s">
        <v>48</v>
      </c>
      <c r="C13" s="18" t="s">
        <v>2955</v>
      </c>
      <c r="D13" s="22">
        <v>3877</v>
      </c>
      <c r="E13" s="22">
        <v>3877</v>
      </c>
      <c r="F13" s="22">
        <v>0</v>
      </c>
      <c r="G13" s="18" t="s">
        <v>2943</v>
      </c>
      <c r="H13" s="18" t="s">
        <v>169</v>
      </c>
    </row>
    <row r="14" spans="1:8">
      <c r="A14" s="18" t="s">
        <v>13</v>
      </c>
      <c r="B14" s="18" t="s">
        <v>48</v>
      </c>
      <c r="C14" s="18" t="s">
        <v>2956</v>
      </c>
      <c r="D14" s="22">
        <v>105005</v>
      </c>
      <c r="E14" s="22">
        <v>105005</v>
      </c>
      <c r="F14" s="22">
        <v>0</v>
      </c>
      <c r="G14" s="18" t="s">
        <v>2943</v>
      </c>
      <c r="H14" s="18" t="s">
        <v>170</v>
      </c>
    </row>
    <row r="15" spans="1:8">
      <c r="A15" s="18" t="s">
        <v>13</v>
      </c>
      <c r="B15" s="18" t="s">
        <v>48</v>
      </c>
      <c r="C15" s="18" t="s">
        <v>2957</v>
      </c>
      <c r="D15" s="22">
        <v>0</v>
      </c>
      <c r="E15" s="22">
        <v>0</v>
      </c>
      <c r="F15" s="22">
        <v>0</v>
      </c>
      <c r="G15" s="18" t="s">
        <v>2943</v>
      </c>
      <c r="H15" s="18" t="s">
        <v>170</v>
      </c>
    </row>
    <row r="16" spans="1:8">
      <c r="A16" s="18" t="s">
        <v>13</v>
      </c>
      <c r="B16" s="18" t="s">
        <v>48</v>
      </c>
      <c r="C16" s="18" t="s">
        <v>2958</v>
      </c>
      <c r="D16" s="22">
        <v>64232</v>
      </c>
      <c r="E16" s="22">
        <v>64232</v>
      </c>
      <c r="F16" s="22">
        <v>0</v>
      </c>
      <c r="G16" s="18" t="s">
        <v>2943</v>
      </c>
      <c r="H16" s="18" t="s">
        <v>171</v>
      </c>
    </row>
    <row r="17" spans="1:8">
      <c r="A17" s="18" t="s">
        <v>13</v>
      </c>
      <c r="B17" s="18" t="s">
        <v>48</v>
      </c>
      <c r="C17" s="18" t="s">
        <v>2959</v>
      </c>
      <c r="D17" s="22">
        <v>3932</v>
      </c>
      <c r="E17" s="22">
        <v>3932</v>
      </c>
      <c r="F17" s="22">
        <v>0</v>
      </c>
      <c r="G17" s="18" t="s">
        <v>2943</v>
      </c>
      <c r="H17" s="18" t="s">
        <v>171</v>
      </c>
    </row>
    <row r="18" spans="1:8">
      <c r="A18" s="18" t="s">
        <v>13</v>
      </c>
      <c r="B18" s="18" t="s">
        <v>48</v>
      </c>
      <c r="C18" s="18" t="s">
        <v>2960</v>
      </c>
      <c r="D18" s="22">
        <v>0</v>
      </c>
      <c r="E18" s="22">
        <v>0</v>
      </c>
      <c r="F18" s="22">
        <v>0</v>
      </c>
      <c r="G18" s="18" t="s">
        <v>2943</v>
      </c>
      <c r="H18" s="18" t="s">
        <v>172</v>
      </c>
    </row>
    <row r="19" spans="1:8">
      <c r="A19" s="18" t="s">
        <v>13</v>
      </c>
      <c r="B19" s="18" t="s">
        <v>48</v>
      </c>
      <c r="C19" s="18" t="s">
        <v>2961</v>
      </c>
      <c r="D19" s="22">
        <v>104341</v>
      </c>
      <c r="E19" s="22">
        <v>104341</v>
      </c>
      <c r="F19" s="22">
        <v>0</v>
      </c>
      <c r="G19" s="18" t="s">
        <v>2943</v>
      </c>
      <c r="H19" s="18" t="s">
        <v>172</v>
      </c>
    </row>
    <row r="20" spans="1:8">
      <c r="A20" s="18" t="s">
        <v>13</v>
      </c>
      <c r="B20" s="18" t="s">
        <v>48</v>
      </c>
      <c r="C20" s="18" t="s">
        <v>2962</v>
      </c>
      <c r="D20" s="22">
        <v>42047285</v>
      </c>
      <c r="E20" s="22">
        <v>42047286</v>
      </c>
      <c r="F20" s="22">
        <v>-1</v>
      </c>
      <c r="G20" s="18" t="s">
        <v>2949</v>
      </c>
      <c r="H20" s="18" t="s">
        <v>2963</v>
      </c>
    </row>
    <row r="21" spans="1:8">
      <c r="A21" s="18" t="s">
        <v>13</v>
      </c>
      <c r="B21" s="18" t="s">
        <v>48</v>
      </c>
      <c r="C21" s="18" t="s">
        <v>2964</v>
      </c>
      <c r="D21" s="22">
        <v>41924317</v>
      </c>
      <c r="E21" s="22">
        <v>41924317</v>
      </c>
      <c r="F21" s="22">
        <v>0</v>
      </c>
      <c r="G21" s="18" t="s">
        <v>2943</v>
      </c>
      <c r="H21" s="18" t="s">
        <v>2963</v>
      </c>
    </row>
    <row r="22" spans="1:8">
      <c r="A22" s="18" t="s">
        <v>13</v>
      </c>
      <c r="B22" s="18" t="s">
        <v>48</v>
      </c>
      <c r="C22" s="18" t="s">
        <v>2965</v>
      </c>
      <c r="D22" s="22">
        <v>122969</v>
      </c>
      <c r="E22" s="22">
        <v>122969</v>
      </c>
      <c r="F22" s="22">
        <v>0</v>
      </c>
      <c r="G22" s="18" t="s">
        <v>2943</v>
      </c>
      <c r="H22" s="18" t="s">
        <v>2963</v>
      </c>
    </row>
    <row r="23" spans="1:8">
      <c r="A23" s="18" t="s">
        <v>13</v>
      </c>
      <c r="B23" s="18" t="s">
        <v>48</v>
      </c>
      <c r="C23" s="18" t="s">
        <v>2966</v>
      </c>
      <c r="D23" s="22">
        <v>41910622</v>
      </c>
      <c r="E23" s="22">
        <v>41910622</v>
      </c>
      <c r="F23" s="22">
        <v>0</v>
      </c>
      <c r="G23" s="18" t="s">
        <v>2943</v>
      </c>
      <c r="H23" s="18" t="s">
        <v>2963</v>
      </c>
    </row>
    <row r="24" spans="1:8">
      <c r="A24" s="18" t="s">
        <v>13</v>
      </c>
      <c r="B24" s="18" t="s">
        <v>48</v>
      </c>
      <c r="C24" s="18" t="s">
        <v>2967</v>
      </c>
      <c r="D24" s="22">
        <v>13695</v>
      </c>
      <c r="E24" s="22">
        <v>13695</v>
      </c>
      <c r="F24" s="22">
        <v>0</v>
      </c>
      <c r="G24" s="18" t="s">
        <v>2943</v>
      </c>
      <c r="H24" s="18" t="s">
        <v>2963</v>
      </c>
    </row>
    <row r="25" spans="1:8">
      <c r="A25" s="18" t="s">
        <v>13</v>
      </c>
      <c r="B25" s="18" t="s">
        <v>48</v>
      </c>
      <c r="C25" s="18" t="s">
        <v>2968</v>
      </c>
      <c r="D25" s="22">
        <v>0</v>
      </c>
      <c r="E25" s="22">
        <v>0</v>
      </c>
      <c r="F25" s="22">
        <v>0</v>
      </c>
      <c r="G25" s="18" t="s">
        <v>2943</v>
      </c>
      <c r="H25" s="18" t="s">
        <v>2963</v>
      </c>
    </row>
    <row r="26" spans="1:8">
      <c r="A26" s="18" t="s">
        <v>13</v>
      </c>
      <c r="B26" s="18" t="s">
        <v>48</v>
      </c>
      <c r="C26" s="18" t="s">
        <v>2969</v>
      </c>
      <c r="D26" s="22">
        <v>136665</v>
      </c>
      <c r="E26" s="22">
        <v>136664</v>
      </c>
      <c r="F26" s="22">
        <v>1</v>
      </c>
      <c r="G26" s="18" t="s">
        <v>2949</v>
      </c>
      <c r="H26" s="18" t="s">
        <v>2970</v>
      </c>
    </row>
    <row r="27" spans="1:8">
      <c r="A27" s="18" t="s">
        <v>13</v>
      </c>
      <c r="B27" s="18" t="s">
        <v>48</v>
      </c>
      <c r="C27" s="18" t="s">
        <v>2971</v>
      </c>
      <c r="D27" s="22">
        <v>295</v>
      </c>
      <c r="E27" s="22">
        <v>295</v>
      </c>
      <c r="F27" s="22">
        <v>0</v>
      </c>
      <c r="G27" s="18" t="s">
        <v>2943</v>
      </c>
      <c r="H27" s="18" t="s">
        <v>2970</v>
      </c>
    </row>
    <row r="28" spans="1:8">
      <c r="A28" s="18" t="s">
        <v>13</v>
      </c>
      <c r="B28" s="18" t="s">
        <v>48</v>
      </c>
      <c r="C28" s="18" t="s">
        <v>2972</v>
      </c>
      <c r="E28" s="22">
        <v>136664</v>
      </c>
      <c r="G28" s="18" t="s">
        <v>2973</v>
      </c>
      <c r="H28" s="18" t="s">
        <v>2974</v>
      </c>
    </row>
    <row r="29" spans="1:8">
      <c r="A29" s="18" t="s">
        <v>13</v>
      </c>
      <c r="B29" s="18" t="s">
        <v>48</v>
      </c>
      <c r="C29" s="18" t="s">
        <v>2975</v>
      </c>
      <c r="E29" s="22">
        <v>295</v>
      </c>
      <c r="G29" s="18" t="s">
        <v>2973</v>
      </c>
      <c r="H29" s="18" t="s">
        <v>2974</v>
      </c>
    </row>
    <row r="30" spans="1:8">
      <c r="A30" s="18" t="s">
        <v>13</v>
      </c>
      <c r="B30" s="18" t="s">
        <v>48</v>
      </c>
      <c r="C30" s="18" t="s">
        <v>2976</v>
      </c>
      <c r="D30" s="22">
        <v>136664</v>
      </c>
      <c r="E30" s="22">
        <v>136664</v>
      </c>
      <c r="F30" s="22">
        <v>0</v>
      </c>
      <c r="G30" s="18" t="s">
        <v>2943</v>
      </c>
      <c r="H30" s="18" t="s">
        <v>2974</v>
      </c>
    </row>
    <row r="31" spans="1:8">
      <c r="A31" s="18" t="s">
        <v>13</v>
      </c>
      <c r="B31" s="18" t="s">
        <v>48</v>
      </c>
      <c r="C31" s="18" t="s">
        <v>2977</v>
      </c>
      <c r="D31" s="22">
        <v>295</v>
      </c>
      <c r="E31" s="22">
        <v>295</v>
      </c>
      <c r="F31" s="22">
        <v>0</v>
      </c>
      <c r="G31" s="18" t="s">
        <v>2943</v>
      </c>
      <c r="H31" s="18" t="s">
        <v>2974</v>
      </c>
    </row>
    <row r="32" spans="1:8">
      <c r="A32" s="18" t="s">
        <v>13</v>
      </c>
      <c r="B32" s="18" t="s">
        <v>57</v>
      </c>
      <c r="C32" s="18" t="s">
        <v>2942</v>
      </c>
      <c r="D32" s="22">
        <v>138692857</v>
      </c>
      <c r="E32" s="22">
        <v>138692857</v>
      </c>
      <c r="F32" s="22">
        <v>0</v>
      </c>
      <c r="G32" s="18" t="s">
        <v>2943</v>
      </c>
      <c r="H32" s="18" t="s">
        <v>59</v>
      </c>
    </row>
    <row r="33" spans="1:8">
      <c r="A33" s="18" t="s">
        <v>13</v>
      </c>
      <c r="B33" s="18" t="s">
        <v>57</v>
      </c>
      <c r="C33" s="18" t="s">
        <v>2944</v>
      </c>
      <c r="D33" s="22">
        <v>1053</v>
      </c>
      <c r="E33" s="22">
        <v>1053</v>
      </c>
      <c r="F33" s="22">
        <v>0</v>
      </c>
      <c r="G33" s="18" t="s">
        <v>2943</v>
      </c>
      <c r="H33" s="18" t="s">
        <v>59</v>
      </c>
    </row>
    <row r="34" spans="1:8">
      <c r="A34" s="18" t="s">
        <v>13</v>
      </c>
      <c r="B34" s="18" t="s">
        <v>57</v>
      </c>
      <c r="C34" s="18" t="s">
        <v>2945</v>
      </c>
      <c r="D34" s="22">
        <v>42292498</v>
      </c>
      <c r="E34" s="22">
        <v>42292498</v>
      </c>
      <c r="F34" s="22">
        <v>0</v>
      </c>
      <c r="G34" s="18" t="s">
        <v>2943</v>
      </c>
      <c r="H34" s="18" t="s">
        <v>60</v>
      </c>
    </row>
    <row r="35" spans="1:8">
      <c r="A35" s="18" t="s">
        <v>13</v>
      </c>
      <c r="B35" s="18" t="s">
        <v>57</v>
      </c>
      <c r="C35" s="18" t="s">
        <v>2946</v>
      </c>
      <c r="D35" s="22">
        <v>34099</v>
      </c>
      <c r="E35" s="22">
        <v>34099</v>
      </c>
      <c r="F35" s="22">
        <v>0</v>
      </c>
      <c r="G35" s="18" t="s">
        <v>2943</v>
      </c>
      <c r="H35" s="18" t="s">
        <v>60</v>
      </c>
    </row>
    <row r="36" spans="1:8">
      <c r="A36" s="18" t="s">
        <v>13</v>
      </c>
      <c r="B36" s="18" t="s">
        <v>57</v>
      </c>
      <c r="C36" s="18" t="s">
        <v>2947</v>
      </c>
      <c r="D36" s="22">
        <v>19274083</v>
      </c>
      <c r="E36" s="22">
        <v>19274083</v>
      </c>
      <c r="F36" s="22">
        <v>0</v>
      </c>
      <c r="G36" s="18" t="s">
        <v>2943</v>
      </c>
      <c r="H36" s="18" t="s">
        <v>61</v>
      </c>
    </row>
    <row r="37" spans="1:8">
      <c r="A37" s="18" t="s">
        <v>13</v>
      </c>
      <c r="B37" s="18" t="s">
        <v>57</v>
      </c>
      <c r="C37" s="18" t="s">
        <v>2948</v>
      </c>
      <c r="D37" s="22">
        <v>1350677</v>
      </c>
      <c r="E37" s="22">
        <v>1350677</v>
      </c>
      <c r="F37" s="22">
        <v>0</v>
      </c>
      <c r="G37" s="18" t="s">
        <v>2943</v>
      </c>
      <c r="H37" s="18" t="s">
        <v>61</v>
      </c>
    </row>
    <row r="38" spans="1:8">
      <c r="A38" s="18" t="s">
        <v>13</v>
      </c>
      <c r="B38" s="18" t="s">
        <v>57</v>
      </c>
      <c r="C38" s="18" t="s">
        <v>2950</v>
      </c>
      <c r="D38" s="22">
        <v>2783757</v>
      </c>
      <c r="E38" s="22">
        <v>2783756</v>
      </c>
      <c r="F38" s="22">
        <v>1</v>
      </c>
      <c r="G38" s="18" t="s">
        <v>2949</v>
      </c>
      <c r="H38" s="18" t="s">
        <v>173</v>
      </c>
    </row>
    <row r="39" spans="1:8">
      <c r="A39" s="18" t="s">
        <v>13</v>
      </c>
      <c r="B39" s="18" t="s">
        <v>57</v>
      </c>
      <c r="C39" s="18" t="s">
        <v>2951</v>
      </c>
      <c r="D39" s="22">
        <v>19160</v>
      </c>
      <c r="E39" s="22">
        <v>19160</v>
      </c>
      <c r="F39" s="22">
        <v>0</v>
      </c>
      <c r="G39" s="18" t="s">
        <v>2943</v>
      </c>
      <c r="H39" s="18" t="s">
        <v>173</v>
      </c>
    </row>
    <row r="40" spans="1:8">
      <c r="A40" s="18" t="s">
        <v>13</v>
      </c>
      <c r="B40" s="18" t="s">
        <v>57</v>
      </c>
      <c r="C40" s="18" t="s">
        <v>2952</v>
      </c>
      <c r="D40" s="22">
        <v>3482861</v>
      </c>
      <c r="E40" s="22">
        <v>3482861</v>
      </c>
      <c r="F40" s="22">
        <v>0</v>
      </c>
      <c r="G40" s="18" t="s">
        <v>2943</v>
      </c>
      <c r="H40" s="18" t="s">
        <v>174</v>
      </c>
    </row>
    <row r="41" spans="1:8">
      <c r="A41" s="18" t="s">
        <v>13</v>
      </c>
      <c r="B41" s="18" t="s">
        <v>57</v>
      </c>
      <c r="C41" s="18" t="s">
        <v>2953</v>
      </c>
      <c r="D41" s="22">
        <v>54329</v>
      </c>
      <c r="E41" s="22">
        <v>54329</v>
      </c>
      <c r="F41" s="22">
        <v>0</v>
      </c>
      <c r="G41" s="18" t="s">
        <v>2943</v>
      </c>
      <c r="H41" s="18" t="s">
        <v>174</v>
      </c>
    </row>
    <row r="42" spans="1:8">
      <c r="A42" s="18" t="s">
        <v>13</v>
      </c>
      <c r="B42" s="18" t="s">
        <v>57</v>
      </c>
      <c r="C42" s="18" t="s">
        <v>2954</v>
      </c>
      <c r="D42" s="22">
        <v>3741803</v>
      </c>
      <c r="E42" s="22">
        <v>3741802</v>
      </c>
      <c r="F42" s="22">
        <v>1</v>
      </c>
      <c r="G42" s="18" t="s">
        <v>2949</v>
      </c>
      <c r="H42" s="18" t="s">
        <v>175</v>
      </c>
    </row>
    <row r="43" spans="1:8">
      <c r="A43" s="18" t="s">
        <v>13</v>
      </c>
      <c r="B43" s="18" t="s">
        <v>57</v>
      </c>
      <c r="C43" s="18" t="s">
        <v>2955</v>
      </c>
      <c r="D43" s="22">
        <v>65577</v>
      </c>
      <c r="E43" s="22">
        <v>65577</v>
      </c>
      <c r="F43" s="22">
        <v>0</v>
      </c>
      <c r="G43" s="18" t="s">
        <v>2943</v>
      </c>
      <c r="H43" s="18" t="s">
        <v>175</v>
      </c>
    </row>
    <row r="44" spans="1:8">
      <c r="A44" s="18" t="s">
        <v>13</v>
      </c>
      <c r="B44" s="18" t="s">
        <v>57</v>
      </c>
      <c r="C44" s="18" t="s">
        <v>2956</v>
      </c>
      <c r="D44" s="22">
        <v>3374633</v>
      </c>
      <c r="E44" s="22">
        <v>3374633</v>
      </c>
      <c r="F44" s="22">
        <v>0</v>
      </c>
      <c r="G44" s="18" t="s">
        <v>2943</v>
      </c>
      <c r="H44" s="18" t="s">
        <v>176</v>
      </c>
    </row>
    <row r="45" spans="1:8">
      <c r="A45" s="18" t="s">
        <v>13</v>
      </c>
      <c r="B45" s="18" t="s">
        <v>57</v>
      </c>
      <c r="C45" s="18" t="s">
        <v>2957</v>
      </c>
      <c r="D45" s="22">
        <v>105594</v>
      </c>
      <c r="E45" s="22">
        <v>105594</v>
      </c>
      <c r="F45" s="22">
        <v>0</v>
      </c>
      <c r="G45" s="18" t="s">
        <v>2943</v>
      </c>
      <c r="H45" s="18" t="s">
        <v>176</v>
      </c>
    </row>
    <row r="46" spans="1:8">
      <c r="A46" s="18" t="s">
        <v>13</v>
      </c>
      <c r="B46" s="18" t="s">
        <v>57</v>
      </c>
      <c r="C46" s="18" t="s">
        <v>2958</v>
      </c>
      <c r="D46" s="22">
        <v>3024427</v>
      </c>
      <c r="E46" s="22">
        <v>3024427</v>
      </c>
      <c r="F46" s="22">
        <v>0</v>
      </c>
      <c r="G46" s="18" t="s">
        <v>2943</v>
      </c>
      <c r="H46" s="18" t="s">
        <v>177</v>
      </c>
    </row>
    <row r="47" spans="1:8">
      <c r="A47" s="18" t="s">
        <v>13</v>
      </c>
      <c r="B47" s="18" t="s">
        <v>57</v>
      </c>
      <c r="C47" s="18" t="s">
        <v>2959</v>
      </c>
      <c r="D47" s="22">
        <v>165537</v>
      </c>
      <c r="E47" s="22">
        <v>165538</v>
      </c>
      <c r="F47" s="22">
        <v>-1</v>
      </c>
      <c r="G47" s="18" t="s">
        <v>2949</v>
      </c>
      <c r="H47" s="18" t="s">
        <v>177</v>
      </c>
    </row>
    <row r="48" spans="1:8">
      <c r="A48" s="18" t="s">
        <v>13</v>
      </c>
      <c r="B48" s="18" t="s">
        <v>57</v>
      </c>
      <c r="C48" s="18" t="s">
        <v>2960</v>
      </c>
      <c r="D48" s="22">
        <v>2866507</v>
      </c>
      <c r="E48" s="22">
        <v>2866508</v>
      </c>
      <c r="F48" s="22">
        <v>-1</v>
      </c>
      <c r="G48" s="18" t="s">
        <v>2949</v>
      </c>
      <c r="H48" s="18" t="s">
        <v>178</v>
      </c>
    </row>
    <row r="49" spans="1:8">
      <c r="A49" s="18" t="s">
        <v>13</v>
      </c>
      <c r="B49" s="18" t="s">
        <v>57</v>
      </c>
      <c r="C49" s="18" t="s">
        <v>2961</v>
      </c>
      <c r="D49" s="22">
        <v>940576</v>
      </c>
      <c r="E49" s="22">
        <v>940576</v>
      </c>
      <c r="F49" s="22">
        <v>0</v>
      </c>
      <c r="G49" s="18" t="s">
        <v>2943</v>
      </c>
      <c r="H49" s="18" t="s">
        <v>178</v>
      </c>
    </row>
    <row r="50" spans="1:8">
      <c r="A50" s="18" t="s">
        <v>13</v>
      </c>
      <c r="B50" s="18" t="s">
        <v>57</v>
      </c>
      <c r="C50" s="18" t="s">
        <v>2962</v>
      </c>
      <c r="D50" s="22">
        <v>201645267</v>
      </c>
      <c r="E50" s="22">
        <v>201645267</v>
      </c>
      <c r="F50" s="22">
        <v>0</v>
      </c>
      <c r="G50" s="18" t="s">
        <v>2943</v>
      </c>
      <c r="H50" s="18" t="s">
        <v>2978</v>
      </c>
    </row>
    <row r="51" spans="1:8">
      <c r="A51" s="18" t="s">
        <v>13</v>
      </c>
      <c r="B51" s="18" t="s">
        <v>57</v>
      </c>
      <c r="C51" s="18" t="s">
        <v>2964</v>
      </c>
      <c r="D51" s="22">
        <v>200259438</v>
      </c>
      <c r="E51" s="22">
        <v>200259438</v>
      </c>
      <c r="F51" s="22">
        <v>0</v>
      </c>
      <c r="G51" s="18" t="s">
        <v>2943</v>
      </c>
      <c r="H51" s="18" t="s">
        <v>2978</v>
      </c>
    </row>
    <row r="52" spans="1:8">
      <c r="A52" s="18" t="s">
        <v>13</v>
      </c>
      <c r="B52" s="18" t="s">
        <v>57</v>
      </c>
      <c r="C52" s="18" t="s">
        <v>2965</v>
      </c>
      <c r="D52" s="22">
        <v>1385829</v>
      </c>
      <c r="E52" s="22">
        <v>1385830</v>
      </c>
      <c r="F52" s="22">
        <v>-1</v>
      </c>
      <c r="G52" s="18" t="s">
        <v>2949</v>
      </c>
      <c r="H52" s="18" t="s">
        <v>2978</v>
      </c>
    </row>
    <row r="53" spans="1:8">
      <c r="A53" s="18" t="s">
        <v>13</v>
      </c>
      <c r="B53" s="18" t="s">
        <v>57</v>
      </c>
      <c r="C53" s="18" t="s">
        <v>2966</v>
      </c>
      <c r="D53" s="22">
        <v>78908106</v>
      </c>
      <c r="E53" s="22">
        <v>78908106</v>
      </c>
      <c r="F53" s="22">
        <v>0</v>
      </c>
      <c r="G53" s="18" t="s">
        <v>2943</v>
      </c>
      <c r="H53" s="18" t="s">
        <v>2978</v>
      </c>
    </row>
    <row r="54" spans="1:8">
      <c r="A54" s="18" t="s">
        <v>13</v>
      </c>
      <c r="B54" s="18" t="s">
        <v>57</v>
      </c>
      <c r="C54" s="18" t="s">
        <v>2968</v>
      </c>
      <c r="D54" s="22">
        <v>401983</v>
      </c>
      <c r="E54" s="22">
        <v>401982</v>
      </c>
      <c r="F54" s="22">
        <v>1</v>
      </c>
      <c r="G54" s="18" t="s">
        <v>2949</v>
      </c>
      <c r="H54" s="18" t="s">
        <v>2978</v>
      </c>
    </row>
    <row r="55" spans="1:8">
      <c r="A55" s="18" t="s">
        <v>13</v>
      </c>
      <c r="B55" s="18" t="s">
        <v>57</v>
      </c>
      <c r="C55" s="18" t="s">
        <v>2979</v>
      </c>
      <c r="D55" s="22">
        <v>120949349</v>
      </c>
      <c r="E55" s="22">
        <v>120949349</v>
      </c>
      <c r="F55" s="22">
        <v>0</v>
      </c>
      <c r="G55" s="18" t="s">
        <v>2943</v>
      </c>
      <c r="H55" s="18" t="s">
        <v>2978</v>
      </c>
    </row>
    <row r="56" spans="1:8">
      <c r="A56" s="18" t="s">
        <v>13</v>
      </c>
      <c r="B56" s="18" t="s">
        <v>57</v>
      </c>
      <c r="C56" s="18" t="s">
        <v>2969</v>
      </c>
      <c r="D56" s="22">
        <v>1787812</v>
      </c>
      <c r="E56" s="22">
        <v>1787812</v>
      </c>
      <c r="F56" s="22">
        <v>0</v>
      </c>
      <c r="G56" s="18" t="s">
        <v>2943</v>
      </c>
      <c r="H56" s="18" t="s">
        <v>2980</v>
      </c>
    </row>
    <row r="57" spans="1:8">
      <c r="A57" s="18" t="s">
        <v>13</v>
      </c>
      <c r="B57" s="18" t="s">
        <v>57</v>
      </c>
      <c r="C57" s="18" t="s">
        <v>2971</v>
      </c>
      <c r="D57" s="22">
        <v>7763</v>
      </c>
      <c r="E57" s="22">
        <v>7763</v>
      </c>
      <c r="F57" s="22">
        <v>0</v>
      </c>
      <c r="G57" s="18" t="s">
        <v>2943</v>
      </c>
      <c r="H57" s="18" t="s">
        <v>2980</v>
      </c>
    </row>
    <row r="58" spans="1:8">
      <c r="A58" s="18" t="s">
        <v>13</v>
      </c>
      <c r="B58" s="18" t="s">
        <v>57</v>
      </c>
      <c r="C58" s="18" t="s">
        <v>2972</v>
      </c>
      <c r="D58" s="22">
        <v>1787812</v>
      </c>
      <c r="E58" s="22">
        <v>1787812</v>
      </c>
      <c r="F58" s="22">
        <v>0</v>
      </c>
      <c r="G58" s="18" t="s">
        <v>2943</v>
      </c>
      <c r="H58" s="18" t="s">
        <v>2981</v>
      </c>
    </row>
    <row r="59" spans="1:8">
      <c r="A59" s="18" t="s">
        <v>13</v>
      </c>
      <c r="B59" s="18" t="s">
        <v>57</v>
      </c>
      <c r="C59" s="18" t="s">
        <v>2975</v>
      </c>
      <c r="D59" s="22">
        <v>7763</v>
      </c>
      <c r="E59" s="22">
        <v>7763</v>
      </c>
      <c r="F59" s="22">
        <v>0</v>
      </c>
      <c r="G59" s="18" t="s">
        <v>2943</v>
      </c>
      <c r="H59" s="18" t="s">
        <v>2981</v>
      </c>
    </row>
    <row r="60" spans="1:8">
      <c r="A60" s="18" t="s">
        <v>13</v>
      </c>
      <c r="B60" s="18" t="s">
        <v>57</v>
      </c>
      <c r="C60" s="18" t="s">
        <v>2976</v>
      </c>
      <c r="D60" s="22">
        <v>1787812</v>
      </c>
      <c r="E60" s="22">
        <v>1787812</v>
      </c>
      <c r="F60" s="22">
        <v>0</v>
      </c>
      <c r="G60" s="18" t="s">
        <v>2943</v>
      </c>
      <c r="H60" s="18" t="s">
        <v>2981</v>
      </c>
    </row>
    <row r="61" spans="1:8">
      <c r="A61" s="18" t="s">
        <v>13</v>
      </c>
      <c r="B61" s="18" t="s">
        <v>57</v>
      </c>
      <c r="C61" s="18" t="s">
        <v>2977</v>
      </c>
      <c r="D61" s="22">
        <v>7763</v>
      </c>
      <c r="E61" s="22">
        <v>7763</v>
      </c>
      <c r="F61" s="22">
        <v>0</v>
      </c>
      <c r="G61" s="18" t="s">
        <v>2943</v>
      </c>
      <c r="H61" s="18" t="s">
        <v>2981</v>
      </c>
    </row>
    <row r="62" spans="1:8">
      <c r="A62" s="18" t="s">
        <v>13</v>
      </c>
      <c r="B62" s="18" t="s">
        <v>62</v>
      </c>
      <c r="C62" s="18" t="s">
        <v>2942</v>
      </c>
      <c r="D62" s="22">
        <v>348846</v>
      </c>
      <c r="E62" s="22">
        <v>348845</v>
      </c>
      <c r="F62" s="22">
        <v>1</v>
      </c>
      <c r="G62" s="18" t="s">
        <v>2949</v>
      </c>
      <c r="H62" s="18" t="s">
        <v>64</v>
      </c>
    </row>
    <row r="63" spans="1:8">
      <c r="A63" s="18" t="s">
        <v>13</v>
      </c>
      <c r="B63" s="18" t="s">
        <v>62</v>
      </c>
      <c r="C63" s="18" t="s">
        <v>2944</v>
      </c>
      <c r="D63" s="22">
        <v>0</v>
      </c>
      <c r="E63" s="22">
        <v>0</v>
      </c>
      <c r="F63" s="22">
        <v>0</v>
      </c>
      <c r="G63" s="18" t="s">
        <v>2943</v>
      </c>
      <c r="H63" s="18" t="s">
        <v>64</v>
      </c>
    </row>
    <row r="64" spans="1:8">
      <c r="A64" s="18" t="s">
        <v>13</v>
      </c>
      <c r="B64" s="18" t="s">
        <v>62</v>
      </c>
      <c r="C64" s="18" t="s">
        <v>2945</v>
      </c>
      <c r="D64" s="22">
        <v>19339726</v>
      </c>
      <c r="E64" s="22">
        <v>19339726</v>
      </c>
      <c r="F64" s="22">
        <v>0</v>
      </c>
      <c r="G64" s="18" t="s">
        <v>2943</v>
      </c>
      <c r="H64" s="18" t="s">
        <v>65</v>
      </c>
    </row>
    <row r="65" spans="1:8">
      <c r="A65" s="18" t="s">
        <v>13</v>
      </c>
      <c r="B65" s="18" t="s">
        <v>62</v>
      </c>
      <c r="C65" s="18" t="s">
        <v>2946</v>
      </c>
      <c r="D65" s="22">
        <v>236976</v>
      </c>
      <c r="E65" s="22">
        <v>236975</v>
      </c>
      <c r="F65" s="22">
        <v>1</v>
      </c>
      <c r="G65" s="18" t="s">
        <v>2949</v>
      </c>
      <c r="H65" s="18" t="s">
        <v>65</v>
      </c>
    </row>
    <row r="66" spans="1:8">
      <c r="A66" s="18" t="s">
        <v>13</v>
      </c>
      <c r="B66" s="18" t="s">
        <v>62</v>
      </c>
      <c r="C66" s="18" t="s">
        <v>2947</v>
      </c>
      <c r="D66" s="22">
        <v>7243846</v>
      </c>
      <c r="E66" s="22">
        <v>7243846</v>
      </c>
      <c r="F66" s="22">
        <v>0</v>
      </c>
      <c r="G66" s="18" t="s">
        <v>2943</v>
      </c>
      <c r="H66" s="18" t="s">
        <v>66</v>
      </c>
    </row>
    <row r="67" spans="1:8">
      <c r="A67" s="18" t="s">
        <v>13</v>
      </c>
      <c r="B67" s="18" t="s">
        <v>62</v>
      </c>
      <c r="C67" s="18" t="s">
        <v>2948</v>
      </c>
      <c r="D67" s="22">
        <v>2968780</v>
      </c>
      <c r="E67" s="22">
        <v>2968780</v>
      </c>
      <c r="F67" s="22">
        <v>0</v>
      </c>
      <c r="G67" s="18" t="s">
        <v>2943</v>
      </c>
      <c r="H67" s="18" t="s">
        <v>66</v>
      </c>
    </row>
    <row r="68" spans="1:8">
      <c r="A68" s="18" t="s">
        <v>13</v>
      </c>
      <c r="B68" s="18" t="s">
        <v>62</v>
      </c>
      <c r="C68" s="18" t="s">
        <v>2950</v>
      </c>
      <c r="D68" s="22">
        <v>1382081</v>
      </c>
      <c r="E68" s="22">
        <v>1382081</v>
      </c>
      <c r="F68" s="22">
        <v>0</v>
      </c>
      <c r="G68" s="18" t="s">
        <v>2943</v>
      </c>
      <c r="H68" s="18" t="s">
        <v>179</v>
      </c>
    </row>
    <row r="69" spans="1:8">
      <c r="A69" s="18" t="s">
        <v>13</v>
      </c>
      <c r="B69" s="18" t="s">
        <v>62</v>
      </c>
      <c r="C69" s="18" t="s">
        <v>2951</v>
      </c>
      <c r="D69" s="22">
        <v>31473</v>
      </c>
      <c r="E69" s="22">
        <v>31473</v>
      </c>
      <c r="F69" s="22">
        <v>0</v>
      </c>
      <c r="G69" s="18" t="s">
        <v>2943</v>
      </c>
      <c r="H69" s="18" t="s">
        <v>179</v>
      </c>
    </row>
    <row r="70" spans="1:8">
      <c r="A70" s="18" t="s">
        <v>13</v>
      </c>
      <c r="B70" s="18" t="s">
        <v>62</v>
      </c>
      <c r="C70" s="18" t="s">
        <v>2952</v>
      </c>
      <c r="D70" s="22">
        <v>1729340</v>
      </c>
      <c r="E70" s="22">
        <v>1729340</v>
      </c>
      <c r="F70" s="22">
        <v>0</v>
      </c>
      <c r="G70" s="18" t="s">
        <v>2943</v>
      </c>
      <c r="H70" s="18" t="s">
        <v>180</v>
      </c>
    </row>
    <row r="71" spans="1:8">
      <c r="A71" s="18" t="s">
        <v>13</v>
      </c>
      <c r="B71" s="18" t="s">
        <v>62</v>
      </c>
      <c r="C71" s="18" t="s">
        <v>2953</v>
      </c>
      <c r="D71" s="22">
        <v>41100</v>
      </c>
      <c r="E71" s="22">
        <v>41100</v>
      </c>
      <c r="F71" s="22">
        <v>0</v>
      </c>
      <c r="G71" s="18" t="s">
        <v>2943</v>
      </c>
      <c r="H71" s="18" t="s">
        <v>180</v>
      </c>
    </row>
    <row r="72" spans="1:8">
      <c r="A72" s="18" t="s">
        <v>13</v>
      </c>
      <c r="B72" s="18" t="s">
        <v>62</v>
      </c>
      <c r="C72" s="18" t="s">
        <v>2954</v>
      </c>
      <c r="D72" s="22">
        <v>1852619</v>
      </c>
      <c r="E72" s="22">
        <v>1852619</v>
      </c>
      <c r="F72" s="22">
        <v>0</v>
      </c>
      <c r="G72" s="18" t="s">
        <v>2943</v>
      </c>
      <c r="H72" s="18" t="s">
        <v>181</v>
      </c>
    </row>
    <row r="73" spans="1:8">
      <c r="A73" s="18" t="s">
        <v>13</v>
      </c>
      <c r="B73" s="18" t="s">
        <v>62</v>
      </c>
      <c r="C73" s="18" t="s">
        <v>2955</v>
      </c>
      <c r="D73" s="22">
        <v>211990</v>
      </c>
      <c r="E73" s="22">
        <v>211990</v>
      </c>
      <c r="F73" s="22">
        <v>0</v>
      </c>
      <c r="G73" s="18" t="s">
        <v>2943</v>
      </c>
      <c r="H73" s="18" t="s">
        <v>181</v>
      </c>
    </row>
    <row r="74" spans="1:8">
      <c r="A74" s="18" t="s">
        <v>13</v>
      </c>
      <c r="B74" s="18" t="s">
        <v>62</v>
      </c>
      <c r="C74" s="18" t="s">
        <v>2956</v>
      </c>
      <c r="D74" s="22">
        <v>1533214</v>
      </c>
      <c r="E74" s="22">
        <v>1533214</v>
      </c>
      <c r="F74" s="22">
        <v>0</v>
      </c>
      <c r="G74" s="18" t="s">
        <v>2943</v>
      </c>
      <c r="H74" s="18" t="s">
        <v>182</v>
      </c>
    </row>
    <row r="75" spans="1:8">
      <c r="A75" s="18" t="s">
        <v>13</v>
      </c>
      <c r="B75" s="18" t="s">
        <v>62</v>
      </c>
      <c r="C75" s="18" t="s">
        <v>2957</v>
      </c>
      <c r="D75" s="22">
        <v>370063</v>
      </c>
      <c r="E75" s="22">
        <v>370063</v>
      </c>
      <c r="F75" s="22">
        <v>0</v>
      </c>
      <c r="G75" s="18" t="s">
        <v>2943</v>
      </c>
      <c r="H75" s="18" t="s">
        <v>182</v>
      </c>
    </row>
    <row r="76" spans="1:8">
      <c r="A76" s="18" t="s">
        <v>13</v>
      </c>
      <c r="B76" s="18" t="s">
        <v>62</v>
      </c>
      <c r="C76" s="18" t="s">
        <v>2958</v>
      </c>
      <c r="D76" s="22">
        <v>716411</v>
      </c>
      <c r="E76" s="22">
        <v>716411</v>
      </c>
      <c r="F76" s="22">
        <v>0</v>
      </c>
      <c r="G76" s="18" t="s">
        <v>2943</v>
      </c>
      <c r="H76" s="18" t="s">
        <v>183</v>
      </c>
    </row>
    <row r="77" spans="1:8">
      <c r="A77" s="18" t="s">
        <v>13</v>
      </c>
      <c r="B77" s="18" t="s">
        <v>62</v>
      </c>
      <c r="C77" s="18" t="s">
        <v>2959</v>
      </c>
      <c r="D77" s="22">
        <v>723150</v>
      </c>
      <c r="E77" s="22">
        <v>723151</v>
      </c>
      <c r="F77" s="22">
        <v>-1</v>
      </c>
      <c r="G77" s="18" t="s">
        <v>2949</v>
      </c>
      <c r="H77" s="18" t="s">
        <v>183</v>
      </c>
    </row>
    <row r="78" spans="1:8">
      <c r="A78" s="18" t="s">
        <v>13</v>
      </c>
      <c r="B78" s="18" t="s">
        <v>62</v>
      </c>
      <c r="C78" s="18" t="s">
        <v>2960</v>
      </c>
      <c r="D78" s="22">
        <v>30181</v>
      </c>
      <c r="E78" s="22">
        <v>30181</v>
      </c>
      <c r="F78" s="22">
        <v>0</v>
      </c>
      <c r="G78" s="18" t="s">
        <v>2943</v>
      </c>
      <c r="H78" s="18" t="s">
        <v>184</v>
      </c>
    </row>
    <row r="79" spans="1:8">
      <c r="A79" s="18" t="s">
        <v>13</v>
      </c>
      <c r="B79" s="18" t="s">
        <v>62</v>
      </c>
      <c r="C79" s="18" t="s">
        <v>2961</v>
      </c>
      <c r="D79" s="22">
        <v>1554729</v>
      </c>
      <c r="E79" s="22">
        <v>1554728</v>
      </c>
      <c r="F79" s="22">
        <v>1</v>
      </c>
      <c r="G79" s="18" t="s">
        <v>2949</v>
      </c>
      <c r="H79" s="18" t="s">
        <v>184</v>
      </c>
    </row>
    <row r="80" spans="1:8">
      <c r="A80" s="18" t="s">
        <v>13</v>
      </c>
      <c r="B80" s="18" t="s">
        <v>62</v>
      </c>
      <c r="C80" s="18" t="s">
        <v>2962</v>
      </c>
      <c r="D80" s="22">
        <v>30138173</v>
      </c>
      <c r="E80" s="22">
        <v>30138173</v>
      </c>
      <c r="F80" s="22">
        <v>0</v>
      </c>
      <c r="G80" s="18" t="s">
        <v>2943</v>
      </c>
      <c r="H80" s="18" t="s">
        <v>2982</v>
      </c>
    </row>
    <row r="81" spans="1:8">
      <c r="A81" s="18" t="s">
        <v>13</v>
      </c>
      <c r="B81" s="18" t="s">
        <v>62</v>
      </c>
      <c r="C81" s="18" t="s">
        <v>2964</v>
      </c>
      <c r="D81" s="22">
        <v>26932417</v>
      </c>
      <c r="E81" s="22">
        <v>26932418</v>
      </c>
      <c r="F81" s="22">
        <v>-1</v>
      </c>
      <c r="G81" s="18" t="s">
        <v>2949</v>
      </c>
      <c r="H81" s="18" t="s">
        <v>2982</v>
      </c>
    </row>
    <row r="82" spans="1:8">
      <c r="A82" s="18" t="s">
        <v>13</v>
      </c>
      <c r="B82" s="18" t="s">
        <v>62</v>
      </c>
      <c r="C82" s="18" t="s">
        <v>2965</v>
      </c>
      <c r="D82" s="22">
        <v>3205755</v>
      </c>
      <c r="E82" s="22">
        <v>3205755</v>
      </c>
      <c r="F82" s="22">
        <v>0</v>
      </c>
      <c r="G82" s="18" t="s">
        <v>2943</v>
      </c>
      <c r="H82" s="18" t="s">
        <v>2982</v>
      </c>
    </row>
    <row r="83" spans="1:8">
      <c r="A83" s="18" t="s">
        <v>13</v>
      </c>
      <c r="B83" s="18" t="s">
        <v>62</v>
      </c>
      <c r="C83" s="18" t="s">
        <v>2966</v>
      </c>
      <c r="D83" s="22">
        <v>26820586</v>
      </c>
      <c r="E83" s="22">
        <v>26820586</v>
      </c>
      <c r="F83" s="22">
        <v>0</v>
      </c>
      <c r="G83" s="18" t="s">
        <v>2943</v>
      </c>
      <c r="H83" s="18" t="s">
        <v>2982</v>
      </c>
    </row>
    <row r="84" spans="1:8">
      <c r="A84" s="18" t="s">
        <v>13</v>
      </c>
      <c r="B84" s="18" t="s">
        <v>62</v>
      </c>
      <c r="C84" s="18" t="s">
        <v>2968</v>
      </c>
      <c r="D84" s="22">
        <v>111832</v>
      </c>
      <c r="E84" s="22">
        <v>111832</v>
      </c>
      <c r="F84" s="22">
        <v>0</v>
      </c>
      <c r="G84" s="18" t="s">
        <v>2943</v>
      </c>
      <c r="H84" s="18" t="s">
        <v>2982</v>
      </c>
    </row>
    <row r="85" spans="1:8">
      <c r="A85" s="18" t="s">
        <v>13</v>
      </c>
      <c r="B85" s="18" t="s">
        <v>62</v>
      </c>
      <c r="C85" s="18" t="s">
        <v>2979</v>
      </c>
      <c r="D85" s="22">
        <v>0</v>
      </c>
      <c r="E85" s="22">
        <v>0</v>
      </c>
      <c r="F85" s="22">
        <v>0</v>
      </c>
      <c r="G85" s="18" t="s">
        <v>2943</v>
      </c>
      <c r="H85" s="18" t="s">
        <v>2982</v>
      </c>
    </row>
    <row r="86" spans="1:8">
      <c r="A86" s="18" t="s">
        <v>13</v>
      </c>
      <c r="B86" s="18" t="s">
        <v>62</v>
      </c>
      <c r="C86" s="18" t="s">
        <v>2969</v>
      </c>
      <c r="D86" s="22">
        <v>3317588</v>
      </c>
      <c r="E86" s="22">
        <v>3317587</v>
      </c>
      <c r="F86" s="22">
        <v>1</v>
      </c>
      <c r="G86" s="18" t="s">
        <v>2949</v>
      </c>
      <c r="H86" s="18" t="s">
        <v>2983</v>
      </c>
    </row>
    <row r="87" spans="1:8">
      <c r="A87" s="18" t="s">
        <v>13</v>
      </c>
      <c r="B87" s="18" t="s">
        <v>62</v>
      </c>
      <c r="C87" s="18" t="s">
        <v>2971</v>
      </c>
      <c r="D87" s="22">
        <v>14816</v>
      </c>
      <c r="E87" s="22">
        <v>14816</v>
      </c>
      <c r="F87" s="22">
        <v>0</v>
      </c>
      <c r="G87" s="18" t="s">
        <v>2943</v>
      </c>
      <c r="H87" s="18" t="s">
        <v>2983</v>
      </c>
    </row>
    <row r="88" spans="1:8">
      <c r="A88" s="18" t="s">
        <v>13</v>
      </c>
      <c r="B88" s="18" t="s">
        <v>62</v>
      </c>
      <c r="C88" s="18" t="s">
        <v>2972</v>
      </c>
      <c r="E88" s="22">
        <v>3317587</v>
      </c>
      <c r="G88" s="18" t="s">
        <v>2973</v>
      </c>
      <c r="H88" s="18" t="s">
        <v>2984</v>
      </c>
    </row>
    <row r="89" spans="1:8">
      <c r="A89" s="18" t="s">
        <v>13</v>
      </c>
      <c r="B89" s="18" t="s">
        <v>62</v>
      </c>
      <c r="C89" s="18" t="s">
        <v>2975</v>
      </c>
      <c r="E89" s="22">
        <v>14816</v>
      </c>
      <c r="G89" s="18" t="s">
        <v>2973</v>
      </c>
      <c r="H89" s="18" t="s">
        <v>2984</v>
      </c>
    </row>
    <row r="90" spans="1:8">
      <c r="A90" s="18" t="s">
        <v>13</v>
      </c>
      <c r="B90" s="18" t="s">
        <v>62</v>
      </c>
      <c r="C90" s="18" t="s">
        <v>2976</v>
      </c>
      <c r="D90" s="22">
        <v>3317587</v>
      </c>
      <c r="E90" s="22">
        <v>3317587</v>
      </c>
      <c r="F90" s="22">
        <v>0</v>
      </c>
      <c r="G90" s="18" t="s">
        <v>2943</v>
      </c>
      <c r="H90" s="18" t="s">
        <v>2984</v>
      </c>
    </row>
    <row r="91" spans="1:8">
      <c r="A91" s="18" t="s">
        <v>13</v>
      </c>
      <c r="B91" s="18" t="s">
        <v>62</v>
      </c>
      <c r="C91" s="18" t="s">
        <v>2977</v>
      </c>
      <c r="D91" s="22">
        <v>14816</v>
      </c>
      <c r="E91" s="22">
        <v>14816</v>
      </c>
      <c r="F91" s="22">
        <v>0</v>
      </c>
      <c r="G91" s="18" t="s">
        <v>2943</v>
      </c>
      <c r="H91" s="18" t="s">
        <v>2984</v>
      </c>
    </row>
    <row r="92" spans="1:8">
      <c r="A92" s="18" t="s">
        <v>13</v>
      </c>
      <c r="B92" s="18" t="s">
        <v>67</v>
      </c>
      <c r="C92" s="18" t="s">
        <v>2942</v>
      </c>
      <c r="D92" s="22">
        <v>119293733</v>
      </c>
      <c r="E92" s="22">
        <v>119293733</v>
      </c>
      <c r="F92" s="22">
        <v>0</v>
      </c>
      <c r="G92" s="18" t="s">
        <v>2943</v>
      </c>
      <c r="H92" s="18" t="s">
        <v>69</v>
      </c>
    </row>
    <row r="93" spans="1:8">
      <c r="A93" s="18" t="s">
        <v>13</v>
      </c>
      <c r="B93" s="18" t="s">
        <v>67</v>
      </c>
      <c r="C93" s="18" t="s">
        <v>2944</v>
      </c>
      <c r="D93" s="22">
        <v>925436</v>
      </c>
      <c r="E93" s="22">
        <v>925436</v>
      </c>
      <c r="F93" s="22">
        <v>0</v>
      </c>
      <c r="G93" s="18" t="s">
        <v>2943</v>
      </c>
      <c r="H93" s="18" t="s">
        <v>69</v>
      </c>
    </row>
    <row r="94" spans="1:8">
      <c r="A94" s="18" t="s">
        <v>13</v>
      </c>
      <c r="B94" s="18" t="s">
        <v>67</v>
      </c>
      <c r="C94" s="18" t="s">
        <v>2945</v>
      </c>
      <c r="D94" s="22">
        <v>17782668</v>
      </c>
      <c r="E94" s="22">
        <v>17782667</v>
      </c>
      <c r="F94" s="22">
        <v>1</v>
      </c>
      <c r="G94" s="18" t="s">
        <v>2949</v>
      </c>
      <c r="H94" s="18" t="s">
        <v>70</v>
      </c>
    </row>
    <row r="95" spans="1:8">
      <c r="A95" s="18" t="s">
        <v>13</v>
      </c>
      <c r="B95" s="18" t="s">
        <v>67</v>
      </c>
      <c r="C95" s="18" t="s">
        <v>2946</v>
      </c>
      <c r="D95" s="22">
        <v>534854</v>
      </c>
      <c r="E95" s="22">
        <v>534855</v>
      </c>
      <c r="F95" s="22">
        <v>-1</v>
      </c>
      <c r="G95" s="18" t="s">
        <v>2949</v>
      </c>
      <c r="H95" s="18" t="s">
        <v>70</v>
      </c>
    </row>
    <row r="96" spans="1:8">
      <c r="A96" s="18" t="s">
        <v>13</v>
      </c>
      <c r="B96" s="18" t="s">
        <v>67</v>
      </c>
      <c r="C96" s="18" t="s">
        <v>2947</v>
      </c>
      <c r="D96" s="22">
        <v>2985032</v>
      </c>
      <c r="E96" s="22">
        <v>2985032</v>
      </c>
      <c r="F96" s="22">
        <v>0</v>
      </c>
      <c r="G96" s="18" t="s">
        <v>2943</v>
      </c>
      <c r="H96" s="18" t="s">
        <v>71</v>
      </c>
    </row>
    <row r="97" spans="1:8">
      <c r="A97" s="18" t="s">
        <v>13</v>
      </c>
      <c r="B97" s="18" t="s">
        <v>67</v>
      </c>
      <c r="C97" s="18" t="s">
        <v>2948</v>
      </c>
      <c r="D97" s="22">
        <v>1986374</v>
      </c>
      <c r="E97" s="22">
        <v>1986374</v>
      </c>
      <c r="F97" s="22">
        <v>0</v>
      </c>
      <c r="G97" s="18" t="s">
        <v>2943</v>
      </c>
      <c r="H97" s="18" t="s">
        <v>71</v>
      </c>
    </row>
    <row r="98" spans="1:8">
      <c r="A98" s="18" t="s">
        <v>13</v>
      </c>
      <c r="B98" s="18" t="s">
        <v>67</v>
      </c>
      <c r="C98" s="18" t="s">
        <v>2950</v>
      </c>
      <c r="D98" s="22">
        <v>425573</v>
      </c>
      <c r="E98" s="22">
        <v>425573</v>
      </c>
      <c r="F98" s="22">
        <v>0</v>
      </c>
      <c r="G98" s="18" t="s">
        <v>2943</v>
      </c>
      <c r="H98" s="18" t="s">
        <v>185</v>
      </c>
    </row>
    <row r="99" spans="1:8">
      <c r="A99" s="18" t="s">
        <v>13</v>
      </c>
      <c r="B99" s="18" t="s">
        <v>67</v>
      </c>
      <c r="C99" s="18" t="s">
        <v>2951</v>
      </c>
      <c r="D99" s="22">
        <v>174570</v>
      </c>
      <c r="E99" s="22">
        <v>174569</v>
      </c>
      <c r="F99" s="22">
        <v>1</v>
      </c>
      <c r="G99" s="18" t="s">
        <v>2949</v>
      </c>
      <c r="H99" s="18" t="s">
        <v>185</v>
      </c>
    </row>
    <row r="100" spans="1:8">
      <c r="A100" s="18" t="s">
        <v>13</v>
      </c>
      <c r="B100" s="18" t="s">
        <v>67</v>
      </c>
      <c r="C100" s="18" t="s">
        <v>2952</v>
      </c>
      <c r="D100" s="22">
        <v>728595</v>
      </c>
      <c r="E100" s="22">
        <v>728595</v>
      </c>
      <c r="F100" s="22">
        <v>0</v>
      </c>
      <c r="G100" s="18" t="s">
        <v>2943</v>
      </c>
      <c r="H100" s="18" t="s">
        <v>186</v>
      </c>
    </row>
    <row r="101" spans="1:8">
      <c r="A101" s="18" t="s">
        <v>13</v>
      </c>
      <c r="B101" s="18" t="s">
        <v>67</v>
      </c>
      <c r="C101" s="18" t="s">
        <v>2953</v>
      </c>
      <c r="D101" s="22">
        <v>251811</v>
      </c>
      <c r="E101" s="22">
        <v>251811</v>
      </c>
      <c r="F101" s="22">
        <v>0</v>
      </c>
      <c r="G101" s="18" t="s">
        <v>2943</v>
      </c>
      <c r="H101" s="18" t="s">
        <v>186</v>
      </c>
    </row>
    <row r="102" spans="1:8">
      <c r="A102" s="18" t="s">
        <v>13</v>
      </c>
      <c r="B102" s="18" t="s">
        <v>67</v>
      </c>
      <c r="C102" s="18" t="s">
        <v>2954</v>
      </c>
      <c r="D102" s="22">
        <v>615764</v>
      </c>
      <c r="E102" s="22">
        <v>615764</v>
      </c>
      <c r="F102" s="22">
        <v>0</v>
      </c>
      <c r="G102" s="18" t="s">
        <v>2943</v>
      </c>
      <c r="H102" s="18" t="s">
        <v>187</v>
      </c>
    </row>
    <row r="103" spans="1:8">
      <c r="A103" s="18" t="s">
        <v>13</v>
      </c>
      <c r="B103" s="18" t="s">
        <v>67</v>
      </c>
      <c r="C103" s="18" t="s">
        <v>2955</v>
      </c>
      <c r="D103" s="22">
        <v>186422</v>
      </c>
      <c r="E103" s="22">
        <v>186422</v>
      </c>
      <c r="F103" s="22">
        <v>0</v>
      </c>
      <c r="G103" s="18" t="s">
        <v>2943</v>
      </c>
      <c r="H103" s="18" t="s">
        <v>187</v>
      </c>
    </row>
    <row r="104" spans="1:8">
      <c r="A104" s="18" t="s">
        <v>13</v>
      </c>
      <c r="B104" s="18" t="s">
        <v>67</v>
      </c>
      <c r="C104" s="18" t="s">
        <v>2956</v>
      </c>
      <c r="D104" s="22">
        <v>458997</v>
      </c>
      <c r="E104" s="22">
        <v>458997</v>
      </c>
      <c r="F104" s="22">
        <v>0</v>
      </c>
      <c r="G104" s="18" t="s">
        <v>2943</v>
      </c>
      <c r="H104" s="18" t="s">
        <v>188</v>
      </c>
    </row>
    <row r="105" spans="1:8">
      <c r="A105" s="18" t="s">
        <v>13</v>
      </c>
      <c r="B105" s="18" t="s">
        <v>67</v>
      </c>
      <c r="C105" s="18" t="s">
        <v>2957</v>
      </c>
      <c r="D105" s="22">
        <v>254751</v>
      </c>
      <c r="E105" s="22">
        <v>254752</v>
      </c>
      <c r="F105" s="22">
        <v>-1</v>
      </c>
      <c r="G105" s="18" t="s">
        <v>2949</v>
      </c>
      <c r="H105" s="18" t="s">
        <v>188</v>
      </c>
    </row>
    <row r="106" spans="1:8">
      <c r="A106" s="18" t="s">
        <v>13</v>
      </c>
      <c r="B106" s="18" t="s">
        <v>67</v>
      </c>
      <c r="C106" s="18" t="s">
        <v>2958</v>
      </c>
      <c r="D106" s="22">
        <v>447570</v>
      </c>
      <c r="E106" s="22">
        <v>447570</v>
      </c>
      <c r="F106" s="22">
        <v>0</v>
      </c>
      <c r="G106" s="18" t="s">
        <v>2943</v>
      </c>
      <c r="H106" s="18" t="s">
        <v>189</v>
      </c>
    </row>
    <row r="107" spans="1:8">
      <c r="A107" s="18" t="s">
        <v>13</v>
      </c>
      <c r="B107" s="18" t="s">
        <v>67</v>
      </c>
      <c r="C107" s="18" t="s">
        <v>2959</v>
      </c>
      <c r="D107" s="22">
        <v>286978</v>
      </c>
      <c r="E107" s="22">
        <v>286978</v>
      </c>
      <c r="F107" s="22">
        <v>0</v>
      </c>
      <c r="G107" s="18" t="s">
        <v>2943</v>
      </c>
      <c r="H107" s="18" t="s">
        <v>189</v>
      </c>
    </row>
    <row r="108" spans="1:8">
      <c r="A108" s="18" t="s">
        <v>13</v>
      </c>
      <c r="B108" s="18" t="s">
        <v>67</v>
      </c>
      <c r="C108" s="18" t="s">
        <v>2960</v>
      </c>
      <c r="D108" s="22">
        <v>308532</v>
      </c>
      <c r="E108" s="22">
        <v>308532</v>
      </c>
      <c r="F108" s="22">
        <v>0</v>
      </c>
      <c r="G108" s="18" t="s">
        <v>2943</v>
      </c>
      <c r="H108" s="18" t="s">
        <v>190</v>
      </c>
    </row>
    <row r="109" spans="1:8">
      <c r="A109" s="18" t="s">
        <v>13</v>
      </c>
      <c r="B109" s="18" t="s">
        <v>67</v>
      </c>
      <c r="C109" s="18" t="s">
        <v>2961</v>
      </c>
      <c r="D109" s="22">
        <v>831843</v>
      </c>
      <c r="E109" s="22">
        <v>831843</v>
      </c>
      <c r="F109" s="22">
        <v>0</v>
      </c>
      <c r="G109" s="18" t="s">
        <v>2943</v>
      </c>
      <c r="H109" s="18" t="s">
        <v>190</v>
      </c>
    </row>
    <row r="110" spans="1:8">
      <c r="A110" s="18" t="s">
        <v>13</v>
      </c>
      <c r="B110" s="18" t="s">
        <v>67</v>
      </c>
      <c r="C110" s="18" t="s">
        <v>2962</v>
      </c>
      <c r="D110" s="22">
        <v>143508096</v>
      </c>
      <c r="E110" s="22">
        <v>143508096</v>
      </c>
      <c r="F110" s="22">
        <v>0</v>
      </c>
      <c r="G110" s="18" t="s">
        <v>2943</v>
      </c>
      <c r="H110" s="18" t="s">
        <v>2985</v>
      </c>
    </row>
    <row r="111" spans="1:8">
      <c r="A111" s="18" t="s">
        <v>13</v>
      </c>
      <c r="B111" s="18" t="s">
        <v>67</v>
      </c>
      <c r="C111" s="18" t="s">
        <v>2964</v>
      </c>
      <c r="D111" s="22">
        <v>140061432</v>
      </c>
      <c r="E111" s="22">
        <v>140061431</v>
      </c>
      <c r="F111" s="22">
        <v>1</v>
      </c>
      <c r="G111" s="18" t="s">
        <v>2949</v>
      </c>
      <c r="H111" s="18" t="s">
        <v>2985</v>
      </c>
    </row>
    <row r="112" spans="1:8">
      <c r="A112" s="18" t="s">
        <v>13</v>
      </c>
      <c r="B112" s="18" t="s">
        <v>67</v>
      </c>
      <c r="C112" s="18" t="s">
        <v>2965</v>
      </c>
      <c r="D112" s="22">
        <v>3446665</v>
      </c>
      <c r="E112" s="22">
        <v>3446665</v>
      </c>
      <c r="F112" s="22">
        <v>0</v>
      </c>
      <c r="G112" s="18" t="s">
        <v>2943</v>
      </c>
      <c r="H112" s="18" t="s">
        <v>2985</v>
      </c>
    </row>
    <row r="113" spans="1:8">
      <c r="A113" s="18" t="s">
        <v>13</v>
      </c>
      <c r="B113" s="18" t="s">
        <v>67</v>
      </c>
      <c r="C113" s="18" t="s">
        <v>2966</v>
      </c>
      <c r="D113" s="22">
        <v>138678502</v>
      </c>
      <c r="E113" s="22">
        <v>138678501</v>
      </c>
      <c r="F113" s="22">
        <v>1</v>
      </c>
      <c r="G113" s="18" t="s">
        <v>2949</v>
      </c>
      <c r="H113" s="18" t="s">
        <v>2985</v>
      </c>
    </row>
    <row r="114" spans="1:8">
      <c r="A114" s="18" t="s">
        <v>13</v>
      </c>
      <c r="B114" s="18" t="s">
        <v>67</v>
      </c>
      <c r="C114" s="18" t="s">
        <v>2968</v>
      </c>
      <c r="D114" s="22">
        <v>26809</v>
      </c>
      <c r="E114" s="22">
        <v>26808</v>
      </c>
      <c r="F114" s="22">
        <v>1</v>
      </c>
      <c r="G114" s="18" t="s">
        <v>2949</v>
      </c>
      <c r="H114" s="18" t="s">
        <v>2985</v>
      </c>
    </row>
    <row r="115" spans="1:8">
      <c r="A115" s="18" t="s">
        <v>13</v>
      </c>
      <c r="B115" s="18" t="s">
        <v>67</v>
      </c>
      <c r="C115" s="18" t="s">
        <v>2979</v>
      </c>
      <c r="D115" s="22">
        <v>1356122</v>
      </c>
      <c r="E115" s="22">
        <v>1356122</v>
      </c>
      <c r="F115" s="22">
        <v>0</v>
      </c>
      <c r="G115" s="18" t="s">
        <v>2943</v>
      </c>
      <c r="H115" s="18" t="s">
        <v>2985</v>
      </c>
    </row>
    <row r="116" spans="1:8">
      <c r="A116" s="18" t="s">
        <v>13</v>
      </c>
      <c r="B116" s="18" t="s">
        <v>67</v>
      </c>
      <c r="C116" s="18" t="s">
        <v>2969</v>
      </c>
      <c r="D116" s="22">
        <v>3473473</v>
      </c>
      <c r="E116" s="22">
        <v>3473473</v>
      </c>
      <c r="F116" s="22">
        <v>0</v>
      </c>
      <c r="G116" s="18" t="s">
        <v>2943</v>
      </c>
      <c r="H116" s="18" t="s">
        <v>2986</v>
      </c>
    </row>
    <row r="117" spans="1:8">
      <c r="A117" s="18" t="s">
        <v>13</v>
      </c>
      <c r="B117" s="18" t="s">
        <v>67</v>
      </c>
      <c r="C117" s="18" t="s">
        <v>2971</v>
      </c>
      <c r="D117" s="22">
        <v>23307</v>
      </c>
      <c r="E117" s="22">
        <v>23307</v>
      </c>
      <c r="F117" s="22">
        <v>0</v>
      </c>
      <c r="G117" s="18" t="s">
        <v>2943</v>
      </c>
      <c r="H117" s="18" t="s">
        <v>2986</v>
      </c>
    </row>
    <row r="118" spans="1:8">
      <c r="A118" s="18" t="s">
        <v>13</v>
      </c>
      <c r="B118" s="18" t="s">
        <v>67</v>
      </c>
      <c r="C118" s="18" t="s">
        <v>2972</v>
      </c>
      <c r="D118" s="22">
        <v>3473473</v>
      </c>
      <c r="E118" s="22">
        <v>3473473</v>
      </c>
      <c r="F118" s="22">
        <v>0</v>
      </c>
      <c r="G118" s="18" t="s">
        <v>2943</v>
      </c>
      <c r="H118" s="18" t="s">
        <v>2987</v>
      </c>
    </row>
    <row r="119" spans="1:8">
      <c r="A119" s="18" t="s">
        <v>13</v>
      </c>
      <c r="B119" s="18" t="s">
        <v>67</v>
      </c>
      <c r="C119" s="18" t="s">
        <v>2975</v>
      </c>
      <c r="D119" s="22">
        <v>23307</v>
      </c>
      <c r="E119" s="22">
        <v>23307</v>
      </c>
      <c r="F119" s="22">
        <v>0</v>
      </c>
      <c r="G119" s="18" t="s">
        <v>2943</v>
      </c>
      <c r="H119" s="18" t="s">
        <v>2987</v>
      </c>
    </row>
    <row r="120" spans="1:8">
      <c r="A120" s="18" t="s">
        <v>13</v>
      </c>
      <c r="B120" s="18" t="s">
        <v>67</v>
      </c>
      <c r="C120" s="18" t="s">
        <v>2976</v>
      </c>
      <c r="D120" s="22">
        <v>3473473</v>
      </c>
      <c r="E120" s="22">
        <v>3473473</v>
      </c>
      <c r="F120" s="22">
        <v>0</v>
      </c>
      <c r="G120" s="18" t="s">
        <v>2943</v>
      </c>
      <c r="H120" s="18" t="s">
        <v>2987</v>
      </c>
    </row>
    <row r="121" spans="1:8">
      <c r="A121" s="18" t="s">
        <v>13</v>
      </c>
      <c r="B121" s="18" t="s">
        <v>67</v>
      </c>
      <c r="C121" s="18" t="s">
        <v>2977</v>
      </c>
      <c r="D121" s="22">
        <v>23307</v>
      </c>
      <c r="E121" s="22">
        <v>23307</v>
      </c>
      <c r="F121" s="22">
        <v>0</v>
      </c>
      <c r="G121" s="18" t="s">
        <v>2943</v>
      </c>
      <c r="H121" s="18" t="s">
        <v>2987</v>
      </c>
    </row>
    <row r="122" spans="1:8">
      <c r="A122" s="18" t="s">
        <v>13</v>
      </c>
      <c r="B122" s="18" t="s">
        <v>72</v>
      </c>
      <c r="C122" s="18" t="s">
        <v>2942</v>
      </c>
      <c r="D122" s="22">
        <v>116775257</v>
      </c>
      <c r="E122" s="22">
        <v>116775257</v>
      </c>
      <c r="F122" s="22">
        <v>0</v>
      </c>
      <c r="G122" s="18" t="s">
        <v>2943</v>
      </c>
      <c r="H122" s="18" t="s">
        <v>74</v>
      </c>
    </row>
    <row r="123" spans="1:8">
      <c r="A123" s="18" t="s">
        <v>13</v>
      </c>
      <c r="B123" s="18" t="s">
        <v>72</v>
      </c>
      <c r="C123" s="18" t="s">
        <v>2944</v>
      </c>
      <c r="D123" s="22">
        <v>0</v>
      </c>
      <c r="E123" s="22">
        <v>0</v>
      </c>
      <c r="F123" s="22">
        <v>0</v>
      </c>
      <c r="G123" s="18" t="s">
        <v>2943</v>
      </c>
      <c r="H123" s="18" t="s">
        <v>74</v>
      </c>
    </row>
    <row r="124" spans="1:8">
      <c r="A124" s="18" t="s">
        <v>13</v>
      </c>
      <c r="B124" s="18" t="s">
        <v>72</v>
      </c>
      <c r="C124" s="18" t="s">
        <v>2945</v>
      </c>
      <c r="D124" s="22">
        <v>12622226</v>
      </c>
      <c r="E124" s="22">
        <v>12622226</v>
      </c>
      <c r="F124" s="22">
        <v>0</v>
      </c>
      <c r="G124" s="18" t="s">
        <v>2943</v>
      </c>
      <c r="H124" s="18" t="s">
        <v>75</v>
      </c>
    </row>
    <row r="125" spans="1:8">
      <c r="A125" s="18" t="s">
        <v>13</v>
      </c>
      <c r="B125" s="18" t="s">
        <v>72</v>
      </c>
      <c r="C125" s="18" t="s">
        <v>2946</v>
      </c>
      <c r="D125" s="22">
        <v>137167</v>
      </c>
      <c r="E125" s="22">
        <v>137168</v>
      </c>
      <c r="F125" s="22">
        <v>-1</v>
      </c>
      <c r="G125" s="18" t="s">
        <v>2949</v>
      </c>
      <c r="H125" s="18" t="s">
        <v>75</v>
      </c>
    </row>
    <row r="126" spans="1:8">
      <c r="A126" s="18" t="s">
        <v>13</v>
      </c>
      <c r="B126" s="18" t="s">
        <v>72</v>
      </c>
      <c r="C126" s="18" t="s">
        <v>2947</v>
      </c>
      <c r="D126" s="22">
        <v>6028261</v>
      </c>
      <c r="E126" s="22">
        <v>6028261</v>
      </c>
      <c r="F126" s="22">
        <v>0</v>
      </c>
      <c r="G126" s="18" t="s">
        <v>2943</v>
      </c>
      <c r="H126" s="18" t="s">
        <v>76</v>
      </c>
    </row>
    <row r="127" spans="1:8">
      <c r="A127" s="18" t="s">
        <v>13</v>
      </c>
      <c r="B127" s="18" t="s">
        <v>72</v>
      </c>
      <c r="C127" s="18" t="s">
        <v>2948</v>
      </c>
      <c r="D127" s="22">
        <v>650259</v>
      </c>
      <c r="E127" s="22">
        <v>650259</v>
      </c>
      <c r="F127" s="22">
        <v>0</v>
      </c>
      <c r="G127" s="18" t="s">
        <v>2943</v>
      </c>
      <c r="H127" s="18" t="s">
        <v>76</v>
      </c>
    </row>
    <row r="128" spans="1:8">
      <c r="A128" s="18" t="s">
        <v>13</v>
      </c>
      <c r="B128" s="18" t="s">
        <v>72</v>
      </c>
      <c r="C128" s="18" t="s">
        <v>2950</v>
      </c>
      <c r="D128" s="22">
        <v>932106</v>
      </c>
      <c r="E128" s="22">
        <v>932106</v>
      </c>
      <c r="F128" s="22">
        <v>0</v>
      </c>
      <c r="G128" s="18" t="s">
        <v>2943</v>
      </c>
      <c r="H128" s="18" t="s">
        <v>191</v>
      </c>
    </row>
    <row r="129" spans="1:8">
      <c r="A129" s="18" t="s">
        <v>13</v>
      </c>
      <c r="B129" s="18" t="s">
        <v>72</v>
      </c>
      <c r="C129" s="18" t="s">
        <v>2951</v>
      </c>
      <c r="D129" s="22">
        <v>14792</v>
      </c>
      <c r="E129" s="22">
        <v>14792</v>
      </c>
      <c r="F129" s="22">
        <v>0</v>
      </c>
      <c r="G129" s="18" t="s">
        <v>2943</v>
      </c>
      <c r="H129" s="18" t="s">
        <v>191</v>
      </c>
    </row>
    <row r="130" spans="1:8">
      <c r="A130" s="18" t="s">
        <v>13</v>
      </c>
      <c r="B130" s="18" t="s">
        <v>72</v>
      </c>
      <c r="C130" s="18" t="s">
        <v>2952</v>
      </c>
      <c r="D130" s="22">
        <v>934237</v>
      </c>
      <c r="E130" s="22">
        <v>934237</v>
      </c>
      <c r="F130" s="22">
        <v>0</v>
      </c>
      <c r="G130" s="18" t="s">
        <v>2943</v>
      </c>
      <c r="H130" s="18" t="s">
        <v>192</v>
      </c>
    </row>
    <row r="131" spans="1:8">
      <c r="A131" s="18" t="s">
        <v>13</v>
      </c>
      <c r="B131" s="18" t="s">
        <v>72</v>
      </c>
      <c r="C131" s="18" t="s">
        <v>2953</v>
      </c>
      <c r="D131" s="22">
        <v>17315</v>
      </c>
      <c r="E131" s="22">
        <v>17315</v>
      </c>
      <c r="F131" s="22">
        <v>0</v>
      </c>
      <c r="G131" s="18" t="s">
        <v>2943</v>
      </c>
      <c r="H131" s="18" t="s">
        <v>192</v>
      </c>
    </row>
    <row r="132" spans="1:8">
      <c r="A132" s="18" t="s">
        <v>13</v>
      </c>
      <c r="B132" s="18" t="s">
        <v>72</v>
      </c>
      <c r="C132" s="18" t="s">
        <v>2954</v>
      </c>
      <c r="D132" s="22">
        <v>1157025</v>
      </c>
      <c r="E132" s="22">
        <v>1157025</v>
      </c>
      <c r="F132" s="22">
        <v>0</v>
      </c>
      <c r="G132" s="18" t="s">
        <v>2943</v>
      </c>
      <c r="H132" s="18" t="s">
        <v>193</v>
      </c>
    </row>
    <row r="133" spans="1:8">
      <c r="A133" s="18" t="s">
        <v>13</v>
      </c>
      <c r="B133" s="18" t="s">
        <v>72</v>
      </c>
      <c r="C133" s="18" t="s">
        <v>2955</v>
      </c>
      <c r="D133" s="22">
        <v>20736</v>
      </c>
      <c r="E133" s="22">
        <v>20736</v>
      </c>
      <c r="F133" s="22">
        <v>0</v>
      </c>
      <c r="G133" s="18" t="s">
        <v>2943</v>
      </c>
      <c r="H133" s="18" t="s">
        <v>193</v>
      </c>
    </row>
    <row r="134" spans="1:8">
      <c r="A134" s="18" t="s">
        <v>13</v>
      </c>
      <c r="B134" s="18" t="s">
        <v>72</v>
      </c>
      <c r="C134" s="18" t="s">
        <v>2956</v>
      </c>
      <c r="D134" s="22">
        <v>1160767</v>
      </c>
      <c r="E134" s="22">
        <v>1160767</v>
      </c>
      <c r="F134" s="22">
        <v>0</v>
      </c>
      <c r="G134" s="18" t="s">
        <v>2943</v>
      </c>
      <c r="H134" s="18" t="s">
        <v>194</v>
      </c>
    </row>
    <row r="135" spans="1:8">
      <c r="A135" s="18" t="s">
        <v>13</v>
      </c>
      <c r="B135" s="18" t="s">
        <v>72</v>
      </c>
      <c r="C135" s="18" t="s">
        <v>2957</v>
      </c>
      <c r="D135" s="22">
        <v>38437</v>
      </c>
      <c r="E135" s="22">
        <v>38437</v>
      </c>
      <c r="F135" s="22">
        <v>0</v>
      </c>
      <c r="G135" s="18" t="s">
        <v>2943</v>
      </c>
      <c r="H135" s="18" t="s">
        <v>194</v>
      </c>
    </row>
    <row r="136" spans="1:8">
      <c r="A136" s="18" t="s">
        <v>13</v>
      </c>
      <c r="B136" s="18" t="s">
        <v>72</v>
      </c>
      <c r="C136" s="18" t="s">
        <v>2958</v>
      </c>
      <c r="D136" s="22">
        <v>1327355</v>
      </c>
      <c r="E136" s="22">
        <v>1327355</v>
      </c>
      <c r="F136" s="22">
        <v>0</v>
      </c>
      <c r="G136" s="18" t="s">
        <v>2943</v>
      </c>
      <c r="H136" s="18" t="s">
        <v>195</v>
      </c>
    </row>
    <row r="137" spans="1:8">
      <c r="A137" s="18" t="s">
        <v>13</v>
      </c>
      <c r="B137" s="18" t="s">
        <v>72</v>
      </c>
      <c r="C137" s="18" t="s">
        <v>2959</v>
      </c>
      <c r="D137" s="22">
        <v>98262</v>
      </c>
      <c r="E137" s="22">
        <v>98263</v>
      </c>
      <c r="F137" s="22">
        <v>-1</v>
      </c>
      <c r="G137" s="18" t="s">
        <v>2949</v>
      </c>
      <c r="H137" s="18" t="s">
        <v>195</v>
      </c>
    </row>
    <row r="138" spans="1:8">
      <c r="A138" s="18" t="s">
        <v>13</v>
      </c>
      <c r="B138" s="18" t="s">
        <v>72</v>
      </c>
      <c r="C138" s="18" t="s">
        <v>2960</v>
      </c>
      <c r="D138" s="22">
        <v>516772</v>
      </c>
      <c r="E138" s="22">
        <v>516772</v>
      </c>
      <c r="F138" s="22">
        <v>0</v>
      </c>
      <c r="G138" s="18" t="s">
        <v>2943</v>
      </c>
      <c r="H138" s="18" t="s">
        <v>196</v>
      </c>
    </row>
    <row r="139" spans="1:8">
      <c r="A139" s="18" t="s">
        <v>13</v>
      </c>
      <c r="B139" s="18" t="s">
        <v>72</v>
      </c>
      <c r="C139" s="18" t="s">
        <v>2961</v>
      </c>
      <c r="D139" s="22">
        <v>460716</v>
      </c>
      <c r="E139" s="22">
        <v>460717</v>
      </c>
      <c r="F139" s="22">
        <v>-1</v>
      </c>
      <c r="G139" s="18" t="s">
        <v>2949</v>
      </c>
      <c r="H139" s="18" t="s">
        <v>196</v>
      </c>
    </row>
    <row r="140" spans="1:8">
      <c r="A140" s="18" t="s">
        <v>13</v>
      </c>
      <c r="B140" s="18" t="s">
        <v>72</v>
      </c>
      <c r="C140" s="18" t="s">
        <v>2962</v>
      </c>
      <c r="D140" s="22">
        <v>136213170</v>
      </c>
      <c r="E140" s="22">
        <v>136213171</v>
      </c>
      <c r="F140" s="22">
        <v>-1</v>
      </c>
      <c r="G140" s="18" t="s">
        <v>2949</v>
      </c>
      <c r="H140" s="18" t="s">
        <v>2988</v>
      </c>
    </row>
    <row r="141" spans="1:8">
      <c r="A141" s="18" t="s">
        <v>13</v>
      </c>
      <c r="B141" s="18" t="s">
        <v>72</v>
      </c>
      <c r="C141" s="18" t="s">
        <v>2964</v>
      </c>
      <c r="D141" s="22">
        <v>135425744</v>
      </c>
      <c r="E141" s="22">
        <v>135425744</v>
      </c>
      <c r="F141" s="22">
        <v>0</v>
      </c>
      <c r="G141" s="18" t="s">
        <v>2943</v>
      </c>
      <c r="H141" s="18" t="s">
        <v>2988</v>
      </c>
    </row>
    <row r="142" spans="1:8">
      <c r="A142" s="18" t="s">
        <v>13</v>
      </c>
      <c r="B142" s="18" t="s">
        <v>72</v>
      </c>
      <c r="C142" s="18" t="s">
        <v>2965</v>
      </c>
      <c r="D142" s="22">
        <v>787427</v>
      </c>
      <c r="E142" s="22">
        <v>787426</v>
      </c>
      <c r="F142" s="22">
        <v>1</v>
      </c>
      <c r="G142" s="18" t="s">
        <v>2949</v>
      </c>
      <c r="H142" s="18" t="s">
        <v>2988</v>
      </c>
    </row>
    <row r="143" spans="1:8">
      <c r="A143" s="18" t="s">
        <v>13</v>
      </c>
      <c r="B143" s="18" t="s">
        <v>72</v>
      </c>
      <c r="C143" s="18" t="s">
        <v>2966</v>
      </c>
      <c r="D143" s="22">
        <v>133189926</v>
      </c>
      <c r="E143" s="22">
        <v>133189926</v>
      </c>
      <c r="F143" s="22">
        <v>0</v>
      </c>
      <c r="G143" s="18" t="s">
        <v>2943</v>
      </c>
      <c r="H143" s="18" t="s">
        <v>2988</v>
      </c>
    </row>
    <row r="144" spans="1:8">
      <c r="A144" s="18" t="s">
        <v>13</v>
      </c>
      <c r="B144" s="18" t="s">
        <v>72</v>
      </c>
      <c r="C144" s="18" t="s">
        <v>2968</v>
      </c>
      <c r="D144" s="22">
        <v>2235818</v>
      </c>
      <c r="E144" s="22">
        <v>2235818</v>
      </c>
      <c r="F144" s="22">
        <v>0</v>
      </c>
      <c r="G144" s="18" t="s">
        <v>2943</v>
      </c>
      <c r="H144" s="18" t="s">
        <v>2988</v>
      </c>
    </row>
    <row r="145" spans="1:8">
      <c r="A145" s="18" t="s">
        <v>13</v>
      </c>
      <c r="B145" s="18" t="s">
        <v>72</v>
      </c>
      <c r="C145" s="18" t="s">
        <v>2979</v>
      </c>
      <c r="D145" s="22">
        <v>0</v>
      </c>
      <c r="E145" s="22">
        <v>0</v>
      </c>
      <c r="F145" s="22">
        <v>0</v>
      </c>
      <c r="G145" s="18" t="s">
        <v>2943</v>
      </c>
      <c r="H145" s="18" t="s">
        <v>2988</v>
      </c>
    </row>
    <row r="146" spans="1:8">
      <c r="A146" s="18" t="s">
        <v>13</v>
      </c>
      <c r="B146" s="18" t="s">
        <v>72</v>
      </c>
      <c r="C146" s="18" t="s">
        <v>2969</v>
      </c>
      <c r="D146" s="22">
        <v>3023245</v>
      </c>
      <c r="E146" s="22">
        <v>3023245</v>
      </c>
      <c r="F146" s="22">
        <v>0</v>
      </c>
      <c r="G146" s="18" t="s">
        <v>2943</v>
      </c>
      <c r="H146" s="18" t="s">
        <v>2989</v>
      </c>
    </row>
    <row r="147" spans="1:8">
      <c r="A147" s="18" t="s">
        <v>13</v>
      </c>
      <c r="B147" s="18" t="s">
        <v>72</v>
      </c>
      <c r="C147" s="18" t="s">
        <v>2971</v>
      </c>
      <c r="D147" s="22">
        <v>108473</v>
      </c>
      <c r="E147" s="22">
        <v>108473</v>
      </c>
      <c r="F147" s="22">
        <v>0</v>
      </c>
      <c r="G147" s="18" t="s">
        <v>2943</v>
      </c>
      <c r="H147" s="18" t="s">
        <v>2989</v>
      </c>
    </row>
    <row r="148" spans="1:8">
      <c r="A148" s="18" t="s">
        <v>13</v>
      </c>
      <c r="B148" s="18" t="s">
        <v>72</v>
      </c>
      <c r="C148" s="18" t="s">
        <v>2972</v>
      </c>
      <c r="D148" s="22">
        <v>3023245</v>
      </c>
      <c r="E148" s="22">
        <v>3023245</v>
      </c>
      <c r="F148" s="22">
        <v>0</v>
      </c>
      <c r="G148" s="18" t="s">
        <v>2943</v>
      </c>
      <c r="H148" s="18" t="s">
        <v>2990</v>
      </c>
    </row>
    <row r="149" spans="1:8">
      <c r="A149" s="18" t="s">
        <v>13</v>
      </c>
      <c r="B149" s="18" t="s">
        <v>72</v>
      </c>
      <c r="C149" s="18" t="s">
        <v>2975</v>
      </c>
      <c r="D149" s="22">
        <v>108473</v>
      </c>
      <c r="E149" s="22">
        <v>108473</v>
      </c>
      <c r="F149" s="22">
        <v>0</v>
      </c>
      <c r="G149" s="18" t="s">
        <v>2943</v>
      </c>
      <c r="H149" s="18" t="s">
        <v>2990</v>
      </c>
    </row>
    <row r="150" spans="1:8">
      <c r="A150" s="18" t="s">
        <v>13</v>
      </c>
      <c r="B150" s="18" t="s">
        <v>72</v>
      </c>
      <c r="C150" s="18" t="s">
        <v>2976</v>
      </c>
      <c r="D150" s="22">
        <v>3023245</v>
      </c>
      <c r="E150" s="22">
        <v>3023245</v>
      </c>
      <c r="F150" s="22">
        <v>0</v>
      </c>
      <c r="G150" s="18" t="s">
        <v>2943</v>
      </c>
      <c r="H150" s="18" t="s">
        <v>2990</v>
      </c>
    </row>
    <row r="151" spans="1:8">
      <c r="A151" s="18" t="s">
        <v>13</v>
      </c>
      <c r="B151" s="18" t="s">
        <v>72</v>
      </c>
      <c r="C151" s="18" t="s">
        <v>2977</v>
      </c>
      <c r="D151" s="22">
        <v>108473</v>
      </c>
      <c r="E151" s="22">
        <v>108473</v>
      </c>
      <c r="F151" s="22">
        <v>0</v>
      </c>
      <c r="G151" s="18" t="s">
        <v>2943</v>
      </c>
      <c r="H151" s="18" t="s">
        <v>2990</v>
      </c>
    </row>
    <row r="152" spans="1:8">
      <c r="A152" s="18" t="s">
        <v>13</v>
      </c>
      <c r="B152" s="18" t="s">
        <v>77</v>
      </c>
      <c r="C152" s="18" t="s">
        <v>2942</v>
      </c>
      <c r="D152" s="22">
        <v>1969740</v>
      </c>
      <c r="E152" s="22">
        <v>1969740</v>
      </c>
      <c r="F152" s="22">
        <v>0</v>
      </c>
      <c r="G152" s="18" t="s">
        <v>2943</v>
      </c>
      <c r="H152" s="18" t="s">
        <v>79</v>
      </c>
    </row>
    <row r="153" spans="1:8">
      <c r="A153" s="18" t="s">
        <v>13</v>
      </c>
      <c r="B153" s="18" t="s">
        <v>77</v>
      </c>
      <c r="C153" s="18" t="s">
        <v>2944</v>
      </c>
      <c r="D153" s="22">
        <v>9595</v>
      </c>
      <c r="E153" s="22">
        <v>9595</v>
      </c>
      <c r="F153" s="22">
        <v>0</v>
      </c>
      <c r="G153" s="18" t="s">
        <v>2943</v>
      </c>
      <c r="H153" s="18" t="s">
        <v>79</v>
      </c>
    </row>
    <row r="154" spans="1:8">
      <c r="A154" s="18" t="s">
        <v>13</v>
      </c>
      <c r="B154" s="18" t="s">
        <v>77</v>
      </c>
      <c r="C154" s="18" t="s">
        <v>2945</v>
      </c>
      <c r="D154" s="22">
        <v>15792453</v>
      </c>
      <c r="E154" s="22">
        <v>15792452</v>
      </c>
      <c r="F154" s="22">
        <v>1</v>
      </c>
      <c r="G154" s="18" t="s">
        <v>2949</v>
      </c>
      <c r="H154" s="18" t="s">
        <v>80</v>
      </c>
    </row>
    <row r="155" spans="1:8">
      <c r="A155" s="18" t="s">
        <v>13</v>
      </c>
      <c r="B155" s="18" t="s">
        <v>77</v>
      </c>
      <c r="C155" s="18" t="s">
        <v>2946</v>
      </c>
      <c r="D155" s="22">
        <v>93910</v>
      </c>
      <c r="E155" s="22">
        <v>93910</v>
      </c>
      <c r="F155" s="22">
        <v>0</v>
      </c>
      <c r="G155" s="18" t="s">
        <v>2943</v>
      </c>
      <c r="H155" s="18" t="s">
        <v>80</v>
      </c>
    </row>
    <row r="156" spans="1:8">
      <c r="A156" s="18" t="s">
        <v>13</v>
      </c>
      <c r="B156" s="18" t="s">
        <v>77</v>
      </c>
      <c r="C156" s="18" t="s">
        <v>2947</v>
      </c>
      <c r="D156" s="22">
        <v>13797156</v>
      </c>
      <c r="E156" s="22">
        <v>13797157</v>
      </c>
      <c r="F156" s="22">
        <v>-1</v>
      </c>
      <c r="G156" s="18" t="s">
        <v>2949</v>
      </c>
      <c r="H156" s="18" t="s">
        <v>81</v>
      </c>
    </row>
    <row r="157" spans="1:8">
      <c r="A157" s="18" t="s">
        <v>13</v>
      </c>
      <c r="B157" s="18" t="s">
        <v>77</v>
      </c>
      <c r="C157" s="18" t="s">
        <v>2948</v>
      </c>
      <c r="D157" s="22">
        <v>477404</v>
      </c>
      <c r="E157" s="22">
        <v>477404</v>
      </c>
      <c r="F157" s="22">
        <v>0</v>
      </c>
      <c r="G157" s="18" t="s">
        <v>2943</v>
      </c>
      <c r="H157" s="18" t="s">
        <v>81</v>
      </c>
    </row>
    <row r="158" spans="1:8">
      <c r="A158" s="18" t="s">
        <v>13</v>
      </c>
      <c r="B158" s="18" t="s">
        <v>77</v>
      </c>
      <c r="C158" s="18" t="s">
        <v>2950</v>
      </c>
      <c r="D158" s="22">
        <v>4034530</v>
      </c>
      <c r="E158" s="22">
        <v>4034530</v>
      </c>
      <c r="F158" s="22">
        <v>0</v>
      </c>
      <c r="G158" s="18" t="s">
        <v>2943</v>
      </c>
      <c r="H158" s="18" t="s">
        <v>197</v>
      </c>
    </row>
    <row r="159" spans="1:8">
      <c r="A159" s="18" t="s">
        <v>13</v>
      </c>
      <c r="B159" s="18" t="s">
        <v>77</v>
      </c>
      <c r="C159" s="18" t="s">
        <v>2951</v>
      </c>
      <c r="D159" s="22">
        <v>36008</v>
      </c>
      <c r="E159" s="22">
        <v>36008</v>
      </c>
      <c r="F159" s="22">
        <v>0</v>
      </c>
      <c r="G159" s="18" t="s">
        <v>2943</v>
      </c>
      <c r="H159" s="18" t="s">
        <v>197</v>
      </c>
    </row>
    <row r="160" spans="1:8">
      <c r="A160" s="18" t="s">
        <v>13</v>
      </c>
      <c r="B160" s="18" t="s">
        <v>77</v>
      </c>
      <c r="C160" s="18" t="s">
        <v>2952</v>
      </c>
      <c r="D160" s="22">
        <v>3620219</v>
      </c>
      <c r="E160" s="22">
        <v>3620219</v>
      </c>
      <c r="F160" s="22">
        <v>0</v>
      </c>
      <c r="G160" s="18" t="s">
        <v>2943</v>
      </c>
      <c r="H160" s="18" t="s">
        <v>198</v>
      </c>
    </row>
    <row r="161" spans="1:8">
      <c r="A161" s="18" t="s">
        <v>13</v>
      </c>
      <c r="B161" s="18" t="s">
        <v>77</v>
      </c>
      <c r="C161" s="18" t="s">
        <v>2953</v>
      </c>
      <c r="D161" s="22">
        <v>32466</v>
      </c>
      <c r="E161" s="22">
        <v>32466</v>
      </c>
      <c r="F161" s="22">
        <v>0</v>
      </c>
      <c r="G161" s="18" t="s">
        <v>2943</v>
      </c>
      <c r="H161" s="18" t="s">
        <v>198</v>
      </c>
    </row>
    <row r="162" spans="1:8">
      <c r="A162" s="18" t="s">
        <v>13</v>
      </c>
      <c r="B162" s="18" t="s">
        <v>77</v>
      </c>
      <c r="C162" s="18" t="s">
        <v>2954</v>
      </c>
      <c r="D162" s="22">
        <v>2495861</v>
      </c>
      <c r="E162" s="22">
        <v>2495861</v>
      </c>
      <c r="F162" s="22">
        <v>0</v>
      </c>
      <c r="G162" s="18" t="s">
        <v>2943</v>
      </c>
      <c r="H162" s="18" t="s">
        <v>199</v>
      </c>
    </row>
    <row r="163" spans="1:8">
      <c r="A163" s="18" t="s">
        <v>13</v>
      </c>
      <c r="B163" s="18" t="s">
        <v>77</v>
      </c>
      <c r="C163" s="18" t="s">
        <v>2955</v>
      </c>
      <c r="D163" s="22">
        <v>42330</v>
      </c>
      <c r="E163" s="22">
        <v>42330</v>
      </c>
      <c r="F163" s="22">
        <v>0</v>
      </c>
      <c r="G163" s="18" t="s">
        <v>2943</v>
      </c>
      <c r="H163" s="18" t="s">
        <v>199</v>
      </c>
    </row>
    <row r="164" spans="1:8">
      <c r="A164" s="18" t="s">
        <v>13</v>
      </c>
      <c r="B164" s="18" t="s">
        <v>77</v>
      </c>
      <c r="C164" s="18" t="s">
        <v>2956</v>
      </c>
      <c r="D164" s="22">
        <v>1576930</v>
      </c>
      <c r="E164" s="22">
        <v>1576931</v>
      </c>
      <c r="F164" s="22">
        <v>-1</v>
      </c>
      <c r="G164" s="18" t="s">
        <v>2949</v>
      </c>
      <c r="H164" s="18" t="s">
        <v>200</v>
      </c>
    </row>
    <row r="165" spans="1:8">
      <c r="A165" s="18" t="s">
        <v>13</v>
      </c>
      <c r="B165" s="18" t="s">
        <v>77</v>
      </c>
      <c r="C165" s="18" t="s">
        <v>2957</v>
      </c>
      <c r="D165" s="22">
        <v>74243</v>
      </c>
      <c r="E165" s="22">
        <v>74243</v>
      </c>
      <c r="F165" s="22">
        <v>0</v>
      </c>
      <c r="G165" s="18" t="s">
        <v>2943</v>
      </c>
      <c r="H165" s="18" t="s">
        <v>200</v>
      </c>
    </row>
    <row r="166" spans="1:8">
      <c r="A166" s="18" t="s">
        <v>13</v>
      </c>
      <c r="B166" s="18" t="s">
        <v>77</v>
      </c>
      <c r="C166" s="18" t="s">
        <v>2958</v>
      </c>
      <c r="D166" s="22">
        <v>1166566</v>
      </c>
      <c r="E166" s="22">
        <v>1166565</v>
      </c>
      <c r="F166" s="22">
        <v>1</v>
      </c>
      <c r="G166" s="18" t="s">
        <v>2949</v>
      </c>
      <c r="H166" s="18" t="s">
        <v>201</v>
      </c>
    </row>
    <row r="167" spans="1:8">
      <c r="A167" s="18" t="s">
        <v>13</v>
      </c>
      <c r="B167" s="18" t="s">
        <v>77</v>
      </c>
      <c r="C167" s="18" t="s">
        <v>2959</v>
      </c>
      <c r="D167" s="22">
        <v>74153</v>
      </c>
      <c r="E167" s="22">
        <v>74153</v>
      </c>
      <c r="F167" s="22">
        <v>0</v>
      </c>
      <c r="G167" s="18" t="s">
        <v>2943</v>
      </c>
      <c r="H167" s="18" t="s">
        <v>201</v>
      </c>
    </row>
    <row r="168" spans="1:8">
      <c r="A168" s="18" t="s">
        <v>13</v>
      </c>
      <c r="B168" s="18" t="s">
        <v>77</v>
      </c>
      <c r="C168" s="18" t="s">
        <v>2960</v>
      </c>
      <c r="D168" s="22">
        <v>903051</v>
      </c>
      <c r="E168" s="22">
        <v>903051</v>
      </c>
      <c r="F168" s="22">
        <v>0</v>
      </c>
      <c r="G168" s="18" t="s">
        <v>2943</v>
      </c>
      <c r="H168" s="18" t="s">
        <v>202</v>
      </c>
    </row>
    <row r="169" spans="1:8">
      <c r="A169" s="18" t="s">
        <v>13</v>
      </c>
      <c r="B169" s="18" t="s">
        <v>77</v>
      </c>
      <c r="C169" s="18" t="s">
        <v>2961</v>
      </c>
      <c r="D169" s="22">
        <v>218204</v>
      </c>
      <c r="E169" s="22">
        <v>218204</v>
      </c>
      <c r="F169" s="22">
        <v>0</v>
      </c>
      <c r="G169" s="18" t="s">
        <v>2943</v>
      </c>
      <c r="H169" s="18" t="s">
        <v>202</v>
      </c>
    </row>
    <row r="170" spans="1:8">
      <c r="A170" s="18" t="s">
        <v>13</v>
      </c>
      <c r="B170" s="18" t="s">
        <v>77</v>
      </c>
      <c r="C170" s="18" t="s">
        <v>2962</v>
      </c>
      <c r="D170" s="22">
        <v>32140258</v>
      </c>
      <c r="E170" s="22">
        <v>32140258</v>
      </c>
      <c r="F170" s="22">
        <v>0</v>
      </c>
      <c r="G170" s="18" t="s">
        <v>2943</v>
      </c>
      <c r="H170" s="18" t="s">
        <v>2991</v>
      </c>
    </row>
    <row r="171" spans="1:8">
      <c r="A171" s="18" t="s">
        <v>13</v>
      </c>
      <c r="B171" s="18" t="s">
        <v>77</v>
      </c>
      <c r="C171" s="18" t="s">
        <v>2964</v>
      </c>
      <c r="D171" s="22">
        <v>31559349</v>
      </c>
      <c r="E171" s="22">
        <v>31559349</v>
      </c>
      <c r="F171" s="22">
        <v>0</v>
      </c>
      <c r="G171" s="18" t="s">
        <v>2943</v>
      </c>
      <c r="H171" s="18" t="s">
        <v>2991</v>
      </c>
    </row>
    <row r="172" spans="1:8">
      <c r="A172" s="18" t="s">
        <v>13</v>
      </c>
      <c r="B172" s="18" t="s">
        <v>77</v>
      </c>
      <c r="C172" s="18" t="s">
        <v>2965</v>
      </c>
      <c r="D172" s="22">
        <v>580909</v>
      </c>
      <c r="E172" s="22">
        <v>580909</v>
      </c>
      <c r="F172" s="22">
        <v>0</v>
      </c>
      <c r="G172" s="18" t="s">
        <v>2943</v>
      </c>
      <c r="H172" s="18" t="s">
        <v>2991</v>
      </c>
    </row>
    <row r="173" spans="1:8">
      <c r="A173" s="18" t="s">
        <v>13</v>
      </c>
      <c r="B173" s="18" t="s">
        <v>77</v>
      </c>
      <c r="C173" s="18" t="s">
        <v>2966</v>
      </c>
      <c r="D173" s="22">
        <v>7941386</v>
      </c>
      <c r="E173" s="22">
        <v>7941386</v>
      </c>
      <c r="F173" s="22">
        <v>0</v>
      </c>
      <c r="G173" s="18" t="s">
        <v>2943</v>
      </c>
      <c r="H173" s="18" t="s">
        <v>2991</v>
      </c>
    </row>
    <row r="174" spans="1:8">
      <c r="A174" s="18" t="s">
        <v>13</v>
      </c>
      <c r="B174" s="18" t="s">
        <v>77</v>
      </c>
      <c r="C174" s="18" t="s">
        <v>2968</v>
      </c>
      <c r="D174" s="22">
        <v>12503</v>
      </c>
      <c r="E174" s="22">
        <v>12504</v>
      </c>
      <c r="F174" s="22">
        <v>-1</v>
      </c>
      <c r="G174" s="18" t="s">
        <v>2949</v>
      </c>
      <c r="H174" s="18" t="s">
        <v>2991</v>
      </c>
    </row>
    <row r="175" spans="1:8">
      <c r="A175" s="18" t="s">
        <v>13</v>
      </c>
      <c r="B175" s="18" t="s">
        <v>77</v>
      </c>
      <c r="C175" s="18" t="s">
        <v>2979</v>
      </c>
      <c r="D175" s="22">
        <v>23605460</v>
      </c>
      <c r="E175" s="22">
        <v>23605459</v>
      </c>
      <c r="F175" s="22">
        <v>1</v>
      </c>
      <c r="G175" s="18" t="s">
        <v>2949</v>
      </c>
      <c r="H175" s="18" t="s">
        <v>2991</v>
      </c>
    </row>
    <row r="176" spans="1:8">
      <c r="A176" s="18" t="s">
        <v>13</v>
      </c>
      <c r="B176" s="18" t="s">
        <v>77</v>
      </c>
      <c r="C176" s="18" t="s">
        <v>2969</v>
      </c>
      <c r="D176" s="22">
        <v>593412</v>
      </c>
      <c r="E176" s="22">
        <v>593413</v>
      </c>
      <c r="F176" s="22">
        <v>-1</v>
      </c>
      <c r="G176" s="18" t="s">
        <v>2949</v>
      </c>
      <c r="H176" s="18" t="s">
        <v>2992</v>
      </c>
    </row>
    <row r="177" spans="1:8">
      <c r="A177" s="18" t="s">
        <v>13</v>
      </c>
      <c r="B177" s="18" t="s">
        <v>77</v>
      </c>
      <c r="C177" s="18" t="s">
        <v>2971</v>
      </c>
      <c r="D177" s="22">
        <v>13641</v>
      </c>
      <c r="E177" s="22">
        <v>13641</v>
      </c>
      <c r="F177" s="22">
        <v>0</v>
      </c>
      <c r="G177" s="18" t="s">
        <v>2943</v>
      </c>
      <c r="H177" s="18" t="s">
        <v>2992</v>
      </c>
    </row>
    <row r="178" spans="1:8">
      <c r="A178" s="18" t="s">
        <v>13</v>
      </c>
      <c r="B178" s="18" t="s">
        <v>77</v>
      </c>
      <c r="C178" s="18" t="s">
        <v>2972</v>
      </c>
      <c r="D178" s="22">
        <v>593413</v>
      </c>
      <c r="E178" s="22">
        <v>593413</v>
      </c>
      <c r="F178" s="22">
        <v>0</v>
      </c>
      <c r="G178" s="18" t="s">
        <v>2943</v>
      </c>
      <c r="H178" s="18" t="s">
        <v>2993</v>
      </c>
    </row>
    <row r="179" spans="1:8">
      <c r="A179" s="18" t="s">
        <v>13</v>
      </c>
      <c r="B179" s="18" t="s">
        <v>77</v>
      </c>
      <c r="C179" s="18" t="s">
        <v>2975</v>
      </c>
      <c r="D179" s="22">
        <v>13641</v>
      </c>
      <c r="E179" s="22">
        <v>13641</v>
      </c>
      <c r="F179" s="22">
        <v>0</v>
      </c>
      <c r="G179" s="18" t="s">
        <v>2943</v>
      </c>
      <c r="H179" s="18" t="s">
        <v>2993</v>
      </c>
    </row>
    <row r="180" spans="1:8">
      <c r="A180" s="18" t="s">
        <v>13</v>
      </c>
      <c r="B180" s="18" t="s">
        <v>77</v>
      </c>
      <c r="C180" s="18" t="s">
        <v>2976</v>
      </c>
      <c r="D180" s="22">
        <v>593413</v>
      </c>
      <c r="E180" s="22">
        <v>593413</v>
      </c>
      <c r="F180" s="22">
        <v>0</v>
      </c>
      <c r="G180" s="18" t="s">
        <v>2943</v>
      </c>
      <c r="H180" s="18" t="s">
        <v>2993</v>
      </c>
    </row>
    <row r="181" spans="1:8">
      <c r="A181" s="18" t="s">
        <v>13</v>
      </c>
      <c r="B181" s="18" t="s">
        <v>77</v>
      </c>
      <c r="C181" s="18" t="s">
        <v>2977</v>
      </c>
      <c r="D181" s="22">
        <v>13641</v>
      </c>
      <c r="E181" s="22">
        <v>13641</v>
      </c>
      <c r="F181" s="22">
        <v>0</v>
      </c>
      <c r="G181" s="18" t="s">
        <v>2943</v>
      </c>
      <c r="H181" s="18" t="s">
        <v>2993</v>
      </c>
    </row>
    <row r="182" spans="1:8">
      <c r="A182" s="18" t="s">
        <v>13</v>
      </c>
      <c r="B182" s="18" t="s">
        <v>82</v>
      </c>
      <c r="C182" s="18" t="s">
        <v>2942</v>
      </c>
      <c r="D182" s="22">
        <v>1919717</v>
      </c>
      <c r="E182" s="22">
        <v>1919718</v>
      </c>
      <c r="F182" s="22">
        <v>-1</v>
      </c>
      <c r="G182" s="18" t="s">
        <v>2949</v>
      </c>
      <c r="H182" s="18" t="s">
        <v>83</v>
      </c>
    </row>
    <row r="183" spans="1:8">
      <c r="A183" s="18" t="s">
        <v>13</v>
      </c>
      <c r="B183" s="18" t="s">
        <v>82</v>
      </c>
      <c r="C183" s="18" t="s">
        <v>2944</v>
      </c>
      <c r="D183" s="22">
        <v>0</v>
      </c>
      <c r="E183" s="22">
        <v>0</v>
      </c>
      <c r="F183" s="22">
        <v>0</v>
      </c>
      <c r="G183" s="18" t="s">
        <v>2943</v>
      </c>
      <c r="H183" s="18" t="s">
        <v>83</v>
      </c>
    </row>
    <row r="184" spans="1:8">
      <c r="A184" s="18" t="s">
        <v>13</v>
      </c>
      <c r="B184" s="18" t="s">
        <v>82</v>
      </c>
      <c r="C184" s="18" t="s">
        <v>2945</v>
      </c>
      <c r="D184" s="22">
        <v>1253073</v>
      </c>
      <c r="E184" s="22">
        <v>1253073</v>
      </c>
      <c r="F184" s="22">
        <v>0</v>
      </c>
      <c r="G184" s="18" t="s">
        <v>2943</v>
      </c>
      <c r="H184" s="18" t="s">
        <v>84</v>
      </c>
    </row>
    <row r="185" spans="1:8">
      <c r="A185" s="18" t="s">
        <v>13</v>
      </c>
      <c r="B185" s="18" t="s">
        <v>82</v>
      </c>
      <c r="C185" s="18" t="s">
        <v>2946</v>
      </c>
      <c r="D185" s="22">
        <v>40049</v>
      </c>
      <c r="E185" s="22">
        <v>40048</v>
      </c>
      <c r="F185" s="22">
        <v>1</v>
      </c>
      <c r="G185" s="18" t="s">
        <v>2949</v>
      </c>
      <c r="H185" s="18" t="s">
        <v>84</v>
      </c>
    </row>
    <row r="186" spans="1:8">
      <c r="A186" s="18" t="s">
        <v>13</v>
      </c>
      <c r="B186" s="18" t="s">
        <v>82</v>
      </c>
      <c r="C186" s="18" t="s">
        <v>2947</v>
      </c>
      <c r="D186" s="22">
        <v>503698</v>
      </c>
      <c r="E186" s="22">
        <v>503698</v>
      </c>
      <c r="F186" s="22">
        <v>0</v>
      </c>
      <c r="G186" s="18" t="s">
        <v>2943</v>
      </c>
      <c r="H186" s="18" t="s">
        <v>85</v>
      </c>
    </row>
    <row r="187" spans="1:8">
      <c r="A187" s="18" t="s">
        <v>13</v>
      </c>
      <c r="B187" s="18" t="s">
        <v>82</v>
      </c>
      <c r="C187" s="18" t="s">
        <v>2948</v>
      </c>
      <c r="D187" s="22">
        <v>300608</v>
      </c>
      <c r="E187" s="22">
        <v>300608</v>
      </c>
      <c r="F187" s="22">
        <v>0</v>
      </c>
      <c r="G187" s="18" t="s">
        <v>2943</v>
      </c>
      <c r="H187" s="18" t="s">
        <v>85</v>
      </c>
    </row>
    <row r="188" spans="1:8">
      <c r="A188" s="18" t="s">
        <v>13</v>
      </c>
      <c r="B188" s="18" t="s">
        <v>82</v>
      </c>
      <c r="C188" s="18" t="s">
        <v>2950</v>
      </c>
      <c r="D188" s="22">
        <v>81266</v>
      </c>
      <c r="E188" s="22">
        <v>81266</v>
      </c>
      <c r="F188" s="22">
        <v>0</v>
      </c>
      <c r="G188" s="18" t="s">
        <v>2943</v>
      </c>
      <c r="H188" s="18" t="s">
        <v>203</v>
      </c>
    </row>
    <row r="189" spans="1:8">
      <c r="A189" s="18" t="s">
        <v>13</v>
      </c>
      <c r="B189" s="18" t="s">
        <v>82</v>
      </c>
      <c r="C189" s="18" t="s">
        <v>2951</v>
      </c>
      <c r="D189" s="22">
        <v>39450</v>
      </c>
      <c r="E189" s="22">
        <v>39450</v>
      </c>
      <c r="F189" s="22">
        <v>0</v>
      </c>
      <c r="G189" s="18" t="s">
        <v>2943</v>
      </c>
      <c r="H189" s="18" t="s">
        <v>203</v>
      </c>
    </row>
    <row r="190" spans="1:8">
      <c r="A190" s="18" t="s">
        <v>13</v>
      </c>
      <c r="B190" s="18" t="s">
        <v>82</v>
      </c>
      <c r="C190" s="18" t="s">
        <v>2952</v>
      </c>
      <c r="D190" s="22">
        <v>117960</v>
      </c>
      <c r="E190" s="22">
        <v>117960</v>
      </c>
      <c r="F190" s="22">
        <v>0</v>
      </c>
      <c r="G190" s="18" t="s">
        <v>2943</v>
      </c>
      <c r="H190" s="18" t="s">
        <v>204</v>
      </c>
    </row>
    <row r="191" spans="1:8">
      <c r="A191" s="18" t="s">
        <v>13</v>
      </c>
      <c r="B191" s="18" t="s">
        <v>82</v>
      </c>
      <c r="C191" s="18" t="s">
        <v>2953</v>
      </c>
      <c r="D191" s="22">
        <v>45624</v>
      </c>
      <c r="E191" s="22">
        <v>45623</v>
      </c>
      <c r="F191" s="22">
        <v>1</v>
      </c>
      <c r="G191" s="18" t="s">
        <v>2949</v>
      </c>
      <c r="H191" s="18" t="s">
        <v>204</v>
      </c>
    </row>
    <row r="192" spans="1:8">
      <c r="A192" s="18" t="s">
        <v>13</v>
      </c>
      <c r="B192" s="18" t="s">
        <v>82</v>
      </c>
      <c r="C192" s="18" t="s">
        <v>2954</v>
      </c>
      <c r="D192" s="22">
        <v>215360</v>
      </c>
      <c r="E192" s="22">
        <v>215360</v>
      </c>
      <c r="F192" s="22">
        <v>0</v>
      </c>
      <c r="G192" s="18" t="s">
        <v>2943</v>
      </c>
      <c r="H192" s="18" t="s">
        <v>205</v>
      </c>
    </row>
    <row r="193" spans="1:8">
      <c r="A193" s="18" t="s">
        <v>13</v>
      </c>
      <c r="B193" s="18" t="s">
        <v>82</v>
      </c>
      <c r="C193" s="18" t="s">
        <v>2955</v>
      </c>
      <c r="D193" s="22">
        <v>106727</v>
      </c>
      <c r="E193" s="22">
        <v>106727</v>
      </c>
      <c r="F193" s="22">
        <v>0</v>
      </c>
      <c r="G193" s="18" t="s">
        <v>2943</v>
      </c>
      <c r="H193" s="18" t="s">
        <v>205</v>
      </c>
    </row>
    <row r="194" spans="1:8">
      <c r="A194" s="18" t="s">
        <v>13</v>
      </c>
      <c r="B194" s="18" t="s">
        <v>82</v>
      </c>
      <c r="C194" s="18" t="s">
        <v>2956</v>
      </c>
      <c r="D194" s="22">
        <v>57914</v>
      </c>
      <c r="E194" s="22">
        <v>57914</v>
      </c>
      <c r="F194" s="22">
        <v>0</v>
      </c>
      <c r="G194" s="18" t="s">
        <v>2943</v>
      </c>
      <c r="H194" s="18" t="s">
        <v>206</v>
      </c>
    </row>
    <row r="195" spans="1:8">
      <c r="A195" s="18" t="s">
        <v>13</v>
      </c>
      <c r="B195" s="18" t="s">
        <v>82</v>
      </c>
      <c r="C195" s="18" t="s">
        <v>2957</v>
      </c>
      <c r="D195" s="22">
        <v>30270</v>
      </c>
      <c r="E195" s="22">
        <v>30270</v>
      </c>
      <c r="F195" s="22">
        <v>0</v>
      </c>
      <c r="G195" s="18" t="s">
        <v>2943</v>
      </c>
      <c r="H195" s="18" t="s">
        <v>206</v>
      </c>
    </row>
    <row r="196" spans="1:8">
      <c r="A196" s="18" t="s">
        <v>13</v>
      </c>
      <c r="B196" s="18" t="s">
        <v>82</v>
      </c>
      <c r="C196" s="18" t="s">
        <v>2958</v>
      </c>
      <c r="D196" s="22">
        <v>23554</v>
      </c>
      <c r="E196" s="22">
        <v>23554</v>
      </c>
      <c r="F196" s="22">
        <v>0</v>
      </c>
      <c r="G196" s="18" t="s">
        <v>2943</v>
      </c>
      <c r="H196" s="18" t="s">
        <v>207</v>
      </c>
    </row>
    <row r="197" spans="1:8">
      <c r="A197" s="18" t="s">
        <v>13</v>
      </c>
      <c r="B197" s="18" t="s">
        <v>82</v>
      </c>
      <c r="C197" s="18" t="s">
        <v>2959</v>
      </c>
      <c r="D197" s="22">
        <v>30302</v>
      </c>
      <c r="E197" s="22">
        <v>30303</v>
      </c>
      <c r="F197" s="22">
        <v>-1</v>
      </c>
      <c r="G197" s="18" t="s">
        <v>2949</v>
      </c>
      <c r="H197" s="18" t="s">
        <v>207</v>
      </c>
    </row>
    <row r="198" spans="1:8">
      <c r="A198" s="18" t="s">
        <v>13</v>
      </c>
      <c r="B198" s="18" t="s">
        <v>82</v>
      </c>
      <c r="C198" s="18" t="s">
        <v>2960</v>
      </c>
      <c r="D198" s="22">
        <v>7644</v>
      </c>
      <c r="E198" s="22">
        <v>7644</v>
      </c>
      <c r="F198" s="22">
        <v>0</v>
      </c>
      <c r="G198" s="18" t="s">
        <v>2943</v>
      </c>
      <c r="H198" s="18" t="s">
        <v>208</v>
      </c>
    </row>
    <row r="199" spans="1:8">
      <c r="A199" s="18" t="s">
        <v>13</v>
      </c>
      <c r="B199" s="18" t="s">
        <v>82</v>
      </c>
      <c r="C199" s="18" t="s">
        <v>2961</v>
      </c>
      <c r="D199" s="22">
        <v>48235</v>
      </c>
      <c r="E199" s="22">
        <v>48235</v>
      </c>
      <c r="F199" s="22">
        <v>0</v>
      </c>
      <c r="G199" s="18" t="s">
        <v>2943</v>
      </c>
      <c r="H199" s="18" t="s">
        <v>208</v>
      </c>
    </row>
    <row r="200" spans="1:8">
      <c r="A200" s="18" t="s">
        <v>13</v>
      </c>
      <c r="B200" s="18" t="s">
        <v>82</v>
      </c>
      <c r="C200" s="18" t="s">
        <v>2962</v>
      </c>
      <c r="D200" s="22">
        <v>4017146</v>
      </c>
      <c r="E200" s="22">
        <v>4017146</v>
      </c>
      <c r="F200" s="22">
        <v>0</v>
      </c>
      <c r="G200" s="18" t="s">
        <v>2943</v>
      </c>
      <c r="H200" s="18" t="s">
        <v>2994</v>
      </c>
    </row>
    <row r="201" spans="1:8">
      <c r="A201" s="18" t="s">
        <v>13</v>
      </c>
      <c r="B201" s="18" t="s">
        <v>82</v>
      </c>
      <c r="C201" s="18" t="s">
        <v>2964</v>
      </c>
      <c r="D201" s="22">
        <v>3676489</v>
      </c>
      <c r="E201" s="22">
        <v>3676489</v>
      </c>
      <c r="F201" s="22">
        <v>0</v>
      </c>
      <c r="G201" s="18" t="s">
        <v>2943</v>
      </c>
      <c r="H201" s="18" t="s">
        <v>2994</v>
      </c>
    </row>
    <row r="202" spans="1:8">
      <c r="A202" s="18" t="s">
        <v>13</v>
      </c>
      <c r="B202" s="18" t="s">
        <v>82</v>
      </c>
      <c r="C202" s="18" t="s">
        <v>2965</v>
      </c>
      <c r="D202" s="22">
        <v>340656</v>
      </c>
      <c r="E202" s="22">
        <v>340657</v>
      </c>
      <c r="F202" s="22">
        <v>-1</v>
      </c>
      <c r="G202" s="18" t="s">
        <v>2949</v>
      </c>
      <c r="H202" s="18" t="s">
        <v>2994</v>
      </c>
    </row>
    <row r="203" spans="1:8">
      <c r="A203" s="18" t="s">
        <v>13</v>
      </c>
      <c r="B203" s="18" t="s">
        <v>82</v>
      </c>
      <c r="C203" s="18" t="s">
        <v>2966</v>
      </c>
      <c r="D203" s="22">
        <v>1288610</v>
      </c>
      <c r="E203" s="22">
        <v>1288610</v>
      </c>
      <c r="F203" s="22">
        <v>0</v>
      </c>
      <c r="G203" s="18" t="s">
        <v>2943</v>
      </c>
      <c r="H203" s="18" t="s">
        <v>2994</v>
      </c>
    </row>
    <row r="204" spans="1:8">
      <c r="A204" s="18" t="s">
        <v>13</v>
      </c>
      <c r="B204" s="18" t="s">
        <v>82</v>
      </c>
      <c r="C204" s="18" t="s">
        <v>2968</v>
      </c>
      <c r="D204" s="22">
        <v>2103545</v>
      </c>
      <c r="E204" s="22">
        <v>2103546</v>
      </c>
      <c r="F204" s="22">
        <v>-1</v>
      </c>
      <c r="G204" s="18" t="s">
        <v>2949</v>
      </c>
      <c r="H204" s="18" t="s">
        <v>2994</v>
      </c>
    </row>
    <row r="205" spans="1:8">
      <c r="A205" s="18" t="s">
        <v>13</v>
      </c>
      <c r="B205" s="18" t="s">
        <v>82</v>
      </c>
      <c r="C205" s="18" t="s">
        <v>2979</v>
      </c>
      <c r="D205" s="22">
        <v>284333</v>
      </c>
      <c r="E205" s="22">
        <v>284333</v>
      </c>
      <c r="F205" s="22">
        <v>0</v>
      </c>
      <c r="G205" s="18" t="s">
        <v>2943</v>
      </c>
      <c r="H205" s="18" t="s">
        <v>2994</v>
      </c>
    </row>
    <row r="206" spans="1:8">
      <c r="A206" s="18" t="s">
        <v>13</v>
      </c>
      <c r="B206" s="18" t="s">
        <v>82</v>
      </c>
      <c r="C206" s="18" t="s">
        <v>2969</v>
      </c>
      <c r="D206" s="22">
        <v>2444203</v>
      </c>
      <c r="E206" s="22">
        <v>2444203</v>
      </c>
      <c r="F206" s="22">
        <v>0</v>
      </c>
      <c r="G206" s="18" t="s">
        <v>2943</v>
      </c>
      <c r="H206" s="18" t="s">
        <v>2995</v>
      </c>
    </row>
    <row r="207" spans="1:8">
      <c r="A207" s="18" t="s">
        <v>13</v>
      </c>
      <c r="B207" s="18" t="s">
        <v>82</v>
      </c>
      <c r="C207" s="18" t="s">
        <v>2971</v>
      </c>
      <c r="D207" s="22">
        <v>1031246</v>
      </c>
      <c r="E207" s="22">
        <v>1031246</v>
      </c>
      <c r="F207" s="22">
        <v>0</v>
      </c>
      <c r="G207" s="18" t="s">
        <v>2943</v>
      </c>
      <c r="H207" s="18" t="s">
        <v>2995</v>
      </c>
    </row>
    <row r="208" spans="1:8">
      <c r="A208" s="18" t="s">
        <v>13</v>
      </c>
      <c r="B208" s="18" t="s">
        <v>82</v>
      </c>
      <c r="C208" s="18" t="s">
        <v>2972</v>
      </c>
      <c r="D208" s="22">
        <v>2444203</v>
      </c>
      <c r="E208" s="22">
        <v>2444203</v>
      </c>
      <c r="F208" s="22">
        <v>0</v>
      </c>
      <c r="G208" s="18" t="s">
        <v>2943</v>
      </c>
      <c r="H208" s="18" t="s">
        <v>850</v>
      </c>
    </row>
    <row r="209" spans="1:8">
      <c r="A209" s="18" t="s">
        <v>13</v>
      </c>
      <c r="B209" s="18" t="s">
        <v>82</v>
      </c>
      <c r="C209" s="18" t="s">
        <v>2975</v>
      </c>
      <c r="D209" s="22">
        <v>50963</v>
      </c>
      <c r="E209" s="22">
        <v>50963</v>
      </c>
      <c r="F209" s="22">
        <v>0</v>
      </c>
      <c r="G209" s="18" t="s">
        <v>2943</v>
      </c>
      <c r="H209" s="18" t="s">
        <v>850</v>
      </c>
    </row>
    <row r="210" spans="1:8">
      <c r="A210" s="18" t="s">
        <v>13</v>
      </c>
      <c r="B210" s="18" t="s">
        <v>82</v>
      </c>
      <c r="C210" s="18" t="s">
        <v>2976</v>
      </c>
      <c r="D210" s="22">
        <v>2444203</v>
      </c>
      <c r="E210" s="22">
        <v>2444203</v>
      </c>
      <c r="F210" s="22">
        <v>0</v>
      </c>
      <c r="G210" s="18" t="s">
        <v>2943</v>
      </c>
      <c r="H210" s="18" t="s">
        <v>850</v>
      </c>
    </row>
    <row r="211" spans="1:8">
      <c r="A211" s="18" t="s">
        <v>13</v>
      </c>
      <c r="B211" s="18" t="s">
        <v>82</v>
      </c>
      <c r="C211" s="18" t="s">
        <v>2977</v>
      </c>
      <c r="D211" s="22">
        <v>1031246</v>
      </c>
      <c r="E211" s="22">
        <v>50963</v>
      </c>
      <c r="F211" s="22">
        <v>980283</v>
      </c>
      <c r="G211" s="18" t="s">
        <v>2996</v>
      </c>
      <c r="H211" s="18" t="s">
        <v>850</v>
      </c>
    </row>
    <row r="212" spans="1:8">
      <c r="A212" s="18" t="s">
        <v>13</v>
      </c>
      <c r="B212" s="18" t="s">
        <v>86</v>
      </c>
      <c r="C212" s="18" t="s">
        <v>2942</v>
      </c>
      <c r="D212" s="22">
        <v>1085507.947869048</v>
      </c>
      <c r="E212" s="22">
        <v>1085507.947869048</v>
      </c>
      <c r="F212" s="22">
        <v>0</v>
      </c>
      <c r="G212" s="18" t="s">
        <v>2943</v>
      </c>
      <c r="H212" s="18" t="s">
        <v>88</v>
      </c>
    </row>
    <row r="213" spans="1:8">
      <c r="A213" s="18" t="s">
        <v>13</v>
      </c>
      <c r="B213" s="18" t="s">
        <v>86</v>
      </c>
      <c r="C213" s="18" t="s">
        <v>2944</v>
      </c>
      <c r="D213" s="22">
        <v>6177.090000000084</v>
      </c>
      <c r="E213" s="22">
        <v>6177.090000000084</v>
      </c>
      <c r="F213" s="22">
        <v>0</v>
      </c>
      <c r="G213" s="18" t="s">
        <v>2943</v>
      </c>
      <c r="H213" s="18" t="s">
        <v>88</v>
      </c>
    </row>
    <row r="214" spans="1:8">
      <c r="A214" s="18" t="s">
        <v>13</v>
      </c>
      <c r="B214" s="18" t="s">
        <v>86</v>
      </c>
      <c r="C214" s="18" t="s">
        <v>2945</v>
      </c>
      <c r="D214" s="22">
        <v>244767.7100000003</v>
      </c>
      <c r="E214" s="22">
        <v>244767.7100000003</v>
      </c>
      <c r="F214" s="22">
        <v>0</v>
      </c>
      <c r="G214" s="18" t="s">
        <v>2943</v>
      </c>
      <c r="H214" s="18" t="s">
        <v>89</v>
      </c>
    </row>
    <row r="215" spans="1:8">
      <c r="A215" s="18" t="s">
        <v>13</v>
      </c>
      <c r="B215" s="18" t="s">
        <v>86</v>
      </c>
      <c r="C215" s="18" t="s">
        <v>2946</v>
      </c>
      <c r="D215" s="22">
        <v>429.8799999999464</v>
      </c>
      <c r="E215" s="22">
        <v>429.8799999999464</v>
      </c>
      <c r="F215" s="22">
        <v>0</v>
      </c>
      <c r="G215" s="18" t="s">
        <v>2943</v>
      </c>
      <c r="H215" s="18" t="s">
        <v>89</v>
      </c>
    </row>
    <row r="216" spans="1:8">
      <c r="A216" s="18" t="s">
        <v>13</v>
      </c>
      <c r="B216" s="18" t="s">
        <v>86</v>
      </c>
      <c r="C216" s="18" t="s">
        <v>2947</v>
      </c>
      <c r="D216" s="22">
        <v>49360.14000000005</v>
      </c>
      <c r="E216" s="22">
        <v>49360.14000000005</v>
      </c>
      <c r="F216" s="22">
        <v>0</v>
      </c>
      <c r="G216" s="18" t="s">
        <v>2943</v>
      </c>
      <c r="H216" s="18" t="s">
        <v>90</v>
      </c>
    </row>
    <row r="217" spans="1:8">
      <c r="A217" s="18" t="s">
        <v>13</v>
      </c>
      <c r="B217" s="18" t="s">
        <v>86</v>
      </c>
      <c r="C217" s="18" t="s">
        <v>2948</v>
      </c>
      <c r="D217" s="22">
        <v>5385.319999999949</v>
      </c>
      <c r="E217" s="22">
        <v>5385.319999999949</v>
      </c>
      <c r="F217" s="22">
        <v>0</v>
      </c>
      <c r="G217" s="18" t="s">
        <v>2943</v>
      </c>
      <c r="H217" s="18" t="s">
        <v>90</v>
      </c>
    </row>
    <row r="218" spans="1:8">
      <c r="A218" s="18" t="s">
        <v>13</v>
      </c>
      <c r="B218" s="18" t="s">
        <v>86</v>
      </c>
      <c r="C218" s="18" t="s">
        <v>2950</v>
      </c>
      <c r="D218" s="22">
        <v>3795.499999999999</v>
      </c>
      <c r="E218" s="22">
        <v>3795.499999999999</v>
      </c>
      <c r="F218" s="22">
        <v>0</v>
      </c>
      <c r="G218" s="18" t="s">
        <v>2943</v>
      </c>
      <c r="H218" s="18" t="s">
        <v>209</v>
      </c>
    </row>
    <row r="219" spans="1:8">
      <c r="A219" s="18" t="s">
        <v>13</v>
      </c>
      <c r="B219" s="18" t="s">
        <v>86</v>
      </c>
      <c r="C219" s="18" t="s">
        <v>2951</v>
      </c>
      <c r="D219" s="22">
        <v>417.6400000000008</v>
      </c>
      <c r="E219" s="22">
        <v>417.6400000000008</v>
      </c>
      <c r="F219" s="22">
        <v>0</v>
      </c>
      <c r="G219" s="18" t="s">
        <v>2943</v>
      </c>
      <c r="H219" s="18" t="s">
        <v>209</v>
      </c>
    </row>
    <row r="220" spans="1:8">
      <c r="A220" s="18" t="s">
        <v>13</v>
      </c>
      <c r="B220" s="18" t="s">
        <v>86</v>
      </c>
      <c r="C220" s="18" t="s">
        <v>2952</v>
      </c>
      <c r="D220" s="22">
        <v>4538.530000000001</v>
      </c>
      <c r="E220" s="22">
        <v>4538.530000000001</v>
      </c>
      <c r="F220" s="22">
        <v>0</v>
      </c>
      <c r="G220" s="18" t="s">
        <v>2943</v>
      </c>
      <c r="H220" s="18" t="s">
        <v>210</v>
      </c>
    </row>
    <row r="221" spans="1:8">
      <c r="A221" s="18" t="s">
        <v>13</v>
      </c>
      <c r="B221" s="18" t="s">
        <v>86</v>
      </c>
      <c r="C221" s="18" t="s">
        <v>2953</v>
      </c>
      <c r="D221" s="22">
        <v>1796.93</v>
      </c>
      <c r="E221" s="22">
        <v>1796.93</v>
      </c>
      <c r="F221" s="22">
        <v>0</v>
      </c>
      <c r="G221" s="18" t="s">
        <v>2943</v>
      </c>
      <c r="H221" s="18" t="s">
        <v>210</v>
      </c>
    </row>
    <row r="222" spans="1:8">
      <c r="A222" s="18" t="s">
        <v>13</v>
      </c>
      <c r="B222" s="18" t="s">
        <v>86</v>
      </c>
      <c r="C222" s="18" t="s">
        <v>2954</v>
      </c>
      <c r="D222" s="22">
        <v>25273.23000000001</v>
      </c>
      <c r="E222" s="22">
        <v>25273.23000000001</v>
      </c>
      <c r="F222" s="22">
        <v>0</v>
      </c>
      <c r="G222" s="18" t="s">
        <v>2943</v>
      </c>
      <c r="H222" s="18" t="s">
        <v>211</v>
      </c>
    </row>
    <row r="223" spans="1:8">
      <c r="A223" s="18" t="s">
        <v>13</v>
      </c>
      <c r="B223" s="18" t="s">
        <v>86</v>
      </c>
      <c r="C223" s="18" t="s">
        <v>2955</v>
      </c>
      <c r="D223" s="22">
        <v>0</v>
      </c>
      <c r="E223" s="22">
        <v>0</v>
      </c>
      <c r="F223" s="22">
        <v>0</v>
      </c>
      <c r="G223" s="18" t="s">
        <v>2943</v>
      </c>
      <c r="H223" s="18" t="s">
        <v>211</v>
      </c>
    </row>
    <row r="224" spans="1:8">
      <c r="A224" s="18" t="s">
        <v>13</v>
      </c>
      <c r="B224" s="18" t="s">
        <v>86</v>
      </c>
      <c r="C224" s="18" t="s">
        <v>2956</v>
      </c>
      <c r="D224" s="22">
        <v>4747.02</v>
      </c>
      <c r="E224" s="22">
        <v>4747.02</v>
      </c>
      <c r="F224" s="22">
        <v>0</v>
      </c>
      <c r="G224" s="18" t="s">
        <v>2943</v>
      </c>
      <c r="H224" s="18" t="s">
        <v>212</v>
      </c>
    </row>
    <row r="225" spans="1:8">
      <c r="A225" s="18" t="s">
        <v>13</v>
      </c>
      <c r="B225" s="18" t="s">
        <v>86</v>
      </c>
      <c r="C225" s="18" t="s">
        <v>2957</v>
      </c>
      <c r="D225" s="22">
        <v>0</v>
      </c>
      <c r="E225" s="22">
        <v>0</v>
      </c>
      <c r="F225" s="22">
        <v>0</v>
      </c>
      <c r="G225" s="18" t="s">
        <v>2943</v>
      </c>
      <c r="H225" s="18" t="s">
        <v>212</v>
      </c>
    </row>
    <row r="226" spans="1:8">
      <c r="A226" s="18" t="s">
        <v>13</v>
      </c>
      <c r="B226" s="18" t="s">
        <v>86</v>
      </c>
      <c r="C226" s="18" t="s">
        <v>2958</v>
      </c>
      <c r="D226" s="22">
        <v>11005.86</v>
      </c>
      <c r="E226" s="22">
        <v>11005.86</v>
      </c>
      <c r="F226" s="22">
        <v>0</v>
      </c>
      <c r="G226" s="18" t="s">
        <v>2943</v>
      </c>
      <c r="H226" s="18" t="s">
        <v>213</v>
      </c>
    </row>
    <row r="227" spans="1:8">
      <c r="A227" s="18" t="s">
        <v>13</v>
      </c>
      <c r="B227" s="18" t="s">
        <v>86</v>
      </c>
      <c r="C227" s="18" t="s">
        <v>2959</v>
      </c>
      <c r="D227" s="22">
        <v>14.22999999999956</v>
      </c>
      <c r="E227" s="22">
        <v>14.22999999999956</v>
      </c>
      <c r="F227" s="22">
        <v>0</v>
      </c>
      <c r="G227" s="18" t="s">
        <v>2943</v>
      </c>
      <c r="H227" s="18" t="s">
        <v>213</v>
      </c>
    </row>
    <row r="228" spans="1:8">
      <c r="A228" s="18" t="s">
        <v>13</v>
      </c>
      <c r="B228" s="18" t="s">
        <v>86</v>
      </c>
      <c r="C228" s="18" t="s">
        <v>2960</v>
      </c>
      <c r="D228" s="22">
        <v>0</v>
      </c>
      <c r="E228" s="22">
        <v>0</v>
      </c>
      <c r="F228" s="22">
        <v>0</v>
      </c>
      <c r="G228" s="18" t="s">
        <v>2943</v>
      </c>
      <c r="H228" s="18" t="s">
        <v>214</v>
      </c>
    </row>
    <row r="229" spans="1:8">
      <c r="A229" s="18" t="s">
        <v>13</v>
      </c>
      <c r="B229" s="18" t="s">
        <v>86</v>
      </c>
      <c r="C229" s="18" t="s">
        <v>2961</v>
      </c>
      <c r="D229" s="22">
        <v>3156.52</v>
      </c>
      <c r="E229" s="22">
        <v>3156.52</v>
      </c>
      <c r="F229" s="22">
        <v>0</v>
      </c>
      <c r="G229" s="18" t="s">
        <v>2943</v>
      </c>
      <c r="H229" s="18" t="s">
        <v>214</v>
      </c>
    </row>
    <row r="230" spans="1:8">
      <c r="A230" s="18" t="s">
        <v>13</v>
      </c>
      <c r="B230" s="18" t="s">
        <v>86</v>
      </c>
      <c r="C230" s="18" t="s">
        <v>2962</v>
      </c>
      <c r="D230" s="22">
        <v>1391628.087869048</v>
      </c>
      <c r="E230" s="22">
        <v>1391628.087869048</v>
      </c>
      <c r="F230" s="22">
        <v>0</v>
      </c>
      <c r="G230" s="18" t="s">
        <v>2943</v>
      </c>
      <c r="H230" s="18" t="s">
        <v>2997</v>
      </c>
    </row>
    <row r="231" spans="1:8">
      <c r="A231" s="18" t="s">
        <v>13</v>
      </c>
      <c r="B231" s="18" t="s">
        <v>86</v>
      </c>
      <c r="C231" s="18" t="s">
        <v>2964</v>
      </c>
      <c r="D231" s="22">
        <v>1379635.797869048</v>
      </c>
      <c r="E231" s="22">
        <v>1379635.797869048</v>
      </c>
      <c r="F231" s="22">
        <v>0</v>
      </c>
      <c r="G231" s="18" t="s">
        <v>2943</v>
      </c>
      <c r="H231" s="18" t="s">
        <v>2997</v>
      </c>
    </row>
    <row r="232" spans="1:8">
      <c r="A232" s="18" t="s">
        <v>13</v>
      </c>
      <c r="B232" s="18" t="s">
        <v>86</v>
      </c>
      <c r="C232" s="18" t="s">
        <v>2965</v>
      </c>
      <c r="D232" s="22">
        <v>11992.28999999998</v>
      </c>
      <c r="E232" s="22">
        <v>11992.28999999998</v>
      </c>
      <c r="F232" s="22">
        <v>0</v>
      </c>
      <c r="G232" s="18" t="s">
        <v>2943</v>
      </c>
      <c r="H232" s="18" t="s">
        <v>2997</v>
      </c>
    </row>
    <row r="233" spans="1:8">
      <c r="A233" s="18" t="s">
        <v>13</v>
      </c>
      <c r="B233" s="18" t="s">
        <v>86</v>
      </c>
      <c r="C233" s="18" t="s">
        <v>2966</v>
      </c>
      <c r="D233" s="22">
        <v>1328418.207869048</v>
      </c>
      <c r="E233" s="22">
        <v>1328418.207869048</v>
      </c>
      <c r="F233" s="22">
        <v>0</v>
      </c>
      <c r="G233" s="18" t="s">
        <v>2943</v>
      </c>
      <c r="H233" s="18" t="s">
        <v>2997</v>
      </c>
    </row>
    <row r="234" spans="1:8">
      <c r="A234" s="18" t="s">
        <v>13</v>
      </c>
      <c r="B234" s="18" t="s">
        <v>86</v>
      </c>
      <c r="C234" s="18" t="s">
        <v>2968</v>
      </c>
      <c r="D234" s="22">
        <v>0</v>
      </c>
      <c r="E234" s="22">
        <v>0</v>
      </c>
      <c r="F234" s="22">
        <v>0</v>
      </c>
      <c r="G234" s="18" t="s">
        <v>2943</v>
      </c>
      <c r="H234" s="18" t="s">
        <v>2997</v>
      </c>
    </row>
    <row r="235" spans="1:8">
      <c r="A235" s="18" t="s">
        <v>13</v>
      </c>
      <c r="B235" s="18" t="s">
        <v>86</v>
      </c>
      <c r="C235" s="18" t="s">
        <v>2979</v>
      </c>
      <c r="D235" s="22">
        <v>51217.59000000002</v>
      </c>
      <c r="E235" s="22">
        <v>51217.59000000002</v>
      </c>
      <c r="F235" s="22">
        <v>0</v>
      </c>
      <c r="G235" s="18" t="s">
        <v>2943</v>
      </c>
      <c r="H235" s="18" t="s">
        <v>2997</v>
      </c>
    </row>
    <row r="236" spans="1:8">
      <c r="A236" s="18" t="s">
        <v>13</v>
      </c>
      <c r="B236" s="18" t="s">
        <v>86</v>
      </c>
      <c r="C236" s="18" t="s">
        <v>2969</v>
      </c>
      <c r="D236" s="22">
        <v>11992.29</v>
      </c>
      <c r="E236" s="22">
        <v>11992</v>
      </c>
      <c r="F236" s="22">
        <v>0.2899999999990541</v>
      </c>
      <c r="G236" s="18" t="s">
        <v>2949</v>
      </c>
      <c r="H236" s="18" t="s">
        <v>2998</v>
      </c>
    </row>
    <row r="237" spans="1:8">
      <c r="A237" s="18" t="s">
        <v>13</v>
      </c>
      <c r="B237" s="18" t="s">
        <v>86</v>
      </c>
      <c r="C237" s="18" t="s">
        <v>2971</v>
      </c>
      <c r="D237" s="22">
        <v>74</v>
      </c>
      <c r="E237" s="22">
        <v>74</v>
      </c>
      <c r="F237" s="22">
        <v>0</v>
      </c>
      <c r="G237" s="18" t="s">
        <v>2943</v>
      </c>
      <c r="H237" s="18" t="s">
        <v>2998</v>
      </c>
    </row>
    <row r="238" spans="1:8">
      <c r="A238" s="18" t="s">
        <v>13</v>
      </c>
      <c r="B238" s="18" t="s">
        <v>86</v>
      </c>
      <c r="C238" s="18" t="s">
        <v>2972</v>
      </c>
      <c r="E238" s="22">
        <v>11992.29</v>
      </c>
      <c r="G238" s="18" t="s">
        <v>2973</v>
      </c>
      <c r="H238" s="18" t="s">
        <v>852</v>
      </c>
    </row>
    <row r="239" spans="1:8">
      <c r="A239" s="18" t="s">
        <v>13</v>
      </c>
      <c r="B239" s="18" t="s">
        <v>86</v>
      </c>
      <c r="C239" s="18" t="s">
        <v>2975</v>
      </c>
      <c r="E239" s="22">
        <v>74</v>
      </c>
      <c r="G239" s="18" t="s">
        <v>2973</v>
      </c>
      <c r="H239" s="18" t="s">
        <v>852</v>
      </c>
    </row>
    <row r="240" spans="1:8">
      <c r="A240" s="18" t="s">
        <v>13</v>
      </c>
      <c r="B240" s="18" t="s">
        <v>86</v>
      </c>
      <c r="C240" s="18" t="s">
        <v>2976</v>
      </c>
      <c r="D240" s="22">
        <v>11992</v>
      </c>
      <c r="E240" s="22">
        <v>11992.29</v>
      </c>
      <c r="F240" s="22">
        <v>-0.2900000000008731</v>
      </c>
      <c r="G240" s="18" t="s">
        <v>2996</v>
      </c>
      <c r="H240" s="18" t="s">
        <v>852</v>
      </c>
    </row>
    <row r="241" spans="1:8">
      <c r="A241" s="18" t="s">
        <v>13</v>
      </c>
      <c r="B241" s="18" t="s">
        <v>86</v>
      </c>
      <c r="C241" s="18" t="s">
        <v>2977</v>
      </c>
      <c r="D241" s="22">
        <v>74</v>
      </c>
      <c r="E241" s="22">
        <v>74</v>
      </c>
      <c r="F241" s="22">
        <v>0</v>
      </c>
      <c r="G241" s="18" t="s">
        <v>2943</v>
      </c>
      <c r="H241" s="18" t="s">
        <v>852</v>
      </c>
    </row>
    <row r="242" spans="1:8">
      <c r="A242" s="18" t="s">
        <v>13</v>
      </c>
      <c r="B242" s="18" t="s">
        <v>91</v>
      </c>
      <c r="C242" s="18" t="s">
        <v>2999</v>
      </c>
      <c r="D242" s="22">
        <v>1360.75</v>
      </c>
      <c r="E242" s="22">
        <v>1360.75</v>
      </c>
      <c r="F242" s="22">
        <v>0</v>
      </c>
      <c r="G242" s="18" t="s">
        <v>2943</v>
      </c>
      <c r="H242" s="18" t="s">
        <v>94</v>
      </c>
    </row>
    <row r="243" spans="1:8">
      <c r="A243" s="18" t="s">
        <v>13</v>
      </c>
      <c r="B243" s="18" t="s">
        <v>91</v>
      </c>
      <c r="C243" s="18" t="s">
        <v>3000</v>
      </c>
      <c r="D243" s="22">
        <v>0</v>
      </c>
      <c r="E243" s="22">
        <v>0</v>
      </c>
      <c r="F243" s="22">
        <v>0</v>
      </c>
      <c r="G243" s="18" t="s">
        <v>2943</v>
      </c>
      <c r="H243" s="18" t="s">
        <v>94</v>
      </c>
    </row>
    <row r="244" spans="1:8">
      <c r="A244" s="18" t="s">
        <v>13</v>
      </c>
      <c r="B244" s="18" t="s">
        <v>91</v>
      </c>
      <c r="C244" s="18" t="s">
        <v>3001</v>
      </c>
      <c r="D244" s="22">
        <v>707.71</v>
      </c>
      <c r="E244" s="22">
        <v>707.71</v>
      </c>
      <c r="F244" s="22">
        <v>0</v>
      </c>
      <c r="G244" s="18" t="s">
        <v>2943</v>
      </c>
      <c r="H244" s="18" t="s">
        <v>96</v>
      </c>
    </row>
    <row r="245" spans="1:8">
      <c r="A245" s="18" t="s">
        <v>13</v>
      </c>
      <c r="B245" s="18" t="s">
        <v>91</v>
      </c>
      <c r="C245" s="18" t="s">
        <v>3002</v>
      </c>
      <c r="D245" s="22">
        <v>0</v>
      </c>
      <c r="E245" s="22">
        <v>0</v>
      </c>
      <c r="F245" s="22">
        <v>0</v>
      </c>
      <c r="G245" s="18" t="s">
        <v>2943</v>
      </c>
      <c r="H245" s="18" t="s">
        <v>96</v>
      </c>
    </row>
    <row r="246" spans="1:8">
      <c r="A246" s="18" t="s">
        <v>13</v>
      </c>
      <c r="B246" s="18" t="s">
        <v>91</v>
      </c>
      <c r="C246" s="18" t="s">
        <v>2945</v>
      </c>
      <c r="D246" s="22">
        <v>979562.1399999998</v>
      </c>
      <c r="E246" s="22">
        <v>979562.1399999998</v>
      </c>
      <c r="F246" s="22">
        <v>0</v>
      </c>
      <c r="G246" s="18" t="s">
        <v>2943</v>
      </c>
      <c r="H246" s="18" t="s">
        <v>97</v>
      </c>
    </row>
    <row r="247" spans="1:8">
      <c r="A247" s="18" t="s">
        <v>13</v>
      </c>
      <c r="B247" s="18" t="s">
        <v>91</v>
      </c>
      <c r="C247" s="18" t="s">
        <v>2946</v>
      </c>
      <c r="D247" s="22">
        <v>2.328306436538696E-10</v>
      </c>
      <c r="E247" s="22">
        <v>0</v>
      </c>
      <c r="F247" s="22">
        <v>2.328306436538696E-10</v>
      </c>
      <c r="G247" s="18" t="s">
        <v>2943</v>
      </c>
      <c r="H247" s="18" t="s">
        <v>97</v>
      </c>
    </row>
    <row r="248" spans="1:8">
      <c r="A248" s="18" t="s">
        <v>13</v>
      </c>
      <c r="B248" s="18" t="s">
        <v>91</v>
      </c>
      <c r="C248" s="18" t="s">
        <v>2947</v>
      </c>
      <c r="D248" s="22">
        <v>678624.8700000002</v>
      </c>
      <c r="E248" s="22">
        <v>678624.8700000002</v>
      </c>
      <c r="F248" s="22">
        <v>0</v>
      </c>
      <c r="G248" s="18" t="s">
        <v>2943</v>
      </c>
      <c r="H248" s="18" t="s">
        <v>98</v>
      </c>
    </row>
    <row r="249" spans="1:8">
      <c r="A249" s="18" t="s">
        <v>13</v>
      </c>
      <c r="B249" s="18" t="s">
        <v>91</v>
      </c>
      <c r="C249" s="18" t="s">
        <v>2948</v>
      </c>
      <c r="D249" s="22">
        <v>182297.8099999998</v>
      </c>
      <c r="E249" s="22">
        <v>182297.8099999998</v>
      </c>
      <c r="F249" s="22">
        <v>0</v>
      </c>
      <c r="G249" s="18" t="s">
        <v>2943</v>
      </c>
      <c r="H249" s="18" t="s">
        <v>98</v>
      </c>
    </row>
    <row r="250" spans="1:8">
      <c r="A250" s="18" t="s">
        <v>13</v>
      </c>
      <c r="B250" s="18" t="s">
        <v>91</v>
      </c>
      <c r="C250" s="18" t="s">
        <v>2950</v>
      </c>
      <c r="D250" s="22">
        <v>130636.08</v>
      </c>
      <c r="E250" s="22">
        <v>130636.08</v>
      </c>
      <c r="F250" s="22">
        <v>0</v>
      </c>
      <c r="G250" s="18" t="s">
        <v>2943</v>
      </c>
      <c r="H250" s="18" t="s">
        <v>215</v>
      </c>
    </row>
    <row r="251" spans="1:8">
      <c r="A251" s="18" t="s">
        <v>13</v>
      </c>
      <c r="B251" s="18" t="s">
        <v>91</v>
      </c>
      <c r="C251" s="18" t="s">
        <v>2951</v>
      </c>
      <c r="D251" s="22">
        <v>0</v>
      </c>
      <c r="E251" s="22">
        <v>0</v>
      </c>
      <c r="F251" s="22">
        <v>0</v>
      </c>
      <c r="G251" s="18" t="s">
        <v>2943</v>
      </c>
      <c r="H251" s="18" t="s">
        <v>215</v>
      </c>
    </row>
    <row r="252" spans="1:8">
      <c r="A252" s="18" t="s">
        <v>13</v>
      </c>
      <c r="B252" s="18" t="s">
        <v>91</v>
      </c>
      <c r="C252" s="18" t="s">
        <v>2952</v>
      </c>
      <c r="D252" s="22">
        <v>255703.76</v>
      </c>
      <c r="E252" s="22">
        <v>255703.76</v>
      </c>
      <c r="F252" s="22">
        <v>0</v>
      </c>
      <c r="G252" s="18" t="s">
        <v>2943</v>
      </c>
      <c r="H252" s="18" t="s">
        <v>216</v>
      </c>
    </row>
    <row r="253" spans="1:8">
      <c r="A253" s="18" t="s">
        <v>13</v>
      </c>
      <c r="B253" s="18" t="s">
        <v>91</v>
      </c>
      <c r="C253" s="18" t="s">
        <v>2953</v>
      </c>
      <c r="D253" s="22">
        <v>937.5000000000873</v>
      </c>
      <c r="E253" s="22">
        <v>937.5000000000873</v>
      </c>
      <c r="F253" s="22">
        <v>0</v>
      </c>
      <c r="G253" s="18" t="s">
        <v>2943</v>
      </c>
      <c r="H253" s="18" t="s">
        <v>216</v>
      </c>
    </row>
    <row r="254" spans="1:8">
      <c r="A254" s="18" t="s">
        <v>13</v>
      </c>
      <c r="B254" s="18" t="s">
        <v>91</v>
      </c>
      <c r="C254" s="18" t="s">
        <v>2954</v>
      </c>
      <c r="D254" s="22">
        <v>108525.6399999999</v>
      </c>
      <c r="E254" s="22">
        <v>108525.6399999999</v>
      </c>
      <c r="F254" s="22">
        <v>0</v>
      </c>
      <c r="G254" s="18" t="s">
        <v>2943</v>
      </c>
      <c r="H254" s="18" t="s">
        <v>217</v>
      </c>
    </row>
    <row r="255" spans="1:8">
      <c r="A255" s="18" t="s">
        <v>13</v>
      </c>
      <c r="B255" s="18" t="s">
        <v>91</v>
      </c>
      <c r="C255" s="18" t="s">
        <v>2955</v>
      </c>
      <c r="D255" s="22">
        <v>2768.789999999994</v>
      </c>
      <c r="E255" s="22">
        <v>2768.789999999994</v>
      </c>
      <c r="F255" s="22">
        <v>0</v>
      </c>
      <c r="G255" s="18" t="s">
        <v>2943</v>
      </c>
      <c r="H255" s="18" t="s">
        <v>217</v>
      </c>
    </row>
    <row r="256" spans="1:8">
      <c r="A256" s="18" t="s">
        <v>13</v>
      </c>
      <c r="B256" s="18" t="s">
        <v>91</v>
      </c>
      <c r="C256" s="18" t="s">
        <v>2956</v>
      </c>
      <c r="D256" s="22">
        <v>91027.96000000002</v>
      </c>
      <c r="E256" s="22">
        <v>91027.96000000002</v>
      </c>
      <c r="F256" s="22">
        <v>0</v>
      </c>
      <c r="G256" s="18" t="s">
        <v>2943</v>
      </c>
      <c r="H256" s="18" t="s">
        <v>218</v>
      </c>
    </row>
    <row r="257" spans="1:8">
      <c r="A257" s="18" t="s">
        <v>13</v>
      </c>
      <c r="B257" s="18" t="s">
        <v>91</v>
      </c>
      <c r="C257" s="18" t="s">
        <v>2957</v>
      </c>
      <c r="D257" s="22">
        <v>21365.39000000004</v>
      </c>
      <c r="E257" s="22">
        <v>21365.39000000004</v>
      </c>
      <c r="F257" s="22">
        <v>0</v>
      </c>
      <c r="G257" s="18" t="s">
        <v>2943</v>
      </c>
      <c r="H257" s="18" t="s">
        <v>218</v>
      </c>
    </row>
    <row r="258" spans="1:8">
      <c r="A258" s="18" t="s">
        <v>13</v>
      </c>
      <c r="B258" s="18" t="s">
        <v>91</v>
      </c>
      <c r="C258" s="18" t="s">
        <v>2958</v>
      </c>
      <c r="D258" s="22">
        <v>65022.42</v>
      </c>
      <c r="E258" s="22">
        <v>65022.42</v>
      </c>
      <c r="F258" s="22">
        <v>0</v>
      </c>
      <c r="G258" s="18" t="s">
        <v>2943</v>
      </c>
      <c r="H258" s="18" t="s">
        <v>219</v>
      </c>
    </row>
    <row r="259" spans="1:8">
      <c r="A259" s="18" t="s">
        <v>13</v>
      </c>
      <c r="B259" s="18" t="s">
        <v>91</v>
      </c>
      <c r="C259" s="18" t="s">
        <v>2959</v>
      </c>
      <c r="D259" s="22">
        <v>97486.80999999998</v>
      </c>
      <c r="E259" s="22">
        <v>97486.80999999998</v>
      </c>
      <c r="F259" s="22">
        <v>0</v>
      </c>
      <c r="G259" s="18" t="s">
        <v>2943</v>
      </c>
      <c r="H259" s="18" t="s">
        <v>219</v>
      </c>
    </row>
    <row r="260" spans="1:8">
      <c r="A260" s="18" t="s">
        <v>13</v>
      </c>
      <c r="B260" s="18" t="s">
        <v>91</v>
      </c>
      <c r="C260" s="18" t="s">
        <v>2960</v>
      </c>
      <c r="D260" s="22">
        <v>27709.00999999999</v>
      </c>
      <c r="E260" s="22">
        <v>27709.00999999999</v>
      </c>
      <c r="F260" s="22">
        <v>0</v>
      </c>
      <c r="G260" s="18" t="s">
        <v>2943</v>
      </c>
      <c r="H260" s="18" t="s">
        <v>220</v>
      </c>
    </row>
    <row r="261" spans="1:8">
      <c r="A261" s="18" t="s">
        <v>13</v>
      </c>
      <c r="B261" s="18" t="s">
        <v>91</v>
      </c>
      <c r="C261" s="18" t="s">
        <v>2961</v>
      </c>
      <c r="D261" s="22">
        <v>59739.32000000008</v>
      </c>
      <c r="E261" s="22">
        <v>59739.32000000008</v>
      </c>
      <c r="F261" s="22">
        <v>0</v>
      </c>
      <c r="G261" s="18" t="s">
        <v>2943</v>
      </c>
      <c r="H261" s="18" t="s">
        <v>220</v>
      </c>
    </row>
    <row r="262" spans="1:8">
      <c r="A262" s="18" t="s">
        <v>13</v>
      </c>
      <c r="B262" s="18" t="s">
        <v>91</v>
      </c>
      <c r="C262" s="18" t="s">
        <v>2962</v>
      </c>
      <c r="D262" s="22">
        <v>1842553.28</v>
      </c>
      <c r="E262" s="22">
        <v>1842553.28</v>
      </c>
      <c r="F262" s="22">
        <v>0</v>
      </c>
      <c r="G262" s="18" t="s">
        <v>2943</v>
      </c>
      <c r="H262" s="18" t="s">
        <v>3003</v>
      </c>
    </row>
    <row r="263" spans="1:8">
      <c r="A263" s="18" t="s">
        <v>13</v>
      </c>
      <c r="B263" s="18" t="s">
        <v>91</v>
      </c>
      <c r="C263" s="18" t="s">
        <v>2964</v>
      </c>
      <c r="D263" s="22">
        <v>1660255.47</v>
      </c>
      <c r="E263" s="22">
        <v>1660255.47</v>
      </c>
      <c r="F263" s="22">
        <v>0</v>
      </c>
      <c r="G263" s="18" t="s">
        <v>2943</v>
      </c>
      <c r="H263" s="18" t="s">
        <v>3003</v>
      </c>
    </row>
    <row r="264" spans="1:8">
      <c r="A264" s="18" t="s">
        <v>13</v>
      </c>
      <c r="B264" s="18" t="s">
        <v>91</v>
      </c>
      <c r="C264" s="18" t="s">
        <v>2965</v>
      </c>
      <c r="D264" s="22">
        <v>182297.8099999998</v>
      </c>
      <c r="E264" s="22">
        <v>182297.8099999998</v>
      </c>
      <c r="F264" s="22">
        <v>0</v>
      </c>
      <c r="G264" s="18" t="s">
        <v>2943</v>
      </c>
      <c r="H264" s="18" t="s">
        <v>3003</v>
      </c>
    </row>
    <row r="265" spans="1:8">
      <c r="A265" s="18" t="s">
        <v>13</v>
      </c>
      <c r="B265" s="18" t="s">
        <v>91</v>
      </c>
      <c r="C265" s="18" t="s">
        <v>2966</v>
      </c>
      <c r="D265" s="22">
        <v>1350048.05</v>
      </c>
      <c r="E265" s="22">
        <v>1350048.05</v>
      </c>
      <c r="F265" s="22">
        <v>0</v>
      </c>
      <c r="G265" s="18" t="s">
        <v>2943</v>
      </c>
      <c r="H265" s="18" t="s">
        <v>3003</v>
      </c>
    </row>
    <row r="266" spans="1:8">
      <c r="A266" s="18" t="s">
        <v>13</v>
      </c>
      <c r="B266" s="18" t="s">
        <v>91</v>
      </c>
      <c r="C266" s="18" t="s">
        <v>2967</v>
      </c>
      <c r="D266" s="22">
        <v>0</v>
      </c>
      <c r="E266" s="22">
        <v>0</v>
      </c>
      <c r="F266" s="22">
        <v>0</v>
      </c>
      <c r="G266" s="18" t="s">
        <v>2943</v>
      </c>
      <c r="H266" s="18" t="s">
        <v>3003</v>
      </c>
    </row>
    <row r="267" spans="1:8">
      <c r="A267" s="18" t="s">
        <v>13</v>
      </c>
      <c r="B267" s="18" t="s">
        <v>91</v>
      </c>
      <c r="C267" s="18" t="s">
        <v>3004</v>
      </c>
      <c r="D267" s="22">
        <v>310207.42</v>
      </c>
      <c r="E267" s="22">
        <v>310207.42</v>
      </c>
      <c r="F267" s="22">
        <v>0</v>
      </c>
      <c r="G267" s="18" t="s">
        <v>2943</v>
      </c>
      <c r="H267" s="18" t="s">
        <v>3003</v>
      </c>
    </row>
    <row r="268" spans="1:8">
      <c r="A268" s="18" t="s">
        <v>13</v>
      </c>
      <c r="B268" s="18" t="s">
        <v>91</v>
      </c>
      <c r="C268" s="18" t="s">
        <v>2969</v>
      </c>
      <c r="D268" s="22">
        <v>182297.81</v>
      </c>
      <c r="E268" s="22">
        <v>182297.81</v>
      </c>
      <c r="F268" s="22">
        <v>-2.91038304567337E-11</v>
      </c>
      <c r="G268" s="18" t="s">
        <v>2943</v>
      </c>
      <c r="H268" s="18" t="s">
        <v>3005</v>
      </c>
    </row>
    <row r="269" spans="1:8">
      <c r="A269" s="18" t="s">
        <v>13</v>
      </c>
      <c r="B269" s="18" t="s">
        <v>91</v>
      </c>
      <c r="C269" s="18" t="s">
        <v>2971</v>
      </c>
      <c r="D269" s="22">
        <v>692</v>
      </c>
      <c r="E269" s="22">
        <v>692</v>
      </c>
      <c r="F269" s="22">
        <v>0</v>
      </c>
      <c r="G269" s="18" t="s">
        <v>2943</v>
      </c>
      <c r="H269" s="18" t="s">
        <v>3005</v>
      </c>
    </row>
    <row r="270" spans="1:8">
      <c r="A270" s="18" t="s">
        <v>13</v>
      </c>
      <c r="B270" s="18" t="s">
        <v>91</v>
      </c>
      <c r="C270" s="18" t="s">
        <v>2972</v>
      </c>
      <c r="D270" s="22">
        <v>182297.8099999999</v>
      </c>
      <c r="E270" s="22">
        <v>182297.8099999999</v>
      </c>
      <c r="F270" s="22">
        <v>0</v>
      </c>
      <c r="G270" s="18" t="s">
        <v>2943</v>
      </c>
      <c r="H270" s="18" t="s">
        <v>3006</v>
      </c>
    </row>
    <row r="271" spans="1:8">
      <c r="A271" s="18" t="s">
        <v>13</v>
      </c>
      <c r="B271" s="18" t="s">
        <v>91</v>
      </c>
      <c r="C271" s="18" t="s">
        <v>2975</v>
      </c>
      <c r="D271" s="22">
        <v>692</v>
      </c>
      <c r="E271" s="22">
        <v>692</v>
      </c>
      <c r="F271" s="22">
        <v>0</v>
      </c>
      <c r="G271" s="18" t="s">
        <v>2943</v>
      </c>
      <c r="H271" s="18" t="s">
        <v>3006</v>
      </c>
    </row>
    <row r="272" spans="1:8">
      <c r="A272" s="18" t="s">
        <v>13</v>
      </c>
      <c r="B272" s="18" t="s">
        <v>91</v>
      </c>
      <c r="C272" s="18" t="s">
        <v>2976</v>
      </c>
      <c r="D272" s="22">
        <v>182297.81</v>
      </c>
      <c r="E272" s="22">
        <v>182297.8099999999</v>
      </c>
      <c r="F272" s="22">
        <v>8.731149137020111E-11</v>
      </c>
      <c r="G272" s="18" t="s">
        <v>2943</v>
      </c>
      <c r="H272" s="18" t="s">
        <v>3006</v>
      </c>
    </row>
    <row r="273" spans="1:8">
      <c r="A273" s="18" t="s">
        <v>13</v>
      </c>
      <c r="B273" s="18" t="s">
        <v>91</v>
      </c>
      <c r="C273" s="18" t="s">
        <v>2977</v>
      </c>
      <c r="D273" s="22">
        <v>692</v>
      </c>
      <c r="E273" s="22">
        <v>692</v>
      </c>
      <c r="F273" s="22">
        <v>0</v>
      </c>
      <c r="G273" s="18" t="s">
        <v>2943</v>
      </c>
      <c r="H273" s="18" t="s">
        <v>3006</v>
      </c>
    </row>
    <row r="274" spans="1:8">
      <c r="A274" s="18" t="s">
        <v>13</v>
      </c>
      <c r="B274" s="18" t="s">
        <v>99</v>
      </c>
      <c r="C274" s="18" t="s">
        <v>2999</v>
      </c>
      <c r="D274" s="22">
        <v>0</v>
      </c>
      <c r="E274" s="22">
        <v>0</v>
      </c>
      <c r="F274" s="22">
        <v>0</v>
      </c>
      <c r="G274" s="18" t="s">
        <v>2943</v>
      </c>
      <c r="H274" s="18" t="s">
        <v>101</v>
      </c>
    </row>
    <row r="275" spans="1:8">
      <c r="A275" s="18" t="s">
        <v>13</v>
      </c>
      <c r="B275" s="18" t="s">
        <v>99</v>
      </c>
      <c r="C275" s="18" t="s">
        <v>3000</v>
      </c>
      <c r="D275" s="22">
        <v>0</v>
      </c>
      <c r="E275" s="22">
        <v>0</v>
      </c>
      <c r="F275" s="22">
        <v>0</v>
      </c>
      <c r="G275" s="18" t="s">
        <v>2943</v>
      </c>
      <c r="H275" s="18" t="s">
        <v>101</v>
      </c>
    </row>
    <row r="276" spans="1:8">
      <c r="A276" s="18" t="s">
        <v>13</v>
      </c>
      <c r="B276" s="18" t="s">
        <v>99</v>
      </c>
      <c r="C276" s="18" t="s">
        <v>3001</v>
      </c>
      <c r="D276" s="22">
        <v>19392.95</v>
      </c>
      <c r="E276" s="22">
        <v>19392.95</v>
      </c>
      <c r="F276" s="22">
        <v>0</v>
      </c>
      <c r="G276" s="18" t="s">
        <v>2943</v>
      </c>
      <c r="H276" s="18" t="s">
        <v>102</v>
      </c>
    </row>
    <row r="277" spans="1:8">
      <c r="A277" s="18" t="s">
        <v>13</v>
      </c>
      <c r="B277" s="18" t="s">
        <v>99</v>
      </c>
      <c r="C277" s="18" t="s">
        <v>3002</v>
      </c>
      <c r="D277" s="22">
        <v>0</v>
      </c>
      <c r="E277" s="22">
        <v>0</v>
      </c>
      <c r="F277" s="22">
        <v>0</v>
      </c>
      <c r="G277" s="18" t="s">
        <v>2943</v>
      </c>
      <c r="H277" s="18" t="s">
        <v>102</v>
      </c>
    </row>
    <row r="278" spans="1:8">
      <c r="A278" s="18" t="s">
        <v>13</v>
      </c>
      <c r="B278" s="18" t="s">
        <v>99</v>
      </c>
      <c r="C278" s="18" t="s">
        <v>2945</v>
      </c>
      <c r="D278" s="22">
        <v>1208230.41</v>
      </c>
      <c r="E278" s="22">
        <v>1208230.41</v>
      </c>
      <c r="F278" s="22">
        <v>0</v>
      </c>
      <c r="G278" s="18" t="s">
        <v>2943</v>
      </c>
      <c r="H278" s="18" t="s">
        <v>103</v>
      </c>
    </row>
    <row r="279" spans="1:8">
      <c r="A279" s="18" t="s">
        <v>13</v>
      </c>
      <c r="B279" s="18" t="s">
        <v>99</v>
      </c>
      <c r="C279" s="18" t="s">
        <v>2946</v>
      </c>
      <c r="D279" s="22">
        <v>4.656612873077393E-10</v>
      </c>
      <c r="E279" s="22">
        <v>0</v>
      </c>
      <c r="F279" s="22">
        <v>4.656612873077393E-10</v>
      </c>
      <c r="G279" s="18" t="s">
        <v>2943</v>
      </c>
      <c r="H279" s="18" t="s">
        <v>103</v>
      </c>
    </row>
    <row r="280" spans="1:8">
      <c r="A280" s="18" t="s">
        <v>13</v>
      </c>
      <c r="B280" s="18" t="s">
        <v>99</v>
      </c>
      <c r="C280" s="18" t="s">
        <v>2947</v>
      </c>
      <c r="D280" s="22">
        <v>573007.95</v>
      </c>
      <c r="E280" s="22">
        <v>573007.95</v>
      </c>
      <c r="F280" s="22">
        <v>0</v>
      </c>
      <c r="G280" s="18" t="s">
        <v>2943</v>
      </c>
      <c r="H280" s="18" t="s">
        <v>104</v>
      </c>
    </row>
    <row r="281" spans="1:8">
      <c r="A281" s="18" t="s">
        <v>13</v>
      </c>
      <c r="B281" s="18" t="s">
        <v>99</v>
      </c>
      <c r="C281" s="18" t="s">
        <v>2948</v>
      </c>
      <c r="D281" s="22">
        <v>122248.0599999999</v>
      </c>
      <c r="E281" s="22">
        <v>122248.0599999999</v>
      </c>
      <c r="F281" s="22">
        <v>0</v>
      </c>
      <c r="G281" s="18" t="s">
        <v>2943</v>
      </c>
      <c r="H281" s="18" t="s">
        <v>104</v>
      </c>
    </row>
    <row r="282" spans="1:8">
      <c r="A282" s="18" t="s">
        <v>13</v>
      </c>
      <c r="B282" s="18" t="s">
        <v>99</v>
      </c>
      <c r="C282" s="18" t="s">
        <v>2950</v>
      </c>
      <c r="D282" s="22">
        <v>106228.66</v>
      </c>
      <c r="E282" s="22">
        <v>106228.66</v>
      </c>
      <c r="F282" s="22">
        <v>0</v>
      </c>
      <c r="G282" s="18" t="s">
        <v>2943</v>
      </c>
      <c r="H282" s="18" t="s">
        <v>221</v>
      </c>
    </row>
    <row r="283" spans="1:8">
      <c r="A283" s="18" t="s">
        <v>13</v>
      </c>
      <c r="B283" s="18" t="s">
        <v>99</v>
      </c>
      <c r="C283" s="18" t="s">
        <v>2951</v>
      </c>
      <c r="D283" s="22">
        <v>6658.48000000004</v>
      </c>
      <c r="E283" s="22">
        <v>6658.48000000004</v>
      </c>
      <c r="F283" s="22">
        <v>0</v>
      </c>
      <c r="G283" s="18" t="s">
        <v>2943</v>
      </c>
      <c r="H283" s="18" t="s">
        <v>221</v>
      </c>
    </row>
    <row r="284" spans="1:8">
      <c r="A284" s="18" t="s">
        <v>13</v>
      </c>
      <c r="B284" s="18" t="s">
        <v>99</v>
      </c>
      <c r="C284" s="18" t="s">
        <v>2952</v>
      </c>
      <c r="D284" s="22">
        <v>68143.89999999999</v>
      </c>
      <c r="E284" s="22">
        <v>68143.89999999999</v>
      </c>
      <c r="F284" s="22">
        <v>0</v>
      </c>
      <c r="G284" s="18" t="s">
        <v>2943</v>
      </c>
      <c r="H284" s="18" t="s">
        <v>222</v>
      </c>
    </row>
    <row r="285" spans="1:8">
      <c r="A285" s="18" t="s">
        <v>13</v>
      </c>
      <c r="B285" s="18" t="s">
        <v>99</v>
      </c>
      <c r="C285" s="18" t="s">
        <v>2953</v>
      </c>
      <c r="D285" s="22">
        <v>0</v>
      </c>
      <c r="E285" s="22">
        <v>0</v>
      </c>
      <c r="F285" s="22">
        <v>0</v>
      </c>
      <c r="G285" s="18" t="s">
        <v>2943</v>
      </c>
      <c r="H285" s="18" t="s">
        <v>222</v>
      </c>
    </row>
    <row r="286" spans="1:8">
      <c r="A286" s="18" t="s">
        <v>13</v>
      </c>
      <c r="B286" s="18" t="s">
        <v>99</v>
      </c>
      <c r="C286" s="18" t="s">
        <v>2954</v>
      </c>
      <c r="D286" s="22">
        <v>230468.7800000001</v>
      </c>
      <c r="E286" s="22">
        <v>230468.7800000001</v>
      </c>
      <c r="F286" s="22">
        <v>0</v>
      </c>
      <c r="G286" s="18" t="s">
        <v>2943</v>
      </c>
      <c r="H286" s="18" t="s">
        <v>223</v>
      </c>
    </row>
    <row r="287" spans="1:8">
      <c r="A287" s="18" t="s">
        <v>13</v>
      </c>
      <c r="B287" s="18" t="s">
        <v>99</v>
      </c>
      <c r="C287" s="18" t="s">
        <v>2955</v>
      </c>
      <c r="D287" s="22">
        <v>17198.04000000004</v>
      </c>
      <c r="E287" s="22">
        <v>17198.04000000004</v>
      </c>
      <c r="F287" s="22">
        <v>0</v>
      </c>
      <c r="G287" s="18" t="s">
        <v>2943</v>
      </c>
      <c r="H287" s="18" t="s">
        <v>223</v>
      </c>
    </row>
    <row r="288" spans="1:8">
      <c r="A288" s="18" t="s">
        <v>13</v>
      </c>
      <c r="B288" s="18" t="s">
        <v>99</v>
      </c>
      <c r="C288" s="18" t="s">
        <v>2956</v>
      </c>
      <c r="D288" s="22">
        <v>39219.54000000001</v>
      </c>
      <c r="E288" s="22">
        <v>39219.54000000001</v>
      </c>
      <c r="F288" s="22">
        <v>0</v>
      </c>
      <c r="G288" s="18" t="s">
        <v>2943</v>
      </c>
      <c r="H288" s="18" t="s">
        <v>224</v>
      </c>
    </row>
    <row r="289" spans="1:8">
      <c r="A289" s="18" t="s">
        <v>13</v>
      </c>
      <c r="B289" s="18" t="s">
        <v>99</v>
      </c>
      <c r="C289" s="18" t="s">
        <v>2957</v>
      </c>
      <c r="D289" s="22">
        <v>18314.39000000001</v>
      </c>
      <c r="E289" s="22">
        <v>18314.39000000001</v>
      </c>
      <c r="F289" s="22">
        <v>0</v>
      </c>
      <c r="G289" s="18" t="s">
        <v>2943</v>
      </c>
      <c r="H289" s="18" t="s">
        <v>224</v>
      </c>
    </row>
    <row r="290" spans="1:8">
      <c r="A290" s="18" t="s">
        <v>13</v>
      </c>
      <c r="B290" s="18" t="s">
        <v>99</v>
      </c>
      <c r="C290" s="18" t="s">
        <v>2958</v>
      </c>
      <c r="D290" s="22">
        <v>115584.41</v>
      </c>
      <c r="E290" s="22">
        <v>115584.41</v>
      </c>
      <c r="F290" s="22">
        <v>0</v>
      </c>
      <c r="G290" s="18" t="s">
        <v>2943</v>
      </c>
      <c r="H290" s="18" t="s">
        <v>225</v>
      </c>
    </row>
    <row r="291" spans="1:8">
      <c r="A291" s="18" t="s">
        <v>13</v>
      </c>
      <c r="B291" s="18" t="s">
        <v>99</v>
      </c>
      <c r="C291" s="18" t="s">
        <v>2959</v>
      </c>
      <c r="D291" s="22">
        <v>28965.12000000002</v>
      </c>
      <c r="E291" s="22">
        <v>28965.12000000002</v>
      </c>
      <c r="F291" s="22">
        <v>0</v>
      </c>
      <c r="G291" s="18" t="s">
        <v>2943</v>
      </c>
      <c r="H291" s="18" t="s">
        <v>225</v>
      </c>
    </row>
    <row r="292" spans="1:8">
      <c r="A292" s="18" t="s">
        <v>13</v>
      </c>
      <c r="B292" s="18" t="s">
        <v>99</v>
      </c>
      <c r="C292" s="18" t="s">
        <v>2960</v>
      </c>
      <c r="D292" s="22">
        <v>13362.66</v>
      </c>
      <c r="E292" s="22">
        <v>13362.66</v>
      </c>
      <c r="F292" s="22">
        <v>0</v>
      </c>
      <c r="G292" s="18" t="s">
        <v>2943</v>
      </c>
      <c r="H292" s="18" t="s">
        <v>226</v>
      </c>
    </row>
    <row r="293" spans="1:8">
      <c r="A293" s="18" t="s">
        <v>13</v>
      </c>
      <c r="B293" s="18" t="s">
        <v>99</v>
      </c>
      <c r="C293" s="18" t="s">
        <v>2961</v>
      </c>
      <c r="D293" s="22">
        <v>51112.03000000001</v>
      </c>
      <c r="E293" s="22">
        <v>51112.03000000001</v>
      </c>
      <c r="F293" s="22">
        <v>0</v>
      </c>
      <c r="G293" s="18" t="s">
        <v>2943</v>
      </c>
      <c r="H293" s="18" t="s">
        <v>226</v>
      </c>
    </row>
    <row r="294" spans="1:8">
      <c r="A294" s="18" t="s">
        <v>13</v>
      </c>
      <c r="B294" s="18" t="s">
        <v>99</v>
      </c>
      <c r="C294" s="18" t="s">
        <v>2962</v>
      </c>
      <c r="D294" s="22">
        <v>1922879.37</v>
      </c>
      <c r="E294" s="22">
        <v>1922879.37</v>
      </c>
      <c r="F294" s="22">
        <v>0</v>
      </c>
      <c r="G294" s="18" t="s">
        <v>2943</v>
      </c>
      <c r="H294" s="18" t="s">
        <v>3007</v>
      </c>
    </row>
    <row r="295" spans="1:8">
      <c r="A295" s="18" t="s">
        <v>13</v>
      </c>
      <c r="B295" s="18" t="s">
        <v>99</v>
      </c>
      <c r="C295" s="18" t="s">
        <v>2964</v>
      </c>
      <c r="D295" s="22">
        <v>1800631.31</v>
      </c>
      <c r="E295" s="22">
        <v>1800631.31</v>
      </c>
      <c r="F295" s="22">
        <v>0</v>
      </c>
      <c r="G295" s="18" t="s">
        <v>2943</v>
      </c>
      <c r="H295" s="18" t="s">
        <v>3007</v>
      </c>
    </row>
    <row r="296" spans="1:8">
      <c r="A296" s="18" t="s">
        <v>13</v>
      </c>
      <c r="B296" s="18" t="s">
        <v>99</v>
      </c>
      <c r="C296" s="18" t="s">
        <v>2965</v>
      </c>
      <c r="D296" s="22">
        <v>122248.0599999999</v>
      </c>
      <c r="E296" s="22">
        <v>122248.0599999999</v>
      </c>
      <c r="F296" s="22">
        <v>0</v>
      </c>
      <c r="G296" s="18" t="s">
        <v>2943</v>
      </c>
      <c r="H296" s="18" t="s">
        <v>3007</v>
      </c>
    </row>
    <row r="297" spans="1:8">
      <c r="A297" s="18" t="s">
        <v>13</v>
      </c>
      <c r="B297" s="18" t="s">
        <v>99</v>
      </c>
      <c r="C297" s="18" t="s">
        <v>2966</v>
      </c>
      <c r="D297" s="22">
        <v>949352.78</v>
      </c>
      <c r="E297" s="22">
        <v>949352.78</v>
      </c>
      <c r="F297" s="22">
        <v>0</v>
      </c>
      <c r="G297" s="18" t="s">
        <v>2943</v>
      </c>
      <c r="H297" s="18" t="s">
        <v>3007</v>
      </c>
    </row>
    <row r="298" spans="1:8">
      <c r="A298" s="18" t="s">
        <v>13</v>
      </c>
      <c r="B298" s="18" t="s">
        <v>99</v>
      </c>
      <c r="C298" s="18" t="s">
        <v>2967</v>
      </c>
      <c r="D298" s="22">
        <v>0</v>
      </c>
      <c r="E298" s="22">
        <v>0</v>
      </c>
      <c r="F298" s="22">
        <v>0</v>
      </c>
      <c r="G298" s="18" t="s">
        <v>2943</v>
      </c>
      <c r="H298" s="18" t="s">
        <v>3007</v>
      </c>
    </row>
    <row r="299" spans="1:8">
      <c r="A299" s="18" t="s">
        <v>13</v>
      </c>
      <c r="B299" s="18" t="s">
        <v>99</v>
      </c>
      <c r="C299" s="18" t="s">
        <v>3004</v>
      </c>
      <c r="D299" s="22">
        <v>851278.5299999998</v>
      </c>
      <c r="E299" s="22">
        <v>851278.5299999998</v>
      </c>
      <c r="F299" s="22">
        <v>0</v>
      </c>
      <c r="G299" s="18" t="s">
        <v>2943</v>
      </c>
      <c r="H299" s="18" t="s">
        <v>3007</v>
      </c>
    </row>
    <row r="300" spans="1:8">
      <c r="A300" s="18" t="s">
        <v>13</v>
      </c>
      <c r="B300" s="18" t="s">
        <v>99</v>
      </c>
      <c r="C300" s="18" t="s">
        <v>2969</v>
      </c>
      <c r="D300" s="22">
        <v>122248.06</v>
      </c>
      <c r="E300" s="22">
        <v>122248.06</v>
      </c>
      <c r="F300" s="22">
        <v>0</v>
      </c>
      <c r="G300" s="18" t="s">
        <v>2943</v>
      </c>
      <c r="H300" s="18" t="s">
        <v>3008</v>
      </c>
    </row>
    <row r="301" spans="1:8">
      <c r="A301" s="18" t="s">
        <v>13</v>
      </c>
      <c r="B301" s="18" t="s">
        <v>99</v>
      </c>
      <c r="C301" s="18" t="s">
        <v>2971</v>
      </c>
      <c r="D301" s="22">
        <v>461</v>
      </c>
      <c r="E301" s="22">
        <v>461</v>
      </c>
      <c r="F301" s="22">
        <v>0</v>
      </c>
      <c r="G301" s="18" t="s">
        <v>2943</v>
      </c>
      <c r="H301" s="18" t="s">
        <v>3008</v>
      </c>
    </row>
    <row r="302" spans="1:8">
      <c r="A302" s="18" t="s">
        <v>13</v>
      </c>
      <c r="B302" s="18" t="s">
        <v>99</v>
      </c>
      <c r="C302" s="18" t="s">
        <v>2972</v>
      </c>
      <c r="D302" s="22">
        <v>122248.06</v>
      </c>
      <c r="E302" s="22">
        <v>122248.06</v>
      </c>
      <c r="F302" s="22">
        <v>0</v>
      </c>
      <c r="G302" s="18" t="s">
        <v>2943</v>
      </c>
      <c r="H302" s="18" t="s">
        <v>3009</v>
      </c>
    </row>
    <row r="303" spans="1:8">
      <c r="A303" s="18" t="s">
        <v>13</v>
      </c>
      <c r="B303" s="18" t="s">
        <v>99</v>
      </c>
      <c r="C303" s="18" t="s">
        <v>2975</v>
      </c>
      <c r="D303" s="22">
        <v>461</v>
      </c>
      <c r="E303" s="22">
        <v>461</v>
      </c>
      <c r="F303" s="22">
        <v>0</v>
      </c>
      <c r="G303" s="18" t="s">
        <v>2943</v>
      </c>
      <c r="H303" s="18" t="s">
        <v>3009</v>
      </c>
    </row>
    <row r="304" spans="1:8">
      <c r="A304" s="18" t="s">
        <v>13</v>
      </c>
      <c r="B304" s="18" t="s">
        <v>99</v>
      </c>
      <c r="C304" s="18" t="s">
        <v>2976</v>
      </c>
      <c r="D304" s="22">
        <v>122248.06</v>
      </c>
      <c r="E304" s="22">
        <v>122248.06</v>
      </c>
      <c r="F304" s="22">
        <v>-1.455191522836685E-11</v>
      </c>
      <c r="G304" s="18" t="s">
        <v>2943</v>
      </c>
      <c r="H304" s="18" t="s">
        <v>3009</v>
      </c>
    </row>
    <row r="305" spans="1:8">
      <c r="A305" s="18" t="s">
        <v>13</v>
      </c>
      <c r="B305" s="18" t="s">
        <v>99</v>
      </c>
      <c r="C305" s="18" t="s">
        <v>2977</v>
      </c>
      <c r="D305" s="22">
        <v>461</v>
      </c>
      <c r="E305" s="22">
        <v>461</v>
      </c>
      <c r="F305" s="22">
        <v>0</v>
      </c>
      <c r="G305" s="18" t="s">
        <v>2943</v>
      </c>
      <c r="H305" s="18" t="s">
        <v>3009</v>
      </c>
    </row>
    <row r="306" spans="1:8">
      <c r="A306" s="18" t="s">
        <v>13</v>
      </c>
      <c r="B306" s="18" t="s">
        <v>105</v>
      </c>
      <c r="C306" s="18" t="s">
        <v>2999</v>
      </c>
      <c r="D306" s="22">
        <v>0</v>
      </c>
      <c r="E306" s="22">
        <v>0</v>
      </c>
      <c r="F306" s="22">
        <v>0</v>
      </c>
      <c r="G306" s="18" t="s">
        <v>2943</v>
      </c>
      <c r="H306" s="18" t="s">
        <v>107</v>
      </c>
    </row>
    <row r="307" spans="1:8">
      <c r="A307" s="18" t="s">
        <v>13</v>
      </c>
      <c r="B307" s="18" t="s">
        <v>105</v>
      </c>
      <c r="C307" s="18" t="s">
        <v>3000</v>
      </c>
      <c r="D307" s="22">
        <v>0</v>
      </c>
      <c r="E307" s="22">
        <v>0</v>
      </c>
      <c r="F307" s="22">
        <v>0</v>
      </c>
      <c r="G307" s="18" t="s">
        <v>2943</v>
      </c>
      <c r="H307" s="18" t="s">
        <v>107</v>
      </c>
    </row>
    <row r="308" spans="1:8">
      <c r="A308" s="18" t="s">
        <v>13</v>
      </c>
      <c r="B308" s="18" t="s">
        <v>105</v>
      </c>
      <c r="C308" s="18" t="s">
        <v>3001</v>
      </c>
      <c r="D308" s="22">
        <v>0</v>
      </c>
      <c r="E308" s="22">
        <v>0</v>
      </c>
      <c r="F308" s="22">
        <v>0</v>
      </c>
      <c r="G308" s="18" t="s">
        <v>2943</v>
      </c>
      <c r="H308" s="18" t="s">
        <v>108</v>
      </c>
    </row>
    <row r="309" spans="1:8">
      <c r="A309" s="18" t="s">
        <v>13</v>
      </c>
      <c r="B309" s="18" t="s">
        <v>105</v>
      </c>
      <c r="C309" s="18" t="s">
        <v>3002</v>
      </c>
      <c r="D309" s="22">
        <v>0</v>
      </c>
      <c r="E309" s="22">
        <v>0</v>
      </c>
      <c r="F309" s="22">
        <v>0</v>
      </c>
      <c r="G309" s="18" t="s">
        <v>2943</v>
      </c>
      <c r="H309" s="18" t="s">
        <v>108</v>
      </c>
    </row>
    <row r="310" spans="1:8">
      <c r="A310" s="18" t="s">
        <v>13</v>
      </c>
      <c r="B310" s="18" t="s">
        <v>105</v>
      </c>
      <c r="C310" s="18" t="s">
        <v>2945</v>
      </c>
      <c r="D310" s="22">
        <v>1598170.86</v>
      </c>
      <c r="E310" s="22">
        <v>1598170.86</v>
      </c>
      <c r="F310" s="22">
        <v>0</v>
      </c>
      <c r="G310" s="18" t="s">
        <v>2943</v>
      </c>
      <c r="H310" s="18" t="s">
        <v>109</v>
      </c>
    </row>
    <row r="311" spans="1:8">
      <c r="A311" s="18" t="s">
        <v>13</v>
      </c>
      <c r="B311" s="18" t="s">
        <v>105</v>
      </c>
      <c r="C311" s="18" t="s">
        <v>2946</v>
      </c>
      <c r="D311" s="22">
        <v>0</v>
      </c>
      <c r="E311" s="22">
        <v>0</v>
      </c>
      <c r="F311" s="22">
        <v>0</v>
      </c>
      <c r="G311" s="18" t="s">
        <v>2943</v>
      </c>
      <c r="H311" s="18" t="s">
        <v>109</v>
      </c>
    </row>
    <row r="312" spans="1:8">
      <c r="A312" s="18" t="s">
        <v>13</v>
      </c>
      <c r="B312" s="18" t="s">
        <v>105</v>
      </c>
      <c r="C312" s="18" t="s">
        <v>2947</v>
      </c>
      <c r="D312" s="22">
        <v>1731272.889999999</v>
      </c>
      <c r="E312" s="22">
        <v>1731272.889999999</v>
      </c>
      <c r="F312" s="22">
        <v>0</v>
      </c>
      <c r="G312" s="18" t="s">
        <v>2943</v>
      </c>
      <c r="H312" s="18" t="s">
        <v>110</v>
      </c>
    </row>
    <row r="313" spans="1:8">
      <c r="A313" s="18" t="s">
        <v>13</v>
      </c>
      <c r="B313" s="18" t="s">
        <v>105</v>
      </c>
      <c r="C313" s="18" t="s">
        <v>2948</v>
      </c>
      <c r="D313" s="22">
        <v>156644.0600000008</v>
      </c>
      <c r="E313" s="22">
        <v>156644.0600000008</v>
      </c>
      <c r="F313" s="22">
        <v>0</v>
      </c>
      <c r="G313" s="18" t="s">
        <v>2943</v>
      </c>
      <c r="H313" s="18" t="s">
        <v>110</v>
      </c>
    </row>
    <row r="314" spans="1:8">
      <c r="A314" s="18" t="s">
        <v>13</v>
      </c>
      <c r="B314" s="18" t="s">
        <v>105</v>
      </c>
      <c r="C314" s="18" t="s">
        <v>2950</v>
      </c>
      <c r="D314" s="22">
        <v>248370.9299999999</v>
      </c>
      <c r="E314" s="22">
        <v>248370.9299999999</v>
      </c>
      <c r="F314" s="22">
        <v>0</v>
      </c>
      <c r="G314" s="18" t="s">
        <v>2943</v>
      </c>
      <c r="H314" s="18" t="s">
        <v>227</v>
      </c>
    </row>
    <row r="315" spans="1:8">
      <c r="A315" s="18" t="s">
        <v>13</v>
      </c>
      <c r="B315" s="18" t="s">
        <v>105</v>
      </c>
      <c r="C315" s="18" t="s">
        <v>2951</v>
      </c>
      <c r="D315" s="22">
        <v>2.91038304567337E-11</v>
      </c>
      <c r="E315" s="22">
        <v>0</v>
      </c>
      <c r="F315" s="22">
        <v>2.91038304567337E-11</v>
      </c>
      <c r="G315" s="18" t="s">
        <v>2943</v>
      </c>
      <c r="H315" s="18" t="s">
        <v>227</v>
      </c>
    </row>
    <row r="316" spans="1:8">
      <c r="A316" s="18" t="s">
        <v>13</v>
      </c>
      <c r="B316" s="18" t="s">
        <v>105</v>
      </c>
      <c r="C316" s="18" t="s">
        <v>2952</v>
      </c>
      <c r="D316" s="22">
        <v>119781.77</v>
      </c>
      <c r="E316" s="22">
        <v>119781.77</v>
      </c>
      <c r="F316" s="22">
        <v>0</v>
      </c>
      <c r="G316" s="18" t="s">
        <v>2943</v>
      </c>
      <c r="H316" s="18" t="s">
        <v>228</v>
      </c>
    </row>
    <row r="317" spans="1:8">
      <c r="A317" s="18" t="s">
        <v>13</v>
      </c>
      <c r="B317" s="18" t="s">
        <v>105</v>
      </c>
      <c r="C317" s="18" t="s">
        <v>2953</v>
      </c>
      <c r="D317" s="22">
        <v>1.455191522836685E-11</v>
      </c>
      <c r="E317" s="22">
        <v>0</v>
      </c>
      <c r="F317" s="22">
        <v>1.455191522836685E-11</v>
      </c>
      <c r="G317" s="18" t="s">
        <v>2943</v>
      </c>
      <c r="H317" s="18" t="s">
        <v>228</v>
      </c>
    </row>
    <row r="318" spans="1:8">
      <c r="A318" s="18" t="s">
        <v>13</v>
      </c>
      <c r="B318" s="18" t="s">
        <v>105</v>
      </c>
      <c r="C318" s="18" t="s">
        <v>2954</v>
      </c>
      <c r="D318" s="22">
        <v>718892.4900000002</v>
      </c>
      <c r="E318" s="22">
        <v>718892.4900000002</v>
      </c>
      <c r="F318" s="22">
        <v>0</v>
      </c>
      <c r="G318" s="18" t="s">
        <v>2943</v>
      </c>
      <c r="H318" s="18" t="s">
        <v>229</v>
      </c>
    </row>
    <row r="319" spans="1:8">
      <c r="A319" s="18" t="s">
        <v>13</v>
      </c>
      <c r="B319" s="18" t="s">
        <v>105</v>
      </c>
      <c r="C319" s="18" t="s">
        <v>2955</v>
      </c>
      <c r="D319" s="22">
        <v>1916.729999999981</v>
      </c>
      <c r="E319" s="22">
        <v>1916.729999999981</v>
      </c>
      <c r="F319" s="22">
        <v>0</v>
      </c>
      <c r="G319" s="18" t="s">
        <v>2943</v>
      </c>
      <c r="H319" s="18" t="s">
        <v>229</v>
      </c>
    </row>
    <row r="320" spans="1:8">
      <c r="A320" s="18" t="s">
        <v>13</v>
      </c>
      <c r="B320" s="18" t="s">
        <v>105</v>
      </c>
      <c r="C320" s="18" t="s">
        <v>2956</v>
      </c>
      <c r="D320" s="22">
        <v>379639.7700000003</v>
      </c>
      <c r="E320" s="22">
        <v>379639.7700000003</v>
      </c>
      <c r="F320" s="22">
        <v>0</v>
      </c>
      <c r="G320" s="18" t="s">
        <v>2943</v>
      </c>
      <c r="H320" s="18" t="s">
        <v>230</v>
      </c>
    </row>
    <row r="321" spans="1:8">
      <c r="A321" s="18" t="s">
        <v>13</v>
      </c>
      <c r="B321" s="18" t="s">
        <v>105</v>
      </c>
      <c r="C321" s="18" t="s">
        <v>2957</v>
      </c>
      <c r="D321" s="22">
        <v>4594.39999999979</v>
      </c>
      <c r="E321" s="22">
        <v>4594.39999999979</v>
      </c>
      <c r="F321" s="22">
        <v>0</v>
      </c>
      <c r="G321" s="18" t="s">
        <v>2943</v>
      </c>
      <c r="H321" s="18" t="s">
        <v>230</v>
      </c>
    </row>
    <row r="322" spans="1:8">
      <c r="A322" s="18" t="s">
        <v>13</v>
      </c>
      <c r="B322" s="18" t="s">
        <v>105</v>
      </c>
      <c r="C322" s="18" t="s">
        <v>2958</v>
      </c>
      <c r="D322" s="22">
        <v>130874.1399999999</v>
      </c>
      <c r="E322" s="22">
        <v>130874.1399999999</v>
      </c>
      <c r="F322" s="22">
        <v>0</v>
      </c>
      <c r="G322" s="18" t="s">
        <v>2943</v>
      </c>
      <c r="H322" s="18" t="s">
        <v>231</v>
      </c>
    </row>
    <row r="323" spans="1:8">
      <c r="A323" s="18" t="s">
        <v>13</v>
      </c>
      <c r="B323" s="18" t="s">
        <v>105</v>
      </c>
      <c r="C323" s="18" t="s">
        <v>2959</v>
      </c>
      <c r="D323" s="22">
        <v>6251.130000000005</v>
      </c>
      <c r="E323" s="22">
        <v>6251.130000000005</v>
      </c>
      <c r="F323" s="22">
        <v>0</v>
      </c>
      <c r="G323" s="18" t="s">
        <v>2943</v>
      </c>
      <c r="H323" s="18" t="s">
        <v>231</v>
      </c>
    </row>
    <row r="324" spans="1:8">
      <c r="A324" s="18" t="s">
        <v>13</v>
      </c>
      <c r="B324" s="18" t="s">
        <v>105</v>
      </c>
      <c r="C324" s="18" t="s">
        <v>2960</v>
      </c>
      <c r="D324" s="22">
        <v>133713.79</v>
      </c>
      <c r="E324" s="22">
        <v>133713.79</v>
      </c>
      <c r="F324" s="22">
        <v>0</v>
      </c>
      <c r="G324" s="18" t="s">
        <v>2943</v>
      </c>
      <c r="H324" s="18" t="s">
        <v>232</v>
      </c>
    </row>
    <row r="325" spans="1:8">
      <c r="A325" s="18" t="s">
        <v>13</v>
      </c>
      <c r="B325" s="18" t="s">
        <v>105</v>
      </c>
      <c r="C325" s="18" t="s">
        <v>2961</v>
      </c>
      <c r="D325" s="22">
        <v>143881.7999999997</v>
      </c>
      <c r="E325" s="22">
        <v>143881.7999999997</v>
      </c>
      <c r="F325" s="22">
        <v>0</v>
      </c>
      <c r="G325" s="18" t="s">
        <v>2943</v>
      </c>
      <c r="H325" s="18" t="s">
        <v>232</v>
      </c>
    </row>
    <row r="326" spans="1:8">
      <c r="A326" s="18" t="s">
        <v>13</v>
      </c>
      <c r="B326" s="18" t="s">
        <v>105</v>
      </c>
      <c r="C326" s="18" t="s">
        <v>2962</v>
      </c>
      <c r="D326" s="22">
        <v>3486087.81</v>
      </c>
      <c r="E326" s="22">
        <v>3486087.81</v>
      </c>
      <c r="F326" s="22">
        <v>0</v>
      </c>
      <c r="G326" s="18" t="s">
        <v>2943</v>
      </c>
      <c r="H326" s="18" t="s">
        <v>3010</v>
      </c>
    </row>
    <row r="327" spans="1:8">
      <c r="A327" s="18" t="s">
        <v>13</v>
      </c>
      <c r="B327" s="18" t="s">
        <v>105</v>
      </c>
      <c r="C327" s="18" t="s">
        <v>2964</v>
      </c>
      <c r="D327" s="22">
        <v>3329443.749999999</v>
      </c>
      <c r="E327" s="22">
        <v>3329443.749999999</v>
      </c>
      <c r="F327" s="22">
        <v>0</v>
      </c>
      <c r="G327" s="18" t="s">
        <v>2943</v>
      </c>
      <c r="H327" s="18" t="s">
        <v>3010</v>
      </c>
    </row>
    <row r="328" spans="1:8">
      <c r="A328" s="18" t="s">
        <v>13</v>
      </c>
      <c r="B328" s="18" t="s">
        <v>105</v>
      </c>
      <c r="C328" s="18" t="s">
        <v>2965</v>
      </c>
      <c r="D328" s="22">
        <v>156644.0600000008</v>
      </c>
      <c r="E328" s="22">
        <v>156644.0600000008</v>
      </c>
      <c r="F328" s="22">
        <v>0</v>
      </c>
      <c r="G328" s="18" t="s">
        <v>2943</v>
      </c>
      <c r="H328" s="18" t="s">
        <v>3010</v>
      </c>
    </row>
    <row r="329" spans="1:8">
      <c r="A329" s="18" t="s">
        <v>13</v>
      </c>
      <c r="B329" s="18" t="s">
        <v>105</v>
      </c>
      <c r="C329" s="18" t="s">
        <v>2966</v>
      </c>
      <c r="D329" s="22">
        <v>2719820.259999999</v>
      </c>
      <c r="E329" s="22">
        <v>2719820.259999999</v>
      </c>
      <c r="F329" s="22">
        <v>0</v>
      </c>
      <c r="G329" s="18" t="s">
        <v>2943</v>
      </c>
      <c r="H329" s="18" t="s">
        <v>3010</v>
      </c>
    </row>
    <row r="330" spans="1:8">
      <c r="A330" s="18" t="s">
        <v>13</v>
      </c>
      <c r="B330" s="18" t="s">
        <v>105</v>
      </c>
      <c r="C330" s="18" t="s">
        <v>2967</v>
      </c>
      <c r="D330" s="22">
        <v>0</v>
      </c>
      <c r="E330" s="22">
        <v>0</v>
      </c>
      <c r="F330" s="22">
        <v>0</v>
      </c>
      <c r="G330" s="18" t="s">
        <v>2943</v>
      </c>
      <c r="H330" s="18" t="s">
        <v>3010</v>
      </c>
    </row>
    <row r="331" spans="1:8">
      <c r="A331" s="18" t="s">
        <v>13</v>
      </c>
      <c r="B331" s="18" t="s">
        <v>105</v>
      </c>
      <c r="C331" s="18" t="s">
        <v>3004</v>
      </c>
      <c r="D331" s="22">
        <v>609623.4900000001</v>
      </c>
      <c r="E331" s="22">
        <v>609623.4900000001</v>
      </c>
      <c r="F331" s="22">
        <v>0</v>
      </c>
      <c r="G331" s="18" t="s">
        <v>2943</v>
      </c>
      <c r="H331" s="18" t="s">
        <v>3010</v>
      </c>
    </row>
    <row r="332" spans="1:8">
      <c r="A332" s="18" t="s">
        <v>13</v>
      </c>
      <c r="B332" s="18" t="s">
        <v>105</v>
      </c>
      <c r="C332" s="18" t="s">
        <v>2969</v>
      </c>
      <c r="D332" s="22">
        <v>156644.0599999999</v>
      </c>
      <c r="E332" s="22">
        <v>156644.0599999999</v>
      </c>
      <c r="F332" s="22">
        <v>0</v>
      </c>
      <c r="G332" s="18" t="s">
        <v>2943</v>
      </c>
      <c r="H332" s="18" t="s">
        <v>3011</v>
      </c>
    </row>
    <row r="333" spans="1:8">
      <c r="A333" s="18" t="s">
        <v>13</v>
      </c>
      <c r="B333" s="18" t="s">
        <v>105</v>
      </c>
      <c r="C333" s="18" t="s">
        <v>2971</v>
      </c>
      <c r="D333" s="22">
        <v>487</v>
      </c>
      <c r="E333" s="22">
        <v>487</v>
      </c>
      <c r="F333" s="22">
        <v>0</v>
      </c>
      <c r="G333" s="18" t="s">
        <v>2943</v>
      </c>
      <c r="H333" s="18" t="s">
        <v>3011</v>
      </c>
    </row>
    <row r="334" spans="1:8">
      <c r="A334" s="18" t="s">
        <v>13</v>
      </c>
      <c r="B334" s="18" t="s">
        <v>105</v>
      </c>
      <c r="C334" s="18" t="s">
        <v>2972</v>
      </c>
      <c r="D334" s="22">
        <v>156644.0600000001</v>
      </c>
      <c r="E334" s="22">
        <v>156644.0600000001</v>
      </c>
      <c r="F334" s="22">
        <v>0</v>
      </c>
      <c r="G334" s="18" t="s">
        <v>2943</v>
      </c>
      <c r="H334" s="18" t="s">
        <v>3012</v>
      </c>
    </row>
    <row r="335" spans="1:8">
      <c r="A335" s="18" t="s">
        <v>13</v>
      </c>
      <c r="B335" s="18" t="s">
        <v>105</v>
      </c>
      <c r="C335" s="18" t="s">
        <v>2975</v>
      </c>
      <c r="D335" s="22">
        <v>487</v>
      </c>
      <c r="E335" s="22">
        <v>487</v>
      </c>
      <c r="F335" s="22">
        <v>0</v>
      </c>
      <c r="G335" s="18" t="s">
        <v>2943</v>
      </c>
      <c r="H335" s="18" t="s">
        <v>3012</v>
      </c>
    </row>
    <row r="336" spans="1:8">
      <c r="A336" s="18" t="s">
        <v>13</v>
      </c>
      <c r="B336" s="18" t="s">
        <v>105</v>
      </c>
      <c r="C336" s="18" t="s">
        <v>2976</v>
      </c>
      <c r="D336" s="22">
        <v>156644.0599999999</v>
      </c>
      <c r="E336" s="22">
        <v>156644.0600000001</v>
      </c>
      <c r="F336" s="22">
        <v>-2.037268131971359E-10</v>
      </c>
      <c r="G336" s="18" t="s">
        <v>2943</v>
      </c>
      <c r="H336" s="18" t="s">
        <v>3012</v>
      </c>
    </row>
    <row r="337" spans="1:8">
      <c r="A337" s="18" t="s">
        <v>13</v>
      </c>
      <c r="B337" s="18" t="s">
        <v>105</v>
      </c>
      <c r="C337" s="18" t="s">
        <v>2977</v>
      </c>
      <c r="D337" s="22">
        <v>487</v>
      </c>
      <c r="E337" s="22">
        <v>487</v>
      </c>
      <c r="F337" s="22">
        <v>0</v>
      </c>
      <c r="G337" s="18" t="s">
        <v>2943</v>
      </c>
      <c r="H337" s="18" t="s">
        <v>3012</v>
      </c>
    </row>
    <row r="338" spans="1:8">
      <c r="A338" s="18" t="s">
        <v>13</v>
      </c>
      <c r="B338" s="18" t="s">
        <v>359</v>
      </c>
      <c r="C338" s="18" t="s">
        <v>2969</v>
      </c>
      <c r="D338" s="22">
        <v>48887.51859338647</v>
      </c>
      <c r="E338" s="22">
        <v>48887.51859338648</v>
      </c>
      <c r="F338" s="22">
        <v>-7.275957614183426E-12</v>
      </c>
      <c r="G338" s="18" t="s">
        <v>2943</v>
      </c>
      <c r="H338" s="18" t="s">
        <v>3013</v>
      </c>
    </row>
    <row r="339" spans="1:8">
      <c r="A339" s="18" t="s">
        <v>13</v>
      </c>
      <c r="B339" s="18" t="s">
        <v>359</v>
      </c>
      <c r="C339" s="18" t="s">
        <v>2971</v>
      </c>
      <c r="D339" s="22">
        <v>5153</v>
      </c>
      <c r="E339" s="22">
        <v>5153</v>
      </c>
      <c r="F339" s="22">
        <v>0</v>
      </c>
      <c r="G339" s="18" t="s">
        <v>2943</v>
      </c>
      <c r="H339" s="18" t="s">
        <v>3013</v>
      </c>
    </row>
    <row r="340" spans="1:8">
      <c r="A340" s="18" t="s">
        <v>13</v>
      </c>
      <c r="B340" s="18" t="s">
        <v>359</v>
      </c>
      <c r="C340" s="18" t="s">
        <v>2972</v>
      </c>
      <c r="D340" s="22">
        <v>48887.51859338644</v>
      </c>
      <c r="E340" s="22">
        <v>48887.51859338644</v>
      </c>
      <c r="F340" s="22">
        <v>0</v>
      </c>
      <c r="G340" s="18" t="s">
        <v>2943</v>
      </c>
      <c r="H340" s="18" t="s">
        <v>3014</v>
      </c>
    </row>
    <row r="341" spans="1:8">
      <c r="A341" s="18" t="s">
        <v>13</v>
      </c>
      <c r="B341" s="18" t="s">
        <v>359</v>
      </c>
      <c r="C341" s="18" t="s">
        <v>2975</v>
      </c>
      <c r="D341" s="22">
        <v>5153</v>
      </c>
      <c r="E341" s="22">
        <v>5153</v>
      </c>
      <c r="F341" s="22">
        <v>0</v>
      </c>
      <c r="G341" s="18" t="s">
        <v>2943</v>
      </c>
      <c r="H341" s="18" t="s">
        <v>3014</v>
      </c>
    </row>
    <row r="342" spans="1:8">
      <c r="A342" s="18" t="s">
        <v>13</v>
      </c>
      <c r="B342" s="18" t="s">
        <v>359</v>
      </c>
      <c r="C342" s="18" t="s">
        <v>2976</v>
      </c>
      <c r="D342" s="22">
        <v>48887.51859338648</v>
      </c>
      <c r="E342" s="22">
        <v>48887.51859338644</v>
      </c>
      <c r="F342" s="22">
        <v>3.637978807091713E-11</v>
      </c>
      <c r="G342" s="18" t="s">
        <v>2943</v>
      </c>
      <c r="H342" s="18" t="s">
        <v>3014</v>
      </c>
    </row>
    <row r="343" spans="1:8">
      <c r="A343" s="18" t="s">
        <v>13</v>
      </c>
      <c r="B343" s="18" t="s">
        <v>359</v>
      </c>
      <c r="C343" s="18" t="s">
        <v>2977</v>
      </c>
      <c r="D343" s="22">
        <v>5153</v>
      </c>
      <c r="E343" s="22">
        <v>5153</v>
      </c>
      <c r="F343" s="22">
        <v>0</v>
      </c>
      <c r="G343" s="18" t="s">
        <v>2943</v>
      </c>
      <c r="H343" s="18" t="s">
        <v>3014</v>
      </c>
    </row>
    <row r="344" spans="1:8">
      <c r="A344" s="18" t="s">
        <v>13</v>
      </c>
      <c r="B344" s="18" t="s">
        <v>233</v>
      </c>
      <c r="C344" s="18" t="s">
        <v>2950</v>
      </c>
      <c r="G344" s="18" t="s">
        <v>2973</v>
      </c>
      <c r="H344" s="18" t="s">
        <v>235</v>
      </c>
    </row>
    <row r="345" spans="1:8">
      <c r="A345" s="18" t="s">
        <v>13</v>
      </c>
      <c r="B345" s="18" t="s">
        <v>233</v>
      </c>
      <c r="C345" s="18" t="s">
        <v>2951</v>
      </c>
      <c r="G345" s="18" t="s">
        <v>2973</v>
      </c>
      <c r="H345" s="18" t="s">
        <v>235</v>
      </c>
    </row>
    <row r="346" spans="1:8">
      <c r="A346" s="18" t="s">
        <v>13</v>
      </c>
      <c r="B346" s="18" t="s">
        <v>233</v>
      </c>
      <c r="C346" s="18" t="s">
        <v>2952</v>
      </c>
      <c r="G346" s="18" t="s">
        <v>2973</v>
      </c>
      <c r="H346" s="18" t="s">
        <v>236</v>
      </c>
    </row>
    <row r="347" spans="1:8">
      <c r="A347" s="18" t="s">
        <v>13</v>
      </c>
      <c r="B347" s="18" t="s">
        <v>233</v>
      </c>
      <c r="C347" s="18" t="s">
        <v>2953</v>
      </c>
      <c r="G347" s="18" t="s">
        <v>2973</v>
      </c>
      <c r="H347" s="18" t="s">
        <v>236</v>
      </c>
    </row>
    <row r="348" spans="1:8">
      <c r="A348" s="18" t="s">
        <v>13</v>
      </c>
      <c r="B348" s="18" t="s">
        <v>233</v>
      </c>
      <c r="C348" s="18" t="s">
        <v>2954</v>
      </c>
      <c r="G348" s="18" t="s">
        <v>2973</v>
      </c>
      <c r="H348" s="18" t="s">
        <v>237</v>
      </c>
    </row>
    <row r="349" spans="1:8">
      <c r="A349" s="18" t="s">
        <v>13</v>
      </c>
      <c r="B349" s="18" t="s">
        <v>233</v>
      </c>
      <c r="C349" s="18" t="s">
        <v>2955</v>
      </c>
      <c r="G349" s="18" t="s">
        <v>2973</v>
      </c>
      <c r="H349" s="18" t="s">
        <v>237</v>
      </c>
    </row>
    <row r="350" spans="1:8">
      <c r="A350" s="18" t="s">
        <v>13</v>
      </c>
      <c r="B350" s="18" t="s">
        <v>233</v>
      </c>
      <c r="C350" s="18" t="s">
        <v>2956</v>
      </c>
      <c r="G350" s="18" t="s">
        <v>2973</v>
      </c>
      <c r="H350" s="18" t="s">
        <v>238</v>
      </c>
    </row>
    <row r="351" spans="1:8">
      <c r="A351" s="18" t="s">
        <v>13</v>
      </c>
      <c r="B351" s="18" t="s">
        <v>233</v>
      </c>
      <c r="C351" s="18" t="s">
        <v>2957</v>
      </c>
      <c r="G351" s="18" t="s">
        <v>2973</v>
      </c>
      <c r="H351" s="18" t="s">
        <v>238</v>
      </c>
    </row>
    <row r="352" spans="1:8">
      <c r="A352" s="18" t="s">
        <v>13</v>
      </c>
      <c r="B352" s="18" t="s">
        <v>233</v>
      </c>
      <c r="C352" s="18" t="s">
        <v>2958</v>
      </c>
      <c r="G352" s="18" t="s">
        <v>2973</v>
      </c>
      <c r="H352" s="18" t="s">
        <v>239</v>
      </c>
    </row>
    <row r="353" spans="1:8">
      <c r="A353" s="18" t="s">
        <v>13</v>
      </c>
      <c r="B353" s="18" t="s">
        <v>233</v>
      </c>
      <c r="C353" s="18" t="s">
        <v>2959</v>
      </c>
      <c r="G353" s="18" t="s">
        <v>2973</v>
      </c>
      <c r="H353" s="18" t="s">
        <v>239</v>
      </c>
    </row>
    <row r="354" spans="1:8">
      <c r="A354" s="18" t="s">
        <v>13</v>
      </c>
      <c r="B354" s="18" t="s">
        <v>233</v>
      </c>
      <c r="C354" s="18" t="s">
        <v>2960</v>
      </c>
      <c r="G354" s="18" t="s">
        <v>2973</v>
      </c>
      <c r="H354" s="18" t="s">
        <v>240</v>
      </c>
    </row>
    <row r="355" spans="1:8">
      <c r="A355" s="18" t="s">
        <v>13</v>
      </c>
      <c r="B355" s="18" t="s">
        <v>233</v>
      </c>
      <c r="C355" s="18" t="s">
        <v>2961</v>
      </c>
      <c r="G355" s="18" t="s">
        <v>2973</v>
      </c>
      <c r="H355" s="18" t="s">
        <v>240</v>
      </c>
    </row>
    <row r="356" spans="1:8">
      <c r="A356" s="18" t="s">
        <v>13</v>
      </c>
      <c r="B356" s="18" t="s">
        <v>233</v>
      </c>
      <c r="C356" s="18" t="s">
        <v>2969</v>
      </c>
      <c r="G356" s="18" t="s">
        <v>2973</v>
      </c>
      <c r="H356" s="18"/>
    </row>
    <row r="357" spans="1:8">
      <c r="A357" s="18" t="s">
        <v>13</v>
      </c>
      <c r="B357" s="18" t="s">
        <v>233</v>
      </c>
      <c r="C357" s="18" t="s">
        <v>2971</v>
      </c>
      <c r="G357" s="18" t="s">
        <v>2973</v>
      </c>
      <c r="H357" s="18"/>
    </row>
    <row r="358" spans="1:8">
      <c r="A358" s="18" t="s">
        <v>13</v>
      </c>
      <c r="B358" s="18" t="s">
        <v>233</v>
      </c>
      <c r="C358" s="18" t="s">
        <v>2972</v>
      </c>
      <c r="D358" s="22">
        <v>22338552.44000267</v>
      </c>
      <c r="E358" s="22">
        <v>22338552.44000267</v>
      </c>
      <c r="F358" s="22">
        <v>0</v>
      </c>
      <c r="G358" s="18" t="s">
        <v>2943</v>
      </c>
      <c r="H358" s="18" t="s">
        <v>3015</v>
      </c>
    </row>
    <row r="359" spans="1:8">
      <c r="A359" s="18" t="s">
        <v>13</v>
      </c>
      <c r="B359" s="18" t="s">
        <v>233</v>
      </c>
      <c r="C359" s="18" t="s">
        <v>2975</v>
      </c>
      <c r="D359" s="22">
        <v>336552</v>
      </c>
      <c r="E359" s="22">
        <v>336552</v>
      </c>
      <c r="F359" s="22">
        <v>0</v>
      </c>
      <c r="G359" s="18" t="s">
        <v>2943</v>
      </c>
      <c r="H359" s="18" t="s">
        <v>3015</v>
      </c>
    </row>
    <row r="360" spans="1:8">
      <c r="A360" s="18" t="s">
        <v>13</v>
      </c>
      <c r="B360" s="18" t="s">
        <v>111</v>
      </c>
      <c r="C360" s="18" t="s">
        <v>2942</v>
      </c>
      <c r="D360" s="22">
        <v>16537499.89999996</v>
      </c>
      <c r="E360" s="22">
        <v>16537499.89999996</v>
      </c>
      <c r="F360" s="22">
        <v>-1.862645149230957E-09</v>
      </c>
      <c r="G360" s="18" t="s">
        <v>2943</v>
      </c>
      <c r="H360" s="18" t="s">
        <v>113</v>
      </c>
    </row>
    <row r="361" spans="1:8">
      <c r="A361" s="18" t="s">
        <v>13</v>
      </c>
      <c r="B361" s="18" t="s">
        <v>111</v>
      </c>
      <c r="C361" s="18" t="s">
        <v>2944</v>
      </c>
      <c r="D361" s="22">
        <v>11817193.33999953</v>
      </c>
      <c r="E361" s="22">
        <v>11817193.33999953</v>
      </c>
      <c r="F361" s="22">
        <v>0</v>
      </c>
      <c r="G361" s="18" t="s">
        <v>2943</v>
      </c>
      <c r="H361" s="18" t="s">
        <v>113</v>
      </c>
    </row>
    <row r="362" spans="1:8">
      <c r="A362" s="18" t="s">
        <v>13</v>
      </c>
      <c r="B362" s="18" t="s">
        <v>111</v>
      </c>
      <c r="C362" s="18" t="s">
        <v>2945</v>
      </c>
      <c r="D362" s="22">
        <v>22992011.05000043</v>
      </c>
      <c r="E362" s="22">
        <v>22992011.05000043</v>
      </c>
      <c r="F362" s="22">
        <v>0</v>
      </c>
      <c r="G362" s="18" t="s">
        <v>2943</v>
      </c>
      <c r="H362" s="18" t="s">
        <v>114</v>
      </c>
    </row>
    <row r="363" spans="1:8">
      <c r="A363" s="18" t="s">
        <v>13</v>
      </c>
      <c r="B363" s="18" t="s">
        <v>111</v>
      </c>
      <c r="C363" s="18" t="s">
        <v>2946</v>
      </c>
      <c r="D363" s="22">
        <v>7308977.399999376</v>
      </c>
      <c r="E363" s="22">
        <v>7308977.399999376</v>
      </c>
      <c r="F363" s="22">
        <v>0</v>
      </c>
      <c r="G363" s="18" t="s">
        <v>2943</v>
      </c>
      <c r="H363" s="18" t="s">
        <v>114</v>
      </c>
    </row>
    <row r="364" spans="1:8">
      <c r="A364" s="18" t="s">
        <v>13</v>
      </c>
      <c r="B364" s="18" t="s">
        <v>111</v>
      </c>
      <c r="C364" s="18" t="s">
        <v>2947</v>
      </c>
      <c r="D364" s="22">
        <v>9962444.969999984</v>
      </c>
      <c r="E364" s="22">
        <v>9962444.969999984</v>
      </c>
      <c r="F364" s="22">
        <v>0</v>
      </c>
      <c r="G364" s="18" t="s">
        <v>2943</v>
      </c>
      <c r="H364" s="18" t="s">
        <v>115</v>
      </c>
    </row>
    <row r="365" spans="1:8">
      <c r="A365" s="18" t="s">
        <v>13</v>
      </c>
      <c r="B365" s="18" t="s">
        <v>111</v>
      </c>
      <c r="C365" s="18" t="s">
        <v>2948</v>
      </c>
      <c r="D365" s="22">
        <v>12052692.46999992</v>
      </c>
      <c r="E365" s="22">
        <v>12052692.46999992</v>
      </c>
      <c r="F365" s="22">
        <v>0</v>
      </c>
      <c r="G365" s="18" t="s">
        <v>2943</v>
      </c>
      <c r="H365" s="18" t="s">
        <v>115</v>
      </c>
    </row>
    <row r="366" spans="1:8">
      <c r="A366" s="18" t="s">
        <v>13</v>
      </c>
      <c r="B366" s="18" t="s">
        <v>111</v>
      </c>
      <c r="C366" s="18" t="s">
        <v>2950</v>
      </c>
      <c r="D366" s="22">
        <v>1955653.010000002</v>
      </c>
      <c r="E366" s="22">
        <v>1955653.010000002</v>
      </c>
      <c r="F366" s="22">
        <v>0</v>
      </c>
      <c r="G366" s="18" t="s">
        <v>2943</v>
      </c>
      <c r="H366" s="18" t="s">
        <v>241</v>
      </c>
    </row>
    <row r="367" spans="1:8">
      <c r="A367" s="18" t="s">
        <v>13</v>
      </c>
      <c r="B367" s="18" t="s">
        <v>111</v>
      </c>
      <c r="C367" s="18" t="s">
        <v>2951</v>
      </c>
      <c r="D367" s="22">
        <v>1056087.880000001</v>
      </c>
      <c r="E367" s="22">
        <v>1056087.880000001</v>
      </c>
      <c r="F367" s="22">
        <v>0</v>
      </c>
      <c r="G367" s="18" t="s">
        <v>2943</v>
      </c>
      <c r="H367" s="18" t="s">
        <v>241</v>
      </c>
    </row>
    <row r="368" spans="1:8">
      <c r="A368" s="18" t="s">
        <v>13</v>
      </c>
      <c r="B368" s="18" t="s">
        <v>111</v>
      </c>
      <c r="C368" s="18" t="s">
        <v>2952</v>
      </c>
      <c r="D368" s="22">
        <v>2097653.880000003</v>
      </c>
      <c r="E368" s="22">
        <v>2097653.880000003</v>
      </c>
      <c r="F368" s="22">
        <v>0</v>
      </c>
      <c r="G368" s="18" t="s">
        <v>2943</v>
      </c>
      <c r="H368" s="18" t="s">
        <v>242</v>
      </c>
    </row>
    <row r="369" spans="1:8">
      <c r="A369" s="18" t="s">
        <v>13</v>
      </c>
      <c r="B369" s="18" t="s">
        <v>111</v>
      </c>
      <c r="C369" s="18" t="s">
        <v>2953</v>
      </c>
      <c r="D369" s="22">
        <v>1106790.330000008</v>
      </c>
      <c r="E369" s="22">
        <v>1106790.330000008</v>
      </c>
      <c r="F369" s="22">
        <v>0</v>
      </c>
      <c r="G369" s="18" t="s">
        <v>2943</v>
      </c>
      <c r="H369" s="18" t="s">
        <v>242</v>
      </c>
    </row>
    <row r="370" spans="1:8">
      <c r="A370" s="18" t="s">
        <v>13</v>
      </c>
      <c r="B370" s="18" t="s">
        <v>111</v>
      </c>
      <c r="C370" s="18" t="s">
        <v>2954</v>
      </c>
      <c r="D370" s="22">
        <v>2266931.290000002</v>
      </c>
      <c r="E370" s="22">
        <v>2266931.290000002</v>
      </c>
      <c r="F370" s="22">
        <v>0</v>
      </c>
      <c r="G370" s="18" t="s">
        <v>2943</v>
      </c>
      <c r="H370" s="18" t="s">
        <v>243</v>
      </c>
    </row>
    <row r="371" spans="1:8">
      <c r="A371" s="18" t="s">
        <v>13</v>
      </c>
      <c r="B371" s="18" t="s">
        <v>111</v>
      </c>
      <c r="C371" s="18" t="s">
        <v>2955</v>
      </c>
      <c r="D371" s="22">
        <v>1700438.209999993</v>
      </c>
      <c r="E371" s="22">
        <v>1700438.209999993</v>
      </c>
      <c r="F371" s="22">
        <v>0</v>
      </c>
      <c r="G371" s="18" t="s">
        <v>2943</v>
      </c>
      <c r="H371" s="18" t="s">
        <v>243</v>
      </c>
    </row>
    <row r="372" spans="1:8">
      <c r="A372" s="18" t="s">
        <v>13</v>
      </c>
      <c r="B372" s="18" t="s">
        <v>111</v>
      </c>
      <c r="C372" s="18" t="s">
        <v>2956</v>
      </c>
      <c r="D372" s="22">
        <v>1967116.390000001</v>
      </c>
      <c r="E372" s="22">
        <v>1967116.390000001</v>
      </c>
      <c r="F372" s="22">
        <v>0</v>
      </c>
      <c r="G372" s="18" t="s">
        <v>2943</v>
      </c>
      <c r="H372" s="18" t="s">
        <v>244</v>
      </c>
    </row>
    <row r="373" spans="1:8">
      <c r="A373" s="18" t="s">
        <v>13</v>
      </c>
      <c r="B373" s="18" t="s">
        <v>111</v>
      </c>
      <c r="C373" s="18" t="s">
        <v>2957</v>
      </c>
      <c r="D373" s="22">
        <v>1777533.119999958</v>
      </c>
      <c r="E373" s="22">
        <v>1777533.119999958</v>
      </c>
      <c r="F373" s="22">
        <v>0</v>
      </c>
      <c r="G373" s="18" t="s">
        <v>2943</v>
      </c>
      <c r="H373" s="18" t="s">
        <v>244</v>
      </c>
    </row>
    <row r="374" spans="1:8">
      <c r="A374" s="18" t="s">
        <v>13</v>
      </c>
      <c r="B374" s="18" t="s">
        <v>111</v>
      </c>
      <c r="C374" s="18" t="s">
        <v>2958</v>
      </c>
      <c r="D374" s="22">
        <v>1652792.279999999</v>
      </c>
      <c r="E374" s="22">
        <v>1652792.279999999</v>
      </c>
      <c r="F374" s="22">
        <v>0</v>
      </c>
      <c r="G374" s="18" t="s">
        <v>2943</v>
      </c>
      <c r="H374" s="18" t="s">
        <v>245</v>
      </c>
    </row>
    <row r="375" spans="1:8">
      <c r="A375" s="18" t="s">
        <v>13</v>
      </c>
      <c r="B375" s="18" t="s">
        <v>111</v>
      </c>
      <c r="C375" s="18" t="s">
        <v>2959</v>
      </c>
      <c r="D375" s="22">
        <v>2210079.719999943</v>
      </c>
      <c r="E375" s="22">
        <v>2210079.719999943</v>
      </c>
      <c r="F375" s="22">
        <v>0</v>
      </c>
      <c r="G375" s="18" t="s">
        <v>2943</v>
      </c>
      <c r="H375" s="18" t="s">
        <v>245</v>
      </c>
    </row>
    <row r="376" spans="1:8">
      <c r="A376" s="18" t="s">
        <v>13</v>
      </c>
      <c r="B376" s="18" t="s">
        <v>111</v>
      </c>
      <c r="C376" s="18" t="s">
        <v>2960</v>
      </c>
      <c r="D376" s="22">
        <v>22298.12</v>
      </c>
      <c r="E376" s="22">
        <v>22298.12</v>
      </c>
      <c r="F376" s="22">
        <v>0</v>
      </c>
      <c r="G376" s="18" t="s">
        <v>2943</v>
      </c>
      <c r="H376" s="18" t="s">
        <v>246</v>
      </c>
    </row>
    <row r="377" spans="1:8">
      <c r="A377" s="18" t="s">
        <v>13</v>
      </c>
      <c r="B377" s="18" t="s">
        <v>111</v>
      </c>
      <c r="C377" s="18" t="s">
        <v>2961</v>
      </c>
      <c r="D377" s="22">
        <v>4201763.209999999</v>
      </c>
      <c r="E377" s="22">
        <v>4201763.209999999</v>
      </c>
      <c r="F377" s="22">
        <v>0</v>
      </c>
      <c r="G377" s="18" t="s">
        <v>2943</v>
      </c>
      <c r="H377" s="18" t="s">
        <v>246</v>
      </c>
    </row>
    <row r="378" spans="1:8">
      <c r="A378" s="18" t="s">
        <v>13</v>
      </c>
      <c r="B378" s="18" t="s">
        <v>111</v>
      </c>
      <c r="C378" s="18" t="s">
        <v>2962</v>
      </c>
      <c r="D378" s="22">
        <v>80670819.12999921</v>
      </c>
      <c r="E378" s="22">
        <v>80670819.12999921</v>
      </c>
      <c r="F378" s="22">
        <v>0</v>
      </c>
      <c r="G378" s="18" t="s">
        <v>2943</v>
      </c>
      <c r="H378" s="18" t="s">
        <v>3016</v>
      </c>
    </row>
    <row r="379" spans="1:8">
      <c r="A379" s="18" t="s">
        <v>13</v>
      </c>
      <c r="B379" s="18" t="s">
        <v>111</v>
      </c>
      <c r="C379" s="18" t="s">
        <v>2964</v>
      </c>
      <c r="D379" s="22">
        <v>49491955.92000037</v>
      </c>
      <c r="E379" s="22">
        <v>49491955.92000037</v>
      </c>
      <c r="F379" s="22">
        <v>0</v>
      </c>
      <c r="G379" s="18" t="s">
        <v>2943</v>
      </c>
      <c r="H379" s="18" t="s">
        <v>3016</v>
      </c>
    </row>
    <row r="380" spans="1:8">
      <c r="A380" s="18" t="s">
        <v>13</v>
      </c>
      <c r="B380" s="18" t="s">
        <v>111</v>
      </c>
      <c r="C380" s="18" t="s">
        <v>2965</v>
      </c>
      <c r="D380" s="22">
        <v>31178863.20999883</v>
      </c>
      <c r="E380" s="22">
        <v>31178863.20999883</v>
      </c>
      <c r="F380" s="22">
        <v>0</v>
      </c>
      <c r="G380" s="18" t="s">
        <v>2943</v>
      </c>
      <c r="H380" s="18" t="s">
        <v>3016</v>
      </c>
    </row>
    <row r="381" spans="1:8">
      <c r="A381" s="18" t="s">
        <v>13</v>
      </c>
      <c r="B381" s="18" t="s">
        <v>111</v>
      </c>
      <c r="C381" s="18" t="s">
        <v>2966</v>
      </c>
      <c r="D381" s="22">
        <v>43723983.03000038</v>
      </c>
      <c r="E381" s="22">
        <v>43723983.03000039</v>
      </c>
      <c r="F381" s="22">
        <v>-7.450580596923828E-09</v>
      </c>
      <c r="G381" s="18" t="s">
        <v>2943</v>
      </c>
      <c r="H381" s="18" t="s">
        <v>3016</v>
      </c>
    </row>
    <row r="382" spans="1:8">
      <c r="A382" s="18" t="s">
        <v>13</v>
      </c>
      <c r="B382" s="18" t="s">
        <v>111</v>
      </c>
      <c r="C382" s="18" t="s">
        <v>2968</v>
      </c>
      <c r="D382" s="22">
        <v>4489640.28</v>
      </c>
      <c r="E382" s="22">
        <v>4489640.28</v>
      </c>
      <c r="F382" s="22">
        <v>0</v>
      </c>
      <c r="G382" s="18" t="s">
        <v>2943</v>
      </c>
      <c r="H382" s="18" t="s">
        <v>3016</v>
      </c>
    </row>
    <row r="383" spans="1:8">
      <c r="A383" s="18" t="s">
        <v>13</v>
      </c>
      <c r="B383" s="18" t="s">
        <v>111</v>
      </c>
      <c r="C383" s="18" t="s">
        <v>2979</v>
      </c>
      <c r="D383" s="22">
        <v>1278332.609999992</v>
      </c>
      <c r="E383" s="22">
        <v>1278332.609999992</v>
      </c>
      <c r="F383" s="22">
        <v>0</v>
      </c>
      <c r="G383" s="18" t="s">
        <v>2943</v>
      </c>
      <c r="H383" s="18" t="s">
        <v>3016</v>
      </c>
    </row>
    <row r="384" spans="1:8">
      <c r="A384" s="18" t="s">
        <v>13</v>
      </c>
      <c r="B384" s="18" t="s">
        <v>111</v>
      </c>
      <c r="C384" s="18" t="s">
        <v>2969</v>
      </c>
      <c r="D384" s="22">
        <v>31178863.20999995</v>
      </c>
      <c r="E384" s="22">
        <v>31178863.20999995</v>
      </c>
      <c r="F384" s="22">
        <v>0</v>
      </c>
      <c r="G384" s="18" t="s">
        <v>2943</v>
      </c>
      <c r="H384" s="18" t="s">
        <v>3017</v>
      </c>
    </row>
    <row r="385" spans="1:8">
      <c r="A385" s="18" t="s">
        <v>13</v>
      </c>
      <c r="B385" s="18" t="s">
        <v>111</v>
      </c>
      <c r="C385" s="18" t="s">
        <v>2971</v>
      </c>
      <c r="D385" s="22">
        <v>71052</v>
      </c>
      <c r="E385" s="22">
        <v>71052</v>
      </c>
      <c r="F385" s="22">
        <v>0</v>
      </c>
      <c r="G385" s="18" t="s">
        <v>2943</v>
      </c>
      <c r="H385" s="18" t="s">
        <v>3017</v>
      </c>
    </row>
    <row r="386" spans="1:8">
      <c r="A386" s="18" t="s">
        <v>13</v>
      </c>
      <c r="B386" s="18" t="s">
        <v>111</v>
      </c>
      <c r="C386" s="18" t="s">
        <v>2972</v>
      </c>
      <c r="D386" s="22">
        <v>31178863.20999989</v>
      </c>
      <c r="E386" s="22">
        <v>31178863.20999989</v>
      </c>
      <c r="F386" s="22">
        <v>0</v>
      </c>
      <c r="G386" s="18" t="s">
        <v>2943</v>
      </c>
      <c r="H386" s="18" t="s">
        <v>855</v>
      </c>
    </row>
    <row r="387" spans="1:8">
      <c r="A387" s="18" t="s">
        <v>13</v>
      </c>
      <c r="B387" s="18" t="s">
        <v>111</v>
      </c>
      <c r="C387" s="18" t="s">
        <v>2975</v>
      </c>
      <c r="D387" s="22">
        <v>71052</v>
      </c>
      <c r="E387" s="22">
        <v>71052</v>
      </c>
      <c r="F387" s="22">
        <v>0</v>
      </c>
      <c r="G387" s="18" t="s">
        <v>2943</v>
      </c>
      <c r="H387" s="18" t="s">
        <v>855</v>
      </c>
    </row>
    <row r="388" spans="1:8">
      <c r="A388" s="18" t="s">
        <v>13</v>
      </c>
      <c r="B388" s="18" t="s">
        <v>111</v>
      </c>
      <c r="C388" s="18" t="s">
        <v>2976</v>
      </c>
      <c r="D388" s="22">
        <v>31178863.20999995</v>
      </c>
      <c r="E388" s="22">
        <v>31178863.20999989</v>
      </c>
      <c r="F388" s="22">
        <v>5.587935447692871E-08</v>
      </c>
      <c r="G388" s="18" t="s">
        <v>2943</v>
      </c>
      <c r="H388" s="18" t="s">
        <v>855</v>
      </c>
    </row>
    <row r="389" spans="1:8">
      <c r="A389" s="18" t="s">
        <v>13</v>
      </c>
      <c r="B389" s="18" t="s">
        <v>111</v>
      </c>
      <c r="C389" s="18" t="s">
        <v>2977</v>
      </c>
      <c r="D389" s="22">
        <v>71052</v>
      </c>
      <c r="E389" s="22">
        <v>71052</v>
      </c>
      <c r="F389" s="22">
        <v>0</v>
      </c>
      <c r="G389" s="18" t="s">
        <v>2943</v>
      </c>
      <c r="H389" s="18" t="s">
        <v>855</v>
      </c>
    </row>
    <row r="390" spans="1:8">
      <c r="A390" s="18" t="s">
        <v>27</v>
      </c>
      <c r="B390" s="18" t="s">
        <v>48</v>
      </c>
      <c r="C390" s="18" t="s">
        <v>2942</v>
      </c>
      <c r="D390" s="22">
        <v>35597891</v>
      </c>
      <c r="E390" s="22">
        <v>35597890</v>
      </c>
      <c r="F390" s="22">
        <v>1</v>
      </c>
      <c r="G390" s="18" t="s">
        <v>2949</v>
      </c>
      <c r="H390" s="18" t="s">
        <v>116</v>
      </c>
    </row>
    <row r="391" spans="1:8">
      <c r="A391" s="18" t="s">
        <v>27</v>
      </c>
      <c r="B391" s="18" t="s">
        <v>48</v>
      </c>
      <c r="C391" s="18" t="s">
        <v>2944</v>
      </c>
      <c r="D391" s="22">
        <v>0</v>
      </c>
      <c r="E391" s="22">
        <v>0</v>
      </c>
      <c r="F391" s="22">
        <v>0</v>
      </c>
      <c r="G391" s="18" t="s">
        <v>2943</v>
      </c>
      <c r="H391" s="18" t="s">
        <v>116</v>
      </c>
    </row>
    <row r="392" spans="1:8">
      <c r="A392" s="18" t="s">
        <v>27</v>
      </c>
      <c r="B392" s="18" t="s">
        <v>48</v>
      </c>
      <c r="C392" s="18" t="s">
        <v>2945</v>
      </c>
      <c r="D392" s="22">
        <v>5798562</v>
      </c>
      <c r="E392" s="22">
        <v>5798562</v>
      </c>
      <c r="F392" s="22">
        <v>0</v>
      </c>
      <c r="G392" s="18" t="s">
        <v>2943</v>
      </c>
      <c r="H392" s="18" t="s">
        <v>117</v>
      </c>
    </row>
    <row r="393" spans="1:8">
      <c r="A393" s="18" t="s">
        <v>27</v>
      </c>
      <c r="B393" s="18" t="s">
        <v>48</v>
      </c>
      <c r="C393" s="18" t="s">
        <v>2946</v>
      </c>
      <c r="D393" s="22">
        <v>1390</v>
      </c>
      <c r="E393" s="22">
        <v>1390</v>
      </c>
      <c r="F393" s="22">
        <v>0</v>
      </c>
      <c r="G393" s="18" t="s">
        <v>2943</v>
      </c>
      <c r="H393" s="18" t="s">
        <v>117</v>
      </c>
    </row>
    <row r="394" spans="1:8">
      <c r="A394" s="18" t="s">
        <v>27</v>
      </c>
      <c r="B394" s="18" t="s">
        <v>48</v>
      </c>
      <c r="C394" s="18" t="s">
        <v>2947</v>
      </c>
      <c r="D394" s="22">
        <v>789171</v>
      </c>
      <c r="E394" s="22">
        <v>789171</v>
      </c>
      <c r="F394" s="22">
        <v>0</v>
      </c>
      <c r="G394" s="18" t="s">
        <v>2943</v>
      </c>
      <c r="H394" s="18" t="s">
        <v>118</v>
      </c>
    </row>
    <row r="395" spans="1:8">
      <c r="A395" s="18" t="s">
        <v>27</v>
      </c>
      <c r="B395" s="18" t="s">
        <v>48</v>
      </c>
      <c r="C395" s="18" t="s">
        <v>2948</v>
      </c>
      <c r="D395" s="22">
        <v>104655</v>
      </c>
      <c r="E395" s="22">
        <v>104655</v>
      </c>
      <c r="F395" s="22">
        <v>0</v>
      </c>
      <c r="G395" s="18" t="s">
        <v>2943</v>
      </c>
      <c r="H395" s="18" t="s">
        <v>118</v>
      </c>
    </row>
    <row r="396" spans="1:8">
      <c r="A396" s="18" t="s">
        <v>27</v>
      </c>
      <c r="B396" s="18" t="s">
        <v>48</v>
      </c>
      <c r="C396" s="18" t="s">
        <v>2956</v>
      </c>
      <c r="D396" s="22">
        <v>105005</v>
      </c>
      <c r="E396" s="22">
        <v>105005</v>
      </c>
      <c r="F396" s="22">
        <v>0</v>
      </c>
      <c r="G396" s="18" t="s">
        <v>2943</v>
      </c>
      <c r="H396" s="18" t="s">
        <v>247</v>
      </c>
    </row>
    <row r="397" spans="1:8">
      <c r="A397" s="18" t="s">
        <v>27</v>
      </c>
      <c r="B397" s="18" t="s">
        <v>48</v>
      </c>
      <c r="C397" s="18" t="s">
        <v>2957</v>
      </c>
      <c r="D397" s="22">
        <v>0</v>
      </c>
      <c r="E397" s="22">
        <v>0</v>
      </c>
      <c r="F397" s="22">
        <v>0</v>
      </c>
      <c r="G397" s="18" t="s">
        <v>2943</v>
      </c>
      <c r="H397" s="18" t="s">
        <v>247</v>
      </c>
    </row>
    <row r="398" spans="1:8">
      <c r="A398" s="18" t="s">
        <v>27</v>
      </c>
      <c r="B398" s="18" t="s">
        <v>48</v>
      </c>
      <c r="C398" s="18" t="s">
        <v>2958</v>
      </c>
      <c r="D398" s="22">
        <v>68044</v>
      </c>
      <c r="E398" s="22">
        <v>68044</v>
      </c>
      <c r="F398" s="22">
        <v>0</v>
      </c>
      <c r="G398" s="18" t="s">
        <v>2943</v>
      </c>
      <c r="H398" s="18" t="s">
        <v>248</v>
      </c>
    </row>
    <row r="399" spans="1:8">
      <c r="A399" s="18" t="s">
        <v>27</v>
      </c>
      <c r="B399" s="18" t="s">
        <v>48</v>
      </c>
      <c r="C399" s="18" t="s">
        <v>2959</v>
      </c>
      <c r="D399" s="22">
        <v>120</v>
      </c>
      <c r="E399" s="22">
        <v>119</v>
      </c>
      <c r="F399" s="22">
        <v>1</v>
      </c>
      <c r="G399" s="18" t="s">
        <v>2949</v>
      </c>
      <c r="H399" s="18" t="s">
        <v>248</v>
      </c>
    </row>
    <row r="400" spans="1:8">
      <c r="A400" s="18" t="s">
        <v>27</v>
      </c>
      <c r="B400" s="18" t="s">
        <v>48</v>
      </c>
      <c r="C400" s="18" t="s">
        <v>2960</v>
      </c>
      <c r="D400" s="22">
        <v>102512</v>
      </c>
      <c r="E400" s="22">
        <v>102512</v>
      </c>
      <c r="F400" s="22">
        <v>0</v>
      </c>
      <c r="G400" s="18" t="s">
        <v>2943</v>
      </c>
      <c r="H400" s="18" t="s">
        <v>249</v>
      </c>
    </row>
    <row r="401" spans="1:8">
      <c r="A401" s="18" t="s">
        <v>27</v>
      </c>
      <c r="B401" s="18" t="s">
        <v>48</v>
      </c>
      <c r="C401" s="18" t="s">
        <v>2961</v>
      </c>
      <c r="D401" s="22">
        <v>1829</v>
      </c>
      <c r="E401" s="22">
        <v>1829</v>
      </c>
      <c r="F401" s="22">
        <v>0</v>
      </c>
      <c r="G401" s="18" t="s">
        <v>2943</v>
      </c>
      <c r="H401" s="18" t="s">
        <v>249</v>
      </c>
    </row>
    <row r="402" spans="1:8">
      <c r="A402" s="18" t="s">
        <v>27</v>
      </c>
      <c r="B402" s="18" t="s">
        <v>48</v>
      </c>
      <c r="C402" s="18" t="s">
        <v>3018</v>
      </c>
      <c r="D402" s="22">
        <v>65509</v>
      </c>
      <c r="E402" s="22">
        <v>65509</v>
      </c>
      <c r="F402" s="22">
        <v>0</v>
      </c>
      <c r="G402" s="18" t="s">
        <v>2943</v>
      </c>
      <c r="H402" s="18" t="s">
        <v>250</v>
      </c>
    </row>
    <row r="403" spans="1:8">
      <c r="A403" s="18" t="s">
        <v>27</v>
      </c>
      <c r="B403" s="18" t="s">
        <v>48</v>
      </c>
      <c r="C403" s="18" t="s">
        <v>3019</v>
      </c>
      <c r="D403" s="22">
        <v>6300</v>
      </c>
      <c r="E403" s="22">
        <v>6300</v>
      </c>
      <c r="F403" s="22">
        <v>0</v>
      </c>
      <c r="G403" s="18" t="s">
        <v>2943</v>
      </c>
      <c r="H403" s="18" t="s">
        <v>250</v>
      </c>
    </row>
    <row r="404" spans="1:8">
      <c r="A404" s="18" t="s">
        <v>27</v>
      </c>
      <c r="B404" s="18" t="s">
        <v>48</v>
      </c>
      <c r="C404" s="18" t="s">
        <v>3020</v>
      </c>
      <c r="D404" s="22">
        <v>80053</v>
      </c>
      <c r="E404" s="22">
        <v>80053</v>
      </c>
      <c r="F404" s="22">
        <v>0</v>
      </c>
      <c r="G404" s="18" t="s">
        <v>2943</v>
      </c>
      <c r="H404" s="18" t="s">
        <v>251</v>
      </c>
    </row>
    <row r="405" spans="1:8">
      <c r="A405" s="18" t="s">
        <v>27</v>
      </c>
      <c r="B405" s="18" t="s">
        <v>48</v>
      </c>
      <c r="C405" s="18" t="s">
        <v>3021</v>
      </c>
      <c r="D405" s="22">
        <v>39817</v>
      </c>
      <c r="E405" s="22">
        <v>39816</v>
      </c>
      <c r="F405" s="22">
        <v>1</v>
      </c>
      <c r="G405" s="18" t="s">
        <v>2949</v>
      </c>
      <c r="H405" s="18" t="s">
        <v>251</v>
      </c>
    </row>
    <row r="406" spans="1:8">
      <c r="A406" s="18" t="s">
        <v>27</v>
      </c>
      <c r="B406" s="18" t="s">
        <v>48</v>
      </c>
      <c r="C406" s="18" t="s">
        <v>3022</v>
      </c>
      <c r="D406" s="22">
        <v>0</v>
      </c>
      <c r="E406" s="22">
        <v>0</v>
      </c>
      <c r="F406" s="22">
        <v>0</v>
      </c>
      <c r="G406" s="18" t="s">
        <v>2943</v>
      </c>
      <c r="H406" s="18" t="s">
        <v>252</v>
      </c>
    </row>
    <row r="407" spans="1:8">
      <c r="A407" s="18" t="s">
        <v>27</v>
      </c>
      <c r="B407" s="18" t="s">
        <v>48</v>
      </c>
      <c r="C407" s="18" t="s">
        <v>3023</v>
      </c>
      <c r="D407" s="22">
        <v>52704</v>
      </c>
      <c r="E407" s="22">
        <v>52704</v>
      </c>
      <c r="F407" s="22">
        <v>0</v>
      </c>
      <c r="G407" s="18" t="s">
        <v>2943</v>
      </c>
      <c r="H407" s="18" t="s">
        <v>252</v>
      </c>
    </row>
    <row r="408" spans="1:8">
      <c r="A408" s="18" t="s">
        <v>27</v>
      </c>
      <c r="B408" s="18" t="s">
        <v>48</v>
      </c>
      <c r="C408" s="18" t="s">
        <v>2962</v>
      </c>
      <c r="D408" s="22">
        <v>42291668</v>
      </c>
      <c r="E408" s="22">
        <v>42291668</v>
      </c>
      <c r="F408" s="22">
        <v>0</v>
      </c>
      <c r="G408" s="18" t="s">
        <v>2943</v>
      </c>
      <c r="H408" s="18" t="s">
        <v>3024</v>
      </c>
    </row>
    <row r="409" spans="1:8">
      <c r="A409" s="18" t="s">
        <v>27</v>
      </c>
      <c r="B409" s="18" t="s">
        <v>48</v>
      </c>
      <c r="C409" s="18" t="s">
        <v>2964</v>
      </c>
      <c r="D409" s="22">
        <v>42185623</v>
      </c>
      <c r="E409" s="22">
        <v>42185623</v>
      </c>
      <c r="F409" s="22">
        <v>0</v>
      </c>
      <c r="G409" s="18" t="s">
        <v>2943</v>
      </c>
      <c r="H409" s="18" t="s">
        <v>3024</v>
      </c>
    </row>
    <row r="410" spans="1:8">
      <c r="A410" s="18" t="s">
        <v>27</v>
      </c>
      <c r="B410" s="18" t="s">
        <v>48</v>
      </c>
      <c r="C410" s="18" t="s">
        <v>2965</v>
      </c>
      <c r="D410" s="22">
        <v>106045</v>
      </c>
      <c r="E410" s="22">
        <v>106046</v>
      </c>
      <c r="F410" s="22">
        <v>-1</v>
      </c>
      <c r="G410" s="18" t="s">
        <v>2949</v>
      </c>
      <c r="H410" s="18" t="s">
        <v>3024</v>
      </c>
    </row>
    <row r="411" spans="1:8">
      <c r="A411" s="18" t="s">
        <v>27</v>
      </c>
      <c r="B411" s="18" t="s">
        <v>48</v>
      </c>
      <c r="C411" s="18" t="s">
        <v>2966</v>
      </c>
      <c r="D411" s="22">
        <v>42144069</v>
      </c>
      <c r="E411" s="22">
        <v>42144068</v>
      </c>
      <c r="F411" s="22">
        <v>1</v>
      </c>
      <c r="G411" s="18" t="s">
        <v>2949</v>
      </c>
      <c r="H411" s="18" t="s">
        <v>3024</v>
      </c>
    </row>
    <row r="412" spans="1:8">
      <c r="A412" s="18" t="s">
        <v>27</v>
      </c>
      <c r="B412" s="18" t="s">
        <v>48</v>
      </c>
      <c r="C412" s="18" t="s">
        <v>2967</v>
      </c>
      <c r="D412" s="22">
        <v>41555</v>
      </c>
      <c r="E412" s="22">
        <v>41555</v>
      </c>
      <c r="F412" s="22">
        <v>0</v>
      </c>
      <c r="G412" s="18" t="s">
        <v>2943</v>
      </c>
      <c r="H412" s="18" t="s">
        <v>3024</v>
      </c>
    </row>
    <row r="413" spans="1:8">
      <c r="A413" s="18" t="s">
        <v>27</v>
      </c>
      <c r="B413" s="18" t="s">
        <v>48</v>
      </c>
      <c r="C413" s="18" t="s">
        <v>2968</v>
      </c>
      <c r="D413" s="22">
        <v>0</v>
      </c>
      <c r="E413" s="22">
        <v>0</v>
      </c>
      <c r="F413" s="22">
        <v>0</v>
      </c>
      <c r="G413" s="18" t="s">
        <v>2943</v>
      </c>
      <c r="H413" s="18" t="s">
        <v>3024</v>
      </c>
    </row>
    <row r="414" spans="1:8">
      <c r="A414" s="18" t="s">
        <v>27</v>
      </c>
      <c r="B414" s="18" t="s">
        <v>48</v>
      </c>
      <c r="C414" s="18" t="s">
        <v>2969</v>
      </c>
      <c r="D414" s="22">
        <v>106046</v>
      </c>
      <c r="E414" s="22">
        <v>106046</v>
      </c>
      <c r="F414" s="22">
        <v>0</v>
      </c>
      <c r="G414" s="18" t="s">
        <v>2943</v>
      </c>
      <c r="H414" s="18" t="s">
        <v>3025</v>
      </c>
    </row>
    <row r="415" spans="1:8">
      <c r="A415" s="18" t="s">
        <v>27</v>
      </c>
      <c r="B415" s="18" t="s">
        <v>48</v>
      </c>
      <c r="C415" s="18" t="s">
        <v>2971</v>
      </c>
      <c r="D415" s="22">
        <v>237</v>
      </c>
      <c r="E415" s="22">
        <v>237</v>
      </c>
      <c r="F415" s="22">
        <v>0</v>
      </c>
      <c r="G415" s="18" t="s">
        <v>2943</v>
      </c>
      <c r="H415" s="18" t="s">
        <v>3025</v>
      </c>
    </row>
    <row r="416" spans="1:8">
      <c r="A416" s="18" t="s">
        <v>27</v>
      </c>
      <c r="B416" s="18" t="s">
        <v>48</v>
      </c>
      <c r="C416" s="18" t="s">
        <v>2972</v>
      </c>
      <c r="E416" s="22">
        <v>106046</v>
      </c>
      <c r="G416" s="18" t="s">
        <v>2973</v>
      </c>
      <c r="H416" s="18" t="s">
        <v>871</v>
      </c>
    </row>
    <row r="417" spans="1:8">
      <c r="A417" s="18" t="s">
        <v>27</v>
      </c>
      <c r="B417" s="18" t="s">
        <v>48</v>
      </c>
      <c r="C417" s="18" t="s">
        <v>2975</v>
      </c>
      <c r="E417" s="22">
        <v>237</v>
      </c>
      <c r="G417" s="18" t="s">
        <v>2973</v>
      </c>
      <c r="H417" s="18" t="s">
        <v>871</v>
      </c>
    </row>
    <row r="418" spans="1:8">
      <c r="A418" s="18" t="s">
        <v>27</v>
      </c>
      <c r="B418" s="18" t="s">
        <v>48</v>
      </c>
      <c r="C418" s="18" t="s">
        <v>2976</v>
      </c>
      <c r="D418" s="22">
        <v>106046</v>
      </c>
      <c r="E418" s="22">
        <v>106046</v>
      </c>
      <c r="F418" s="22">
        <v>0</v>
      </c>
      <c r="G418" s="18" t="s">
        <v>2943</v>
      </c>
      <c r="H418" s="18" t="s">
        <v>871</v>
      </c>
    </row>
    <row r="419" spans="1:8">
      <c r="A419" s="18" t="s">
        <v>27</v>
      </c>
      <c r="B419" s="18" t="s">
        <v>48</v>
      </c>
      <c r="C419" s="18" t="s">
        <v>2977</v>
      </c>
      <c r="D419" s="22">
        <v>237</v>
      </c>
      <c r="E419" s="22">
        <v>237</v>
      </c>
      <c r="F419" s="22">
        <v>0</v>
      </c>
      <c r="G419" s="18" t="s">
        <v>2943</v>
      </c>
      <c r="H419" s="18" t="s">
        <v>871</v>
      </c>
    </row>
    <row r="420" spans="1:8">
      <c r="A420" s="18" t="s">
        <v>27</v>
      </c>
      <c r="B420" s="18" t="s">
        <v>57</v>
      </c>
      <c r="C420" s="18" t="s">
        <v>2942</v>
      </c>
      <c r="D420" s="22">
        <v>137448641</v>
      </c>
      <c r="E420" s="22">
        <v>137448641</v>
      </c>
      <c r="F420" s="22">
        <v>0</v>
      </c>
      <c r="G420" s="18" t="s">
        <v>2943</v>
      </c>
      <c r="H420" s="18" t="s">
        <v>119</v>
      </c>
    </row>
    <row r="421" spans="1:8">
      <c r="A421" s="18" t="s">
        <v>27</v>
      </c>
      <c r="B421" s="18" t="s">
        <v>57</v>
      </c>
      <c r="C421" s="18" t="s">
        <v>2944</v>
      </c>
      <c r="D421" s="22">
        <v>-2032</v>
      </c>
      <c r="E421" s="22">
        <v>-2032</v>
      </c>
      <c r="F421" s="22">
        <v>0</v>
      </c>
      <c r="G421" s="18" t="s">
        <v>2943</v>
      </c>
      <c r="H421" s="18" t="s">
        <v>119</v>
      </c>
    </row>
    <row r="422" spans="1:8">
      <c r="A422" s="18" t="s">
        <v>27</v>
      </c>
      <c r="B422" s="18" t="s">
        <v>57</v>
      </c>
      <c r="C422" s="18" t="s">
        <v>2945</v>
      </c>
      <c r="D422" s="22">
        <v>42164411</v>
      </c>
      <c r="E422" s="22">
        <v>42164411</v>
      </c>
      <c r="F422" s="22">
        <v>0</v>
      </c>
      <c r="G422" s="18" t="s">
        <v>2943</v>
      </c>
      <c r="H422" s="18" t="s">
        <v>120</v>
      </c>
    </row>
    <row r="423" spans="1:8">
      <c r="A423" s="18" t="s">
        <v>27</v>
      </c>
      <c r="B423" s="18" t="s">
        <v>57</v>
      </c>
      <c r="C423" s="18" t="s">
        <v>2946</v>
      </c>
      <c r="D423" s="22">
        <v>15001</v>
      </c>
      <c r="E423" s="22">
        <v>15001</v>
      </c>
      <c r="F423" s="22">
        <v>0</v>
      </c>
      <c r="G423" s="18" t="s">
        <v>2943</v>
      </c>
      <c r="H423" s="18" t="s">
        <v>120</v>
      </c>
    </row>
    <row r="424" spans="1:8">
      <c r="A424" s="18" t="s">
        <v>27</v>
      </c>
      <c r="B424" s="18" t="s">
        <v>57</v>
      </c>
      <c r="C424" s="18" t="s">
        <v>2947</v>
      </c>
      <c r="D424" s="22">
        <v>29127241</v>
      </c>
      <c r="E424" s="22">
        <v>29127240</v>
      </c>
      <c r="F424" s="22">
        <v>1</v>
      </c>
      <c r="G424" s="18" t="s">
        <v>2949</v>
      </c>
      <c r="H424" s="18" t="s">
        <v>121</v>
      </c>
    </row>
    <row r="425" spans="1:8">
      <c r="A425" s="18" t="s">
        <v>27</v>
      </c>
      <c r="B425" s="18" t="s">
        <v>57</v>
      </c>
      <c r="C425" s="18" t="s">
        <v>2948</v>
      </c>
      <c r="D425" s="22">
        <v>1467350</v>
      </c>
      <c r="E425" s="22">
        <v>1467349</v>
      </c>
      <c r="F425" s="22">
        <v>1</v>
      </c>
      <c r="G425" s="18" t="s">
        <v>2949</v>
      </c>
      <c r="H425" s="18" t="s">
        <v>121</v>
      </c>
    </row>
    <row r="426" spans="1:8">
      <c r="A426" s="18" t="s">
        <v>27</v>
      </c>
      <c r="B426" s="18" t="s">
        <v>57</v>
      </c>
      <c r="C426" s="18" t="s">
        <v>2956</v>
      </c>
      <c r="D426" s="22">
        <v>3426795</v>
      </c>
      <c r="E426" s="22">
        <v>3426794</v>
      </c>
      <c r="F426" s="22">
        <v>1</v>
      </c>
      <c r="G426" s="18" t="s">
        <v>2949</v>
      </c>
      <c r="H426" s="18" t="s">
        <v>253</v>
      </c>
    </row>
    <row r="427" spans="1:8">
      <c r="A427" s="18" t="s">
        <v>27</v>
      </c>
      <c r="B427" s="18" t="s">
        <v>57</v>
      </c>
      <c r="C427" s="18" t="s">
        <v>2957</v>
      </c>
      <c r="D427" s="22">
        <v>48724</v>
      </c>
      <c r="E427" s="22">
        <v>48723</v>
      </c>
      <c r="F427" s="22">
        <v>1</v>
      </c>
      <c r="G427" s="18" t="s">
        <v>2949</v>
      </c>
      <c r="H427" s="18" t="s">
        <v>253</v>
      </c>
    </row>
    <row r="428" spans="1:8">
      <c r="A428" s="18" t="s">
        <v>27</v>
      </c>
      <c r="B428" s="18" t="s">
        <v>57</v>
      </c>
      <c r="C428" s="18" t="s">
        <v>2958</v>
      </c>
      <c r="D428" s="22">
        <v>3076921</v>
      </c>
      <c r="E428" s="22">
        <v>3076922</v>
      </c>
      <c r="F428" s="22">
        <v>-1</v>
      </c>
      <c r="G428" s="18" t="s">
        <v>2949</v>
      </c>
      <c r="H428" s="18" t="s">
        <v>254</v>
      </c>
    </row>
    <row r="429" spans="1:8">
      <c r="A429" s="18" t="s">
        <v>27</v>
      </c>
      <c r="B429" s="18" t="s">
        <v>57</v>
      </c>
      <c r="C429" s="18" t="s">
        <v>2959</v>
      </c>
      <c r="D429" s="22">
        <v>85922</v>
      </c>
      <c r="E429" s="22">
        <v>85922</v>
      </c>
      <c r="F429" s="22">
        <v>0</v>
      </c>
      <c r="G429" s="18" t="s">
        <v>2943</v>
      </c>
      <c r="H429" s="18" t="s">
        <v>254</v>
      </c>
    </row>
    <row r="430" spans="1:8">
      <c r="A430" s="18" t="s">
        <v>27</v>
      </c>
      <c r="B430" s="18" t="s">
        <v>57</v>
      </c>
      <c r="C430" s="18" t="s">
        <v>2960</v>
      </c>
      <c r="D430" s="22">
        <v>3922659</v>
      </c>
      <c r="E430" s="22">
        <v>3922659</v>
      </c>
      <c r="F430" s="22">
        <v>0</v>
      </c>
      <c r="G430" s="18" t="s">
        <v>2943</v>
      </c>
      <c r="H430" s="18" t="s">
        <v>255</v>
      </c>
    </row>
    <row r="431" spans="1:8">
      <c r="A431" s="18" t="s">
        <v>27</v>
      </c>
      <c r="B431" s="18" t="s">
        <v>57</v>
      </c>
      <c r="C431" s="18" t="s">
        <v>2961</v>
      </c>
      <c r="D431" s="22">
        <v>184442</v>
      </c>
      <c r="E431" s="22">
        <v>184442</v>
      </c>
      <c r="F431" s="22">
        <v>0</v>
      </c>
      <c r="G431" s="18" t="s">
        <v>2943</v>
      </c>
      <c r="H431" s="18" t="s">
        <v>255</v>
      </c>
    </row>
    <row r="432" spans="1:8">
      <c r="A432" s="18" t="s">
        <v>27</v>
      </c>
      <c r="B432" s="18" t="s">
        <v>57</v>
      </c>
      <c r="C432" s="18" t="s">
        <v>3018</v>
      </c>
      <c r="D432" s="22">
        <v>3752163</v>
      </c>
      <c r="E432" s="22">
        <v>3752162</v>
      </c>
      <c r="F432" s="22">
        <v>1</v>
      </c>
      <c r="G432" s="18" t="s">
        <v>2949</v>
      </c>
      <c r="H432" s="18" t="s">
        <v>256</v>
      </c>
    </row>
    <row r="433" spans="1:8">
      <c r="A433" s="18" t="s">
        <v>27</v>
      </c>
      <c r="B433" s="18" t="s">
        <v>57</v>
      </c>
      <c r="C433" s="18" t="s">
        <v>3019</v>
      </c>
      <c r="D433" s="22">
        <v>140388</v>
      </c>
      <c r="E433" s="22">
        <v>140388</v>
      </c>
      <c r="F433" s="22">
        <v>0</v>
      </c>
      <c r="G433" s="18" t="s">
        <v>2943</v>
      </c>
      <c r="H433" s="18" t="s">
        <v>256</v>
      </c>
    </row>
    <row r="434" spans="1:8">
      <c r="A434" s="18" t="s">
        <v>27</v>
      </c>
      <c r="B434" s="18" t="s">
        <v>57</v>
      </c>
      <c r="C434" s="18" t="s">
        <v>3020</v>
      </c>
      <c r="D434" s="22">
        <v>2410581</v>
      </c>
      <c r="E434" s="22">
        <v>2410581</v>
      </c>
      <c r="F434" s="22">
        <v>0</v>
      </c>
      <c r="G434" s="18" t="s">
        <v>2943</v>
      </c>
      <c r="H434" s="18" t="s">
        <v>257</v>
      </c>
    </row>
    <row r="435" spans="1:8">
      <c r="A435" s="18" t="s">
        <v>27</v>
      </c>
      <c r="B435" s="18" t="s">
        <v>57</v>
      </c>
      <c r="C435" s="18" t="s">
        <v>3021</v>
      </c>
      <c r="D435" s="22">
        <v>95940</v>
      </c>
      <c r="E435" s="22">
        <v>95940</v>
      </c>
      <c r="F435" s="22">
        <v>0</v>
      </c>
      <c r="G435" s="18" t="s">
        <v>2943</v>
      </c>
      <c r="H435" s="18" t="s">
        <v>257</v>
      </c>
    </row>
    <row r="436" spans="1:8">
      <c r="A436" s="18" t="s">
        <v>27</v>
      </c>
      <c r="B436" s="18" t="s">
        <v>57</v>
      </c>
      <c r="C436" s="18" t="s">
        <v>3022</v>
      </c>
      <c r="D436" s="22">
        <v>2510350</v>
      </c>
      <c r="E436" s="22">
        <v>2510350</v>
      </c>
      <c r="F436" s="22">
        <v>0</v>
      </c>
      <c r="G436" s="18" t="s">
        <v>2943</v>
      </c>
      <c r="H436" s="18" t="s">
        <v>258</v>
      </c>
    </row>
    <row r="437" spans="1:8">
      <c r="A437" s="18" t="s">
        <v>27</v>
      </c>
      <c r="B437" s="18" t="s">
        <v>57</v>
      </c>
      <c r="C437" s="18" t="s">
        <v>3023</v>
      </c>
      <c r="D437" s="22">
        <v>846536</v>
      </c>
      <c r="E437" s="22">
        <v>846536</v>
      </c>
      <c r="F437" s="22">
        <v>0</v>
      </c>
      <c r="G437" s="18" t="s">
        <v>2943</v>
      </c>
      <c r="H437" s="18" t="s">
        <v>258</v>
      </c>
    </row>
    <row r="438" spans="1:8">
      <c r="A438" s="18" t="s">
        <v>27</v>
      </c>
      <c r="B438" s="18" t="s">
        <v>57</v>
      </c>
      <c r="C438" s="18" t="s">
        <v>2962</v>
      </c>
      <c r="D438" s="22">
        <v>210220611</v>
      </c>
      <c r="E438" s="22">
        <v>210220610</v>
      </c>
      <c r="F438" s="22">
        <v>1</v>
      </c>
      <c r="G438" s="18" t="s">
        <v>2949</v>
      </c>
      <c r="H438" s="18" t="s">
        <v>3026</v>
      </c>
    </row>
    <row r="439" spans="1:8">
      <c r="A439" s="18" t="s">
        <v>27</v>
      </c>
      <c r="B439" s="18" t="s">
        <v>57</v>
      </c>
      <c r="C439" s="18" t="s">
        <v>2964</v>
      </c>
      <c r="D439" s="22">
        <v>208740292</v>
      </c>
      <c r="E439" s="22">
        <v>208740292</v>
      </c>
      <c r="F439" s="22">
        <v>0</v>
      </c>
      <c r="G439" s="18" t="s">
        <v>2943</v>
      </c>
      <c r="H439" s="18" t="s">
        <v>3026</v>
      </c>
    </row>
    <row r="440" spans="1:8">
      <c r="A440" s="18" t="s">
        <v>27</v>
      </c>
      <c r="B440" s="18" t="s">
        <v>57</v>
      </c>
      <c r="C440" s="18" t="s">
        <v>2965</v>
      </c>
      <c r="D440" s="22">
        <v>1480318</v>
      </c>
      <c r="E440" s="22">
        <v>1480318</v>
      </c>
      <c r="F440" s="22">
        <v>0</v>
      </c>
      <c r="G440" s="18" t="s">
        <v>2943</v>
      </c>
      <c r="H440" s="18" t="s">
        <v>3026</v>
      </c>
    </row>
    <row r="441" spans="1:8">
      <c r="A441" s="18" t="s">
        <v>27</v>
      </c>
      <c r="B441" s="18" t="s">
        <v>57</v>
      </c>
      <c r="C441" s="18" t="s">
        <v>2966</v>
      </c>
      <c r="D441" s="22">
        <v>81777027</v>
      </c>
      <c r="E441" s="22">
        <v>81777027</v>
      </c>
      <c r="F441" s="22">
        <v>0</v>
      </c>
      <c r="G441" s="18" t="s">
        <v>2943</v>
      </c>
      <c r="H441" s="18" t="s">
        <v>3026</v>
      </c>
    </row>
    <row r="442" spans="1:8">
      <c r="A442" s="18" t="s">
        <v>27</v>
      </c>
      <c r="B442" s="18" t="s">
        <v>57</v>
      </c>
      <c r="C442" s="18" t="s">
        <v>2968</v>
      </c>
      <c r="D442" s="22">
        <v>312847</v>
      </c>
      <c r="E442" s="22">
        <v>312847</v>
      </c>
      <c r="F442" s="22">
        <v>0</v>
      </c>
      <c r="G442" s="18" t="s">
        <v>2943</v>
      </c>
      <c r="H442" s="18" t="s">
        <v>3026</v>
      </c>
    </row>
    <row r="443" spans="1:8">
      <c r="A443" s="18" t="s">
        <v>27</v>
      </c>
      <c r="B443" s="18" t="s">
        <v>57</v>
      </c>
      <c r="C443" s="18" t="s">
        <v>2979</v>
      </c>
      <c r="D443" s="22">
        <v>126650419</v>
      </c>
      <c r="E443" s="22">
        <v>126650418</v>
      </c>
      <c r="F443" s="22">
        <v>1</v>
      </c>
      <c r="G443" s="18" t="s">
        <v>2949</v>
      </c>
      <c r="H443" s="18" t="s">
        <v>3026</v>
      </c>
    </row>
    <row r="444" spans="1:8">
      <c r="A444" s="18" t="s">
        <v>27</v>
      </c>
      <c r="B444" s="18" t="s">
        <v>57</v>
      </c>
      <c r="C444" s="18" t="s">
        <v>2969</v>
      </c>
      <c r="D444" s="22">
        <v>1483373</v>
      </c>
      <c r="E444" s="22">
        <v>1483372</v>
      </c>
      <c r="F444" s="22">
        <v>1</v>
      </c>
      <c r="G444" s="18" t="s">
        <v>2949</v>
      </c>
      <c r="H444" s="18" t="s">
        <v>3027</v>
      </c>
    </row>
    <row r="445" spans="1:8">
      <c r="A445" s="18" t="s">
        <v>27</v>
      </c>
      <c r="B445" s="18" t="s">
        <v>57</v>
      </c>
      <c r="C445" s="18" t="s">
        <v>2971</v>
      </c>
      <c r="D445" s="22">
        <v>7883</v>
      </c>
      <c r="E445" s="22">
        <v>7883</v>
      </c>
      <c r="F445" s="22">
        <v>0</v>
      </c>
      <c r="G445" s="18" t="s">
        <v>2943</v>
      </c>
      <c r="H445" s="18" t="s">
        <v>3027</v>
      </c>
    </row>
    <row r="446" spans="1:8">
      <c r="A446" s="18" t="s">
        <v>27</v>
      </c>
      <c r="B446" s="18" t="s">
        <v>57</v>
      </c>
      <c r="C446" s="18" t="s">
        <v>2972</v>
      </c>
      <c r="E446" s="22">
        <v>1483372</v>
      </c>
      <c r="G446" s="18" t="s">
        <v>2973</v>
      </c>
      <c r="H446" s="18" t="s">
        <v>873</v>
      </c>
    </row>
    <row r="447" spans="1:8">
      <c r="A447" s="18" t="s">
        <v>27</v>
      </c>
      <c r="B447" s="18" t="s">
        <v>57</v>
      </c>
      <c r="C447" s="18" t="s">
        <v>2975</v>
      </c>
      <c r="E447" s="22">
        <v>7883</v>
      </c>
      <c r="G447" s="18" t="s">
        <v>2973</v>
      </c>
      <c r="H447" s="18" t="s">
        <v>873</v>
      </c>
    </row>
    <row r="448" spans="1:8">
      <c r="A448" s="18" t="s">
        <v>27</v>
      </c>
      <c r="B448" s="18" t="s">
        <v>57</v>
      </c>
      <c r="C448" s="18" t="s">
        <v>2976</v>
      </c>
      <c r="D448" s="22">
        <v>1483372</v>
      </c>
      <c r="E448" s="22">
        <v>1483372</v>
      </c>
      <c r="F448" s="22">
        <v>0</v>
      </c>
      <c r="G448" s="18" t="s">
        <v>2943</v>
      </c>
      <c r="H448" s="18" t="s">
        <v>873</v>
      </c>
    </row>
    <row r="449" spans="1:8">
      <c r="A449" s="18" t="s">
        <v>27</v>
      </c>
      <c r="B449" s="18" t="s">
        <v>57</v>
      </c>
      <c r="C449" s="18" t="s">
        <v>2977</v>
      </c>
      <c r="D449" s="22">
        <v>7883</v>
      </c>
      <c r="E449" s="22">
        <v>7883</v>
      </c>
      <c r="F449" s="22">
        <v>0</v>
      </c>
      <c r="G449" s="18" t="s">
        <v>2943</v>
      </c>
      <c r="H449" s="18" t="s">
        <v>873</v>
      </c>
    </row>
    <row r="450" spans="1:8">
      <c r="A450" s="18" t="s">
        <v>27</v>
      </c>
      <c r="B450" s="18" t="s">
        <v>62</v>
      </c>
      <c r="C450" s="18" t="s">
        <v>2942</v>
      </c>
      <c r="D450" s="22">
        <v>69830</v>
      </c>
      <c r="E450" s="22">
        <v>69830</v>
      </c>
      <c r="F450" s="22">
        <v>0</v>
      </c>
      <c r="G450" s="18" t="s">
        <v>2943</v>
      </c>
      <c r="H450" s="18" t="s">
        <v>122</v>
      </c>
    </row>
    <row r="451" spans="1:8">
      <c r="A451" s="18" t="s">
        <v>27</v>
      </c>
      <c r="B451" s="18" t="s">
        <v>62</v>
      </c>
      <c r="C451" s="18" t="s">
        <v>2944</v>
      </c>
      <c r="D451" s="22">
        <v>0</v>
      </c>
      <c r="E451" s="22">
        <v>0</v>
      </c>
      <c r="F451" s="22">
        <v>0</v>
      </c>
      <c r="G451" s="18" t="s">
        <v>2943</v>
      </c>
      <c r="H451" s="18" t="s">
        <v>122</v>
      </c>
    </row>
    <row r="452" spans="1:8">
      <c r="A452" s="18" t="s">
        <v>27</v>
      </c>
      <c r="B452" s="18" t="s">
        <v>62</v>
      </c>
      <c r="C452" s="18" t="s">
        <v>2945</v>
      </c>
      <c r="D452" s="22">
        <v>160774</v>
      </c>
      <c r="E452" s="22">
        <v>160775</v>
      </c>
      <c r="F452" s="22">
        <v>-1</v>
      </c>
      <c r="G452" s="18" t="s">
        <v>2949</v>
      </c>
      <c r="H452" s="18" t="s">
        <v>123</v>
      </c>
    </row>
    <row r="453" spans="1:8">
      <c r="A453" s="18" t="s">
        <v>27</v>
      </c>
      <c r="B453" s="18" t="s">
        <v>62</v>
      </c>
      <c r="C453" s="18" t="s">
        <v>2946</v>
      </c>
      <c r="D453" s="22">
        <v>237047</v>
      </c>
      <c r="E453" s="22">
        <v>237048</v>
      </c>
      <c r="F453" s="22">
        <v>-1</v>
      </c>
      <c r="G453" s="18" t="s">
        <v>2949</v>
      </c>
      <c r="H453" s="18" t="s">
        <v>123</v>
      </c>
    </row>
    <row r="454" spans="1:8">
      <c r="A454" s="18" t="s">
        <v>27</v>
      </c>
      <c r="B454" s="18" t="s">
        <v>62</v>
      </c>
      <c r="C454" s="18" t="s">
        <v>2947</v>
      </c>
      <c r="D454" s="22">
        <v>10545535</v>
      </c>
      <c r="E454" s="22">
        <v>10545535</v>
      </c>
      <c r="F454" s="22">
        <v>0</v>
      </c>
      <c r="G454" s="18" t="s">
        <v>2943</v>
      </c>
      <c r="H454" s="18" t="s">
        <v>124</v>
      </c>
    </row>
    <row r="455" spans="1:8">
      <c r="A455" s="18" t="s">
        <v>27</v>
      </c>
      <c r="B455" s="18" t="s">
        <v>62</v>
      </c>
      <c r="C455" s="18" t="s">
        <v>2948</v>
      </c>
      <c r="D455" s="22">
        <v>2661575</v>
      </c>
      <c r="E455" s="22">
        <v>2661575</v>
      </c>
      <c r="F455" s="22">
        <v>0</v>
      </c>
      <c r="G455" s="18" t="s">
        <v>2943</v>
      </c>
      <c r="H455" s="18" t="s">
        <v>124</v>
      </c>
    </row>
    <row r="456" spans="1:8">
      <c r="A456" s="18" t="s">
        <v>27</v>
      </c>
      <c r="B456" s="18" t="s">
        <v>62</v>
      </c>
      <c r="C456" s="18" t="s">
        <v>2956</v>
      </c>
      <c r="D456" s="22">
        <v>1814597</v>
      </c>
      <c r="E456" s="22">
        <v>1814597</v>
      </c>
      <c r="F456" s="22">
        <v>0</v>
      </c>
      <c r="G456" s="18" t="s">
        <v>2943</v>
      </c>
      <c r="H456" s="18" t="s">
        <v>259</v>
      </c>
    </row>
    <row r="457" spans="1:8">
      <c r="A457" s="18" t="s">
        <v>27</v>
      </c>
      <c r="B457" s="18" t="s">
        <v>62</v>
      </c>
      <c r="C457" s="18" t="s">
        <v>2957</v>
      </c>
      <c r="D457" s="22">
        <v>10718</v>
      </c>
      <c r="E457" s="22">
        <v>10718</v>
      </c>
      <c r="F457" s="22">
        <v>0</v>
      </c>
      <c r="G457" s="18" t="s">
        <v>2943</v>
      </c>
      <c r="H457" s="18" t="s">
        <v>259</v>
      </c>
    </row>
    <row r="458" spans="1:8">
      <c r="A458" s="18" t="s">
        <v>27</v>
      </c>
      <c r="B458" s="18" t="s">
        <v>62</v>
      </c>
      <c r="C458" s="18" t="s">
        <v>2958</v>
      </c>
      <c r="D458" s="22">
        <v>598542</v>
      </c>
      <c r="E458" s="22">
        <v>598542</v>
      </c>
      <c r="F458" s="22">
        <v>0</v>
      </c>
      <c r="G458" s="18" t="s">
        <v>2943</v>
      </c>
      <c r="H458" s="18" t="s">
        <v>260</v>
      </c>
    </row>
    <row r="459" spans="1:8">
      <c r="A459" s="18" t="s">
        <v>27</v>
      </c>
      <c r="B459" s="18" t="s">
        <v>62</v>
      </c>
      <c r="C459" s="18" t="s">
        <v>2959</v>
      </c>
      <c r="D459" s="22">
        <v>79534</v>
      </c>
      <c r="E459" s="22">
        <v>79534</v>
      </c>
      <c r="F459" s="22">
        <v>0</v>
      </c>
      <c r="G459" s="18" t="s">
        <v>2943</v>
      </c>
      <c r="H459" s="18" t="s">
        <v>260</v>
      </c>
    </row>
    <row r="460" spans="1:8">
      <c r="A460" s="18" t="s">
        <v>27</v>
      </c>
      <c r="B460" s="18" t="s">
        <v>62</v>
      </c>
      <c r="C460" s="18" t="s">
        <v>2960</v>
      </c>
      <c r="D460" s="22">
        <v>1511149</v>
      </c>
      <c r="E460" s="22">
        <v>1511149</v>
      </c>
      <c r="F460" s="22">
        <v>0</v>
      </c>
      <c r="G460" s="18" t="s">
        <v>2943</v>
      </c>
      <c r="H460" s="18" t="s">
        <v>261</v>
      </c>
    </row>
    <row r="461" spans="1:8">
      <c r="A461" s="18" t="s">
        <v>27</v>
      </c>
      <c r="B461" s="18" t="s">
        <v>62</v>
      </c>
      <c r="C461" s="18" t="s">
        <v>2961</v>
      </c>
      <c r="D461" s="22">
        <v>227759</v>
      </c>
      <c r="E461" s="22">
        <v>227758</v>
      </c>
      <c r="F461" s="22">
        <v>1</v>
      </c>
      <c r="G461" s="18" t="s">
        <v>2949</v>
      </c>
      <c r="H461" s="18" t="s">
        <v>261</v>
      </c>
    </row>
    <row r="462" spans="1:8">
      <c r="A462" s="18" t="s">
        <v>27</v>
      </c>
      <c r="B462" s="18" t="s">
        <v>62</v>
      </c>
      <c r="C462" s="18" t="s">
        <v>3018</v>
      </c>
      <c r="D462" s="22">
        <v>1485242</v>
      </c>
      <c r="E462" s="22">
        <v>1485242</v>
      </c>
      <c r="F462" s="22">
        <v>0</v>
      </c>
      <c r="G462" s="18" t="s">
        <v>2943</v>
      </c>
      <c r="H462" s="18" t="s">
        <v>262</v>
      </c>
    </row>
    <row r="463" spans="1:8">
      <c r="A463" s="18" t="s">
        <v>27</v>
      </c>
      <c r="B463" s="18" t="s">
        <v>62</v>
      </c>
      <c r="C463" s="18" t="s">
        <v>3019</v>
      </c>
      <c r="D463" s="22">
        <v>194859</v>
      </c>
      <c r="E463" s="22">
        <v>194859</v>
      </c>
      <c r="F463" s="22">
        <v>0</v>
      </c>
      <c r="G463" s="18" t="s">
        <v>2943</v>
      </c>
      <c r="H463" s="18" t="s">
        <v>262</v>
      </c>
    </row>
    <row r="464" spans="1:8">
      <c r="A464" s="18" t="s">
        <v>27</v>
      </c>
      <c r="B464" s="18" t="s">
        <v>62</v>
      </c>
      <c r="C464" s="18" t="s">
        <v>3020</v>
      </c>
      <c r="D464" s="22">
        <v>682272</v>
      </c>
      <c r="E464" s="22">
        <v>682272</v>
      </c>
      <c r="F464" s="22">
        <v>0</v>
      </c>
      <c r="G464" s="18" t="s">
        <v>2943</v>
      </c>
      <c r="H464" s="18" t="s">
        <v>263</v>
      </c>
    </row>
    <row r="465" spans="1:8">
      <c r="A465" s="18" t="s">
        <v>27</v>
      </c>
      <c r="B465" s="18" t="s">
        <v>62</v>
      </c>
      <c r="C465" s="18" t="s">
        <v>3021</v>
      </c>
      <c r="D465" s="22">
        <v>649881</v>
      </c>
      <c r="E465" s="22">
        <v>649881</v>
      </c>
      <c r="F465" s="22">
        <v>0</v>
      </c>
      <c r="G465" s="18" t="s">
        <v>2943</v>
      </c>
      <c r="H465" s="18" t="s">
        <v>263</v>
      </c>
    </row>
    <row r="466" spans="1:8">
      <c r="A466" s="18" t="s">
        <v>27</v>
      </c>
      <c r="B466" s="18" t="s">
        <v>62</v>
      </c>
      <c r="C466" s="18" t="s">
        <v>3022</v>
      </c>
      <c r="D466" s="22">
        <v>34796</v>
      </c>
      <c r="E466" s="22">
        <v>34796</v>
      </c>
      <c r="F466" s="22">
        <v>0</v>
      </c>
      <c r="G466" s="18" t="s">
        <v>2943</v>
      </c>
      <c r="H466" s="18" t="s">
        <v>264</v>
      </c>
    </row>
    <row r="467" spans="1:8">
      <c r="A467" s="18" t="s">
        <v>27</v>
      </c>
      <c r="B467" s="18" t="s">
        <v>62</v>
      </c>
      <c r="C467" s="18" t="s">
        <v>3023</v>
      </c>
      <c r="D467" s="22">
        <v>1438681</v>
      </c>
      <c r="E467" s="22">
        <v>1438681</v>
      </c>
      <c r="F467" s="22">
        <v>0</v>
      </c>
      <c r="G467" s="18" t="s">
        <v>2943</v>
      </c>
      <c r="H467" s="18" t="s">
        <v>264</v>
      </c>
    </row>
    <row r="468" spans="1:8">
      <c r="A468" s="18" t="s">
        <v>27</v>
      </c>
      <c r="B468" s="18" t="s">
        <v>62</v>
      </c>
      <c r="C468" s="18" t="s">
        <v>2962</v>
      </c>
      <c r="D468" s="22">
        <v>13674762</v>
      </c>
      <c r="E468" s="22">
        <v>13674762</v>
      </c>
      <c r="F468" s="22">
        <v>0</v>
      </c>
      <c r="G468" s="18" t="s">
        <v>2943</v>
      </c>
      <c r="H468" s="18" t="s">
        <v>3028</v>
      </c>
    </row>
    <row r="469" spans="1:8">
      <c r="A469" s="18" t="s">
        <v>27</v>
      </c>
      <c r="B469" s="18" t="s">
        <v>62</v>
      </c>
      <c r="C469" s="18" t="s">
        <v>2964</v>
      </c>
      <c r="D469" s="22">
        <v>10776140</v>
      </c>
      <c r="E469" s="22">
        <v>10776140</v>
      </c>
      <c r="F469" s="22">
        <v>0</v>
      </c>
      <c r="G469" s="18" t="s">
        <v>2943</v>
      </c>
      <c r="H469" s="18" t="s">
        <v>3028</v>
      </c>
    </row>
    <row r="470" spans="1:8">
      <c r="A470" s="18" t="s">
        <v>27</v>
      </c>
      <c r="B470" s="18" t="s">
        <v>62</v>
      </c>
      <c r="C470" s="18" t="s">
        <v>2965</v>
      </c>
      <c r="D470" s="22">
        <v>2898623</v>
      </c>
      <c r="E470" s="22">
        <v>2898622</v>
      </c>
      <c r="F470" s="22">
        <v>1</v>
      </c>
      <c r="G470" s="18" t="s">
        <v>2949</v>
      </c>
      <c r="H470" s="18" t="s">
        <v>3028</v>
      </c>
    </row>
    <row r="471" spans="1:8">
      <c r="A471" s="18" t="s">
        <v>27</v>
      </c>
      <c r="B471" s="18" t="s">
        <v>62</v>
      </c>
      <c r="C471" s="18" t="s">
        <v>2966</v>
      </c>
      <c r="D471" s="22">
        <v>10675824</v>
      </c>
      <c r="E471" s="22">
        <v>10675825</v>
      </c>
      <c r="F471" s="22">
        <v>-1</v>
      </c>
      <c r="G471" s="18" t="s">
        <v>2949</v>
      </c>
      <c r="H471" s="18" t="s">
        <v>3028</v>
      </c>
    </row>
    <row r="472" spans="1:8">
      <c r="A472" s="18" t="s">
        <v>27</v>
      </c>
      <c r="B472" s="18" t="s">
        <v>62</v>
      </c>
      <c r="C472" s="18" t="s">
        <v>2968</v>
      </c>
      <c r="D472" s="22">
        <v>100315</v>
      </c>
      <c r="E472" s="22">
        <v>100315</v>
      </c>
      <c r="F472" s="22">
        <v>0</v>
      </c>
      <c r="G472" s="18" t="s">
        <v>2943</v>
      </c>
      <c r="H472" s="18" t="s">
        <v>3028</v>
      </c>
    </row>
    <row r="473" spans="1:8">
      <c r="A473" s="18" t="s">
        <v>27</v>
      </c>
      <c r="B473" s="18" t="s">
        <v>62</v>
      </c>
      <c r="C473" s="18" t="s">
        <v>2979</v>
      </c>
      <c r="D473" s="22">
        <v>0</v>
      </c>
      <c r="E473" s="22">
        <v>0</v>
      </c>
      <c r="F473" s="22">
        <v>0</v>
      </c>
      <c r="G473" s="18" t="s">
        <v>2943</v>
      </c>
      <c r="H473" s="18" t="s">
        <v>3028</v>
      </c>
    </row>
    <row r="474" spans="1:8">
      <c r="A474" s="18" t="s">
        <v>27</v>
      </c>
      <c r="B474" s="18" t="s">
        <v>62</v>
      </c>
      <c r="C474" s="18" t="s">
        <v>2969</v>
      </c>
      <c r="D474" s="22">
        <v>2898623</v>
      </c>
      <c r="E474" s="22">
        <v>2898622</v>
      </c>
      <c r="F474" s="22">
        <v>1</v>
      </c>
      <c r="G474" s="18" t="s">
        <v>2949</v>
      </c>
      <c r="H474" s="18" t="s">
        <v>3029</v>
      </c>
    </row>
    <row r="475" spans="1:8">
      <c r="A475" s="18" t="s">
        <v>27</v>
      </c>
      <c r="B475" s="18" t="s">
        <v>62</v>
      </c>
      <c r="C475" s="18" t="s">
        <v>2971</v>
      </c>
      <c r="D475" s="22">
        <v>16657</v>
      </c>
      <c r="E475" s="22">
        <v>16657</v>
      </c>
      <c r="F475" s="22">
        <v>0</v>
      </c>
      <c r="G475" s="18" t="s">
        <v>2943</v>
      </c>
      <c r="H475" s="18" t="s">
        <v>3029</v>
      </c>
    </row>
    <row r="476" spans="1:8">
      <c r="A476" s="18" t="s">
        <v>27</v>
      </c>
      <c r="B476" s="18" t="s">
        <v>62</v>
      </c>
      <c r="C476" s="18" t="s">
        <v>2972</v>
      </c>
      <c r="E476" s="22">
        <v>2898622</v>
      </c>
      <c r="G476" s="18" t="s">
        <v>2973</v>
      </c>
      <c r="H476" s="18" t="s">
        <v>875</v>
      </c>
    </row>
    <row r="477" spans="1:8">
      <c r="A477" s="18" t="s">
        <v>27</v>
      </c>
      <c r="B477" s="18" t="s">
        <v>62</v>
      </c>
      <c r="C477" s="18" t="s">
        <v>2975</v>
      </c>
      <c r="E477" s="22">
        <v>16657</v>
      </c>
      <c r="G477" s="18" t="s">
        <v>2973</v>
      </c>
      <c r="H477" s="18" t="s">
        <v>875</v>
      </c>
    </row>
    <row r="478" spans="1:8">
      <c r="A478" s="18" t="s">
        <v>27</v>
      </c>
      <c r="B478" s="18" t="s">
        <v>62</v>
      </c>
      <c r="C478" s="18" t="s">
        <v>2976</v>
      </c>
      <c r="D478" s="22">
        <v>2898622</v>
      </c>
      <c r="E478" s="22">
        <v>2898622</v>
      </c>
      <c r="F478" s="22">
        <v>0</v>
      </c>
      <c r="G478" s="18" t="s">
        <v>2943</v>
      </c>
      <c r="H478" s="18" t="s">
        <v>875</v>
      </c>
    </row>
    <row r="479" spans="1:8">
      <c r="A479" s="18" t="s">
        <v>27</v>
      </c>
      <c r="B479" s="18" t="s">
        <v>62</v>
      </c>
      <c r="C479" s="18" t="s">
        <v>2977</v>
      </c>
      <c r="D479" s="22">
        <v>16657</v>
      </c>
      <c r="E479" s="22">
        <v>16657</v>
      </c>
      <c r="F479" s="22">
        <v>0</v>
      </c>
      <c r="G479" s="18" t="s">
        <v>2943</v>
      </c>
      <c r="H479" s="18" t="s">
        <v>875</v>
      </c>
    </row>
    <row r="480" spans="1:8">
      <c r="A480" s="18" t="s">
        <v>27</v>
      </c>
      <c r="B480" s="18" t="s">
        <v>72</v>
      </c>
      <c r="C480" s="18" t="s">
        <v>2942</v>
      </c>
      <c r="D480" s="22">
        <v>116775257</v>
      </c>
      <c r="E480" s="22">
        <v>116775257</v>
      </c>
      <c r="F480" s="22">
        <v>0</v>
      </c>
      <c r="G480" s="18" t="s">
        <v>2943</v>
      </c>
      <c r="H480" s="18" t="s">
        <v>125</v>
      </c>
    </row>
    <row r="481" spans="1:8">
      <c r="A481" s="18" t="s">
        <v>27</v>
      </c>
      <c r="B481" s="18" t="s">
        <v>72</v>
      </c>
      <c r="C481" s="18" t="s">
        <v>2944</v>
      </c>
      <c r="D481" s="22">
        <v>0</v>
      </c>
      <c r="E481" s="22">
        <v>0</v>
      </c>
      <c r="F481" s="22">
        <v>0</v>
      </c>
      <c r="G481" s="18" t="s">
        <v>2943</v>
      </c>
      <c r="H481" s="18" t="s">
        <v>125</v>
      </c>
    </row>
    <row r="482" spans="1:8">
      <c r="A482" s="18" t="s">
        <v>27</v>
      </c>
      <c r="B482" s="18" t="s">
        <v>72</v>
      </c>
      <c r="C482" s="18" t="s">
        <v>2945</v>
      </c>
      <c r="D482" s="22">
        <v>12626312</v>
      </c>
      <c r="E482" s="22">
        <v>12626312</v>
      </c>
      <c r="F482" s="22">
        <v>0</v>
      </c>
      <c r="G482" s="18" t="s">
        <v>2943</v>
      </c>
      <c r="H482" s="18" t="s">
        <v>126</v>
      </c>
    </row>
    <row r="483" spans="1:8">
      <c r="A483" s="18" t="s">
        <v>27</v>
      </c>
      <c r="B483" s="18" t="s">
        <v>72</v>
      </c>
      <c r="C483" s="18" t="s">
        <v>2946</v>
      </c>
      <c r="D483" s="22">
        <v>133081</v>
      </c>
      <c r="E483" s="22">
        <v>133081</v>
      </c>
      <c r="F483" s="22">
        <v>0</v>
      </c>
      <c r="G483" s="18" t="s">
        <v>2943</v>
      </c>
      <c r="H483" s="18" t="s">
        <v>126</v>
      </c>
    </row>
    <row r="484" spans="1:8">
      <c r="A484" s="18" t="s">
        <v>27</v>
      </c>
      <c r="B484" s="18" t="s">
        <v>72</v>
      </c>
      <c r="C484" s="18" t="s">
        <v>2947</v>
      </c>
      <c r="D484" s="22">
        <v>8563812</v>
      </c>
      <c r="E484" s="22">
        <v>8563812</v>
      </c>
      <c r="F484" s="22">
        <v>0</v>
      </c>
      <c r="G484" s="18" t="s">
        <v>2943</v>
      </c>
      <c r="H484" s="18" t="s">
        <v>127</v>
      </c>
    </row>
    <row r="485" spans="1:8">
      <c r="A485" s="18" t="s">
        <v>27</v>
      </c>
      <c r="B485" s="18" t="s">
        <v>72</v>
      </c>
      <c r="C485" s="18" t="s">
        <v>2948</v>
      </c>
      <c r="D485" s="22">
        <v>1067265</v>
      </c>
      <c r="E485" s="22">
        <v>1067265</v>
      </c>
      <c r="F485" s="22">
        <v>0</v>
      </c>
      <c r="G485" s="18" t="s">
        <v>2943</v>
      </c>
      <c r="H485" s="18" t="s">
        <v>127</v>
      </c>
    </row>
    <row r="486" spans="1:8">
      <c r="A486" s="18" t="s">
        <v>27</v>
      </c>
      <c r="B486" s="18" t="s">
        <v>72</v>
      </c>
      <c r="C486" s="18" t="s">
        <v>2956</v>
      </c>
      <c r="D486" s="22">
        <v>1170152</v>
      </c>
      <c r="E486" s="22">
        <v>1170152</v>
      </c>
      <c r="F486" s="22">
        <v>0</v>
      </c>
      <c r="G486" s="18" t="s">
        <v>2943</v>
      </c>
      <c r="H486" s="18" t="s">
        <v>265</v>
      </c>
    </row>
    <row r="487" spans="1:8">
      <c r="A487" s="18" t="s">
        <v>27</v>
      </c>
      <c r="B487" s="18" t="s">
        <v>72</v>
      </c>
      <c r="C487" s="18" t="s">
        <v>2957</v>
      </c>
      <c r="D487" s="22">
        <v>29052</v>
      </c>
      <c r="E487" s="22">
        <v>29052</v>
      </c>
      <c r="F487" s="22">
        <v>0</v>
      </c>
      <c r="G487" s="18" t="s">
        <v>2943</v>
      </c>
      <c r="H487" s="18" t="s">
        <v>265</v>
      </c>
    </row>
    <row r="488" spans="1:8">
      <c r="A488" s="18" t="s">
        <v>27</v>
      </c>
      <c r="B488" s="18" t="s">
        <v>72</v>
      </c>
      <c r="C488" s="18" t="s">
        <v>2958</v>
      </c>
      <c r="D488" s="22">
        <v>1400959</v>
      </c>
      <c r="E488" s="22">
        <v>1400959</v>
      </c>
      <c r="F488" s="22">
        <v>0</v>
      </c>
      <c r="G488" s="18" t="s">
        <v>2943</v>
      </c>
      <c r="H488" s="18" t="s">
        <v>266</v>
      </c>
    </row>
    <row r="489" spans="1:8">
      <c r="A489" s="18" t="s">
        <v>27</v>
      </c>
      <c r="B489" s="18" t="s">
        <v>72</v>
      </c>
      <c r="C489" s="18" t="s">
        <v>2959</v>
      </c>
      <c r="D489" s="22">
        <v>24658</v>
      </c>
      <c r="E489" s="22">
        <v>24658</v>
      </c>
      <c r="F489" s="22">
        <v>0</v>
      </c>
      <c r="G489" s="18" t="s">
        <v>2943</v>
      </c>
      <c r="H489" s="18" t="s">
        <v>266</v>
      </c>
    </row>
    <row r="490" spans="1:8">
      <c r="A490" s="18" t="s">
        <v>27</v>
      </c>
      <c r="B490" s="18" t="s">
        <v>72</v>
      </c>
      <c r="C490" s="18" t="s">
        <v>2960</v>
      </c>
      <c r="D490" s="22">
        <v>936506</v>
      </c>
      <c r="E490" s="22">
        <v>936506</v>
      </c>
      <c r="F490" s="22">
        <v>0</v>
      </c>
      <c r="G490" s="18" t="s">
        <v>2943</v>
      </c>
      <c r="H490" s="18" t="s">
        <v>267</v>
      </c>
    </row>
    <row r="491" spans="1:8">
      <c r="A491" s="18" t="s">
        <v>27</v>
      </c>
      <c r="B491" s="18" t="s">
        <v>72</v>
      </c>
      <c r="C491" s="18" t="s">
        <v>2961</v>
      </c>
      <c r="D491" s="22">
        <v>40982</v>
      </c>
      <c r="E491" s="22">
        <v>40983</v>
      </c>
      <c r="F491" s="22">
        <v>-1</v>
      </c>
      <c r="G491" s="18" t="s">
        <v>2949</v>
      </c>
      <c r="H491" s="18" t="s">
        <v>267</v>
      </c>
    </row>
    <row r="492" spans="1:8">
      <c r="A492" s="18" t="s">
        <v>27</v>
      </c>
      <c r="B492" s="18" t="s">
        <v>72</v>
      </c>
      <c r="C492" s="18" t="s">
        <v>3018</v>
      </c>
      <c r="D492" s="22">
        <v>1089610</v>
      </c>
      <c r="E492" s="22">
        <v>1089611</v>
      </c>
      <c r="F492" s="22">
        <v>-1</v>
      </c>
      <c r="G492" s="18" t="s">
        <v>2949</v>
      </c>
      <c r="H492" s="18" t="s">
        <v>268</v>
      </c>
    </row>
    <row r="493" spans="1:8">
      <c r="A493" s="18" t="s">
        <v>27</v>
      </c>
      <c r="B493" s="18" t="s">
        <v>72</v>
      </c>
      <c r="C493" s="18" t="s">
        <v>3019</v>
      </c>
      <c r="D493" s="22">
        <v>144406</v>
      </c>
      <c r="E493" s="22">
        <v>144406</v>
      </c>
      <c r="F493" s="22">
        <v>0</v>
      </c>
      <c r="G493" s="18" t="s">
        <v>2943</v>
      </c>
      <c r="H493" s="18" t="s">
        <v>268</v>
      </c>
    </row>
    <row r="494" spans="1:8">
      <c r="A494" s="18" t="s">
        <v>27</v>
      </c>
      <c r="B494" s="18" t="s">
        <v>72</v>
      </c>
      <c r="C494" s="18" t="s">
        <v>3020</v>
      </c>
      <c r="D494" s="22">
        <v>664779</v>
      </c>
      <c r="E494" s="22">
        <v>664779</v>
      </c>
      <c r="F494" s="22">
        <v>0</v>
      </c>
      <c r="G494" s="18" t="s">
        <v>2943</v>
      </c>
      <c r="H494" s="18" t="s">
        <v>269</v>
      </c>
    </row>
    <row r="495" spans="1:8">
      <c r="A495" s="18" t="s">
        <v>27</v>
      </c>
      <c r="B495" s="18" t="s">
        <v>72</v>
      </c>
      <c r="C495" s="18" t="s">
        <v>3021</v>
      </c>
      <c r="D495" s="22">
        <v>233404</v>
      </c>
      <c r="E495" s="22">
        <v>233404</v>
      </c>
      <c r="F495" s="22">
        <v>0</v>
      </c>
      <c r="G495" s="18" t="s">
        <v>2943</v>
      </c>
      <c r="H495" s="18" t="s">
        <v>269</v>
      </c>
    </row>
    <row r="496" spans="1:8">
      <c r="A496" s="18" t="s">
        <v>27</v>
      </c>
      <c r="B496" s="18" t="s">
        <v>72</v>
      </c>
      <c r="C496" s="18" t="s">
        <v>3022</v>
      </c>
      <c r="D496" s="22">
        <v>274850</v>
      </c>
      <c r="E496" s="22">
        <v>274850</v>
      </c>
      <c r="F496" s="22">
        <v>0</v>
      </c>
      <c r="G496" s="18" t="s">
        <v>2943</v>
      </c>
      <c r="H496" s="18" t="s">
        <v>270</v>
      </c>
    </row>
    <row r="497" spans="1:8">
      <c r="A497" s="18" t="s">
        <v>27</v>
      </c>
      <c r="B497" s="18" t="s">
        <v>72</v>
      </c>
      <c r="C497" s="18" t="s">
        <v>3023</v>
      </c>
      <c r="D497" s="22">
        <v>545508</v>
      </c>
      <c r="E497" s="22">
        <v>545508</v>
      </c>
      <c r="F497" s="22">
        <v>0</v>
      </c>
      <c r="G497" s="18" t="s">
        <v>2943</v>
      </c>
      <c r="H497" s="18" t="s">
        <v>270</v>
      </c>
    </row>
    <row r="498" spans="1:8">
      <c r="A498" s="18" t="s">
        <v>27</v>
      </c>
      <c r="B498" s="18" t="s">
        <v>72</v>
      </c>
      <c r="C498" s="18" t="s">
        <v>2962</v>
      </c>
      <c r="D498" s="22">
        <v>139165727</v>
      </c>
      <c r="E498" s="22">
        <v>139165728</v>
      </c>
      <c r="F498" s="22">
        <v>-1</v>
      </c>
      <c r="G498" s="18" t="s">
        <v>2949</v>
      </c>
      <c r="H498" s="18" t="s">
        <v>3030</v>
      </c>
    </row>
    <row r="499" spans="1:8">
      <c r="A499" s="18" t="s">
        <v>27</v>
      </c>
      <c r="B499" s="18" t="s">
        <v>72</v>
      </c>
      <c r="C499" s="18" t="s">
        <v>2964</v>
      </c>
      <c r="D499" s="22">
        <v>137965381</v>
      </c>
      <c r="E499" s="22">
        <v>137965381</v>
      </c>
      <c r="F499" s="22">
        <v>0</v>
      </c>
      <c r="G499" s="18" t="s">
        <v>2943</v>
      </c>
      <c r="H499" s="18" t="s">
        <v>3030</v>
      </c>
    </row>
    <row r="500" spans="1:8">
      <c r="A500" s="18" t="s">
        <v>27</v>
      </c>
      <c r="B500" s="18" t="s">
        <v>72</v>
      </c>
      <c r="C500" s="18" t="s">
        <v>2965</v>
      </c>
      <c r="D500" s="22">
        <v>1200346</v>
      </c>
      <c r="E500" s="22">
        <v>1200347</v>
      </c>
      <c r="F500" s="22">
        <v>-1</v>
      </c>
      <c r="G500" s="18" t="s">
        <v>2949</v>
      </c>
      <c r="H500" s="18" t="s">
        <v>3030</v>
      </c>
    </row>
    <row r="501" spans="1:8">
      <c r="A501" s="18" t="s">
        <v>27</v>
      </c>
      <c r="B501" s="18" t="s">
        <v>72</v>
      </c>
      <c r="C501" s="18" t="s">
        <v>2966</v>
      </c>
      <c r="D501" s="22">
        <v>135731325</v>
      </c>
      <c r="E501" s="22">
        <v>135731325</v>
      </c>
      <c r="F501" s="22">
        <v>0</v>
      </c>
      <c r="G501" s="18" t="s">
        <v>2943</v>
      </c>
      <c r="H501" s="18" t="s">
        <v>3030</v>
      </c>
    </row>
    <row r="502" spans="1:8">
      <c r="A502" s="18" t="s">
        <v>27</v>
      </c>
      <c r="B502" s="18" t="s">
        <v>72</v>
      </c>
      <c r="C502" s="18" t="s">
        <v>2968</v>
      </c>
      <c r="D502" s="22">
        <v>2234056</v>
      </c>
      <c r="E502" s="22">
        <v>2234056</v>
      </c>
      <c r="F502" s="22">
        <v>0</v>
      </c>
      <c r="G502" s="18" t="s">
        <v>2943</v>
      </c>
      <c r="H502" s="18" t="s">
        <v>3030</v>
      </c>
    </row>
    <row r="503" spans="1:8">
      <c r="A503" s="18" t="s">
        <v>27</v>
      </c>
      <c r="B503" s="18" t="s">
        <v>72</v>
      </c>
      <c r="C503" s="18" t="s">
        <v>2979</v>
      </c>
      <c r="D503" s="22">
        <v>0</v>
      </c>
      <c r="E503" s="22">
        <v>0</v>
      </c>
      <c r="F503" s="22">
        <v>0</v>
      </c>
      <c r="G503" s="18" t="s">
        <v>2943</v>
      </c>
      <c r="H503" s="18" t="s">
        <v>3030</v>
      </c>
    </row>
    <row r="504" spans="1:8">
      <c r="A504" s="18" t="s">
        <v>27</v>
      </c>
      <c r="B504" s="18" t="s">
        <v>72</v>
      </c>
      <c r="C504" s="18" t="s">
        <v>2969</v>
      </c>
      <c r="D504" s="22">
        <v>3434403</v>
      </c>
      <c r="E504" s="22">
        <v>3434403</v>
      </c>
      <c r="F504" s="22">
        <v>0</v>
      </c>
      <c r="G504" s="18" t="s">
        <v>2943</v>
      </c>
      <c r="H504" s="18" t="s">
        <v>3031</v>
      </c>
    </row>
    <row r="505" spans="1:8">
      <c r="A505" s="18" t="s">
        <v>27</v>
      </c>
      <c r="B505" s="18" t="s">
        <v>72</v>
      </c>
      <c r="C505" s="18" t="s">
        <v>2971</v>
      </c>
      <c r="D505" s="22">
        <v>110056</v>
      </c>
      <c r="E505" s="22">
        <v>110056</v>
      </c>
      <c r="F505" s="22">
        <v>0</v>
      </c>
      <c r="G505" s="18" t="s">
        <v>2943</v>
      </c>
      <c r="H505" s="18" t="s">
        <v>3031</v>
      </c>
    </row>
    <row r="506" spans="1:8">
      <c r="A506" s="18" t="s">
        <v>27</v>
      </c>
      <c r="B506" s="18" t="s">
        <v>72</v>
      </c>
      <c r="C506" s="18" t="s">
        <v>2972</v>
      </c>
      <c r="D506" s="22">
        <v>3434402</v>
      </c>
      <c r="E506" s="22">
        <v>3434403</v>
      </c>
      <c r="F506" s="22">
        <v>-1</v>
      </c>
      <c r="G506" s="18" t="s">
        <v>2949</v>
      </c>
      <c r="H506" s="18" t="s">
        <v>3032</v>
      </c>
    </row>
    <row r="507" spans="1:8">
      <c r="A507" s="18" t="s">
        <v>27</v>
      </c>
      <c r="B507" s="18" t="s">
        <v>72</v>
      </c>
      <c r="C507" s="18" t="s">
        <v>2975</v>
      </c>
      <c r="D507" s="22">
        <v>110056</v>
      </c>
      <c r="E507" s="22">
        <v>110056</v>
      </c>
      <c r="F507" s="22">
        <v>0</v>
      </c>
      <c r="G507" s="18" t="s">
        <v>2943</v>
      </c>
      <c r="H507" s="18" t="s">
        <v>3032</v>
      </c>
    </row>
    <row r="508" spans="1:8">
      <c r="A508" s="18" t="s">
        <v>27</v>
      </c>
      <c r="B508" s="18" t="s">
        <v>72</v>
      </c>
      <c r="C508" s="18" t="s">
        <v>2976</v>
      </c>
      <c r="D508" s="22">
        <v>3434403</v>
      </c>
      <c r="E508" s="22">
        <v>3434403</v>
      </c>
      <c r="F508" s="22">
        <v>0</v>
      </c>
      <c r="G508" s="18" t="s">
        <v>2943</v>
      </c>
      <c r="H508" s="18" t="s">
        <v>3032</v>
      </c>
    </row>
    <row r="509" spans="1:8">
      <c r="A509" s="18" t="s">
        <v>27</v>
      </c>
      <c r="B509" s="18" t="s">
        <v>72</v>
      </c>
      <c r="C509" s="18" t="s">
        <v>2977</v>
      </c>
      <c r="D509" s="22">
        <v>110056</v>
      </c>
      <c r="E509" s="22">
        <v>110056</v>
      </c>
      <c r="F509" s="22">
        <v>0</v>
      </c>
      <c r="G509" s="18" t="s">
        <v>2943</v>
      </c>
      <c r="H509" s="18" t="s">
        <v>3032</v>
      </c>
    </row>
    <row r="510" spans="1:8">
      <c r="A510" s="18" t="s">
        <v>27</v>
      </c>
      <c r="B510" s="18" t="s">
        <v>77</v>
      </c>
      <c r="C510" s="18" t="s">
        <v>2942</v>
      </c>
      <c r="D510" s="22">
        <v>1988871</v>
      </c>
      <c r="E510" s="22">
        <v>1988872</v>
      </c>
      <c r="F510" s="22">
        <v>-1</v>
      </c>
      <c r="G510" s="18" t="s">
        <v>2949</v>
      </c>
      <c r="H510" s="18" t="s">
        <v>128</v>
      </c>
    </row>
    <row r="511" spans="1:8">
      <c r="A511" s="18" t="s">
        <v>27</v>
      </c>
      <c r="B511" s="18" t="s">
        <v>77</v>
      </c>
      <c r="C511" s="18" t="s">
        <v>2944</v>
      </c>
      <c r="D511" s="22">
        <v>-9373</v>
      </c>
      <c r="E511" s="22">
        <v>-9373</v>
      </c>
      <c r="F511" s="22">
        <v>0</v>
      </c>
      <c r="G511" s="18" t="s">
        <v>2943</v>
      </c>
      <c r="H511" s="18" t="s">
        <v>128</v>
      </c>
    </row>
    <row r="512" spans="1:8">
      <c r="A512" s="18" t="s">
        <v>27</v>
      </c>
      <c r="B512" s="18" t="s">
        <v>77</v>
      </c>
      <c r="C512" s="18" t="s">
        <v>2945</v>
      </c>
      <c r="D512" s="22">
        <v>15827152</v>
      </c>
      <c r="E512" s="22">
        <v>15827152</v>
      </c>
      <c r="F512" s="22">
        <v>0</v>
      </c>
      <c r="G512" s="18" t="s">
        <v>2943</v>
      </c>
      <c r="H512" s="18" t="s">
        <v>129</v>
      </c>
    </row>
    <row r="513" spans="1:8">
      <c r="A513" s="18" t="s">
        <v>27</v>
      </c>
      <c r="B513" s="18" t="s">
        <v>77</v>
      </c>
      <c r="C513" s="18" t="s">
        <v>2946</v>
      </c>
      <c r="D513" s="22">
        <v>47518</v>
      </c>
      <c r="E513" s="22">
        <v>47517</v>
      </c>
      <c r="F513" s="22">
        <v>1</v>
      </c>
      <c r="G513" s="18" t="s">
        <v>2949</v>
      </c>
      <c r="H513" s="18" t="s">
        <v>129</v>
      </c>
    </row>
    <row r="514" spans="1:8">
      <c r="A514" s="18" t="s">
        <v>27</v>
      </c>
      <c r="B514" s="18" t="s">
        <v>77</v>
      </c>
      <c r="C514" s="18" t="s">
        <v>2947</v>
      </c>
      <c r="D514" s="22">
        <v>14103627</v>
      </c>
      <c r="E514" s="22">
        <v>14103627</v>
      </c>
      <c r="F514" s="22">
        <v>0</v>
      </c>
      <c r="G514" s="18" t="s">
        <v>2943</v>
      </c>
      <c r="H514" s="18" t="s">
        <v>130</v>
      </c>
    </row>
    <row r="515" spans="1:8">
      <c r="A515" s="18" t="s">
        <v>27</v>
      </c>
      <c r="B515" s="18" t="s">
        <v>77</v>
      </c>
      <c r="C515" s="18" t="s">
        <v>2948</v>
      </c>
      <c r="D515" s="22">
        <v>503989</v>
      </c>
      <c r="E515" s="22">
        <v>503988</v>
      </c>
      <c r="F515" s="22">
        <v>1</v>
      </c>
      <c r="G515" s="18" t="s">
        <v>2949</v>
      </c>
      <c r="H515" s="18" t="s">
        <v>130</v>
      </c>
    </row>
    <row r="516" spans="1:8">
      <c r="A516" s="18" t="s">
        <v>27</v>
      </c>
      <c r="B516" s="18" t="s">
        <v>77</v>
      </c>
      <c r="C516" s="18" t="s">
        <v>2956</v>
      </c>
      <c r="D516" s="22">
        <v>4048165</v>
      </c>
      <c r="E516" s="22">
        <v>4048164</v>
      </c>
      <c r="F516" s="22">
        <v>1</v>
      </c>
      <c r="G516" s="18" t="s">
        <v>2949</v>
      </c>
      <c r="H516" s="18" t="s">
        <v>271</v>
      </c>
    </row>
    <row r="517" spans="1:8">
      <c r="A517" s="18" t="s">
        <v>27</v>
      </c>
      <c r="B517" s="18" t="s">
        <v>77</v>
      </c>
      <c r="C517" s="18" t="s">
        <v>2957</v>
      </c>
      <c r="D517" s="22">
        <v>12302</v>
      </c>
      <c r="E517" s="22">
        <v>12302</v>
      </c>
      <c r="F517" s="22">
        <v>0</v>
      </c>
      <c r="G517" s="18" t="s">
        <v>2943</v>
      </c>
      <c r="H517" s="18" t="s">
        <v>271</v>
      </c>
    </row>
    <row r="518" spans="1:8">
      <c r="A518" s="18" t="s">
        <v>27</v>
      </c>
      <c r="B518" s="18" t="s">
        <v>77</v>
      </c>
      <c r="C518" s="18" t="s">
        <v>2958</v>
      </c>
      <c r="D518" s="22">
        <v>3628953</v>
      </c>
      <c r="E518" s="22">
        <v>3628953</v>
      </c>
      <c r="F518" s="22">
        <v>0</v>
      </c>
      <c r="G518" s="18" t="s">
        <v>2943</v>
      </c>
      <c r="H518" s="18" t="s">
        <v>272</v>
      </c>
    </row>
    <row r="519" spans="1:8">
      <c r="A519" s="18" t="s">
        <v>27</v>
      </c>
      <c r="B519" s="18" t="s">
        <v>77</v>
      </c>
      <c r="C519" s="18" t="s">
        <v>2959</v>
      </c>
      <c r="D519" s="22">
        <v>21722</v>
      </c>
      <c r="E519" s="22">
        <v>21723</v>
      </c>
      <c r="F519" s="22">
        <v>-1</v>
      </c>
      <c r="G519" s="18" t="s">
        <v>2949</v>
      </c>
      <c r="H519" s="18" t="s">
        <v>272</v>
      </c>
    </row>
    <row r="520" spans="1:8">
      <c r="A520" s="18" t="s">
        <v>27</v>
      </c>
      <c r="B520" s="18" t="s">
        <v>77</v>
      </c>
      <c r="C520" s="18" t="s">
        <v>2960</v>
      </c>
      <c r="D520" s="22">
        <v>2512855</v>
      </c>
      <c r="E520" s="22">
        <v>2512855</v>
      </c>
      <c r="F520" s="22">
        <v>0</v>
      </c>
      <c r="G520" s="18" t="s">
        <v>2943</v>
      </c>
      <c r="H520" s="18" t="s">
        <v>273</v>
      </c>
    </row>
    <row r="521" spans="1:8">
      <c r="A521" s="18" t="s">
        <v>27</v>
      </c>
      <c r="B521" s="18" t="s">
        <v>77</v>
      </c>
      <c r="C521" s="18" t="s">
        <v>2961</v>
      </c>
      <c r="D521" s="22">
        <v>21463</v>
      </c>
      <c r="E521" s="22">
        <v>21464</v>
      </c>
      <c r="F521" s="22">
        <v>-1</v>
      </c>
      <c r="G521" s="18" t="s">
        <v>2949</v>
      </c>
      <c r="H521" s="18" t="s">
        <v>273</v>
      </c>
    </row>
    <row r="522" spans="1:8">
      <c r="A522" s="18" t="s">
        <v>27</v>
      </c>
      <c r="B522" s="18" t="s">
        <v>77</v>
      </c>
      <c r="C522" s="18" t="s">
        <v>3018</v>
      </c>
      <c r="D522" s="22">
        <v>1605669</v>
      </c>
      <c r="E522" s="22">
        <v>1605668</v>
      </c>
      <c r="F522" s="22">
        <v>1</v>
      </c>
      <c r="G522" s="18" t="s">
        <v>2949</v>
      </c>
      <c r="H522" s="18" t="s">
        <v>274</v>
      </c>
    </row>
    <row r="523" spans="1:8">
      <c r="A523" s="18" t="s">
        <v>27</v>
      </c>
      <c r="B523" s="18" t="s">
        <v>77</v>
      </c>
      <c r="C523" s="18" t="s">
        <v>3019</v>
      </c>
      <c r="D523" s="22">
        <v>44267</v>
      </c>
      <c r="E523" s="22">
        <v>44267</v>
      </c>
      <c r="F523" s="22">
        <v>0</v>
      </c>
      <c r="G523" s="18" t="s">
        <v>2943</v>
      </c>
      <c r="H523" s="18" t="s">
        <v>274</v>
      </c>
    </row>
    <row r="524" spans="1:8">
      <c r="A524" s="18" t="s">
        <v>27</v>
      </c>
      <c r="B524" s="18" t="s">
        <v>77</v>
      </c>
      <c r="C524" s="18" t="s">
        <v>3020</v>
      </c>
      <c r="D524" s="22">
        <v>1200177</v>
      </c>
      <c r="E524" s="22">
        <v>1200177</v>
      </c>
      <c r="F524" s="22">
        <v>0</v>
      </c>
      <c r="G524" s="18" t="s">
        <v>2943</v>
      </c>
      <c r="H524" s="18" t="s">
        <v>275</v>
      </c>
    </row>
    <row r="525" spans="1:8">
      <c r="A525" s="18" t="s">
        <v>27</v>
      </c>
      <c r="B525" s="18" t="s">
        <v>77</v>
      </c>
      <c r="C525" s="18" t="s">
        <v>3021</v>
      </c>
      <c r="D525" s="22">
        <v>34409</v>
      </c>
      <c r="E525" s="22">
        <v>34409</v>
      </c>
      <c r="F525" s="22">
        <v>0</v>
      </c>
      <c r="G525" s="18" t="s">
        <v>2943</v>
      </c>
      <c r="H525" s="18" t="s">
        <v>275</v>
      </c>
    </row>
    <row r="526" spans="1:8">
      <c r="A526" s="18" t="s">
        <v>27</v>
      </c>
      <c r="B526" s="18" t="s">
        <v>77</v>
      </c>
      <c r="C526" s="18" t="s">
        <v>3022</v>
      </c>
      <c r="D526" s="22">
        <v>969719</v>
      </c>
      <c r="E526" s="22">
        <v>969719</v>
      </c>
      <c r="F526" s="22">
        <v>0</v>
      </c>
      <c r="G526" s="18" t="s">
        <v>2943</v>
      </c>
      <c r="H526" s="18" t="s">
        <v>276</v>
      </c>
    </row>
    <row r="527" spans="1:8">
      <c r="A527" s="18" t="s">
        <v>27</v>
      </c>
      <c r="B527" s="18" t="s">
        <v>77</v>
      </c>
      <c r="C527" s="18" t="s">
        <v>3023</v>
      </c>
      <c r="D527" s="22">
        <v>31691</v>
      </c>
      <c r="E527" s="22">
        <v>31692</v>
      </c>
      <c r="F527" s="22">
        <v>-1</v>
      </c>
      <c r="G527" s="18" t="s">
        <v>2949</v>
      </c>
      <c r="H527" s="18" t="s">
        <v>276</v>
      </c>
    </row>
    <row r="528" spans="1:8">
      <c r="A528" s="18" t="s">
        <v>27</v>
      </c>
      <c r="B528" s="18" t="s">
        <v>77</v>
      </c>
      <c r="C528" s="18" t="s">
        <v>2962</v>
      </c>
      <c r="D528" s="22">
        <v>32461785</v>
      </c>
      <c r="E528" s="22">
        <v>32461784</v>
      </c>
      <c r="F528" s="22">
        <v>1</v>
      </c>
      <c r="G528" s="18" t="s">
        <v>2949</v>
      </c>
      <c r="H528" s="18" t="s">
        <v>3033</v>
      </c>
    </row>
    <row r="529" spans="1:8">
      <c r="A529" s="18" t="s">
        <v>27</v>
      </c>
      <c r="B529" s="18" t="s">
        <v>77</v>
      </c>
      <c r="C529" s="18" t="s">
        <v>2964</v>
      </c>
      <c r="D529" s="22">
        <v>31919651</v>
      </c>
      <c r="E529" s="22">
        <v>31919651</v>
      </c>
      <c r="F529" s="22">
        <v>0</v>
      </c>
      <c r="G529" s="18" t="s">
        <v>2943</v>
      </c>
      <c r="H529" s="18" t="s">
        <v>3033</v>
      </c>
    </row>
    <row r="530" spans="1:8">
      <c r="A530" s="18" t="s">
        <v>27</v>
      </c>
      <c r="B530" s="18" t="s">
        <v>77</v>
      </c>
      <c r="C530" s="18" t="s">
        <v>2965</v>
      </c>
      <c r="D530" s="22">
        <v>542132</v>
      </c>
      <c r="E530" s="22">
        <v>542133</v>
      </c>
      <c r="F530" s="22">
        <v>-1</v>
      </c>
      <c r="G530" s="18" t="s">
        <v>2949</v>
      </c>
      <c r="H530" s="18" t="s">
        <v>3033</v>
      </c>
    </row>
    <row r="531" spans="1:8">
      <c r="A531" s="18" t="s">
        <v>27</v>
      </c>
      <c r="B531" s="18" t="s">
        <v>77</v>
      </c>
      <c r="C531" s="18" t="s">
        <v>2966</v>
      </c>
      <c r="D531" s="22">
        <v>8132452</v>
      </c>
      <c r="E531" s="22">
        <v>8132453</v>
      </c>
      <c r="F531" s="22">
        <v>-1</v>
      </c>
      <c r="G531" s="18" t="s">
        <v>2949</v>
      </c>
      <c r="H531" s="18" t="s">
        <v>3033</v>
      </c>
    </row>
    <row r="532" spans="1:8">
      <c r="A532" s="18" t="s">
        <v>27</v>
      </c>
      <c r="B532" s="18" t="s">
        <v>77</v>
      </c>
      <c r="C532" s="18" t="s">
        <v>2968</v>
      </c>
      <c r="D532" s="22">
        <v>65460</v>
      </c>
      <c r="E532" s="22">
        <v>65461</v>
      </c>
      <c r="F532" s="22">
        <v>-1</v>
      </c>
      <c r="G532" s="18" t="s">
        <v>2949</v>
      </c>
      <c r="H532" s="18" t="s">
        <v>3033</v>
      </c>
    </row>
    <row r="533" spans="1:8">
      <c r="A533" s="18" t="s">
        <v>27</v>
      </c>
      <c r="B533" s="18" t="s">
        <v>77</v>
      </c>
      <c r="C533" s="18" t="s">
        <v>2979</v>
      </c>
      <c r="D533" s="22">
        <v>23721738</v>
      </c>
      <c r="E533" s="22">
        <v>23721737</v>
      </c>
      <c r="F533" s="22">
        <v>1</v>
      </c>
      <c r="G533" s="18" t="s">
        <v>2949</v>
      </c>
      <c r="H533" s="18" t="s">
        <v>3033</v>
      </c>
    </row>
    <row r="534" spans="1:8">
      <c r="A534" s="18" t="s">
        <v>27</v>
      </c>
      <c r="B534" s="18" t="s">
        <v>77</v>
      </c>
      <c r="C534" s="18" t="s">
        <v>2969</v>
      </c>
      <c r="D534" s="22">
        <v>558535</v>
      </c>
      <c r="E534" s="22">
        <v>558535</v>
      </c>
      <c r="F534" s="22">
        <v>0</v>
      </c>
      <c r="G534" s="18" t="s">
        <v>2943</v>
      </c>
      <c r="H534" s="18" t="s">
        <v>3034</v>
      </c>
    </row>
    <row r="535" spans="1:8">
      <c r="A535" s="18" t="s">
        <v>27</v>
      </c>
      <c r="B535" s="18" t="s">
        <v>77</v>
      </c>
      <c r="C535" s="18" t="s">
        <v>2971</v>
      </c>
      <c r="D535" s="22">
        <v>12709</v>
      </c>
      <c r="E535" s="22">
        <v>12709</v>
      </c>
      <c r="F535" s="22">
        <v>0</v>
      </c>
      <c r="G535" s="18" t="s">
        <v>2943</v>
      </c>
      <c r="H535" s="18" t="s">
        <v>3034</v>
      </c>
    </row>
    <row r="536" spans="1:8">
      <c r="A536" s="18" t="s">
        <v>27</v>
      </c>
      <c r="B536" s="18" t="s">
        <v>77</v>
      </c>
      <c r="C536" s="18" t="s">
        <v>2972</v>
      </c>
      <c r="D536" s="22">
        <v>558534</v>
      </c>
      <c r="E536" s="22">
        <v>558535</v>
      </c>
      <c r="F536" s="22">
        <v>-1</v>
      </c>
      <c r="G536" s="18" t="s">
        <v>2949</v>
      </c>
      <c r="H536" s="18" t="s">
        <v>877</v>
      </c>
    </row>
    <row r="537" spans="1:8">
      <c r="A537" s="18" t="s">
        <v>27</v>
      </c>
      <c r="B537" s="18" t="s">
        <v>77</v>
      </c>
      <c r="C537" s="18" t="s">
        <v>2975</v>
      </c>
      <c r="D537" s="22">
        <v>12709</v>
      </c>
      <c r="E537" s="22">
        <v>12709</v>
      </c>
      <c r="F537" s="22">
        <v>0</v>
      </c>
      <c r="G537" s="18" t="s">
        <v>2943</v>
      </c>
      <c r="H537" s="18" t="s">
        <v>877</v>
      </c>
    </row>
    <row r="538" spans="1:8">
      <c r="A538" s="18" t="s">
        <v>27</v>
      </c>
      <c r="B538" s="18" t="s">
        <v>77</v>
      </c>
      <c r="C538" s="18" t="s">
        <v>2976</v>
      </c>
      <c r="D538" s="22">
        <v>558535</v>
      </c>
      <c r="E538" s="22">
        <v>558535</v>
      </c>
      <c r="F538" s="22">
        <v>0</v>
      </c>
      <c r="G538" s="18" t="s">
        <v>2943</v>
      </c>
      <c r="H538" s="18" t="s">
        <v>877</v>
      </c>
    </row>
    <row r="539" spans="1:8">
      <c r="A539" s="18" t="s">
        <v>27</v>
      </c>
      <c r="B539" s="18" t="s">
        <v>77</v>
      </c>
      <c r="C539" s="18" t="s">
        <v>2977</v>
      </c>
      <c r="D539" s="22">
        <v>12709</v>
      </c>
      <c r="E539" s="22">
        <v>12709</v>
      </c>
      <c r="F539" s="22">
        <v>0</v>
      </c>
      <c r="G539" s="18" t="s">
        <v>2943</v>
      </c>
      <c r="H539" s="18" t="s">
        <v>877</v>
      </c>
    </row>
    <row r="540" spans="1:8">
      <c r="A540" s="18" t="s">
        <v>27</v>
      </c>
      <c r="B540" s="18" t="s">
        <v>82</v>
      </c>
      <c r="C540" s="18" t="s">
        <v>2942</v>
      </c>
      <c r="D540" s="22">
        <v>1921596</v>
      </c>
      <c r="E540" s="22">
        <v>1921597</v>
      </c>
      <c r="F540" s="22">
        <v>-1</v>
      </c>
      <c r="G540" s="18" t="s">
        <v>2949</v>
      </c>
      <c r="H540" s="18" t="s">
        <v>131</v>
      </c>
    </row>
    <row r="541" spans="1:8">
      <c r="A541" s="18" t="s">
        <v>27</v>
      </c>
      <c r="B541" s="18" t="s">
        <v>82</v>
      </c>
      <c r="C541" s="18" t="s">
        <v>2944</v>
      </c>
      <c r="D541" s="22">
        <v>326</v>
      </c>
      <c r="E541" s="22">
        <v>326</v>
      </c>
      <c r="F541" s="22">
        <v>0</v>
      </c>
      <c r="G541" s="18" t="s">
        <v>2943</v>
      </c>
      <c r="H541" s="18" t="s">
        <v>131</v>
      </c>
    </row>
    <row r="542" spans="1:8">
      <c r="A542" s="18" t="s">
        <v>27</v>
      </c>
      <c r="B542" s="18" t="s">
        <v>82</v>
      </c>
      <c r="C542" s="18" t="s">
        <v>2945</v>
      </c>
      <c r="D542" s="22">
        <v>1278172</v>
      </c>
      <c r="E542" s="22">
        <v>1278173</v>
      </c>
      <c r="F542" s="22">
        <v>-1</v>
      </c>
      <c r="G542" s="18" t="s">
        <v>2949</v>
      </c>
      <c r="H542" s="18" t="s">
        <v>132</v>
      </c>
    </row>
    <row r="543" spans="1:8">
      <c r="A543" s="18" t="s">
        <v>27</v>
      </c>
      <c r="B543" s="18" t="s">
        <v>82</v>
      </c>
      <c r="C543" s="18" t="s">
        <v>2946</v>
      </c>
      <c r="D543" s="22">
        <v>40021</v>
      </c>
      <c r="E543" s="22">
        <v>40022</v>
      </c>
      <c r="F543" s="22">
        <v>-1</v>
      </c>
      <c r="G543" s="18" t="s">
        <v>2949</v>
      </c>
      <c r="H543" s="18" t="s">
        <v>132</v>
      </c>
    </row>
    <row r="544" spans="1:8">
      <c r="A544" s="18" t="s">
        <v>27</v>
      </c>
      <c r="B544" s="18" t="s">
        <v>82</v>
      </c>
      <c r="C544" s="18" t="s">
        <v>2947</v>
      </c>
      <c r="D544" s="22">
        <v>875606</v>
      </c>
      <c r="E544" s="22">
        <v>875606</v>
      </c>
      <c r="F544" s="22">
        <v>0</v>
      </c>
      <c r="G544" s="18" t="s">
        <v>2943</v>
      </c>
      <c r="H544" s="18" t="s">
        <v>133</v>
      </c>
    </row>
    <row r="545" spans="1:8">
      <c r="A545" s="18" t="s">
        <v>27</v>
      </c>
      <c r="B545" s="18" t="s">
        <v>82</v>
      </c>
      <c r="C545" s="18" t="s">
        <v>2948</v>
      </c>
      <c r="D545" s="22">
        <v>825829</v>
      </c>
      <c r="E545" s="22">
        <v>825829</v>
      </c>
      <c r="F545" s="22">
        <v>0</v>
      </c>
      <c r="G545" s="18" t="s">
        <v>2943</v>
      </c>
      <c r="H545" s="18" t="s">
        <v>133</v>
      </c>
    </row>
    <row r="546" spans="1:8">
      <c r="A546" s="18" t="s">
        <v>27</v>
      </c>
      <c r="B546" s="18" t="s">
        <v>82</v>
      </c>
      <c r="C546" s="18" t="s">
        <v>2956</v>
      </c>
      <c r="D546" s="22">
        <v>81975</v>
      </c>
      <c r="E546" s="22">
        <v>81975</v>
      </c>
      <c r="F546" s="22">
        <v>0</v>
      </c>
      <c r="G546" s="18" t="s">
        <v>2943</v>
      </c>
      <c r="H546" s="18" t="s">
        <v>277</v>
      </c>
    </row>
    <row r="547" spans="1:8">
      <c r="A547" s="18" t="s">
        <v>27</v>
      </c>
      <c r="B547" s="18" t="s">
        <v>82</v>
      </c>
      <c r="C547" s="18" t="s">
        <v>2957</v>
      </c>
      <c r="D547" s="22">
        <v>21381</v>
      </c>
      <c r="E547" s="22">
        <v>21382</v>
      </c>
      <c r="F547" s="22">
        <v>-1</v>
      </c>
      <c r="G547" s="18" t="s">
        <v>2949</v>
      </c>
      <c r="H547" s="18" t="s">
        <v>277</v>
      </c>
    </row>
    <row r="548" spans="1:8">
      <c r="A548" s="18" t="s">
        <v>27</v>
      </c>
      <c r="B548" s="18" t="s">
        <v>82</v>
      </c>
      <c r="C548" s="18" t="s">
        <v>2958</v>
      </c>
      <c r="D548" s="22">
        <v>115345</v>
      </c>
      <c r="E548" s="22">
        <v>115345</v>
      </c>
      <c r="F548" s="22">
        <v>0</v>
      </c>
      <c r="G548" s="18" t="s">
        <v>2943</v>
      </c>
      <c r="H548" s="18" t="s">
        <v>278</v>
      </c>
    </row>
    <row r="549" spans="1:8">
      <c r="A549" s="18" t="s">
        <v>27</v>
      </c>
      <c r="B549" s="18" t="s">
        <v>82</v>
      </c>
      <c r="C549" s="18" t="s">
        <v>2959</v>
      </c>
      <c r="D549" s="22">
        <v>30432</v>
      </c>
      <c r="E549" s="22">
        <v>30432</v>
      </c>
      <c r="F549" s="22">
        <v>0</v>
      </c>
      <c r="G549" s="18" t="s">
        <v>2943</v>
      </c>
      <c r="H549" s="18" t="s">
        <v>278</v>
      </c>
    </row>
    <row r="550" spans="1:8">
      <c r="A550" s="18" t="s">
        <v>27</v>
      </c>
      <c r="B550" s="18" t="s">
        <v>82</v>
      </c>
      <c r="C550" s="18" t="s">
        <v>2960</v>
      </c>
      <c r="D550" s="22">
        <v>65153</v>
      </c>
      <c r="E550" s="22">
        <v>65153</v>
      </c>
      <c r="F550" s="22">
        <v>0</v>
      </c>
      <c r="G550" s="18" t="s">
        <v>2943</v>
      </c>
      <c r="H550" s="18" t="s">
        <v>279</v>
      </c>
    </row>
    <row r="551" spans="1:8">
      <c r="A551" s="18" t="s">
        <v>27</v>
      </c>
      <c r="B551" s="18" t="s">
        <v>82</v>
      </c>
      <c r="C551" s="18" t="s">
        <v>2961</v>
      </c>
      <c r="D551" s="22">
        <v>14776</v>
      </c>
      <c r="E551" s="22">
        <v>14776</v>
      </c>
      <c r="F551" s="22">
        <v>0</v>
      </c>
      <c r="G551" s="18" t="s">
        <v>2943</v>
      </c>
      <c r="H551" s="18" t="s">
        <v>279</v>
      </c>
    </row>
    <row r="552" spans="1:8">
      <c r="A552" s="18" t="s">
        <v>27</v>
      </c>
      <c r="B552" s="18" t="s">
        <v>82</v>
      </c>
      <c r="C552" s="18" t="s">
        <v>3018</v>
      </c>
      <c r="D552" s="22">
        <v>81998</v>
      </c>
      <c r="E552" s="22">
        <v>81998</v>
      </c>
      <c r="F552" s="22">
        <v>0</v>
      </c>
      <c r="G552" s="18" t="s">
        <v>2943</v>
      </c>
      <c r="H552" s="18" t="s">
        <v>280</v>
      </c>
    </row>
    <row r="553" spans="1:8">
      <c r="A553" s="18" t="s">
        <v>27</v>
      </c>
      <c r="B553" s="18" t="s">
        <v>82</v>
      </c>
      <c r="C553" s="18" t="s">
        <v>3019</v>
      </c>
      <c r="D553" s="22">
        <v>32843</v>
      </c>
      <c r="E553" s="22">
        <v>32843</v>
      </c>
      <c r="F553" s="22">
        <v>0</v>
      </c>
      <c r="G553" s="18" t="s">
        <v>2943</v>
      </c>
      <c r="H553" s="18" t="s">
        <v>280</v>
      </c>
    </row>
    <row r="554" spans="1:8">
      <c r="A554" s="18" t="s">
        <v>27</v>
      </c>
      <c r="B554" s="18" t="s">
        <v>82</v>
      </c>
      <c r="C554" s="18" t="s">
        <v>3020</v>
      </c>
      <c r="D554" s="22">
        <v>96026</v>
      </c>
      <c r="E554" s="22">
        <v>96026</v>
      </c>
      <c r="F554" s="22">
        <v>0</v>
      </c>
      <c r="G554" s="18" t="s">
        <v>2943</v>
      </c>
      <c r="H554" s="18" t="s">
        <v>281</v>
      </c>
    </row>
    <row r="555" spans="1:8">
      <c r="A555" s="18" t="s">
        <v>27</v>
      </c>
      <c r="B555" s="18" t="s">
        <v>82</v>
      </c>
      <c r="C555" s="18" t="s">
        <v>3021</v>
      </c>
      <c r="D555" s="22">
        <v>38190</v>
      </c>
      <c r="E555" s="22">
        <v>38190</v>
      </c>
      <c r="F555" s="22">
        <v>0</v>
      </c>
      <c r="G555" s="18" t="s">
        <v>2943</v>
      </c>
      <c r="H555" s="18" t="s">
        <v>281</v>
      </c>
    </row>
    <row r="556" spans="1:8">
      <c r="A556" s="18" t="s">
        <v>27</v>
      </c>
      <c r="B556" s="18" t="s">
        <v>82</v>
      </c>
      <c r="C556" s="18" t="s">
        <v>3022</v>
      </c>
      <c r="D556" s="22">
        <v>633</v>
      </c>
      <c r="E556" s="22">
        <v>633</v>
      </c>
      <c r="F556" s="22">
        <v>0</v>
      </c>
      <c r="G556" s="18" t="s">
        <v>2943</v>
      </c>
      <c r="H556" s="18" t="s">
        <v>282</v>
      </c>
    </row>
    <row r="557" spans="1:8">
      <c r="A557" s="18" t="s">
        <v>27</v>
      </c>
      <c r="B557" s="18" t="s">
        <v>82</v>
      </c>
      <c r="C557" s="18" t="s">
        <v>3023</v>
      </c>
      <c r="D557" s="22">
        <v>504536</v>
      </c>
      <c r="E557" s="22">
        <v>504536</v>
      </c>
      <c r="F557" s="22">
        <v>0</v>
      </c>
      <c r="G557" s="18" t="s">
        <v>2943</v>
      </c>
      <c r="H557" s="18" t="s">
        <v>282</v>
      </c>
    </row>
    <row r="558" spans="1:8">
      <c r="A558" s="18" t="s">
        <v>27</v>
      </c>
      <c r="B558" s="18" t="s">
        <v>82</v>
      </c>
      <c r="C558" s="18" t="s">
        <v>2962</v>
      </c>
      <c r="D558" s="22">
        <v>4941552</v>
      </c>
      <c r="E558" s="22">
        <v>4941553</v>
      </c>
      <c r="F558" s="22">
        <v>-1</v>
      </c>
      <c r="G558" s="18" t="s">
        <v>2949</v>
      </c>
      <c r="H558" s="18" t="s">
        <v>3035</v>
      </c>
    </row>
    <row r="559" spans="1:8">
      <c r="A559" s="18" t="s">
        <v>27</v>
      </c>
      <c r="B559" s="18" t="s">
        <v>82</v>
      </c>
      <c r="C559" s="18" t="s">
        <v>2964</v>
      </c>
      <c r="D559" s="22">
        <v>4075376</v>
      </c>
      <c r="E559" s="22">
        <v>4075376</v>
      </c>
      <c r="F559" s="22">
        <v>0</v>
      </c>
      <c r="G559" s="18" t="s">
        <v>2943</v>
      </c>
      <c r="H559" s="18" t="s">
        <v>3035</v>
      </c>
    </row>
    <row r="560" spans="1:8">
      <c r="A560" s="18" t="s">
        <v>27</v>
      </c>
      <c r="B560" s="18" t="s">
        <v>82</v>
      </c>
      <c r="C560" s="18" t="s">
        <v>2965</v>
      </c>
      <c r="D560" s="22">
        <v>866177</v>
      </c>
      <c r="E560" s="22">
        <v>866177</v>
      </c>
      <c r="F560" s="22">
        <v>0</v>
      </c>
      <c r="G560" s="18" t="s">
        <v>2943</v>
      </c>
      <c r="H560" s="18" t="s">
        <v>3035</v>
      </c>
    </row>
    <row r="561" spans="1:8">
      <c r="A561" s="18" t="s">
        <v>27</v>
      </c>
      <c r="B561" s="18" t="s">
        <v>82</v>
      </c>
      <c r="C561" s="18" t="s">
        <v>2966</v>
      </c>
      <c r="D561" s="22">
        <v>1661120</v>
      </c>
      <c r="E561" s="22">
        <v>1661121</v>
      </c>
      <c r="F561" s="22">
        <v>-1</v>
      </c>
      <c r="G561" s="18" t="s">
        <v>2949</v>
      </c>
      <c r="H561" s="18" t="s">
        <v>3035</v>
      </c>
    </row>
    <row r="562" spans="1:8">
      <c r="A562" s="18" t="s">
        <v>27</v>
      </c>
      <c r="B562" s="18" t="s">
        <v>82</v>
      </c>
      <c r="C562" s="18" t="s">
        <v>2968</v>
      </c>
      <c r="D562" s="22">
        <v>2110597</v>
      </c>
      <c r="E562" s="22">
        <v>2110597</v>
      </c>
      <c r="F562" s="22">
        <v>0</v>
      </c>
      <c r="G562" s="18" t="s">
        <v>2943</v>
      </c>
      <c r="H562" s="18" t="s">
        <v>3035</v>
      </c>
    </row>
    <row r="563" spans="1:8">
      <c r="A563" s="18" t="s">
        <v>27</v>
      </c>
      <c r="B563" s="18" t="s">
        <v>82</v>
      </c>
      <c r="C563" s="18" t="s">
        <v>2979</v>
      </c>
      <c r="D563" s="22">
        <v>303657</v>
      </c>
      <c r="E563" s="22">
        <v>303657</v>
      </c>
      <c r="F563" s="22">
        <v>0</v>
      </c>
      <c r="G563" s="18" t="s">
        <v>2943</v>
      </c>
      <c r="H563" s="18" t="s">
        <v>3035</v>
      </c>
    </row>
    <row r="564" spans="1:8">
      <c r="A564" s="18" t="s">
        <v>27</v>
      </c>
      <c r="B564" s="18" t="s">
        <v>82</v>
      </c>
      <c r="C564" s="18" t="s">
        <v>2969</v>
      </c>
      <c r="D564" s="22">
        <v>2976774</v>
      </c>
      <c r="E564" s="22">
        <v>2976774</v>
      </c>
      <c r="F564" s="22">
        <v>0</v>
      </c>
      <c r="G564" s="18" t="s">
        <v>2943</v>
      </c>
      <c r="H564" s="18" t="s">
        <v>3036</v>
      </c>
    </row>
    <row r="565" spans="1:8">
      <c r="A565" s="18" t="s">
        <v>27</v>
      </c>
      <c r="B565" s="18" t="s">
        <v>82</v>
      </c>
      <c r="C565" s="18" t="s">
        <v>2971</v>
      </c>
      <c r="D565" s="22">
        <v>996867</v>
      </c>
      <c r="E565" s="22">
        <v>996867</v>
      </c>
      <c r="F565" s="22">
        <v>0</v>
      </c>
      <c r="G565" s="18" t="s">
        <v>2943</v>
      </c>
      <c r="H565" s="18" t="s">
        <v>3036</v>
      </c>
    </row>
    <row r="566" spans="1:8">
      <c r="A566" s="18" t="s">
        <v>27</v>
      </c>
      <c r="B566" s="18" t="s">
        <v>82</v>
      </c>
      <c r="C566" s="18" t="s">
        <v>2972</v>
      </c>
      <c r="D566" s="22">
        <v>2976774</v>
      </c>
      <c r="E566" s="22">
        <v>2976774</v>
      </c>
      <c r="F566" s="22">
        <v>0</v>
      </c>
      <c r="G566" s="18" t="s">
        <v>2943</v>
      </c>
      <c r="H566" s="18" t="s">
        <v>879</v>
      </c>
    </row>
    <row r="567" spans="1:8">
      <c r="A567" s="18" t="s">
        <v>27</v>
      </c>
      <c r="B567" s="18" t="s">
        <v>82</v>
      </c>
      <c r="C567" s="18" t="s">
        <v>2975</v>
      </c>
      <c r="D567" s="22">
        <v>53697</v>
      </c>
      <c r="E567" s="22">
        <v>53697</v>
      </c>
      <c r="F567" s="22">
        <v>0</v>
      </c>
      <c r="G567" s="18" t="s">
        <v>2943</v>
      </c>
      <c r="H567" s="18" t="s">
        <v>879</v>
      </c>
    </row>
    <row r="568" spans="1:8">
      <c r="A568" s="18" t="s">
        <v>27</v>
      </c>
      <c r="B568" s="18" t="s">
        <v>82</v>
      </c>
      <c r="C568" s="18" t="s">
        <v>2976</v>
      </c>
      <c r="D568" s="22">
        <v>2976774</v>
      </c>
      <c r="E568" s="22">
        <v>2976774</v>
      </c>
      <c r="F568" s="22">
        <v>0</v>
      </c>
      <c r="G568" s="18" t="s">
        <v>2943</v>
      </c>
      <c r="H568" s="18" t="s">
        <v>879</v>
      </c>
    </row>
    <row r="569" spans="1:8">
      <c r="A569" s="18" t="s">
        <v>27</v>
      </c>
      <c r="B569" s="18" t="s">
        <v>82</v>
      </c>
      <c r="C569" s="18" t="s">
        <v>2977</v>
      </c>
      <c r="D569" s="22">
        <v>996867</v>
      </c>
      <c r="E569" s="22">
        <v>53697</v>
      </c>
      <c r="F569" s="22">
        <v>943170</v>
      </c>
      <c r="G569" s="18" t="s">
        <v>2996</v>
      </c>
      <c r="H569" s="18" t="s">
        <v>879</v>
      </c>
    </row>
    <row r="570" spans="1:8">
      <c r="A570" s="18" t="s">
        <v>27</v>
      </c>
      <c r="B570" s="18" t="s">
        <v>91</v>
      </c>
      <c r="C570" s="18" t="s">
        <v>2999</v>
      </c>
      <c r="D570" s="22">
        <v>1360.75</v>
      </c>
      <c r="E570" s="22">
        <v>1360.75</v>
      </c>
      <c r="F570" s="22">
        <v>0</v>
      </c>
      <c r="G570" s="18" t="s">
        <v>2943</v>
      </c>
      <c r="H570" s="18" t="s">
        <v>134</v>
      </c>
    </row>
    <row r="571" spans="1:8">
      <c r="A571" s="18" t="s">
        <v>27</v>
      </c>
      <c r="B571" s="18" t="s">
        <v>91</v>
      </c>
      <c r="C571" s="18" t="s">
        <v>3000</v>
      </c>
      <c r="D571" s="22">
        <v>0</v>
      </c>
      <c r="E571" s="22">
        <v>0</v>
      </c>
      <c r="F571" s="22">
        <v>0</v>
      </c>
      <c r="G571" s="18" t="s">
        <v>2943</v>
      </c>
      <c r="H571" s="18" t="s">
        <v>134</v>
      </c>
    </row>
    <row r="572" spans="1:8">
      <c r="A572" s="18" t="s">
        <v>27</v>
      </c>
      <c r="B572" s="18" t="s">
        <v>91</v>
      </c>
      <c r="C572" s="18" t="s">
        <v>3001</v>
      </c>
      <c r="D572" s="22">
        <v>707.71</v>
      </c>
      <c r="E572" s="22">
        <v>707.71</v>
      </c>
      <c r="F572" s="22">
        <v>0</v>
      </c>
      <c r="G572" s="18" t="s">
        <v>2943</v>
      </c>
      <c r="H572" s="18" t="s">
        <v>135</v>
      </c>
    </row>
    <row r="573" spans="1:8">
      <c r="A573" s="18" t="s">
        <v>27</v>
      </c>
      <c r="B573" s="18" t="s">
        <v>91</v>
      </c>
      <c r="C573" s="18" t="s">
        <v>3002</v>
      </c>
      <c r="D573" s="22">
        <v>0</v>
      </c>
      <c r="E573" s="22">
        <v>0</v>
      </c>
      <c r="F573" s="22">
        <v>0</v>
      </c>
      <c r="G573" s="18" t="s">
        <v>2943</v>
      </c>
      <c r="H573" s="18" t="s">
        <v>135</v>
      </c>
    </row>
    <row r="574" spans="1:8">
      <c r="A574" s="18" t="s">
        <v>27</v>
      </c>
      <c r="B574" s="18" t="s">
        <v>91</v>
      </c>
      <c r="C574" s="18" t="s">
        <v>2945</v>
      </c>
      <c r="D574" s="22">
        <v>979562.1399999998</v>
      </c>
      <c r="E574" s="22">
        <v>979562.1399999998</v>
      </c>
      <c r="F574" s="22">
        <v>0</v>
      </c>
      <c r="G574" s="18" t="s">
        <v>2943</v>
      </c>
      <c r="H574" s="18" t="s">
        <v>136</v>
      </c>
    </row>
    <row r="575" spans="1:8">
      <c r="A575" s="18" t="s">
        <v>27</v>
      </c>
      <c r="B575" s="18" t="s">
        <v>91</v>
      </c>
      <c r="C575" s="18" t="s">
        <v>2946</v>
      </c>
      <c r="D575" s="22">
        <v>2.328306436538696E-10</v>
      </c>
      <c r="E575" s="22">
        <v>0</v>
      </c>
      <c r="F575" s="22">
        <v>2.328306436538696E-10</v>
      </c>
      <c r="G575" s="18" t="s">
        <v>2943</v>
      </c>
      <c r="H575" s="18" t="s">
        <v>136</v>
      </c>
    </row>
    <row r="576" spans="1:8">
      <c r="A576" s="18" t="s">
        <v>27</v>
      </c>
      <c r="B576" s="18" t="s">
        <v>91</v>
      </c>
      <c r="C576" s="18" t="s">
        <v>2947</v>
      </c>
      <c r="D576" s="22">
        <v>1063708.010000001</v>
      </c>
      <c r="E576" s="22">
        <v>1063708.010000001</v>
      </c>
      <c r="F576" s="22">
        <v>0</v>
      </c>
      <c r="G576" s="18" t="s">
        <v>2943</v>
      </c>
      <c r="H576" s="18" t="s">
        <v>137</v>
      </c>
    </row>
    <row r="577" spans="1:8">
      <c r="A577" s="18" t="s">
        <v>27</v>
      </c>
      <c r="B577" s="18" t="s">
        <v>91</v>
      </c>
      <c r="C577" s="18" t="s">
        <v>2948</v>
      </c>
      <c r="D577" s="22">
        <v>16166.70999999926</v>
      </c>
      <c r="E577" s="22">
        <v>16166.70999999926</v>
      </c>
      <c r="F577" s="22">
        <v>0</v>
      </c>
      <c r="G577" s="18" t="s">
        <v>2943</v>
      </c>
      <c r="H577" s="18" t="s">
        <v>137</v>
      </c>
    </row>
    <row r="578" spans="1:8">
      <c r="A578" s="18" t="s">
        <v>27</v>
      </c>
      <c r="B578" s="18" t="s">
        <v>91</v>
      </c>
      <c r="C578" s="18" t="s">
        <v>2956</v>
      </c>
      <c r="D578" s="22">
        <v>112393.35</v>
      </c>
      <c r="E578" s="22">
        <v>112393.35</v>
      </c>
      <c r="F578" s="22">
        <v>0</v>
      </c>
      <c r="G578" s="18" t="s">
        <v>2943</v>
      </c>
      <c r="H578" s="18" t="s">
        <v>283</v>
      </c>
    </row>
    <row r="579" spans="1:8">
      <c r="A579" s="18" t="s">
        <v>27</v>
      </c>
      <c r="B579" s="18" t="s">
        <v>91</v>
      </c>
      <c r="C579" s="18" t="s">
        <v>2957</v>
      </c>
      <c r="D579" s="22">
        <v>1.455191522836685E-11</v>
      </c>
      <c r="E579" s="22">
        <v>0</v>
      </c>
      <c r="F579" s="22">
        <v>1.455191522836685E-11</v>
      </c>
      <c r="G579" s="18" t="s">
        <v>2943</v>
      </c>
      <c r="H579" s="18" t="s">
        <v>283</v>
      </c>
    </row>
    <row r="580" spans="1:8">
      <c r="A580" s="18" t="s">
        <v>27</v>
      </c>
      <c r="B580" s="18" t="s">
        <v>91</v>
      </c>
      <c r="C580" s="18" t="s">
        <v>2958</v>
      </c>
      <c r="D580" s="22">
        <v>169276.62</v>
      </c>
      <c r="E580" s="22">
        <v>169276.62</v>
      </c>
      <c r="F580" s="22">
        <v>0</v>
      </c>
      <c r="G580" s="18" t="s">
        <v>2943</v>
      </c>
      <c r="H580" s="18" t="s">
        <v>284</v>
      </c>
    </row>
    <row r="581" spans="1:8">
      <c r="A581" s="18" t="s">
        <v>27</v>
      </c>
      <c r="B581" s="18" t="s">
        <v>91</v>
      </c>
      <c r="C581" s="18" t="s">
        <v>2959</v>
      </c>
      <c r="D581" s="22">
        <v>-2.91038304567337E-11</v>
      </c>
      <c r="E581" s="22">
        <v>0</v>
      </c>
      <c r="F581" s="22">
        <v>-2.91038304567337E-11</v>
      </c>
      <c r="G581" s="18" t="s">
        <v>2943</v>
      </c>
      <c r="H581" s="18" t="s">
        <v>284</v>
      </c>
    </row>
    <row r="582" spans="1:8">
      <c r="A582" s="18" t="s">
        <v>27</v>
      </c>
      <c r="B582" s="18" t="s">
        <v>91</v>
      </c>
      <c r="C582" s="18" t="s">
        <v>2960</v>
      </c>
      <c r="D582" s="22">
        <v>89121.86999999997</v>
      </c>
      <c r="E582" s="22">
        <v>89121.86999999997</v>
      </c>
      <c r="F582" s="22">
        <v>0</v>
      </c>
      <c r="G582" s="18" t="s">
        <v>2943</v>
      </c>
      <c r="H582" s="18" t="s">
        <v>285</v>
      </c>
    </row>
    <row r="583" spans="1:8">
      <c r="A583" s="18" t="s">
        <v>27</v>
      </c>
      <c r="B583" s="18" t="s">
        <v>91</v>
      </c>
      <c r="C583" s="18" t="s">
        <v>2961</v>
      </c>
      <c r="D583" s="22">
        <v>1.01863406598568E-10</v>
      </c>
      <c r="E583" s="22">
        <v>0</v>
      </c>
      <c r="F583" s="22">
        <v>1.01863406598568E-10</v>
      </c>
      <c r="G583" s="18" t="s">
        <v>2943</v>
      </c>
      <c r="H583" s="18" t="s">
        <v>285</v>
      </c>
    </row>
    <row r="584" spans="1:8">
      <c r="A584" s="18" t="s">
        <v>27</v>
      </c>
      <c r="B584" s="18" t="s">
        <v>91</v>
      </c>
      <c r="C584" s="18" t="s">
        <v>3018</v>
      </c>
      <c r="D584" s="22">
        <v>74452.37999999992</v>
      </c>
      <c r="E584" s="22">
        <v>74452.37999999992</v>
      </c>
      <c r="F584" s="22">
        <v>0</v>
      </c>
      <c r="G584" s="18" t="s">
        <v>2943</v>
      </c>
      <c r="H584" s="18" t="s">
        <v>286</v>
      </c>
    </row>
    <row r="585" spans="1:8">
      <c r="A585" s="18" t="s">
        <v>27</v>
      </c>
      <c r="B585" s="18" t="s">
        <v>91</v>
      </c>
      <c r="C585" s="18" t="s">
        <v>3019</v>
      </c>
      <c r="D585" s="22">
        <v>7.275957614183426E-11</v>
      </c>
      <c r="E585" s="22">
        <v>0</v>
      </c>
      <c r="F585" s="22">
        <v>7.275957614183426E-11</v>
      </c>
      <c r="G585" s="18" t="s">
        <v>2943</v>
      </c>
      <c r="H585" s="18" t="s">
        <v>286</v>
      </c>
    </row>
    <row r="586" spans="1:8">
      <c r="A586" s="18" t="s">
        <v>27</v>
      </c>
      <c r="B586" s="18" t="s">
        <v>91</v>
      </c>
      <c r="C586" s="18" t="s">
        <v>3020</v>
      </c>
      <c r="D586" s="22">
        <v>79779.76000000001</v>
      </c>
      <c r="E586" s="22">
        <v>79779.76000000001</v>
      </c>
      <c r="F586" s="22">
        <v>0</v>
      </c>
      <c r="G586" s="18" t="s">
        <v>2943</v>
      </c>
      <c r="H586" s="18" t="s">
        <v>287</v>
      </c>
    </row>
    <row r="587" spans="1:8">
      <c r="A587" s="18" t="s">
        <v>27</v>
      </c>
      <c r="B587" s="18" t="s">
        <v>91</v>
      </c>
      <c r="C587" s="18" t="s">
        <v>3021</v>
      </c>
      <c r="D587" s="22">
        <v>645.8900000002759</v>
      </c>
      <c r="E587" s="22">
        <v>645.8900000002759</v>
      </c>
      <c r="F587" s="22">
        <v>0</v>
      </c>
      <c r="G587" s="18" t="s">
        <v>2943</v>
      </c>
      <c r="H587" s="18" t="s">
        <v>287</v>
      </c>
    </row>
    <row r="588" spans="1:8">
      <c r="A588" s="18" t="s">
        <v>27</v>
      </c>
      <c r="B588" s="18" t="s">
        <v>91</v>
      </c>
      <c r="C588" s="18" t="s">
        <v>3022</v>
      </c>
      <c r="D588" s="22">
        <v>39769.05999999999</v>
      </c>
      <c r="E588" s="22">
        <v>39769.05999999999</v>
      </c>
      <c r="F588" s="22">
        <v>0</v>
      </c>
      <c r="G588" s="18" t="s">
        <v>2943</v>
      </c>
      <c r="H588" s="18" t="s">
        <v>288</v>
      </c>
    </row>
    <row r="589" spans="1:8">
      <c r="A589" s="18" t="s">
        <v>27</v>
      </c>
      <c r="B589" s="18" t="s">
        <v>91</v>
      </c>
      <c r="C589" s="18" t="s">
        <v>3023</v>
      </c>
      <c r="D589" s="22">
        <v>15520.82000000002</v>
      </c>
      <c r="E589" s="22">
        <v>15520.82000000002</v>
      </c>
      <c r="F589" s="22">
        <v>0</v>
      </c>
      <c r="G589" s="18" t="s">
        <v>2943</v>
      </c>
      <c r="H589" s="18" t="s">
        <v>288</v>
      </c>
    </row>
    <row r="590" spans="1:8">
      <c r="A590" s="18" t="s">
        <v>27</v>
      </c>
      <c r="B590" s="18" t="s">
        <v>91</v>
      </c>
      <c r="C590" s="18" t="s">
        <v>2962</v>
      </c>
      <c r="D590" s="22">
        <v>2061505.32</v>
      </c>
      <c r="E590" s="22">
        <v>2061505.32</v>
      </c>
      <c r="F590" s="22">
        <v>2.328306436538696E-10</v>
      </c>
      <c r="G590" s="18" t="s">
        <v>2943</v>
      </c>
      <c r="H590" s="18" t="s">
        <v>3037</v>
      </c>
    </row>
    <row r="591" spans="1:8">
      <c r="A591" s="18" t="s">
        <v>27</v>
      </c>
      <c r="B591" s="18" t="s">
        <v>91</v>
      </c>
      <c r="C591" s="18" t="s">
        <v>2964</v>
      </c>
      <c r="D591" s="22">
        <v>2045338.610000001</v>
      </c>
      <c r="E591" s="22">
        <v>2045338.61</v>
      </c>
      <c r="F591" s="22">
        <v>2.328306436538696E-10</v>
      </c>
      <c r="G591" s="18" t="s">
        <v>2943</v>
      </c>
      <c r="H591" s="18" t="s">
        <v>3037</v>
      </c>
    </row>
    <row r="592" spans="1:8">
      <c r="A592" s="18" t="s">
        <v>27</v>
      </c>
      <c r="B592" s="18" t="s">
        <v>91</v>
      </c>
      <c r="C592" s="18" t="s">
        <v>2965</v>
      </c>
      <c r="D592" s="22">
        <v>16166.70999999926</v>
      </c>
      <c r="E592" s="22">
        <v>16166.70999999926</v>
      </c>
      <c r="F592" s="22">
        <v>0</v>
      </c>
      <c r="G592" s="18" t="s">
        <v>2943</v>
      </c>
      <c r="H592" s="18" t="s">
        <v>3037</v>
      </c>
    </row>
    <row r="593" spans="1:8">
      <c r="A593" s="18" t="s">
        <v>27</v>
      </c>
      <c r="B593" s="18" t="s">
        <v>91</v>
      </c>
      <c r="C593" s="18" t="s">
        <v>2966</v>
      </c>
      <c r="D593" s="22">
        <v>1705941.94</v>
      </c>
      <c r="E593" s="22">
        <v>1705941.94</v>
      </c>
      <c r="F593" s="22">
        <v>0</v>
      </c>
      <c r="G593" s="18" t="s">
        <v>2943</v>
      </c>
      <c r="H593" s="18" t="s">
        <v>3037</v>
      </c>
    </row>
    <row r="594" spans="1:8">
      <c r="A594" s="18" t="s">
        <v>27</v>
      </c>
      <c r="B594" s="18" t="s">
        <v>91</v>
      </c>
      <c r="C594" s="18" t="s">
        <v>2967</v>
      </c>
      <c r="D594" s="22">
        <v>0</v>
      </c>
      <c r="E594" s="22">
        <v>0</v>
      </c>
      <c r="F594" s="22">
        <v>0</v>
      </c>
      <c r="G594" s="18" t="s">
        <v>2943</v>
      </c>
      <c r="H594" s="18" t="s">
        <v>3037</v>
      </c>
    </row>
    <row r="595" spans="1:8">
      <c r="A595" s="18" t="s">
        <v>27</v>
      </c>
      <c r="B595" s="18" t="s">
        <v>91</v>
      </c>
      <c r="C595" s="18" t="s">
        <v>3004</v>
      </c>
      <c r="D595" s="22">
        <v>339396.67</v>
      </c>
      <c r="E595" s="22">
        <v>339396.67</v>
      </c>
      <c r="F595" s="22">
        <v>0</v>
      </c>
      <c r="G595" s="18" t="s">
        <v>2943</v>
      </c>
      <c r="H595" s="18" t="s">
        <v>3037</v>
      </c>
    </row>
    <row r="596" spans="1:8">
      <c r="A596" s="18" t="s">
        <v>27</v>
      </c>
      <c r="B596" s="18" t="s">
        <v>91</v>
      </c>
      <c r="C596" s="18" t="s">
        <v>2969</v>
      </c>
      <c r="D596" s="22">
        <v>16166.71</v>
      </c>
      <c r="E596" s="22">
        <v>16166.71</v>
      </c>
      <c r="F596" s="22">
        <v>0</v>
      </c>
      <c r="G596" s="18" t="s">
        <v>2943</v>
      </c>
      <c r="H596" s="18" t="s">
        <v>3038</v>
      </c>
    </row>
    <row r="597" spans="1:8">
      <c r="A597" s="18" t="s">
        <v>27</v>
      </c>
      <c r="B597" s="18" t="s">
        <v>91</v>
      </c>
      <c r="C597" s="18" t="s">
        <v>2971</v>
      </c>
      <c r="D597" s="22">
        <v>128</v>
      </c>
      <c r="E597" s="22">
        <v>128</v>
      </c>
      <c r="F597" s="22">
        <v>0</v>
      </c>
      <c r="G597" s="18" t="s">
        <v>2943</v>
      </c>
      <c r="H597" s="18" t="s">
        <v>3038</v>
      </c>
    </row>
    <row r="598" spans="1:8">
      <c r="A598" s="18" t="s">
        <v>27</v>
      </c>
      <c r="B598" s="18" t="s">
        <v>91</v>
      </c>
      <c r="C598" s="18" t="s">
        <v>2972</v>
      </c>
      <c r="D598" s="22">
        <v>16166.71</v>
      </c>
      <c r="E598" s="22">
        <v>16166.71</v>
      </c>
      <c r="F598" s="22">
        <v>0</v>
      </c>
      <c r="G598" s="18" t="s">
        <v>2943</v>
      </c>
      <c r="H598" s="18" t="s">
        <v>3039</v>
      </c>
    </row>
    <row r="599" spans="1:8">
      <c r="A599" s="18" t="s">
        <v>27</v>
      </c>
      <c r="B599" s="18" t="s">
        <v>91</v>
      </c>
      <c r="C599" s="18" t="s">
        <v>2975</v>
      </c>
      <c r="D599" s="22">
        <v>128</v>
      </c>
      <c r="E599" s="22">
        <v>128</v>
      </c>
      <c r="F599" s="22">
        <v>0</v>
      </c>
      <c r="G599" s="18" t="s">
        <v>2943</v>
      </c>
      <c r="H599" s="18" t="s">
        <v>3039</v>
      </c>
    </row>
    <row r="600" spans="1:8">
      <c r="A600" s="18" t="s">
        <v>27</v>
      </c>
      <c r="B600" s="18" t="s">
        <v>91</v>
      </c>
      <c r="C600" s="18" t="s">
        <v>2976</v>
      </c>
      <c r="D600" s="22">
        <v>16166.71</v>
      </c>
      <c r="E600" s="22">
        <v>16166.71</v>
      </c>
      <c r="F600" s="22">
        <v>3.637978807091713E-12</v>
      </c>
      <c r="G600" s="18" t="s">
        <v>2943</v>
      </c>
      <c r="H600" s="18" t="s">
        <v>3039</v>
      </c>
    </row>
    <row r="601" spans="1:8">
      <c r="A601" s="18" t="s">
        <v>27</v>
      </c>
      <c r="B601" s="18" t="s">
        <v>91</v>
      </c>
      <c r="C601" s="18" t="s">
        <v>2977</v>
      </c>
      <c r="D601" s="22">
        <v>128</v>
      </c>
      <c r="E601" s="22">
        <v>128</v>
      </c>
      <c r="F601" s="22">
        <v>0</v>
      </c>
      <c r="G601" s="18" t="s">
        <v>2943</v>
      </c>
      <c r="H601" s="18" t="s">
        <v>3039</v>
      </c>
    </row>
    <row r="602" spans="1:8">
      <c r="A602" s="18" t="s">
        <v>27</v>
      </c>
      <c r="B602" s="18" t="s">
        <v>99</v>
      </c>
      <c r="C602" s="18" t="s">
        <v>2999</v>
      </c>
      <c r="D602" s="22">
        <v>0</v>
      </c>
      <c r="E602" s="22">
        <v>0</v>
      </c>
      <c r="F602" s="22">
        <v>0</v>
      </c>
      <c r="G602" s="18" t="s">
        <v>2943</v>
      </c>
      <c r="H602" s="18" t="s">
        <v>138</v>
      </c>
    </row>
    <row r="603" spans="1:8">
      <c r="A603" s="18" t="s">
        <v>27</v>
      </c>
      <c r="B603" s="18" t="s">
        <v>99</v>
      </c>
      <c r="C603" s="18" t="s">
        <v>3000</v>
      </c>
      <c r="D603" s="22">
        <v>0</v>
      </c>
      <c r="E603" s="22">
        <v>0</v>
      </c>
      <c r="F603" s="22">
        <v>0</v>
      </c>
      <c r="G603" s="18" t="s">
        <v>2943</v>
      </c>
      <c r="H603" s="18" t="s">
        <v>138</v>
      </c>
    </row>
    <row r="604" spans="1:8">
      <c r="A604" s="18" t="s">
        <v>27</v>
      </c>
      <c r="B604" s="18" t="s">
        <v>99</v>
      </c>
      <c r="C604" s="18" t="s">
        <v>3001</v>
      </c>
      <c r="D604" s="22">
        <v>19392.95</v>
      </c>
      <c r="E604" s="22">
        <v>19392.95</v>
      </c>
      <c r="F604" s="22">
        <v>0</v>
      </c>
      <c r="G604" s="18" t="s">
        <v>2943</v>
      </c>
      <c r="H604" s="18" t="s">
        <v>139</v>
      </c>
    </row>
    <row r="605" spans="1:8">
      <c r="A605" s="18" t="s">
        <v>27</v>
      </c>
      <c r="B605" s="18" t="s">
        <v>99</v>
      </c>
      <c r="C605" s="18" t="s">
        <v>3002</v>
      </c>
      <c r="D605" s="22">
        <v>0</v>
      </c>
      <c r="E605" s="22">
        <v>0</v>
      </c>
      <c r="F605" s="22">
        <v>0</v>
      </c>
      <c r="G605" s="18" t="s">
        <v>2943</v>
      </c>
      <c r="H605" s="18" t="s">
        <v>139</v>
      </c>
    </row>
    <row r="606" spans="1:8">
      <c r="A606" s="18" t="s">
        <v>27</v>
      </c>
      <c r="B606" s="18" t="s">
        <v>99</v>
      </c>
      <c r="C606" s="18" t="s">
        <v>2945</v>
      </c>
      <c r="D606" s="22">
        <v>1208230.41</v>
      </c>
      <c r="E606" s="22">
        <v>1208230.41</v>
      </c>
      <c r="F606" s="22">
        <v>0</v>
      </c>
      <c r="G606" s="18" t="s">
        <v>2943</v>
      </c>
      <c r="H606" s="18" t="s">
        <v>140</v>
      </c>
    </row>
    <row r="607" spans="1:8">
      <c r="A607" s="18" t="s">
        <v>27</v>
      </c>
      <c r="B607" s="18" t="s">
        <v>99</v>
      </c>
      <c r="C607" s="18" t="s">
        <v>2946</v>
      </c>
      <c r="D607" s="22">
        <v>4.656612873077393E-10</v>
      </c>
      <c r="E607" s="22">
        <v>0</v>
      </c>
      <c r="F607" s="22">
        <v>4.656612873077393E-10</v>
      </c>
      <c r="G607" s="18" t="s">
        <v>2943</v>
      </c>
      <c r="H607" s="18" t="s">
        <v>140</v>
      </c>
    </row>
    <row r="608" spans="1:8">
      <c r="A608" s="18" t="s">
        <v>27</v>
      </c>
      <c r="B608" s="18" t="s">
        <v>99</v>
      </c>
      <c r="C608" s="18" t="s">
        <v>2947</v>
      </c>
      <c r="D608" s="22">
        <v>804858.5100000005</v>
      </c>
      <c r="E608" s="22">
        <v>804858.5100000005</v>
      </c>
      <c r="F608" s="22">
        <v>0</v>
      </c>
      <c r="G608" s="18" t="s">
        <v>2943</v>
      </c>
      <c r="H608" s="18" t="s">
        <v>141</v>
      </c>
    </row>
    <row r="609" spans="1:8">
      <c r="A609" s="18" t="s">
        <v>27</v>
      </c>
      <c r="B609" s="18" t="s">
        <v>99</v>
      </c>
      <c r="C609" s="18" t="s">
        <v>2948</v>
      </c>
      <c r="D609" s="22">
        <v>22084.0899999995</v>
      </c>
      <c r="E609" s="22">
        <v>22084.0899999995</v>
      </c>
      <c r="F609" s="22">
        <v>0</v>
      </c>
      <c r="G609" s="18" t="s">
        <v>2943</v>
      </c>
      <c r="H609" s="18" t="s">
        <v>141</v>
      </c>
    </row>
    <row r="610" spans="1:8">
      <c r="A610" s="18" t="s">
        <v>27</v>
      </c>
      <c r="B610" s="18" t="s">
        <v>99</v>
      </c>
      <c r="C610" s="18" t="s">
        <v>2956</v>
      </c>
      <c r="D610" s="22">
        <v>57580.00000000001</v>
      </c>
      <c r="E610" s="22">
        <v>57580.00000000001</v>
      </c>
      <c r="F610" s="22">
        <v>0</v>
      </c>
      <c r="G610" s="18" t="s">
        <v>2943</v>
      </c>
      <c r="H610" s="18" t="s">
        <v>289</v>
      </c>
    </row>
    <row r="611" spans="1:8">
      <c r="A611" s="18" t="s">
        <v>27</v>
      </c>
      <c r="B611" s="18" t="s">
        <v>99</v>
      </c>
      <c r="C611" s="18" t="s">
        <v>2957</v>
      </c>
      <c r="D611" s="22">
        <v>4050.930000000008</v>
      </c>
      <c r="E611" s="22">
        <v>4050.930000000008</v>
      </c>
      <c r="F611" s="22">
        <v>0</v>
      </c>
      <c r="G611" s="18" t="s">
        <v>2943</v>
      </c>
      <c r="H611" s="18" t="s">
        <v>289</v>
      </c>
    </row>
    <row r="612" spans="1:8">
      <c r="A612" s="18" t="s">
        <v>27</v>
      </c>
      <c r="B612" s="18" t="s">
        <v>99</v>
      </c>
      <c r="C612" s="18" t="s">
        <v>2958</v>
      </c>
      <c r="D612" s="22">
        <v>146993.71</v>
      </c>
      <c r="E612" s="22">
        <v>146993.71</v>
      </c>
      <c r="F612" s="22">
        <v>0</v>
      </c>
      <c r="G612" s="18" t="s">
        <v>2943</v>
      </c>
      <c r="H612" s="18" t="s">
        <v>290</v>
      </c>
    </row>
    <row r="613" spans="1:8">
      <c r="A613" s="18" t="s">
        <v>27</v>
      </c>
      <c r="B613" s="18" t="s">
        <v>99</v>
      </c>
      <c r="C613" s="18" t="s">
        <v>2959</v>
      </c>
      <c r="D613" s="22">
        <v>2.91038304567337E-11</v>
      </c>
      <c r="E613" s="22">
        <v>0</v>
      </c>
      <c r="F613" s="22">
        <v>2.91038304567337E-11</v>
      </c>
      <c r="G613" s="18" t="s">
        <v>2943</v>
      </c>
      <c r="H613" s="18" t="s">
        <v>290</v>
      </c>
    </row>
    <row r="614" spans="1:8">
      <c r="A614" s="18" t="s">
        <v>27</v>
      </c>
      <c r="B614" s="18" t="s">
        <v>99</v>
      </c>
      <c r="C614" s="18" t="s">
        <v>2960</v>
      </c>
      <c r="D614" s="22">
        <v>55560.72999999998</v>
      </c>
      <c r="E614" s="22">
        <v>55560.72999999998</v>
      </c>
      <c r="F614" s="22">
        <v>0</v>
      </c>
      <c r="G614" s="18" t="s">
        <v>2943</v>
      </c>
      <c r="H614" s="18" t="s">
        <v>291</v>
      </c>
    </row>
    <row r="615" spans="1:8">
      <c r="A615" s="18" t="s">
        <v>27</v>
      </c>
      <c r="B615" s="18" t="s">
        <v>99</v>
      </c>
      <c r="C615" s="18" t="s">
        <v>2961</v>
      </c>
      <c r="D615" s="22">
        <v>0</v>
      </c>
      <c r="E615" s="22">
        <v>0</v>
      </c>
      <c r="F615" s="22">
        <v>0</v>
      </c>
      <c r="G615" s="18" t="s">
        <v>2943</v>
      </c>
      <c r="H615" s="18" t="s">
        <v>291</v>
      </c>
    </row>
    <row r="616" spans="1:8">
      <c r="A616" s="18" t="s">
        <v>27</v>
      </c>
      <c r="B616" s="18" t="s">
        <v>99</v>
      </c>
      <c r="C616" s="18" t="s">
        <v>3018</v>
      </c>
      <c r="D616" s="22">
        <v>42542.56</v>
      </c>
      <c r="E616" s="22">
        <v>42542.56</v>
      </c>
      <c r="F616" s="22">
        <v>0</v>
      </c>
      <c r="G616" s="18" t="s">
        <v>2943</v>
      </c>
      <c r="H616" s="18" t="s">
        <v>292</v>
      </c>
    </row>
    <row r="617" spans="1:8">
      <c r="A617" s="18" t="s">
        <v>27</v>
      </c>
      <c r="B617" s="18" t="s">
        <v>99</v>
      </c>
      <c r="C617" s="18" t="s">
        <v>3019</v>
      </c>
      <c r="D617" s="22">
        <v>-2.91038304567337E-11</v>
      </c>
      <c r="E617" s="22">
        <v>0</v>
      </c>
      <c r="F617" s="22">
        <v>-2.91038304567337E-11</v>
      </c>
      <c r="G617" s="18" t="s">
        <v>2943</v>
      </c>
      <c r="H617" s="18" t="s">
        <v>292</v>
      </c>
    </row>
    <row r="618" spans="1:8">
      <c r="A618" s="18" t="s">
        <v>27</v>
      </c>
      <c r="B618" s="18" t="s">
        <v>99</v>
      </c>
      <c r="C618" s="18" t="s">
        <v>3020</v>
      </c>
      <c r="D618" s="22">
        <v>41328.15000000001</v>
      </c>
      <c r="E618" s="22">
        <v>41328.15000000001</v>
      </c>
      <c r="F618" s="22">
        <v>0</v>
      </c>
      <c r="G618" s="18" t="s">
        <v>2943</v>
      </c>
      <c r="H618" s="18" t="s">
        <v>293</v>
      </c>
    </row>
    <row r="619" spans="1:8">
      <c r="A619" s="18" t="s">
        <v>27</v>
      </c>
      <c r="B619" s="18" t="s">
        <v>99</v>
      </c>
      <c r="C619" s="18" t="s">
        <v>3021</v>
      </c>
      <c r="D619" s="22">
        <v>1746.190000000002</v>
      </c>
      <c r="E619" s="22">
        <v>1746.190000000002</v>
      </c>
      <c r="F619" s="22">
        <v>0</v>
      </c>
      <c r="G619" s="18" t="s">
        <v>2943</v>
      </c>
      <c r="H619" s="18" t="s">
        <v>293</v>
      </c>
    </row>
    <row r="620" spans="1:8">
      <c r="A620" s="18" t="s">
        <v>27</v>
      </c>
      <c r="B620" s="18" t="s">
        <v>99</v>
      </c>
      <c r="C620" s="18" t="s">
        <v>3022</v>
      </c>
      <c r="D620" s="22">
        <v>30016.54</v>
      </c>
      <c r="E620" s="22">
        <v>30016.54</v>
      </c>
      <c r="F620" s="22">
        <v>0</v>
      </c>
      <c r="G620" s="18" t="s">
        <v>2943</v>
      </c>
      <c r="H620" s="18" t="s">
        <v>294</v>
      </c>
    </row>
    <row r="621" spans="1:8">
      <c r="A621" s="18" t="s">
        <v>27</v>
      </c>
      <c r="B621" s="18" t="s">
        <v>99</v>
      </c>
      <c r="C621" s="18" t="s">
        <v>3023</v>
      </c>
      <c r="D621" s="22">
        <v>16286.97000000002</v>
      </c>
      <c r="E621" s="22">
        <v>16286.97000000002</v>
      </c>
      <c r="F621" s="22">
        <v>0</v>
      </c>
      <c r="G621" s="18" t="s">
        <v>2943</v>
      </c>
      <c r="H621" s="18" t="s">
        <v>294</v>
      </c>
    </row>
    <row r="622" spans="1:8">
      <c r="A622" s="18" t="s">
        <v>27</v>
      </c>
      <c r="B622" s="18" t="s">
        <v>99</v>
      </c>
      <c r="C622" s="18" t="s">
        <v>2962</v>
      </c>
      <c r="D622" s="22">
        <v>2054565.96</v>
      </c>
      <c r="E622" s="22">
        <v>2054565.96</v>
      </c>
      <c r="F622" s="22">
        <v>2.328306436538696E-10</v>
      </c>
      <c r="G622" s="18" t="s">
        <v>2943</v>
      </c>
      <c r="H622" s="18" t="s">
        <v>3040</v>
      </c>
    </row>
    <row r="623" spans="1:8">
      <c r="A623" s="18" t="s">
        <v>27</v>
      </c>
      <c r="B623" s="18" t="s">
        <v>99</v>
      </c>
      <c r="C623" s="18" t="s">
        <v>2964</v>
      </c>
      <c r="D623" s="22">
        <v>2032481.87</v>
      </c>
      <c r="E623" s="22">
        <v>2032481.87</v>
      </c>
      <c r="F623" s="22">
        <v>0</v>
      </c>
      <c r="G623" s="18" t="s">
        <v>2943</v>
      </c>
      <c r="H623" s="18" t="s">
        <v>3040</v>
      </c>
    </row>
    <row r="624" spans="1:8">
      <c r="A624" s="18" t="s">
        <v>27</v>
      </c>
      <c r="B624" s="18" t="s">
        <v>99</v>
      </c>
      <c r="C624" s="18" t="s">
        <v>2965</v>
      </c>
      <c r="D624" s="22">
        <v>22084.0899999995</v>
      </c>
      <c r="E624" s="22">
        <v>22084.0899999995</v>
      </c>
      <c r="F624" s="22">
        <v>0</v>
      </c>
      <c r="G624" s="18" t="s">
        <v>2943</v>
      </c>
      <c r="H624" s="18" t="s">
        <v>3040</v>
      </c>
    </row>
    <row r="625" spans="1:8">
      <c r="A625" s="18" t="s">
        <v>27</v>
      </c>
      <c r="B625" s="18" t="s">
        <v>99</v>
      </c>
      <c r="C625" s="18" t="s">
        <v>2966</v>
      </c>
      <c r="D625" s="22">
        <v>1149206.12</v>
      </c>
      <c r="E625" s="22">
        <v>1149206.120000001</v>
      </c>
      <c r="F625" s="22">
        <v>-2.328306436538696E-10</v>
      </c>
      <c r="G625" s="18" t="s">
        <v>2943</v>
      </c>
      <c r="H625" s="18" t="s">
        <v>3040</v>
      </c>
    </row>
    <row r="626" spans="1:8">
      <c r="A626" s="18" t="s">
        <v>27</v>
      </c>
      <c r="B626" s="18" t="s">
        <v>99</v>
      </c>
      <c r="C626" s="18" t="s">
        <v>2967</v>
      </c>
      <c r="D626" s="22">
        <v>0</v>
      </c>
      <c r="E626" s="22">
        <v>0</v>
      </c>
      <c r="F626" s="22">
        <v>0</v>
      </c>
      <c r="G626" s="18" t="s">
        <v>2943</v>
      </c>
      <c r="H626" s="18" t="s">
        <v>3040</v>
      </c>
    </row>
    <row r="627" spans="1:8">
      <c r="A627" s="18" t="s">
        <v>27</v>
      </c>
      <c r="B627" s="18" t="s">
        <v>99</v>
      </c>
      <c r="C627" s="18" t="s">
        <v>3004</v>
      </c>
      <c r="D627" s="22">
        <v>883275.7499999998</v>
      </c>
      <c r="E627" s="22">
        <v>883275.7499999998</v>
      </c>
      <c r="F627" s="22">
        <v>0</v>
      </c>
      <c r="G627" s="18" t="s">
        <v>2943</v>
      </c>
      <c r="H627" s="18" t="s">
        <v>3040</v>
      </c>
    </row>
    <row r="628" spans="1:8">
      <c r="A628" s="18" t="s">
        <v>27</v>
      </c>
      <c r="B628" s="18" t="s">
        <v>99</v>
      </c>
      <c r="C628" s="18" t="s">
        <v>2969</v>
      </c>
      <c r="D628" s="22">
        <v>22084.09</v>
      </c>
      <c r="E628" s="22">
        <v>22084.09</v>
      </c>
      <c r="F628" s="22">
        <v>0</v>
      </c>
      <c r="G628" s="18" t="s">
        <v>2943</v>
      </c>
      <c r="H628" s="18" t="s">
        <v>3041</v>
      </c>
    </row>
    <row r="629" spans="1:8">
      <c r="A629" s="18" t="s">
        <v>27</v>
      </c>
      <c r="B629" s="18" t="s">
        <v>99</v>
      </c>
      <c r="C629" s="18" t="s">
        <v>2971</v>
      </c>
      <c r="D629" s="22">
        <v>116</v>
      </c>
      <c r="E629" s="22">
        <v>116</v>
      </c>
      <c r="F629" s="22">
        <v>0</v>
      </c>
      <c r="G629" s="18" t="s">
        <v>2943</v>
      </c>
      <c r="H629" s="18" t="s">
        <v>3041</v>
      </c>
    </row>
    <row r="630" spans="1:8">
      <c r="A630" s="18" t="s">
        <v>27</v>
      </c>
      <c r="B630" s="18" t="s">
        <v>99</v>
      </c>
      <c r="C630" s="18" t="s">
        <v>2972</v>
      </c>
      <c r="D630" s="22">
        <v>22084.09000000001</v>
      </c>
      <c r="E630" s="22">
        <v>22084.09000000001</v>
      </c>
      <c r="F630" s="22">
        <v>0</v>
      </c>
      <c r="G630" s="18" t="s">
        <v>2943</v>
      </c>
      <c r="H630" s="18" t="s">
        <v>3042</v>
      </c>
    </row>
    <row r="631" spans="1:8">
      <c r="A631" s="18" t="s">
        <v>27</v>
      </c>
      <c r="B631" s="18" t="s">
        <v>99</v>
      </c>
      <c r="C631" s="18" t="s">
        <v>2975</v>
      </c>
      <c r="D631" s="22">
        <v>116</v>
      </c>
      <c r="E631" s="22">
        <v>116</v>
      </c>
      <c r="F631" s="22">
        <v>0</v>
      </c>
      <c r="G631" s="18" t="s">
        <v>2943</v>
      </c>
      <c r="H631" s="18" t="s">
        <v>3042</v>
      </c>
    </row>
    <row r="632" spans="1:8">
      <c r="A632" s="18" t="s">
        <v>27</v>
      </c>
      <c r="B632" s="18" t="s">
        <v>99</v>
      </c>
      <c r="C632" s="18" t="s">
        <v>2976</v>
      </c>
      <c r="D632" s="22">
        <v>22084.09</v>
      </c>
      <c r="E632" s="22">
        <v>22084.09000000001</v>
      </c>
      <c r="F632" s="22">
        <v>-7.275957614183426E-12</v>
      </c>
      <c r="G632" s="18" t="s">
        <v>2943</v>
      </c>
      <c r="H632" s="18" t="s">
        <v>3042</v>
      </c>
    </row>
    <row r="633" spans="1:8">
      <c r="A633" s="18" t="s">
        <v>27</v>
      </c>
      <c r="B633" s="18" t="s">
        <v>99</v>
      </c>
      <c r="C633" s="18" t="s">
        <v>2977</v>
      </c>
      <c r="D633" s="22">
        <v>116</v>
      </c>
      <c r="E633" s="22">
        <v>116</v>
      </c>
      <c r="F633" s="22">
        <v>0</v>
      </c>
      <c r="G633" s="18" t="s">
        <v>2943</v>
      </c>
      <c r="H633" s="18" t="s">
        <v>3042</v>
      </c>
    </row>
    <row r="634" spans="1:8">
      <c r="A634" s="18" t="s">
        <v>27</v>
      </c>
      <c r="B634" s="18" t="s">
        <v>105</v>
      </c>
      <c r="C634" s="18" t="s">
        <v>2999</v>
      </c>
      <c r="D634" s="22">
        <v>0</v>
      </c>
      <c r="E634" s="22">
        <v>0</v>
      </c>
      <c r="F634" s="22">
        <v>0</v>
      </c>
      <c r="G634" s="18" t="s">
        <v>2943</v>
      </c>
      <c r="H634" s="18" t="s">
        <v>142</v>
      </c>
    </row>
    <row r="635" spans="1:8">
      <c r="A635" s="18" t="s">
        <v>27</v>
      </c>
      <c r="B635" s="18" t="s">
        <v>105</v>
      </c>
      <c r="C635" s="18" t="s">
        <v>3000</v>
      </c>
      <c r="D635" s="22">
        <v>0</v>
      </c>
      <c r="E635" s="22">
        <v>0</v>
      </c>
      <c r="F635" s="22">
        <v>0</v>
      </c>
      <c r="G635" s="18" t="s">
        <v>2943</v>
      </c>
      <c r="H635" s="18" t="s">
        <v>142</v>
      </c>
    </row>
    <row r="636" spans="1:8">
      <c r="A636" s="18" t="s">
        <v>27</v>
      </c>
      <c r="B636" s="18" t="s">
        <v>105</v>
      </c>
      <c r="C636" s="18" t="s">
        <v>3001</v>
      </c>
      <c r="D636" s="22">
        <v>0</v>
      </c>
      <c r="E636" s="22">
        <v>0</v>
      </c>
      <c r="F636" s="22">
        <v>0</v>
      </c>
      <c r="G636" s="18" t="s">
        <v>2943</v>
      </c>
      <c r="H636" s="18" t="s">
        <v>143</v>
      </c>
    </row>
    <row r="637" spans="1:8">
      <c r="A637" s="18" t="s">
        <v>27</v>
      </c>
      <c r="B637" s="18" t="s">
        <v>105</v>
      </c>
      <c r="C637" s="18" t="s">
        <v>3002</v>
      </c>
      <c r="D637" s="22">
        <v>0</v>
      </c>
      <c r="E637" s="22">
        <v>0</v>
      </c>
      <c r="F637" s="22">
        <v>0</v>
      </c>
      <c r="G637" s="18" t="s">
        <v>2943</v>
      </c>
      <c r="H637" s="18" t="s">
        <v>143</v>
      </c>
    </row>
    <row r="638" spans="1:8">
      <c r="A638" s="18" t="s">
        <v>27</v>
      </c>
      <c r="B638" s="18" t="s">
        <v>105</v>
      </c>
      <c r="C638" s="18" t="s">
        <v>2945</v>
      </c>
      <c r="D638" s="22">
        <v>1598170.86</v>
      </c>
      <c r="E638" s="22">
        <v>1598170.86</v>
      </c>
      <c r="F638" s="22">
        <v>0</v>
      </c>
      <c r="G638" s="18" t="s">
        <v>2943</v>
      </c>
      <c r="H638" s="18" t="s">
        <v>144</v>
      </c>
    </row>
    <row r="639" spans="1:8">
      <c r="A639" s="18" t="s">
        <v>27</v>
      </c>
      <c r="B639" s="18" t="s">
        <v>105</v>
      </c>
      <c r="C639" s="18" t="s">
        <v>2946</v>
      </c>
      <c r="D639" s="22">
        <v>0</v>
      </c>
      <c r="E639" s="22">
        <v>0</v>
      </c>
      <c r="F639" s="22">
        <v>0</v>
      </c>
      <c r="G639" s="18" t="s">
        <v>2943</v>
      </c>
      <c r="H639" s="18" t="s">
        <v>144</v>
      </c>
    </row>
    <row r="640" spans="1:8">
      <c r="A640" s="18" t="s">
        <v>27</v>
      </c>
      <c r="B640" s="18" t="s">
        <v>105</v>
      </c>
      <c r="C640" s="18" t="s">
        <v>2947</v>
      </c>
      <c r="D640" s="22">
        <v>2359753.729999999</v>
      </c>
      <c r="E640" s="22">
        <v>2359753.729999999</v>
      </c>
      <c r="F640" s="22">
        <v>0</v>
      </c>
      <c r="G640" s="18" t="s">
        <v>2943</v>
      </c>
      <c r="H640" s="18" t="s">
        <v>145</v>
      </c>
    </row>
    <row r="641" spans="1:8">
      <c r="A641" s="18" t="s">
        <v>27</v>
      </c>
      <c r="B641" s="18" t="s">
        <v>105</v>
      </c>
      <c r="C641" s="18" t="s">
        <v>2948</v>
      </c>
      <c r="D641" s="22">
        <v>172626.620000001</v>
      </c>
      <c r="E641" s="22">
        <v>172626.620000001</v>
      </c>
      <c r="F641" s="22">
        <v>0</v>
      </c>
      <c r="G641" s="18" t="s">
        <v>2943</v>
      </c>
      <c r="H641" s="18" t="s">
        <v>145</v>
      </c>
    </row>
    <row r="642" spans="1:8">
      <c r="A642" s="18" t="s">
        <v>27</v>
      </c>
      <c r="B642" s="18" t="s">
        <v>105</v>
      </c>
      <c r="C642" s="18" t="s">
        <v>2956</v>
      </c>
      <c r="D642" s="22">
        <v>384406.8300000003</v>
      </c>
      <c r="E642" s="22">
        <v>384406.8300000003</v>
      </c>
      <c r="F642" s="22">
        <v>0</v>
      </c>
      <c r="G642" s="18" t="s">
        <v>2943</v>
      </c>
      <c r="H642" s="18" t="s">
        <v>295</v>
      </c>
    </row>
    <row r="643" spans="1:8">
      <c r="A643" s="18" t="s">
        <v>27</v>
      </c>
      <c r="B643" s="18" t="s">
        <v>105</v>
      </c>
      <c r="C643" s="18" t="s">
        <v>2957</v>
      </c>
      <c r="D643" s="22">
        <v>-2.328306436538696E-10</v>
      </c>
      <c r="E643" s="22">
        <v>0</v>
      </c>
      <c r="F643" s="22">
        <v>-2.328306436538696E-10</v>
      </c>
      <c r="G643" s="18" t="s">
        <v>2943</v>
      </c>
      <c r="H643" s="18" t="s">
        <v>295</v>
      </c>
    </row>
    <row r="644" spans="1:8">
      <c r="A644" s="18" t="s">
        <v>27</v>
      </c>
      <c r="B644" s="18" t="s">
        <v>105</v>
      </c>
      <c r="C644" s="18" t="s">
        <v>2958</v>
      </c>
      <c r="D644" s="22">
        <v>136046.7799999999</v>
      </c>
      <c r="E644" s="22">
        <v>136046.7799999999</v>
      </c>
      <c r="F644" s="22">
        <v>0</v>
      </c>
      <c r="G644" s="18" t="s">
        <v>2943</v>
      </c>
      <c r="H644" s="18" t="s">
        <v>296</v>
      </c>
    </row>
    <row r="645" spans="1:8">
      <c r="A645" s="18" t="s">
        <v>27</v>
      </c>
      <c r="B645" s="18" t="s">
        <v>105</v>
      </c>
      <c r="C645" s="18" t="s">
        <v>2959</v>
      </c>
      <c r="D645" s="22">
        <v>3370.850000000006</v>
      </c>
      <c r="E645" s="22">
        <v>3370.850000000006</v>
      </c>
      <c r="F645" s="22">
        <v>0</v>
      </c>
      <c r="G645" s="18" t="s">
        <v>2943</v>
      </c>
      <c r="H645" s="18" t="s">
        <v>296</v>
      </c>
    </row>
    <row r="646" spans="1:8">
      <c r="A646" s="18" t="s">
        <v>27</v>
      </c>
      <c r="B646" s="18" t="s">
        <v>105</v>
      </c>
      <c r="C646" s="18" t="s">
        <v>2960</v>
      </c>
      <c r="D646" s="22">
        <v>230876.3499999998</v>
      </c>
      <c r="E646" s="22">
        <v>230876.3499999998</v>
      </c>
      <c r="F646" s="22">
        <v>0</v>
      </c>
      <c r="G646" s="18" t="s">
        <v>2943</v>
      </c>
      <c r="H646" s="18" t="s">
        <v>297</v>
      </c>
    </row>
    <row r="647" spans="1:8">
      <c r="A647" s="18" t="s">
        <v>27</v>
      </c>
      <c r="B647" s="18" t="s">
        <v>105</v>
      </c>
      <c r="C647" s="18" t="s">
        <v>2961</v>
      </c>
      <c r="D647" s="22">
        <v>2249.690000000061</v>
      </c>
      <c r="E647" s="22">
        <v>2249.690000000061</v>
      </c>
      <c r="F647" s="22">
        <v>0</v>
      </c>
      <c r="G647" s="18" t="s">
        <v>2943</v>
      </c>
      <c r="H647" s="18" t="s">
        <v>297</v>
      </c>
    </row>
    <row r="648" spans="1:8">
      <c r="A648" s="18" t="s">
        <v>27</v>
      </c>
      <c r="B648" s="18" t="s">
        <v>105</v>
      </c>
      <c r="C648" s="18" t="s">
        <v>3018</v>
      </c>
      <c r="D648" s="22">
        <v>246086.1600000002</v>
      </c>
      <c r="E648" s="22">
        <v>246086.1600000002</v>
      </c>
      <c r="F648" s="22">
        <v>0</v>
      </c>
      <c r="G648" s="18" t="s">
        <v>2943</v>
      </c>
      <c r="H648" s="18" t="s">
        <v>298</v>
      </c>
    </row>
    <row r="649" spans="1:8">
      <c r="A649" s="18" t="s">
        <v>27</v>
      </c>
      <c r="B649" s="18" t="s">
        <v>105</v>
      </c>
      <c r="C649" s="18" t="s">
        <v>3019</v>
      </c>
      <c r="D649" s="22">
        <v>4242.030000000057</v>
      </c>
      <c r="E649" s="22">
        <v>4242.030000000057</v>
      </c>
      <c r="F649" s="22">
        <v>0</v>
      </c>
      <c r="G649" s="18" t="s">
        <v>2943</v>
      </c>
      <c r="H649" s="18" t="s">
        <v>298</v>
      </c>
    </row>
    <row r="650" spans="1:8">
      <c r="A650" s="18" t="s">
        <v>27</v>
      </c>
      <c r="B650" s="18" t="s">
        <v>105</v>
      </c>
      <c r="C650" s="18" t="s">
        <v>3020</v>
      </c>
      <c r="D650" s="22">
        <v>122169.72</v>
      </c>
      <c r="E650" s="22">
        <v>122169.72</v>
      </c>
      <c r="F650" s="22">
        <v>0</v>
      </c>
      <c r="G650" s="18" t="s">
        <v>2943</v>
      </c>
      <c r="H650" s="18" t="s">
        <v>299</v>
      </c>
    </row>
    <row r="651" spans="1:8">
      <c r="A651" s="18" t="s">
        <v>27</v>
      </c>
      <c r="B651" s="18" t="s">
        <v>105</v>
      </c>
      <c r="C651" s="18" t="s">
        <v>3021</v>
      </c>
      <c r="D651" s="22">
        <v>3246.610000000001</v>
      </c>
      <c r="E651" s="22">
        <v>3246.610000000001</v>
      </c>
      <c r="F651" s="22">
        <v>0</v>
      </c>
      <c r="G651" s="18" t="s">
        <v>2943</v>
      </c>
      <c r="H651" s="18" t="s">
        <v>299</v>
      </c>
    </row>
    <row r="652" spans="1:8">
      <c r="A652" s="18" t="s">
        <v>27</v>
      </c>
      <c r="B652" s="18" t="s">
        <v>105</v>
      </c>
      <c r="C652" s="18" t="s">
        <v>3022</v>
      </c>
      <c r="D652" s="22">
        <v>151205.9699999998</v>
      </c>
      <c r="E652" s="22">
        <v>151205.9699999998</v>
      </c>
      <c r="F652" s="22">
        <v>0</v>
      </c>
      <c r="G652" s="18" t="s">
        <v>2943</v>
      </c>
      <c r="H652" s="18" t="s">
        <v>300</v>
      </c>
    </row>
    <row r="653" spans="1:8">
      <c r="A653" s="18" t="s">
        <v>27</v>
      </c>
      <c r="B653" s="18" t="s">
        <v>105</v>
      </c>
      <c r="C653" s="18" t="s">
        <v>3023</v>
      </c>
      <c r="D653" s="22">
        <v>159517.4400000001</v>
      </c>
      <c r="E653" s="22">
        <v>159517.4400000001</v>
      </c>
      <c r="F653" s="22">
        <v>0</v>
      </c>
      <c r="G653" s="18" t="s">
        <v>2943</v>
      </c>
      <c r="H653" s="18" t="s">
        <v>300</v>
      </c>
    </row>
    <row r="654" spans="1:8">
      <c r="A654" s="18" t="s">
        <v>27</v>
      </c>
      <c r="B654" s="18" t="s">
        <v>105</v>
      </c>
      <c r="C654" s="18" t="s">
        <v>2962</v>
      </c>
      <c r="D654" s="22">
        <v>4130551.21</v>
      </c>
      <c r="E654" s="22">
        <v>4130551.21</v>
      </c>
      <c r="F654" s="22">
        <v>0</v>
      </c>
      <c r="G654" s="18" t="s">
        <v>2943</v>
      </c>
      <c r="H654" s="18" t="s">
        <v>3043</v>
      </c>
    </row>
    <row r="655" spans="1:8">
      <c r="A655" s="18" t="s">
        <v>27</v>
      </c>
      <c r="B655" s="18" t="s">
        <v>105</v>
      </c>
      <c r="C655" s="18" t="s">
        <v>2964</v>
      </c>
      <c r="D655" s="22">
        <v>3957924.589999999</v>
      </c>
      <c r="E655" s="22">
        <v>3957924.589999999</v>
      </c>
      <c r="F655" s="22">
        <v>0</v>
      </c>
      <c r="G655" s="18" t="s">
        <v>2943</v>
      </c>
      <c r="H655" s="18" t="s">
        <v>3043</v>
      </c>
    </row>
    <row r="656" spans="1:8">
      <c r="A656" s="18" t="s">
        <v>27</v>
      </c>
      <c r="B656" s="18" t="s">
        <v>105</v>
      </c>
      <c r="C656" s="18" t="s">
        <v>2965</v>
      </c>
      <c r="D656" s="22">
        <v>172626.620000001</v>
      </c>
      <c r="E656" s="22">
        <v>172626.620000001</v>
      </c>
      <c r="F656" s="22">
        <v>0</v>
      </c>
      <c r="G656" s="18" t="s">
        <v>2943</v>
      </c>
      <c r="H656" s="18" t="s">
        <v>3043</v>
      </c>
    </row>
    <row r="657" spans="1:8">
      <c r="A657" s="18" t="s">
        <v>27</v>
      </c>
      <c r="B657" s="18" t="s">
        <v>105</v>
      </c>
      <c r="C657" s="18" t="s">
        <v>2966</v>
      </c>
      <c r="D657" s="22">
        <v>3324354.989999999</v>
      </c>
      <c r="E657" s="22">
        <v>3324354.989999999</v>
      </c>
      <c r="F657" s="22">
        <v>0</v>
      </c>
      <c r="G657" s="18" t="s">
        <v>2943</v>
      </c>
      <c r="H657" s="18" t="s">
        <v>3043</v>
      </c>
    </row>
    <row r="658" spans="1:8">
      <c r="A658" s="18" t="s">
        <v>27</v>
      </c>
      <c r="B658" s="18" t="s">
        <v>105</v>
      </c>
      <c r="C658" s="18" t="s">
        <v>2967</v>
      </c>
      <c r="D658" s="22">
        <v>0</v>
      </c>
      <c r="E658" s="22">
        <v>0</v>
      </c>
      <c r="F658" s="22">
        <v>0</v>
      </c>
      <c r="G658" s="18" t="s">
        <v>2943</v>
      </c>
      <c r="H658" s="18" t="s">
        <v>3043</v>
      </c>
    </row>
    <row r="659" spans="1:8">
      <c r="A659" s="18" t="s">
        <v>27</v>
      </c>
      <c r="B659" s="18" t="s">
        <v>105</v>
      </c>
      <c r="C659" s="18" t="s">
        <v>3004</v>
      </c>
      <c r="D659" s="22">
        <v>633569.5999999999</v>
      </c>
      <c r="E659" s="22">
        <v>633569.5999999999</v>
      </c>
      <c r="F659" s="22">
        <v>0</v>
      </c>
      <c r="G659" s="18" t="s">
        <v>2943</v>
      </c>
      <c r="H659" s="18" t="s">
        <v>3043</v>
      </c>
    </row>
    <row r="660" spans="1:8">
      <c r="A660" s="18" t="s">
        <v>27</v>
      </c>
      <c r="B660" s="18" t="s">
        <v>105</v>
      </c>
      <c r="C660" s="18" t="s">
        <v>2969</v>
      </c>
      <c r="D660" s="22">
        <v>172626.62</v>
      </c>
      <c r="E660" s="22">
        <v>172626.62</v>
      </c>
      <c r="F660" s="22">
        <v>2.91038304567337E-11</v>
      </c>
      <c r="G660" s="18" t="s">
        <v>2943</v>
      </c>
      <c r="H660" s="18" t="s">
        <v>3044</v>
      </c>
    </row>
    <row r="661" spans="1:8">
      <c r="A661" s="18" t="s">
        <v>27</v>
      </c>
      <c r="B661" s="18" t="s">
        <v>105</v>
      </c>
      <c r="C661" s="18" t="s">
        <v>2971</v>
      </c>
      <c r="D661" s="22">
        <v>374</v>
      </c>
      <c r="E661" s="22">
        <v>374</v>
      </c>
      <c r="F661" s="22">
        <v>0</v>
      </c>
      <c r="G661" s="18" t="s">
        <v>2943</v>
      </c>
      <c r="H661" s="18" t="s">
        <v>3044</v>
      </c>
    </row>
    <row r="662" spans="1:8">
      <c r="A662" s="18" t="s">
        <v>27</v>
      </c>
      <c r="B662" s="18" t="s">
        <v>105</v>
      </c>
      <c r="C662" s="18" t="s">
        <v>2972</v>
      </c>
      <c r="D662" s="22">
        <v>172626.6199999999</v>
      </c>
      <c r="E662" s="22">
        <v>172626.6199999999</v>
      </c>
      <c r="F662" s="22">
        <v>0</v>
      </c>
      <c r="G662" s="18" t="s">
        <v>2943</v>
      </c>
      <c r="H662" s="18" t="s">
        <v>3045</v>
      </c>
    </row>
    <row r="663" spans="1:8">
      <c r="A663" s="18" t="s">
        <v>27</v>
      </c>
      <c r="B663" s="18" t="s">
        <v>105</v>
      </c>
      <c r="C663" s="18" t="s">
        <v>2975</v>
      </c>
      <c r="D663" s="22">
        <v>374</v>
      </c>
      <c r="E663" s="22">
        <v>374</v>
      </c>
      <c r="F663" s="22">
        <v>0</v>
      </c>
      <c r="G663" s="18" t="s">
        <v>2943</v>
      </c>
      <c r="H663" s="18" t="s">
        <v>3045</v>
      </c>
    </row>
    <row r="664" spans="1:8">
      <c r="A664" s="18" t="s">
        <v>27</v>
      </c>
      <c r="B664" s="18" t="s">
        <v>105</v>
      </c>
      <c r="C664" s="18" t="s">
        <v>2976</v>
      </c>
      <c r="D664" s="22">
        <v>172626.62</v>
      </c>
      <c r="E664" s="22">
        <v>172626.6199999999</v>
      </c>
      <c r="F664" s="22">
        <v>5.820766091346741E-11</v>
      </c>
      <c r="G664" s="18" t="s">
        <v>2943</v>
      </c>
      <c r="H664" s="18" t="s">
        <v>3045</v>
      </c>
    </row>
    <row r="665" spans="1:8">
      <c r="A665" s="18" t="s">
        <v>27</v>
      </c>
      <c r="B665" s="18" t="s">
        <v>105</v>
      </c>
      <c r="C665" s="18" t="s">
        <v>2977</v>
      </c>
      <c r="D665" s="22">
        <v>374</v>
      </c>
      <c r="E665" s="22">
        <v>374</v>
      </c>
      <c r="F665" s="22">
        <v>0</v>
      </c>
      <c r="G665" s="18" t="s">
        <v>2943</v>
      </c>
      <c r="H665" s="18" t="s">
        <v>3045</v>
      </c>
    </row>
    <row r="666" spans="1:8">
      <c r="A666" s="18" t="s">
        <v>27</v>
      </c>
      <c r="B666" s="18" t="s">
        <v>111</v>
      </c>
      <c r="C666" s="18" t="s">
        <v>2942</v>
      </c>
      <c r="D666" s="22">
        <v>16290743.56999999</v>
      </c>
      <c r="E666" s="22">
        <v>16290743.56999999</v>
      </c>
      <c r="F666" s="22">
        <v>0</v>
      </c>
      <c r="G666" s="18" t="s">
        <v>2943</v>
      </c>
      <c r="H666" s="18" t="s">
        <v>146</v>
      </c>
    </row>
    <row r="667" spans="1:8">
      <c r="A667" s="18" t="s">
        <v>27</v>
      </c>
      <c r="B667" s="18" t="s">
        <v>111</v>
      </c>
      <c r="C667" s="18" t="s">
        <v>2944</v>
      </c>
      <c r="D667" s="22">
        <v>11386093.9799995</v>
      </c>
      <c r="E667" s="22">
        <v>11386093.9799995</v>
      </c>
      <c r="F667" s="22">
        <v>0</v>
      </c>
      <c r="G667" s="18" t="s">
        <v>2943</v>
      </c>
      <c r="H667" s="18" t="s">
        <v>146</v>
      </c>
    </row>
    <row r="668" spans="1:8">
      <c r="A668" s="18" t="s">
        <v>27</v>
      </c>
      <c r="B668" s="18" t="s">
        <v>111</v>
      </c>
      <c r="C668" s="18" t="s">
        <v>2945</v>
      </c>
      <c r="D668" s="22">
        <v>22078892.71000041</v>
      </c>
      <c r="E668" s="22">
        <v>22078892.71000041</v>
      </c>
      <c r="F668" s="22">
        <v>0</v>
      </c>
      <c r="G668" s="18" t="s">
        <v>2943</v>
      </c>
      <c r="H668" s="18" t="s">
        <v>147</v>
      </c>
    </row>
    <row r="669" spans="1:8">
      <c r="A669" s="18" t="s">
        <v>27</v>
      </c>
      <c r="B669" s="18" t="s">
        <v>111</v>
      </c>
      <c r="C669" s="18" t="s">
        <v>2946</v>
      </c>
      <c r="D669" s="22">
        <v>6167078.229999304</v>
      </c>
      <c r="E669" s="22">
        <v>6167078.229999304</v>
      </c>
      <c r="F669" s="22">
        <v>0</v>
      </c>
      <c r="G669" s="18" t="s">
        <v>2943</v>
      </c>
      <c r="H669" s="18" t="s">
        <v>147</v>
      </c>
    </row>
    <row r="670" spans="1:8">
      <c r="A670" s="18" t="s">
        <v>27</v>
      </c>
      <c r="B670" s="18" t="s">
        <v>111</v>
      </c>
      <c r="C670" s="18" t="s">
        <v>2947</v>
      </c>
      <c r="D670" s="22">
        <v>16202559.89</v>
      </c>
      <c r="E670" s="22">
        <v>16202559.89</v>
      </c>
      <c r="F670" s="22">
        <v>0</v>
      </c>
      <c r="G670" s="18" t="s">
        <v>2943</v>
      </c>
      <c r="H670" s="18" t="s">
        <v>148</v>
      </c>
    </row>
    <row r="671" spans="1:8">
      <c r="A671" s="18" t="s">
        <v>27</v>
      </c>
      <c r="B671" s="18" t="s">
        <v>111</v>
      </c>
      <c r="C671" s="18" t="s">
        <v>2948</v>
      </c>
      <c r="D671" s="22">
        <v>16038502.77999996</v>
      </c>
      <c r="E671" s="22">
        <v>16038502.77999996</v>
      </c>
      <c r="F671" s="22">
        <v>0</v>
      </c>
      <c r="G671" s="18" t="s">
        <v>2943</v>
      </c>
      <c r="H671" s="18" t="s">
        <v>148</v>
      </c>
    </row>
    <row r="672" spans="1:8">
      <c r="A672" s="18" t="s">
        <v>27</v>
      </c>
      <c r="B672" s="18" t="s">
        <v>111</v>
      </c>
      <c r="C672" s="18" t="s">
        <v>2956</v>
      </c>
      <c r="D672" s="22">
        <v>2293226.150000002</v>
      </c>
      <c r="E672" s="22">
        <v>2293226.150000002</v>
      </c>
      <c r="F672" s="22">
        <v>0</v>
      </c>
      <c r="G672" s="18" t="s">
        <v>2943</v>
      </c>
      <c r="H672" s="18" t="s">
        <v>301</v>
      </c>
    </row>
    <row r="673" spans="1:8">
      <c r="A673" s="18" t="s">
        <v>27</v>
      </c>
      <c r="B673" s="18" t="s">
        <v>111</v>
      </c>
      <c r="C673" s="18" t="s">
        <v>2957</v>
      </c>
      <c r="D673" s="22">
        <v>1017381.590000022</v>
      </c>
      <c r="E673" s="22">
        <v>1017381.590000022</v>
      </c>
      <c r="F673" s="22">
        <v>0</v>
      </c>
      <c r="G673" s="18" t="s">
        <v>2943</v>
      </c>
      <c r="H673" s="18" t="s">
        <v>301</v>
      </c>
    </row>
    <row r="674" spans="1:8">
      <c r="A674" s="18" t="s">
        <v>27</v>
      </c>
      <c r="B674" s="18" t="s">
        <v>111</v>
      </c>
      <c r="C674" s="18" t="s">
        <v>2958</v>
      </c>
      <c r="D674" s="22">
        <v>2249593.750000001</v>
      </c>
      <c r="E674" s="22">
        <v>2249593.750000001</v>
      </c>
      <c r="F674" s="22">
        <v>0</v>
      </c>
      <c r="G674" s="18" t="s">
        <v>2943</v>
      </c>
      <c r="H674" s="18" t="s">
        <v>302</v>
      </c>
    </row>
    <row r="675" spans="1:8">
      <c r="A675" s="18" t="s">
        <v>27</v>
      </c>
      <c r="B675" s="18" t="s">
        <v>111</v>
      </c>
      <c r="C675" s="18" t="s">
        <v>2959</v>
      </c>
      <c r="D675" s="22">
        <v>1190285.050000014</v>
      </c>
      <c r="E675" s="22">
        <v>1190285.050000014</v>
      </c>
      <c r="F675" s="22">
        <v>0</v>
      </c>
      <c r="G675" s="18" t="s">
        <v>2943</v>
      </c>
      <c r="H675" s="18" t="s">
        <v>302</v>
      </c>
    </row>
    <row r="676" spans="1:8">
      <c r="A676" s="18" t="s">
        <v>27</v>
      </c>
      <c r="B676" s="18" t="s">
        <v>111</v>
      </c>
      <c r="C676" s="18" t="s">
        <v>2960</v>
      </c>
      <c r="D676" s="22">
        <v>1839208.599999998</v>
      </c>
      <c r="E676" s="22">
        <v>1839208.599999998</v>
      </c>
      <c r="F676" s="22">
        <v>0</v>
      </c>
      <c r="G676" s="18" t="s">
        <v>2943</v>
      </c>
      <c r="H676" s="18" t="s">
        <v>303</v>
      </c>
    </row>
    <row r="677" spans="1:8">
      <c r="A677" s="18" t="s">
        <v>27</v>
      </c>
      <c r="B677" s="18" t="s">
        <v>111</v>
      </c>
      <c r="C677" s="18" t="s">
        <v>2961</v>
      </c>
      <c r="D677" s="22">
        <v>1698707.599999998</v>
      </c>
      <c r="E677" s="22">
        <v>1698707.599999998</v>
      </c>
      <c r="F677" s="22">
        <v>0</v>
      </c>
      <c r="G677" s="18" t="s">
        <v>2943</v>
      </c>
      <c r="H677" s="18" t="s">
        <v>303</v>
      </c>
    </row>
    <row r="678" spans="1:8">
      <c r="A678" s="18" t="s">
        <v>27</v>
      </c>
      <c r="B678" s="18" t="s">
        <v>111</v>
      </c>
      <c r="C678" s="18" t="s">
        <v>3018</v>
      </c>
      <c r="D678" s="22">
        <v>1881567.730000006</v>
      </c>
      <c r="E678" s="22">
        <v>1881567.730000006</v>
      </c>
      <c r="F678" s="22">
        <v>0</v>
      </c>
      <c r="G678" s="18" t="s">
        <v>2943</v>
      </c>
      <c r="H678" s="18" t="s">
        <v>304</v>
      </c>
    </row>
    <row r="679" spans="1:8">
      <c r="A679" s="18" t="s">
        <v>27</v>
      </c>
      <c r="B679" s="18" t="s">
        <v>111</v>
      </c>
      <c r="C679" s="18" t="s">
        <v>3019</v>
      </c>
      <c r="D679" s="22">
        <v>2370867.999999958</v>
      </c>
      <c r="E679" s="22">
        <v>2370867.999999958</v>
      </c>
      <c r="F679" s="22">
        <v>0</v>
      </c>
      <c r="G679" s="18" t="s">
        <v>2943</v>
      </c>
      <c r="H679" s="18" t="s">
        <v>304</v>
      </c>
    </row>
    <row r="680" spans="1:8">
      <c r="A680" s="18" t="s">
        <v>27</v>
      </c>
      <c r="B680" s="18" t="s">
        <v>111</v>
      </c>
      <c r="C680" s="18" t="s">
        <v>3020</v>
      </c>
      <c r="D680" s="22">
        <v>1553296.499999999</v>
      </c>
      <c r="E680" s="22">
        <v>1553296.499999999</v>
      </c>
      <c r="F680" s="22">
        <v>0</v>
      </c>
      <c r="G680" s="18" t="s">
        <v>2943</v>
      </c>
      <c r="H680" s="18" t="s">
        <v>305</v>
      </c>
    </row>
    <row r="681" spans="1:8">
      <c r="A681" s="18" t="s">
        <v>27</v>
      </c>
      <c r="B681" s="18" t="s">
        <v>111</v>
      </c>
      <c r="C681" s="18" t="s">
        <v>3021</v>
      </c>
      <c r="D681" s="22">
        <v>2542412.579999955</v>
      </c>
      <c r="E681" s="22">
        <v>2542412.579999955</v>
      </c>
      <c r="F681" s="22">
        <v>0</v>
      </c>
      <c r="G681" s="18" t="s">
        <v>2943</v>
      </c>
      <c r="H681" s="18" t="s">
        <v>305</v>
      </c>
    </row>
    <row r="682" spans="1:8">
      <c r="A682" s="18" t="s">
        <v>27</v>
      </c>
      <c r="B682" s="18" t="s">
        <v>111</v>
      </c>
      <c r="C682" s="18" t="s">
        <v>3022</v>
      </c>
      <c r="D682" s="22">
        <v>21748.81000000002</v>
      </c>
      <c r="E682" s="22">
        <v>21748.81000000002</v>
      </c>
      <c r="F682" s="22">
        <v>0</v>
      </c>
      <c r="G682" s="18" t="s">
        <v>2943</v>
      </c>
      <c r="H682" s="18" t="s">
        <v>306</v>
      </c>
    </row>
    <row r="683" spans="1:8">
      <c r="A683" s="18" t="s">
        <v>27</v>
      </c>
      <c r="B683" s="18" t="s">
        <v>111</v>
      </c>
      <c r="C683" s="18" t="s">
        <v>3023</v>
      </c>
      <c r="D683" s="22">
        <v>4321352.739999992</v>
      </c>
      <c r="E683" s="22">
        <v>4321352.739999992</v>
      </c>
      <c r="F683" s="22">
        <v>0</v>
      </c>
      <c r="G683" s="18" t="s">
        <v>2943</v>
      </c>
      <c r="H683" s="18" t="s">
        <v>306</v>
      </c>
    </row>
    <row r="684" spans="1:8">
      <c r="A684" s="18" t="s">
        <v>27</v>
      </c>
      <c r="B684" s="18" t="s">
        <v>111</v>
      </c>
      <c r="C684" s="18" t="s">
        <v>2962</v>
      </c>
      <c r="D684" s="22">
        <v>88163871.15999918</v>
      </c>
      <c r="E684" s="22">
        <v>88163871.15999918</v>
      </c>
      <c r="F684" s="22">
        <v>0</v>
      </c>
      <c r="G684" s="18" t="s">
        <v>2943</v>
      </c>
      <c r="H684" s="18" t="s">
        <v>3046</v>
      </c>
    </row>
    <row r="685" spans="1:8">
      <c r="A685" s="18" t="s">
        <v>27</v>
      </c>
      <c r="B685" s="18" t="s">
        <v>111</v>
      </c>
      <c r="C685" s="18" t="s">
        <v>2964</v>
      </c>
      <c r="D685" s="22">
        <v>54572196.17000041</v>
      </c>
      <c r="E685" s="22">
        <v>54572196.1700004</v>
      </c>
      <c r="F685" s="22">
        <v>7.450580596923828E-09</v>
      </c>
      <c r="G685" s="18" t="s">
        <v>2943</v>
      </c>
      <c r="H685" s="18" t="s">
        <v>3046</v>
      </c>
    </row>
    <row r="686" spans="1:8">
      <c r="A686" s="18" t="s">
        <v>27</v>
      </c>
      <c r="B686" s="18" t="s">
        <v>111</v>
      </c>
      <c r="C686" s="18" t="s">
        <v>2965</v>
      </c>
      <c r="D686" s="22">
        <v>33591674.98999877</v>
      </c>
      <c r="E686" s="22">
        <v>33591674.98999877</v>
      </c>
      <c r="F686" s="22">
        <v>-7.450580596923828E-09</v>
      </c>
      <c r="G686" s="18" t="s">
        <v>2943</v>
      </c>
      <c r="H686" s="18" t="s">
        <v>3046</v>
      </c>
    </row>
    <row r="687" spans="1:8">
      <c r="A687" s="18" t="s">
        <v>27</v>
      </c>
      <c r="B687" s="18" t="s">
        <v>111</v>
      </c>
      <c r="C687" s="18" t="s">
        <v>2966</v>
      </c>
      <c r="D687" s="22">
        <v>48725384.7800004</v>
      </c>
      <c r="E687" s="22">
        <v>48725384.7800004</v>
      </c>
      <c r="F687" s="22">
        <v>-7.450580596923828E-09</v>
      </c>
      <c r="G687" s="18" t="s">
        <v>2943</v>
      </c>
      <c r="H687" s="18" t="s">
        <v>3046</v>
      </c>
    </row>
    <row r="688" spans="1:8">
      <c r="A688" s="18" t="s">
        <v>27</v>
      </c>
      <c r="B688" s="18" t="s">
        <v>111</v>
      </c>
      <c r="C688" s="18" t="s">
        <v>2968</v>
      </c>
      <c r="D688" s="22">
        <v>4485046.75000003</v>
      </c>
      <c r="E688" s="22">
        <v>4485046.75000003</v>
      </c>
      <c r="F688" s="22">
        <v>0</v>
      </c>
      <c r="G688" s="18" t="s">
        <v>2943</v>
      </c>
      <c r="H688" s="18" t="s">
        <v>3046</v>
      </c>
    </row>
    <row r="689" spans="1:8">
      <c r="A689" s="18" t="s">
        <v>27</v>
      </c>
      <c r="B689" s="18" t="s">
        <v>111</v>
      </c>
      <c r="C689" s="18" t="s">
        <v>2979</v>
      </c>
      <c r="D689" s="22">
        <v>1361764.639999981</v>
      </c>
      <c r="E689" s="22">
        <v>1361764.639999981</v>
      </c>
      <c r="F689" s="22">
        <v>2.328306436538696E-10</v>
      </c>
      <c r="G689" s="18" t="s">
        <v>2943</v>
      </c>
      <c r="H689" s="18" t="s">
        <v>3046</v>
      </c>
    </row>
    <row r="690" spans="1:8">
      <c r="A690" s="18" t="s">
        <v>27</v>
      </c>
      <c r="B690" s="18" t="s">
        <v>111</v>
      </c>
      <c r="C690" s="18" t="s">
        <v>2969</v>
      </c>
      <c r="D690" s="22">
        <v>33591674.99</v>
      </c>
      <c r="E690" s="22">
        <v>33591674.99</v>
      </c>
      <c r="F690" s="22">
        <v>0</v>
      </c>
      <c r="G690" s="18" t="s">
        <v>2943</v>
      </c>
      <c r="H690" s="18" t="s">
        <v>3047</v>
      </c>
    </row>
    <row r="691" spans="1:8">
      <c r="A691" s="18" t="s">
        <v>27</v>
      </c>
      <c r="B691" s="18" t="s">
        <v>111</v>
      </c>
      <c r="C691" s="18" t="s">
        <v>2971</v>
      </c>
      <c r="D691" s="22">
        <v>72025</v>
      </c>
      <c r="E691" s="22">
        <v>72025</v>
      </c>
      <c r="F691" s="22">
        <v>0</v>
      </c>
      <c r="G691" s="18" t="s">
        <v>2943</v>
      </c>
      <c r="H691" s="18" t="s">
        <v>3047</v>
      </c>
    </row>
    <row r="692" spans="1:8">
      <c r="A692" s="18" t="s">
        <v>27</v>
      </c>
      <c r="B692" s="18" t="s">
        <v>111</v>
      </c>
      <c r="C692" s="18" t="s">
        <v>2972</v>
      </c>
      <c r="D692" s="22">
        <v>33591674.98999996</v>
      </c>
      <c r="E692" s="22">
        <v>33591674.98999996</v>
      </c>
      <c r="F692" s="22">
        <v>0</v>
      </c>
      <c r="G692" s="18" t="s">
        <v>2943</v>
      </c>
      <c r="H692" s="18" t="s">
        <v>881</v>
      </c>
    </row>
    <row r="693" spans="1:8">
      <c r="A693" s="18" t="s">
        <v>27</v>
      </c>
      <c r="B693" s="18" t="s">
        <v>111</v>
      </c>
      <c r="C693" s="18" t="s">
        <v>2975</v>
      </c>
      <c r="D693" s="22">
        <v>72025</v>
      </c>
      <c r="E693" s="22">
        <v>72025</v>
      </c>
      <c r="F693" s="22">
        <v>0</v>
      </c>
      <c r="G693" s="18" t="s">
        <v>2943</v>
      </c>
      <c r="H693" s="18" t="s">
        <v>881</v>
      </c>
    </row>
    <row r="694" spans="1:8">
      <c r="A694" s="18" t="s">
        <v>27</v>
      </c>
      <c r="B694" s="18" t="s">
        <v>111</v>
      </c>
      <c r="C694" s="18" t="s">
        <v>2976</v>
      </c>
      <c r="D694" s="22">
        <v>33591674.99</v>
      </c>
      <c r="E694" s="22">
        <v>33591674.98999996</v>
      </c>
      <c r="F694" s="22">
        <v>3.725290298461914E-08</v>
      </c>
      <c r="G694" s="18" t="s">
        <v>2943</v>
      </c>
      <c r="H694" s="18" t="s">
        <v>881</v>
      </c>
    </row>
    <row r="695" spans="1:8">
      <c r="A695" s="18" t="s">
        <v>27</v>
      </c>
      <c r="B695" s="18" t="s">
        <v>111</v>
      </c>
      <c r="C695" s="18" t="s">
        <v>2977</v>
      </c>
      <c r="D695" s="22">
        <v>72025</v>
      </c>
      <c r="E695" s="22">
        <v>72025</v>
      </c>
      <c r="F695" s="22">
        <v>0</v>
      </c>
      <c r="G695" s="18" t="s">
        <v>2943</v>
      </c>
      <c r="H695" s="18" t="s">
        <v>881</v>
      </c>
    </row>
    <row r="696" spans="1:8">
      <c r="A696" s="18" t="s">
        <v>27</v>
      </c>
      <c r="B696" s="18" t="s">
        <v>233</v>
      </c>
      <c r="C696" s="18" t="s">
        <v>2956</v>
      </c>
      <c r="G696" s="18" t="s">
        <v>2973</v>
      </c>
      <c r="H696" s="18" t="s">
        <v>307</v>
      </c>
    </row>
    <row r="697" spans="1:8">
      <c r="A697" s="18" t="s">
        <v>27</v>
      </c>
      <c r="B697" s="18" t="s">
        <v>233</v>
      </c>
      <c r="C697" s="18" t="s">
        <v>2957</v>
      </c>
      <c r="G697" s="18" t="s">
        <v>2973</v>
      </c>
      <c r="H697" s="18" t="s">
        <v>307</v>
      </c>
    </row>
    <row r="698" spans="1:8">
      <c r="A698" s="18" t="s">
        <v>27</v>
      </c>
      <c r="B698" s="18" t="s">
        <v>233</v>
      </c>
      <c r="C698" s="18" t="s">
        <v>2958</v>
      </c>
      <c r="G698" s="18" t="s">
        <v>2973</v>
      </c>
      <c r="H698" s="18" t="s">
        <v>308</v>
      </c>
    </row>
    <row r="699" spans="1:8">
      <c r="A699" s="18" t="s">
        <v>27</v>
      </c>
      <c r="B699" s="18" t="s">
        <v>233</v>
      </c>
      <c r="C699" s="18" t="s">
        <v>2959</v>
      </c>
      <c r="G699" s="18" t="s">
        <v>2973</v>
      </c>
      <c r="H699" s="18" t="s">
        <v>308</v>
      </c>
    </row>
    <row r="700" spans="1:8">
      <c r="A700" s="18" t="s">
        <v>27</v>
      </c>
      <c r="B700" s="18" t="s">
        <v>233</v>
      </c>
      <c r="C700" s="18" t="s">
        <v>2960</v>
      </c>
      <c r="G700" s="18" t="s">
        <v>2973</v>
      </c>
      <c r="H700" s="18" t="s">
        <v>309</v>
      </c>
    </row>
    <row r="701" spans="1:8">
      <c r="A701" s="18" t="s">
        <v>27</v>
      </c>
      <c r="B701" s="18" t="s">
        <v>233</v>
      </c>
      <c r="C701" s="18" t="s">
        <v>2961</v>
      </c>
      <c r="G701" s="18" t="s">
        <v>2973</v>
      </c>
      <c r="H701" s="18" t="s">
        <v>309</v>
      </c>
    </row>
    <row r="702" spans="1:8">
      <c r="A702" s="18" t="s">
        <v>27</v>
      </c>
      <c r="B702" s="18" t="s">
        <v>233</v>
      </c>
      <c r="C702" s="18" t="s">
        <v>3018</v>
      </c>
      <c r="G702" s="18" t="s">
        <v>2973</v>
      </c>
      <c r="H702" s="18" t="s">
        <v>310</v>
      </c>
    </row>
    <row r="703" spans="1:8">
      <c r="A703" s="18" t="s">
        <v>27</v>
      </c>
      <c r="B703" s="18" t="s">
        <v>233</v>
      </c>
      <c r="C703" s="18" t="s">
        <v>3019</v>
      </c>
      <c r="G703" s="18" t="s">
        <v>2973</v>
      </c>
      <c r="H703" s="18" t="s">
        <v>310</v>
      </c>
    </row>
    <row r="704" spans="1:8">
      <c r="A704" s="18" t="s">
        <v>27</v>
      </c>
      <c r="B704" s="18" t="s">
        <v>233</v>
      </c>
      <c r="C704" s="18" t="s">
        <v>3020</v>
      </c>
      <c r="G704" s="18" t="s">
        <v>2973</v>
      </c>
      <c r="H704" s="18" t="s">
        <v>311</v>
      </c>
    </row>
    <row r="705" spans="1:8">
      <c r="A705" s="18" t="s">
        <v>27</v>
      </c>
      <c r="B705" s="18" t="s">
        <v>233</v>
      </c>
      <c r="C705" s="18" t="s">
        <v>3021</v>
      </c>
      <c r="G705" s="18" t="s">
        <v>2973</v>
      </c>
      <c r="H705" s="18" t="s">
        <v>311</v>
      </c>
    </row>
    <row r="706" spans="1:8">
      <c r="A706" s="18" t="s">
        <v>27</v>
      </c>
      <c r="B706" s="18" t="s">
        <v>233</v>
      </c>
      <c r="C706" s="18" t="s">
        <v>3022</v>
      </c>
      <c r="G706" s="18" t="s">
        <v>2973</v>
      </c>
      <c r="H706" s="18" t="s">
        <v>312</v>
      </c>
    </row>
    <row r="707" spans="1:8">
      <c r="A707" s="18" t="s">
        <v>27</v>
      </c>
      <c r="B707" s="18" t="s">
        <v>233</v>
      </c>
      <c r="C707" s="18" t="s">
        <v>3023</v>
      </c>
      <c r="G707" s="18" t="s">
        <v>2973</v>
      </c>
      <c r="H707" s="18" t="s">
        <v>312</v>
      </c>
    </row>
    <row r="708" spans="1:8">
      <c r="A708" s="18" t="s">
        <v>27</v>
      </c>
      <c r="B708" s="18" t="s">
        <v>233</v>
      </c>
      <c r="C708" s="18" t="s">
        <v>2969</v>
      </c>
      <c r="G708" s="18" t="s">
        <v>2973</v>
      </c>
      <c r="H708" s="18"/>
    </row>
    <row r="709" spans="1:8">
      <c r="A709" s="18" t="s">
        <v>27</v>
      </c>
      <c r="B709" s="18" t="s">
        <v>233</v>
      </c>
      <c r="C709" s="18" t="s">
        <v>2971</v>
      </c>
      <c r="G709" s="18" t="s">
        <v>2973</v>
      </c>
      <c r="H709" s="18"/>
    </row>
    <row r="710" spans="1:8">
      <c r="A710" s="18" t="s">
        <v>27</v>
      </c>
      <c r="B710" s="18" t="s">
        <v>233</v>
      </c>
      <c r="C710" s="18" t="s">
        <v>2972</v>
      </c>
      <c r="D710" s="22">
        <v>22106987.68000206</v>
      </c>
      <c r="E710" s="22">
        <v>22106987.68000206</v>
      </c>
      <c r="F710" s="22">
        <v>3.725290298461914E-09</v>
      </c>
      <c r="G710" s="18" t="s">
        <v>2943</v>
      </c>
      <c r="H710" s="18" t="s">
        <v>3048</v>
      </c>
    </row>
    <row r="711" spans="1:8">
      <c r="A711" s="18" t="s">
        <v>27</v>
      </c>
      <c r="B711" s="18" t="s">
        <v>233</v>
      </c>
      <c r="C711" s="18" t="s">
        <v>2975</v>
      </c>
      <c r="D711" s="22">
        <v>330516</v>
      </c>
      <c r="E711" s="22">
        <v>330516</v>
      </c>
      <c r="F711" s="22">
        <v>0</v>
      </c>
      <c r="G711" s="18" t="s">
        <v>2943</v>
      </c>
      <c r="H711" s="18" t="s">
        <v>3048</v>
      </c>
    </row>
    <row r="712" spans="1:8">
      <c r="A712" s="18" t="s">
        <v>27</v>
      </c>
      <c r="B712" s="18" t="s">
        <v>86</v>
      </c>
      <c r="C712" s="18" t="s">
        <v>2942</v>
      </c>
      <c r="D712" s="22">
        <v>1085508</v>
      </c>
      <c r="E712" s="22">
        <v>1085509</v>
      </c>
      <c r="F712" s="22">
        <v>-1</v>
      </c>
      <c r="G712" s="18" t="s">
        <v>2949</v>
      </c>
      <c r="H712" s="18" t="s">
        <v>149</v>
      </c>
    </row>
    <row r="713" spans="1:8">
      <c r="A713" s="18" t="s">
        <v>27</v>
      </c>
      <c r="B713" s="18" t="s">
        <v>86</v>
      </c>
      <c r="C713" s="18" t="s">
        <v>2944</v>
      </c>
      <c r="D713" s="22">
        <v>6177</v>
      </c>
      <c r="E713" s="22">
        <v>6177</v>
      </c>
      <c r="F713" s="22">
        <v>0</v>
      </c>
      <c r="G713" s="18" t="s">
        <v>2943</v>
      </c>
      <c r="H713" s="18" t="s">
        <v>149</v>
      </c>
    </row>
    <row r="714" spans="1:8">
      <c r="A714" s="18" t="s">
        <v>27</v>
      </c>
      <c r="B714" s="18" t="s">
        <v>86</v>
      </c>
      <c r="C714" s="18" t="s">
        <v>2945</v>
      </c>
      <c r="D714" s="22">
        <v>244777</v>
      </c>
      <c r="E714" s="22">
        <v>244777</v>
      </c>
      <c r="F714" s="22">
        <v>0</v>
      </c>
      <c r="G714" s="18" t="s">
        <v>2943</v>
      </c>
      <c r="H714" s="18" t="s">
        <v>150</v>
      </c>
    </row>
    <row r="715" spans="1:8">
      <c r="A715" s="18" t="s">
        <v>27</v>
      </c>
      <c r="B715" s="18" t="s">
        <v>86</v>
      </c>
      <c r="C715" s="18" t="s">
        <v>2946</v>
      </c>
      <c r="D715" s="22">
        <v>1125</v>
      </c>
      <c r="E715" s="22">
        <v>1125</v>
      </c>
      <c r="F715" s="22">
        <v>0</v>
      </c>
      <c r="G715" s="18" t="s">
        <v>2943</v>
      </c>
      <c r="H715" s="18" t="s">
        <v>150</v>
      </c>
    </row>
    <row r="716" spans="1:8">
      <c r="A716" s="18" t="s">
        <v>27</v>
      </c>
      <c r="B716" s="18" t="s">
        <v>86</v>
      </c>
      <c r="C716" s="18" t="s">
        <v>2947</v>
      </c>
      <c r="D716" s="22">
        <v>80290</v>
      </c>
      <c r="E716" s="22">
        <v>80289</v>
      </c>
      <c r="F716" s="22">
        <v>1</v>
      </c>
      <c r="G716" s="18" t="s">
        <v>2949</v>
      </c>
      <c r="H716" s="18" t="s">
        <v>151</v>
      </c>
    </row>
    <row r="717" spans="1:8">
      <c r="A717" s="18" t="s">
        <v>27</v>
      </c>
      <c r="B717" s="18" t="s">
        <v>86</v>
      </c>
      <c r="C717" s="18" t="s">
        <v>2948</v>
      </c>
      <c r="D717" s="22">
        <v>6809</v>
      </c>
      <c r="E717" s="22">
        <v>6808</v>
      </c>
      <c r="F717" s="22">
        <v>1</v>
      </c>
      <c r="G717" s="18" t="s">
        <v>2949</v>
      </c>
      <c r="H717" s="18" t="s">
        <v>151</v>
      </c>
    </row>
    <row r="718" spans="1:8">
      <c r="A718" s="18" t="s">
        <v>27</v>
      </c>
      <c r="B718" s="18" t="s">
        <v>86</v>
      </c>
      <c r="C718" s="18" t="s">
        <v>2956</v>
      </c>
      <c r="D718" s="22">
        <v>6180</v>
      </c>
      <c r="E718" s="22">
        <v>6180</v>
      </c>
      <c r="F718" s="22">
        <v>0</v>
      </c>
      <c r="G718" s="18" t="s">
        <v>2943</v>
      </c>
      <c r="H718" s="18" t="s">
        <v>313</v>
      </c>
    </row>
    <row r="719" spans="1:8">
      <c r="A719" s="18" t="s">
        <v>27</v>
      </c>
      <c r="B719" s="18" t="s">
        <v>86</v>
      </c>
      <c r="C719" s="18" t="s">
        <v>2957</v>
      </c>
      <c r="D719" s="22">
        <v>0</v>
      </c>
      <c r="E719" s="22">
        <v>0</v>
      </c>
      <c r="F719" s="22">
        <v>0</v>
      </c>
      <c r="G719" s="18" t="s">
        <v>2943</v>
      </c>
      <c r="H719" s="18" t="s">
        <v>313</v>
      </c>
    </row>
    <row r="720" spans="1:8">
      <c r="A720" s="18" t="s">
        <v>27</v>
      </c>
      <c r="B720" s="18" t="s">
        <v>86</v>
      </c>
      <c r="C720" s="18" t="s">
        <v>2958</v>
      </c>
      <c r="D720" s="22">
        <v>13201</v>
      </c>
      <c r="E720" s="22">
        <v>13201</v>
      </c>
      <c r="F720" s="22">
        <v>0</v>
      </c>
      <c r="G720" s="18" t="s">
        <v>2943</v>
      </c>
      <c r="H720" s="18" t="s">
        <v>314</v>
      </c>
    </row>
    <row r="721" spans="1:8">
      <c r="A721" s="18" t="s">
        <v>27</v>
      </c>
      <c r="B721" s="18" t="s">
        <v>86</v>
      </c>
      <c r="C721" s="18" t="s">
        <v>2959</v>
      </c>
      <c r="D721" s="22">
        <v>0</v>
      </c>
      <c r="E721" s="22">
        <v>0</v>
      </c>
      <c r="F721" s="22">
        <v>0</v>
      </c>
      <c r="G721" s="18" t="s">
        <v>2943</v>
      </c>
      <c r="H721" s="18" t="s">
        <v>314</v>
      </c>
    </row>
    <row r="722" spans="1:8">
      <c r="A722" s="18" t="s">
        <v>27</v>
      </c>
      <c r="B722" s="18" t="s">
        <v>86</v>
      </c>
      <c r="C722" s="18" t="s">
        <v>2960</v>
      </c>
      <c r="D722" s="22">
        <v>5127</v>
      </c>
      <c r="E722" s="22">
        <v>5127</v>
      </c>
      <c r="F722" s="22">
        <v>0</v>
      </c>
      <c r="G722" s="18" t="s">
        <v>2943</v>
      </c>
      <c r="H722" s="18" t="s">
        <v>315</v>
      </c>
    </row>
    <row r="723" spans="1:8">
      <c r="A723" s="18" t="s">
        <v>27</v>
      </c>
      <c r="B723" s="18" t="s">
        <v>86</v>
      </c>
      <c r="C723" s="18" t="s">
        <v>2961</v>
      </c>
      <c r="D723" s="22">
        <v>0</v>
      </c>
      <c r="E723" s="22">
        <v>0</v>
      </c>
      <c r="F723" s="22">
        <v>0</v>
      </c>
      <c r="G723" s="18" t="s">
        <v>2943</v>
      </c>
      <c r="H723" s="18" t="s">
        <v>315</v>
      </c>
    </row>
    <row r="724" spans="1:8">
      <c r="A724" s="18" t="s">
        <v>27</v>
      </c>
      <c r="B724" s="18" t="s">
        <v>86</v>
      </c>
      <c r="C724" s="18" t="s">
        <v>3018</v>
      </c>
      <c r="D724" s="22">
        <v>11376</v>
      </c>
      <c r="E724" s="22">
        <v>11376</v>
      </c>
      <c r="F724" s="22">
        <v>0</v>
      </c>
      <c r="G724" s="18" t="s">
        <v>2943</v>
      </c>
      <c r="H724" s="18" t="s">
        <v>316</v>
      </c>
    </row>
    <row r="725" spans="1:8">
      <c r="A725" s="18" t="s">
        <v>27</v>
      </c>
      <c r="B725" s="18" t="s">
        <v>86</v>
      </c>
      <c r="C725" s="18" t="s">
        <v>3019</v>
      </c>
      <c r="D725" s="22">
        <v>8</v>
      </c>
      <c r="E725" s="22">
        <v>7</v>
      </c>
      <c r="F725" s="22">
        <v>1</v>
      </c>
      <c r="G725" s="18" t="s">
        <v>2949</v>
      </c>
      <c r="H725" s="18" t="s">
        <v>316</v>
      </c>
    </row>
    <row r="726" spans="1:8">
      <c r="A726" s="18" t="s">
        <v>27</v>
      </c>
      <c r="B726" s="18" t="s">
        <v>86</v>
      </c>
      <c r="C726" s="18" t="s">
        <v>3020</v>
      </c>
      <c r="D726" s="22">
        <v>5193</v>
      </c>
      <c r="E726" s="22">
        <v>5192</v>
      </c>
      <c r="F726" s="22">
        <v>1</v>
      </c>
      <c r="G726" s="18" t="s">
        <v>2949</v>
      </c>
      <c r="H726" s="18" t="s">
        <v>317</v>
      </c>
    </row>
    <row r="727" spans="1:8">
      <c r="A727" s="18" t="s">
        <v>27</v>
      </c>
      <c r="B727" s="18" t="s">
        <v>86</v>
      </c>
      <c r="C727" s="18" t="s">
        <v>3021</v>
      </c>
      <c r="D727" s="22">
        <v>1552</v>
      </c>
      <c r="E727" s="22">
        <v>1552</v>
      </c>
      <c r="F727" s="22">
        <v>0</v>
      </c>
      <c r="G727" s="18" t="s">
        <v>2943</v>
      </c>
      <c r="H727" s="18" t="s">
        <v>317</v>
      </c>
    </row>
    <row r="728" spans="1:8">
      <c r="A728" s="18" t="s">
        <v>27</v>
      </c>
      <c r="B728" s="18" t="s">
        <v>86</v>
      </c>
      <c r="C728" s="18" t="s">
        <v>3022</v>
      </c>
      <c r="D728" s="22">
        <v>0</v>
      </c>
      <c r="E728" s="22">
        <v>0</v>
      </c>
      <c r="F728" s="22">
        <v>0</v>
      </c>
      <c r="G728" s="18" t="s">
        <v>2943</v>
      </c>
      <c r="H728" s="18" t="s">
        <v>318</v>
      </c>
    </row>
    <row r="729" spans="1:8">
      <c r="A729" s="18" t="s">
        <v>27</v>
      </c>
      <c r="B729" s="18" t="s">
        <v>86</v>
      </c>
      <c r="C729" s="18" t="s">
        <v>3023</v>
      </c>
      <c r="D729" s="22">
        <v>4508</v>
      </c>
      <c r="E729" s="22">
        <v>4508</v>
      </c>
      <c r="F729" s="22">
        <v>0</v>
      </c>
      <c r="G729" s="18" t="s">
        <v>2943</v>
      </c>
      <c r="H729" s="18" t="s">
        <v>318</v>
      </c>
    </row>
    <row r="730" spans="1:8">
      <c r="A730" s="18" t="s">
        <v>27</v>
      </c>
      <c r="B730" s="18" t="s">
        <v>86</v>
      </c>
      <c r="C730" s="18" t="s">
        <v>2962</v>
      </c>
      <c r="D730" s="22">
        <v>1424686</v>
      </c>
      <c r="E730" s="22">
        <v>1424685</v>
      </c>
      <c r="F730" s="22">
        <v>1</v>
      </c>
      <c r="G730" s="18" t="s">
        <v>2949</v>
      </c>
      <c r="H730" s="18" t="s">
        <v>3049</v>
      </c>
    </row>
    <row r="731" spans="1:8">
      <c r="A731" s="18" t="s">
        <v>27</v>
      </c>
      <c r="B731" s="18" t="s">
        <v>86</v>
      </c>
      <c r="C731" s="18" t="s">
        <v>2964</v>
      </c>
      <c r="D731" s="22">
        <v>1410575</v>
      </c>
      <c r="E731" s="22">
        <v>1410575</v>
      </c>
      <c r="F731" s="22">
        <v>0</v>
      </c>
      <c r="G731" s="18" t="s">
        <v>2943</v>
      </c>
      <c r="H731" s="18" t="s">
        <v>3049</v>
      </c>
    </row>
    <row r="732" spans="1:8">
      <c r="A732" s="18" t="s">
        <v>27</v>
      </c>
      <c r="B732" s="18" t="s">
        <v>86</v>
      </c>
      <c r="C732" s="18" t="s">
        <v>2965</v>
      </c>
      <c r="D732" s="22">
        <v>14110</v>
      </c>
      <c r="E732" s="22">
        <v>14110</v>
      </c>
      <c r="F732" s="22">
        <v>0</v>
      </c>
      <c r="G732" s="18" t="s">
        <v>2943</v>
      </c>
      <c r="H732" s="18" t="s">
        <v>3049</v>
      </c>
    </row>
    <row r="733" spans="1:8">
      <c r="A733" s="18" t="s">
        <v>27</v>
      </c>
      <c r="B733" s="18" t="s">
        <v>86</v>
      </c>
      <c r="C733" s="18" t="s">
        <v>2966</v>
      </c>
      <c r="D733" s="22">
        <v>1359331</v>
      </c>
      <c r="E733" s="22">
        <v>1359331</v>
      </c>
      <c r="F733" s="22">
        <v>0</v>
      </c>
      <c r="G733" s="18" t="s">
        <v>2943</v>
      </c>
      <c r="H733" s="18" t="s">
        <v>3049</v>
      </c>
    </row>
    <row r="734" spans="1:8">
      <c r="A734" s="18" t="s">
        <v>27</v>
      </c>
      <c r="B734" s="18" t="s">
        <v>86</v>
      </c>
      <c r="C734" s="18" t="s">
        <v>2968</v>
      </c>
      <c r="D734" s="22">
        <v>0</v>
      </c>
      <c r="E734" s="22">
        <v>0</v>
      </c>
      <c r="F734" s="22">
        <v>0</v>
      </c>
      <c r="G734" s="18" t="s">
        <v>2943</v>
      </c>
      <c r="H734" s="18" t="s">
        <v>3049</v>
      </c>
    </row>
    <row r="735" spans="1:8">
      <c r="A735" s="18" t="s">
        <v>27</v>
      </c>
      <c r="B735" s="18" t="s">
        <v>86</v>
      </c>
      <c r="C735" s="18" t="s">
        <v>2979</v>
      </c>
      <c r="D735" s="22">
        <v>51244</v>
      </c>
      <c r="E735" s="22">
        <v>51244</v>
      </c>
      <c r="F735" s="22">
        <v>0</v>
      </c>
      <c r="G735" s="18" t="s">
        <v>2943</v>
      </c>
      <c r="H735" s="18" t="s">
        <v>3049</v>
      </c>
    </row>
    <row r="736" spans="1:8">
      <c r="A736" s="18" t="s">
        <v>27</v>
      </c>
      <c r="B736" s="18" t="s">
        <v>86</v>
      </c>
      <c r="C736" s="18" t="s">
        <v>2969</v>
      </c>
      <c r="D736" s="22">
        <v>14110</v>
      </c>
      <c r="E736" s="22">
        <v>14110</v>
      </c>
      <c r="F736" s="22">
        <v>0</v>
      </c>
      <c r="G736" s="18" t="s">
        <v>2943</v>
      </c>
      <c r="H736" s="18" t="s">
        <v>3050</v>
      </c>
    </row>
    <row r="737" spans="1:8">
      <c r="A737" s="18" t="s">
        <v>27</v>
      </c>
      <c r="B737" s="18" t="s">
        <v>86</v>
      </c>
      <c r="C737" s="18" t="s">
        <v>2971</v>
      </c>
      <c r="D737" s="22">
        <v>74</v>
      </c>
      <c r="E737" s="22">
        <v>74</v>
      </c>
      <c r="F737" s="22">
        <v>0</v>
      </c>
      <c r="G737" s="18" t="s">
        <v>2943</v>
      </c>
      <c r="H737" s="18" t="s">
        <v>3050</v>
      </c>
    </row>
    <row r="738" spans="1:8">
      <c r="A738" s="18" t="s">
        <v>27</v>
      </c>
      <c r="B738" s="18" t="s">
        <v>86</v>
      </c>
      <c r="C738" s="18" t="s">
        <v>2972</v>
      </c>
      <c r="E738" s="22">
        <v>14110</v>
      </c>
      <c r="G738" s="18" t="s">
        <v>2973</v>
      </c>
      <c r="H738" s="18" t="s">
        <v>3051</v>
      </c>
    </row>
    <row r="739" spans="1:8">
      <c r="A739" s="18" t="s">
        <v>27</v>
      </c>
      <c r="B739" s="18" t="s">
        <v>86</v>
      </c>
      <c r="C739" s="18" t="s">
        <v>2975</v>
      </c>
      <c r="E739" s="22">
        <v>74</v>
      </c>
      <c r="G739" s="18" t="s">
        <v>2973</v>
      </c>
      <c r="H739" s="18" t="s">
        <v>3051</v>
      </c>
    </row>
    <row r="740" spans="1:8">
      <c r="A740" s="18" t="s">
        <v>27</v>
      </c>
      <c r="B740" s="18" t="s">
        <v>86</v>
      </c>
      <c r="C740" s="18" t="s">
        <v>2976</v>
      </c>
      <c r="D740" s="22">
        <v>14110</v>
      </c>
      <c r="E740" s="22">
        <v>14110</v>
      </c>
      <c r="F740" s="22">
        <v>0</v>
      </c>
      <c r="G740" s="18" t="s">
        <v>2943</v>
      </c>
      <c r="H740" s="18" t="s">
        <v>3051</v>
      </c>
    </row>
    <row r="741" spans="1:8">
      <c r="A741" s="18" t="s">
        <v>27</v>
      </c>
      <c r="B741" s="18" t="s">
        <v>86</v>
      </c>
      <c r="C741" s="18" t="s">
        <v>2977</v>
      </c>
      <c r="D741" s="22">
        <v>74</v>
      </c>
      <c r="E741" s="22">
        <v>74</v>
      </c>
      <c r="F741" s="22">
        <v>0</v>
      </c>
      <c r="G741" s="18" t="s">
        <v>2943</v>
      </c>
      <c r="H741" s="18" t="s">
        <v>3051</v>
      </c>
    </row>
    <row r="742" spans="1:8">
      <c r="A742" s="18" t="s">
        <v>27</v>
      </c>
      <c r="B742" s="18" t="s">
        <v>67</v>
      </c>
      <c r="C742" s="18" t="s">
        <v>2942</v>
      </c>
      <c r="D742" s="22">
        <v>119592957</v>
      </c>
      <c r="E742" s="22">
        <v>119592958</v>
      </c>
      <c r="F742" s="22">
        <v>-1</v>
      </c>
      <c r="G742" s="18" t="s">
        <v>2949</v>
      </c>
      <c r="H742" s="18" t="s">
        <v>152</v>
      </c>
    </row>
    <row r="743" spans="1:8">
      <c r="A743" s="18" t="s">
        <v>27</v>
      </c>
      <c r="B743" s="18" t="s">
        <v>67</v>
      </c>
      <c r="C743" s="18" t="s">
        <v>2944</v>
      </c>
      <c r="D743" s="22">
        <v>810679</v>
      </c>
      <c r="E743" s="22">
        <v>810679</v>
      </c>
      <c r="F743" s="22">
        <v>0</v>
      </c>
      <c r="G743" s="18" t="s">
        <v>2943</v>
      </c>
      <c r="H743" s="18" t="s">
        <v>152</v>
      </c>
    </row>
    <row r="744" spans="1:8">
      <c r="A744" s="18" t="s">
        <v>27</v>
      </c>
      <c r="B744" s="18" t="s">
        <v>67</v>
      </c>
      <c r="C744" s="18" t="s">
        <v>2945</v>
      </c>
      <c r="D744" s="22">
        <v>18086561</v>
      </c>
      <c r="E744" s="22">
        <v>18086560</v>
      </c>
      <c r="F744" s="22">
        <v>1</v>
      </c>
      <c r="G744" s="18" t="s">
        <v>2949</v>
      </c>
      <c r="H744" s="18" t="s">
        <v>153</v>
      </c>
    </row>
    <row r="745" spans="1:8">
      <c r="A745" s="18" t="s">
        <v>27</v>
      </c>
      <c r="B745" s="18" t="s">
        <v>67</v>
      </c>
      <c r="C745" s="18" t="s">
        <v>2946</v>
      </c>
      <c r="D745" s="22">
        <v>303677</v>
      </c>
      <c r="E745" s="22">
        <v>303678</v>
      </c>
      <c r="F745" s="22">
        <v>-1</v>
      </c>
      <c r="G745" s="18" t="s">
        <v>2949</v>
      </c>
      <c r="H745" s="18" t="s">
        <v>153</v>
      </c>
    </row>
    <row r="746" spans="1:8">
      <c r="A746" s="18" t="s">
        <v>27</v>
      </c>
      <c r="B746" s="18" t="s">
        <v>67</v>
      </c>
      <c r="C746" s="18" t="s">
        <v>2947</v>
      </c>
      <c r="D746" s="22">
        <v>5674950</v>
      </c>
      <c r="E746" s="22">
        <v>5674951</v>
      </c>
      <c r="F746" s="22">
        <v>-1</v>
      </c>
      <c r="G746" s="18" t="s">
        <v>2949</v>
      </c>
      <c r="H746" s="18" t="s">
        <v>154</v>
      </c>
    </row>
    <row r="747" spans="1:8">
      <c r="A747" s="18" t="s">
        <v>27</v>
      </c>
      <c r="B747" s="18" t="s">
        <v>67</v>
      </c>
      <c r="C747" s="18" t="s">
        <v>2948</v>
      </c>
      <c r="D747" s="22">
        <v>1634895</v>
      </c>
      <c r="E747" s="22">
        <v>1634895</v>
      </c>
      <c r="F747" s="22">
        <v>0</v>
      </c>
      <c r="G747" s="18" t="s">
        <v>2943</v>
      </c>
      <c r="H747" s="18" t="s">
        <v>154</v>
      </c>
    </row>
    <row r="748" spans="1:8">
      <c r="A748" s="18" t="s">
        <v>27</v>
      </c>
      <c r="B748" s="18" t="s">
        <v>67</v>
      </c>
      <c r="C748" s="18" t="s">
        <v>2956</v>
      </c>
      <c r="D748" s="22">
        <v>661017</v>
      </c>
      <c r="E748" s="22">
        <v>661018</v>
      </c>
      <c r="F748" s="22">
        <v>-1</v>
      </c>
      <c r="G748" s="18" t="s">
        <v>2949</v>
      </c>
      <c r="H748" s="18" t="s">
        <v>319</v>
      </c>
    </row>
    <row r="749" spans="1:8">
      <c r="A749" s="18" t="s">
        <v>27</v>
      </c>
      <c r="B749" s="18" t="s">
        <v>67</v>
      </c>
      <c r="C749" s="18" t="s">
        <v>2957</v>
      </c>
      <c r="D749" s="22">
        <v>114268</v>
      </c>
      <c r="E749" s="22">
        <v>114268</v>
      </c>
      <c r="F749" s="22">
        <v>0</v>
      </c>
      <c r="G749" s="18" t="s">
        <v>2943</v>
      </c>
      <c r="H749" s="18" t="s">
        <v>319</v>
      </c>
    </row>
    <row r="750" spans="1:8">
      <c r="A750" s="18" t="s">
        <v>27</v>
      </c>
      <c r="B750" s="18" t="s">
        <v>67</v>
      </c>
      <c r="C750" s="18" t="s">
        <v>2958</v>
      </c>
      <c r="D750" s="22">
        <v>523423</v>
      </c>
      <c r="E750" s="22">
        <v>523422</v>
      </c>
      <c r="F750" s="22">
        <v>1</v>
      </c>
      <c r="G750" s="18" t="s">
        <v>2949</v>
      </c>
      <c r="H750" s="18" t="s">
        <v>320</v>
      </c>
    </row>
    <row r="751" spans="1:8">
      <c r="A751" s="18" t="s">
        <v>27</v>
      </c>
      <c r="B751" s="18" t="s">
        <v>67</v>
      </c>
      <c r="C751" s="18" t="s">
        <v>2959</v>
      </c>
      <c r="D751" s="22">
        <v>153095</v>
      </c>
      <c r="E751" s="22">
        <v>153095</v>
      </c>
      <c r="F751" s="22">
        <v>0</v>
      </c>
      <c r="G751" s="18" t="s">
        <v>2943</v>
      </c>
      <c r="H751" s="18" t="s">
        <v>320</v>
      </c>
    </row>
    <row r="752" spans="1:8">
      <c r="A752" s="18" t="s">
        <v>27</v>
      </c>
      <c r="B752" s="18" t="s">
        <v>67</v>
      </c>
      <c r="C752" s="18" t="s">
        <v>2960</v>
      </c>
      <c r="D752" s="22">
        <v>691281</v>
      </c>
      <c r="E752" s="22">
        <v>691281</v>
      </c>
      <c r="F752" s="22">
        <v>0</v>
      </c>
      <c r="G752" s="18" t="s">
        <v>2943</v>
      </c>
      <c r="H752" s="18" t="s">
        <v>321</v>
      </c>
    </row>
    <row r="753" spans="1:8">
      <c r="A753" s="18" t="s">
        <v>27</v>
      </c>
      <c r="B753" s="18" t="s">
        <v>67</v>
      </c>
      <c r="C753" s="18" t="s">
        <v>2961</v>
      </c>
      <c r="D753" s="22">
        <v>111727</v>
      </c>
      <c r="E753" s="22">
        <v>111727</v>
      </c>
      <c r="F753" s="22">
        <v>0</v>
      </c>
      <c r="G753" s="18" t="s">
        <v>2943</v>
      </c>
      <c r="H753" s="18" t="s">
        <v>321</v>
      </c>
    </row>
    <row r="754" spans="1:8">
      <c r="A754" s="18" t="s">
        <v>27</v>
      </c>
      <c r="B754" s="18" t="s">
        <v>67</v>
      </c>
      <c r="C754" s="18" t="s">
        <v>3018</v>
      </c>
      <c r="D754" s="22">
        <v>748991</v>
      </c>
      <c r="E754" s="22">
        <v>748991</v>
      </c>
      <c r="F754" s="22">
        <v>0</v>
      </c>
      <c r="G754" s="18" t="s">
        <v>2943</v>
      </c>
      <c r="H754" s="18" t="s">
        <v>322</v>
      </c>
    </row>
    <row r="755" spans="1:8">
      <c r="A755" s="18" t="s">
        <v>27</v>
      </c>
      <c r="B755" s="18" t="s">
        <v>67</v>
      </c>
      <c r="C755" s="18" t="s">
        <v>3019</v>
      </c>
      <c r="D755" s="22">
        <v>194579</v>
      </c>
      <c r="E755" s="22">
        <v>194579</v>
      </c>
      <c r="F755" s="22">
        <v>0</v>
      </c>
      <c r="G755" s="18" t="s">
        <v>2943</v>
      </c>
      <c r="H755" s="18" t="s">
        <v>322</v>
      </c>
    </row>
    <row r="756" spans="1:8">
      <c r="A756" s="18" t="s">
        <v>27</v>
      </c>
      <c r="B756" s="18" t="s">
        <v>67</v>
      </c>
      <c r="C756" s="18" t="s">
        <v>3020</v>
      </c>
      <c r="D756" s="22">
        <v>600598</v>
      </c>
      <c r="E756" s="22">
        <v>600597</v>
      </c>
      <c r="F756" s="22">
        <v>1</v>
      </c>
      <c r="G756" s="18" t="s">
        <v>2949</v>
      </c>
      <c r="H756" s="18" t="s">
        <v>323</v>
      </c>
    </row>
    <row r="757" spans="1:8">
      <c r="A757" s="18" t="s">
        <v>27</v>
      </c>
      <c r="B757" s="18" t="s">
        <v>67</v>
      </c>
      <c r="C757" s="18" t="s">
        <v>3021</v>
      </c>
      <c r="D757" s="22">
        <v>369913</v>
      </c>
      <c r="E757" s="22">
        <v>369912</v>
      </c>
      <c r="F757" s="22">
        <v>1</v>
      </c>
      <c r="G757" s="18" t="s">
        <v>2949</v>
      </c>
      <c r="H757" s="18" t="s">
        <v>323</v>
      </c>
    </row>
    <row r="758" spans="1:8">
      <c r="A758" s="18" t="s">
        <v>27</v>
      </c>
      <c r="B758" s="18" t="s">
        <v>67</v>
      </c>
      <c r="C758" s="18" t="s">
        <v>3022</v>
      </c>
      <c r="D758" s="22">
        <v>373793</v>
      </c>
      <c r="E758" s="22">
        <v>373793</v>
      </c>
      <c r="F758" s="22">
        <v>0</v>
      </c>
      <c r="G758" s="18" t="s">
        <v>2943</v>
      </c>
      <c r="H758" s="18" t="s">
        <v>324</v>
      </c>
    </row>
    <row r="759" spans="1:8">
      <c r="A759" s="18" t="s">
        <v>27</v>
      </c>
      <c r="B759" s="18" t="s">
        <v>67</v>
      </c>
      <c r="C759" s="18" t="s">
        <v>3023</v>
      </c>
      <c r="D759" s="22">
        <v>473692</v>
      </c>
      <c r="E759" s="22">
        <v>473693</v>
      </c>
      <c r="F759" s="22">
        <v>-1</v>
      </c>
      <c r="G759" s="18" t="s">
        <v>2949</v>
      </c>
      <c r="H759" s="18" t="s">
        <v>324</v>
      </c>
    </row>
    <row r="760" spans="1:8">
      <c r="A760" s="18" t="s">
        <v>27</v>
      </c>
      <c r="B760" s="18" t="s">
        <v>67</v>
      </c>
      <c r="C760" s="18" t="s">
        <v>2962</v>
      </c>
      <c r="D760" s="22">
        <v>146103720</v>
      </c>
      <c r="E760" s="22">
        <v>146103720</v>
      </c>
      <c r="F760" s="22">
        <v>0</v>
      </c>
      <c r="G760" s="18" t="s">
        <v>2943</v>
      </c>
      <c r="H760" s="18" t="s">
        <v>3052</v>
      </c>
    </row>
    <row r="761" spans="1:8">
      <c r="A761" s="18" t="s">
        <v>27</v>
      </c>
      <c r="B761" s="18" t="s">
        <v>67</v>
      </c>
      <c r="C761" s="18" t="s">
        <v>2964</v>
      </c>
      <c r="D761" s="22">
        <v>143354469</v>
      </c>
      <c r="E761" s="22">
        <v>143354468</v>
      </c>
      <c r="F761" s="22">
        <v>1</v>
      </c>
      <c r="G761" s="18" t="s">
        <v>2949</v>
      </c>
      <c r="H761" s="18" t="s">
        <v>3052</v>
      </c>
    </row>
    <row r="762" spans="1:8">
      <c r="A762" s="18" t="s">
        <v>27</v>
      </c>
      <c r="B762" s="18" t="s">
        <v>67</v>
      </c>
      <c r="C762" s="18" t="s">
        <v>2965</v>
      </c>
      <c r="D762" s="22">
        <v>2749252</v>
      </c>
      <c r="E762" s="22">
        <v>2749252</v>
      </c>
      <c r="F762" s="22">
        <v>0</v>
      </c>
      <c r="G762" s="18" t="s">
        <v>2943</v>
      </c>
      <c r="H762" s="18" t="s">
        <v>3052</v>
      </c>
    </row>
    <row r="763" spans="1:8">
      <c r="A763" s="18" t="s">
        <v>27</v>
      </c>
      <c r="B763" s="18" t="s">
        <v>67</v>
      </c>
      <c r="C763" s="18" t="s">
        <v>2966</v>
      </c>
      <c r="D763" s="22">
        <v>141892716</v>
      </c>
      <c r="E763" s="22">
        <v>141892716</v>
      </c>
      <c r="F763" s="22">
        <v>0</v>
      </c>
      <c r="G763" s="18" t="s">
        <v>2943</v>
      </c>
      <c r="H763" s="18" t="s">
        <v>3052</v>
      </c>
    </row>
    <row r="764" spans="1:8">
      <c r="A764" s="18" t="s">
        <v>27</v>
      </c>
      <c r="B764" s="18" t="s">
        <v>67</v>
      </c>
      <c r="C764" s="18" t="s">
        <v>2968</v>
      </c>
      <c r="D764" s="22">
        <v>29675</v>
      </c>
      <c r="E764" s="22">
        <v>29674</v>
      </c>
      <c r="F764" s="22">
        <v>1</v>
      </c>
      <c r="G764" s="18" t="s">
        <v>2949</v>
      </c>
      <c r="H764" s="18" t="s">
        <v>3052</v>
      </c>
    </row>
    <row r="765" spans="1:8">
      <c r="A765" s="18" t="s">
        <v>27</v>
      </c>
      <c r="B765" s="18" t="s">
        <v>67</v>
      </c>
      <c r="C765" s="18" t="s">
        <v>2979</v>
      </c>
      <c r="D765" s="22">
        <v>1432077</v>
      </c>
      <c r="E765" s="22">
        <v>1432077</v>
      </c>
      <c r="F765" s="22">
        <v>0</v>
      </c>
      <c r="G765" s="18" t="s">
        <v>2943</v>
      </c>
      <c r="H765" s="18" t="s">
        <v>3052</v>
      </c>
    </row>
    <row r="766" spans="1:8">
      <c r="A766" s="18" t="s">
        <v>27</v>
      </c>
      <c r="B766" s="18" t="s">
        <v>67</v>
      </c>
      <c r="C766" s="18" t="s">
        <v>2969</v>
      </c>
      <c r="D766" s="22">
        <v>2749252</v>
      </c>
      <c r="E766" s="22">
        <v>2749252</v>
      </c>
      <c r="F766" s="22">
        <v>0</v>
      </c>
      <c r="G766" s="18" t="s">
        <v>2943</v>
      </c>
      <c r="H766" s="18" t="s">
        <v>3053</v>
      </c>
    </row>
    <row r="767" spans="1:8">
      <c r="A767" s="18" t="s">
        <v>27</v>
      </c>
      <c r="B767" s="18" t="s">
        <v>67</v>
      </c>
      <c r="C767" s="18" t="s">
        <v>2971</v>
      </c>
      <c r="D767" s="22">
        <v>23748</v>
      </c>
      <c r="E767" s="22">
        <v>23748</v>
      </c>
      <c r="F767" s="22">
        <v>0</v>
      </c>
      <c r="G767" s="18" t="s">
        <v>2943</v>
      </c>
      <c r="H767" s="18" t="s">
        <v>3053</v>
      </c>
    </row>
    <row r="768" spans="1:8">
      <c r="A768" s="18" t="s">
        <v>27</v>
      </c>
      <c r="B768" s="18" t="s">
        <v>67</v>
      </c>
      <c r="C768" s="18" t="s">
        <v>2972</v>
      </c>
      <c r="D768" s="22">
        <v>2749252</v>
      </c>
      <c r="E768" s="22">
        <v>2749252</v>
      </c>
      <c r="F768" s="22">
        <v>0</v>
      </c>
      <c r="G768" s="18" t="s">
        <v>2943</v>
      </c>
      <c r="H768" s="18" t="s">
        <v>883</v>
      </c>
    </row>
    <row r="769" spans="1:8">
      <c r="A769" s="18" t="s">
        <v>27</v>
      </c>
      <c r="B769" s="18" t="s">
        <v>67</v>
      </c>
      <c r="C769" s="18" t="s">
        <v>2975</v>
      </c>
      <c r="D769" s="22">
        <v>23478</v>
      </c>
      <c r="E769" s="22">
        <v>23478</v>
      </c>
      <c r="F769" s="22">
        <v>0</v>
      </c>
      <c r="G769" s="18" t="s">
        <v>2943</v>
      </c>
      <c r="H769" s="18" t="s">
        <v>883</v>
      </c>
    </row>
    <row r="770" spans="1:8">
      <c r="A770" s="18" t="s">
        <v>27</v>
      </c>
      <c r="B770" s="18" t="s">
        <v>67</v>
      </c>
      <c r="C770" s="18" t="s">
        <v>2976</v>
      </c>
      <c r="D770" s="22">
        <v>2749252</v>
      </c>
      <c r="E770" s="22">
        <v>2749252</v>
      </c>
      <c r="F770" s="22">
        <v>0</v>
      </c>
      <c r="G770" s="18" t="s">
        <v>2943</v>
      </c>
      <c r="H770" s="18" t="s">
        <v>883</v>
      </c>
    </row>
    <row r="771" spans="1:8">
      <c r="A771" s="18" t="s">
        <v>27</v>
      </c>
      <c r="B771" s="18" t="s">
        <v>67</v>
      </c>
      <c r="C771" s="18" t="s">
        <v>2977</v>
      </c>
      <c r="D771" s="22">
        <v>23748</v>
      </c>
      <c r="E771" s="22">
        <v>23478</v>
      </c>
      <c r="F771" s="22">
        <v>270</v>
      </c>
      <c r="G771" s="18" t="s">
        <v>2996</v>
      </c>
      <c r="H771" s="18" t="s">
        <v>883</v>
      </c>
    </row>
    <row r="772" spans="1:8">
      <c r="A772" s="18" t="s">
        <v>27</v>
      </c>
      <c r="B772" s="18" t="s">
        <v>57</v>
      </c>
      <c r="C772" s="18" t="s">
        <v>3054</v>
      </c>
      <c r="D772" s="22">
        <v>3475518</v>
      </c>
      <c r="E772" s="22">
        <v>3480227</v>
      </c>
      <c r="F772" s="22">
        <v>-4709</v>
      </c>
      <c r="G772" s="18" t="s">
        <v>3055</v>
      </c>
      <c r="H772" s="18" t="s">
        <v>253</v>
      </c>
    </row>
    <row r="773" spans="1:8">
      <c r="A773" s="18" t="s">
        <v>27</v>
      </c>
      <c r="B773" s="18" t="s">
        <v>57</v>
      </c>
      <c r="C773" s="18" t="s">
        <v>3056</v>
      </c>
      <c r="D773" s="22">
        <v>6729</v>
      </c>
      <c r="E773" s="22">
        <v>6841</v>
      </c>
      <c r="F773" s="22">
        <v>-112</v>
      </c>
      <c r="G773" s="18" t="s">
        <v>3055</v>
      </c>
      <c r="H773" s="18" t="s">
        <v>253</v>
      </c>
    </row>
    <row r="774" spans="1:8">
      <c r="A774" s="18" t="s">
        <v>27</v>
      </c>
      <c r="B774" s="18" t="s">
        <v>57</v>
      </c>
      <c r="C774" s="18" t="s">
        <v>3057</v>
      </c>
      <c r="D774" s="22">
        <v>3162844</v>
      </c>
      <c r="E774" s="22">
        <v>3189964</v>
      </c>
      <c r="F774" s="22">
        <v>-27120</v>
      </c>
      <c r="G774" s="18" t="s">
        <v>3055</v>
      </c>
      <c r="H774" s="18" t="s">
        <v>254</v>
      </c>
    </row>
    <row r="775" spans="1:8">
      <c r="A775" s="18" t="s">
        <v>27</v>
      </c>
      <c r="B775" s="18" t="s">
        <v>57</v>
      </c>
      <c r="C775" s="18" t="s">
        <v>3058</v>
      </c>
      <c r="D775" s="22">
        <v>6720</v>
      </c>
      <c r="E775" s="22">
        <v>7005</v>
      </c>
      <c r="F775" s="22">
        <v>-285</v>
      </c>
      <c r="G775" s="18" t="s">
        <v>3055</v>
      </c>
      <c r="H775" s="18" t="s">
        <v>254</v>
      </c>
    </row>
    <row r="776" spans="1:8">
      <c r="A776" s="18" t="s">
        <v>27</v>
      </c>
      <c r="B776" s="18" t="s">
        <v>57</v>
      </c>
      <c r="C776" s="18" t="s">
        <v>3059</v>
      </c>
      <c r="D776" s="22">
        <v>4107101</v>
      </c>
      <c r="E776" s="22">
        <v>3807084</v>
      </c>
      <c r="F776" s="22">
        <v>300017</v>
      </c>
      <c r="G776" s="18" t="s">
        <v>3055</v>
      </c>
      <c r="H776" s="18" t="s">
        <v>255</v>
      </c>
    </row>
    <row r="777" spans="1:8">
      <c r="A777" s="18" t="s">
        <v>27</v>
      </c>
      <c r="B777" s="18" t="s">
        <v>57</v>
      </c>
      <c r="C777" s="18" t="s">
        <v>3060</v>
      </c>
      <c r="D777" s="22">
        <v>7553</v>
      </c>
      <c r="E777" s="22">
        <v>8577</v>
      </c>
      <c r="F777" s="22">
        <v>-1024</v>
      </c>
      <c r="G777" s="18" t="s">
        <v>3055</v>
      </c>
      <c r="H777" s="18" t="s">
        <v>255</v>
      </c>
    </row>
    <row r="778" spans="1:8">
      <c r="A778" s="18" t="s">
        <v>27</v>
      </c>
      <c r="B778" s="18" t="s">
        <v>62</v>
      </c>
      <c r="C778" s="18" t="s">
        <v>3054</v>
      </c>
      <c r="D778" s="22">
        <v>1825315</v>
      </c>
      <c r="E778" s="22">
        <v>1903277</v>
      </c>
      <c r="F778" s="22">
        <v>-77962</v>
      </c>
      <c r="G778" s="18" t="s">
        <v>3055</v>
      </c>
      <c r="H778" s="18" t="s">
        <v>259</v>
      </c>
    </row>
    <row r="779" spans="1:8">
      <c r="A779" s="18" t="s">
        <v>27</v>
      </c>
      <c r="B779" s="18" t="s">
        <v>62</v>
      </c>
      <c r="C779" s="18" t="s">
        <v>3056</v>
      </c>
      <c r="D779" s="22">
        <v>7596</v>
      </c>
      <c r="E779" s="22">
        <v>7983</v>
      </c>
      <c r="F779" s="22">
        <v>-387</v>
      </c>
      <c r="G779" s="18" t="s">
        <v>3055</v>
      </c>
      <c r="H779" s="18" t="s">
        <v>259</v>
      </c>
    </row>
    <row r="780" spans="1:8">
      <c r="A780" s="18" t="s">
        <v>27</v>
      </c>
      <c r="B780" s="18" t="s">
        <v>62</v>
      </c>
      <c r="C780" s="18" t="s">
        <v>3057</v>
      </c>
      <c r="D780" s="22">
        <v>678076</v>
      </c>
      <c r="E780" s="22">
        <v>1439561</v>
      </c>
      <c r="F780" s="22">
        <v>-761485</v>
      </c>
      <c r="G780" s="18" t="s">
        <v>3055</v>
      </c>
      <c r="H780" s="18" t="s">
        <v>260</v>
      </c>
    </row>
    <row r="781" spans="1:8">
      <c r="A781" s="18" t="s">
        <v>27</v>
      </c>
      <c r="B781" s="18" t="s">
        <v>62</v>
      </c>
      <c r="C781" s="18" t="s">
        <v>3058</v>
      </c>
      <c r="D781" s="22">
        <v>5192</v>
      </c>
      <c r="E781" s="22">
        <v>7063</v>
      </c>
      <c r="F781" s="22">
        <v>-1871</v>
      </c>
      <c r="G781" s="18" t="s">
        <v>3055</v>
      </c>
      <c r="H781" s="18" t="s">
        <v>260</v>
      </c>
    </row>
    <row r="782" spans="1:8">
      <c r="A782" s="18" t="s">
        <v>27</v>
      </c>
      <c r="B782" s="18" t="s">
        <v>62</v>
      </c>
      <c r="C782" s="18" t="s">
        <v>3059</v>
      </c>
      <c r="D782" s="22">
        <v>1738908</v>
      </c>
      <c r="E782" s="22">
        <v>1584910</v>
      </c>
      <c r="F782" s="22">
        <v>153998</v>
      </c>
      <c r="G782" s="18" t="s">
        <v>3055</v>
      </c>
      <c r="H782" s="18" t="s">
        <v>261</v>
      </c>
    </row>
    <row r="783" spans="1:8">
      <c r="A783" s="18" t="s">
        <v>27</v>
      </c>
      <c r="B783" s="18" t="s">
        <v>62</v>
      </c>
      <c r="C783" s="18" t="s">
        <v>3060</v>
      </c>
      <c r="D783" s="22">
        <v>7492</v>
      </c>
      <c r="E783" s="22">
        <v>5952</v>
      </c>
      <c r="F783" s="22">
        <v>1540</v>
      </c>
      <c r="G783" s="18" t="s">
        <v>3055</v>
      </c>
      <c r="H783" s="18" t="s">
        <v>261</v>
      </c>
    </row>
    <row r="784" spans="1:8">
      <c r="A784" s="18" t="s">
        <v>27</v>
      </c>
      <c r="B784" s="18" t="s">
        <v>77</v>
      </c>
      <c r="C784" s="18" t="s">
        <v>3054</v>
      </c>
      <c r="D784" s="22">
        <v>4060466</v>
      </c>
      <c r="E784" s="22">
        <v>1651174</v>
      </c>
      <c r="F784" s="22">
        <v>2409292</v>
      </c>
      <c r="G784" s="18" t="s">
        <v>3055</v>
      </c>
      <c r="H784" s="18" t="s">
        <v>271</v>
      </c>
    </row>
    <row r="785" spans="1:8">
      <c r="A785" s="18" t="s">
        <v>27</v>
      </c>
      <c r="B785" s="18" t="s">
        <v>77</v>
      </c>
      <c r="C785" s="18" t="s">
        <v>3056</v>
      </c>
      <c r="D785" s="22">
        <v>3126</v>
      </c>
      <c r="E785" s="22">
        <v>3072</v>
      </c>
      <c r="F785" s="22">
        <v>54</v>
      </c>
      <c r="G785" s="18" t="s">
        <v>3055</v>
      </c>
      <c r="H785" s="18" t="s">
        <v>271</v>
      </c>
    </row>
    <row r="786" spans="1:8">
      <c r="A786" s="18" t="s">
        <v>27</v>
      </c>
      <c r="B786" s="18" t="s">
        <v>77</v>
      </c>
      <c r="C786" s="18" t="s">
        <v>3057</v>
      </c>
      <c r="D786" s="22">
        <v>3650675</v>
      </c>
      <c r="E786" s="22">
        <v>1240718</v>
      </c>
      <c r="F786" s="22">
        <v>2409957</v>
      </c>
      <c r="G786" s="18" t="s">
        <v>3055</v>
      </c>
      <c r="H786" s="18" t="s">
        <v>272</v>
      </c>
    </row>
    <row r="787" spans="1:8">
      <c r="A787" s="18" t="s">
        <v>27</v>
      </c>
      <c r="B787" s="18" t="s">
        <v>77</v>
      </c>
      <c r="C787" s="18" t="s">
        <v>3058</v>
      </c>
      <c r="D787" s="22">
        <v>3258</v>
      </c>
      <c r="E787" s="22">
        <v>2893</v>
      </c>
      <c r="F787" s="22">
        <v>365</v>
      </c>
      <c r="G787" s="18" t="s">
        <v>3055</v>
      </c>
      <c r="H787" s="18" t="s">
        <v>272</v>
      </c>
    </row>
    <row r="788" spans="1:8">
      <c r="A788" s="18" t="s">
        <v>27</v>
      </c>
      <c r="B788" s="18" t="s">
        <v>77</v>
      </c>
      <c r="C788" s="18" t="s">
        <v>3059</v>
      </c>
      <c r="D788" s="22">
        <v>2534318</v>
      </c>
      <c r="E788" s="22">
        <v>1121255</v>
      </c>
      <c r="F788" s="22">
        <v>1413063</v>
      </c>
      <c r="G788" s="18" t="s">
        <v>3055</v>
      </c>
      <c r="H788" s="18" t="s">
        <v>273</v>
      </c>
    </row>
    <row r="789" spans="1:8">
      <c r="A789" s="18" t="s">
        <v>27</v>
      </c>
      <c r="B789" s="18" t="s">
        <v>77</v>
      </c>
      <c r="C789" s="18" t="s">
        <v>3060</v>
      </c>
      <c r="D789" s="22">
        <v>2789</v>
      </c>
      <c r="E789" s="22">
        <v>4456</v>
      </c>
      <c r="F789" s="22">
        <v>-1667</v>
      </c>
      <c r="G789" s="18" t="s">
        <v>3055</v>
      </c>
      <c r="H789" s="18" t="s">
        <v>273</v>
      </c>
    </row>
    <row r="790" spans="1:8">
      <c r="A790" s="18" t="s">
        <v>27</v>
      </c>
      <c r="B790" s="18" t="s">
        <v>82</v>
      </c>
      <c r="C790" s="18" t="s">
        <v>3054</v>
      </c>
      <c r="D790" s="22">
        <v>103356</v>
      </c>
      <c r="E790" s="22">
        <v>88184</v>
      </c>
      <c r="F790" s="22">
        <v>15172</v>
      </c>
      <c r="G790" s="18" t="s">
        <v>3055</v>
      </c>
      <c r="H790" s="18" t="s">
        <v>277</v>
      </c>
    </row>
    <row r="791" spans="1:8">
      <c r="A791" s="18" t="s">
        <v>27</v>
      </c>
      <c r="B791" s="18" t="s">
        <v>82</v>
      </c>
      <c r="C791" s="18" t="s">
        <v>3056</v>
      </c>
      <c r="D791" s="22">
        <v>2185</v>
      </c>
      <c r="E791" s="22">
        <v>1560</v>
      </c>
      <c r="F791" s="22">
        <v>625</v>
      </c>
      <c r="G791" s="18" t="s">
        <v>3055</v>
      </c>
      <c r="H791" s="18" t="s">
        <v>277</v>
      </c>
    </row>
    <row r="792" spans="1:8">
      <c r="A792" s="18" t="s">
        <v>27</v>
      </c>
      <c r="B792" s="18" t="s">
        <v>82</v>
      </c>
      <c r="C792" s="18" t="s">
        <v>3057</v>
      </c>
      <c r="D792" s="22">
        <v>145777</v>
      </c>
      <c r="E792" s="22">
        <v>53856</v>
      </c>
      <c r="F792" s="22">
        <v>91921</v>
      </c>
      <c r="G792" s="18" t="s">
        <v>3055</v>
      </c>
      <c r="H792" s="18" t="s">
        <v>278</v>
      </c>
    </row>
    <row r="793" spans="1:8">
      <c r="A793" s="18" t="s">
        <v>27</v>
      </c>
      <c r="B793" s="18" t="s">
        <v>82</v>
      </c>
      <c r="C793" s="18" t="s">
        <v>3058</v>
      </c>
      <c r="D793" s="22">
        <v>4446</v>
      </c>
      <c r="E793" s="22">
        <v>2385</v>
      </c>
      <c r="F793" s="22">
        <v>2061</v>
      </c>
      <c r="G793" s="18" t="s">
        <v>3055</v>
      </c>
      <c r="H793" s="18" t="s">
        <v>278</v>
      </c>
    </row>
    <row r="794" spans="1:8">
      <c r="A794" s="18" t="s">
        <v>27</v>
      </c>
      <c r="B794" s="18" t="s">
        <v>82</v>
      </c>
      <c r="C794" s="18" t="s">
        <v>3059</v>
      </c>
      <c r="D794" s="22">
        <v>79929</v>
      </c>
      <c r="E794" s="22">
        <v>55879</v>
      </c>
      <c r="F794" s="22">
        <v>24050</v>
      </c>
      <c r="G794" s="18" t="s">
        <v>3055</v>
      </c>
      <c r="H794" s="18" t="s">
        <v>279</v>
      </c>
    </row>
    <row r="795" spans="1:8">
      <c r="A795" s="18" t="s">
        <v>27</v>
      </c>
      <c r="B795" s="18" t="s">
        <v>82</v>
      </c>
      <c r="C795" s="18" t="s">
        <v>3060</v>
      </c>
      <c r="D795" s="22">
        <v>4121</v>
      </c>
      <c r="E795" s="22">
        <v>3487</v>
      </c>
      <c r="F795" s="22">
        <v>634</v>
      </c>
      <c r="G795" s="18" t="s">
        <v>3055</v>
      </c>
      <c r="H795" s="18" t="s">
        <v>279</v>
      </c>
    </row>
    <row r="796" spans="1:8">
      <c r="A796" s="18" t="s">
        <v>27</v>
      </c>
      <c r="B796" s="18" t="s">
        <v>91</v>
      </c>
      <c r="C796" s="18" t="s">
        <v>3057</v>
      </c>
      <c r="D796" s="22">
        <v>169276.62</v>
      </c>
      <c r="E796" s="22">
        <v>162509.23</v>
      </c>
      <c r="F796" s="22">
        <v>6767.390000000014</v>
      </c>
      <c r="G796" s="18" t="s">
        <v>3055</v>
      </c>
      <c r="H796" s="18" t="s">
        <v>284</v>
      </c>
    </row>
    <row r="797" spans="1:8">
      <c r="A797" s="18" t="s">
        <v>27</v>
      </c>
      <c r="B797" s="18" t="s">
        <v>91</v>
      </c>
      <c r="C797" s="18" t="s">
        <v>3059</v>
      </c>
      <c r="D797" s="22">
        <v>89121.87000000007</v>
      </c>
      <c r="E797" s="22">
        <v>87448.33000000007</v>
      </c>
      <c r="F797" s="22">
        <v>1673.539999999994</v>
      </c>
      <c r="G797" s="18" t="s">
        <v>3055</v>
      </c>
      <c r="H797" s="18" t="s">
        <v>285</v>
      </c>
    </row>
    <row r="798" spans="1:8">
      <c r="A798" s="18" t="s">
        <v>27</v>
      </c>
      <c r="B798" s="18" t="s">
        <v>99</v>
      </c>
      <c r="C798" s="18" t="s">
        <v>3054</v>
      </c>
      <c r="D798" s="22">
        <v>61630.93000000002</v>
      </c>
      <c r="E798" s="22">
        <v>57533.93000000002</v>
      </c>
      <c r="F798" s="22">
        <v>4097</v>
      </c>
      <c r="G798" s="18" t="s">
        <v>3055</v>
      </c>
      <c r="H798" s="18" t="s">
        <v>289</v>
      </c>
    </row>
    <row r="799" spans="1:8">
      <c r="A799" s="18" t="s">
        <v>27</v>
      </c>
      <c r="B799" s="18" t="s">
        <v>99</v>
      </c>
      <c r="C799" s="18" t="s">
        <v>3057</v>
      </c>
      <c r="D799" s="22">
        <v>146993.7100000001</v>
      </c>
      <c r="E799" s="22">
        <v>144549.53</v>
      </c>
      <c r="F799" s="22">
        <v>2444.180000000022</v>
      </c>
      <c r="G799" s="18" t="s">
        <v>3055</v>
      </c>
      <c r="H799" s="18" t="s">
        <v>290</v>
      </c>
    </row>
    <row r="800" spans="1:8">
      <c r="A800" s="18" t="s">
        <v>27</v>
      </c>
      <c r="B800" s="18" t="s">
        <v>99</v>
      </c>
      <c r="C800" s="18" t="s">
        <v>3059</v>
      </c>
      <c r="D800" s="22">
        <v>55560.72999999998</v>
      </c>
      <c r="E800" s="22">
        <v>64474.69000000002</v>
      </c>
      <c r="F800" s="22">
        <v>-8913.960000000036</v>
      </c>
      <c r="G800" s="18" t="s">
        <v>3055</v>
      </c>
      <c r="H800" s="18" t="s">
        <v>291</v>
      </c>
    </row>
    <row r="801" spans="1:8">
      <c r="A801" s="18" t="s">
        <v>27</v>
      </c>
      <c r="B801" s="18" t="s">
        <v>105</v>
      </c>
      <c r="C801" s="18" t="s">
        <v>3054</v>
      </c>
      <c r="D801" s="22">
        <v>384406.8300000001</v>
      </c>
      <c r="E801" s="22">
        <v>384234.17</v>
      </c>
      <c r="F801" s="22">
        <v>172.6600000000326</v>
      </c>
      <c r="G801" s="18" t="s">
        <v>3055</v>
      </c>
      <c r="H801" s="18" t="s">
        <v>295</v>
      </c>
    </row>
    <row r="802" spans="1:8">
      <c r="A802" s="18" t="s">
        <v>27</v>
      </c>
      <c r="B802" s="18" t="s">
        <v>105</v>
      </c>
      <c r="C802" s="18" t="s">
        <v>3056</v>
      </c>
      <c r="D802" s="22">
        <v>600</v>
      </c>
      <c r="E802" s="22">
        <v>601</v>
      </c>
      <c r="F802" s="22">
        <v>-1</v>
      </c>
      <c r="G802" s="18" t="s">
        <v>3055</v>
      </c>
      <c r="H802" s="18" t="s">
        <v>295</v>
      </c>
    </row>
    <row r="803" spans="1:8">
      <c r="A803" s="18" t="s">
        <v>27</v>
      </c>
      <c r="B803" s="18" t="s">
        <v>105</v>
      </c>
      <c r="C803" s="18" t="s">
        <v>3057</v>
      </c>
      <c r="D803" s="22">
        <v>139417.6299999999</v>
      </c>
      <c r="E803" s="22">
        <v>137125.2699999999</v>
      </c>
      <c r="F803" s="22">
        <v>2292.360000000015</v>
      </c>
      <c r="G803" s="18" t="s">
        <v>3055</v>
      </c>
      <c r="H803" s="18" t="s">
        <v>296</v>
      </c>
    </row>
    <row r="804" spans="1:8">
      <c r="A804" s="18" t="s">
        <v>27</v>
      </c>
      <c r="B804" s="18" t="s">
        <v>105</v>
      </c>
      <c r="C804" s="18" t="s">
        <v>3059</v>
      </c>
      <c r="D804" s="22">
        <v>233126.0399999999</v>
      </c>
      <c r="E804" s="22">
        <v>277595.5899999997</v>
      </c>
      <c r="F804" s="22">
        <v>-44469.54999999987</v>
      </c>
      <c r="G804" s="18" t="s">
        <v>3055</v>
      </c>
      <c r="H804" s="18" t="s">
        <v>297</v>
      </c>
    </row>
    <row r="805" spans="1:8">
      <c r="A805" s="18" t="s">
        <v>27</v>
      </c>
      <c r="B805" s="18" t="s">
        <v>111</v>
      </c>
      <c r="C805" s="18" t="s">
        <v>3054</v>
      </c>
      <c r="D805" s="22">
        <v>3310607.740000024</v>
      </c>
      <c r="E805" s="22">
        <v>3744649.509999959</v>
      </c>
      <c r="F805" s="22">
        <v>-434041.7699999348</v>
      </c>
      <c r="G805" s="18" t="s">
        <v>3055</v>
      </c>
      <c r="H805" s="18" t="s">
        <v>301</v>
      </c>
    </row>
    <row r="806" spans="1:8">
      <c r="A806" s="18" t="s">
        <v>27</v>
      </c>
      <c r="B806" s="18" t="s">
        <v>111</v>
      </c>
      <c r="C806" s="18" t="s">
        <v>3056</v>
      </c>
      <c r="D806" s="22">
        <v>16725</v>
      </c>
      <c r="E806" s="22">
        <v>19325</v>
      </c>
      <c r="F806" s="22">
        <v>-2600</v>
      </c>
      <c r="G806" s="18" t="s">
        <v>3055</v>
      </c>
      <c r="H806" s="18" t="s">
        <v>301</v>
      </c>
    </row>
    <row r="807" spans="1:8">
      <c r="A807" s="18" t="s">
        <v>27</v>
      </c>
      <c r="B807" s="18" t="s">
        <v>111</v>
      </c>
      <c r="C807" s="18" t="s">
        <v>3057</v>
      </c>
      <c r="D807" s="22">
        <v>3439878.800000015</v>
      </c>
      <c r="E807" s="22">
        <v>3862871.999999942</v>
      </c>
      <c r="F807" s="22">
        <v>-422993.1999999275</v>
      </c>
      <c r="G807" s="18" t="s">
        <v>3055</v>
      </c>
      <c r="H807" s="18" t="s">
        <v>302</v>
      </c>
    </row>
    <row r="808" spans="1:8">
      <c r="A808" s="18" t="s">
        <v>27</v>
      </c>
      <c r="B808" s="18" t="s">
        <v>111</v>
      </c>
      <c r="C808" s="18" t="s">
        <v>3058</v>
      </c>
      <c r="D808" s="22">
        <v>16808</v>
      </c>
      <c r="E808" s="22">
        <v>19737</v>
      </c>
      <c r="F808" s="22">
        <v>-2929</v>
      </c>
      <c r="G808" s="18" t="s">
        <v>3055</v>
      </c>
      <c r="H808" s="18" t="s">
        <v>302</v>
      </c>
    </row>
    <row r="809" spans="1:8">
      <c r="A809" s="18" t="s">
        <v>27</v>
      </c>
      <c r="B809" s="18" t="s">
        <v>111</v>
      </c>
      <c r="C809" s="18" t="s">
        <v>3059</v>
      </c>
      <c r="D809" s="22">
        <v>3537916.199999996</v>
      </c>
      <c r="E809" s="22">
        <v>4224061.329999999</v>
      </c>
      <c r="F809" s="22">
        <v>-686145.1300000027</v>
      </c>
      <c r="G809" s="18" t="s">
        <v>3055</v>
      </c>
      <c r="H809" s="18" t="s">
        <v>303</v>
      </c>
    </row>
    <row r="810" spans="1:8">
      <c r="A810" s="18" t="s">
        <v>27</v>
      </c>
      <c r="B810" s="18" t="s">
        <v>111</v>
      </c>
      <c r="C810" s="18" t="s">
        <v>3060</v>
      </c>
      <c r="D810" s="22">
        <v>18981</v>
      </c>
      <c r="E810" s="22">
        <v>24203</v>
      </c>
      <c r="F810" s="22">
        <v>-5222</v>
      </c>
      <c r="G810" s="18" t="s">
        <v>3055</v>
      </c>
      <c r="H810" s="18" t="s">
        <v>303</v>
      </c>
    </row>
    <row r="811" spans="1:8">
      <c r="A811" s="18" t="s">
        <v>27</v>
      </c>
      <c r="B811" s="18" t="s">
        <v>233</v>
      </c>
      <c r="C811" s="18" t="s">
        <v>3054</v>
      </c>
      <c r="D811" s="22">
        <v>22695.36</v>
      </c>
      <c r="E811" s="22">
        <v>13189.55</v>
      </c>
      <c r="F811" s="22">
        <v>9505.809999999998</v>
      </c>
      <c r="G811" s="18" t="s">
        <v>3055</v>
      </c>
      <c r="H811" s="18" t="s">
        <v>307</v>
      </c>
    </row>
    <row r="812" spans="1:8">
      <c r="A812" s="18" t="s">
        <v>27</v>
      </c>
      <c r="B812" s="18" t="s">
        <v>233</v>
      </c>
      <c r="C812" s="18" t="s">
        <v>3056</v>
      </c>
      <c r="D812" s="22">
        <v>189</v>
      </c>
      <c r="E812" s="22">
        <v>147</v>
      </c>
      <c r="F812" s="22">
        <v>42</v>
      </c>
      <c r="G812" s="18" t="s">
        <v>3055</v>
      </c>
      <c r="H812" s="18" t="s">
        <v>307</v>
      </c>
    </row>
    <row r="813" spans="1:8">
      <c r="A813" s="18" t="s">
        <v>27</v>
      </c>
      <c r="B813" s="18" t="s">
        <v>233</v>
      </c>
      <c r="C813" s="18" t="s">
        <v>3057</v>
      </c>
      <c r="D813" s="22">
        <v>14874.3</v>
      </c>
      <c r="E813" s="22">
        <v>12349.76</v>
      </c>
      <c r="F813" s="22">
        <v>2524.540000000005</v>
      </c>
      <c r="G813" s="18" t="s">
        <v>3055</v>
      </c>
      <c r="H813" s="18" t="s">
        <v>308</v>
      </c>
    </row>
    <row r="814" spans="1:8">
      <c r="A814" s="18" t="s">
        <v>27</v>
      </c>
      <c r="B814" s="18" t="s">
        <v>233</v>
      </c>
      <c r="C814" s="18" t="s">
        <v>3058</v>
      </c>
      <c r="D814" s="22">
        <v>89</v>
      </c>
      <c r="E814" s="22">
        <v>60</v>
      </c>
      <c r="F814" s="22">
        <v>29</v>
      </c>
      <c r="G814" s="18" t="s">
        <v>3055</v>
      </c>
      <c r="H814" s="18" t="s">
        <v>308</v>
      </c>
    </row>
    <row r="815" spans="1:8">
      <c r="A815" s="18" t="s">
        <v>27</v>
      </c>
      <c r="B815" s="18" t="s">
        <v>233</v>
      </c>
      <c r="C815" s="18" t="s">
        <v>3059</v>
      </c>
      <c r="D815" s="22">
        <v>9310.760000000026</v>
      </c>
      <c r="E815" s="22">
        <v>1315.139999999999</v>
      </c>
      <c r="F815" s="22">
        <v>7995.620000000026</v>
      </c>
      <c r="G815" s="18" t="s">
        <v>3055</v>
      </c>
      <c r="H815" s="18" t="s">
        <v>309</v>
      </c>
    </row>
    <row r="816" spans="1:8">
      <c r="A816" s="18" t="s">
        <v>27</v>
      </c>
      <c r="B816" s="18" t="s">
        <v>233</v>
      </c>
      <c r="C816" s="18" t="s">
        <v>3060</v>
      </c>
      <c r="D816" s="22">
        <v>238</v>
      </c>
      <c r="E816" s="22">
        <v>160</v>
      </c>
      <c r="F816" s="22">
        <v>78</v>
      </c>
      <c r="G816" s="18" t="s">
        <v>3055</v>
      </c>
      <c r="H816" s="18" t="s">
        <v>309</v>
      </c>
    </row>
    <row r="817" spans="1:8">
      <c r="A817" s="18" t="s">
        <v>27</v>
      </c>
      <c r="B817" s="18" t="s">
        <v>86</v>
      </c>
      <c r="C817" s="18" t="s">
        <v>3054</v>
      </c>
      <c r="D817" s="22">
        <v>6180</v>
      </c>
      <c r="E817" s="22">
        <v>4747.02</v>
      </c>
      <c r="F817" s="22">
        <v>1432.98</v>
      </c>
      <c r="G817" s="18" t="s">
        <v>3055</v>
      </c>
      <c r="H817" s="18" t="s">
        <v>313</v>
      </c>
    </row>
    <row r="818" spans="1:8">
      <c r="A818" s="18" t="s">
        <v>27</v>
      </c>
      <c r="B818" s="18" t="s">
        <v>86</v>
      </c>
      <c r="C818" s="18" t="s">
        <v>3056</v>
      </c>
      <c r="D818" s="22">
        <v>75</v>
      </c>
      <c r="E818" s="22">
        <v>42</v>
      </c>
      <c r="F818" s="22">
        <v>33</v>
      </c>
      <c r="G818" s="18" t="s">
        <v>3055</v>
      </c>
      <c r="H818" s="18" t="s">
        <v>313</v>
      </c>
    </row>
    <row r="819" spans="1:8">
      <c r="A819" s="18" t="s">
        <v>27</v>
      </c>
      <c r="B819" s="18" t="s">
        <v>86</v>
      </c>
      <c r="C819" s="18" t="s">
        <v>3057</v>
      </c>
      <c r="D819" s="22">
        <v>13201</v>
      </c>
      <c r="E819" s="22">
        <v>11020.09</v>
      </c>
      <c r="F819" s="22">
        <v>2180.91</v>
      </c>
      <c r="G819" s="18" t="s">
        <v>3055</v>
      </c>
      <c r="H819" s="18" t="s">
        <v>314</v>
      </c>
    </row>
    <row r="820" spans="1:8">
      <c r="A820" s="18" t="s">
        <v>27</v>
      </c>
      <c r="B820" s="18" t="s">
        <v>86</v>
      </c>
      <c r="C820" s="18" t="s">
        <v>3058</v>
      </c>
      <c r="D820" s="22">
        <v>68</v>
      </c>
      <c r="E820" s="22">
        <v>30</v>
      </c>
      <c r="F820" s="22">
        <v>38</v>
      </c>
      <c r="G820" s="18" t="s">
        <v>3055</v>
      </c>
      <c r="H820" s="18" t="s">
        <v>314</v>
      </c>
    </row>
    <row r="821" spans="1:8">
      <c r="A821" s="18" t="s">
        <v>27</v>
      </c>
      <c r="B821" s="18" t="s">
        <v>86</v>
      </c>
      <c r="C821" s="18" t="s">
        <v>3059</v>
      </c>
      <c r="D821" s="22">
        <v>5127</v>
      </c>
      <c r="E821" s="22">
        <v>3156.52</v>
      </c>
      <c r="F821" s="22">
        <v>1970.48</v>
      </c>
      <c r="G821" s="18" t="s">
        <v>3055</v>
      </c>
      <c r="H821" s="18" t="s">
        <v>315</v>
      </c>
    </row>
    <row r="822" spans="1:8">
      <c r="A822" s="18" t="s">
        <v>27</v>
      </c>
      <c r="B822" s="18" t="s">
        <v>86</v>
      </c>
      <c r="C822" s="18" t="s">
        <v>3060</v>
      </c>
      <c r="D822" s="22">
        <v>70</v>
      </c>
      <c r="E822" s="22">
        <v>27</v>
      </c>
      <c r="F822" s="22">
        <v>43</v>
      </c>
      <c r="G822" s="18" t="s">
        <v>3055</v>
      </c>
      <c r="H822" s="18" t="s">
        <v>315</v>
      </c>
    </row>
    <row r="823" spans="1:8">
      <c r="A823" s="18" t="s">
        <v>27</v>
      </c>
      <c r="B823" s="18" t="s">
        <v>67</v>
      </c>
      <c r="C823" s="18" t="s">
        <v>3054</v>
      </c>
      <c r="D823" s="22">
        <v>775286</v>
      </c>
      <c r="E823" s="22">
        <v>713748</v>
      </c>
      <c r="F823" s="22">
        <v>61538</v>
      </c>
      <c r="G823" s="18" t="s">
        <v>3055</v>
      </c>
      <c r="H823" s="18" t="s">
        <v>319</v>
      </c>
    </row>
    <row r="824" spans="1:8">
      <c r="A824" s="18" t="s">
        <v>27</v>
      </c>
      <c r="B824" s="18" t="s">
        <v>67</v>
      </c>
      <c r="C824" s="18" t="s">
        <v>3056</v>
      </c>
      <c r="D824" s="22">
        <v>4242</v>
      </c>
      <c r="E824" s="22">
        <v>2575</v>
      </c>
      <c r="F824" s="22">
        <v>1667</v>
      </c>
      <c r="G824" s="18" t="s">
        <v>3055</v>
      </c>
      <c r="H824" s="18" t="s">
        <v>319</v>
      </c>
    </row>
    <row r="825" spans="1:8">
      <c r="A825" s="18" t="s">
        <v>27</v>
      </c>
      <c r="B825" s="18" t="s">
        <v>67</v>
      </c>
      <c r="C825" s="18" t="s">
        <v>3057</v>
      </c>
      <c r="D825" s="22">
        <v>676517</v>
      </c>
      <c r="E825" s="22">
        <v>734548</v>
      </c>
      <c r="F825" s="22">
        <v>-58031</v>
      </c>
      <c r="G825" s="18" t="s">
        <v>3055</v>
      </c>
      <c r="H825" s="18" t="s">
        <v>320</v>
      </c>
    </row>
    <row r="826" spans="1:8">
      <c r="A826" s="18" t="s">
        <v>27</v>
      </c>
      <c r="B826" s="18" t="s">
        <v>67</v>
      </c>
      <c r="C826" s="18" t="s">
        <v>3058</v>
      </c>
      <c r="D826" s="22">
        <v>4226</v>
      </c>
      <c r="E826" s="22">
        <v>2619</v>
      </c>
      <c r="F826" s="22">
        <v>1607</v>
      </c>
      <c r="G826" s="18" t="s">
        <v>3055</v>
      </c>
      <c r="H826" s="18" t="s">
        <v>320</v>
      </c>
    </row>
    <row r="827" spans="1:8">
      <c r="A827" s="18" t="s">
        <v>27</v>
      </c>
      <c r="B827" s="18" t="s">
        <v>67</v>
      </c>
      <c r="C827" s="18" t="s">
        <v>3059</v>
      </c>
      <c r="D827" s="22">
        <v>803008</v>
      </c>
      <c r="E827" s="22">
        <v>1140375</v>
      </c>
      <c r="F827" s="22">
        <v>-337367</v>
      </c>
      <c r="G827" s="18" t="s">
        <v>3055</v>
      </c>
      <c r="H827" s="18" t="s">
        <v>321</v>
      </c>
    </row>
    <row r="828" spans="1:8">
      <c r="A828" s="18" t="s">
        <v>27</v>
      </c>
      <c r="B828" s="18" t="s">
        <v>67</v>
      </c>
      <c r="C828" s="18" t="s">
        <v>3060</v>
      </c>
      <c r="D828" s="22">
        <v>3585</v>
      </c>
      <c r="E828" s="22">
        <v>3615</v>
      </c>
      <c r="F828" s="22">
        <v>-30</v>
      </c>
      <c r="G828" s="18" t="s">
        <v>3055</v>
      </c>
      <c r="H828" s="18" t="s">
        <v>321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>
  <dimension ref="A1:J17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2" width="20.7109375" customWidth="1"/>
    <col min="3" max="10" width="23.7109375" customWidth="1"/>
  </cols>
  <sheetData>
    <row r="1" spans="1:10">
      <c r="A1" s="19" t="s">
        <v>3061</v>
      </c>
    </row>
    <row r="3" spans="1:10">
      <c r="A3" s="21" t="s">
        <v>955</v>
      </c>
      <c r="B3" s="21" t="s">
        <v>957</v>
      </c>
      <c r="C3" s="21" t="s">
        <v>3062</v>
      </c>
      <c r="D3" s="21" t="s">
        <v>3063</v>
      </c>
      <c r="E3" s="21" t="s">
        <v>3064</v>
      </c>
      <c r="F3" s="21" t="s">
        <v>3065</v>
      </c>
      <c r="G3" s="21" t="s">
        <v>3066</v>
      </c>
      <c r="H3" s="21" t="s">
        <v>3067</v>
      </c>
      <c r="I3" s="21" t="s">
        <v>3068</v>
      </c>
      <c r="J3" s="21" t="s">
        <v>3069</v>
      </c>
    </row>
    <row r="4" spans="1:10">
      <c r="A4" s="18" t="s">
        <v>49</v>
      </c>
      <c r="B4" s="18" t="s">
        <v>10</v>
      </c>
      <c r="C4" s="27">
        <v>1</v>
      </c>
      <c r="D4" s="27">
        <v>1</v>
      </c>
      <c r="E4" s="22">
        <v>136664</v>
      </c>
      <c r="F4" s="22">
        <f>E4/C4</f>
        <v>136664.0</v>
      </c>
      <c r="G4" s="22">
        <f>E4/D4</f>
        <v>136664.0</v>
      </c>
      <c r="H4" s="22">
        <v>147601</v>
      </c>
      <c r="I4" s="22">
        <f>H4/D4</f>
        <v>147601.0</v>
      </c>
      <c r="J4" s="24">
        <f>IF(G4=0,"n.d.",I4/G4-1)</f>
        <v>0.08002839079786922</v>
      </c>
    </row>
    <row r="5" spans="1:10">
      <c r="A5" s="18" t="s">
        <v>58</v>
      </c>
      <c r="B5" s="18" t="s">
        <v>10</v>
      </c>
      <c r="C5" s="27">
        <v>1</v>
      </c>
      <c r="D5" s="27">
        <v>1</v>
      </c>
      <c r="E5" s="22">
        <v>1787812</v>
      </c>
      <c r="F5" s="22">
        <f>E5/C5</f>
        <v>1787812.0</v>
      </c>
      <c r="G5" s="22">
        <f>E5/D5</f>
        <v>1787812.0</v>
      </c>
      <c r="H5" s="22">
        <v>1793165</v>
      </c>
      <c r="I5" s="22">
        <f>H5/D5</f>
        <v>1793165.0</v>
      </c>
      <c r="J5" s="24">
        <f>IF(G5=0,"n.d.",I5/G5-1)</f>
        <v>0.0029941626971963496</v>
      </c>
    </row>
    <row r="6" spans="1:10">
      <c r="A6" s="18" t="s">
        <v>63</v>
      </c>
      <c r="B6" s="18" t="s">
        <v>10</v>
      </c>
      <c r="C6" s="27">
        <v>1</v>
      </c>
      <c r="D6" s="27">
        <v>1</v>
      </c>
      <c r="E6" s="22">
        <v>3317587</v>
      </c>
      <c r="F6" s="22">
        <f>E6/C6</f>
        <v>3317587.0</v>
      </c>
      <c r="G6" s="22">
        <f>E6/D6</f>
        <v>3317587.0</v>
      </c>
      <c r="H6" s="22">
        <v>2998937</v>
      </c>
      <c r="I6" s="22">
        <f>H6/D6</f>
        <v>2998937.0</v>
      </c>
      <c r="J6" s="24">
        <f>IF(G6=0,"n.d.",I6/G6-1)</f>
        <v>-0.0960487245699962</v>
      </c>
    </row>
    <row r="7" spans="1:10">
      <c r="A7" s="18" t="s">
        <v>68</v>
      </c>
      <c r="B7" s="18" t="s">
        <v>10</v>
      </c>
      <c r="C7" s="27">
        <v>1</v>
      </c>
      <c r="D7" s="27">
        <v>1</v>
      </c>
      <c r="E7" s="22">
        <v>3473473</v>
      </c>
      <c r="F7" s="22">
        <f>E7/C7</f>
        <v>3473473.0</v>
      </c>
      <c r="G7" s="22">
        <f>E7/D7</f>
        <v>3473473.0</v>
      </c>
      <c r="H7" s="22">
        <v>2778926</v>
      </c>
      <c r="I7" s="22">
        <f>H7/D7</f>
        <v>2778926.0</v>
      </c>
      <c r="J7" s="24">
        <f>IF(G7=0,"n.d.",I7/G7-1)</f>
        <v>-0.19995750650717595</v>
      </c>
    </row>
    <row r="8" spans="1:10">
      <c r="A8" s="18" t="s">
        <v>73</v>
      </c>
      <c r="B8" s="18" t="s">
        <v>10</v>
      </c>
      <c r="C8" s="27">
        <v>1</v>
      </c>
      <c r="D8" s="27">
        <v>1</v>
      </c>
      <c r="E8" s="22">
        <v>3023244</v>
      </c>
      <c r="F8" s="22">
        <f>E8/C8</f>
        <v>3023244.0</v>
      </c>
      <c r="G8" s="22">
        <f>E8/D8</f>
        <v>3023244.0</v>
      </c>
      <c r="H8" s="22">
        <v>3434403</v>
      </c>
      <c r="I8" s="22">
        <f>H8/D8</f>
        <v>3434403.0</v>
      </c>
      <c r="J8" s="24">
        <f>IF(G8=0,"n.d.",I8/G8-1)</f>
        <v>0.13599927759717706</v>
      </c>
    </row>
    <row r="9" spans="1:10">
      <c r="A9" s="18" t="s">
        <v>78</v>
      </c>
      <c r="B9" s="18" t="s">
        <v>10</v>
      </c>
      <c r="C9" s="27">
        <v>1</v>
      </c>
      <c r="D9" s="27">
        <v>1</v>
      </c>
      <c r="E9" s="22">
        <v>593413</v>
      </c>
      <c r="F9" s="22">
        <f>E9/C9</f>
        <v>593413.0</v>
      </c>
      <c r="G9" s="22">
        <f>E9/D9</f>
        <v>593413.0</v>
      </c>
      <c r="H9" s="22">
        <v>607594</v>
      </c>
      <c r="I9" s="22">
        <f>H9/D9</f>
        <v>607594.0</v>
      </c>
      <c r="J9" s="24">
        <f>IF(G9=0,"n.d.",I9/G9-1)</f>
        <v>0.023897353108206256</v>
      </c>
    </row>
    <row r="10" spans="1:10">
      <c r="A10" s="18" t="s">
        <v>82</v>
      </c>
      <c r="B10" s="18" t="s">
        <v>19</v>
      </c>
      <c r="C10" s="27">
        <v>0.861647587</v>
      </c>
      <c r="D10" s="27">
        <v>0.85443381</v>
      </c>
      <c r="E10" s="22">
        <v>2444203</v>
      </c>
      <c r="F10" s="22">
        <f>E10/C10</f>
        <v>2836662.0377943446</v>
      </c>
      <c r="G10" s="22">
        <f>E10/D10</f>
        <v>2860611.2859695945</v>
      </c>
      <c r="H10" s="22">
        <v>2976774</v>
      </c>
      <c r="I10" s="22">
        <f>H10/D10</f>
        <v>3483914.102135074</v>
      </c>
      <c r="J10" s="24">
        <f>IF(G10=0,"n.d.",I10/G10-1)</f>
        <v>0.2178914762808163</v>
      </c>
    </row>
    <row r="11" spans="1:10">
      <c r="A11" s="18" t="s">
        <v>87</v>
      </c>
      <c r="B11" s="18" t="s">
        <v>10</v>
      </c>
      <c r="C11" s="27">
        <v>1</v>
      </c>
      <c r="D11" s="27">
        <v>1</v>
      </c>
      <c r="E11" s="22">
        <v>11992.28999999998</v>
      </c>
      <c r="F11" s="22">
        <f>E11/C11</f>
        <v>11992.289999999979</v>
      </c>
      <c r="G11" s="22">
        <f>E11/D11</f>
        <v>11992.289999999979</v>
      </c>
      <c r="H11" s="22">
        <v>14110</v>
      </c>
      <c r="I11" s="22">
        <f>H11/D11</f>
        <v>14110.0</v>
      </c>
      <c r="J11" s="24">
        <f>IF(G11=0,"n.d.",I11/G11-1)</f>
        <v>0.17658929195341547</v>
      </c>
    </row>
    <row r="12" spans="1:10">
      <c r="A12" s="18" t="s">
        <v>92</v>
      </c>
      <c r="B12" s="18" t="s">
        <v>16</v>
      </c>
      <c r="C12" s="27">
        <v>7.47467107</v>
      </c>
      <c r="D12" s="27">
        <v>7.47595715</v>
      </c>
      <c r="E12" s="22">
        <v>182297.8099999998</v>
      </c>
      <c r="F12" s="22">
        <f>E12/C12</f>
        <v>24388.740092077365</v>
      </c>
      <c r="G12" s="22">
        <f>E12/D12</f>
        <v>24384.544526181482</v>
      </c>
      <c r="H12" s="22">
        <v>16166.70999999926</v>
      </c>
      <c r="I12" s="22">
        <f>H12/D12</f>
        <v>2162.4936681183713</v>
      </c>
      <c r="J12" s="24">
        <f>IF(G12=0,"n.d.",I12/G12-1)</f>
        <v>-0.9113170366665443</v>
      </c>
    </row>
    <row r="13" spans="1:10">
      <c r="A13" s="18" t="s">
        <v>100</v>
      </c>
      <c r="B13" s="18" t="s">
        <v>21</v>
      </c>
      <c r="C13" s="27">
        <v>11.311264655</v>
      </c>
      <c r="D13" s="27">
        <v>10.90384939</v>
      </c>
      <c r="E13" s="22">
        <v>122248.0599999999</v>
      </c>
      <c r="F13" s="22">
        <f>E13/C13</f>
        <v>10807.63855577915</v>
      </c>
      <c r="G13" s="22">
        <f>E13/D13</f>
        <v>11211.458965318663</v>
      </c>
      <c r="H13" s="22">
        <v>22084.0899999995</v>
      </c>
      <c r="I13" s="22">
        <f>H13/D13</f>
        <v>2025.348040871968</v>
      </c>
      <c r="J13" s="24">
        <f>IF(G13=0,"n.d.",I13/G13-1)</f>
        <v>-0.8193501802809835</v>
      </c>
    </row>
    <row r="14" spans="1:10">
      <c r="A14" s="18" t="s">
        <v>106</v>
      </c>
      <c r="B14" s="18" t="s">
        <v>23</v>
      </c>
      <c r="C14" s="27">
        <v>11.078026565</v>
      </c>
      <c r="D14" s="27">
        <v>11.34339828</v>
      </c>
      <c r="E14" s="22">
        <v>156644.0600000008</v>
      </c>
      <c r="F14" s="22">
        <f>E14/C14</f>
        <v>14140.068998832623</v>
      </c>
      <c r="G14" s="22">
        <f>E14/D14</f>
        <v>13809.270919825338</v>
      </c>
      <c r="H14" s="22">
        <v>172626.620000001</v>
      </c>
      <c r="I14" s="22">
        <f>H14/D14</f>
        <v>15218.245515046927</v>
      </c>
      <c r="J14" s="24">
        <f>IF(G14=0,"n.d.",I14/G14-1)</f>
        <v>0.10203106329087877</v>
      </c>
    </row>
    <row r="16" spans="1:10">
      <c r="A16" s="18" t="s">
        <v>234</v>
      </c>
      <c r="B16" s="18" t="s">
        <v>14</v>
      </c>
      <c r="C16" s="27">
        <v>5.90311809</v>
      </c>
      <c r="D16" s="27">
        <v>5.855892595</v>
      </c>
      <c r="E16" s="22">
        <v>22338552.44000267</v>
      </c>
      <c r="F16" s="22">
        <f>E16/C16</f>
        <v>3784195.4200178753</v>
      </c>
      <c r="G16" s="22">
        <f>E16/D16</f>
        <v>3814713.4834877667</v>
      </c>
      <c r="H16" s="22">
        <v>22106987.68000206</v>
      </c>
      <c r="I16" s="22">
        <f>H16/D16</f>
        <v>3775169.5956442077</v>
      </c>
      <c r="J16" s="24">
        <f>IF(G16=0,"n.d.",I16/G16-1)</f>
        <v>-0.010366148864056887</v>
      </c>
    </row>
    <row r="17" spans="1:10">
      <c r="A17" s="18" t="s">
        <v>112</v>
      </c>
      <c r="B17" s="18" t="s">
        <v>25</v>
      </c>
      <c r="C17" s="27">
        <v>18.72282849</v>
      </c>
      <c r="D17" s="27">
        <v>18.58943911</v>
      </c>
      <c r="E17" s="22">
        <v>35668503.48999883</v>
      </c>
      <c r="F17" s="22">
        <f>E17/C17</f>
        <v>1905080.928827054</v>
      </c>
      <c r="G17" s="22">
        <f>E17/D17</f>
        <v>1918750.9251320725</v>
      </c>
      <c r="H17" s="22">
        <v>38076721.7399988</v>
      </c>
      <c r="I17" s="22">
        <f>H17/D17</f>
        <v>2048298.5804297782</v>
      </c>
      <c r="J17" s="24">
        <f>IF(G17=0,"n.d.",I17/G17-1)</f>
        <v>0.06751666076136936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42</vt:i4>
      </vt:variant>
    </vt:vector>
  </HeadingPairs>
  <TitlesOfParts>
    <vt:vector size="72" baseType="lpstr">
      <vt:lpstr>Global</vt:lpstr>
      <vt:lpstr>CORE Stock</vt:lpstr>
      <vt:lpstr>CORE Flows</vt:lpstr>
      <vt:lpstr>NON CORE Stock</vt:lpstr>
      <vt:lpstr>ES Spain</vt:lpstr>
      <vt:lpstr>DE Germany</vt:lpstr>
      <vt:lpstr>AT Austria</vt:lpstr>
      <vt:lpstr>BE Belgium</vt:lpstr>
      <vt:lpstr>IT Italy</vt:lpstr>
      <vt:lpstr>PT Portugal</vt:lpstr>
      <vt:lpstr>FR France</vt:lpstr>
      <vt:lpstr>UK UK</vt:lpstr>
      <vt:lpstr>ZA South Africa</vt:lpstr>
      <vt:lpstr>BR Brazil</vt:lpstr>
      <vt:lpstr>DK Denmark</vt:lpstr>
      <vt:lpstr>NO Norway</vt:lpstr>
      <vt:lpstr>SE Sweden</vt:lpstr>
      <vt:lpstr>Consolidation</vt:lpstr>
      <vt:lpstr>Flux</vt:lpstr>
      <vt:lpstr>Stock</vt:lpstr>
      <vt:lpstr>Repartition stock</vt:lpstr>
      <vt:lpstr>Taux</vt:lpstr>
      <vt:lpstr>Controles</vt:lpstr>
      <vt:lpstr>Mode emploi</vt:lpstr>
      <vt:lpstr>GraphData</vt:lpstr>
      <vt:lpstr>Presentation inputs</vt:lpstr>
      <vt:lpstr>Coverage</vt:lpstr>
      <vt:lpstr>Source extracts</vt:lpstr>
      <vt:lpstr>Reconciliation</vt:lpstr>
      <vt:lpstr>FX comparison</vt:lpstr>
      <vt:lpstr>Periodes</vt:lpstr>
      <vt:lpstr>'AT Austria'!Print_Area</vt:lpstr>
      <vt:lpstr>'BE Belgium'!Print_Area</vt:lpstr>
      <vt:lpstr>'BR Brazil'!Print_Area</vt:lpstr>
      <vt:lpstr>'CORE Flows'!Print_Area</vt:lpstr>
      <vt:lpstr>'CORE Stock'!Print_Area</vt:lpstr>
      <vt:lpstr>'DE Germany'!Print_Area</vt:lpstr>
      <vt:lpstr>'DK Denmark'!Print_Area</vt:lpstr>
      <vt:lpstr>'ES Spain'!Print_Area</vt:lpstr>
      <vt:lpstr>'FR France'!Print_Area</vt:lpstr>
      <vt:lpstr>Global!Print_Area</vt:lpstr>
      <vt:lpstr>'IT Italy'!Print_Area</vt:lpstr>
      <vt:lpstr>'Mode emploi'!Print_Area</vt:lpstr>
      <vt:lpstr>'NO Norway'!Print_Area</vt:lpstr>
      <vt:lpstr>'NON CORE Stock'!Print_Area</vt:lpstr>
      <vt:lpstr>'PT Portugal'!Print_Area</vt:lpstr>
      <vt:lpstr>'SE Sweden'!Print_Area</vt:lpstr>
      <vt:lpstr>'UK UK'!Print_Area</vt:lpstr>
      <vt:lpstr>'ZA South Africa'!Print_Area</vt:lpstr>
      <vt:lpstr>'AT Austria'!Print_Titles</vt:lpstr>
      <vt:lpstr>'BE Belgium'!Print_Titles</vt:lpstr>
      <vt:lpstr>'BR Brazil'!Print_Titles</vt:lpstr>
      <vt:lpstr>Consolidation!Print_Titles</vt:lpstr>
      <vt:lpstr>Controles!Print_Titles</vt:lpstr>
      <vt:lpstr>'CORE Flows'!Print_Titles</vt:lpstr>
      <vt:lpstr>'CORE Stock'!Print_Titles</vt:lpstr>
      <vt:lpstr>'DE Germany'!Print_Titles</vt:lpstr>
      <vt:lpstr>'DK Denmark'!Print_Titles</vt:lpstr>
      <vt:lpstr>'ES Spain'!Print_Titles</vt:lpstr>
      <vt:lpstr>Flux!Print_Titles</vt:lpstr>
      <vt:lpstr>'FR France'!Print_Titles</vt:lpstr>
      <vt:lpstr>Global!Print_Titles</vt:lpstr>
      <vt:lpstr>'IT Italy'!Print_Titles</vt:lpstr>
      <vt:lpstr>'NO Norway'!Print_Titles</vt:lpstr>
      <vt:lpstr>'NON CORE Stock'!Print_Titles</vt:lpstr>
      <vt:lpstr>'PT Portugal'!Print_Titles</vt:lpstr>
      <vt:lpstr>'Repartition stock'!Print_Titles</vt:lpstr>
      <vt:lpstr>'SE Sweden'!Print_Titles</vt:lpstr>
      <vt:lpstr>Stock!Print_Titles</vt:lpstr>
      <vt:lpstr>Taux!Print_Titles</vt:lpstr>
      <vt:lpstr>'UK UK'!Print_Titles</vt:lpstr>
      <vt:lpstr>'ZA South Africa'!Print_Titles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Positive Balance</dc:title>
  <dc:subject>Consolidation trimestrielle</dc:subject>
  <dc:creator>Positive Balance</dc:creator>
  <cp:lastModifiedBy>Positive Balance</cp:lastModifiedBy>
  <dcterms:created xsi:type="dcterms:W3CDTF">2026-10-27T06:23:29Z</dcterms:created>
  <dcterms:modified xsi:type="dcterms:W3CDTF">2026-10-27T06:23:29Z</dcterms:modified>
</cp:coreProperties>
</file>